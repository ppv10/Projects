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dmin\Fundadmin\Operations team\Sommarprojekt\Marknadsanalys 2024\"/>
    </mc:Choice>
  </mc:AlternateContent>
  <xr:revisionPtr revIDLastSave="0" documentId="13_ncr:1_{D1790277-EA20-45C3-A263-6FF9C21A479C}" xr6:coauthVersionLast="47" xr6:coauthVersionMax="47" xr10:uidLastSave="{00000000-0000-0000-0000-000000000000}"/>
  <bookViews>
    <workbookView xWindow="-120" yWindow="-120" windowWidth="29040" windowHeight="15840" xr2:uid="{5F05CDEA-2891-485E-B207-820B49609E48}"/>
  </bookViews>
  <sheets>
    <sheet name="ToPowerBI" sheetId="13" r:id="rId1"/>
    <sheet name="Aloittaneet 2013-&gt;" sheetId="5" r:id="rId2"/>
    <sheet name="Lopettaneet 2013-&gt;" sheetId="6" r:id="rId3"/>
    <sheet name="Statistisk analys" sheetId="11" r:id="rId4"/>
    <sheet name="Statistisk analys på stängde" sheetId="12" r:id="rId5"/>
    <sheet name="ToPowerBI (not in usage)" sheetId="10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2" hidden="1">'Lopettaneet 2013-&gt;'!$A$1:$P$569</definedName>
    <definedName name="_xlnm._FilterDatabase" localSheetId="4" hidden="1">'Statistisk analys på stängde'!$AD$1:$AD$217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37" i="13" l="1"/>
  <c r="K1438" i="13"/>
  <c r="K1439" i="13"/>
  <c r="K1440" i="13"/>
  <c r="K1441" i="13"/>
  <c r="K1442" i="13"/>
  <c r="K1443" i="13"/>
  <c r="K1444" i="13"/>
  <c r="K1445" i="13"/>
  <c r="K1446" i="13"/>
  <c r="M1150" i="5"/>
  <c r="L1150" i="5"/>
  <c r="L1151" i="5"/>
  <c r="L1152" i="5"/>
  <c r="L1153" i="5"/>
  <c r="L1154" i="5"/>
  <c r="L1155" i="5"/>
  <c r="L1156" i="5"/>
  <c r="L1157" i="5"/>
  <c r="L1158" i="5"/>
  <c r="L1159" i="5"/>
  <c r="M1151" i="5"/>
  <c r="M1152" i="5"/>
  <c r="M1153" i="5"/>
  <c r="M1154" i="5"/>
  <c r="M1155" i="5"/>
  <c r="M1156" i="5"/>
  <c r="M1157" i="5"/>
  <c r="M1158" i="5"/>
  <c r="M115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2" i="5"/>
  <c r="J1153" i="5"/>
  <c r="J1154" i="5"/>
  <c r="J1155" i="5"/>
  <c r="J1156" i="5"/>
  <c r="J1157" i="5"/>
  <c r="J1158" i="5"/>
  <c r="J1159" i="5"/>
  <c r="J1151" i="5"/>
  <c r="K1150" i="5"/>
  <c r="K1152" i="5"/>
  <c r="K1153" i="5"/>
  <c r="K1154" i="5"/>
  <c r="K1155" i="5"/>
  <c r="K1156" i="5"/>
  <c r="K1157" i="5"/>
  <c r="K1158" i="5"/>
  <c r="K1159" i="5"/>
  <c r="I1436" i="13"/>
  <c r="I1435" i="13"/>
  <c r="J1420" i="13"/>
  <c r="K1420" i="13" s="1"/>
  <c r="J1421" i="13"/>
  <c r="K1421" i="13" s="1"/>
  <c r="J1422" i="13"/>
  <c r="K1422" i="13" s="1"/>
  <c r="J1423" i="13"/>
  <c r="K1423" i="13" s="1"/>
  <c r="J1424" i="13"/>
  <c r="K1424" i="13" s="1"/>
  <c r="J1425" i="13"/>
  <c r="K1425" i="13" s="1"/>
  <c r="J1426" i="13"/>
  <c r="K1426" i="13" s="1"/>
  <c r="J1427" i="13"/>
  <c r="K1427" i="13" s="1"/>
  <c r="J1428" i="13"/>
  <c r="K1428" i="13" s="1"/>
  <c r="J1429" i="13"/>
  <c r="K1429" i="13" s="1"/>
  <c r="J1430" i="13"/>
  <c r="K1430" i="13" s="1"/>
  <c r="J1431" i="13"/>
  <c r="K1431" i="13" s="1"/>
  <c r="J1432" i="13"/>
  <c r="K1432" i="13" s="1"/>
  <c r="J1433" i="13"/>
  <c r="K1433" i="13" s="1"/>
  <c r="J1434" i="13"/>
  <c r="K1434" i="13" s="1"/>
  <c r="J1419" i="13"/>
  <c r="K1419" i="13" s="1"/>
  <c r="L590" i="6"/>
  <c r="K1435" i="13" s="1"/>
  <c r="M590" i="6"/>
  <c r="N590" i="6"/>
  <c r="O590" i="6"/>
  <c r="P590" i="6"/>
  <c r="L591" i="6"/>
  <c r="K1436" i="13" s="1"/>
  <c r="M591" i="6"/>
  <c r="N591" i="6"/>
  <c r="O591" i="6"/>
  <c r="P591" i="6"/>
  <c r="K1134" i="5"/>
  <c r="L1134" i="5"/>
  <c r="M1134" i="5"/>
  <c r="N1134" i="5"/>
  <c r="O1134" i="5"/>
  <c r="K1135" i="5"/>
  <c r="L1135" i="5"/>
  <c r="M1135" i="5"/>
  <c r="N1135" i="5"/>
  <c r="O1135" i="5"/>
  <c r="K1136" i="5"/>
  <c r="L1136" i="5"/>
  <c r="M1136" i="5"/>
  <c r="N1136" i="5"/>
  <c r="O1136" i="5"/>
  <c r="K1137" i="5"/>
  <c r="L1137" i="5"/>
  <c r="M1137" i="5"/>
  <c r="N1137" i="5"/>
  <c r="O1137" i="5"/>
  <c r="K1138" i="5"/>
  <c r="L1138" i="5"/>
  <c r="M1138" i="5"/>
  <c r="N1138" i="5"/>
  <c r="O1138" i="5"/>
  <c r="K1139" i="5"/>
  <c r="L1139" i="5"/>
  <c r="M1139" i="5"/>
  <c r="N1139" i="5"/>
  <c r="O1139" i="5"/>
  <c r="K1140" i="5"/>
  <c r="L1140" i="5"/>
  <c r="M1140" i="5"/>
  <c r="N1140" i="5"/>
  <c r="O1140" i="5"/>
  <c r="K1141" i="5"/>
  <c r="L1141" i="5"/>
  <c r="M1141" i="5"/>
  <c r="N1141" i="5"/>
  <c r="O1141" i="5"/>
  <c r="K1142" i="5"/>
  <c r="L1142" i="5"/>
  <c r="M1142" i="5"/>
  <c r="N1142" i="5"/>
  <c r="O1142" i="5"/>
  <c r="K1143" i="5"/>
  <c r="L1143" i="5"/>
  <c r="M1143" i="5"/>
  <c r="N1143" i="5"/>
  <c r="O1143" i="5"/>
  <c r="K1144" i="5"/>
  <c r="L1144" i="5"/>
  <c r="M1144" i="5"/>
  <c r="N1144" i="5"/>
  <c r="O1144" i="5"/>
  <c r="K1145" i="5"/>
  <c r="L1145" i="5"/>
  <c r="M1145" i="5"/>
  <c r="N1145" i="5"/>
  <c r="O1145" i="5"/>
  <c r="K1146" i="5"/>
  <c r="L1146" i="5"/>
  <c r="M1146" i="5"/>
  <c r="N1146" i="5"/>
  <c r="O1146" i="5"/>
  <c r="K1147" i="5"/>
  <c r="L1147" i="5"/>
  <c r="M1147" i="5"/>
  <c r="N1147" i="5"/>
  <c r="O1147" i="5"/>
  <c r="K1148" i="5"/>
  <c r="M1148" i="5"/>
  <c r="N1148" i="5"/>
  <c r="O1148" i="5"/>
  <c r="K1149" i="5"/>
  <c r="M1149" i="5"/>
  <c r="N1149" i="5"/>
  <c r="O1149" i="5"/>
  <c r="J1412" i="13"/>
  <c r="J1413" i="13"/>
  <c r="J1414" i="13"/>
  <c r="J1415" i="13"/>
  <c r="J1416" i="13"/>
  <c r="J1417" i="13"/>
  <c r="J1418" i="13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J1386" i="13"/>
  <c r="K1386" i="13" s="1"/>
  <c r="J1387" i="13"/>
  <c r="K1387" i="13" s="1"/>
  <c r="J1388" i="13"/>
  <c r="K1388" i="13" s="1"/>
  <c r="J1389" i="13"/>
  <c r="K1389" i="13" s="1"/>
  <c r="J1390" i="13"/>
  <c r="K1390" i="13" s="1"/>
  <c r="J1391" i="13"/>
  <c r="K1391" i="13" s="1"/>
  <c r="J1392" i="13"/>
  <c r="K1392" i="13" s="1"/>
  <c r="J1393" i="13"/>
  <c r="K1393" i="13" s="1"/>
  <c r="J1394" i="13"/>
  <c r="K1394" i="13" s="1"/>
  <c r="J1395" i="13"/>
  <c r="K1395" i="13" s="1"/>
  <c r="J1396" i="13"/>
  <c r="K1396" i="13" s="1"/>
  <c r="J1397" i="13"/>
  <c r="K1397" i="13" s="1"/>
  <c r="J1398" i="13"/>
  <c r="K1398" i="13" s="1"/>
  <c r="J1399" i="13"/>
  <c r="K1399" i="13" s="1"/>
  <c r="J1400" i="13"/>
  <c r="K1400" i="13" s="1"/>
  <c r="J1401" i="13"/>
  <c r="K1401" i="13" s="1"/>
  <c r="J1402" i="13"/>
  <c r="K1402" i="13" s="1"/>
  <c r="J1403" i="13"/>
  <c r="K1403" i="13" s="1"/>
  <c r="J1404" i="13"/>
  <c r="K1404" i="13" s="1"/>
  <c r="J1385" i="13"/>
  <c r="K1385" i="13" s="1"/>
  <c r="J1405" i="13"/>
  <c r="K1405" i="13" s="1"/>
  <c r="J1406" i="13"/>
  <c r="K1406" i="13" s="1"/>
  <c r="J1407" i="13"/>
  <c r="K1407" i="13" s="1"/>
  <c r="J1408" i="13"/>
  <c r="K1408" i="13" s="1"/>
  <c r="J1409" i="13"/>
  <c r="K1409" i="13" s="1"/>
  <c r="J1410" i="13"/>
  <c r="K1410" i="13" s="1"/>
  <c r="J1411" i="13"/>
  <c r="K1411" i="13" s="1"/>
  <c r="L583" i="6"/>
  <c r="K1412" i="13" s="1"/>
  <c r="N583" i="6"/>
  <c r="O583" i="6"/>
  <c r="P583" i="6"/>
  <c r="L584" i="6"/>
  <c r="K1413" i="13" s="1"/>
  <c r="N584" i="6"/>
  <c r="O584" i="6"/>
  <c r="P584" i="6"/>
  <c r="L585" i="6"/>
  <c r="K1414" i="13" s="1"/>
  <c r="N585" i="6"/>
  <c r="O585" i="6"/>
  <c r="P585" i="6"/>
  <c r="L586" i="6"/>
  <c r="K1415" i="13" s="1"/>
  <c r="N586" i="6"/>
  <c r="O586" i="6"/>
  <c r="P586" i="6"/>
  <c r="L587" i="6"/>
  <c r="K1416" i="13" s="1"/>
  <c r="N587" i="6"/>
  <c r="O587" i="6"/>
  <c r="P587" i="6"/>
  <c r="L588" i="6"/>
  <c r="K1417" i="13" s="1"/>
  <c r="N588" i="6"/>
  <c r="O588" i="6"/>
  <c r="P588" i="6"/>
  <c r="L589" i="6"/>
  <c r="K1418" i="13" s="1"/>
  <c r="N589" i="6"/>
  <c r="O589" i="6"/>
  <c r="P589" i="6"/>
  <c r="M1107" i="5"/>
  <c r="M1133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06" i="5"/>
  <c r="J503" i="13"/>
  <c r="J628" i="13"/>
  <c r="J1181" i="13"/>
  <c r="I1384" i="13"/>
  <c r="K1384" i="13"/>
  <c r="I1383" i="13"/>
  <c r="K1383" i="13"/>
  <c r="I1382" i="13"/>
  <c r="K1382" i="13"/>
  <c r="I1381" i="13"/>
  <c r="K1381" i="13"/>
  <c r="I1380" i="13"/>
  <c r="K1380" i="13"/>
  <c r="I1379" i="13"/>
  <c r="K1379" i="13"/>
  <c r="I1378" i="13"/>
  <c r="K1378" i="13"/>
  <c r="I1377" i="13"/>
  <c r="K1377" i="13"/>
  <c r="I1376" i="13"/>
  <c r="K1376" i="13"/>
  <c r="I1375" i="13"/>
  <c r="K1375" i="13"/>
  <c r="I1374" i="13"/>
  <c r="K1374" i="13"/>
  <c r="I1373" i="13"/>
  <c r="K1373" i="13"/>
  <c r="I1372" i="13"/>
  <c r="K1372" i="13"/>
  <c r="K1357" i="13"/>
  <c r="K1358" i="13"/>
  <c r="K1359" i="13"/>
  <c r="K1360" i="13"/>
  <c r="K1361" i="13"/>
  <c r="K1362" i="13"/>
  <c r="K1363" i="13"/>
  <c r="K1364" i="13"/>
  <c r="K1365" i="13"/>
  <c r="K1366" i="13"/>
  <c r="K1367" i="13"/>
  <c r="K1368" i="13"/>
  <c r="K1369" i="13"/>
  <c r="K1370" i="13"/>
  <c r="K1371" i="13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1092" i="5"/>
  <c r="M1092" i="5"/>
  <c r="N1092" i="5"/>
  <c r="O1092" i="5"/>
  <c r="L1093" i="5"/>
  <c r="M1093" i="5"/>
  <c r="N1093" i="5"/>
  <c r="O1093" i="5"/>
  <c r="L1094" i="5"/>
  <c r="M1094" i="5"/>
  <c r="N1094" i="5"/>
  <c r="O1094" i="5"/>
  <c r="L1095" i="5"/>
  <c r="M1095" i="5"/>
  <c r="N1095" i="5"/>
  <c r="O1095" i="5"/>
  <c r="L1096" i="5"/>
  <c r="M1096" i="5"/>
  <c r="N1096" i="5"/>
  <c r="O1096" i="5"/>
  <c r="L1097" i="5"/>
  <c r="M1097" i="5"/>
  <c r="N1097" i="5"/>
  <c r="O1097" i="5"/>
  <c r="L1098" i="5"/>
  <c r="M1098" i="5"/>
  <c r="N1098" i="5"/>
  <c r="O1098" i="5"/>
  <c r="L1099" i="5"/>
  <c r="M1099" i="5"/>
  <c r="N1099" i="5"/>
  <c r="O1099" i="5"/>
  <c r="L1100" i="5"/>
  <c r="M1100" i="5"/>
  <c r="N1100" i="5"/>
  <c r="O1100" i="5"/>
  <c r="L1101" i="5"/>
  <c r="M1101" i="5"/>
  <c r="N1101" i="5"/>
  <c r="O1101" i="5"/>
  <c r="L1102" i="5"/>
  <c r="M1102" i="5"/>
  <c r="N1102" i="5"/>
  <c r="O1102" i="5"/>
  <c r="L1103" i="5"/>
  <c r="M1103" i="5"/>
  <c r="N1103" i="5"/>
  <c r="O1103" i="5"/>
  <c r="L1104" i="5"/>
  <c r="M1104" i="5"/>
  <c r="N1104" i="5"/>
  <c r="O1104" i="5"/>
  <c r="L1105" i="5"/>
  <c r="M1105" i="5"/>
  <c r="N1105" i="5"/>
  <c r="O1105" i="5"/>
  <c r="M1106" i="5"/>
  <c r="N1106" i="5"/>
  <c r="O1106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2" i="5"/>
  <c r="J486" i="13"/>
  <c r="J99" i="13"/>
  <c r="N1132" i="5" l="1"/>
  <c r="O1132" i="5"/>
  <c r="N1131" i="5"/>
  <c r="O1131" i="5"/>
  <c r="N1130" i="5"/>
  <c r="O1130" i="5"/>
  <c r="N1129" i="5"/>
  <c r="O1129" i="5"/>
  <c r="N1128" i="5"/>
  <c r="O1128" i="5"/>
  <c r="N1127" i="5"/>
  <c r="O1127" i="5"/>
  <c r="N1126" i="5"/>
  <c r="O1126" i="5"/>
  <c r="N1125" i="5"/>
  <c r="O1125" i="5"/>
  <c r="N1124" i="5"/>
  <c r="O1124" i="5"/>
  <c r="N1123" i="5"/>
  <c r="O1123" i="5"/>
  <c r="N1122" i="5"/>
  <c r="O1122" i="5"/>
  <c r="N1121" i="5"/>
  <c r="O1121" i="5"/>
  <c r="N1120" i="5"/>
  <c r="O1120" i="5"/>
  <c r="N1119" i="5"/>
  <c r="O1119" i="5"/>
  <c r="N1118" i="5"/>
  <c r="O1118" i="5"/>
  <c r="N1117" i="5"/>
  <c r="O1117" i="5"/>
  <c r="N1116" i="5"/>
  <c r="O1116" i="5"/>
  <c r="N1115" i="5"/>
  <c r="O1115" i="5"/>
  <c r="N1114" i="5"/>
  <c r="O1114" i="5"/>
  <c r="N1113" i="5"/>
  <c r="O1113" i="5"/>
  <c r="N1112" i="5"/>
  <c r="O1112" i="5"/>
  <c r="N1111" i="5"/>
  <c r="O1111" i="5"/>
  <c r="N1110" i="5"/>
  <c r="O1110" i="5"/>
  <c r="N1109" i="5"/>
  <c r="O1109" i="5"/>
  <c r="N1108" i="5"/>
  <c r="O1108" i="5"/>
  <c r="N1133" i="5"/>
  <c r="O1133" i="5"/>
  <c r="N1107" i="5"/>
  <c r="O1107" i="5"/>
  <c r="O582" i="6"/>
  <c r="P582" i="6"/>
  <c r="O581" i="6"/>
  <c r="P581" i="6"/>
  <c r="O580" i="6"/>
  <c r="P580" i="6"/>
  <c r="O579" i="6"/>
  <c r="P579" i="6"/>
  <c r="O578" i="6"/>
  <c r="P578" i="6"/>
  <c r="O577" i="6"/>
  <c r="P577" i="6"/>
  <c r="O576" i="6"/>
  <c r="P576" i="6"/>
  <c r="O575" i="6"/>
  <c r="P575" i="6"/>
  <c r="O574" i="6"/>
  <c r="P574" i="6"/>
  <c r="O573" i="6"/>
  <c r="P573" i="6"/>
  <c r="O572" i="6"/>
  <c r="P572" i="6"/>
  <c r="O571" i="6"/>
  <c r="P571" i="6"/>
  <c r="O570" i="6"/>
  <c r="P570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2" i="5"/>
  <c r="K17" i="5"/>
  <c r="K18" i="5"/>
  <c r="K27" i="5"/>
  <c r="K28" i="5"/>
  <c r="K32" i="5"/>
  <c r="K36" i="5"/>
  <c r="K39" i="5"/>
  <c r="K40" i="5"/>
  <c r="K41" i="5"/>
  <c r="K42" i="5"/>
  <c r="K47" i="5"/>
  <c r="K51" i="5"/>
  <c r="K52" i="5"/>
  <c r="K53" i="5"/>
  <c r="K54" i="5"/>
  <c r="K55" i="5"/>
  <c r="K56" i="5"/>
  <c r="K57" i="5"/>
  <c r="K61" i="5"/>
  <c r="K62" i="5"/>
  <c r="K65" i="5"/>
  <c r="K66" i="5"/>
  <c r="K68" i="5"/>
  <c r="K69" i="5"/>
  <c r="K72" i="5"/>
  <c r="K75" i="5"/>
  <c r="K76" i="5"/>
  <c r="K79" i="5"/>
  <c r="K89" i="5"/>
  <c r="K90" i="5"/>
  <c r="K95" i="5"/>
  <c r="K96" i="5"/>
  <c r="K97" i="5"/>
  <c r="K99" i="5"/>
  <c r="K103" i="5"/>
  <c r="K105" i="5"/>
  <c r="K106" i="5"/>
  <c r="K107" i="5"/>
  <c r="K111" i="5"/>
  <c r="K112" i="5"/>
  <c r="K114" i="5"/>
  <c r="K116" i="5"/>
  <c r="K118" i="5"/>
  <c r="K119" i="5"/>
  <c r="K125" i="5"/>
  <c r="K127" i="5"/>
  <c r="K134" i="5"/>
  <c r="K135" i="5"/>
  <c r="K136" i="5"/>
  <c r="K140" i="5"/>
  <c r="K141" i="5"/>
  <c r="K142" i="5"/>
  <c r="K143" i="5"/>
  <c r="K146" i="5"/>
  <c r="K147" i="5"/>
  <c r="K149" i="5"/>
  <c r="K150" i="5"/>
  <c r="K151" i="5"/>
  <c r="K153" i="5"/>
  <c r="K154" i="5"/>
  <c r="K155" i="5"/>
  <c r="K156" i="5"/>
  <c r="K158" i="5"/>
  <c r="K160" i="5"/>
  <c r="K163" i="5"/>
  <c r="K164" i="5"/>
  <c r="K167" i="5"/>
  <c r="K168" i="5"/>
  <c r="K171" i="5"/>
  <c r="K174" i="5"/>
  <c r="K176" i="5"/>
  <c r="K180" i="5"/>
  <c r="K181" i="5"/>
  <c r="K182" i="5"/>
  <c r="K183" i="5"/>
  <c r="K185" i="5"/>
  <c r="K186" i="5"/>
  <c r="K188" i="5"/>
  <c r="K192" i="5"/>
  <c r="K193" i="5"/>
  <c r="K194" i="5"/>
  <c r="K196" i="5"/>
  <c r="K197" i="5"/>
  <c r="K198" i="5"/>
  <c r="K199" i="5"/>
  <c r="K204" i="5"/>
  <c r="K205" i="5"/>
  <c r="K207" i="5"/>
  <c r="K208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8" i="5"/>
  <c r="K232" i="5"/>
  <c r="K233" i="5"/>
  <c r="K235" i="5"/>
  <c r="K239" i="5"/>
  <c r="K241" i="5"/>
  <c r="K243" i="5"/>
  <c r="K247" i="5"/>
  <c r="K249" i="5"/>
  <c r="K250" i="5"/>
  <c r="K251" i="5"/>
  <c r="K253" i="5"/>
  <c r="K254" i="5"/>
  <c r="K259" i="5"/>
  <c r="K261" i="5"/>
  <c r="K262" i="5"/>
  <c r="K263" i="5"/>
  <c r="K264" i="5"/>
  <c r="K265" i="5"/>
  <c r="K267" i="5"/>
  <c r="K276" i="5"/>
  <c r="K278" i="5"/>
  <c r="K279" i="5"/>
  <c r="K282" i="5"/>
  <c r="K290" i="5"/>
  <c r="K295" i="5"/>
  <c r="K296" i="5"/>
  <c r="K298" i="5"/>
  <c r="K300" i="5"/>
  <c r="K313" i="5"/>
  <c r="K314" i="5"/>
  <c r="K316" i="5"/>
  <c r="K318" i="5"/>
  <c r="K320" i="5"/>
  <c r="K321" i="5"/>
  <c r="K327" i="5"/>
  <c r="K328" i="5"/>
  <c r="K329" i="5"/>
  <c r="K333" i="5"/>
  <c r="K334" i="5"/>
  <c r="K335" i="5"/>
  <c r="K336" i="5"/>
  <c r="K337" i="5"/>
  <c r="K341" i="5"/>
  <c r="K342" i="5"/>
  <c r="K343" i="5"/>
  <c r="K344" i="5"/>
  <c r="K345" i="5"/>
  <c r="K346" i="5"/>
  <c r="K347" i="5"/>
  <c r="K348" i="5"/>
  <c r="K350" i="5"/>
  <c r="K351" i="5"/>
  <c r="K353" i="5"/>
  <c r="K354" i="5"/>
  <c r="K355" i="5"/>
  <c r="K356" i="5"/>
  <c r="K357" i="5"/>
  <c r="K358" i="5"/>
  <c r="K361" i="5"/>
  <c r="K362" i="5"/>
  <c r="K363" i="5"/>
  <c r="K364" i="5"/>
  <c r="K365" i="5"/>
  <c r="K366" i="5"/>
  <c r="K369" i="5"/>
  <c r="K370" i="5"/>
  <c r="K371" i="5"/>
  <c r="K372" i="5"/>
  <c r="K373" i="5"/>
  <c r="K374" i="5"/>
  <c r="K376" i="5"/>
  <c r="K378" i="5"/>
  <c r="K379" i="5"/>
  <c r="K380" i="5"/>
  <c r="K381" i="5"/>
  <c r="K384" i="5"/>
  <c r="K385" i="5"/>
  <c r="K386" i="5"/>
  <c r="K391" i="5"/>
  <c r="K392" i="5"/>
  <c r="K393" i="5"/>
  <c r="K394" i="5"/>
  <c r="K396" i="5"/>
  <c r="K397" i="5"/>
  <c r="K398" i="5"/>
  <c r="K399" i="5"/>
  <c r="K400" i="5"/>
  <c r="K401" i="5"/>
  <c r="K402" i="5"/>
  <c r="K403" i="5"/>
  <c r="K407" i="5"/>
  <c r="K411" i="5"/>
  <c r="K412" i="5"/>
  <c r="K413" i="5"/>
  <c r="K414" i="5"/>
  <c r="K415" i="5"/>
  <c r="K417" i="5"/>
  <c r="K418" i="5"/>
  <c r="K419" i="5"/>
  <c r="K420" i="5"/>
  <c r="K421" i="5"/>
  <c r="K422" i="5"/>
  <c r="K423" i="5"/>
  <c r="K424" i="5"/>
  <c r="K425" i="5"/>
  <c r="K429" i="5"/>
  <c r="K430" i="5"/>
  <c r="K431" i="5"/>
  <c r="K432" i="5"/>
  <c r="K433" i="5"/>
  <c r="K434" i="5"/>
  <c r="K435" i="5"/>
  <c r="K438" i="5"/>
  <c r="K439" i="5"/>
  <c r="K440" i="5"/>
  <c r="K441" i="5"/>
  <c r="K442" i="5"/>
  <c r="K443" i="5"/>
  <c r="K444" i="5"/>
  <c r="K445" i="5"/>
  <c r="K447" i="5"/>
  <c r="K448" i="5"/>
  <c r="K450" i="5"/>
  <c r="K452" i="5"/>
  <c r="K453" i="5"/>
  <c r="K454" i="5"/>
  <c r="K455" i="5"/>
  <c r="K456" i="5"/>
  <c r="K457" i="5"/>
  <c r="K458" i="5"/>
  <c r="K463" i="5"/>
  <c r="K464" i="5"/>
  <c r="K465" i="5"/>
  <c r="K466" i="5"/>
  <c r="K467" i="5"/>
  <c r="K470" i="5"/>
  <c r="K471" i="5"/>
  <c r="K472" i="5"/>
  <c r="K473" i="5"/>
  <c r="K475" i="5"/>
  <c r="K476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4" i="5"/>
  <c r="K495" i="5"/>
  <c r="K496" i="5"/>
  <c r="K497" i="5"/>
  <c r="K498" i="5"/>
  <c r="K499" i="5"/>
  <c r="K501" i="5"/>
  <c r="K502" i="5"/>
  <c r="K503" i="5"/>
  <c r="K504" i="5"/>
  <c r="K505" i="5"/>
  <c r="K506" i="5"/>
  <c r="K507" i="5"/>
  <c r="K510" i="5"/>
  <c r="K511" i="5"/>
  <c r="K512" i="5"/>
  <c r="K513" i="5"/>
  <c r="K514" i="5"/>
  <c r="K515" i="5"/>
  <c r="K516" i="5"/>
  <c r="K518" i="5"/>
  <c r="K519" i="5"/>
  <c r="K521" i="5"/>
  <c r="K522" i="5"/>
  <c r="K523" i="5"/>
  <c r="K524" i="5"/>
  <c r="K525" i="5"/>
  <c r="K526" i="5"/>
  <c r="K528" i="5"/>
  <c r="K529" i="5"/>
  <c r="K530" i="5"/>
  <c r="K531" i="5"/>
  <c r="K532" i="5"/>
  <c r="K533" i="5"/>
  <c r="K534" i="5"/>
  <c r="K535" i="5"/>
  <c r="K537" i="5"/>
  <c r="K538" i="5"/>
  <c r="K539" i="5"/>
  <c r="K540" i="5"/>
  <c r="K542" i="5"/>
  <c r="K544" i="5"/>
  <c r="K545" i="5"/>
  <c r="K547" i="5"/>
  <c r="K548" i="5"/>
  <c r="K549" i="5"/>
  <c r="K550" i="5"/>
  <c r="K551" i="5"/>
  <c r="K552" i="5"/>
  <c r="K553" i="5"/>
  <c r="K554" i="5"/>
  <c r="K555" i="5"/>
  <c r="K558" i="5"/>
  <c r="K559" i="5"/>
  <c r="K560" i="5"/>
  <c r="K561" i="5"/>
  <c r="K565" i="5"/>
  <c r="K566" i="5"/>
  <c r="K567" i="5"/>
  <c r="K568" i="5"/>
  <c r="K571" i="5"/>
  <c r="K572" i="5"/>
  <c r="K573" i="5"/>
  <c r="K576" i="5"/>
  <c r="K577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600" i="5"/>
  <c r="K601" i="5"/>
  <c r="K602" i="5"/>
  <c r="K603" i="5"/>
  <c r="K604" i="5"/>
  <c r="K605" i="5"/>
  <c r="K606" i="5"/>
  <c r="K607" i="5"/>
  <c r="K608" i="5"/>
  <c r="K609" i="5"/>
  <c r="K611" i="5"/>
  <c r="K613" i="5"/>
  <c r="K614" i="5"/>
  <c r="K615" i="5"/>
  <c r="K617" i="5"/>
  <c r="K625" i="5"/>
  <c r="K628" i="5"/>
  <c r="K629" i="5"/>
  <c r="K630" i="5"/>
  <c r="K631" i="5"/>
  <c r="K634" i="5"/>
  <c r="K635" i="5"/>
  <c r="K636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6" i="5"/>
  <c r="K657" i="5"/>
  <c r="K658" i="5"/>
  <c r="K659" i="5"/>
  <c r="K660" i="5"/>
  <c r="K662" i="5"/>
  <c r="K663" i="5"/>
  <c r="K664" i="5"/>
  <c r="K666" i="5"/>
  <c r="K667" i="5"/>
  <c r="K668" i="5"/>
  <c r="K671" i="5"/>
  <c r="K672" i="5"/>
  <c r="K673" i="5"/>
  <c r="K674" i="5"/>
  <c r="K676" i="5"/>
  <c r="K677" i="5"/>
  <c r="K678" i="5"/>
  <c r="K679" i="5"/>
  <c r="K680" i="5"/>
  <c r="K681" i="5"/>
  <c r="K682" i="5"/>
  <c r="K683" i="5"/>
  <c r="K684" i="5"/>
  <c r="K686" i="5"/>
  <c r="K687" i="5"/>
  <c r="K688" i="5"/>
  <c r="K689" i="5"/>
  <c r="K690" i="5"/>
  <c r="K691" i="5"/>
  <c r="K693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9" i="5"/>
  <c r="K730" i="5"/>
  <c r="K731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7" i="5"/>
  <c r="K798" i="5"/>
  <c r="K799" i="5"/>
  <c r="K800" i="5"/>
  <c r="K801" i="5"/>
  <c r="K802" i="5"/>
  <c r="K803" i="5"/>
  <c r="K804" i="5"/>
  <c r="K805" i="5"/>
  <c r="K806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6" i="5"/>
  <c r="K839" i="5"/>
  <c r="K840" i="5"/>
  <c r="K841" i="5"/>
  <c r="K842" i="5"/>
  <c r="K843" i="5"/>
  <c r="K844" i="5"/>
  <c r="K845" i="5"/>
  <c r="K846" i="5"/>
  <c r="K850" i="5"/>
  <c r="K851" i="5"/>
  <c r="K852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9" i="5"/>
  <c r="K870" i="5"/>
  <c r="K871" i="5"/>
  <c r="K872" i="5"/>
  <c r="K873" i="5"/>
  <c r="K874" i="5"/>
  <c r="K875" i="5"/>
  <c r="K876" i="5"/>
  <c r="K877" i="5"/>
  <c r="K878" i="5"/>
  <c r="K879" i="5"/>
  <c r="K881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J2" i="13"/>
  <c r="J4" i="13"/>
  <c r="J6" i="13"/>
  <c r="J8" i="13"/>
  <c r="J10" i="13"/>
  <c r="J12" i="13"/>
  <c r="J14" i="13"/>
  <c r="J16" i="13"/>
  <c r="J18" i="13"/>
  <c r="J20" i="13"/>
  <c r="J22" i="13"/>
  <c r="J24" i="13"/>
  <c r="J26" i="13"/>
  <c r="J28" i="13"/>
  <c r="J30" i="13"/>
  <c r="J32" i="13"/>
  <c r="J34" i="13"/>
  <c r="J36" i="13"/>
  <c r="J38" i="13"/>
  <c r="J40" i="13"/>
  <c r="J42" i="13"/>
  <c r="J44" i="13"/>
  <c r="J46" i="13"/>
  <c r="J48" i="13"/>
  <c r="J50" i="13"/>
  <c r="J52" i="13"/>
  <c r="J54" i="13"/>
  <c r="J56" i="13"/>
  <c r="J58" i="13"/>
  <c r="J60" i="13"/>
  <c r="J62" i="13"/>
  <c r="J64" i="13"/>
  <c r="J66" i="13"/>
  <c r="J68" i="13"/>
  <c r="J70" i="13"/>
  <c r="J72" i="13"/>
  <c r="J74" i="13"/>
  <c r="J76" i="13"/>
  <c r="J78" i="13"/>
  <c r="J80" i="13"/>
  <c r="J82" i="13"/>
  <c r="J84" i="13"/>
  <c r="J86" i="13"/>
  <c r="J88" i="13"/>
  <c r="J90" i="13"/>
  <c r="J92" i="13"/>
  <c r="J94" i="13"/>
  <c r="J96" i="13"/>
  <c r="J98" i="13"/>
  <c r="J100" i="13"/>
  <c r="J102" i="13"/>
  <c r="J104" i="13"/>
  <c r="J106" i="13"/>
  <c r="J108" i="13"/>
  <c r="J110" i="13"/>
  <c r="J112" i="13"/>
  <c r="J114" i="13"/>
  <c r="J116" i="13"/>
  <c r="J118" i="13"/>
  <c r="J120" i="13"/>
  <c r="J122" i="13"/>
  <c r="J124" i="13"/>
  <c r="J126" i="13"/>
  <c r="J128" i="13"/>
  <c r="J130" i="13"/>
  <c r="J132" i="13"/>
  <c r="J134" i="13"/>
  <c r="J136" i="13"/>
  <c r="J138" i="13"/>
  <c r="J140" i="13"/>
  <c r="J142" i="13"/>
  <c r="J144" i="13"/>
  <c r="J146" i="13"/>
  <c r="J148" i="13"/>
  <c r="J150" i="13"/>
  <c r="J152" i="13"/>
  <c r="J154" i="13"/>
  <c r="J156" i="13"/>
  <c r="J158" i="13"/>
  <c r="J160" i="13"/>
  <c r="J162" i="13"/>
  <c r="J164" i="13"/>
  <c r="J166" i="13"/>
  <c r="J168" i="13"/>
  <c r="J170" i="13"/>
  <c r="J172" i="13"/>
  <c r="J174" i="13"/>
  <c r="J176" i="13"/>
  <c r="J178" i="13"/>
  <c r="J180" i="13"/>
  <c r="J182" i="13"/>
  <c r="J184" i="13"/>
  <c r="J186" i="13"/>
  <c r="J188" i="13"/>
  <c r="J190" i="13"/>
  <c r="J192" i="13"/>
  <c r="J194" i="13"/>
  <c r="J196" i="13"/>
  <c r="J198" i="13"/>
  <c r="J200" i="13"/>
  <c r="J202" i="13"/>
  <c r="J204" i="13"/>
  <c r="J206" i="13"/>
  <c r="J208" i="13"/>
  <c r="J210" i="13"/>
  <c r="J212" i="13"/>
  <c r="J214" i="13"/>
  <c r="J216" i="13"/>
  <c r="J218" i="13"/>
  <c r="J220" i="13"/>
  <c r="J222" i="13"/>
  <c r="J224" i="13"/>
  <c r="J226" i="13"/>
  <c r="J228" i="13"/>
  <c r="J230" i="13"/>
  <c r="J232" i="13"/>
  <c r="J234" i="13"/>
  <c r="J236" i="13"/>
  <c r="J238" i="13"/>
  <c r="J240" i="13"/>
  <c r="J242" i="13"/>
  <c r="J244" i="13"/>
  <c r="J246" i="13"/>
  <c r="J248" i="13"/>
  <c r="J250" i="13"/>
  <c r="J252" i="13"/>
  <c r="J254" i="13"/>
  <c r="J256" i="13"/>
  <c r="J258" i="13"/>
  <c r="J260" i="13"/>
  <c r="J262" i="13"/>
  <c r="J264" i="13"/>
  <c r="J266" i="13"/>
  <c r="J268" i="13"/>
  <c r="J270" i="13"/>
  <c r="J272" i="13"/>
  <c r="J274" i="13"/>
  <c r="J276" i="13"/>
  <c r="J278" i="13"/>
  <c r="J280" i="13"/>
  <c r="J282" i="13"/>
  <c r="J284" i="13"/>
  <c r="J286" i="13"/>
  <c r="J288" i="13"/>
  <c r="J290" i="13"/>
  <c r="J292" i="13"/>
  <c r="J294" i="13"/>
  <c r="J296" i="13"/>
  <c r="J298" i="13"/>
  <c r="J300" i="13"/>
  <c r="J302" i="13"/>
  <c r="J304" i="13"/>
  <c r="J306" i="13"/>
  <c r="J308" i="13"/>
  <c r="J310" i="13"/>
  <c r="J312" i="13"/>
  <c r="J314" i="13"/>
  <c r="J316" i="13"/>
  <c r="J318" i="13"/>
  <c r="J320" i="13"/>
  <c r="J322" i="13"/>
  <c r="J324" i="13"/>
  <c r="J326" i="13"/>
  <c r="J328" i="13"/>
  <c r="J330" i="13"/>
  <c r="J332" i="13"/>
  <c r="J334" i="13"/>
  <c r="J336" i="13"/>
  <c r="J338" i="13"/>
  <c r="J340" i="13"/>
  <c r="J342" i="13"/>
  <c r="J344" i="13"/>
  <c r="J346" i="13"/>
  <c r="J348" i="13"/>
  <c r="J350" i="13"/>
  <c r="J352" i="13"/>
  <c r="J354" i="13"/>
  <c r="J356" i="13"/>
  <c r="J358" i="13"/>
  <c r="J360" i="13"/>
  <c r="J362" i="13"/>
  <c r="J364" i="13"/>
  <c r="J366" i="13"/>
  <c r="J368" i="13"/>
  <c r="J370" i="13"/>
  <c r="J372" i="13"/>
  <c r="J374" i="13"/>
  <c r="J376" i="13"/>
  <c r="J378" i="13"/>
  <c r="J380" i="13"/>
  <c r="J382" i="13"/>
  <c r="J384" i="13"/>
  <c r="J386" i="13"/>
  <c r="J388" i="13"/>
  <c r="J390" i="13"/>
  <c r="J392" i="13"/>
  <c r="J394" i="13"/>
  <c r="J396" i="13"/>
  <c r="J398" i="13"/>
  <c r="J400" i="13"/>
  <c r="J402" i="13"/>
  <c r="J404" i="13"/>
  <c r="J406" i="13"/>
  <c r="J408" i="13"/>
  <c r="J410" i="13"/>
  <c r="J412" i="13"/>
  <c r="J414" i="13"/>
  <c r="J416" i="13"/>
  <c r="J418" i="13"/>
  <c r="J420" i="13"/>
  <c r="J422" i="13"/>
  <c r="J424" i="13"/>
  <c r="J426" i="13"/>
  <c r="J428" i="13"/>
  <c r="J430" i="13"/>
  <c r="J432" i="13"/>
  <c r="J434" i="13"/>
  <c r="J436" i="13"/>
  <c r="J438" i="13"/>
  <c r="J440" i="13"/>
  <c r="J442" i="13"/>
  <c r="J444" i="13"/>
  <c r="J446" i="13"/>
  <c r="J448" i="13"/>
  <c r="J450" i="13"/>
  <c r="J452" i="13"/>
  <c r="J454" i="13"/>
  <c r="J456" i="13"/>
  <c r="J458" i="13"/>
  <c r="J460" i="13"/>
  <c r="J462" i="13"/>
  <c r="J464" i="13"/>
  <c r="J466" i="13"/>
  <c r="J468" i="13"/>
  <c r="J470" i="13"/>
  <c r="J472" i="13"/>
  <c r="J474" i="13"/>
  <c r="J476" i="13"/>
  <c r="J478" i="13"/>
  <c r="J480" i="13"/>
  <c r="J482" i="13"/>
  <c r="J484" i="13"/>
  <c r="J488" i="13"/>
  <c r="J490" i="13"/>
  <c r="J492" i="13"/>
  <c r="J494" i="13"/>
  <c r="J496" i="13"/>
  <c r="J498" i="13"/>
  <c r="J500" i="13"/>
  <c r="J502" i="13"/>
  <c r="J504" i="13"/>
  <c r="J506" i="13"/>
  <c r="J508" i="13"/>
  <c r="J510" i="13"/>
  <c r="J512" i="13"/>
  <c r="J514" i="13"/>
  <c r="J516" i="13"/>
  <c r="J518" i="13"/>
  <c r="J520" i="13"/>
  <c r="J522" i="13"/>
  <c r="J524" i="13"/>
  <c r="J526" i="13"/>
  <c r="J528" i="13"/>
  <c r="J530" i="13"/>
  <c r="J3" i="13"/>
  <c r="J5" i="13"/>
  <c r="J7" i="13"/>
  <c r="J9" i="13"/>
  <c r="J11" i="13"/>
  <c r="J13" i="13"/>
  <c r="J15" i="13"/>
  <c r="J17" i="13"/>
  <c r="J19" i="13"/>
  <c r="J21" i="13"/>
  <c r="J23" i="13"/>
  <c r="J25" i="13"/>
  <c r="J27" i="13"/>
  <c r="J29" i="13"/>
  <c r="J31" i="13"/>
  <c r="J33" i="13"/>
  <c r="K33" i="13" s="1"/>
  <c r="J35" i="13"/>
  <c r="K35" i="13" s="1"/>
  <c r="J37" i="13"/>
  <c r="J39" i="13"/>
  <c r="J41" i="13"/>
  <c r="J43" i="13"/>
  <c r="J45" i="13"/>
  <c r="J47" i="13"/>
  <c r="J49" i="13"/>
  <c r="J51" i="13"/>
  <c r="J53" i="13"/>
  <c r="K53" i="13" s="1"/>
  <c r="J55" i="13"/>
  <c r="K55" i="13" s="1"/>
  <c r="J57" i="13"/>
  <c r="J59" i="13"/>
  <c r="J61" i="13"/>
  <c r="J63" i="13"/>
  <c r="K63" i="13" s="1"/>
  <c r="J65" i="13"/>
  <c r="J67" i="13"/>
  <c r="J69" i="13"/>
  <c r="J71" i="13"/>
  <c r="K71" i="13" s="1"/>
  <c r="J73" i="13"/>
  <c r="J75" i="13"/>
  <c r="J77" i="13"/>
  <c r="K77" i="13" s="1"/>
  <c r="J79" i="13"/>
  <c r="K79" i="13" s="1"/>
  <c r="J81" i="13"/>
  <c r="K81" i="13" s="1"/>
  <c r="J83" i="13"/>
  <c r="K83" i="13" s="1"/>
  <c r="J85" i="13"/>
  <c r="J87" i="13"/>
  <c r="J89" i="13"/>
  <c r="J91" i="13"/>
  <c r="J93" i="13"/>
  <c r="K93" i="13" s="1"/>
  <c r="J95" i="13"/>
  <c r="J97" i="13"/>
  <c r="J101" i="13"/>
  <c r="K101" i="13" s="1"/>
  <c r="J103" i="13"/>
  <c r="K103" i="13" s="1"/>
  <c r="J105" i="13"/>
  <c r="K105" i="13" s="1"/>
  <c r="J107" i="13"/>
  <c r="K107" i="13" s="1"/>
  <c r="J109" i="13"/>
  <c r="K109" i="13" s="1"/>
  <c r="J111" i="13"/>
  <c r="K111" i="13" s="1"/>
  <c r="J113" i="13"/>
  <c r="K113" i="13" s="1"/>
  <c r="J115" i="13"/>
  <c r="J117" i="13"/>
  <c r="J119" i="13"/>
  <c r="J121" i="13"/>
  <c r="K121" i="13" s="1"/>
  <c r="J123" i="13"/>
  <c r="K123" i="13" s="1"/>
  <c r="J125" i="13"/>
  <c r="J127" i="13"/>
  <c r="J129" i="13"/>
  <c r="K129" i="13" s="1"/>
  <c r="J131" i="13"/>
  <c r="K131" i="13" s="1"/>
  <c r="J133" i="13"/>
  <c r="J135" i="13"/>
  <c r="K135" i="13" s="1"/>
  <c r="J137" i="13"/>
  <c r="K137" i="13" s="1"/>
  <c r="J139" i="13"/>
  <c r="J141" i="13"/>
  <c r="J143" i="13"/>
  <c r="K143" i="13" s="1"/>
  <c r="J145" i="13"/>
  <c r="J147" i="13"/>
  <c r="J149" i="13"/>
  <c r="K149" i="13" s="1"/>
  <c r="J151" i="13"/>
  <c r="K151" i="13" s="1"/>
  <c r="J153" i="13"/>
  <c r="J155" i="13"/>
  <c r="J157" i="13"/>
  <c r="K157" i="13" s="1"/>
  <c r="J159" i="13"/>
  <c r="J161" i="13"/>
  <c r="J163" i="13"/>
  <c r="J165" i="13"/>
  <c r="J167" i="13"/>
  <c r="J169" i="13"/>
  <c r="J171" i="13"/>
  <c r="J173" i="13"/>
  <c r="J175" i="13"/>
  <c r="J177" i="13"/>
  <c r="K177" i="13" s="1"/>
  <c r="J179" i="13"/>
  <c r="K179" i="13" s="1"/>
  <c r="J181" i="13"/>
  <c r="J183" i="13"/>
  <c r="J185" i="13"/>
  <c r="J187" i="13"/>
  <c r="J189" i="13"/>
  <c r="K189" i="13" s="1"/>
  <c r="J191" i="13"/>
  <c r="K191" i="13" s="1"/>
  <c r="J193" i="13"/>
  <c r="K193" i="13" s="1"/>
  <c r="J195" i="13"/>
  <c r="J197" i="13"/>
  <c r="K197" i="13" s="1"/>
  <c r="J199" i="13"/>
  <c r="J201" i="13"/>
  <c r="J203" i="13"/>
  <c r="J205" i="13"/>
  <c r="K205" i="13" s="1"/>
  <c r="J207" i="13"/>
  <c r="J209" i="13"/>
  <c r="K209" i="13" s="1"/>
  <c r="J211" i="13"/>
  <c r="K211" i="13" s="1"/>
  <c r="J213" i="13"/>
  <c r="K213" i="13" s="1"/>
  <c r="J215" i="13"/>
  <c r="J217" i="13"/>
  <c r="J219" i="13"/>
  <c r="J221" i="13"/>
  <c r="K221" i="13" s="1"/>
  <c r="J223" i="13"/>
  <c r="K223" i="13" s="1"/>
  <c r="J225" i="13"/>
  <c r="J227" i="13"/>
  <c r="K227" i="13" s="1"/>
  <c r="J229" i="13"/>
  <c r="J231" i="13"/>
  <c r="K231" i="13" s="1"/>
  <c r="J233" i="13"/>
  <c r="J235" i="13"/>
  <c r="K235" i="13" s="1"/>
  <c r="J237" i="13"/>
  <c r="K237" i="13" s="1"/>
  <c r="J239" i="13"/>
  <c r="J241" i="13"/>
  <c r="J243" i="13"/>
  <c r="J245" i="13"/>
  <c r="K245" i="13" s="1"/>
  <c r="J247" i="13"/>
  <c r="J249" i="13"/>
  <c r="K249" i="13" s="1"/>
  <c r="J251" i="13"/>
  <c r="J253" i="13"/>
  <c r="K253" i="13" s="1"/>
  <c r="J255" i="13"/>
  <c r="J257" i="13"/>
  <c r="J259" i="13"/>
  <c r="J261" i="13"/>
  <c r="J263" i="13"/>
  <c r="J265" i="13"/>
  <c r="J267" i="13"/>
  <c r="K267" i="13" s="1"/>
  <c r="J269" i="13"/>
  <c r="K269" i="13" s="1"/>
  <c r="J271" i="13"/>
  <c r="K271" i="13" s="1"/>
  <c r="J273" i="13"/>
  <c r="J275" i="13"/>
  <c r="J277" i="13"/>
  <c r="J279" i="13"/>
  <c r="K279" i="13" s="1"/>
  <c r="J281" i="13"/>
  <c r="K281" i="13" s="1"/>
  <c r="J283" i="13"/>
  <c r="K283" i="13" s="1"/>
  <c r="J285" i="13"/>
  <c r="K285" i="13" s="1"/>
  <c r="J287" i="13"/>
  <c r="J289" i="13"/>
  <c r="J291" i="13"/>
  <c r="K291" i="13" s="1"/>
  <c r="J293" i="13"/>
  <c r="K293" i="13" s="1"/>
  <c r="J295" i="13"/>
  <c r="J297" i="13"/>
  <c r="K297" i="13" s="1"/>
  <c r="J299" i="13"/>
  <c r="K299" i="13" s="1"/>
  <c r="J301" i="13"/>
  <c r="K301" i="13" s="1"/>
  <c r="J303" i="13"/>
  <c r="J305" i="13"/>
  <c r="K305" i="13" s="1"/>
  <c r="J307" i="13"/>
  <c r="K307" i="13" s="1"/>
  <c r="J309" i="13"/>
  <c r="K309" i="13" s="1"/>
  <c r="J311" i="13"/>
  <c r="K311" i="13" s="1"/>
  <c r="J313" i="13"/>
  <c r="J315" i="13"/>
  <c r="K315" i="13" s="1"/>
  <c r="J317" i="13"/>
  <c r="J319" i="13"/>
  <c r="K319" i="13" s="1"/>
  <c r="J321" i="13"/>
  <c r="J323" i="13"/>
  <c r="J325" i="13"/>
  <c r="K325" i="13" s="1"/>
  <c r="J327" i="13"/>
  <c r="K327" i="13" s="1"/>
  <c r="J329" i="13"/>
  <c r="J331" i="13"/>
  <c r="J333" i="13"/>
  <c r="K333" i="13" s="1"/>
  <c r="J335" i="13"/>
  <c r="K335" i="13" s="1"/>
  <c r="J337" i="13"/>
  <c r="J339" i="13"/>
  <c r="J341" i="13"/>
  <c r="K341" i="13" s="1"/>
  <c r="J343" i="13"/>
  <c r="J345" i="13"/>
  <c r="J347" i="13"/>
  <c r="K347" i="13" s="1"/>
  <c r="J349" i="13"/>
  <c r="J351" i="13"/>
  <c r="K351" i="13" s="1"/>
  <c r="J353" i="13"/>
  <c r="J355" i="13"/>
  <c r="J357" i="13"/>
  <c r="J359" i="13"/>
  <c r="K359" i="13" s="1"/>
  <c r="J361" i="13"/>
  <c r="K361" i="13" s="1"/>
  <c r="J363" i="13"/>
  <c r="K363" i="13" s="1"/>
  <c r="J365" i="13"/>
  <c r="K365" i="13" s="1"/>
  <c r="J367" i="13"/>
  <c r="J369" i="13"/>
  <c r="K369" i="13" s="1"/>
  <c r="J371" i="13"/>
  <c r="K371" i="13" s="1"/>
  <c r="J373" i="13"/>
  <c r="J375" i="13"/>
  <c r="K375" i="13" s="1"/>
  <c r="J377" i="13"/>
  <c r="J379" i="13"/>
  <c r="J381" i="13"/>
  <c r="J383" i="13"/>
  <c r="K383" i="13" s="1"/>
  <c r="J385" i="13"/>
  <c r="K385" i="13" s="1"/>
  <c r="J387" i="13"/>
  <c r="K387" i="13" s="1"/>
  <c r="J389" i="13"/>
  <c r="J391" i="13"/>
  <c r="K391" i="13" s="1"/>
  <c r="J393" i="13"/>
  <c r="K393" i="13" s="1"/>
  <c r="J395" i="13"/>
  <c r="K395" i="13" s="1"/>
  <c r="J397" i="13"/>
  <c r="K397" i="13" s="1"/>
  <c r="J399" i="13"/>
  <c r="J401" i="13"/>
  <c r="J403" i="13"/>
  <c r="J405" i="13"/>
  <c r="J407" i="13"/>
  <c r="K407" i="13" s="1"/>
  <c r="J409" i="13"/>
  <c r="K409" i="13" s="1"/>
  <c r="J411" i="13"/>
  <c r="J413" i="13"/>
  <c r="K413" i="13" s="1"/>
  <c r="J415" i="13"/>
  <c r="K415" i="13" s="1"/>
  <c r="J417" i="13"/>
  <c r="J419" i="13"/>
  <c r="J421" i="13"/>
  <c r="J423" i="13"/>
  <c r="J425" i="13"/>
  <c r="K425" i="13" s="1"/>
  <c r="J427" i="13"/>
  <c r="K427" i="13" s="1"/>
  <c r="J429" i="13"/>
  <c r="K429" i="13" s="1"/>
  <c r="J431" i="13"/>
  <c r="K431" i="13" s="1"/>
  <c r="J433" i="13"/>
  <c r="K433" i="13" s="1"/>
  <c r="J435" i="13"/>
  <c r="K435" i="13" s="1"/>
  <c r="J437" i="13"/>
  <c r="K437" i="13" s="1"/>
  <c r="J439" i="13"/>
  <c r="K439" i="13" s="1"/>
  <c r="J441" i="13"/>
  <c r="K441" i="13" s="1"/>
  <c r="J443" i="13"/>
  <c r="K443" i="13" s="1"/>
  <c r="J445" i="13"/>
  <c r="K445" i="13" s="1"/>
  <c r="J447" i="13"/>
  <c r="K447" i="13" s="1"/>
  <c r="J449" i="13"/>
  <c r="K449" i="13" s="1"/>
  <c r="J451" i="13"/>
  <c r="J453" i="13"/>
  <c r="J455" i="13"/>
  <c r="K455" i="13" s="1"/>
  <c r="J457" i="13"/>
  <c r="J459" i="13"/>
  <c r="J461" i="13"/>
  <c r="J463" i="13"/>
  <c r="K463" i="13" s="1"/>
  <c r="J465" i="13"/>
  <c r="K465" i="13" s="1"/>
  <c r="J467" i="13"/>
  <c r="J469" i="13"/>
  <c r="K469" i="13" s="1"/>
  <c r="J471" i="13"/>
  <c r="J473" i="13"/>
  <c r="J475" i="13"/>
  <c r="J477" i="13"/>
  <c r="K477" i="13" s="1"/>
  <c r="J479" i="13"/>
  <c r="J481" i="13"/>
  <c r="K481" i="13" s="1"/>
  <c r="J483" i="13"/>
  <c r="J485" i="13"/>
  <c r="K485" i="13" s="1"/>
  <c r="J487" i="13"/>
  <c r="J489" i="13"/>
  <c r="J491" i="13"/>
  <c r="J493" i="13"/>
  <c r="K493" i="13" s="1"/>
  <c r="J495" i="13"/>
  <c r="J497" i="13"/>
  <c r="K497" i="13" s="1"/>
  <c r="J499" i="13"/>
  <c r="K499" i="13" s="1"/>
  <c r="J501" i="13"/>
  <c r="K501" i="13" s="1"/>
  <c r="J505" i="13"/>
  <c r="K505" i="13" s="1"/>
  <c r="J507" i="13"/>
  <c r="K507" i="13" s="1"/>
  <c r="J509" i="13"/>
  <c r="J511" i="13"/>
  <c r="J513" i="13"/>
  <c r="J515" i="13"/>
  <c r="J517" i="13"/>
  <c r="K517" i="13" s="1"/>
  <c r="J519" i="13"/>
  <c r="J521" i="13"/>
  <c r="K521" i="13" s="1"/>
  <c r="J523" i="13"/>
  <c r="K523" i="13" s="1"/>
  <c r="J525" i="13"/>
  <c r="K525" i="13" s="1"/>
  <c r="J527" i="13"/>
  <c r="K527" i="13" s="1"/>
  <c r="J529" i="13"/>
  <c r="K529" i="13" s="1"/>
  <c r="J531" i="13"/>
  <c r="J532" i="13"/>
  <c r="K532" i="13" s="1"/>
  <c r="J533" i="13"/>
  <c r="J534" i="13"/>
  <c r="J535" i="13"/>
  <c r="J536" i="13"/>
  <c r="J537" i="13"/>
  <c r="J538" i="13"/>
  <c r="J539" i="13"/>
  <c r="J540" i="13"/>
  <c r="J541" i="13"/>
  <c r="K541" i="13" s="1"/>
  <c r="J542" i="13"/>
  <c r="J543" i="13"/>
  <c r="K543" i="13" s="1"/>
  <c r="J544" i="13"/>
  <c r="K544" i="13" s="1"/>
  <c r="J545" i="13"/>
  <c r="J546" i="13"/>
  <c r="J547" i="13"/>
  <c r="K547" i="13" s="1"/>
  <c r="J548" i="13"/>
  <c r="J549" i="13"/>
  <c r="J550" i="13"/>
  <c r="J551" i="13"/>
  <c r="J552" i="13"/>
  <c r="J553" i="13"/>
  <c r="J554" i="13"/>
  <c r="J555" i="13"/>
  <c r="K555" i="13" s="1"/>
  <c r="J556" i="13"/>
  <c r="J557" i="13"/>
  <c r="J558" i="13"/>
  <c r="J559" i="13"/>
  <c r="J560" i="13"/>
  <c r="K560" i="13" s="1"/>
  <c r="J561" i="13"/>
  <c r="K561" i="13" s="1"/>
  <c r="J562" i="13"/>
  <c r="J563" i="13"/>
  <c r="K563" i="13" s="1"/>
  <c r="J564" i="13"/>
  <c r="J565" i="13"/>
  <c r="K565" i="13" s="1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K578" i="13" s="1"/>
  <c r="J579" i="13"/>
  <c r="K579" i="13" s="1"/>
  <c r="J580" i="13"/>
  <c r="J581" i="13"/>
  <c r="K581" i="13" s="1"/>
  <c r="J582" i="13"/>
  <c r="J583" i="13"/>
  <c r="K583" i="13" s="1"/>
  <c r="J584" i="13"/>
  <c r="J585" i="13"/>
  <c r="K585" i="13" s="1"/>
  <c r="J586" i="13"/>
  <c r="K586" i="13" s="1"/>
  <c r="J587" i="13"/>
  <c r="J588" i="13"/>
  <c r="J589" i="13"/>
  <c r="J590" i="13"/>
  <c r="J591" i="13"/>
  <c r="J592" i="13"/>
  <c r="K592" i="13" s="1"/>
  <c r="J593" i="13"/>
  <c r="K593" i="13" s="1"/>
  <c r="J594" i="13"/>
  <c r="K594" i="13" s="1"/>
  <c r="J595" i="13"/>
  <c r="J596" i="13"/>
  <c r="J597" i="13"/>
  <c r="J598" i="13"/>
  <c r="K598" i="13" s="1"/>
  <c r="J599" i="13"/>
  <c r="K599" i="13" s="1"/>
  <c r="J600" i="13"/>
  <c r="K600" i="13" s="1"/>
  <c r="J601" i="13"/>
  <c r="K601" i="13" s="1"/>
  <c r="J602" i="13"/>
  <c r="K602" i="13" s="1"/>
  <c r="J603" i="13"/>
  <c r="J604" i="13"/>
  <c r="J605" i="13"/>
  <c r="J606" i="13"/>
  <c r="K606" i="13" s="1"/>
  <c r="J607" i="13"/>
  <c r="K607" i="13" s="1"/>
  <c r="J608" i="13"/>
  <c r="K608" i="13" s="1"/>
  <c r="J609" i="13"/>
  <c r="K609" i="13" s="1"/>
  <c r="J610" i="13"/>
  <c r="K610" i="13" s="1"/>
  <c r="J611" i="13"/>
  <c r="K611" i="13" s="1"/>
  <c r="J612" i="13"/>
  <c r="K612" i="13" s="1"/>
  <c r="J613" i="13"/>
  <c r="K613" i="13" s="1"/>
  <c r="J614" i="13"/>
  <c r="J615" i="13"/>
  <c r="K615" i="13" s="1"/>
  <c r="J616" i="13"/>
  <c r="K616" i="13" s="1"/>
  <c r="J617" i="13"/>
  <c r="J618" i="13"/>
  <c r="K618" i="13" s="1"/>
  <c r="J619" i="13"/>
  <c r="K619" i="13" s="1"/>
  <c r="J620" i="13"/>
  <c r="K620" i="13" s="1"/>
  <c r="J621" i="13"/>
  <c r="K621" i="13" s="1"/>
  <c r="J622" i="13"/>
  <c r="K622" i="13" s="1"/>
  <c r="J623" i="13"/>
  <c r="K623" i="13" s="1"/>
  <c r="J624" i="13"/>
  <c r="J625" i="13"/>
  <c r="J626" i="13"/>
  <c r="K626" i="13" s="1"/>
  <c r="J627" i="13"/>
  <c r="K627" i="13" s="1"/>
  <c r="K628" i="13"/>
  <c r="J629" i="13"/>
  <c r="K629" i="13" s="1"/>
  <c r="J630" i="13"/>
  <c r="K630" i="13" s="1"/>
  <c r="J631" i="13"/>
  <c r="K631" i="13" s="1"/>
  <c r="J632" i="13"/>
  <c r="J633" i="13"/>
  <c r="J634" i="13"/>
  <c r="K634" i="13" s="1"/>
  <c r="J635" i="13"/>
  <c r="K635" i="13" s="1"/>
  <c r="J636" i="13"/>
  <c r="K636" i="13" s="1"/>
  <c r="J637" i="13"/>
  <c r="K637" i="13" s="1"/>
  <c r="J638" i="13"/>
  <c r="K638" i="13" s="1"/>
  <c r="J639" i="13"/>
  <c r="K639" i="13" s="1"/>
  <c r="J640" i="13"/>
  <c r="J641" i="13"/>
  <c r="K641" i="13" s="1"/>
  <c r="J642" i="13"/>
  <c r="J643" i="13"/>
  <c r="K643" i="13" s="1"/>
  <c r="J644" i="13"/>
  <c r="K644" i="13" s="1"/>
  <c r="J645" i="13"/>
  <c r="K645" i="13" s="1"/>
  <c r="J646" i="13"/>
  <c r="K646" i="13" s="1"/>
  <c r="J647" i="13"/>
  <c r="J648" i="13"/>
  <c r="J649" i="13"/>
  <c r="K649" i="13" s="1"/>
  <c r="J650" i="13"/>
  <c r="K650" i="13" s="1"/>
  <c r="J651" i="13"/>
  <c r="K651" i="13" s="1"/>
  <c r="J652" i="13"/>
  <c r="J653" i="13"/>
  <c r="J654" i="13"/>
  <c r="J655" i="13"/>
  <c r="J656" i="13"/>
  <c r="K656" i="13" s="1"/>
  <c r="J657" i="13"/>
  <c r="K657" i="13" s="1"/>
  <c r="J658" i="13"/>
  <c r="K658" i="13" s="1"/>
  <c r="J659" i="13"/>
  <c r="K659" i="13" s="1"/>
  <c r="J660" i="13"/>
  <c r="J661" i="13"/>
  <c r="K661" i="13" s="1"/>
  <c r="J662" i="13"/>
  <c r="K662" i="13" s="1"/>
  <c r="J663" i="13"/>
  <c r="K663" i="13" s="1"/>
  <c r="J664" i="13"/>
  <c r="K664" i="13" s="1"/>
  <c r="J665" i="13"/>
  <c r="K665" i="13" s="1"/>
  <c r="J666" i="13"/>
  <c r="K666" i="13" s="1"/>
  <c r="J667" i="13"/>
  <c r="K667" i="13" s="1"/>
  <c r="J668" i="13"/>
  <c r="K668" i="13" s="1"/>
  <c r="J669" i="13"/>
  <c r="J670" i="13"/>
  <c r="J671" i="13"/>
  <c r="J672" i="13"/>
  <c r="K672" i="13" s="1"/>
  <c r="J673" i="13"/>
  <c r="J674" i="13"/>
  <c r="J675" i="13"/>
  <c r="J676" i="13"/>
  <c r="K676" i="13" s="1"/>
  <c r="J677" i="13"/>
  <c r="K677" i="13" s="1"/>
  <c r="J678" i="13"/>
  <c r="K678" i="13" s="1"/>
  <c r="J679" i="13"/>
  <c r="K679" i="13" s="1"/>
  <c r="J680" i="13"/>
  <c r="K680" i="13" s="1"/>
  <c r="J681" i="13"/>
  <c r="J682" i="13"/>
  <c r="K682" i="13" s="1"/>
  <c r="J683" i="13"/>
  <c r="K683" i="13" s="1"/>
  <c r="J684" i="13"/>
  <c r="K684" i="13" s="1"/>
  <c r="J685" i="13"/>
  <c r="K685" i="13" s="1"/>
  <c r="J686" i="13"/>
  <c r="K686" i="13" s="1"/>
  <c r="J687" i="13"/>
  <c r="K687" i="13" s="1"/>
  <c r="J688" i="13"/>
  <c r="K688" i="13" s="1"/>
  <c r="J689" i="13"/>
  <c r="K689" i="13" s="1"/>
  <c r="J690" i="13"/>
  <c r="K690" i="13" s="1"/>
  <c r="J691" i="13"/>
  <c r="J692" i="13"/>
  <c r="J693" i="13"/>
  <c r="J694" i="13"/>
  <c r="K694" i="13" s="1"/>
  <c r="J695" i="13"/>
  <c r="K695" i="13" s="1"/>
  <c r="J696" i="13"/>
  <c r="K696" i="13" s="1"/>
  <c r="J697" i="13"/>
  <c r="K697" i="13" s="1"/>
  <c r="J698" i="13"/>
  <c r="K698" i="13" s="1"/>
  <c r="J699" i="13"/>
  <c r="K699" i="13" s="1"/>
  <c r="J700" i="13"/>
  <c r="K700" i="13" s="1"/>
  <c r="J701" i="13"/>
  <c r="J702" i="13"/>
  <c r="J703" i="13"/>
  <c r="K703" i="13" s="1"/>
  <c r="J704" i="13"/>
  <c r="K704" i="13" s="1"/>
  <c r="J705" i="13"/>
  <c r="K705" i="13" s="1"/>
  <c r="J706" i="13"/>
  <c r="K706" i="13" s="1"/>
  <c r="J707" i="13"/>
  <c r="K707" i="13" s="1"/>
  <c r="J708" i="13"/>
  <c r="K708" i="13" s="1"/>
  <c r="J709" i="13"/>
  <c r="K709" i="13" s="1"/>
  <c r="J710" i="13"/>
  <c r="K710" i="13" s="1"/>
  <c r="J711" i="13"/>
  <c r="J712" i="13"/>
  <c r="K712" i="13" s="1"/>
  <c r="J713" i="13"/>
  <c r="K713" i="13" s="1"/>
  <c r="J714" i="13"/>
  <c r="J715" i="13"/>
  <c r="K715" i="13" s="1"/>
  <c r="J716" i="13"/>
  <c r="J717" i="13"/>
  <c r="K717" i="13" s="1"/>
  <c r="J718" i="13"/>
  <c r="K718" i="13" s="1"/>
  <c r="J719" i="13"/>
  <c r="K719" i="13" s="1"/>
  <c r="J720" i="13"/>
  <c r="K720" i="13" s="1"/>
  <c r="J721" i="13"/>
  <c r="K721" i="13" s="1"/>
  <c r="J722" i="13"/>
  <c r="K722" i="13" s="1"/>
  <c r="J723" i="13"/>
  <c r="K723" i="13" s="1"/>
  <c r="J724" i="13"/>
  <c r="J725" i="13"/>
  <c r="J726" i="13"/>
  <c r="J727" i="13"/>
  <c r="J728" i="13"/>
  <c r="K728" i="13" s="1"/>
  <c r="J729" i="13"/>
  <c r="K729" i="13" s="1"/>
  <c r="J730" i="13"/>
  <c r="K730" i="13" s="1"/>
  <c r="J731" i="13"/>
  <c r="K731" i="13" s="1"/>
  <c r="J732" i="13"/>
  <c r="K732" i="13" s="1"/>
  <c r="J733" i="13"/>
  <c r="J734" i="13"/>
  <c r="J735" i="13"/>
  <c r="K735" i="13" s="1"/>
  <c r="J736" i="13"/>
  <c r="K736" i="13" s="1"/>
  <c r="J737" i="13"/>
  <c r="K737" i="13" s="1"/>
  <c r="J738" i="13"/>
  <c r="K738" i="13" s="1"/>
  <c r="J739" i="13"/>
  <c r="J740" i="13"/>
  <c r="K740" i="13" s="1"/>
  <c r="J741" i="13"/>
  <c r="K741" i="13" s="1"/>
  <c r="J742" i="13"/>
  <c r="J743" i="13"/>
  <c r="K743" i="13" s="1"/>
  <c r="J744" i="13"/>
  <c r="K744" i="13" s="1"/>
  <c r="J745" i="13"/>
  <c r="K745" i="13" s="1"/>
  <c r="J746" i="13"/>
  <c r="K746" i="13" s="1"/>
  <c r="J747" i="13"/>
  <c r="K747" i="13" s="1"/>
  <c r="J748" i="13"/>
  <c r="K748" i="13" s="1"/>
  <c r="J749" i="13"/>
  <c r="K749" i="13" s="1"/>
  <c r="J750" i="13"/>
  <c r="K750" i="13" s="1"/>
  <c r="J751" i="13"/>
  <c r="K751" i="13" s="1"/>
  <c r="J752" i="13"/>
  <c r="K752" i="13" s="1"/>
  <c r="J753" i="13"/>
  <c r="K753" i="13" s="1"/>
  <c r="J754" i="13"/>
  <c r="K754" i="13" s="1"/>
  <c r="J755" i="13"/>
  <c r="K755" i="13" s="1"/>
  <c r="J756" i="13"/>
  <c r="K756" i="13" s="1"/>
  <c r="J757" i="13"/>
  <c r="J758" i="13"/>
  <c r="J759" i="13"/>
  <c r="K759" i="13" s="1"/>
  <c r="J760" i="13"/>
  <c r="K760" i="13" s="1"/>
  <c r="J761" i="13"/>
  <c r="K761" i="13" s="1"/>
  <c r="J762" i="13"/>
  <c r="K762" i="13" s="1"/>
  <c r="J763" i="13"/>
  <c r="K763" i="13" s="1"/>
  <c r="J764" i="13"/>
  <c r="K764" i="13" s="1"/>
  <c r="J765" i="13"/>
  <c r="J766" i="13"/>
  <c r="K766" i="13" s="1"/>
  <c r="J767" i="13"/>
  <c r="K767" i="13" s="1"/>
  <c r="J768" i="13"/>
  <c r="K768" i="13" s="1"/>
  <c r="J769" i="13"/>
  <c r="K769" i="13" s="1"/>
  <c r="J770" i="13"/>
  <c r="K770" i="13" s="1"/>
  <c r="J771" i="13"/>
  <c r="K771" i="13" s="1"/>
  <c r="J772" i="13"/>
  <c r="K772" i="13" s="1"/>
  <c r="J773" i="13"/>
  <c r="J774" i="13"/>
  <c r="J775" i="13"/>
  <c r="K775" i="13" s="1"/>
  <c r="J776" i="13"/>
  <c r="K776" i="13" s="1"/>
  <c r="J777" i="13"/>
  <c r="K777" i="13" s="1"/>
  <c r="J778" i="13"/>
  <c r="K778" i="13" s="1"/>
  <c r="J779" i="13"/>
  <c r="K779" i="13" s="1"/>
  <c r="J780" i="13"/>
  <c r="K780" i="13" s="1"/>
  <c r="J781" i="13"/>
  <c r="K781" i="13" s="1"/>
  <c r="J782" i="13"/>
  <c r="J783" i="13"/>
  <c r="K783" i="13" s="1"/>
  <c r="J784" i="13"/>
  <c r="K784" i="13" s="1"/>
  <c r="J785" i="13"/>
  <c r="J786" i="13"/>
  <c r="K786" i="13" s="1"/>
  <c r="J787" i="13"/>
  <c r="K787" i="13" s="1"/>
  <c r="J788" i="13"/>
  <c r="K788" i="13" s="1"/>
  <c r="J789" i="13"/>
  <c r="K789" i="13" s="1"/>
  <c r="J790" i="13"/>
  <c r="K790" i="13" s="1"/>
  <c r="J791" i="13"/>
  <c r="K791" i="13" s="1"/>
  <c r="J792" i="13"/>
  <c r="J793" i="13"/>
  <c r="K793" i="13" s="1"/>
  <c r="J794" i="13"/>
  <c r="K794" i="13" s="1"/>
  <c r="J795" i="13"/>
  <c r="K795" i="13" s="1"/>
  <c r="J796" i="13"/>
  <c r="K796" i="13" s="1"/>
  <c r="J797" i="13"/>
  <c r="K797" i="13" s="1"/>
  <c r="J798" i="13"/>
  <c r="K798" i="13" s="1"/>
  <c r="J799" i="13"/>
  <c r="K799" i="13" s="1"/>
  <c r="J800" i="13"/>
  <c r="K800" i="13" s="1"/>
  <c r="J801" i="13"/>
  <c r="J802" i="13"/>
  <c r="K802" i="13" s="1"/>
  <c r="J803" i="13"/>
  <c r="K803" i="13" s="1"/>
  <c r="J804" i="13"/>
  <c r="K804" i="13" s="1"/>
  <c r="J805" i="13"/>
  <c r="K805" i="13" s="1"/>
  <c r="J806" i="13"/>
  <c r="J807" i="13"/>
  <c r="K807" i="13" s="1"/>
  <c r="J808" i="13"/>
  <c r="J809" i="13"/>
  <c r="K809" i="13" s="1"/>
  <c r="J810" i="13"/>
  <c r="K810" i="13" s="1"/>
  <c r="J811" i="13"/>
  <c r="J812" i="13"/>
  <c r="K812" i="13" s="1"/>
  <c r="J813" i="13"/>
  <c r="K813" i="13" s="1"/>
  <c r="J814" i="13"/>
  <c r="K814" i="13" s="1"/>
  <c r="J815" i="13"/>
  <c r="K815" i="13" s="1"/>
  <c r="J816" i="13"/>
  <c r="K816" i="13" s="1"/>
  <c r="J817" i="13"/>
  <c r="K817" i="13" s="1"/>
  <c r="J818" i="13"/>
  <c r="K818" i="13" s="1"/>
  <c r="J819" i="13"/>
  <c r="K819" i="13" s="1"/>
  <c r="J820" i="13"/>
  <c r="K820" i="13" s="1"/>
  <c r="J821" i="13"/>
  <c r="J822" i="13"/>
  <c r="J823" i="13"/>
  <c r="K823" i="13" s="1"/>
  <c r="J824" i="13"/>
  <c r="K824" i="13" s="1"/>
  <c r="J825" i="13"/>
  <c r="K825" i="13" s="1"/>
  <c r="J826" i="13"/>
  <c r="K826" i="13" s="1"/>
  <c r="J827" i="13"/>
  <c r="J828" i="13"/>
  <c r="J829" i="13"/>
  <c r="J830" i="13"/>
  <c r="K830" i="13" s="1"/>
  <c r="J831" i="13"/>
  <c r="K831" i="13" s="1"/>
  <c r="J832" i="13"/>
  <c r="K832" i="13" s="1"/>
  <c r="J833" i="13"/>
  <c r="K833" i="13" s="1"/>
  <c r="J834" i="13"/>
  <c r="J835" i="13"/>
  <c r="J836" i="13"/>
  <c r="K836" i="13" s="1"/>
  <c r="J837" i="13"/>
  <c r="K837" i="13" s="1"/>
  <c r="J838" i="13"/>
  <c r="K838" i="13" s="1"/>
  <c r="J839" i="13"/>
  <c r="J840" i="13"/>
  <c r="J841" i="13"/>
  <c r="K841" i="13" s="1"/>
  <c r="J842" i="13"/>
  <c r="K842" i="13" s="1"/>
  <c r="J843" i="13"/>
  <c r="J844" i="13"/>
  <c r="J845" i="13"/>
  <c r="K845" i="13" s="1"/>
  <c r="J846" i="13"/>
  <c r="K846" i="13" s="1"/>
  <c r="J847" i="13"/>
  <c r="K847" i="13" s="1"/>
  <c r="J848" i="13"/>
  <c r="K848" i="13" s="1"/>
  <c r="J849" i="13"/>
  <c r="K849" i="13" s="1"/>
  <c r="J850" i="13"/>
  <c r="K850" i="13" s="1"/>
  <c r="J851" i="13"/>
  <c r="K851" i="13" s="1"/>
  <c r="J852" i="13"/>
  <c r="K852" i="13" s="1"/>
  <c r="J853" i="13"/>
  <c r="K853" i="13" s="1"/>
  <c r="J854" i="13"/>
  <c r="K854" i="13" s="1"/>
  <c r="J855" i="13"/>
  <c r="K855" i="13" s="1"/>
  <c r="J856" i="13"/>
  <c r="K856" i="13" s="1"/>
  <c r="J857" i="13"/>
  <c r="K857" i="13" s="1"/>
  <c r="J858" i="13"/>
  <c r="K858" i="13" s="1"/>
  <c r="J859" i="13"/>
  <c r="K859" i="13" s="1"/>
  <c r="J860" i="13"/>
  <c r="K860" i="13" s="1"/>
  <c r="J861" i="13"/>
  <c r="K861" i="13" s="1"/>
  <c r="J862" i="13"/>
  <c r="K862" i="13" s="1"/>
  <c r="J863" i="13"/>
  <c r="J864" i="13"/>
  <c r="J865" i="13"/>
  <c r="K865" i="13" s="1"/>
  <c r="J866" i="13"/>
  <c r="K866" i="13" s="1"/>
  <c r="J867" i="13"/>
  <c r="K867" i="13" s="1"/>
  <c r="J868" i="13"/>
  <c r="K868" i="13" s="1"/>
  <c r="J869" i="13"/>
  <c r="K869" i="13" s="1"/>
  <c r="J870" i="13"/>
  <c r="K870" i="13" s="1"/>
  <c r="J871" i="13"/>
  <c r="K871" i="13" s="1"/>
  <c r="J872" i="13"/>
  <c r="K872" i="13" s="1"/>
  <c r="J873" i="13"/>
  <c r="K873" i="13" s="1"/>
  <c r="J874" i="13"/>
  <c r="K874" i="13" s="1"/>
  <c r="J875" i="13"/>
  <c r="J876" i="13"/>
  <c r="K876" i="13" s="1"/>
  <c r="J877" i="13"/>
  <c r="J878" i="13"/>
  <c r="K878" i="13" s="1"/>
  <c r="J879" i="13"/>
  <c r="K879" i="13" s="1"/>
  <c r="J880" i="13"/>
  <c r="K880" i="13" s="1"/>
  <c r="J881" i="13"/>
  <c r="J882" i="13"/>
  <c r="K882" i="13" s="1"/>
  <c r="J883" i="13"/>
  <c r="J884" i="13"/>
  <c r="J885" i="13"/>
  <c r="J886" i="13"/>
  <c r="J887" i="13"/>
  <c r="J888" i="13"/>
  <c r="J889" i="13"/>
  <c r="J890" i="13"/>
  <c r="K890" i="13" s="1"/>
  <c r="J891" i="13"/>
  <c r="J892" i="13"/>
  <c r="J893" i="13"/>
  <c r="K893" i="13" s="1"/>
  <c r="J894" i="13"/>
  <c r="K894" i="13" s="1"/>
  <c r="J895" i="13"/>
  <c r="K895" i="13" s="1"/>
  <c r="J896" i="13"/>
  <c r="K896" i="13" s="1"/>
  <c r="J897" i="13"/>
  <c r="J898" i="13"/>
  <c r="J899" i="13"/>
  <c r="K899" i="13" s="1"/>
  <c r="J900" i="13"/>
  <c r="K900" i="13" s="1"/>
  <c r="J901" i="13"/>
  <c r="K901" i="13" s="1"/>
  <c r="J902" i="13"/>
  <c r="J903" i="13"/>
  <c r="K903" i="13" s="1"/>
  <c r="J904" i="13"/>
  <c r="K904" i="13" s="1"/>
  <c r="J905" i="13"/>
  <c r="K905" i="13" s="1"/>
  <c r="J906" i="13"/>
  <c r="K906" i="13" s="1"/>
  <c r="J907" i="13"/>
  <c r="K907" i="13" s="1"/>
  <c r="J908" i="13"/>
  <c r="K908" i="13" s="1"/>
  <c r="J909" i="13"/>
  <c r="K909" i="13" s="1"/>
  <c r="J910" i="13"/>
  <c r="K910" i="13" s="1"/>
  <c r="J911" i="13"/>
  <c r="K911" i="13" s="1"/>
  <c r="J912" i="13"/>
  <c r="K912" i="13" s="1"/>
  <c r="J913" i="13"/>
  <c r="K913" i="13" s="1"/>
  <c r="J914" i="13"/>
  <c r="K914" i="13" s="1"/>
  <c r="J915" i="13"/>
  <c r="K915" i="13" s="1"/>
  <c r="J916" i="13"/>
  <c r="K916" i="13" s="1"/>
  <c r="J917" i="13"/>
  <c r="K917" i="13" s="1"/>
  <c r="J918" i="13"/>
  <c r="K918" i="13" s="1"/>
  <c r="J919" i="13"/>
  <c r="J920" i="13"/>
  <c r="J921" i="13"/>
  <c r="K921" i="13" s="1"/>
  <c r="J922" i="13"/>
  <c r="K922" i="13" s="1"/>
  <c r="J923" i="13"/>
  <c r="K923" i="13" s="1"/>
  <c r="J924" i="13"/>
  <c r="K924" i="13" s="1"/>
  <c r="J925" i="13"/>
  <c r="K925" i="13" s="1"/>
  <c r="J926" i="13"/>
  <c r="J927" i="13"/>
  <c r="K927" i="13" s="1"/>
  <c r="J928" i="13"/>
  <c r="K928" i="13" s="1"/>
  <c r="J929" i="13"/>
  <c r="K929" i="13" s="1"/>
  <c r="J930" i="13"/>
  <c r="J931" i="13"/>
  <c r="K931" i="13" s="1"/>
  <c r="J932" i="13"/>
  <c r="K932" i="13" s="1"/>
  <c r="J933" i="13"/>
  <c r="K933" i="13" s="1"/>
  <c r="J934" i="13"/>
  <c r="J935" i="13"/>
  <c r="J936" i="13"/>
  <c r="K936" i="13" s="1"/>
  <c r="J937" i="13"/>
  <c r="K937" i="13" s="1"/>
  <c r="J938" i="13"/>
  <c r="K938" i="13" s="1"/>
  <c r="J939" i="13"/>
  <c r="K939" i="13" s="1"/>
  <c r="J940" i="13"/>
  <c r="J941" i="13"/>
  <c r="K941" i="13" s="1"/>
  <c r="J942" i="13"/>
  <c r="K942" i="13" s="1"/>
  <c r="J943" i="13"/>
  <c r="K943" i="13" s="1"/>
  <c r="J944" i="13"/>
  <c r="K944" i="13" s="1"/>
  <c r="J945" i="13"/>
  <c r="K945" i="13" s="1"/>
  <c r="J946" i="13"/>
  <c r="K946" i="13" s="1"/>
  <c r="J947" i="13"/>
  <c r="K947" i="13" s="1"/>
  <c r="J948" i="13"/>
  <c r="K948" i="13" s="1"/>
  <c r="J949" i="13"/>
  <c r="K949" i="13" s="1"/>
  <c r="J950" i="13"/>
  <c r="J951" i="13"/>
  <c r="K951" i="13" s="1"/>
  <c r="J952" i="13"/>
  <c r="K952" i="13" s="1"/>
  <c r="J953" i="13"/>
  <c r="K953" i="13" s="1"/>
  <c r="J954" i="13"/>
  <c r="K954" i="13" s="1"/>
  <c r="J955" i="13"/>
  <c r="K955" i="13" s="1"/>
  <c r="J956" i="13"/>
  <c r="K956" i="13" s="1"/>
  <c r="J957" i="13"/>
  <c r="J958" i="13"/>
  <c r="K958" i="13" s="1"/>
  <c r="J959" i="13"/>
  <c r="J960" i="13"/>
  <c r="K960" i="13" s="1"/>
  <c r="J961" i="13"/>
  <c r="K961" i="13" s="1"/>
  <c r="J962" i="13"/>
  <c r="K962" i="13" s="1"/>
  <c r="J963" i="13"/>
  <c r="K963" i="13" s="1"/>
  <c r="J964" i="13"/>
  <c r="K964" i="13" s="1"/>
  <c r="J965" i="13"/>
  <c r="K965" i="13" s="1"/>
  <c r="J966" i="13"/>
  <c r="K966" i="13" s="1"/>
  <c r="J967" i="13"/>
  <c r="K967" i="13" s="1"/>
  <c r="J968" i="13"/>
  <c r="K968" i="13" s="1"/>
  <c r="J969" i="13"/>
  <c r="K969" i="13" s="1"/>
  <c r="J970" i="13"/>
  <c r="K970" i="13" s="1"/>
  <c r="J971" i="13"/>
  <c r="K971" i="13" s="1"/>
  <c r="J972" i="13"/>
  <c r="K972" i="13" s="1"/>
  <c r="J973" i="13"/>
  <c r="K973" i="13" s="1"/>
  <c r="J974" i="13"/>
  <c r="K974" i="13" s="1"/>
  <c r="J975" i="13"/>
  <c r="K975" i="13" s="1"/>
  <c r="J976" i="13"/>
  <c r="K976" i="13" s="1"/>
  <c r="J977" i="13"/>
  <c r="K977" i="13" s="1"/>
  <c r="J978" i="13"/>
  <c r="K978" i="13" s="1"/>
  <c r="J979" i="13"/>
  <c r="K979" i="13" s="1"/>
  <c r="J980" i="13"/>
  <c r="K980" i="13" s="1"/>
  <c r="J981" i="13"/>
  <c r="K981" i="13" s="1"/>
  <c r="J982" i="13"/>
  <c r="K982" i="13" s="1"/>
  <c r="J983" i="13"/>
  <c r="K983" i="13" s="1"/>
  <c r="J984" i="13"/>
  <c r="K984" i="13" s="1"/>
  <c r="J985" i="13"/>
  <c r="K985" i="13" s="1"/>
  <c r="J986" i="13"/>
  <c r="K986" i="13" s="1"/>
  <c r="J987" i="13"/>
  <c r="K987" i="13" s="1"/>
  <c r="J988" i="13"/>
  <c r="K988" i="13" s="1"/>
  <c r="J989" i="13"/>
  <c r="K989" i="13" s="1"/>
  <c r="J990" i="13"/>
  <c r="K990" i="13" s="1"/>
  <c r="J991" i="13"/>
  <c r="K991" i="13" s="1"/>
  <c r="J992" i="13"/>
  <c r="K992" i="13" s="1"/>
  <c r="J993" i="13"/>
  <c r="J994" i="13"/>
  <c r="K994" i="13" s="1"/>
  <c r="J995" i="13"/>
  <c r="K995" i="13" s="1"/>
  <c r="J996" i="13"/>
  <c r="K996" i="13" s="1"/>
  <c r="J997" i="13"/>
  <c r="J998" i="13"/>
  <c r="J999" i="13"/>
  <c r="J1000" i="13"/>
  <c r="J1001" i="13"/>
  <c r="J1002" i="13"/>
  <c r="K1002" i="13" s="1"/>
  <c r="J1003" i="13"/>
  <c r="K1003" i="13" s="1"/>
  <c r="J1004" i="13"/>
  <c r="K1004" i="13" s="1"/>
  <c r="J1005" i="13"/>
  <c r="K1005" i="13" s="1"/>
  <c r="J1006" i="13"/>
  <c r="K1006" i="13" s="1"/>
  <c r="J1007" i="13"/>
  <c r="K1007" i="13" s="1"/>
  <c r="J1008" i="13"/>
  <c r="K1008" i="13" s="1"/>
  <c r="J1009" i="13"/>
  <c r="K1009" i="13" s="1"/>
  <c r="J1010" i="13"/>
  <c r="K1010" i="13" s="1"/>
  <c r="J1011" i="13"/>
  <c r="K1011" i="13" s="1"/>
  <c r="J1012" i="13"/>
  <c r="K1012" i="13" s="1"/>
  <c r="J1013" i="13"/>
  <c r="K1013" i="13" s="1"/>
  <c r="J1014" i="13"/>
  <c r="K1014" i="13" s="1"/>
  <c r="J1015" i="13"/>
  <c r="K1015" i="13" s="1"/>
  <c r="J1016" i="13"/>
  <c r="K1016" i="13" s="1"/>
  <c r="J1017" i="13"/>
  <c r="K1017" i="13" s="1"/>
  <c r="J1018" i="13"/>
  <c r="K1018" i="13" s="1"/>
  <c r="J1019" i="13"/>
  <c r="K1019" i="13" s="1"/>
  <c r="J1020" i="13"/>
  <c r="K1020" i="13" s="1"/>
  <c r="J1021" i="13"/>
  <c r="K1021" i="13" s="1"/>
  <c r="J1022" i="13"/>
  <c r="K1022" i="13" s="1"/>
  <c r="J1023" i="13"/>
  <c r="K1023" i="13" s="1"/>
  <c r="J1024" i="13"/>
  <c r="K1024" i="13" s="1"/>
  <c r="J1025" i="13"/>
  <c r="K1025" i="13" s="1"/>
  <c r="J1026" i="13"/>
  <c r="K1026" i="13" s="1"/>
  <c r="J1027" i="13"/>
  <c r="K1027" i="13" s="1"/>
  <c r="J1028" i="13"/>
  <c r="K1028" i="13" s="1"/>
  <c r="J1029" i="13"/>
  <c r="K1029" i="13" s="1"/>
  <c r="J1030" i="13"/>
  <c r="K1030" i="13" s="1"/>
  <c r="J1031" i="13"/>
  <c r="J1032" i="13"/>
  <c r="K1032" i="13" s="1"/>
  <c r="J1033" i="13"/>
  <c r="K1033" i="13" s="1"/>
  <c r="J1034" i="13"/>
  <c r="K1034" i="13" s="1"/>
  <c r="J1035" i="13"/>
  <c r="K1035" i="13" s="1"/>
  <c r="J1036" i="13"/>
  <c r="K1036" i="13" s="1"/>
  <c r="J1037" i="13"/>
  <c r="K1037" i="13" s="1"/>
  <c r="J1038" i="13"/>
  <c r="K1038" i="13" s="1"/>
  <c r="J1039" i="13"/>
  <c r="K1039" i="13" s="1"/>
  <c r="J1040" i="13"/>
  <c r="K1040" i="13" s="1"/>
  <c r="J1041" i="13"/>
  <c r="K1041" i="13" s="1"/>
  <c r="J1042" i="13"/>
  <c r="K1042" i="13" s="1"/>
  <c r="J1043" i="13"/>
  <c r="K1043" i="13" s="1"/>
  <c r="J1044" i="13"/>
  <c r="K1044" i="13" s="1"/>
  <c r="J1045" i="13"/>
  <c r="K1045" i="13" s="1"/>
  <c r="J1046" i="13"/>
  <c r="K1046" i="13" s="1"/>
  <c r="J1047" i="13"/>
  <c r="K1047" i="13" s="1"/>
  <c r="J1048" i="13"/>
  <c r="K1048" i="13" s="1"/>
  <c r="J1049" i="13"/>
  <c r="K1049" i="13" s="1"/>
  <c r="J1050" i="13"/>
  <c r="K1050" i="13" s="1"/>
  <c r="J1051" i="13"/>
  <c r="K1051" i="13" s="1"/>
  <c r="J1052" i="13"/>
  <c r="K1052" i="13" s="1"/>
  <c r="J1053" i="13"/>
  <c r="K1053" i="13" s="1"/>
  <c r="J1054" i="13"/>
  <c r="K1054" i="13" s="1"/>
  <c r="J1055" i="13"/>
  <c r="K1055" i="13" s="1"/>
  <c r="J1056" i="13"/>
  <c r="K1056" i="13" s="1"/>
  <c r="J1057" i="13"/>
  <c r="K1057" i="13" s="1"/>
  <c r="J1058" i="13"/>
  <c r="K1058" i="13" s="1"/>
  <c r="J1059" i="13"/>
  <c r="K1059" i="13" s="1"/>
  <c r="J1060" i="13"/>
  <c r="K1060" i="13" s="1"/>
  <c r="J1061" i="13"/>
  <c r="J1062" i="13"/>
  <c r="K1062" i="13" s="1"/>
  <c r="J1063" i="13"/>
  <c r="K1063" i="13" s="1"/>
  <c r="J1064" i="13"/>
  <c r="K1064" i="13" s="1"/>
  <c r="J1065" i="13"/>
  <c r="K1065" i="13" s="1"/>
  <c r="J1066" i="13"/>
  <c r="K1066" i="13" s="1"/>
  <c r="J1067" i="13"/>
  <c r="K1067" i="13" s="1"/>
  <c r="J1068" i="13"/>
  <c r="K1068" i="13" s="1"/>
  <c r="J1069" i="13"/>
  <c r="K1069" i="13" s="1"/>
  <c r="J1070" i="13"/>
  <c r="K1070" i="13" s="1"/>
  <c r="J1071" i="13"/>
  <c r="K1071" i="13" s="1"/>
  <c r="J1072" i="13"/>
  <c r="J1073" i="13"/>
  <c r="K1073" i="13" s="1"/>
  <c r="J1074" i="13"/>
  <c r="K1074" i="13" s="1"/>
  <c r="J1075" i="13"/>
  <c r="K1075" i="13" s="1"/>
  <c r="J1076" i="13"/>
  <c r="K1076" i="13" s="1"/>
  <c r="J1077" i="13"/>
  <c r="K1077" i="13" s="1"/>
  <c r="J1078" i="13"/>
  <c r="K1078" i="13" s="1"/>
  <c r="J1079" i="13"/>
  <c r="K1079" i="13" s="1"/>
  <c r="J1080" i="13"/>
  <c r="K1080" i="13" s="1"/>
  <c r="J1081" i="13"/>
  <c r="K1081" i="13" s="1"/>
  <c r="J1082" i="13"/>
  <c r="K1082" i="13" s="1"/>
  <c r="J1083" i="13"/>
  <c r="K1083" i="13" s="1"/>
  <c r="J1084" i="13"/>
  <c r="K1084" i="13" s="1"/>
  <c r="J1085" i="13"/>
  <c r="K1085" i="13" s="1"/>
  <c r="J1086" i="13"/>
  <c r="K1086" i="13" s="1"/>
  <c r="J1087" i="13"/>
  <c r="K1087" i="13" s="1"/>
  <c r="J1088" i="13"/>
  <c r="K1088" i="13" s="1"/>
  <c r="J1089" i="13"/>
  <c r="K1089" i="13" s="1"/>
  <c r="J1090" i="13"/>
  <c r="K1090" i="13" s="1"/>
  <c r="J1091" i="13"/>
  <c r="K1091" i="13" s="1"/>
  <c r="J1092" i="13"/>
  <c r="K1092" i="13" s="1"/>
  <c r="J1093" i="13"/>
  <c r="K1093" i="13" s="1"/>
  <c r="J1094" i="13"/>
  <c r="K1094" i="13" s="1"/>
  <c r="J1095" i="13"/>
  <c r="K1095" i="13" s="1"/>
  <c r="J1096" i="13"/>
  <c r="K1096" i="13" s="1"/>
  <c r="J1097" i="13"/>
  <c r="J1098" i="13"/>
  <c r="J1099" i="13"/>
  <c r="J1100" i="13"/>
  <c r="J1101" i="13"/>
  <c r="K1101" i="13" s="1"/>
  <c r="J1102" i="13"/>
  <c r="J1103" i="13"/>
  <c r="J1104" i="13"/>
  <c r="K1104" i="13" s="1"/>
  <c r="J1105" i="13"/>
  <c r="K1105" i="13" s="1"/>
  <c r="J1106" i="13"/>
  <c r="K1106" i="13" s="1"/>
  <c r="J1107" i="13"/>
  <c r="K1107" i="13" s="1"/>
  <c r="J1108" i="13"/>
  <c r="K1108" i="13" s="1"/>
  <c r="J1109" i="13"/>
  <c r="K1109" i="13" s="1"/>
  <c r="J1110" i="13"/>
  <c r="K1110" i="13" s="1"/>
  <c r="J1111" i="13"/>
  <c r="K1111" i="13" s="1"/>
  <c r="J1112" i="13"/>
  <c r="J1113" i="13"/>
  <c r="J1114" i="13"/>
  <c r="J1115" i="13"/>
  <c r="K1115" i="13" s="1"/>
  <c r="J1116" i="13"/>
  <c r="K1116" i="13" s="1"/>
  <c r="J1117" i="13"/>
  <c r="K1117" i="13" s="1"/>
  <c r="J1118" i="13"/>
  <c r="J1119" i="13"/>
  <c r="J1120" i="13"/>
  <c r="J1121" i="13"/>
  <c r="K1121" i="13" s="1"/>
  <c r="J1122" i="13"/>
  <c r="K1122" i="13" s="1"/>
  <c r="J1123" i="13"/>
  <c r="K1123" i="13" s="1"/>
  <c r="J1124" i="13"/>
  <c r="K1124" i="13" s="1"/>
  <c r="J1125" i="13"/>
  <c r="K1125" i="13" s="1"/>
  <c r="J1126" i="13"/>
  <c r="K1126" i="13" s="1"/>
  <c r="J1127" i="13"/>
  <c r="K1127" i="13" s="1"/>
  <c r="J1128" i="13"/>
  <c r="K1128" i="13" s="1"/>
  <c r="J1129" i="13"/>
  <c r="K1129" i="13" s="1"/>
  <c r="J1130" i="13"/>
  <c r="K1130" i="13" s="1"/>
  <c r="J1131" i="13"/>
  <c r="K1131" i="13" s="1"/>
  <c r="J1132" i="13"/>
  <c r="K1132" i="13" s="1"/>
  <c r="J1133" i="13"/>
  <c r="J1134" i="13"/>
  <c r="K1134" i="13" s="1"/>
  <c r="J1135" i="13"/>
  <c r="K1135" i="13" s="1"/>
  <c r="J1136" i="13"/>
  <c r="K1136" i="13" s="1"/>
  <c r="J1137" i="13"/>
  <c r="K1137" i="13" s="1"/>
  <c r="J1138" i="13"/>
  <c r="K1138" i="13" s="1"/>
  <c r="J1139" i="13"/>
  <c r="K1139" i="13" s="1"/>
  <c r="J1140" i="13"/>
  <c r="K1140" i="13" s="1"/>
  <c r="J1141" i="13"/>
  <c r="K1141" i="13" s="1"/>
  <c r="J1142" i="13"/>
  <c r="K1142" i="13" s="1"/>
  <c r="J1143" i="13"/>
  <c r="K1143" i="13" s="1"/>
  <c r="J1144" i="13"/>
  <c r="K1144" i="13" s="1"/>
  <c r="J1145" i="13"/>
  <c r="J1146" i="13"/>
  <c r="K1146" i="13" s="1"/>
  <c r="J1147" i="13"/>
  <c r="J1148" i="13"/>
  <c r="K1148" i="13" s="1"/>
  <c r="J1149" i="13"/>
  <c r="K1149" i="13" s="1"/>
  <c r="J1150" i="13"/>
  <c r="K1150" i="13" s="1"/>
  <c r="J1151" i="13"/>
  <c r="K1151" i="13" s="1"/>
  <c r="J1152" i="13"/>
  <c r="K1152" i="13" s="1"/>
  <c r="J1153" i="13"/>
  <c r="K1153" i="13" s="1"/>
  <c r="J1154" i="13"/>
  <c r="K1154" i="13" s="1"/>
  <c r="J1155" i="13"/>
  <c r="K1155" i="13" s="1"/>
  <c r="J1156" i="13"/>
  <c r="K1156" i="13" s="1"/>
  <c r="J1157" i="13"/>
  <c r="K1157" i="13" s="1"/>
  <c r="J1158" i="13"/>
  <c r="K1158" i="13" s="1"/>
  <c r="J1159" i="13"/>
  <c r="K1159" i="13" s="1"/>
  <c r="J1160" i="13"/>
  <c r="K1160" i="13" s="1"/>
  <c r="J1161" i="13"/>
  <c r="K1161" i="13" s="1"/>
  <c r="J1162" i="13"/>
  <c r="K1162" i="13" s="1"/>
  <c r="J1163" i="13"/>
  <c r="K1163" i="13" s="1"/>
  <c r="J1164" i="13"/>
  <c r="K1164" i="13" s="1"/>
  <c r="J1165" i="13"/>
  <c r="K1165" i="13" s="1"/>
  <c r="J1166" i="13"/>
  <c r="K1166" i="13" s="1"/>
  <c r="J1167" i="13"/>
  <c r="K1167" i="13" s="1"/>
  <c r="J1168" i="13"/>
  <c r="K1168" i="13" s="1"/>
  <c r="J1169" i="13"/>
  <c r="K1169" i="13" s="1"/>
  <c r="J1170" i="13"/>
  <c r="K1170" i="13" s="1"/>
  <c r="J1171" i="13"/>
  <c r="K1171" i="13" s="1"/>
  <c r="J1172" i="13"/>
  <c r="K1172" i="13" s="1"/>
  <c r="J1173" i="13"/>
  <c r="K1173" i="13" s="1"/>
  <c r="J1174" i="13"/>
  <c r="K1174" i="13" s="1"/>
  <c r="J1175" i="13"/>
  <c r="K1175" i="13" s="1"/>
  <c r="J1176" i="13"/>
  <c r="K1176" i="13" s="1"/>
  <c r="J1177" i="13"/>
  <c r="K1177" i="13" s="1"/>
  <c r="J1178" i="13"/>
  <c r="K1178" i="13" s="1"/>
  <c r="J1179" i="13"/>
  <c r="K1179" i="13" s="1"/>
  <c r="J1180" i="13"/>
  <c r="K1180" i="13" s="1"/>
  <c r="K1181" i="13"/>
  <c r="J1182" i="13"/>
  <c r="K1182" i="13" s="1"/>
  <c r="J1183" i="13"/>
  <c r="K1183" i="13" s="1"/>
  <c r="J1184" i="13"/>
  <c r="K1184" i="13" s="1"/>
  <c r="J1185" i="13"/>
  <c r="K1185" i="13" s="1"/>
  <c r="J1186" i="13"/>
  <c r="K1186" i="13" s="1"/>
  <c r="J1187" i="13"/>
  <c r="K1187" i="13" s="1"/>
  <c r="J1188" i="13"/>
  <c r="K1188" i="13" s="1"/>
  <c r="J1189" i="13"/>
  <c r="K1189" i="13" s="1"/>
  <c r="J1190" i="13"/>
  <c r="K1190" i="13" s="1"/>
  <c r="J1191" i="13"/>
  <c r="K1191" i="13" s="1"/>
  <c r="J1192" i="13"/>
  <c r="K1192" i="13" s="1"/>
  <c r="J1193" i="13"/>
  <c r="J1194" i="13"/>
  <c r="K1194" i="13" s="1"/>
  <c r="J1195" i="13"/>
  <c r="K1195" i="13" s="1"/>
  <c r="J1196" i="13"/>
  <c r="K1196" i="13" s="1"/>
  <c r="J1197" i="13"/>
  <c r="K1197" i="13" s="1"/>
  <c r="J1198" i="13"/>
  <c r="K1198" i="13" s="1"/>
  <c r="J1199" i="13"/>
  <c r="K1199" i="13" s="1"/>
  <c r="J1200" i="13"/>
  <c r="K1200" i="13" s="1"/>
  <c r="J1201" i="13"/>
  <c r="K1201" i="13" s="1"/>
  <c r="J1202" i="13"/>
  <c r="K1202" i="13" s="1"/>
  <c r="J1203" i="13"/>
  <c r="K1203" i="13" s="1"/>
  <c r="J1204" i="13"/>
  <c r="K1204" i="13" s="1"/>
  <c r="J1205" i="13"/>
  <c r="K1205" i="13" s="1"/>
  <c r="J1206" i="13"/>
  <c r="K1206" i="13" s="1"/>
  <c r="J1207" i="13"/>
  <c r="K1207" i="13" s="1"/>
  <c r="J1208" i="13"/>
  <c r="K1208" i="13" s="1"/>
  <c r="J1209" i="13"/>
  <c r="K1209" i="13" s="1"/>
  <c r="J1210" i="13"/>
  <c r="K1210" i="13" s="1"/>
  <c r="J1211" i="13"/>
  <c r="K1211" i="13" s="1"/>
  <c r="J1212" i="13"/>
  <c r="K1212" i="13" s="1"/>
  <c r="J1213" i="13"/>
  <c r="K1213" i="13" s="1"/>
  <c r="J1214" i="13"/>
  <c r="K1214" i="13" s="1"/>
  <c r="J1215" i="13"/>
  <c r="K1215" i="13" s="1"/>
  <c r="J1216" i="13"/>
  <c r="K1216" i="13" s="1"/>
  <c r="J1217" i="13"/>
  <c r="K1217" i="13" s="1"/>
  <c r="J1218" i="13"/>
  <c r="K1218" i="13" s="1"/>
  <c r="J1219" i="13"/>
  <c r="K1219" i="13" s="1"/>
  <c r="J1220" i="13"/>
  <c r="K1220" i="13" s="1"/>
  <c r="J1221" i="13"/>
  <c r="K1221" i="13" s="1"/>
  <c r="J1222" i="13"/>
  <c r="K1222" i="13" s="1"/>
  <c r="J1223" i="13"/>
  <c r="K1223" i="13" s="1"/>
  <c r="J1224" i="13"/>
  <c r="K1224" i="13" s="1"/>
  <c r="J1225" i="13"/>
  <c r="K1225" i="13" s="1"/>
  <c r="J1226" i="13"/>
  <c r="K1226" i="13" s="1"/>
  <c r="J1227" i="13"/>
  <c r="K1227" i="13" s="1"/>
  <c r="J1228" i="13"/>
  <c r="K1228" i="13" s="1"/>
  <c r="J1229" i="13"/>
  <c r="K1229" i="13" s="1"/>
  <c r="J1230" i="13"/>
  <c r="K1230" i="13" s="1"/>
  <c r="J1231" i="13"/>
  <c r="K1231" i="13" s="1"/>
  <c r="J1232" i="13"/>
  <c r="K1232" i="13" s="1"/>
  <c r="J1233" i="13"/>
  <c r="K1233" i="13" s="1"/>
  <c r="J1234" i="13"/>
  <c r="K1234" i="13" s="1"/>
  <c r="J1235" i="13"/>
  <c r="K1235" i="13" s="1"/>
  <c r="J1236" i="13"/>
  <c r="K1236" i="13" s="1"/>
  <c r="J1237" i="13"/>
  <c r="K1237" i="13" s="1"/>
  <c r="J1238" i="13"/>
  <c r="K1238" i="13" s="1"/>
  <c r="J1239" i="13"/>
  <c r="K1239" i="13" s="1"/>
  <c r="J1240" i="13"/>
  <c r="K1240" i="13" s="1"/>
  <c r="J1241" i="13"/>
  <c r="K1241" i="13" s="1"/>
  <c r="J1242" i="13"/>
  <c r="J1243" i="13"/>
  <c r="K1243" i="13" s="1"/>
  <c r="J1244" i="13"/>
  <c r="K1244" i="13" s="1"/>
  <c r="J1245" i="13"/>
  <c r="K1245" i="13" s="1"/>
  <c r="J1246" i="13"/>
  <c r="K1246" i="13" s="1"/>
  <c r="J1247" i="13"/>
  <c r="K1247" i="13" s="1"/>
  <c r="J1248" i="13"/>
  <c r="K1248" i="13" s="1"/>
  <c r="J1249" i="13"/>
  <c r="K1249" i="13" s="1"/>
  <c r="J1250" i="13"/>
  <c r="K1250" i="13" s="1"/>
  <c r="J1251" i="13"/>
  <c r="K1251" i="13" s="1"/>
  <c r="J1252" i="13"/>
  <c r="K1252" i="13" s="1"/>
  <c r="J1253" i="13"/>
  <c r="K1253" i="13" s="1"/>
  <c r="J1254" i="13"/>
  <c r="K1254" i="13" s="1"/>
  <c r="J1255" i="13"/>
  <c r="J1256" i="13"/>
  <c r="K1256" i="13" s="1"/>
  <c r="J1257" i="13"/>
  <c r="K1257" i="13" s="1"/>
  <c r="J1258" i="13"/>
  <c r="K1258" i="13" s="1"/>
  <c r="J1259" i="13"/>
  <c r="K1259" i="13" s="1"/>
  <c r="J1260" i="13"/>
  <c r="K1260" i="13" s="1"/>
  <c r="J1261" i="13"/>
  <c r="K1261" i="13" s="1"/>
  <c r="J1262" i="13"/>
  <c r="K1262" i="13" s="1"/>
  <c r="J1263" i="13"/>
  <c r="K1263" i="13" s="1"/>
  <c r="J1264" i="13"/>
  <c r="K1264" i="13" s="1"/>
  <c r="J1265" i="13"/>
  <c r="K1265" i="13" s="1"/>
  <c r="J1266" i="13"/>
  <c r="K1266" i="13" s="1"/>
  <c r="J1267" i="13"/>
  <c r="K1267" i="13" s="1"/>
  <c r="J1268" i="13"/>
  <c r="K1268" i="13" s="1"/>
  <c r="J1269" i="13"/>
  <c r="K1269" i="13" s="1"/>
  <c r="J1270" i="13"/>
  <c r="K1270" i="13" s="1"/>
  <c r="J1271" i="13"/>
  <c r="K1271" i="13" s="1"/>
  <c r="J1272" i="13"/>
  <c r="K1272" i="13" s="1"/>
  <c r="J1273" i="13"/>
  <c r="K1273" i="13" s="1"/>
  <c r="J1274" i="13"/>
  <c r="K1274" i="13" s="1"/>
  <c r="J1275" i="13"/>
  <c r="K1275" i="13" s="1"/>
  <c r="J1276" i="13"/>
  <c r="K1276" i="13" s="1"/>
  <c r="J1277" i="13"/>
  <c r="K1277" i="13" s="1"/>
  <c r="J1278" i="13"/>
  <c r="K1278" i="13" s="1"/>
  <c r="J1279" i="13"/>
  <c r="K1279" i="13" s="1"/>
  <c r="J1280" i="13"/>
  <c r="K1280" i="13" s="1"/>
  <c r="J1281" i="13"/>
  <c r="K1281" i="13" s="1"/>
  <c r="J1282" i="13"/>
  <c r="K1282" i="13" s="1"/>
  <c r="J1283" i="13"/>
  <c r="K1283" i="13" s="1"/>
  <c r="J1284" i="13"/>
  <c r="K1284" i="13" s="1"/>
  <c r="J1285" i="13"/>
  <c r="K1285" i="13" s="1"/>
  <c r="J1286" i="13"/>
  <c r="K1286" i="13" s="1"/>
  <c r="J1287" i="13"/>
  <c r="K1287" i="13" s="1"/>
  <c r="J1288" i="13"/>
  <c r="K1288" i="13" s="1"/>
  <c r="J1289" i="13"/>
  <c r="K1289" i="13" s="1"/>
  <c r="J1290" i="13"/>
  <c r="K1290" i="13" s="1"/>
  <c r="J1291" i="13"/>
  <c r="K1291" i="13" s="1"/>
  <c r="J1292" i="13"/>
  <c r="K1292" i="13" s="1"/>
  <c r="J1293" i="13"/>
  <c r="K1293" i="13" s="1"/>
  <c r="J1294" i="13"/>
  <c r="K1294" i="13" s="1"/>
  <c r="J1295" i="13"/>
  <c r="K1295" i="13" s="1"/>
  <c r="J1296" i="13"/>
  <c r="K1296" i="13" s="1"/>
  <c r="J1297" i="13"/>
  <c r="K1297" i="13" s="1"/>
  <c r="J1298" i="13"/>
  <c r="K1298" i="13" s="1"/>
  <c r="J1299" i="13"/>
  <c r="K1299" i="13" s="1"/>
  <c r="J1300" i="13"/>
  <c r="K1300" i="13" s="1"/>
  <c r="J1301" i="13"/>
  <c r="K1301" i="13" s="1"/>
  <c r="J1302" i="13"/>
  <c r="K1302" i="13" s="1"/>
  <c r="J1303" i="13"/>
  <c r="K1303" i="13" s="1"/>
  <c r="J1304" i="13"/>
  <c r="K1304" i="13" s="1"/>
  <c r="J1305" i="13"/>
  <c r="K1305" i="13" s="1"/>
  <c r="J1306" i="13"/>
  <c r="K1306" i="13" s="1"/>
  <c r="J1307" i="13"/>
  <c r="K1307" i="13" s="1"/>
  <c r="J1308" i="13"/>
  <c r="K1308" i="13" s="1"/>
  <c r="J1309" i="13"/>
  <c r="K1309" i="13" s="1"/>
  <c r="J1310" i="13"/>
  <c r="K1310" i="13" s="1"/>
  <c r="J1311" i="13"/>
  <c r="K1311" i="13" s="1"/>
  <c r="J1312" i="13"/>
  <c r="K1312" i="13" s="1"/>
  <c r="J1313" i="13"/>
  <c r="K1313" i="13" s="1"/>
  <c r="J1314" i="13"/>
  <c r="K1314" i="13" s="1"/>
  <c r="J1315" i="13"/>
  <c r="K1315" i="13" s="1"/>
  <c r="J1316" i="13"/>
  <c r="K1316" i="13" s="1"/>
  <c r="J1317" i="13"/>
  <c r="K1317" i="13" s="1"/>
  <c r="J1318" i="13"/>
  <c r="K1318" i="13" s="1"/>
  <c r="J1319" i="13"/>
  <c r="K1319" i="13" s="1"/>
  <c r="J1320" i="13"/>
  <c r="K1320" i="13" s="1"/>
  <c r="J1321" i="13"/>
  <c r="K1321" i="13" s="1"/>
  <c r="J1322" i="13"/>
  <c r="K1322" i="13" s="1"/>
  <c r="J1323" i="13"/>
  <c r="K1323" i="13" s="1"/>
  <c r="J1324" i="13"/>
  <c r="K1324" i="13" s="1"/>
  <c r="J1325" i="13"/>
  <c r="K1325" i="13" s="1"/>
  <c r="J1326" i="13"/>
  <c r="K1326" i="13" s="1"/>
  <c r="J1327" i="13"/>
  <c r="K1327" i="13" s="1"/>
  <c r="J1328" i="13"/>
  <c r="K1328" i="13" s="1"/>
  <c r="J1329" i="13"/>
  <c r="K1329" i="13" s="1"/>
  <c r="J1330" i="13"/>
  <c r="K1330" i="13" s="1"/>
  <c r="J1331" i="13"/>
  <c r="K1331" i="13" s="1"/>
  <c r="J1332" i="13"/>
  <c r="K1332" i="13" s="1"/>
  <c r="J1333" i="13"/>
  <c r="K1333" i="13" s="1"/>
  <c r="J1334" i="13"/>
  <c r="K1334" i="13" s="1"/>
  <c r="J1335" i="13"/>
  <c r="K1335" i="13" s="1"/>
  <c r="J1336" i="13"/>
  <c r="K1336" i="13" s="1"/>
  <c r="J1337" i="13"/>
  <c r="K1337" i="13" s="1"/>
  <c r="J1338" i="13"/>
  <c r="K1338" i="13" s="1"/>
  <c r="J1339" i="13"/>
  <c r="K1339" i="13" s="1"/>
  <c r="J1340" i="13"/>
  <c r="K1340" i="13" s="1"/>
  <c r="J1341" i="13"/>
  <c r="K1341" i="13" s="1"/>
  <c r="J1342" i="13"/>
  <c r="K1342" i="13" s="1"/>
  <c r="J1343" i="13"/>
  <c r="K1343" i="13" s="1"/>
  <c r="J1344" i="13"/>
  <c r="K1344" i="13" s="1"/>
  <c r="J1345" i="13"/>
  <c r="K1345" i="13" s="1"/>
  <c r="J1346" i="13"/>
  <c r="K1346" i="13" s="1"/>
  <c r="J1347" i="13"/>
  <c r="K1347" i="13" s="1"/>
  <c r="J1348" i="13"/>
  <c r="K1348" i="13" s="1"/>
  <c r="J1349" i="13"/>
  <c r="K1349" i="13" s="1"/>
  <c r="J1350" i="13"/>
  <c r="K1350" i="13" s="1"/>
  <c r="J1351" i="13"/>
  <c r="K1351" i="13" s="1"/>
  <c r="J1352" i="13"/>
  <c r="K1352" i="13" s="1"/>
  <c r="J1353" i="13"/>
  <c r="K1353" i="13" s="1"/>
  <c r="J1354" i="13"/>
  <c r="K1354" i="13" s="1"/>
  <c r="J1355" i="13"/>
  <c r="K1355" i="13" s="1"/>
  <c r="J1356" i="13"/>
  <c r="K1356" i="13" s="1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K534" i="13" s="1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K123" i="5" s="1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K530" i="13" s="1"/>
  <c r="L289" i="6"/>
  <c r="K528" i="13" s="1"/>
  <c r="L288" i="6"/>
  <c r="K526" i="13" s="1"/>
  <c r="L287" i="6"/>
  <c r="K524" i="13" s="1"/>
  <c r="L286" i="6"/>
  <c r="K522" i="13" s="1"/>
  <c r="L285" i="6"/>
  <c r="K520" i="13" s="1"/>
  <c r="L284" i="6"/>
  <c r="K518" i="13" s="1"/>
  <c r="L283" i="6"/>
  <c r="K516" i="13" s="1"/>
  <c r="L282" i="6"/>
  <c r="L281" i="6"/>
  <c r="K514" i="13" s="1"/>
  <c r="L280" i="6"/>
  <c r="K512" i="13" s="1"/>
  <c r="L279" i="6"/>
  <c r="K510" i="13" s="1"/>
  <c r="L278" i="6"/>
  <c r="K508" i="13" s="1"/>
  <c r="L277" i="6"/>
  <c r="K506" i="13" s="1"/>
  <c r="L276" i="6"/>
  <c r="L275" i="6"/>
  <c r="L274" i="6"/>
  <c r="K502" i="13" s="1"/>
  <c r="L273" i="6"/>
  <c r="K500" i="13" s="1"/>
  <c r="L272" i="6"/>
  <c r="K498" i="13" s="1"/>
  <c r="L271" i="6"/>
  <c r="K496" i="13" s="1"/>
  <c r="L270" i="6"/>
  <c r="L269" i="6"/>
  <c r="L268" i="6"/>
  <c r="K494" i="13" s="1"/>
  <c r="L267" i="6"/>
  <c r="K492" i="13" s="1"/>
  <c r="L266" i="6"/>
  <c r="K490" i="13" s="1"/>
  <c r="L265" i="6"/>
  <c r="K488" i="13" s="1"/>
  <c r="L264" i="6"/>
  <c r="K486" i="13" s="1"/>
  <c r="L263" i="6"/>
  <c r="K484" i="13" s="1"/>
  <c r="L262" i="6"/>
  <c r="K482" i="13" s="1"/>
  <c r="L261" i="6"/>
  <c r="K480" i="13" s="1"/>
  <c r="L260" i="6"/>
  <c r="L259" i="6"/>
  <c r="L258" i="6"/>
  <c r="K474" i="13" s="1"/>
  <c r="L257" i="6"/>
  <c r="K472" i="13" s="1"/>
  <c r="L256" i="6"/>
  <c r="K470" i="13" s="1"/>
  <c r="L255" i="6"/>
  <c r="K468" i="13" s="1"/>
  <c r="L254" i="6"/>
  <c r="K466" i="13" s="1"/>
  <c r="L253" i="6"/>
  <c r="L252" i="6"/>
  <c r="L251" i="6"/>
  <c r="L250" i="6"/>
  <c r="K464" i="13" s="1"/>
  <c r="L249" i="6"/>
  <c r="L248" i="6"/>
  <c r="L247" i="6"/>
  <c r="L246" i="6"/>
  <c r="L245" i="6"/>
  <c r="L244" i="6"/>
  <c r="L243" i="6"/>
  <c r="L242" i="6"/>
  <c r="K462" i="13" s="1"/>
  <c r="L241" i="6"/>
  <c r="K460" i="13" s="1"/>
  <c r="L240" i="6"/>
  <c r="K458" i="13" s="1"/>
  <c r="L239" i="6"/>
  <c r="K456" i="13" s="1"/>
  <c r="L238" i="6"/>
  <c r="K454" i="13" s="1"/>
  <c r="L237" i="6"/>
  <c r="K452" i="13" s="1"/>
  <c r="L236" i="6"/>
  <c r="K450" i="13" s="1"/>
  <c r="L235" i="6"/>
  <c r="K448" i="13" s="1"/>
  <c r="L234" i="6"/>
  <c r="K446" i="13" s="1"/>
  <c r="L233" i="6"/>
  <c r="K444" i="13" s="1"/>
  <c r="L232" i="6"/>
  <c r="K442" i="13" s="1"/>
  <c r="L231" i="6"/>
  <c r="K440" i="13" s="1"/>
  <c r="L230" i="6"/>
  <c r="K438" i="13" s="1"/>
  <c r="L229" i="6"/>
  <c r="K436" i="13" s="1"/>
  <c r="L228" i="6"/>
  <c r="K434" i="13" s="1"/>
  <c r="L227" i="6"/>
  <c r="K432" i="13" s="1"/>
  <c r="L226" i="6"/>
  <c r="K430" i="13" s="1"/>
  <c r="L225" i="6"/>
  <c r="K428" i="13" s="1"/>
  <c r="L224" i="6"/>
  <c r="K426" i="13" s="1"/>
  <c r="L223" i="6"/>
  <c r="K424" i="13" s="1"/>
  <c r="L222" i="6"/>
  <c r="K422" i="13" s="1"/>
  <c r="L221" i="6"/>
  <c r="K420" i="13" s="1"/>
  <c r="L220" i="6"/>
  <c r="K418" i="13" s="1"/>
  <c r="L219" i="6"/>
  <c r="K416" i="13" s="1"/>
  <c r="L218" i="6"/>
  <c r="K414" i="13" s="1"/>
  <c r="L217" i="6"/>
  <c r="K412" i="13" s="1"/>
  <c r="L216" i="6"/>
  <c r="K410" i="13" s="1"/>
  <c r="L215" i="6"/>
  <c r="K408" i="13" s="1"/>
  <c r="L214" i="6"/>
  <c r="K406" i="13" s="1"/>
  <c r="L213" i="6"/>
  <c r="K404" i="13" s="1"/>
  <c r="L212" i="6"/>
  <c r="K402" i="13" s="1"/>
  <c r="L211" i="6"/>
  <c r="K400" i="13" s="1"/>
  <c r="L210" i="6"/>
  <c r="K398" i="13" s="1"/>
  <c r="L209" i="6"/>
  <c r="K396" i="13" s="1"/>
  <c r="L208" i="6"/>
  <c r="K394" i="13" s="1"/>
  <c r="L207" i="6"/>
  <c r="K392" i="13" s="1"/>
  <c r="L206" i="6"/>
  <c r="K390" i="13" s="1"/>
  <c r="L205" i="6"/>
  <c r="K388" i="13" s="1"/>
  <c r="L204" i="6"/>
  <c r="K386" i="13" s="1"/>
  <c r="L203" i="6"/>
  <c r="L202" i="6"/>
  <c r="K382" i="13" s="1"/>
  <c r="L201" i="6"/>
  <c r="L200" i="6"/>
  <c r="K378" i="13" s="1"/>
  <c r="L199" i="6"/>
  <c r="K376" i="13" s="1"/>
  <c r="L198" i="6"/>
  <c r="K374" i="13" s="1"/>
  <c r="L197" i="6"/>
  <c r="K372" i="13" s="1"/>
  <c r="L196" i="6"/>
  <c r="K370" i="13" s="1"/>
  <c r="L195" i="6"/>
  <c r="K368" i="13" s="1"/>
  <c r="L194" i="6"/>
  <c r="K366" i="13" s="1"/>
  <c r="L193" i="6"/>
  <c r="K364" i="13" s="1"/>
  <c r="L192" i="6"/>
  <c r="K362" i="13" s="1"/>
  <c r="L191" i="6"/>
  <c r="K360" i="13" s="1"/>
  <c r="L190" i="6"/>
  <c r="K358" i="13" s="1"/>
  <c r="L189" i="6"/>
  <c r="K356" i="13" s="1"/>
  <c r="L188" i="6"/>
  <c r="K354" i="13" s="1"/>
  <c r="L187" i="6"/>
  <c r="K352" i="13" s="1"/>
  <c r="L186" i="6"/>
  <c r="K350" i="13" s="1"/>
  <c r="L185" i="6"/>
  <c r="K348" i="13" s="1"/>
  <c r="L184" i="6"/>
  <c r="K346" i="13" s="1"/>
  <c r="L183" i="6"/>
  <c r="K344" i="13" s="1"/>
  <c r="L182" i="6"/>
  <c r="K342" i="13" s="1"/>
  <c r="L181" i="6"/>
  <c r="K340" i="13" s="1"/>
  <c r="L180" i="6"/>
  <c r="K338" i="13" s="1"/>
  <c r="L179" i="6"/>
  <c r="K336" i="13" s="1"/>
  <c r="L178" i="6"/>
  <c r="K334" i="13" s="1"/>
  <c r="L177" i="6"/>
  <c r="K332" i="13" s="1"/>
  <c r="L176" i="6"/>
  <c r="K330" i="13" s="1"/>
  <c r="L175" i="6"/>
  <c r="K328" i="13" s="1"/>
  <c r="L174" i="6"/>
  <c r="K326" i="13" s="1"/>
  <c r="L173" i="6"/>
  <c r="K324" i="13" s="1"/>
  <c r="L172" i="6"/>
  <c r="K322" i="13" s="1"/>
  <c r="L171" i="6"/>
  <c r="K320" i="13" s="1"/>
  <c r="L170" i="6"/>
  <c r="K318" i="13" s="1"/>
  <c r="L169" i="6"/>
  <c r="K316" i="13" s="1"/>
  <c r="L168" i="6"/>
  <c r="K314" i="13" s="1"/>
  <c r="L167" i="6"/>
  <c r="K312" i="13" s="1"/>
  <c r="L166" i="6"/>
  <c r="K310" i="13" s="1"/>
  <c r="L165" i="6"/>
  <c r="K308" i="13" s="1"/>
  <c r="L164" i="6"/>
  <c r="K306" i="13" s="1"/>
  <c r="L163" i="6"/>
  <c r="K304" i="13" s="1"/>
  <c r="L162" i="6"/>
  <c r="K302" i="13" s="1"/>
  <c r="L161" i="6"/>
  <c r="K300" i="13" s="1"/>
  <c r="L160" i="6"/>
  <c r="K298" i="13" s="1"/>
  <c r="L159" i="6"/>
  <c r="K296" i="13" s="1"/>
  <c r="L158" i="6"/>
  <c r="K294" i="13" s="1"/>
  <c r="L157" i="6"/>
  <c r="K292" i="13" s="1"/>
  <c r="L156" i="6"/>
  <c r="K290" i="13" s="1"/>
  <c r="L155" i="6"/>
  <c r="K288" i="13" s="1"/>
  <c r="L154" i="6"/>
  <c r="K286" i="13" s="1"/>
  <c r="L153" i="6"/>
  <c r="K284" i="13" s="1"/>
  <c r="L152" i="6"/>
  <c r="K282" i="13" s="1"/>
  <c r="L151" i="6"/>
  <c r="K280" i="13" s="1"/>
  <c r="L150" i="6"/>
  <c r="K278" i="13" s="1"/>
  <c r="L149" i="6"/>
  <c r="K276" i="13" s="1"/>
  <c r="L148" i="6"/>
  <c r="K274" i="13" s="1"/>
  <c r="L147" i="6"/>
  <c r="K272" i="13" s="1"/>
  <c r="L146" i="6"/>
  <c r="K270" i="13" s="1"/>
  <c r="L145" i="6"/>
  <c r="K268" i="13" s="1"/>
  <c r="L144" i="6"/>
  <c r="K266" i="13" s="1"/>
  <c r="L143" i="6"/>
  <c r="K264" i="13" s="1"/>
  <c r="L142" i="6"/>
  <c r="K262" i="13" s="1"/>
  <c r="L141" i="6"/>
  <c r="K260" i="13" s="1"/>
  <c r="L140" i="6"/>
  <c r="K258" i="13" s="1"/>
  <c r="L139" i="6"/>
  <c r="K256" i="13" s="1"/>
  <c r="L138" i="6"/>
  <c r="K254" i="13" s="1"/>
  <c r="L137" i="6"/>
  <c r="K252" i="13" s="1"/>
  <c r="L136" i="6"/>
  <c r="K250" i="13" s="1"/>
  <c r="L135" i="6"/>
  <c r="K248" i="13" s="1"/>
  <c r="L134" i="6"/>
  <c r="K246" i="13" s="1"/>
  <c r="L133" i="6"/>
  <c r="K244" i="13" s="1"/>
  <c r="L132" i="6"/>
  <c r="K242" i="13" s="1"/>
  <c r="L131" i="6"/>
  <c r="K240" i="13" s="1"/>
  <c r="L130" i="6"/>
  <c r="K238" i="13" s="1"/>
  <c r="L129" i="6"/>
  <c r="L128" i="6"/>
  <c r="L127" i="6"/>
  <c r="K234" i="13" s="1"/>
  <c r="L126" i="6"/>
  <c r="K232" i="13" s="1"/>
  <c r="L125" i="6"/>
  <c r="K230" i="13" s="1"/>
  <c r="L124" i="6"/>
  <c r="K228" i="13" s="1"/>
  <c r="L123" i="6"/>
  <c r="K226" i="13" s="1"/>
  <c r="L122" i="6"/>
  <c r="K224" i="13" s="1"/>
  <c r="L121" i="6"/>
  <c r="K222" i="13" s="1"/>
  <c r="L120" i="6"/>
  <c r="K220" i="13" s="1"/>
  <c r="L119" i="6"/>
  <c r="K218" i="13" s="1"/>
  <c r="L118" i="6"/>
  <c r="K216" i="13" s="1"/>
  <c r="L117" i="6"/>
  <c r="K214" i="13" s="1"/>
  <c r="L116" i="6"/>
  <c r="K212" i="13" s="1"/>
  <c r="L115" i="6"/>
  <c r="K210" i="13" s="1"/>
  <c r="L114" i="6"/>
  <c r="K208" i="13" s="1"/>
  <c r="L113" i="6"/>
  <c r="K206" i="13" s="1"/>
  <c r="L112" i="6"/>
  <c r="K204" i="13" s="1"/>
  <c r="L111" i="6"/>
  <c r="K202" i="13" s="1"/>
  <c r="L110" i="6"/>
  <c r="K200" i="13" s="1"/>
  <c r="L109" i="6"/>
  <c r="K198" i="13" s="1"/>
  <c r="L108" i="6"/>
  <c r="K196" i="13" s="1"/>
  <c r="L107" i="6"/>
  <c r="K194" i="13" s="1"/>
  <c r="L106" i="6"/>
  <c r="K192" i="13" s="1"/>
  <c r="L105" i="6"/>
  <c r="K190" i="13" s="1"/>
  <c r="L104" i="6"/>
  <c r="K188" i="13" s="1"/>
  <c r="L103" i="6"/>
  <c r="K186" i="13" s="1"/>
  <c r="L102" i="6"/>
  <c r="K184" i="13" s="1"/>
  <c r="L101" i="6"/>
  <c r="K182" i="13" s="1"/>
  <c r="L100" i="6"/>
  <c r="K180" i="13" s="1"/>
  <c r="L99" i="6"/>
  <c r="K178" i="13" s="1"/>
  <c r="L98" i="6"/>
  <c r="K176" i="13" s="1"/>
  <c r="L97" i="6"/>
  <c r="K174" i="13" s="1"/>
  <c r="L96" i="6"/>
  <c r="K172" i="13" s="1"/>
  <c r="L95" i="6"/>
  <c r="K170" i="13" s="1"/>
  <c r="L94" i="6"/>
  <c r="K168" i="13" s="1"/>
  <c r="L93" i="6"/>
  <c r="K166" i="13" s="1"/>
  <c r="L92" i="6"/>
  <c r="K164" i="13" s="1"/>
  <c r="L91" i="6"/>
  <c r="K162" i="13" s="1"/>
  <c r="L90" i="6"/>
  <c r="K160" i="13" s="1"/>
  <c r="L89" i="6"/>
  <c r="K158" i="13" s="1"/>
  <c r="L88" i="6"/>
  <c r="K156" i="13" s="1"/>
  <c r="L87" i="6"/>
  <c r="K154" i="13" s="1"/>
  <c r="L86" i="6"/>
  <c r="K152" i="13" s="1"/>
  <c r="L85" i="6"/>
  <c r="K150" i="13" s="1"/>
  <c r="L84" i="6"/>
  <c r="K148" i="13" s="1"/>
  <c r="L83" i="6"/>
  <c r="K146" i="13" s="1"/>
  <c r="L82" i="6"/>
  <c r="K144" i="13" s="1"/>
  <c r="L81" i="6"/>
  <c r="K142" i="13" s="1"/>
  <c r="L80" i="6"/>
  <c r="K140" i="13" s="1"/>
  <c r="L79" i="6"/>
  <c r="K138" i="13" s="1"/>
  <c r="L78" i="6"/>
  <c r="K136" i="13" s="1"/>
  <c r="L77" i="6"/>
  <c r="K134" i="13" s="1"/>
  <c r="L76" i="6"/>
  <c r="K132" i="13" s="1"/>
  <c r="L75" i="6"/>
  <c r="K130" i="13" s="1"/>
  <c r="L74" i="6"/>
  <c r="K128" i="13" s="1"/>
  <c r="L73" i="6"/>
  <c r="K126" i="13" s="1"/>
  <c r="L72" i="6"/>
  <c r="K124" i="13" s="1"/>
  <c r="L71" i="6"/>
  <c r="K122" i="13" s="1"/>
  <c r="L70" i="6"/>
  <c r="K120" i="13" s="1"/>
  <c r="L69" i="6"/>
  <c r="K118" i="13" s="1"/>
  <c r="L68" i="6"/>
  <c r="K116" i="13" s="1"/>
  <c r="L67" i="6"/>
  <c r="K114" i="13" s="1"/>
  <c r="L66" i="6"/>
  <c r="K112" i="13" s="1"/>
  <c r="L65" i="6"/>
  <c r="K110" i="13" s="1"/>
  <c r="L64" i="6"/>
  <c r="K108" i="13" s="1"/>
  <c r="L63" i="6"/>
  <c r="K106" i="13" s="1"/>
  <c r="L62" i="6"/>
  <c r="K104" i="13" s="1"/>
  <c r="L61" i="6"/>
  <c r="K102" i="13" s="1"/>
  <c r="L60" i="6"/>
  <c r="K100" i="13" s="1"/>
  <c r="L59" i="6"/>
  <c r="K98" i="13" s="1"/>
  <c r="L58" i="6"/>
  <c r="K96" i="13" s="1"/>
  <c r="L57" i="6"/>
  <c r="K94" i="13" s="1"/>
  <c r="L56" i="6"/>
  <c r="K92" i="13" s="1"/>
  <c r="L55" i="6"/>
  <c r="K90" i="13" s="1"/>
  <c r="L54" i="6"/>
  <c r="K88" i="13" s="1"/>
  <c r="L53" i="6"/>
  <c r="K86" i="13" s="1"/>
  <c r="L52" i="6"/>
  <c r="K84" i="13" s="1"/>
  <c r="L51" i="6"/>
  <c r="K82" i="13" s="1"/>
  <c r="L50" i="6"/>
  <c r="K80" i="13" s="1"/>
  <c r="L49" i="6"/>
  <c r="K78" i="13" s="1"/>
  <c r="L48" i="6"/>
  <c r="L47" i="6"/>
  <c r="K74" i="13" s="1"/>
  <c r="L46" i="6"/>
  <c r="K72" i="13" s="1"/>
  <c r="L45" i="6"/>
  <c r="K70" i="13" s="1"/>
  <c r="L44" i="6"/>
  <c r="K68" i="13" s="1"/>
  <c r="L43" i="6"/>
  <c r="K66" i="13" s="1"/>
  <c r="L42" i="6"/>
  <c r="K64" i="13" s="1"/>
  <c r="L41" i="6"/>
  <c r="K62" i="13" s="1"/>
  <c r="L40" i="6"/>
  <c r="K60" i="13" s="1"/>
  <c r="L39" i="6"/>
  <c r="K58" i="13" s="1"/>
  <c r="L38" i="6"/>
  <c r="K56" i="13" s="1"/>
  <c r="L37" i="6"/>
  <c r="K54" i="13" s="1"/>
  <c r="L36" i="6"/>
  <c r="K52" i="13" s="1"/>
  <c r="L35" i="6"/>
  <c r="K50" i="13" s="1"/>
  <c r="L34" i="6"/>
  <c r="K48" i="13" s="1"/>
  <c r="L33" i="6"/>
  <c r="K46" i="13" s="1"/>
  <c r="L32" i="6"/>
  <c r="K44" i="13" s="1"/>
  <c r="L31" i="6"/>
  <c r="K42" i="13" s="1"/>
  <c r="L30" i="6"/>
  <c r="K40" i="13" s="1"/>
  <c r="L29" i="6"/>
  <c r="K38" i="13" s="1"/>
  <c r="L28" i="6"/>
  <c r="K36" i="13" s="1"/>
  <c r="L27" i="6"/>
  <c r="K34" i="13" s="1"/>
  <c r="L26" i="6"/>
  <c r="K32" i="13" s="1"/>
  <c r="L25" i="6"/>
  <c r="L24" i="6"/>
  <c r="L23" i="6"/>
  <c r="L22" i="6"/>
  <c r="L21" i="6"/>
  <c r="L20" i="6"/>
  <c r="L19" i="6"/>
  <c r="K18" i="13" s="1"/>
  <c r="L18" i="6"/>
  <c r="L17" i="6"/>
  <c r="L16" i="6"/>
  <c r="L15" i="6"/>
  <c r="L14" i="6"/>
  <c r="K12" i="13" s="1"/>
  <c r="L13" i="6"/>
  <c r="L12" i="6"/>
  <c r="L11" i="6"/>
  <c r="L10" i="6"/>
  <c r="L9" i="6"/>
  <c r="K2" i="13" s="1"/>
  <c r="L8" i="6"/>
  <c r="L7" i="6"/>
  <c r="L6" i="6"/>
  <c r="L5" i="6"/>
  <c r="L4" i="6"/>
  <c r="L3" i="6"/>
  <c r="L2" i="6"/>
  <c r="K1151" i="5" l="1"/>
  <c r="K2" i="5"/>
  <c r="K3" i="13"/>
  <c r="K3" i="5"/>
  <c r="K5" i="13"/>
  <c r="K4" i="5"/>
  <c r="K7" i="13"/>
  <c r="K9" i="5"/>
  <c r="K4" i="13"/>
  <c r="K17" i="13"/>
  <c r="K10" i="5"/>
  <c r="K6" i="13"/>
  <c r="K19" i="13"/>
  <c r="K14" i="13"/>
  <c r="K16" i="13"/>
  <c r="K11" i="5"/>
  <c r="K21" i="13"/>
  <c r="K12" i="5"/>
  <c r="K23" i="13"/>
  <c r="K20" i="13"/>
  <c r="K22" i="13"/>
  <c r="K24" i="13"/>
  <c r="K26" i="13"/>
  <c r="K28" i="13"/>
  <c r="K377" i="5"/>
  <c r="K76" i="13"/>
  <c r="K642" i="13"/>
  <c r="K15" i="5"/>
  <c r="K380" i="13"/>
  <c r="K29" i="13"/>
  <c r="K16" i="5"/>
  <c r="K384" i="13"/>
  <c r="K31" i="13"/>
  <c r="K19" i="5"/>
  <c r="K37" i="13"/>
  <c r="K25" i="5"/>
  <c r="K49" i="13"/>
  <c r="K26" i="5"/>
  <c r="K51" i="13"/>
  <c r="K29" i="5"/>
  <c r="K57" i="13"/>
  <c r="K476" i="13"/>
  <c r="K478" i="13"/>
  <c r="K31" i="5"/>
  <c r="K61" i="13"/>
  <c r="K33" i="5"/>
  <c r="K65" i="13"/>
  <c r="K34" i="5"/>
  <c r="K504" i="13"/>
  <c r="K67" i="13"/>
  <c r="K35" i="5"/>
  <c r="K69" i="13"/>
  <c r="K37" i="5"/>
  <c r="K73" i="13"/>
  <c r="K43" i="5"/>
  <c r="K85" i="13"/>
  <c r="K45" i="5"/>
  <c r="K89" i="13"/>
  <c r="K46" i="5"/>
  <c r="K91" i="13"/>
  <c r="K50" i="5"/>
  <c r="K99" i="13"/>
  <c r="K59" i="5"/>
  <c r="K117" i="13"/>
  <c r="K60" i="5"/>
  <c r="K119" i="13"/>
  <c r="K70" i="5"/>
  <c r="K139" i="13"/>
  <c r="K73" i="5"/>
  <c r="K145" i="13"/>
  <c r="K74" i="5"/>
  <c r="K147" i="13"/>
  <c r="K77" i="5"/>
  <c r="K153" i="13"/>
  <c r="K80" i="5"/>
  <c r="K159" i="13"/>
  <c r="K81" i="5"/>
  <c r="K161" i="13"/>
  <c r="K82" i="5"/>
  <c r="K163" i="13"/>
  <c r="K83" i="5"/>
  <c r="K165" i="13"/>
  <c r="K84" i="5"/>
  <c r="K167" i="13"/>
  <c r="K85" i="5"/>
  <c r="K169" i="13"/>
  <c r="K86" i="5"/>
  <c r="K171" i="13"/>
  <c r="K87" i="5"/>
  <c r="K173" i="13"/>
  <c r="K88" i="5"/>
  <c r="K175" i="13"/>
  <c r="K92" i="5"/>
  <c r="K183" i="13"/>
  <c r="K98" i="5"/>
  <c r="K195" i="13"/>
  <c r="K100" i="5"/>
  <c r="K199" i="13"/>
  <c r="K101" i="5"/>
  <c r="K201" i="13"/>
  <c r="K102" i="5"/>
  <c r="K203" i="13"/>
  <c r="K104" i="5"/>
  <c r="K207" i="13"/>
  <c r="K108" i="5"/>
  <c r="K215" i="13"/>
  <c r="K109" i="5"/>
  <c r="K217" i="13"/>
  <c r="K110" i="5"/>
  <c r="K219" i="13"/>
  <c r="K117" i="5"/>
  <c r="K233" i="13"/>
  <c r="K120" i="5"/>
  <c r="K239" i="13"/>
  <c r="K121" i="5"/>
  <c r="K241" i="13"/>
  <c r="K128" i="5"/>
  <c r="K255" i="13"/>
  <c r="K129" i="5"/>
  <c r="K257" i="13"/>
  <c r="K130" i="5"/>
  <c r="K259" i="13"/>
  <c r="K131" i="5"/>
  <c r="K261" i="13"/>
  <c r="K132" i="5"/>
  <c r="K263" i="13"/>
  <c r="K133" i="5"/>
  <c r="K265" i="13"/>
  <c r="K138" i="5"/>
  <c r="K275" i="13"/>
  <c r="K145" i="5"/>
  <c r="K289" i="13"/>
  <c r="K159" i="5"/>
  <c r="K317" i="13"/>
  <c r="K161" i="5"/>
  <c r="K321" i="13"/>
  <c r="K162" i="5"/>
  <c r="K323" i="13"/>
  <c r="K165" i="5"/>
  <c r="K329" i="13"/>
  <c r="K166" i="5"/>
  <c r="K331" i="13"/>
  <c r="K170" i="5"/>
  <c r="K339" i="13"/>
  <c r="K175" i="5"/>
  <c r="K349" i="13"/>
  <c r="K177" i="5"/>
  <c r="K353" i="13"/>
  <c r="K178" i="5"/>
  <c r="K355" i="13"/>
  <c r="K179" i="5"/>
  <c r="K357" i="13"/>
  <c r="K184" i="5"/>
  <c r="K367" i="13"/>
  <c r="K200" i="5"/>
  <c r="K399" i="13"/>
  <c r="K201" i="5"/>
  <c r="K401" i="13"/>
  <c r="K202" i="5"/>
  <c r="K403" i="13"/>
  <c r="K203" i="5"/>
  <c r="K405" i="13"/>
  <c r="K226" i="5"/>
  <c r="K451" i="13"/>
  <c r="K227" i="5"/>
  <c r="K453" i="13"/>
  <c r="K229" i="5"/>
  <c r="K457" i="13"/>
  <c r="K230" i="5"/>
  <c r="K459" i="13"/>
  <c r="K231" i="5"/>
  <c r="K461" i="13"/>
  <c r="K234" i="5"/>
  <c r="K467" i="13"/>
  <c r="K236" i="5"/>
  <c r="K471" i="13"/>
  <c r="K237" i="5"/>
  <c r="K473" i="13"/>
  <c r="K238" i="5"/>
  <c r="K475" i="13"/>
  <c r="K240" i="5"/>
  <c r="K479" i="13"/>
  <c r="K242" i="5"/>
  <c r="K483" i="13"/>
  <c r="K244" i="5"/>
  <c r="K487" i="13"/>
  <c r="K245" i="5"/>
  <c r="K489" i="13"/>
  <c r="K246" i="5"/>
  <c r="K491" i="13"/>
  <c r="K248" i="5"/>
  <c r="K495" i="13"/>
  <c r="K252" i="5"/>
  <c r="K503" i="13"/>
  <c r="K255" i="5"/>
  <c r="K509" i="13"/>
  <c r="K256" i="5"/>
  <c r="K511" i="13"/>
  <c r="K257" i="5"/>
  <c r="K513" i="13"/>
  <c r="K258" i="5"/>
  <c r="K515" i="13"/>
  <c r="K260" i="5"/>
  <c r="K519" i="13"/>
  <c r="K266" i="5"/>
  <c r="K531" i="13"/>
  <c r="K268" i="5"/>
  <c r="K533" i="13"/>
  <c r="K269" i="5"/>
  <c r="K270" i="5"/>
  <c r="K535" i="13"/>
  <c r="K271" i="5"/>
  <c r="K536" i="13"/>
  <c r="K272" i="5"/>
  <c r="K537" i="13"/>
  <c r="K273" i="5"/>
  <c r="K538" i="13"/>
  <c r="K274" i="5"/>
  <c r="K539" i="13"/>
  <c r="K275" i="5"/>
  <c r="K540" i="13"/>
  <c r="K277" i="5"/>
  <c r="K542" i="13"/>
  <c r="K280" i="5"/>
  <c r="K545" i="13"/>
  <c r="K281" i="5"/>
  <c r="K546" i="13"/>
  <c r="K283" i="5"/>
  <c r="K548" i="13"/>
  <c r="K284" i="5"/>
  <c r="K549" i="13"/>
  <c r="K285" i="5"/>
  <c r="K550" i="13"/>
  <c r="K287" i="5"/>
  <c r="K552" i="13"/>
  <c r="K288" i="5"/>
  <c r="K553" i="13"/>
  <c r="K291" i="5"/>
  <c r="K556" i="13"/>
  <c r="K293" i="5"/>
  <c r="K558" i="13"/>
  <c r="K294" i="5"/>
  <c r="K559" i="13"/>
  <c r="K297" i="5"/>
  <c r="K562" i="13"/>
  <c r="K299" i="5"/>
  <c r="K564" i="13"/>
  <c r="K301" i="5"/>
  <c r="K566" i="13"/>
  <c r="K302" i="5"/>
  <c r="K567" i="13"/>
  <c r="K303" i="5"/>
  <c r="K568" i="13"/>
  <c r="K304" i="5"/>
  <c r="K569" i="13"/>
  <c r="K305" i="5"/>
  <c r="K570" i="13"/>
  <c r="K306" i="5"/>
  <c r="K571" i="13"/>
  <c r="K307" i="5"/>
  <c r="K572" i="13"/>
  <c r="K308" i="5"/>
  <c r="K573" i="13"/>
  <c r="K309" i="5"/>
  <c r="K574" i="13"/>
  <c r="K311" i="5"/>
  <c r="K576" i="13"/>
  <c r="K312" i="5"/>
  <c r="K577" i="13"/>
  <c r="K315" i="5"/>
  <c r="K580" i="13"/>
  <c r="K317" i="5"/>
  <c r="K582" i="13"/>
  <c r="K319" i="5"/>
  <c r="K584" i="13"/>
  <c r="K323" i="5"/>
  <c r="K588" i="13"/>
  <c r="K324" i="5"/>
  <c r="K589" i="13"/>
  <c r="K325" i="5"/>
  <c r="K590" i="13"/>
  <c r="K326" i="5"/>
  <c r="K591" i="13"/>
  <c r="K330" i="5"/>
  <c r="K595" i="13"/>
  <c r="K349" i="5"/>
  <c r="K614" i="13"/>
  <c r="K352" i="5"/>
  <c r="K617" i="13"/>
  <c r="K359" i="5"/>
  <c r="K624" i="13"/>
  <c r="K360" i="5"/>
  <c r="K625" i="13"/>
  <c r="K367" i="5"/>
  <c r="K632" i="13"/>
  <c r="K368" i="5"/>
  <c r="K633" i="13"/>
  <c r="K375" i="5"/>
  <c r="K640" i="13"/>
  <c r="K383" i="5"/>
  <c r="K648" i="13"/>
  <c r="K389" i="5"/>
  <c r="K654" i="13"/>
  <c r="K390" i="5"/>
  <c r="K655" i="13"/>
  <c r="K405" i="5"/>
  <c r="K670" i="13"/>
  <c r="K408" i="5"/>
  <c r="K673" i="13"/>
  <c r="K409" i="5"/>
  <c r="K674" i="13"/>
  <c r="K410" i="5"/>
  <c r="K675" i="13"/>
  <c r="K426" i="5"/>
  <c r="K691" i="13"/>
  <c r="K437" i="5"/>
  <c r="K702" i="13"/>
  <c r="K446" i="5"/>
  <c r="K711" i="13"/>
  <c r="K451" i="5"/>
  <c r="K716" i="13"/>
  <c r="K459" i="5"/>
  <c r="K724" i="13"/>
  <c r="K460" i="5"/>
  <c r="K725" i="13"/>
  <c r="K461" i="5"/>
  <c r="K726" i="13"/>
  <c r="K462" i="5"/>
  <c r="K727" i="13"/>
  <c r="K468" i="5"/>
  <c r="K733" i="13"/>
  <c r="K469" i="5"/>
  <c r="K734" i="13"/>
  <c r="K477" i="5"/>
  <c r="K742" i="13"/>
  <c r="K500" i="5"/>
  <c r="K765" i="13"/>
  <c r="K508" i="5"/>
  <c r="K773" i="13"/>
  <c r="K509" i="5"/>
  <c r="K774" i="13"/>
  <c r="K517" i="5"/>
  <c r="K782" i="13"/>
  <c r="K520" i="5"/>
  <c r="K785" i="13"/>
  <c r="K541" i="5"/>
  <c r="K806" i="13"/>
  <c r="K543" i="5"/>
  <c r="K808" i="13"/>
  <c r="K546" i="5"/>
  <c r="K811" i="13"/>
  <c r="K562" i="5"/>
  <c r="K827" i="13"/>
  <c r="K564" i="5"/>
  <c r="K829" i="13"/>
  <c r="K569" i="5"/>
  <c r="K834" i="13"/>
  <c r="K570" i="5"/>
  <c r="K835" i="13"/>
  <c r="K574" i="5"/>
  <c r="K839" i="13"/>
  <c r="K575" i="5"/>
  <c r="K840" i="13"/>
  <c r="K578" i="5"/>
  <c r="K843" i="13"/>
  <c r="K579" i="5"/>
  <c r="K844" i="13"/>
  <c r="K616" i="5"/>
  <c r="K881" i="13"/>
  <c r="K618" i="5"/>
  <c r="K883" i="13"/>
  <c r="K619" i="5"/>
  <c r="K884" i="13"/>
  <c r="K620" i="5"/>
  <c r="K885" i="13"/>
  <c r="K621" i="5"/>
  <c r="K886" i="13"/>
  <c r="K622" i="5"/>
  <c r="K887" i="13"/>
  <c r="K626" i="5"/>
  <c r="K891" i="13"/>
  <c r="K627" i="5"/>
  <c r="K892" i="13"/>
  <c r="K632" i="5"/>
  <c r="K897" i="13"/>
  <c r="K685" i="5"/>
  <c r="K950" i="13"/>
  <c r="K692" i="5"/>
  <c r="K957" i="13"/>
  <c r="K694" i="5"/>
  <c r="K959" i="13"/>
  <c r="K728" i="5"/>
  <c r="K993" i="13"/>
  <c r="K732" i="5"/>
  <c r="K997" i="13"/>
  <c r="K733" i="5"/>
  <c r="K998" i="13"/>
  <c r="K734" i="5"/>
  <c r="K999" i="13"/>
  <c r="K735" i="5"/>
  <c r="K1000" i="13"/>
  <c r="K736" i="5"/>
  <c r="K1001" i="13"/>
  <c r="K766" i="5"/>
  <c r="K1031" i="13"/>
  <c r="K807" i="5"/>
  <c r="K1072" i="13"/>
  <c r="K832" i="5"/>
  <c r="K1097" i="13"/>
  <c r="K833" i="5"/>
  <c r="K1098" i="13"/>
  <c r="K834" i="5"/>
  <c r="K1099" i="13"/>
  <c r="K835" i="5"/>
  <c r="K1100" i="13"/>
  <c r="K847" i="5"/>
  <c r="K1112" i="13"/>
  <c r="K848" i="5"/>
  <c r="K1113" i="13"/>
  <c r="K849" i="5"/>
  <c r="K1114" i="13"/>
  <c r="K853" i="5"/>
  <c r="K1118" i="13"/>
  <c r="K854" i="5"/>
  <c r="K1119" i="13"/>
  <c r="K855" i="5"/>
  <c r="K1120" i="13"/>
  <c r="K882" i="5"/>
  <c r="K1147" i="13"/>
  <c r="K928" i="5"/>
  <c r="K1193" i="13"/>
  <c r="K210" i="5"/>
  <c r="K419" i="13"/>
  <c r="K211" i="5"/>
  <c r="K421" i="13"/>
  <c r="K212" i="5"/>
  <c r="K423" i="13"/>
  <c r="K5" i="5"/>
  <c r="K9" i="13"/>
  <c r="K6" i="5"/>
  <c r="K11" i="13"/>
  <c r="K7" i="5"/>
  <c r="K13" i="13"/>
  <c r="K8" i="5"/>
  <c r="K15" i="13"/>
  <c r="K8" i="13"/>
  <c r="K10" i="13"/>
  <c r="K13" i="5"/>
  <c r="K30" i="13"/>
  <c r="K25" i="13"/>
  <c r="K14" i="5"/>
  <c r="K236" i="13"/>
  <c r="K27" i="13"/>
  <c r="K20" i="5"/>
  <c r="K39" i="13"/>
  <c r="K21" i="5"/>
  <c r="K41" i="13"/>
  <c r="K22" i="5"/>
  <c r="K43" i="13"/>
  <c r="K23" i="5"/>
  <c r="K45" i="13"/>
  <c r="K24" i="5"/>
  <c r="K47" i="13"/>
  <c r="K30" i="5"/>
  <c r="K59" i="13"/>
  <c r="K38" i="5"/>
  <c r="K75" i="13"/>
  <c r="K44" i="5"/>
  <c r="K87" i="13"/>
  <c r="K48" i="5"/>
  <c r="K95" i="13"/>
  <c r="K49" i="5"/>
  <c r="K97" i="13"/>
  <c r="K58" i="5"/>
  <c r="K115" i="13"/>
  <c r="K63" i="5"/>
  <c r="K125" i="13"/>
  <c r="K64" i="5"/>
  <c r="K127" i="13"/>
  <c r="K67" i="5"/>
  <c r="K133" i="13"/>
  <c r="K71" i="5"/>
  <c r="K141" i="13"/>
  <c r="K78" i="5"/>
  <c r="K155" i="13"/>
  <c r="K91" i="5"/>
  <c r="K181" i="13"/>
  <c r="K93" i="5"/>
  <c r="K185" i="13"/>
  <c r="K94" i="5"/>
  <c r="K187" i="13"/>
  <c r="K113" i="5"/>
  <c r="K225" i="13"/>
  <c r="K115" i="5"/>
  <c r="K229" i="13"/>
  <c r="K122" i="5"/>
  <c r="K243" i="13"/>
  <c r="K124" i="5"/>
  <c r="K247" i="13"/>
  <c r="K126" i="5"/>
  <c r="K251" i="13"/>
  <c r="K137" i="5"/>
  <c r="K273" i="13"/>
  <c r="K139" i="5"/>
  <c r="K277" i="13"/>
  <c r="K144" i="5"/>
  <c r="K287" i="13"/>
  <c r="K148" i="5"/>
  <c r="K295" i="13"/>
  <c r="K152" i="5"/>
  <c r="K303" i="13"/>
  <c r="K157" i="5"/>
  <c r="K313" i="13"/>
  <c r="K169" i="5"/>
  <c r="K337" i="13"/>
  <c r="K172" i="5"/>
  <c r="K343" i="13"/>
  <c r="K173" i="5"/>
  <c r="K345" i="13"/>
  <c r="K187" i="5"/>
  <c r="K373" i="13"/>
  <c r="K189" i="5"/>
  <c r="K377" i="13"/>
  <c r="K190" i="5"/>
  <c r="K379" i="13"/>
  <c r="K191" i="5"/>
  <c r="K381" i="13"/>
  <c r="K195" i="5"/>
  <c r="K389" i="13"/>
  <c r="K206" i="5"/>
  <c r="K411" i="13"/>
  <c r="K209" i="5"/>
  <c r="K417" i="13"/>
  <c r="K286" i="5"/>
  <c r="K551" i="13"/>
  <c r="K289" i="5"/>
  <c r="K554" i="13"/>
  <c r="K292" i="5"/>
  <c r="K557" i="13"/>
  <c r="K310" i="5"/>
  <c r="K575" i="13"/>
  <c r="K322" i="5"/>
  <c r="K587" i="13"/>
  <c r="K331" i="5"/>
  <c r="K596" i="13"/>
  <c r="K332" i="5"/>
  <c r="K597" i="13"/>
  <c r="K338" i="5"/>
  <c r="K603" i="13"/>
  <c r="K339" i="5"/>
  <c r="K604" i="13"/>
  <c r="K340" i="5"/>
  <c r="K605" i="13"/>
  <c r="K382" i="5"/>
  <c r="K647" i="13"/>
  <c r="K387" i="5"/>
  <c r="K652" i="13"/>
  <c r="K388" i="5"/>
  <c r="K653" i="13"/>
  <c r="K395" i="5"/>
  <c r="K660" i="13"/>
  <c r="K404" i="5"/>
  <c r="K669" i="13"/>
  <c r="K406" i="5"/>
  <c r="K671" i="13"/>
  <c r="K416" i="5"/>
  <c r="K681" i="13"/>
  <c r="K427" i="5"/>
  <c r="K692" i="13"/>
  <c r="K428" i="5"/>
  <c r="K693" i="13"/>
  <c r="K436" i="5"/>
  <c r="K701" i="13"/>
  <c r="K449" i="5"/>
  <c r="K714" i="13"/>
  <c r="K474" i="5"/>
  <c r="K739" i="13"/>
  <c r="K492" i="5"/>
  <c r="K757" i="13"/>
  <c r="K493" i="5"/>
  <c r="K758" i="13"/>
  <c r="K527" i="5"/>
  <c r="K792" i="13"/>
  <c r="K536" i="5"/>
  <c r="K801" i="13"/>
  <c r="K556" i="5"/>
  <c r="K821" i="13"/>
  <c r="K557" i="5"/>
  <c r="K822" i="13"/>
  <c r="K563" i="5"/>
  <c r="K828" i="13"/>
  <c r="K598" i="5"/>
  <c r="K863" i="13"/>
  <c r="K599" i="5"/>
  <c r="K864" i="13"/>
  <c r="K610" i="5"/>
  <c r="K875" i="13"/>
  <c r="K612" i="5"/>
  <c r="K877" i="13"/>
  <c r="K623" i="5"/>
  <c r="K888" i="13"/>
  <c r="K624" i="5"/>
  <c r="K889" i="13"/>
  <c r="K633" i="5"/>
  <c r="K898" i="13"/>
  <c r="K637" i="5"/>
  <c r="K902" i="13"/>
  <c r="K654" i="5"/>
  <c r="K919" i="13"/>
  <c r="K655" i="5"/>
  <c r="K920" i="13"/>
  <c r="K661" i="5"/>
  <c r="K926" i="13"/>
  <c r="K665" i="5"/>
  <c r="K930" i="13"/>
  <c r="K669" i="5"/>
  <c r="K934" i="13"/>
  <c r="K670" i="5"/>
  <c r="K935" i="13"/>
  <c r="K675" i="5"/>
  <c r="K940" i="13"/>
  <c r="K796" i="5"/>
  <c r="K1061" i="13"/>
  <c r="K837" i="5"/>
  <c r="K1102" i="13"/>
  <c r="K838" i="5"/>
  <c r="K1103" i="13"/>
  <c r="K868" i="5"/>
  <c r="K1133" i="13"/>
  <c r="K880" i="5"/>
  <c r="K1145" i="13"/>
  <c r="K977" i="5"/>
  <c r="K1242" i="13"/>
  <c r="K990" i="5"/>
  <c r="K1255" i="13"/>
  <c r="F569" i="12"/>
  <c r="E569" i="12"/>
  <c r="F568" i="12"/>
  <c r="E568" i="12"/>
  <c r="F567" i="12"/>
  <c r="E567" i="12"/>
  <c r="F566" i="12"/>
  <c r="E566" i="12"/>
  <c r="F565" i="12"/>
  <c r="E565" i="12"/>
  <c r="F564" i="12"/>
  <c r="E564" i="12"/>
  <c r="F563" i="12"/>
  <c r="E563" i="12"/>
  <c r="F562" i="12"/>
  <c r="E562" i="12"/>
  <c r="F561" i="12"/>
  <c r="E561" i="12"/>
  <c r="F560" i="12"/>
  <c r="E560" i="12"/>
  <c r="F559" i="12"/>
  <c r="E559" i="12"/>
  <c r="F558" i="12"/>
  <c r="E558" i="12"/>
  <c r="F557" i="12"/>
  <c r="E557" i="12"/>
  <c r="F556" i="12"/>
  <c r="E556" i="12"/>
  <c r="F555" i="12"/>
  <c r="E555" i="12"/>
  <c r="F554" i="12"/>
  <c r="E554" i="12"/>
  <c r="F553" i="12"/>
  <c r="E553" i="12"/>
  <c r="F552" i="12"/>
  <c r="E552" i="12"/>
  <c r="F551" i="12"/>
  <c r="E551" i="12"/>
  <c r="F550" i="12"/>
  <c r="E550" i="12"/>
  <c r="F549" i="12"/>
  <c r="E549" i="12"/>
  <c r="F548" i="12"/>
  <c r="E548" i="12"/>
  <c r="F547" i="12"/>
  <c r="E547" i="12"/>
  <c r="F546" i="12"/>
  <c r="E546" i="12"/>
  <c r="F545" i="12"/>
  <c r="E545" i="12"/>
  <c r="F544" i="12"/>
  <c r="E544" i="12"/>
  <c r="F543" i="12"/>
  <c r="E543" i="12"/>
  <c r="F542" i="12"/>
  <c r="E542" i="12"/>
  <c r="F541" i="12"/>
  <c r="E541" i="12"/>
  <c r="F540" i="12"/>
  <c r="E540" i="12"/>
  <c r="F539" i="12"/>
  <c r="E539" i="12"/>
  <c r="F538" i="12"/>
  <c r="E538" i="12"/>
  <c r="F537" i="12"/>
  <c r="E537" i="12"/>
  <c r="F536" i="12"/>
  <c r="E536" i="12"/>
  <c r="F535" i="12"/>
  <c r="E535" i="12"/>
  <c r="F534" i="12"/>
  <c r="E534" i="12"/>
  <c r="F533" i="12"/>
  <c r="E533" i="12"/>
  <c r="F532" i="12"/>
  <c r="E532" i="12"/>
  <c r="F531" i="12"/>
  <c r="E531" i="12"/>
  <c r="F530" i="12"/>
  <c r="E530" i="12"/>
  <c r="F529" i="12"/>
  <c r="E529" i="12"/>
  <c r="F528" i="12"/>
  <c r="E528" i="12"/>
  <c r="F527" i="12"/>
  <c r="E527" i="12"/>
  <c r="F526" i="12"/>
  <c r="E526" i="12"/>
  <c r="F525" i="12"/>
  <c r="E525" i="12"/>
  <c r="F524" i="12"/>
  <c r="E524" i="12"/>
  <c r="F523" i="12"/>
  <c r="E523" i="12"/>
  <c r="F522" i="12"/>
  <c r="E522" i="12"/>
  <c r="F521" i="12"/>
  <c r="E521" i="12"/>
  <c r="F520" i="12"/>
  <c r="E520" i="12"/>
  <c r="F519" i="12"/>
  <c r="E519" i="12"/>
  <c r="F518" i="12"/>
  <c r="E518" i="12"/>
  <c r="F517" i="12"/>
  <c r="E517" i="12"/>
  <c r="F516" i="12"/>
  <c r="E516" i="12"/>
  <c r="F515" i="12"/>
  <c r="E515" i="12"/>
  <c r="F514" i="12"/>
  <c r="E514" i="12"/>
  <c r="F513" i="12"/>
  <c r="E513" i="12"/>
  <c r="F512" i="12"/>
  <c r="E512" i="12"/>
  <c r="F511" i="12"/>
  <c r="E511" i="12"/>
  <c r="F510" i="12"/>
  <c r="E510" i="12"/>
  <c r="F509" i="12"/>
  <c r="E509" i="12"/>
  <c r="F508" i="12"/>
  <c r="E508" i="12"/>
  <c r="F507" i="12"/>
  <c r="E507" i="12"/>
  <c r="F506" i="12"/>
  <c r="E506" i="12"/>
  <c r="F505" i="12"/>
  <c r="E505" i="12"/>
  <c r="F504" i="12"/>
  <c r="E504" i="12"/>
  <c r="F503" i="12"/>
  <c r="E503" i="12"/>
  <c r="F502" i="12"/>
  <c r="E502" i="12"/>
  <c r="F501" i="12"/>
  <c r="E501" i="12"/>
  <c r="F500" i="12"/>
  <c r="E500" i="12"/>
  <c r="F499" i="12"/>
  <c r="E499" i="12"/>
  <c r="F498" i="12"/>
  <c r="E498" i="12"/>
  <c r="F497" i="12"/>
  <c r="E497" i="12"/>
  <c r="F496" i="12"/>
  <c r="E496" i="12"/>
  <c r="F495" i="12"/>
  <c r="E495" i="12"/>
  <c r="F494" i="12"/>
  <c r="E494" i="12"/>
  <c r="F493" i="12"/>
  <c r="E493" i="12"/>
  <c r="F492" i="12"/>
  <c r="E492" i="12"/>
  <c r="F491" i="12"/>
  <c r="E491" i="12"/>
  <c r="F490" i="12"/>
  <c r="E490" i="12"/>
  <c r="F489" i="12"/>
  <c r="E489" i="12"/>
  <c r="F488" i="12"/>
  <c r="E488" i="12"/>
  <c r="F487" i="12"/>
  <c r="E487" i="12"/>
  <c r="F486" i="12"/>
  <c r="E486" i="12"/>
  <c r="F485" i="12"/>
  <c r="E485" i="12"/>
  <c r="F484" i="12"/>
  <c r="E484" i="12"/>
  <c r="F483" i="12"/>
  <c r="E483" i="12"/>
  <c r="F482" i="12"/>
  <c r="E482" i="12"/>
  <c r="F481" i="12"/>
  <c r="E481" i="12"/>
  <c r="F480" i="12"/>
  <c r="E480" i="12"/>
  <c r="F479" i="12"/>
  <c r="E479" i="12"/>
  <c r="F478" i="12"/>
  <c r="E478" i="12"/>
  <c r="F477" i="12"/>
  <c r="E477" i="12"/>
  <c r="F476" i="12"/>
  <c r="E476" i="12"/>
  <c r="F475" i="12"/>
  <c r="E475" i="12"/>
  <c r="F474" i="12"/>
  <c r="E474" i="12"/>
  <c r="F473" i="12"/>
  <c r="E473" i="12"/>
  <c r="F472" i="12"/>
  <c r="E472" i="12"/>
  <c r="F471" i="12"/>
  <c r="E471" i="12"/>
  <c r="F470" i="12"/>
  <c r="E470" i="12"/>
  <c r="F469" i="12"/>
  <c r="E469" i="12"/>
  <c r="F468" i="12"/>
  <c r="E468" i="12"/>
  <c r="F467" i="12"/>
  <c r="E467" i="12"/>
  <c r="F466" i="12"/>
  <c r="E466" i="12"/>
  <c r="F465" i="12"/>
  <c r="E465" i="12"/>
  <c r="F464" i="12"/>
  <c r="E464" i="12"/>
  <c r="F463" i="12"/>
  <c r="E463" i="12"/>
  <c r="F462" i="12"/>
  <c r="E462" i="12"/>
  <c r="F461" i="12"/>
  <c r="E461" i="12"/>
  <c r="F460" i="12"/>
  <c r="E460" i="12"/>
  <c r="F459" i="12"/>
  <c r="E459" i="12"/>
  <c r="F458" i="12"/>
  <c r="E458" i="12"/>
  <c r="F457" i="12"/>
  <c r="E457" i="12"/>
  <c r="F456" i="12"/>
  <c r="E456" i="12"/>
  <c r="F455" i="12"/>
  <c r="E455" i="12"/>
  <c r="F454" i="12"/>
  <c r="E454" i="12"/>
  <c r="F453" i="12"/>
  <c r="E453" i="12"/>
  <c r="F452" i="12"/>
  <c r="E452" i="12"/>
  <c r="F451" i="12"/>
  <c r="E451" i="12"/>
  <c r="F450" i="12"/>
  <c r="E450" i="12"/>
  <c r="F449" i="12"/>
  <c r="E449" i="12"/>
  <c r="F448" i="12"/>
  <c r="E448" i="12"/>
  <c r="F447" i="12"/>
  <c r="E447" i="12"/>
  <c r="F446" i="12"/>
  <c r="E446" i="12"/>
  <c r="F445" i="12"/>
  <c r="E445" i="12"/>
  <c r="F444" i="12"/>
  <c r="E444" i="12"/>
  <c r="F443" i="12"/>
  <c r="E443" i="12"/>
  <c r="F442" i="12"/>
  <c r="E442" i="12"/>
  <c r="F441" i="12"/>
  <c r="E441" i="12"/>
  <c r="F440" i="12"/>
  <c r="E440" i="12"/>
  <c r="F439" i="12"/>
  <c r="E439" i="12"/>
  <c r="F438" i="12"/>
  <c r="E438" i="12"/>
  <c r="F437" i="12"/>
  <c r="E437" i="12"/>
  <c r="F436" i="12"/>
  <c r="E436" i="12"/>
  <c r="F435" i="12"/>
  <c r="E435" i="12"/>
  <c r="F434" i="12"/>
  <c r="E434" i="12"/>
  <c r="F433" i="12"/>
  <c r="E433" i="12"/>
  <c r="F432" i="12"/>
  <c r="E432" i="12"/>
  <c r="F431" i="12"/>
  <c r="E431" i="12"/>
  <c r="F430" i="12"/>
  <c r="E430" i="12"/>
  <c r="F429" i="12"/>
  <c r="E429" i="12"/>
  <c r="F428" i="12"/>
  <c r="E428" i="12"/>
  <c r="F427" i="12"/>
  <c r="E427" i="12"/>
  <c r="F426" i="12"/>
  <c r="E426" i="12"/>
  <c r="F425" i="12"/>
  <c r="E425" i="12"/>
  <c r="F424" i="12"/>
  <c r="E424" i="12"/>
  <c r="F423" i="12"/>
  <c r="E423" i="12"/>
  <c r="F422" i="12"/>
  <c r="E422" i="12"/>
  <c r="F421" i="12"/>
  <c r="E421" i="12"/>
  <c r="F420" i="12"/>
  <c r="E420" i="12"/>
  <c r="F419" i="12"/>
  <c r="E419" i="12"/>
  <c r="F418" i="12"/>
  <c r="E418" i="12"/>
  <c r="F417" i="12"/>
  <c r="E417" i="12"/>
  <c r="F416" i="12"/>
  <c r="E416" i="12"/>
  <c r="F415" i="12"/>
  <c r="E415" i="12"/>
  <c r="F414" i="12"/>
  <c r="E414" i="12"/>
  <c r="F413" i="12"/>
  <c r="E413" i="12"/>
  <c r="F412" i="12"/>
  <c r="E412" i="12"/>
  <c r="F411" i="12"/>
  <c r="E411" i="12"/>
  <c r="F410" i="12"/>
  <c r="E410" i="12"/>
  <c r="F409" i="12"/>
  <c r="E409" i="12"/>
  <c r="F408" i="12"/>
  <c r="E408" i="12"/>
  <c r="F407" i="12"/>
  <c r="E407" i="12"/>
  <c r="F406" i="12"/>
  <c r="E406" i="12"/>
  <c r="F405" i="12"/>
  <c r="E405" i="12"/>
  <c r="F404" i="12"/>
  <c r="E404" i="12"/>
  <c r="F403" i="12"/>
  <c r="E403" i="12"/>
  <c r="F402" i="12"/>
  <c r="E402" i="12"/>
  <c r="F401" i="12"/>
  <c r="E401" i="12"/>
  <c r="F400" i="12"/>
  <c r="E400" i="12"/>
  <c r="F399" i="12"/>
  <c r="E399" i="12"/>
  <c r="F398" i="12"/>
  <c r="E398" i="12"/>
  <c r="F397" i="12"/>
  <c r="E397" i="12"/>
  <c r="F396" i="12"/>
  <c r="E396" i="12"/>
  <c r="F395" i="12"/>
  <c r="E395" i="12"/>
  <c r="F394" i="12"/>
  <c r="E394" i="12"/>
  <c r="F393" i="12"/>
  <c r="E393" i="12"/>
  <c r="F392" i="12"/>
  <c r="E392" i="12"/>
  <c r="F391" i="12"/>
  <c r="E391" i="12"/>
  <c r="F390" i="12"/>
  <c r="E390" i="12"/>
  <c r="F389" i="12"/>
  <c r="E389" i="12"/>
  <c r="F388" i="12"/>
  <c r="E388" i="12"/>
  <c r="F387" i="12"/>
  <c r="E387" i="12"/>
  <c r="F386" i="12"/>
  <c r="E386" i="12"/>
  <c r="F385" i="12"/>
  <c r="E385" i="12"/>
  <c r="F384" i="12"/>
  <c r="E384" i="12"/>
  <c r="F383" i="12"/>
  <c r="E383" i="12"/>
  <c r="F382" i="12"/>
  <c r="E382" i="12"/>
  <c r="F381" i="12"/>
  <c r="E381" i="12"/>
  <c r="F380" i="12"/>
  <c r="E380" i="12"/>
  <c r="F379" i="12"/>
  <c r="E379" i="12"/>
  <c r="F378" i="12"/>
  <c r="E378" i="12"/>
  <c r="F377" i="12"/>
  <c r="E377" i="12"/>
  <c r="F376" i="12"/>
  <c r="E376" i="12"/>
  <c r="F375" i="12"/>
  <c r="E375" i="12"/>
  <c r="F374" i="12"/>
  <c r="E374" i="12"/>
  <c r="F373" i="12"/>
  <c r="E373" i="12"/>
  <c r="F372" i="12"/>
  <c r="E372" i="12"/>
  <c r="F371" i="12"/>
  <c r="E371" i="12"/>
  <c r="F370" i="12"/>
  <c r="E370" i="12"/>
  <c r="F369" i="12"/>
  <c r="E369" i="12"/>
  <c r="F368" i="12"/>
  <c r="E368" i="12"/>
  <c r="F367" i="12"/>
  <c r="E367" i="12"/>
  <c r="F366" i="12"/>
  <c r="E366" i="12"/>
  <c r="F365" i="12"/>
  <c r="E365" i="12"/>
  <c r="F364" i="12"/>
  <c r="E364" i="12"/>
  <c r="F363" i="12"/>
  <c r="E363" i="12"/>
  <c r="F362" i="12"/>
  <c r="E362" i="12"/>
  <c r="F361" i="12"/>
  <c r="E361" i="12"/>
  <c r="F360" i="12"/>
  <c r="E360" i="12"/>
  <c r="F359" i="12"/>
  <c r="E359" i="12"/>
  <c r="F358" i="12"/>
  <c r="E358" i="12"/>
  <c r="F357" i="12"/>
  <c r="E357" i="12"/>
  <c r="F356" i="12"/>
  <c r="E356" i="12"/>
  <c r="F355" i="12"/>
  <c r="E355" i="12"/>
  <c r="F354" i="12"/>
  <c r="E354" i="12"/>
  <c r="F353" i="12"/>
  <c r="E353" i="12"/>
  <c r="F352" i="12"/>
  <c r="E352" i="12"/>
  <c r="F351" i="12"/>
  <c r="E351" i="12"/>
  <c r="F350" i="12"/>
  <c r="E350" i="12"/>
  <c r="F349" i="12"/>
  <c r="E349" i="12"/>
  <c r="F348" i="12"/>
  <c r="E348" i="12"/>
  <c r="F347" i="12"/>
  <c r="E347" i="12"/>
  <c r="F346" i="12"/>
  <c r="E346" i="12"/>
  <c r="F345" i="12"/>
  <c r="E345" i="12"/>
  <c r="F344" i="12"/>
  <c r="E344" i="12"/>
  <c r="F343" i="12"/>
  <c r="E343" i="12"/>
  <c r="F342" i="12"/>
  <c r="E342" i="12"/>
  <c r="F341" i="12"/>
  <c r="E341" i="12"/>
  <c r="F340" i="12"/>
  <c r="E340" i="12"/>
  <c r="F339" i="12"/>
  <c r="E339" i="12"/>
  <c r="F338" i="12"/>
  <c r="E338" i="12"/>
  <c r="F337" i="12"/>
  <c r="E337" i="12"/>
  <c r="F336" i="12"/>
  <c r="E336" i="12"/>
  <c r="F335" i="12"/>
  <c r="E335" i="12"/>
  <c r="F334" i="12"/>
  <c r="E334" i="12"/>
  <c r="F333" i="12"/>
  <c r="E333" i="12"/>
  <c r="F332" i="12"/>
  <c r="E332" i="12"/>
  <c r="F331" i="12"/>
  <c r="E331" i="12"/>
  <c r="F330" i="12"/>
  <c r="E330" i="12"/>
  <c r="F329" i="12"/>
  <c r="E329" i="12"/>
  <c r="F328" i="12"/>
  <c r="E328" i="12"/>
  <c r="F327" i="12"/>
  <c r="E327" i="12"/>
  <c r="F326" i="12"/>
  <c r="E326" i="12"/>
  <c r="F325" i="12"/>
  <c r="E325" i="12"/>
  <c r="F324" i="12"/>
  <c r="E324" i="12"/>
  <c r="F323" i="12"/>
  <c r="E323" i="12"/>
  <c r="F322" i="12"/>
  <c r="E322" i="12"/>
  <c r="F321" i="12"/>
  <c r="E321" i="12"/>
  <c r="F320" i="12"/>
  <c r="E320" i="12"/>
  <c r="F319" i="12"/>
  <c r="E319" i="12"/>
  <c r="F318" i="12"/>
  <c r="E318" i="12"/>
  <c r="F317" i="12"/>
  <c r="E317" i="12"/>
  <c r="F316" i="12"/>
  <c r="E316" i="12"/>
  <c r="F315" i="12"/>
  <c r="E315" i="12"/>
  <c r="F314" i="12"/>
  <c r="E314" i="12"/>
  <c r="F313" i="12"/>
  <c r="E313" i="12"/>
  <c r="F312" i="12"/>
  <c r="E312" i="12"/>
  <c r="F311" i="12"/>
  <c r="E311" i="12"/>
  <c r="F310" i="12"/>
  <c r="E310" i="12"/>
  <c r="F309" i="12"/>
  <c r="E309" i="12"/>
  <c r="F308" i="12"/>
  <c r="E308" i="12"/>
  <c r="F307" i="12"/>
  <c r="E307" i="12"/>
  <c r="F306" i="12"/>
  <c r="E306" i="12"/>
  <c r="F305" i="12"/>
  <c r="E305" i="12"/>
  <c r="F304" i="12"/>
  <c r="E304" i="12"/>
  <c r="F303" i="12"/>
  <c r="E303" i="12"/>
  <c r="F302" i="12"/>
  <c r="E302" i="12"/>
  <c r="F301" i="12"/>
  <c r="E301" i="12"/>
  <c r="F300" i="12"/>
  <c r="E300" i="12"/>
  <c r="F299" i="12"/>
  <c r="E299" i="12"/>
  <c r="F298" i="12"/>
  <c r="E298" i="12"/>
  <c r="F297" i="12"/>
  <c r="E297" i="12"/>
  <c r="F296" i="12"/>
  <c r="E296" i="12"/>
  <c r="F295" i="12"/>
  <c r="E295" i="12"/>
  <c r="F294" i="12"/>
  <c r="E294" i="12"/>
  <c r="F293" i="12"/>
  <c r="E293" i="12"/>
  <c r="F292" i="12"/>
  <c r="E292" i="12"/>
  <c r="F291" i="12"/>
  <c r="E291" i="12"/>
  <c r="F290" i="12"/>
  <c r="E290" i="12"/>
  <c r="F289" i="12"/>
  <c r="E289" i="12"/>
  <c r="F288" i="12"/>
  <c r="E288" i="12"/>
  <c r="F287" i="12"/>
  <c r="E287" i="12"/>
  <c r="F286" i="12"/>
  <c r="E286" i="12"/>
  <c r="F285" i="12"/>
  <c r="E285" i="12"/>
  <c r="F284" i="12"/>
  <c r="E284" i="12"/>
  <c r="F283" i="12"/>
  <c r="E283" i="12"/>
  <c r="F282" i="12"/>
  <c r="E282" i="12"/>
  <c r="F281" i="12"/>
  <c r="E281" i="12"/>
  <c r="F280" i="12"/>
  <c r="E280" i="12"/>
  <c r="F279" i="12"/>
  <c r="E279" i="12"/>
  <c r="F278" i="12"/>
  <c r="E278" i="12"/>
  <c r="F277" i="12"/>
  <c r="E277" i="12"/>
  <c r="F276" i="12"/>
  <c r="E276" i="12"/>
  <c r="F275" i="12"/>
  <c r="E275" i="12"/>
  <c r="F274" i="12"/>
  <c r="E274" i="12"/>
  <c r="F273" i="12"/>
  <c r="E273" i="12"/>
  <c r="F272" i="12"/>
  <c r="E272" i="12"/>
  <c r="F271" i="12"/>
  <c r="E271" i="12"/>
  <c r="F270" i="12"/>
  <c r="E270" i="12"/>
  <c r="F269" i="12"/>
  <c r="E269" i="12"/>
  <c r="F268" i="12"/>
  <c r="E268" i="12"/>
  <c r="F267" i="12"/>
  <c r="E267" i="12"/>
  <c r="F266" i="12"/>
  <c r="E266" i="12"/>
  <c r="F265" i="12"/>
  <c r="E265" i="12"/>
  <c r="F264" i="12"/>
  <c r="E264" i="12"/>
  <c r="F263" i="12"/>
  <c r="E263" i="12"/>
  <c r="F262" i="12"/>
  <c r="E262" i="12"/>
  <c r="F261" i="12"/>
  <c r="E261" i="12"/>
  <c r="F260" i="12"/>
  <c r="E260" i="12"/>
  <c r="F259" i="12"/>
  <c r="E259" i="12"/>
  <c r="F258" i="12"/>
  <c r="E258" i="12"/>
  <c r="F257" i="12"/>
  <c r="E257" i="12"/>
  <c r="F256" i="12"/>
  <c r="E256" i="12"/>
  <c r="F255" i="12"/>
  <c r="E255" i="12"/>
  <c r="F254" i="12"/>
  <c r="E254" i="12"/>
  <c r="F253" i="12"/>
  <c r="E253" i="12"/>
  <c r="F252" i="12"/>
  <c r="E252" i="12"/>
  <c r="F251" i="12"/>
  <c r="E251" i="12"/>
  <c r="F250" i="12"/>
  <c r="E250" i="12"/>
  <c r="F249" i="12"/>
  <c r="E249" i="12"/>
  <c r="F248" i="12"/>
  <c r="E248" i="12"/>
  <c r="F247" i="12"/>
  <c r="E247" i="12"/>
  <c r="F246" i="12"/>
  <c r="E246" i="12"/>
  <c r="F245" i="12"/>
  <c r="E245" i="12"/>
  <c r="F244" i="12"/>
  <c r="E244" i="12"/>
  <c r="F243" i="12"/>
  <c r="E243" i="12"/>
  <c r="F242" i="12"/>
  <c r="E242" i="12"/>
  <c r="F241" i="12"/>
  <c r="E241" i="12"/>
  <c r="F240" i="12"/>
  <c r="E240" i="12"/>
  <c r="F239" i="12"/>
  <c r="E239" i="12"/>
  <c r="F238" i="12"/>
  <c r="E238" i="12"/>
  <c r="F237" i="12"/>
  <c r="E237" i="12"/>
  <c r="F236" i="12"/>
  <c r="E236" i="12"/>
  <c r="F235" i="12"/>
  <c r="E235" i="12"/>
  <c r="F234" i="12"/>
  <c r="E234" i="12"/>
  <c r="F233" i="12"/>
  <c r="E233" i="12"/>
  <c r="F232" i="12"/>
  <c r="E232" i="12"/>
  <c r="F231" i="12"/>
  <c r="E231" i="12"/>
  <c r="F230" i="12"/>
  <c r="E230" i="12"/>
  <c r="F229" i="12"/>
  <c r="E229" i="12"/>
  <c r="F228" i="12"/>
  <c r="E228" i="12"/>
  <c r="F227" i="12"/>
  <c r="E227" i="12"/>
  <c r="F226" i="12"/>
  <c r="E226" i="12"/>
  <c r="F225" i="12"/>
  <c r="E225" i="12"/>
  <c r="F224" i="12"/>
  <c r="E224" i="12"/>
  <c r="F223" i="12"/>
  <c r="E223" i="12"/>
  <c r="F222" i="12"/>
  <c r="E222" i="12"/>
  <c r="F221" i="12"/>
  <c r="E221" i="12"/>
  <c r="F220" i="12"/>
  <c r="E220" i="12"/>
  <c r="F219" i="12"/>
  <c r="E219" i="12"/>
  <c r="F218" i="12"/>
  <c r="E218" i="12"/>
  <c r="F217" i="12"/>
  <c r="E217" i="12"/>
  <c r="F216" i="12"/>
  <c r="E216" i="12"/>
  <c r="F215" i="12"/>
  <c r="E215" i="12"/>
  <c r="F214" i="12"/>
  <c r="E214" i="12"/>
  <c r="F213" i="12"/>
  <c r="E213" i="12"/>
  <c r="F212" i="12"/>
  <c r="E212" i="12"/>
  <c r="F211" i="12"/>
  <c r="E211" i="12"/>
  <c r="F210" i="12"/>
  <c r="E210" i="12"/>
  <c r="F209" i="12"/>
  <c r="E209" i="12"/>
  <c r="F208" i="12"/>
  <c r="E208" i="12"/>
  <c r="F207" i="12"/>
  <c r="E207" i="12"/>
  <c r="F206" i="12"/>
  <c r="E206" i="12"/>
  <c r="F205" i="12"/>
  <c r="E205" i="12"/>
  <c r="F204" i="12"/>
  <c r="E204" i="12"/>
  <c r="F203" i="12"/>
  <c r="E203" i="12"/>
  <c r="F202" i="12"/>
  <c r="E202" i="12"/>
  <c r="F201" i="12"/>
  <c r="E201" i="12"/>
  <c r="F200" i="12"/>
  <c r="E200" i="12"/>
  <c r="F199" i="12"/>
  <c r="E199" i="12"/>
  <c r="F198" i="12"/>
  <c r="E198" i="12"/>
  <c r="F197" i="12"/>
  <c r="E197" i="12"/>
  <c r="F196" i="12"/>
  <c r="E196" i="12"/>
  <c r="F195" i="12"/>
  <c r="E195" i="12"/>
  <c r="F194" i="12"/>
  <c r="E194" i="12"/>
  <c r="F193" i="12"/>
  <c r="E193" i="12"/>
  <c r="F192" i="12"/>
  <c r="E192" i="12"/>
  <c r="F191" i="12"/>
  <c r="E191" i="12"/>
  <c r="F190" i="12"/>
  <c r="E190" i="12"/>
  <c r="F189" i="12"/>
  <c r="E189" i="12"/>
  <c r="F188" i="12"/>
  <c r="E188" i="12"/>
  <c r="F187" i="12"/>
  <c r="E187" i="12"/>
  <c r="F186" i="12"/>
  <c r="E186" i="12"/>
  <c r="F185" i="12"/>
  <c r="E185" i="12"/>
  <c r="F184" i="12"/>
  <c r="E184" i="12"/>
  <c r="F183" i="12"/>
  <c r="E183" i="12"/>
  <c r="F182" i="12"/>
  <c r="E182" i="12"/>
  <c r="F181" i="12"/>
  <c r="E181" i="12"/>
  <c r="F180" i="12"/>
  <c r="E180" i="12"/>
  <c r="F179" i="12"/>
  <c r="E179" i="12"/>
  <c r="F178" i="12"/>
  <c r="E178" i="12"/>
  <c r="F177" i="12"/>
  <c r="E177" i="12"/>
  <c r="F176" i="12"/>
  <c r="E176" i="12"/>
  <c r="F175" i="12"/>
  <c r="E175" i="12"/>
  <c r="F174" i="12"/>
  <c r="E174" i="12"/>
  <c r="F173" i="12"/>
  <c r="E173" i="12"/>
  <c r="F172" i="12"/>
  <c r="E172" i="12"/>
  <c r="F171" i="12"/>
  <c r="E171" i="12"/>
  <c r="F170" i="12"/>
  <c r="E170" i="12"/>
  <c r="F169" i="12"/>
  <c r="E169" i="12"/>
  <c r="F168" i="12"/>
  <c r="E168" i="12"/>
  <c r="F167" i="12"/>
  <c r="E167" i="12"/>
  <c r="F166" i="12"/>
  <c r="E166" i="12"/>
  <c r="F165" i="12"/>
  <c r="E165" i="12"/>
  <c r="F164" i="12"/>
  <c r="E164" i="12"/>
  <c r="F163" i="12"/>
  <c r="E163" i="12"/>
  <c r="F162" i="12"/>
  <c r="E162" i="12"/>
  <c r="F161" i="12"/>
  <c r="E161" i="12"/>
  <c r="F160" i="12"/>
  <c r="E160" i="12"/>
  <c r="F159" i="12"/>
  <c r="E159" i="12"/>
  <c r="F158" i="12"/>
  <c r="E158" i="12"/>
  <c r="F157" i="12"/>
  <c r="E157" i="12"/>
  <c r="F156" i="12"/>
  <c r="E156" i="12"/>
  <c r="F155" i="12"/>
  <c r="E155" i="12"/>
  <c r="F154" i="12"/>
  <c r="E154" i="12"/>
  <c r="F153" i="12"/>
  <c r="E153" i="12"/>
  <c r="F152" i="12"/>
  <c r="E152" i="12"/>
  <c r="F151" i="12"/>
  <c r="E151" i="12"/>
  <c r="F150" i="12"/>
  <c r="E150" i="12"/>
  <c r="F149" i="12"/>
  <c r="E149" i="12"/>
  <c r="F148" i="12"/>
  <c r="E148" i="12"/>
  <c r="F147" i="12"/>
  <c r="E147" i="12"/>
  <c r="F146" i="12"/>
  <c r="E146" i="12"/>
  <c r="F145" i="12"/>
  <c r="E145" i="12"/>
  <c r="F144" i="12"/>
  <c r="E144" i="12"/>
  <c r="F143" i="12"/>
  <c r="E143" i="12"/>
  <c r="F142" i="12"/>
  <c r="E142" i="12"/>
  <c r="F141" i="12"/>
  <c r="E141" i="12"/>
  <c r="F140" i="12"/>
  <c r="E140" i="12"/>
  <c r="F139" i="12"/>
  <c r="E139" i="12"/>
  <c r="F138" i="12"/>
  <c r="E138" i="12"/>
  <c r="F137" i="12"/>
  <c r="E137" i="12"/>
  <c r="F136" i="12"/>
  <c r="E136" i="12"/>
  <c r="F135" i="12"/>
  <c r="E135" i="12"/>
  <c r="F134" i="12"/>
  <c r="E134" i="12"/>
  <c r="F133" i="12"/>
  <c r="E133" i="12"/>
  <c r="F132" i="12"/>
  <c r="E132" i="12"/>
  <c r="F131" i="12"/>
  <c r="E131" i="12"/>
  <c r="F130" i="12"/>
  <c r="E130" i="12"/>
  <c r="F129" i="12"/>
  <c r="E129" i="12"/>
  <c r="F128" i="12"/>
  <c r="E128" i="12"/>
  <c r="F127" i="12"/>
  <c r="E127" i="12"/>
  <c r="F126" i="12"/>
  <c r="E126" i="12"/>
  <c r="F125" i="12"/>
  <c r="E125" i="12"/>
  <c r="F124" i="12"/>
  <c r="E124" i="12"/>
  <c r="F123" i="12"/>
  <c r="E123" i="12"/>
  <c r="F122" i="12"/>
  <c r="E122" i="12"/>
  <c r="F121" i="12"/>
  <c r="E121" i="12"/>
  <c r="F120" i="12"/>
  <c r="E120" i="12"/>
  <c r="F119" i="12"/>
  <c r="E119" i="12"/>
  <c r="F118" i="12"/>
  <c r="E118" i="12"/>
  <c r="F117" i="12"/>
  <c r="E117" i="12"/>
  <c r="F116" i="12"/>
  <c r="E116" i="12"/>
  <c r="F115" i="12"/>
  <c r="E115" i="12"/>
  <c r="F114" i="12"/>
  <c r="E114" i="12"/>
  <c r="F113" i="12"/>
  <c r="E113" i="12"/>
  <c r="F112" i="12"/>
  <c r="E112" i="12"/>
  <c r="F111" i="12"/>
  <c r="E111" i="12"/>
  <c r="F110" i="12"/>
  <c r="E110" i="12"/>
  <c r="F109" i="12"/>
  <c r="E109" i="12"/>
  <c r="F108" i="12"/>
  <c r="E108" i="12"/>
  <c r="F107" i="12"/>
  <c r="E107" i="12"/>
  <c r="F106" i="12"/>
  <c r="E106" i="12"/>
  <c r="F105" i="12"/>
  <c r="E105" i="12"/>
  <c r="F104" i="12"/>
  <c r="E104" i="12"/>
  <c r="F103" i="12"/>
  <c r="E103" i="12"/>
  <c r="F102" i="12"/>
  <c r="E102" i="12"/>
  <c r="F101" i="12"/>
  <c r="E101" i="12"/>
  <c r="F100" i="12"/>
  <c r="E100" i="12"/>
  <c r="F99" i="12"/>
  <c r="E99" i="12"/>
  <c r="F98" i="12"/>
  <c r="E98" i="12"/>
  <c r="F97" i="12"/>
  <c r="E97" i="12"/>
  <c r="F96" i="12"/>
  <c r="E96" i="12"/>
  <c r="F95" i="12"/>
  <c r="E95" i="12"/>
  <c r="F94" i="12"/>
  <c r="E94" i="12"/>
  <c r="F93" i="12"/>
  <c r="E93" i="12"/>
  <c r="F92" i="12"/>
  <c r="E92" i="12"/>
  <c r="F91" i="12"/>
  <c r="E91" i="12"/>
  <c r="F90" i="12"/>
  <c r="E90" i="12"/>
  <c r="F89" i="12"/>
  <c r="E89" i="12"/>
  <c r="F88" i="12"/>
  <c r="E88" i="12"/>
  <c r="F87" i="12"/>
  <c r="E87" i="12"/>
  <c r="F86" i="12"/>
  <c r="E86" i="12"/>
  <c r="F85" i="12"/>
  <c r="E85" i="12"/>
  <c r="F84" i="12"/>
  <c r="E84" i="12"/>
  <c r="F83" i="12"/>
  <c r="E83" i="12"/>
  <c r="F82" i="12"/>
  <c r="E82" i="12"/>
  <c r="F81" i="12"/>
  <c r="E81" i="12"/>
  <c r="F80" i="12"/>
  <c r="E80" i="12"/>
  <c r="F79" i="12"/>
  <c r="E79" i="12"/>
  <c r="F78" i="12"/>
  <c r="E78" i="12"/>
  <c r="F77" i="12"/>
  <c r="E77" i="12"/>
  <c r="F76" i="12"/>
  <c r="E76" i="12"/>
  <c r="F75" i="12"/>
  <c r="E75" i="12"/>
  <c r="F74" i="12"/>
  <c r="E74" i="12"/>
  <c r="F73" i="12"/>
  <c r="E73" i="12"/>
  <c r="F72" i="12"/>
  <c r="E72" i="12"/>
  <c r="F71" i="12"/>
  <c r="E71" i="12"/>
  <c r="F70" i="12"/>
  <c r="E70" i="12"/>
  <c r="F69" i="12"/>
  <c r="E69" i="12"/>
  <c r="F68" i="12"/>
  <c r="E68" i="12"/>
  <c r="F67" i="12"/>
  <c r="E67" i="12"/>
  <c r="F66" i="12"/>
  <c r="E66" i="12"/>
  <c r="F65" i="12"/>
  <c r="E65" i="12"/>
  <c r="F64" i="12"/>
  <c r="E64" i="12"/>
  <c r="F63" i="12"/>
  <c r="E63" i="12"/>
  <c r="F62" i="12"/>
  <c r="E62" i="12"/>
  <c r="F61" i="12"/>
  <c r="E61" i="12"/>
  <c r="F60" i="12"/>
  <c r="E60" i="12"/>
  <c r="F59" i="12"/>
  <c r="E59" i="12"/>
  <c r="F58" i="12"/>
  <c r="E58" i="12"/>
  <c r="F57" i="12"/>
  <c r="E57" i="12"/>
  <c r="F56" i="12"/>
  <c r="E56" i="12"/>
  <c r="F55" i="12"/>
  <c r="E55" i="12"/>
  <c r="F54" i="12"/>
  <c r="E54" i="12"/>
  <c r="F53" i="12"/>
  <c r="E53" i="12"/>
  <c r="F52" i="12"/>
  <c r="E52" i="12"/>
  <c r="F51" i="12"/>
  <c r="E51" i="12"/>
  <c r="F50" i="12"/>
  <c r="E50" i="12"/>
  <c r="F49" i="12"/>
  <c r="E49" i="12"/>
  <c r="F48" i="12"/>
  <c r="E48" i="12"/>
  <c r="F47" i="12"/>
  <c r="E47" i="12"/>
  <c r="F46" i="12"/>
  <c r="E46" i="12"/>
  <c r="F45" i="12"/>
  <c r="E45" i="12"/>
  <c r="F44" i="12"/>
  <c r="E44" i="12"/>
  <c r="F43" i="12"/>
  <c r="E43" i="12"/>
  <c r="F42" i="12"/>
  <c r="E42" i="12"/>
  <c r="F41" i="12"/>
  <c r="E41" i="12"/>
  <c r="F40" i="12"/>
  <c r="E40" i="12"/>
  <c r="F39" i="12"/>
  <c r="E39" i="12"/>
  <c r="F38" i="12"/>
  <c r="E38" i="12"/>
  <c r="F37" i="12"/>
  <c r="E37" i="12"/>
  <c r="F36" i="12"/>
  <c r="E36" i="12"/>
  <c r="F35" i="12"/>
  <c r="E35" i="12"/>
  <c r="F34" i="12"/>
  <c r="E34" i="12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4" i="12"/>
  <c r="E24" i="12"/>
  <c r="F23" i="12"/>
  <c r="E23" i="12"/>
  <c r="F22" i="12"/>
  <c r="E22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F5" i="12"/>
  <c r="E5" i="12"/>
  <c r="F4" i="12"/>
  <c r="E4" i="12"/>
  <c r="F3" i="12"/>
  <c r="E3" i="12"/>
  <c r="F2" i="12"/>
  <c r="E2" i="12"/>
  <c r="N12" i="5" l="1"/>
  <c r="O12" i="5"/>
  <c r="N11" i="5"/>
  <c r="O11" i="5"/>
  <c r="N10" i="5"/>
  <c r="O10" i="5"/>
  <c r="N9" i="5"/>
  <c r="O9" i="5"/>
  <c r="N8" i="5"/>
  <c r="O8" i="5"/>
  <c r="N7" i="5"/>
  <c r="O7" i="5"/>
  <c r="N6" i="5"/>
  <c r="O6" i="5"/>
  <c r="N5" i="5"/>
  <c r="O5" i="5"/>
  <c r="N4" i="5"/>
  <c r="O4" i="5"/>
  <c r="N3" i="5"/>
  <c r="O3" i="5"/>
  <c r="N26" i="5"/>
  <c r="O26" i="5"/>
  <c r="N25" i="5"/>
  <c r="O25" i="5"/>
  <c r="N24" i="5"/>
  <c r="O24" i="5"/>
  <c r="N23" i="5"/>
  <c r="O23" i="5"/>
  <c r="N22" i="5"/>
  <c r="O22" i="5"/>
  <c r="N21" i="5"/>
  <c r="O21" i="5"/>
  <c r="N20" i="5"/>
  <c r="O20" i="5"/>
  <c r="N19" i="5"/>
  <c r="O19" i="5"/>
  <c r="N18" i="5"/>
  <c r="O18" i="5"/>
  <c r="N17" i="5"/>
  <c r="O17" i="5"/>
  <c r="N16" i="5"/>
  <c r="O16" i="5"/>
  <c r="N15" i="5"/>
  <c r="O15" i="5"/>
  <c r="N14" i="5"/>
  <c r="O14" i="5"/>
  <c r="N13" i="5"/>
  <c r="O13" i="5"/>
  <c r="N48" i="5"/>
  <c r="O48" i="5"/>
  <c r="N47" i="5"/>
  <c r="O47" i="5"/>
  <c r="N46" i="5"/>
  <c r="O46" i="5"/>
  <c r="N45" i="5"/>
  <c r="O45" i="5"/>
  <c r="N44" i="5"/>
  <c r="O44" i="5"/>
  <c r="N43" i="5"/>
  <c r="O43" i="5"/>
  <c r="N42" i="5"/>
  <c r="O42" i="5"/>
  <c r="N41" i="5"/>
  <c r="O41" i="5"/>
  <c r="N40" i="5"/>
  <c r="O40" i="5"/>
  <c r="N39" i="5"/>
  <c r="O39" i="5"/>
  <c r="N38" i="5"/>
  <c r="O38" i="5"/>
  <c r="N37" i="5"/>
  <c r="O37" i="5"/>
  <c r="N36" i="5"/>
  <c r="O36" i="5"/>
  <c r="N35" i="5"/>
  <c r="O35" i="5"/>
  <c r="N34" i="5"/>
  <c r="O34" i="5"/>
  <c r="N33" i="5"/>
  <c r="O33" i="5"/>
  <c r="N32" i="5"/>
  <c r="O32" i="5"/>
  <c r="N31" i="5"/>
  <c r="O31" i="5"/>
  <c r="N30" i="5"/>
  <c r="O30" i="5"/>
  <c r="N29" i="5"/>
  <c r="O29" i="5"/>
  <c r="N28" i="5"/>
  <c r="O28" i="5"/>
  <c r="N27" i="5"/>
  <c r="O27" i="5"/>
  <c r="N77" i="5"/>
  <c r="O77" i="5"/>
  <c r="N76" i="5"/>
  <c r="O76" i="5"/>
  <c r="N75" i="5"/>
  <c r="O75" i="5"/>
  <c r="N74" i="5"/>
  <c r="O74" i="5"/>
  <c r="N73" i="5"/>
  <c r="O73" i="5"/>
  <c r="N72" i="5"/>
  <c r="O72" i="5"/>
  <c r="N71" i="5"/>
  <c r="O71" i="5"/>
  <c r="N70" i="5"/>
  <c r="O70" i="5"/>
  <c r="N69" i="5"/>
  <c r="O69" i="5"/>
  <c r="N68" i="5"/>
  <c r="O68" i="5"/>
  <c r="N67" i="5"/>
  <c r="O67" i="5"/>
  <c r="N66" i="5"/>
  <c r="O66" i="5"/>
  <c r="N65" i="5"/>
  <c r="O65" i="5"/>
  <c r="N64" i="5"/>
  <c r="O64" i="5"/>
  <c r="N63" i="5"/>
  <c r="O63" i="5"/>
  <c r="N62" i="5"/>
  <c r="O62" i="5"/>
  <c r="N61" i="5"/>
  <c r="O61" i="5"/>
  <c r="N60" i="5"/>
  <c r="O60" i="5"/>
  <c r="N59" i="5"/>
  <c r="O59" i="5"/>
  <c r="N58" i="5"/>
  <c r="O58" i="5"/>
  <c r="N57" i="5"/>
  <c r="O57" i="5"/>
  <c r="N56" i="5"/>
  <c r="O56" i="5"/>
  <c r="N55" i="5"/>
  <c r="O55" i="5"/>
  <c r="N54" i="5"/>
  <c r="O54" i="5"/>
  <c r="N53" i="5"/>
  <c r="O53" i="5"/>
  <c r="N52" i="5"/>
  <c r="O52" i="5"/>
  <c r="N51" i="5"/>
  <c r="O51" i="5"/>
  <c r="N50" i="5"/>
  <c r="O50" i="5"/>
  <c r="N49" i="5"/>
  <c r="O49" i="5"/>
  <c r="N1091" i="5"/>
  <c r="O1091" i="5"/>
  <c r="N1090" i="5"/>
  <c r="O1090" i="5"/>
  <c r="N1089" i="5"/>
  <c r="O1089" i="5"/>
  <c r="N1088" i="5"/>
  <c r="O1088" i="5"/>
  <c r="N1087" i="5"/>
  <c r="O1087" i="5"/>
  <c r="N1086" i="5"/>
  <c r="O1086" i="5"/>
  <c r="N1085" i="5"/>
  <c r="O1085" i="5"/>
  <c r="N1084" i="5"/>
  <c r="O1084" i="5"/>
  <c r="N1083" i="5"/>
  <c r="O1083" i="5"/>
  <c r="N1082" i="5"/>
  <c r="O1082" i="5"/>
  <c r="N1081" i="5"/>
  <c r="O1081" i="5"/>
  <c r="N1080" i="5"/>
  <c r="O1080" i="5"/>
  <c r="N1079" i="5"/>
  <c r="O1079" i="5"/>
  <c r="N1078" i="5"/>
  <c r="O1078" i="5"/>
  <c r="N1077" i="5"/>
  <c r="O1077" i="5"/>
  <c r="N1076" i="5"/>
  <c r="O1076" i="5"/>
  <c r="N1075" i="5"/>
  <c r="O1075" i="5"/>
  <c r="N1074" i="5"/>
  <c r="O1074" i="5"/>
  <c r="N1073" i="5"/>
  <c r="O1073" i="5"/>
  <c r="N1072" i="5"/>
  <c r="O1072" i="5"/>
  <c r="N1071" i="5"/>
  <c r="O1071" i="5"/>
  <c r="N1070" i="5"/>
  <c r="O1070" i="5"/>
  <c r="N1069" i="5"/>
  <c r="O1069" i="5"/>
  <c r="N1068" i="5"/>
  <c r="O1068" i="5"/>
  <c r="N1067" i="5"/>
  <c r="O1067" i="5"/>
  <c r="N1066" i="5"/>
  <c r="O1066" i="5"/>
  <c r="N1065" i="5"/>
  <c r="O1065" i="5"/>
  <c r="N1064" i="5"/>
  <c r="O1064" i="5"/>
  <c r="N1063" i="5"/>
  <c r="O1063" i="5"/>
  <c r="N1062" i="5"/>
  <c r="O1062" i="5"/>
  <c r="N1061" i="5"/>
  <c r="O1061" i="5"/>
  <c r="N1060" i="5"/>
  <c r="O1060" i="5"/>
  <c r="N1059" i="5"/>
  <c r="O1059" i="5"/>
  <c r="N1058" i="5"/>
  <c r="O1058" i="5"/>
  <c r="N1057" i="5"/>
  <c r="O1057" i="5"/>
  <c r="N1056" i="5"/>
  <c r="O1056" i="5"/>
  <c r="N1055" i="5"/>
  <c r="O1055" i="5"/>
  <c r="N1054" i="5"/>
  <c r="O1054" i="5"/>
  <c r="N1053" i="5"/>
  <c r="O1053" i="5"/>
  <c r="N1052" i="5"/>
  <c r="O1052" i="5"/>
  <c r="N1051" i="5"/>
  <c r="O1051" i="5"/>
  <c r="N1050" i="5"/>
  <c r="O1050" i="5"/>
  <c r="N1049" i="5"/>
  <c r="O1049" i="5"/>
  <c r="N1048" i="5"/>
  <c r="O1048" i="5"/>
  <c r="N1047" i="5"/>
  <c r="O1047" i="5"/>
  <c r="N1046" i="5"/>
  <c r="O1046" i="5"/>
  <c r="N1045" i="5"/>
  <c r="O1045" i="5"/>
  <c r="N1044" i="5"/>
  <c r="O1044" i="5"/>
  <c r="N1043" i="5"/>
  <c r="O1043" i="5"/>
  <c r="N1042" i="5"/>
  <c r="O1042" i="5"/>
  <c r="N1041" i="5"/>
  <c r="O1041" i="5"/>
  <c r="N1040" i="5"/>
  <c r="O1040" i="5"/>
  <c r="N1039" i="5"/>
  <c r="O1039" i="5"/>
  <c r="N1038" i="5"/>
  <c r="O1038" i="5"/>
  <c r="N1037" i="5"/>
  <c r="O1037" i="5"/>
  <c r="N1036" i="5"/>
  <c r="O1036" i="5"/>
  <c r="N1035" i="5"/>
  <c r="O1035" i="5"/>
  <c r="N1034" i="5"/>
  <c r="O1034" i="5"/>
  <c r="N1033" i="5"/>
  <c r="O1033" i="5"/>
  <c r="N1032" i="5"/>
  <c r="O1032" i="5"/>
  <c r="N1031" i="5"/>
  <c r="O1031" i="5"/>
  <c r="N1030" i="5"/>
  <c r="O1030" i="5"/>
  <c r="N1029" i="5"/>
  <c r="O1029" i="5"/>
  <c r="N1028" i="5"/>
  <c r="O1028" i="5"/>
  <c r="N1027" i="5"/>
  <c r="O1027" i="5"/>
  <c r="N1026" i="5"/>
  <c r="O1026" i="5"/>
  <c r="N1025" i="5"/>
  <c r="O1025" i="5"/>
  <c r="N1024" i="5"/>
  <c r="O1024" i="5"/>
  <c r="N1023" i="5"/>
  <c r="O1023" i="5"/>
  <c r="N1022" i="5"/>
  <c r="O1022" i="5"/>
  <c r="N1021" i="5"/>
  <c r="O1021" i="5"/>
  <c r="N1020" i="5"/>
  <c r="O1020" i="5"/>
  <c r="N1019" i="5"/>
  <c r="O1019" i="5"/>
  <c r="N1018" i="5"/>
  <c r="O1018" i="5"/>
  <c r="N1017" i="5"/>
  <c r="O1017" i="5"/>
  <c r="N1016" i="5"/>
  <c r="O1016" i="5"/>
  <c r="N1015" i="5"/>
  <c r="O1015" i="5"/>
  <c r="N1014" i="5"/>
  <c r="O1014" i="5"/>
  <c r="N1013" i="5"/>
  <c r="O1013" i="5"/>
  <c r="N1012" i="5"/>
  <c r="O1012" i="5"/>
  <c r="N1011" i="5"/>
  <c r="O1011" i="5"/>
  <c r="N1010" i="5"/>
  <c r="O1010" i="5"/>
  <c r="N1009" i="5"/>
  <c r="O1009" i="5"/>
  <c r="N1008" i="5"/>
  <c r="O1008" i="5"/>
  <c r="N1007" i="5"/>
  <c r="O1007" i="5"/>
  <c r="N1006" i="5"/>
  <c r="O1006" i="5"/>
  <c r="N1005" i="5"/>
  <c r="O1005" i="5"/>
  <c r="N1004" i="5"/>
  <c r="O1004" i="5"/>
  <c r="N1003" i="5"/>
  <c r="O1003" i="5"/>
  <c r="N1002" i="5"/>
  <c r="O1002" i="5"/>
  <c r="N1001" i="5"/>
  <c r="O1001" i="5"/>
  <c r="N1000" i="5"/>
  <c r="O1000" i="5"/>
  <c r="N999" i="5"/>
  <c r="O999" i="5"/>
  <c r="N998" i="5"/>
  <c r="O998" i="5"/>
  <c r="N997" i="5"/>
  <c r="O997" i="5"/>
  <c r="N996" i="5"/>
  <c r="O996" i="5"/>
  <c r="N995" i="5"/>
  <c r="O995" i="5"/>
  <c r="N994" i="5"/>
  <c r="O994" i="5"/>
  <c r="N993" i="5"/>
  <c r="O993" i="5"/>
  <c r="N992" i="5"/>
  <c r="O992" i="5"/>
  <c r="N991" i="5"/>
  <c r="O991" i="5"/>
  <c r="N990" i="5"/>
  <c r="O990" i="5"/>
  <c r="N989" i="5"/>
  <c r="O989" i="5"/>
  <c r="N988" i="5"/>
  <c r="O988" i="5"/>
  <c r="N987" i="5"/>
  <c r="O987" i="5"/>
  <c r="N986" i="5"/>
  <c r="O986" i="5"/>
  <c r="N985" i="5"/>
  <c r="O985" i="5"/>
  <c r="N984" i="5"/>
  <c r="O984" i="5"/>
  <c r="N983" i="5"/>
  <c r="O983" i="5"/>
  <c r="N982" i="5"/>
  <c r="O982" i="5"/>
  <c r="N981" i="5"/>
  <c r="O981" i="5"/>
  <c r="N980" i="5"/>
  <c r="O980" i="5"/>
  <c r="N979" i="5"/>
  <c r="O979" i="5"/>
  <c r="N978" i="5"/>
  <c r="O978" i="5"/>
  <c r="N977" i="5"/>
  <c r="O977" i="5"/>
  <c r="N976" i="5"/>
  <c r="O976" i="5"/>
  <c r="N975" i="5"/>
  <c r="O975" i="5"/>
  <c r="N974" i="5"/>
  <c r="O974" i="5"/>
  <c r="N973" i="5"/>
  <c r="O973" i="5"/>
  <c r="N972" i="5"/>
  <c r="O972" i="5"/>
  <c r="N971" i="5"/>
  <c r="O971" i="5"/>
  <c r="N970" i="5"/>
  <c r="O970" i="5"/>
  <c r="N969" i="5"/>
  <c r="O969" i="5"/>
  <c r="N968" i="5"/>
  <c r="O968" i="5"/>
  <c r="N967" i="5"/>
  <c r="O967" i="5"/>
  <c r="N966" i="5"/>
  <c r="O966" i="5"/>
  <c r="N965" i="5"/>
  <c r="O965" i="5"/>
  <c r="N964" i="5"/>
  <c r="O964" i="5"/>
  <c r="N963" i="5"/>
  <c r="O963" i="5"/>
  <c r="N962" i="5"/>
  <c r="O962" i="5"/>
  <c r="N961" i="5"/>
  <c r="O961" i="5"/>
  <c r="N960" i="5"/>
  <c r="O960" i="5"/>
  <c r="N959" i="5"/>
  <c r="O959" i="5"/>
  <c r="N958" i="5"/>
  <c r="O958" i="5"/>
  <c r="N957" i="5"/>
  <c r="O957" i="5"/>
  <c r="N956" i="5"/>
  <c r="O956" i="5"/>
  <c r="N955" i="5"/>
  <c r="O955" i="5"/>
  <c r="N954" i="5"/>
  <c r="O954" i="5"/>
  <c r="N953" i="5"/>
  <c r="O953" i="5"/>
  <c r="N952" i="5"/>
  <c r="O952" i="5"/>
  <c r="N951" i="5"/>
  <c r="O951" i="5"/>
  <c r="N950" i="5"/>
  <c r="O950" i="5"/>
  <c r="N949" i="5"/>
  <c r="O949" i="5"/>
  <c r="N948" i="5"/>
  <c r="O948" i="5"/>
  <c r="N947" i="5"/>
  <c r="O947" i="5"/>
  <c r="N946" i="5"/>
  <c r="O946" i="5"/>
  <c r="N945" i="5"/>
  <c r="O945" i="5"/>
  <c r="N944" i="5"/>
  <c r="O944" i="5"/>
  <c r="N943" i="5"/>
  <c r="O943" i="5"/>
  <c r="N942" i="5"/>
  <c r="O942" i="5"/>
  <c r="N941" i="5"/>
  <c r="O941" i="5"/>
  <c r="N940" i="5"/>
  <c r="O940" i="5"/>
  <c r="N939" i="5"/>
  <c r="O939" i="5"/>
  <c r="N938" i="5"/>
  <c r="O938" i="5"/>
  <c r="N937" i="5"/>
  <c r="O937" i="5"/>
  <c r="N936" i="5"/>
  <c r="O936" i="5"/>
  <c r="N935" i="5"/>
  <c r="O935" i="5"/>
  <c r="N934" i="5"/>
  <c r="O934" i="5"/>
  <c r="N933" i="5"/>
  <c r="O933" i="5"/>
  <c r="N932" i="5"/>
  <c r="O932" i="5"/>
  <c r="N931" i="5"/>
  <c r="O931" i="5"/>
  <c r="N930" i="5"/>
  <c r="O930" i="5"/>
  <c r="N929" i="5"/>
  <c r="O929" i="5"/>
  <c r="N928" i="5"/>
  <c r="O928" i="5"/>
  <c r="N927" i="5"/>
  <c r="O927" i="5"/>
  <c r="N926" i="5"/>
  <c r="O926" i="5"/>
  <c r="N925" i="5"/>
  <c r="O925" i="5"/>
  <c r="N924" i="5"/>
  <c r="O924" i="5"/>
  <c r="N923" i="5"/>
  <c r="O923" i="5"/>
  <c r="N922" i="5"/>
  <c r="O922" i="5"/>
  <c r="N921" i="5"/>
  <c r="O921" i="5"/>
  <c r="N920" i="5"/>
  <c r="O920" i="5"/>
  <c r="N919" i="5"/>
  <c r="O919" i="5"/>
  <c r="N918" i="5"/>
  <c r="O918" i="5"/>
  <c r="N917" i="5"/>
  <c r="O917" i="5"/>
  <c r="N916" i="5"/>
  <c r="O916" i="5"/>
  <c r="N915" i="5"/>
  <c r="O915" i="5"/>
  <c r="N914" i="5"/>
  <c r="O914" i="5"/>
  <c r="N913" i="5"/>
  <c r="O913" i="5"/>
  <c r="N912" i="5"/>
  <c r="O912" i="5"/>
  <c r="N911" i="5"/>
  <c r="O911" i="5"/>
  <c r="N910" i="5"/>
  <c r="O910" i="5"/>
  <c r="N909" i="5"/>
  <c r="O909" i="5"/>
  <c r="N908" i="5"/>
  <c r="O908" i="5"/>
  <c r="N907" i="5"/>
  <c r="O907" i="5"/>
  <c r="N906" i="5"/>
  <c r="O906" i="5"/>
  <c r="N905" i="5"/>
  <c r="O905" i="5"/>
  <c r="N904" i="5"/>
  <c r="O904" i="5"/>
  <c r="N903" i="5"/>
  <c r="O903" i="5"/>
  <c r="N902" i="5"/>
  <c r="O902" i="5"/>
  <c r="N901" i="5"/>
  <c r="O901" i="5"/>
  <c r="N900" i="5"/>
  <c r="O900" i="5"/>
  <c r="N899" i="5"/>
  <c r="O899" i="5"/>
  <c r="N898" i="5"/>
  <c r="O898" i="5"/>
  <c r="N897" i="5"/>
  <c r="O897" i="5"/>
  <c r="N896" i="5"/>
  <c r="O896" i="5"/>
  <c r="N895" i="5"/>
  <c r="O895" i="5"/>
  <c r="N894" i="5"/>
  <c r="O894" i="5"/>
  <c r="N893" i="5"/>
  <c r="O893" i="5"/>
  <c r="N892" i="5"/>
  <c r="O892" i="5"/>
  <c r="N891" i="5"/>
  <c r="O891" i="5"/>
  <c r="N890" i="5"/>
  <c r="O890" i="5"/>
  <c r="N889" i="5"/>
  <c r="O889" i="5"/>
  <c r="N888" i="5"/>
  <c r="O888" i="5"/>
  <c r="N887" i="5"/>
  <c r="O887" i="5"/>
  <c r="N886" i="5"/>
  <c r="O886" i="5"/>
  <c r="N885" i="5"/>
  <c r="O885" i="5"/>
  <c r="N884" i="5"/>
  <c r="O884" i="5"/>
  <c r="N883" i="5"/>
  <c r="O883" i="5"/>
  <c r="N882" i="5"/>
  <c r="O882" i="5"/>
  <c r="N881" i="5"/>
  <c r="O881" i="5"/>
  <c r="N880" i="5"/>
  <c r="O880" i="5"/>
  <c r="N879" i="5"/>
  <c r="O879" i="5"/>
  <c r="N878" i="5"/>
  <c r="O878" i="5"/>
  <c r="N877" i="5"/>
  <c r="O877" i="5"/>
  <c r="N876" i="5"/>
  <c r="O876" i="5"/>
  <c r="N875" i="5"/>
  <c r="O875" i="5"/>
  <c r="N874" i="5"/>
  <c r="O874" i="5"/>
  <c r="N873" i="5"/>
  <c r="O873" i="5"/>
  <c r="N872" i="5"/>
  <c r="O872" i="5"/>
  <c r="N871" i="5"/>
  <c r="O871" i="5"/>
  <c r="N870" i="5"/>
  <c r="O870" i="5"/>
  <c r="N869" i="5"/>
  <c r="O869" i="5"/>
  <c r="N868" i="5"/>
  <c r="O868" i="5"/>
  <c r="N867" i="5"/>
  <c r="O867" i="5"/>
  <c r="N866" i="5"/>
  <c r="O866" i="5"/>
  <c r="N865" i="5"/>
  <c r="O865" i="5"/>
  <c r="N864" i="5"/>
  <c r="O864" i="5"/>
  <c r="N863" i="5"/>
  <c r="O863" i="5"/>
  <c r="N862" i="5"/>
  <c r="O862" i="5"/>
  <c r="N861" i="5"/>
  <c r="O861" i="5"/>
  <c r="N860" i="5"/>
  <c r="O860" i="5"/>
  <c r="N859" i="5"/>
  <c r="O859" i="5"/>
  <c r="N858" i="5"/>
  <c r="O858" i="5"/>
  <c r="N857" i="5"/>
  <c r="O857" i="5"/>
  <c r="N856" i="5"/>
  <c r="O856" i="5"/>
  <c r="N855" i="5"/>
  <c r="O855" i="5"/>
  <c r="N854" i="5"/>
  <c r="O854" i="5"/>
  <c r="N853" i="5"/>
  <c r="O853" i="5"/>
  <c r="N852" i="5"/>
  <c r="O852" i="5"/>
  <c r="N851" i="5"/>
  <c r="O851" i="5"/>
  <c r="N850" i="5"/>
  <c r="O850" i="5"/>
  <c r="N849" i="5"/>
  <c r="O849" i="5"/>
  <c r="N848" i="5"/>
  <c r="O848" i="5"/>
  <c r="N847" i="5"/>
  <c r="O847" i="5"/>
  <c r="N846" i="5"/>
  <c r="O846" i="5"/>
  <c r="N845" i="5"/>
  <c r="O845" i="5"/>
  <c r="N844" i="5"/>
  <c r="O844" i="5"/>
  <c r="N843" i="5"/>
  <c r="O843" i="5"/>
  <c r="N842" i="5"/>
  <c r="O842" i="5"/>
  <c r="N841" i="5"/>
  <c r="O841" i="5"/>
  <c r="N840" i="5"/>
  <c r="O840" i="5"/>
  <c r="N839" i="5"/>
  <c r="O839" i="5"/>
  <c r="N838" i="5"/>
  <c r="O838" i="5"/>
  <c r="N837" i="5"/>
  <c r="O837" i="5"/>
  <c r="N836" i="5"/>
  <c r="O836" i="5"/>
  <c r="N835" i="5"/>
  <c r="O835" i="5"/>
  <c r="N834" i="5"/>
  <c r="O834" i="5"/>
  <c r="N833" i="5"/>
  <c r="O833" i="5"/>
  <c r="N832" i="5"/>
  <c r="O832" i="5"/>
  <c r="N831" i="5"/>
  <c r="O831" i="5"/>
  <c r="N830" i="5"/>
  <c r="O830" i="5"/>
  <c r="N829" i="5"/>
  <c r="O829" i="5"/>
  <c r="N828" i="5"/>
  <c r="O828" i="5"/>
  <c r="N827" i="5"/>
  <c r="O827" i="5"/>
  <c r="N826" i="5"/>
  <c r="O826" i="5"/>
  <c r="N825" i="5"/>
  <c r="O825" i="5"/>
  <c r="N824" i="5"/>
  <c r="O824" i="5"/>
  <c r="N823" i="5"/>
  <c r="O823" i="5"/>
  <c r="N822" i="5"/>
  <c r="O822" i="5"/>
  <c r="N821" i="5"/>
  <c r="O821" i="5"/>
  <c r="N820" i="5"/>
  <c r="O820" i="5"/>
  <c r="N819" i="5"/>
  <c r="O819" i="5"/>
  <c r="N818" i="5"/>
  <c r="O818" i="5"/>
  <c r="N817" i="5"/>
  <c r="O817" i="5"/>
  <c r="N816" i="5"/>
  <c r="O816" i="5"/>
  <c r="N815" i="5"/>
  <c r="O815" i="5"/>
  <c r="N814" i="5"/>
  <c r="O814" i="5"/>
  <c r="N813" i="5"/>
  <c r="O813" i="5"/>
  <c r="N812" i="5"/>
  <c r="O812" i="5"/>
  <c r="N811" i="5"/>
  <c r="O811" i="5"/>
  <c r="N810" i="5"/>
  <c r="O810" i="5"/>
  <c r="N809" i="5"/>
  <c r="O809" i="5"/>
  <c r="N808" i="5"/>
  <c r="O808" i="5"/>
  <c r="N807" i="5"/>
  <c r="O807" i="5"/>
  <c r="N806" i="5"/>
  <c r="O806" i="5"/>
  <c r="N805" i="5"/>
  <c r="O805" i="5"/>
  <c r="N804" i="5"/>
  <c r="O804" i="5"/>
  <c r="N803" i="5"/>
  <c r="O803" i="5"/>
  <c r="N802" i="5"/>
  <c r="O802" i="5"/>
  <c r="N801" i="5"/>
  <c r="O801" i="5"/>
  <c r="N800" i="5"/>
  <c r="O800" i="5"/>
  <c r="N799" i="5"/>
  <c r="O799" i="5"/>
  <c r="N798" i="5"/>
  <c r="O798" i="5"/>
  <c r="N797" i="5"/>
  <c r="O797" i="5"/>
  <c r="N796" i="5"/>
  <c r="O796" i="5"/>
  <c r="N795" i="5"/>
  <c r="O795" i="5"/>
  <c r="N794" i="5"/>
  <c r="O794" i="5"/>
  <c r="N793" i="5"/>
  <c r="O793" i="5"/>
  <c r="N792" i="5"/>
  <c r="O792" i="5"/>
  <c r="N791" i="5"/>
  <c r="O791" i="5"/>
  <c r="N790" i="5"/>
  <c r="O790" i="5"/>
  <c r="N789" i="5"/>
  <c r="O789" i="5"/>
  <c r="N788" i="5"/>
  <c r="O788" i="5"/>
  <c r="N787" i="5"/>
  <c r="O787" i="5"/>
  <c r="N786" i="5"/>
  <c r="O786" i="5"/>
  <c r="N785" i="5"/>
  <c r="O785" i="5"/>
  <c r="N784" i="5"/>
  <c r="O784" i="5"/>
  <c r="N783" i="5"/>
  <c r="O783" i="5"/>
  <c r="N782" i="5"/>
  <c r="O782" i="5"/>
  <c r="N781" i="5"/>
  <c r="O781" i="5"/>
  <c r="N780" i="5"/>
  <c r="O780" i="5"/>
  <c r="N779" i="5"/>
  <c r="O779" i="5"/>
  <c r="N778" i="5"/>
  <c r="O778" i="5"/>
  <c r="N777" i="5"/>
  <c r="O777" i="5"/>
  <c r="N776" i="5"/>
  <c r="O776" i="5"/>
  <c r="N775" i="5"/>
  <c r="O775" i="5"/>
  <c r="N774" i="5"/>
  <c r="O774" i="5"/>
  <c r="N773" i="5"/>
  <c r="O773" i="5"/>
  <c r="N772" i="5"/>
  <c r="O772" i="5"/>
  <c r="N771" i="5"/>
  <c r="O771" i="5"/>
  <c r="N770" i="5"/>
  <c r="O770" i="5"/>
  <c r="N769" i="5"/>
  <c r="O769" i="5"/>
  <c r="N768" i="5"/>
  <c r="O768" i="5"/>
  <c r="N767" i="5"/>
  <c r="O767" i="5"/>
  <c r="N766" i="5"/>
  <c r="O766" i="5"/>
  <c r="N765" i="5"/>
  <c r="O765" i="5"/>
  <c r="N764" i="5"/>
  <c r="O764" i="5"/>
  <c r="N763" i="5"/>
  <c r="O763" i="5"/>
  <c r="N762" i="5"/>
  <c r="O762" i="5"/>
  <c r="N761" i="5"/>
  <c r="O761" i="5"/>
  <c r="N760" i="5"/>
  <c r="O760" i="5"/>
  <c r="N759" i="5"/>
  <c r="O759" i="5"/>
  <c r="N758" i="5"/>
  <c r="O758" i="5"/>
  <c r="N757" i="5"/>
  <c r="O757" i="5"/>
  <c r="N756" i="5"/>
  <c r="O756" i="5"/>
  <c r="N755" i="5"/>
  <c r="O755" i="5"/>
  <c r="N754" i="5"/>
  <c r="O754" i="5"/>
  <c r="N753" i="5"/>
  <c r="O753" i="5"/>
  <c r="N752" i="5"/>
  <c r="O752" i="5"/>
  <c r="N751" i="5"/>
  <c r="O751" i="5"/>
  <c r="N750" i="5"/>
  <c r="O750" i="5"/>
  <c r="N749" i="5"/>
  <c r="O749" i="5"/>
  <c r="N748" i="5"/>
  <c r="O748" i="5"/>
  <c r="N747" i="5"/>
  <c r="O747" i="5"/>
  <c r="N746" i="5"/>
  <c r="O746" i="5"/>
  <c r="N745" i="5"/>
  <c r="O745" i="5"/>
  <c r="N744" i="5"/>
  <c r="O744" i="5"/>
  <c r="N743" i="5"/>
  <c r="O743" i="5"/>
  <c r="N742" i="5"/>
  <c r="O742" i="5"/>
  <c r="N741" i="5"/>
  <c r="O741" i="5"/>
  <c r="N740" i="5"/>
  <c r="O740" i="5"/>
  <c r="N739" i="5"/>
  <c r="O739" i="5"/>
  <c r="N738" i="5"/>
  <c r="O738" i="5"/>
  <c r="N737" i="5"/>
  <c r="O737" i="5"/>
  <c r="N736" i="5"/>
  <c r="O736" i="5"/>
  <c r="N735" i="5"/>
  <c r="O735" i="5"/>
  <c r="N734" i="5"/>
  <c r="O734" i="5"/>
  <c r="N733" i="5"/>
  <c r="O733" i="5"/>
  <c r="N732" i="5"/>
  <c r="O732" i="5"/>
  <c r="N731" i="5"/>
  <c r="O731" i="5"/>
  <c r="N730" i="5"/>
  <c r="O730" i="5"/>
  <c r="N729" i="5"/>
  <c r="O729" i="5"/>
  <c r="N728" i="5"/>
  <c r="O728" i="5"/>
  <c r="N727" i="5"/>
  <c r="O727" i="5"/>
  <c r="N726" i="5"/>
  <c r="O726" i="5"/>
  <c r="N725" i="5"/>
  <c r="O725" i="5"/>
  <c r="N724" i="5"/>
  <c r="O724" i="5"/>
  <c r="N723" i="5"/>
  <c r="O723" i="5"/>
  <c r="N722" i="5"/>
  <c r="O722" i="5"/>
  <c r="N721" i="5"/>
  <c r="O721" i="5"/>
  <c r="N720" i="5"/>
  <c r="O720" i="5"/>
  <c r="N719" i="5"/>
  <c r="O719" i="5"/>
  <c r="N718" i="5"/>
  <c r="O718" i="5"/>
  <c r="N717" i="5"/>
  <c r="O717" i="5"/>
  <c r="N716" i="5"/>
  <c r="O716" i="5"/>
  <c r="N715" i="5"/>
  <c r="O715" i="5"/>
  <c r="N714" i="5"/>
  <c r="O714" i="5"/>
  <c r="N713" i="5"/>
  <c r="O713" i="5"/>
  <c r="N712" i="5"/>
  <c r="O712" i="5"/>
  <c r="N711" i="5"/>
  <c r="O711" i="5"/>
  <c r="N710" i="5"/>
  <c r="O710" i="5"/>
  <c r="N709" i="5"/>
  <c r="O709" i="5"/>
  <c r="N708" i="5"/>
  <c r="O708" i="5"/>
  <c r="N707" i="5"/>
  <c r="O707" i="5"/>
  <c r="N706" i="5"/>
  <c r="O706" i="5"/>
  <c r="N705" i="5"/>
  <c r="O705" i="5"/>
  <c r="N704" i="5"/>
  <c r="O704" i="5"/>
  <c r="N703" i="5"/>
  <c r="O703" i="5"/>
  <c r="N702" i="5"/>
  <c r="O702" i="5"/>
  <c r="N701" i="5"/>
  <c r="O701" i="5"/>
  <c r="N700" i="5"/>
  <c r="O700" i="5"/>
  <c r="N699" i="5"/>
  <c r="O699" i="5"/>
  <c r="N698" i="5"/>
  <c r="O698" i="5"/>
  <c r="N697" i="5"/>
  <c r="O697" i="5"/>
  <c r="N696" i="5"/>
  <c r="O696" i="5"/>
  <c r="N695" i="5"/>
  <c r="O695" i="5"/>
  <c r="N694" i="5"/>
  <c r="O694" i="5"/>
  <c r="N693" i="5"/>
  <c r="O693" i="5"/>
  <c r="N692" i="5"/>
  <c r="O692" i="5"/>
  <c r="N691" i="5"/>
  <c r="O691" i="5"/>
  <c r="N690" i="5"/>
  <c r="O690" i="5"/>
  <c r="N689" i="5"/>
  <c r="O689" i="5"/>
  <c r="N688" i="5"/>
  <c r="O688" i="5"/>
  <c r="N687" i="5"/>
  <c r="O687" i="5"/>
  <c r="N686" i="5"/>
  <c r="O686" i="5"/>
  <c r="N685" i="5"/>
  <c r="O685" i="5"/>
  <c r="N684" i="5"/>
  <c r="O684" i="5"/>
  <c r="N683" i="5"/>
  <c r="O683" i="5"/>
  <c r="N682" i="5"/>
  <c r="O682" i="5"/>
  <c r="N681" i="5"/>
  <c r="O681" i="5"/>
  <c r="N680" i="5"/>
  <c r="O680" i="5"/>
  <c r="N679" i="5"/>
  <c r="O679" i="5"/>
  <c r="N678" i="5"/>
  <c r="O678" i="5"/>
  <c r="N677" i="5"/>
  <c r="O677" i="5"/>
  <c r="N676" i="5"/>
  <c r="O676" i="5"/>
  <c r="N675" i="5"/>
  <c r="O675" i="5"/>
  <c r="N674" i="5"/>
  <c r="O674" i="5"/>
  <c r="N673" i="5"/>
  <c r="O673" i="5"/>
  <c r="N672" i="5"/>
  <c r="O672" i="5"/>
  <c r="N671" i="5"/>
  <c r="O671" i="5"/>
  <c r="N670" i="5"/>
  <c r="O670" i="5"/>
  <c r="N669" i="5"/>
  <c r="O669" i="5"/>
  <c r="N668" i="5"/>
  <c r="O668" i="5"/>
  <c r="N667" i="5"/>
  <c r="O667" i="5"/>
  <c r="N666" i="5"/>
  <c r="O666" i="5"/>
  <c r="N665" i="5"/>
  <c r="O665" i="5"/>
  <c r="N664" i="5"/>
  <c r="O664" i="5"/>
  <c r="N663" i="5"/>
  <c r="O663" i="5"/>
  <c r="N662" i="5"/>
  <c r="O662" i="5"/>
  <c r="N661" i="5"/>
  <c r="O661" i="5"/>
  <c r="N660" i="5"/>
  <c r="O660" i="5"/>
  <c r="N659" i="5"/>
  <c r="O659" i="5"/>
  <c r="N658" i="5"/>
  <c r="O658" i="5"/>
  <c r="N657" i="5"/>
  <c r="O657" i="5"/>
  <c r="N656" i="5"/>
  <c r="O656" i="5"/>
  <c r="N655" i="5"/>
  <c r="O655" i="5"/>
  <c r="N654" i="5"/>
  <c r="O654" i="5"/>
  <c r="N653" i="5"/>
  <c r="O653" i="5"/>
  <c r="N652" i="5"/>
  <c r="O652" i="5"/>
  <c r="N651" i="5"/>
  <c r="O651" i="5"/>
  <c r="N650" i="5"/>
  <c r="O650" i="5"/>
  <c r="N649" i="5"/>
  <c r="O649" i="5"/>
  <c r="N648" i="5"/>
  <c r="O648" i="5"/>
  <c r="N647" i="5"/>
  <c r="O647" i="5"/>
  <c r="N646" i="5"/>
  <c r="O646" i="5"/>
  <c r="N645" i="5"/>
  <c r="O645" i="5"/>
  <c r="N644" i="5"/>
  <c r="O644" i="5"/>
  <c r="N643" i="5"/>
  <c r="O643" i="5"/>
  <c r="N642" i="5"/>
  <c r="O642" i="5"/>
  <c r="N641" i="5"/>
  <c r="O641" i="5"/>
  <c r="N640" i="5"/>
  <c r="O640" i="5"/>
  <c r="N639" i="5"/>
  <c r="O639" i="5"/>
  <c r="N638" i="5"/>
  <c r="O638" i="5"/>
  <c r="N637" i="5"/>
  <c r="O637" i="5"/>
  <c r="N636" i="5"/>
  <c r="O636" i="5"/>
  <c r="N635" i="5"/>
  <c r="O635" i="5"/>
  <c r="N634" i="5"/>
  <c r="O634" i="5"/>
  <c r="N633" i="5"/>
  <c r="O633" i="5"/>
  <c r="N632" i="5"/>
  <c r="O632" i="5"/>
  <c r="N631" i="5"/>
  <c r="O631" i="5"/>
  <c r="N630" i="5"/>
  <c r="O630" i="5"/>
  <c r="N629" i="5"/>
  <c r="O629" i="5"/>
  <c r="N628" i="5"/>
  <c r="O628" i="5"/>
  <c r="N627" i="5"/>
  <c r="O627" i="5"/>
  <c r="N626" i="5"/>
  <c r="O626" i="5"/>
  <c r="N625" i="5"/>
  <c r="O625" i="5"/>
  <c r="N624" i="5"/>
  <c r="O624" i="5"/>
  <c r="N623" i="5"/>
  <c r="O623" i="5"/>
  <c r="N622" i="5"/>
  <c r="O622" i="5"/>
  <c r="N621" i="5"/>
  <c r="O621" i="5"/>
  <c r="N620" i="5"/>
  <c r="O620" i="5"/>
  <c r="N619" i="5"/>
  <c r="O619" i="5"/>
  <c r="N618" i="5"/>
  <c r="O618" i="5"/>
  <c r="N617" i="5"/>
  <c r="O617" i="5"/>
  <c r="N616" i="5"/>
  <c r="O616" i="5"/>
  <c r="N615" i="5"/>
  <c r="O615" i="5"/>
  <c r="N614" i="5"/>
  <c r="O614" i="5"/>
  <c r="N613" i="5"/>
  <c r="O613" i="5"/>
  <c r="N612" i="5"/>
  <c r="O612" i="5"/>
  <c r="N611" i="5"/>
  <c r="O611" i="5"/>
  <c r="N610" i="5"/>
  <c r="O610" i="5"/>
  <c r="N609" i="5"/>
  <c r="O609" i="5"/>
  <c r="N608" i="5"/>
  <c r="O608" i="5"/>
  <c r="N607" i="5"/>
  <c r="O607" i="5"/>
  <c r="N606" i="5"/>
  <c r="O606" i="5"/>
  <c r="N605" i="5"/>
  <c r="O605" i="5"/>
  <c r="N604" i="5"/>
  <c r="O604" i="5"/>
  <c r="N603" i="5"/>
  <c r="O603" i="5"/>
  <c r="N602" i="5"/>
  <c r="O602" i="5"/>
  <c r="N601" i="5"/>
  <c r="O601" i="5"/>
  <c r="N600" i="5"/>
  <c r="O600" i="5"/>
  <c r="N599" i="5"/>
  <c r="O599" i="5"/>
  <c r="N598" i="5"/>
  <c r="O598" i="5"/>
  <c r="N597" i="5"/>
  <c r="O597" i="5"/>
  <c r="N596" i="5"/>
  <c r="O596" i="5"/>
  <c r="N595" i="5"/>
  <c r="O595" i="5"/>
  <c r="N594" i="5"/>
  <c r="O594" i="5"/>
  <c r="N593" i="5"/>
  <c r="O593" i="5"/>
  <c r="N592" i="5"/>
  <c r="O592" i="5"/>
  <c r="N591" i="5"/>
  <c r="O591" i="5"/>
  <c r="N590" i="5"/>
  <c r="O590" i="5"/>
  <c r="N589" i="5"/>
  <c r="O589" i="5"/>
  <c r="N588" i="5"/>
  <c r="O588" i="5"/>
  <c r="N587" i="5"/>
  <c r="O587" i="5"/>
  <c r="N586" i="5"/>
  <c r="O586" i="5"/>
  <c r="N585" i="5"/>
  <c r="O585" i="5"/>
  <c r="N584" i="5"/>
  <c r="O584" i="5"/>
  <c r="N583" i="5"/>
  <c r="O583" i="5"/>
  <c r="N582" i="5"/>
  <c r="O582" i="5"/>
  <c r="N581" i="5"/>
  <c r="O581" i="5"/>
  <c r="N580" i="5"/>
  <c r="O580" i="5"/>
  <c r="N579" i="5"/>
  <c r="O579" i="5"/>
  <c r="N578" i="5"/>
  <c r="O578" i="5"/>
  <c r="N577" i="5"/>
  <c r="O577" i="5"/>
  <c r="N576" i="5"/>
  <c r="O576" i="5"/>
  <c r="N575" i="5"/>
  <c r="O575" i="5"/>
  <c r="N574" i="5"/>
  <c r="O574" i="5"/>
  <c r="N573" i="5"/>
  <c r="O573" i="5"/>
  <c r="N572" i="5"/>
  <c r="O572" i="5"/>
  <c r="N571" i="5"/>
  <c r="O571" i="5"/>
  <c r="N570" i="5"/>
  <c r="O570" i="5"/>
  <c r="N569" i="5"/>
  <c r="O569" i="5"/>
  <c r="N568" i="5"/>
  <c r="O568" i="5"/>
  <c r="N567" i="5"/>
  <c r="O567" i="5"/>
  <c r="N566" i="5"/>
  <c r="O566" i="5"/>
  <c r="N565" i="5"/>
  <c r="O565" i="5"/>
  <c r="N564" i="5"/>
  <c r="O564" i="5"/>
  <c r="N563" i="5"/>
  <c r="O563" i="5"/>
  <c r="N562" i="5"/>
  <c r="O562" i="5"/>
  <c r="N561" i="5"/>
  <c r="O561" i="5"/>
  <c r="N560" i="5"/>
  <c r="O560" i="5"/>
  <c r="N559" i="5"/>
  <c r="O559" i="5"/>
  <c r="N558" i="5"/>
  <c r="O558" i="5"/>
  <c r="N557" i="5"/>
  <c r="O557" i="5"/>
  <c r="N556" i="5"/>
  <c r="O556" i="5"/>
  <c r="N555" i="5"/>
  <c r="O555" i="5"/>
  <c r="N554" i="5"/>
  <c r="O554" i="5"/>
  <c r="N553" i="5"/>
  <c r="O553" i="5"/>
  <c r="N552" i="5"/>
  <c r="O552" i="5"/>
  <c r="N551" i="5"/>
  <c r="O551" i="5"/>
  <c r="N550" i="5"/>
  <c r="O550" i="5"/>
  <c r="N549" i="5"/>
  <c r="O549" i="5"/>
  <c r="N548" i="5"/>
  <c r="O548" i="5"/>
  <c r="N547" i="5"/>
  <c r="O547" i="5"/>
  <c r="N546" i="5"/>
  <c r="O546" i="5"/>
  <c r="N545" i="5"/>
  <c r="O545" i="5"/>
  <c r="N544" i="5"/>
  <c r="O544" i="5"/>
  <c r="N543" i="5"/>
  <c r="O543" i="5"/>
  <c r="N542" i="5"/>
  <c r="O542" i="5"/>
  <c r="N541" i="5"/>
  <c r="O541" i="5"/>
  <c r="N540" i="5"/>
  <c r="O540" i="5"/>
  <c r="N539" i="5"/>
  <c r="O539" i="5"/>
  <c r="N538" i="5"/>
  <c r="O538" i="5"/>
  <c r="N537" i="5"/>
  <c r="O537" i="5"/>
  <c r="N536" i="5"/>
  <c r="O536" i="5"/>
  <c r="N535" i="5"/>
  <c r="O535" i="5"/>
  <c r="N534" i="5"/>
  <c r="O534" i="5"/>
  <c r="N533" i="5"/>
  <c r="O533" i="5"/>
  <c r="N532" i="5"/>
  <c r="O532" i="5"/>
  <c r="N531" i="5"/>
  <c r="O531" i="5"/>
  <c r="N530" i="5"/>
  <c r="O530" i="5"/>
  <c r="N529" i="5"/>
  <c r="O529" i="5"/>
  <c r="N528" i="5"/>
  <c r="O528" i="5"/>
  <c r="N527" i="5"/>
  <c r="O527" i="5"/>
  <c r="N526" i="5"/>
  <c r="O526" i="5"/>
  <c r="N525" i="5"/>
  <c r="O525" i="5"/>
  <c r="N524" i="5"/>
  <c r="O524" i="5"/>
  <c r="N523" i="5"/>
  <c r="O523" i="5"/>
  <c r="N522" i="5"/>
  <c r="O522" i="5"/>
  <c r="N521" i="5"/>
  <c r="O521" i="5"/>
  <c r="N520" i="5"/>
  <c r="O520" i="5"/>
  <c r="N519" i="5"/>
  <c r="O519" i="5"/>
  <c r="N518" i="5"/>
  <c r="O518" i="5"/>
  <c r="N517" i="5"/>
  <c r="O517" i="5"/>
  <c r="N516" i="5"/>
  <c r="O516" i="5"/>
  <c r="N515" i="5"/>
  <c r="O515" i="5"/>
  <c r="N514" i="5"/>
  <c r="O514" i="5"/>
  <c r="N513" i="5"/>
  <c r="O513" i="5"/>
  <c r="N512" i="5"/>
  <c r="O512" i="5"/>
  <c r="N511" i="5"/>
  <c r="O511" i="5"/>
  <c r="N510" i="5"/>
  <c r="O510" i="5"/>
  <c r="N509" i="5"/>
  <c r="O509" i="5"/>
  <c r="N508" i="5"/>
  <c r="O508" i="5"/>
  <c r="N507" i="5"/>
  <c r="O507" i="5"/>
  <c r="N506" i="5"/>
  <c r="O506" i="5"/>
  <c r="N505" i="5"/>
  <c r="O505" i="5"/>
  <c r="N504" i="5"/>
  <c r="O504" i="5"/>
  <c r="N503" i="5"/>
  <c r="O503" i="5"/>
  <c r="N502" i="5"/>
  <c r="O502" i="5"/>
  <c r="N501" i="5"/>
  <c r="O501" i="5"/>
  <c r="N500" i="5"/>
  <c r="O500" i="5"/>
  <c r="N499" i="5"/>
  <c r="O499" i="5"/>
  <c r="N498" i="5"/>
  <c r="O498" i="5"/>
  <c r="N497" i="5"/>
  <c r="O497" i="5"/>
  <c r="N496" i="5"/>
  <c r="O496" i="5"/>
  <c r="N495" i="5"/>
  <c r="O495" i="5"/>
  <c r="N494" i="5"/>
  <c r="O494" i="5"/>
  <c r="N493" i="5"/>
  <c r="O493" i="5"/>
  <c r="N492" i="5"/>
  <c r="O492" i="5"/>
  <c r="N491" i="5"/>
  <c r="O491" i="5"/>
  <c r="N490" i="5"/>
  <c r="O490" i="5"/>
  <c r="N489" i="5"/>
  <c r="O489" i="5"/>
  <c r="N488" i="5"/>
  <c r="O488" i="5"/>
  <c r="N487" i="5"/>
  <c r="O487" i="5"/>
  <c r="N486" i="5"/>
  <c r="O486" i="5"/>
  <c r="N485" i="5"/>
  <c r="O485" i="5"/>
  <c r="N484" i="5"/>
  <c r="O484" i="5"/>
  <c r="N483" i="5"/>
  <c r="O483" i="5"/>
  <c r="N482" i="5"/>
  <c r="O482" i="5"/>
  <c r="N481" i="5"/>
  <c r="O481" i="5"/>
  <c r="N480" i="5"/>
  <c r="O480" i="5"/>
  <c r="N479" i="5"/>
  <c r="O479" i="5"/>
  <c r="N478" i="5"/>
  <c r="O478" i="5"/>
  <c r="N477" i="5"/>
  <c r="O477" i="5"/>
  <c r="N476" i="5"/>
  <c r="O476" i="5"/>
  <c r="N475" i="5"/>
  <c r="O475" i="5"/>
  <c r="N474" i="5"/>
  <c r="O474" i="5"/>
  <c r="N473" i="5"/>
  <c r="O473" i="5"/>
  <c r="N472" i="5"/>
  <c r="O472" i="5"/>
  <c r="N471" i="5"/>
  <c r="O471" i="5"/>
  <c r="N470" i="5"/>
  <c r="O470" i="5"/>
  <c r="N469" i="5"/>
  <c r="O469" i="5"/>
  <c r="N468" i="5"/>
  <c r="O468" i="5"/>
  <c r="N467" i="5"/>
  <c r="O467" i="5"/>
  <c r="N466" i="5"/>
  <c r="O466" i="5"/>
  <c r="N465" i="5"/>
  <c r="O465" i="5"/>
  <c r="N464" i="5"/>
  <c r="O464" i="5"/>
  <c r="N463" i="5"/>
  <c r="O463" i="5"/>
  <c r="N462" i="5"/>
  <c r="O462" i="5"/>
  <c r="N461" i="5"/>
  <c r="O461" i="5"/>
  <c r="N460" i="5"/>
  <c r="O460" i="5"/>
  <c r="N459" i="5"/>
  <c r="O459" i="5"/>
  <c r="N458" i="5"/>
  <c r="O458" i="5"/>
  <c r="N457" i="5"/>
  <c r="O457" i="5"/>
  <c r="N456" i="5"/>
  <c r="O456" i="5"/>
  <c r="N455" i="5"/>
  <c r="O455" i="5"/>
  <c r="N454" i="5"/>
  <c r="O454" i="5"/>
  <c r="N453" i="5"/>
  <c r="O453" i="5"/>
  <c r="N452" i="5"/>
  <c r="O452" i="5"/>
  <c r="N451" i="5"/>
  <c r="O451" i="5"/>
  <c r="N450" i="5"/>
  <c r="O450" i="5"/>
  <c r="N449" i="5"/>
  <c r="O449" i="5"/>
  <c r="N448" i="5"/>
  <c r="O448" i="5"/>
  <c r="N447" i="5"/>
  <c r="O447" i="5"/>
  <c r="N446" i="5"/>
  <c r="O446" i="5"/>
  <c r="N445" i="5"/>
  <c r="O445" i="5"/>
  <c r="N444" i="5"/>
  <c r="O444" i="5"/>
  <c r="N443" i="5"/>
  <c r="O443" i="5"/>
  <c r="N442" i="5"/>
  <c r="O442" i="5"/>
  <c r="N441" i="5"/>
  <c r="O441" i="5"/>
  <c r="N440" i="5"/>
  <c r="O440" i="5"/>
  <c r="N439" i="5"/>
  <c r="O439" i="5"/>
  <c r="N438" i="5"/>
  <c r="O438" i="5"/>
  <c r="N437" i="5"/>
  <c r="O437" i="5"/>
  <c r="N436" i="5"/>
  <c r="O436" i="5"/>
  <c r="N435" i="5"/>
  <c r="O435" i="5"/>
  <c r="N434" i="5"/>
  <c r="O434" i="5"/>
  <c r="N433" i="5"/>
  <c r="O433" i="5"/>
  <c r="N432" i="5"/>
  <c r="O432" i="5"/>
  <c r="N431" i="5"/>
  <c r="O431" i="5"/>
  <c r="N430" i="5"/>
  <c r="O430" i="5"/>
  <c r="N429" i="5"/>
  <c r="O429" i="5"/>
  <c r="N428" i="5"/>
  <c r="O428" i="5"/>
  <c r="N427" i="5"/>
  <c r="O427" i="5"/>
  <c r="N426" i="5"/>
  <c r="O426" i="5"/>
  <c r="N425" i="5"/>
  <c r="O425" i="5"/>
  <c r="N424" i="5"/>
  <c r="O424" i="5"/>
  <c r="N423" i="5"/>
  <c r="O423" i="5"/>
  <c r="N422" i="5"/>
  <c r="O422" i="5"/>
  <c r="N421" i="5"/>
  <c r="O421" i="5"/>
  <c r="N420" i="5"/>
  <c r="O420" i="5"/>
  <c r="N419" i="5"/>
  <c r="O419" i="5"/>
  <c r="N418" i="5"/>
  <c r="O418" i="5"/>
  <c r="N417" i="5"/>
  <c r="O417" i="5"/>
  <c r="N416" i="5"/>
  <c r="O416" i="5"/>
  <c r="N415" i="5"/>
  <c r="O415" i="5"/>
  <c r="N414" i="5"/>
  <c r="O414" i="5"/>
  <c r="N413" i="5"/>
  <c r="O413" i="5"/>
  <c r="N412" i="5"/>
  <c r="O412" i="5"/>
  <c r="N411" i="5"/>
  <c r="O411" i="5"/>
  <c r="N410" i="5"/>
  <c r="O410" i="5"/>
  <c r="N409" i="5"/>
  <c r="O409" i="5"/>
  <c r="N408" i="5"/>
  <c r="O408" i="5"/>
  <c r="N407" i="5"/>
  <c r="O407" i="5"/>
  <c r="N406" i="5"/>
  <c r="O406" i="5"/>
  <c r="N405" i="5"/>
  <c r="O405" i="5"/>
  <c r="N404" i="5"/>
  <c r="O404" i="5"/>
  <c r="N403" i="5"/>
  <c r="O403" i="5"/>
  <c r="N402" i="5"/>
  <c r="O402" i="5"/>
  <c r="N401" i="5"/>
  <c r="O401" i="5"/>
  <c r="N400" i="5"/>
  <c r="O400" i="5"/>
  <c r="N399" i="5"/>
  <c r="O399" i="5"/>
  <c r="N398" i="5"/>
  <c r="O398" i="5"/>
  <c r="N397" i="5"/>
  <c r="O397" i="5"/>
  <c r="N396" i="5"/>
  <c r="O396" i="5"/>
  <c r="N395" i="5"/>
  <c r="O395" i="5"/>
  <c r="N394" i="5"/>
  <c r="O394" i="5"/>
  <c r="N393" i="5"/>
  <c r="O393" i="5"/>
  <c r="N392" i="5"/>
  <c r="O392" i="5"/>
  <c r="N391" i="5"/>
  <c r="O391" i="5"/>
  <c r="N390" i="5"/>
  <c r="O390" i="5"/>
  <c r="N389" i="5"/>
  <c r="O389" i="5"/>
  <c r="N388" i="5"/>
  <c r="O388" i="5"/>
  <c r="N387" i="5"/>
  <c r="O387" i="5"/>
  <c r="N386" i="5"/>
  <c r="O386" i="5"/>
  <c r="N385" i="5"/>
  <c r="O385" i="5"/>
  <c r="N384" i="5"/>
  <c r="O384" i="5"/>
  <c r="N383" i="5"/>
  <c r="O383" i="5"/>
  <c r="N382" i="5"/>
  <c r="O382" i="5"/>
  <c r="N381" i="5"/>
  <c r="O381" i="5"/>
  <c r="N380" i="5"/>
  <c r="O380" i="5"/>
  <c r="N379" i="5"/>
  <c r="O379" i="5"/>
  <c r="N378" i="5"/>
  <c r="O378" i="5"/>
  <c r="N377" i="5"/>
  <c r="O377" i="5"/>
  <c r="N376" i="5"/>
  <c r="O376" i="5"/>
  <c r="N375" i="5"/>
  <c r="O375" i="5"/>
  <c r="N374" i="5"/>
  <c r="O374" i="5"/>
  <c r="N373" i="5"/>
  <c r="O373" i="5"/>
  <c r="N372" i="5"/>
  <c r="O372" i="5"/>
  <c r="N371" i="5"/>
  <c r="O371" i="5"/>
  <c r="N370" i="5"/>
  <c r="O370" i="5"/>
  <c r="N369" i="5"/>
  <c r="O369" i="5"/>
  <c r="N368" i="5"/>
  <c r="O368" i="5"/>
  <c r="N367" i="5"/>
  <c r="O367" i="5"/>
  <c r="N366" i="5"/>
  <c r="O366" i="5"/>
  <c r="N365" i="5"/>
  <c r="O365" i="5"/>
  <c r="N364" i="5"/>
  <c r="O364" i="5"/>
  <c r="N363" i="5"/>
  <c r="O363" i="5"/>
  <c r="N362" i="5"/>
  <c r="O362" i="5"/>
  <c r="N361" i="5"/>
  <c r="O361" i="5"/>
  <c r="N360" i="5"/>
  <c r="O360" i="5"/>
  <c r="N359" i="5"/>
  <c r="O359" i="5"/>
  <c r="N358" i="5"/>
  <c r="O358" i="5"/>
  <c r="N357" i="5"/>
  <c r="O357" i="5"/>
  <c r="N356" i="5"/>
  <c r="O356" i="5"/>
  <c r="N355" i="5"/>
  <c r="O355" i="5"/>
  <c r="N354" i="5"/>
  <c r="O354" i="5"/>
  <c r="N353" i="5"/>
  <c r="O353" i="5"/>
  <c r="N352" i="5"/>
  <c r="O352" i="5"/>
  <c r="N351" i="5"/>
  <c r="O351" i="5"/>
  <c r="N350" i="5"/>
  <c r="O350" i="5"/>
  <c r="N349" i="5"/>
  <c r="O349" i="5"/>
  <c r="N348" i="5"/>
  <c r="O348" i="5"/>
  <c r="N347" i="5"/>
  <c r="O347" i="5"/>
  <c r="N346" i="5"/>
  <c r="O346" i="5"/>
  <c r="N345" i="5"/>
  <c r="O345" i="5"/>
  <c r="N344" i="5"/>
  <c r="O344" i="5"/>
  <c r="N343" i="5"/>
  <c r="O343" i="5"/>
  <c r="N342" i="5"/>
  <c r="O342" i="5"/>
  <c r="N341" i="5"/>
  <c r="O341" i="5"/>
  <c r="N340" i="5"/>
  <c r="O340" i="5"/>
  <c r="N339" i="5"/>
  <c r="O339" i="5"/>
  <c r="N338" i="5"/>
  <c r="O338" i="5"/>
  <c r="N337" i="5"/>
  <c r="O337" i="5"/>
  <c r="N336" i="5"/>
  <c r="O336" i="5"/>
  <c r="N335" i="5"/>
  <c r="O335" i="5"/>
  <c r="N334" i="5"/>
  <c r="O334" i="5"/>
  <c r="N333" i="5"/>
  <c r="O333" i="5"/>
  <c r="N332" i="5"/>
  <c r="O332" i="5"/>
  <c r="N331" i="5"/>
  <c r="O331" i="5"/>
  <c r="N330" i="5"/>
  <c r="O330" i="5"/>
  <c r="N329" i="5"/>
  <c r="O329" i="5"/>
  <c r="N328" i="5"/>
  <c r="O328" i="5"/>
  <c r="N327" i="5"/>
  <c r="O327" i="5"/>
  <c r="N326" i="5"/>
  <c r="O326" i="5"/>
  <c r="N325" i="5"/>
  <c r="O325" i="5"/>
  <c r="N324" i="5"/>
  <c r="O324" i="5"/>
  <c r="N323" i="5"/>
  <c r="O323" i="5"/>
  <c r="N322" i="5"/>
  <c r="O322" i="5"/>
  <c r="N321" i="5"/>
  <c r="O321" i="5"/>
  <c r="N320" i="5"/>
  <c r="O320" i="5"/>
  <c r="N319" i="5"/>
  <c r="O319" i="5"/>
  <c r="N318" i="5"/>
  <c r="O318" i="5"/>
  <c r="N317" i="5"/>
  <c r="O317" i="5"/>
  <c r="N316" i="5"/>
  <c r="O316" i="5"/>
  <c r="N315" i="5"/>
  <c r="O315" i="5"/>
  <c r="N314" i="5"/>
  <c r="O314" i="5"/>
  <c r="N313" i="5"/>
  <c r="O313" i="5"/>
  <c r="N312" i="5"/>
  <c r="O312" i="5"/>
  <c r="N311" i="5"/>
  <c r="O311" i="5"/>
  <c r="N310" i="5"/>
  <c r="O310" i="5"/>
  <c r="N309" i="5"/>
  <c r="O309" i="5"/>
  <c r="N308" i="5"/>
  <c r="O308" i="5"/>
  <c r="N307" i="5"/>
  <c r="O307" i="5"/>
  <c r="N306" i="5"/>
  <c r="O306" i="5"/>
  <c r="N305" i="5"/>
  <c r="O305" i="5"/>
  <c r="N304" i="5"/>
  <c r="O304" i="5"/>
  <c r="N303" i="5"/>
  <c r="O303" i="5"/>
  <c r="N302" i="5"/>
  <c r="O302" i="5"/>
  <c r="N301" i="5"/>
  <c r="O301" i="5"/>
  <c r="N300" i="5"/>
  <c r="O300" i="5"/>
  <c r="N299" i="5"/>
  <c r="O299" i="5"/>
  <c r="N298" i="5"/>
  <c r="O298" i="5"/>
  <c r="N297" i="5"/>
  <c r="O297" i="5"/>
  <c r="N296" i="5"/>
  <c r="O296" i="5"/>
  <c r="N295" i="5"/>
  <c r="O295" i="5"/>
  <c r="N294" i="5"/>
  <c r="O294" i="5"/>
  <c r="N293" i="5"/>
  <c r="O293" i="5"/>
  <c r="N292" i="5"/>
  <c r="O292" i="5"/>
  <c r="N291" i="5"/>
  <c r="O291" i="5"/>
  <c r="N290" i="5"/>
  <c r="O290" i="5"/>
  <c r="N289" i="5"/>
  <c r="O289" i="5"/>
  <c r="N288" i="5"/>
  <c r="O288" i="5"/>
  <c r="N287" i="5"/>
  <c r="O287" i="5"/>
  <c r="N286" i="5"/>
  <c r="O286" i="5"/>
  <c r="N285" i="5"/>
  <c r="O285" i="5"/>
  <c r="N284" i="5"/>
  <c r="O284" i="5"/>
  <c r="N283" i="5"/>
  <c r="O283" i="5"/>
  <c r="N282" i="5"/>
  <c r="O282" i="5"/>
  <c r="N281" i="5"/>
  <c r="O281" i="5"/>
  <c r="N280" i="5"/>
  <c r="O280" i="5"/>
  <c r="N279" i="5"/>
  <c r="O279" i="5"/>
  <c r="N278" i="5"/>
  <c r="O278" i="5"/>
  <c r="N277" i="5"/>
  <c r="O277" i="5"/>
  <c r="N276" i="5"/>
  <c r="O276" i="5"/>
  <c r="N275" i="5"/>
  <c r="O275" i="5"/>
  <c r="N274" i="5"/>
  <c r="O274" i="5"/>
  <c r="N273" i="5"/>
  <c r="O273" i="5"/>
  <c r="N272" i="5"/>
  <c r="O272" i="5"/>
  <c r="N271" i="5"/>
  <c r="O271" i="5"/>
  <c r="N270" i="5"/>
  <c r="O270" i="5"/>
  <c r="N269" i="5"/>
  <c r="O269" i="5"/>
  <c r="N268" i="5"/>
  <c r="O268" i="5"/>
  <c r="N267" i="5"/>
  <c r="O267" i="5"/>
  <c r="N266" i="5"/>
  <c r="O266" i="5"/>
  <c r="N265" i="5"/>
  <c r="O265" i="5"/>
  <c r="N264" i="5"/>
  <c r="O264" i="5"/>
  <c r="N263" i="5"/>
  <c r="O263" i="5"/>
  <c r="N262" i="5"/>
  <c r="O262" i="5"/>
  <c r="N261" i="5"/>
  <c r="O261" i="5"/>
  <c r="N260" i="5"/>
  <c r="O260" i="5"/>
  <c r="N259" i="5"/>
  <c r="O259" i="5"/>
  <c r="N258" i="5"/>
  <c r="O258" i="5"/>
  <c r="N257" i="5"/>
  <c r="O257" i="5"/>
  <c r="N256" i="5"/>
  <c r="O256" i="5"/>
  <c r="N255" i="5"/>
  <c r="O255" i="5"/>
  <c r="N254" i="5"/>
  <c r="O254" i="5"/>
  <c r="N253" i="5"/>
  <c r="O253" i="5"/>
  <c r="N252" i="5"/>
  <c r="O252" i="5"/>
  <c r="N251" i="5"/>
  <c r="O251" i="5"/>
  <c r="N250" i="5"/>
  <c r="O250" i="5"/>
  <c r="N249" i="5"/>
  <c r="O249" i="5"/>
  <c r="N248" i="5"/>
  <c r="O248" i="5"/>
  <c r="N247" i="5"/>
  <c r="O247" i="5"/>
  <c r="N246" i="5"/>
  <c r="O246" i="5"/>
  <c r="N245" i="5"/>
  <c r="O245" i="5"/>
  <c r="N244" i="5"/>
  <c r="O244" i="5"/>
  <c r="N243" i="5"/>
  <c r="O243" i="5"/>
  <c r="N242" i="5"/>
  <c r="O242" i="5"/>
  <c r="N241" i="5"/>
  <c r="O241" i="5"/>
  <c r="N240" i="5"/>
  <c r="O240" i="5"/>
  <c r="N239" i="5"/>
  <c r="O239" i="5"/>
  <c r="N238" i="5"/>
  <c r="O238" i="5"/>
  <c r="N237" i="5"/>
  <c r="O237" i="5"/>
  <c r="N236" i="5"/>
  <c r="O236" i="5"/>
  <c r="N235" i="5"/>
  <c r="O235" i="5"/>
  <c r="N234" i="5"/>
  <c r="O234" i="5"/>
  <c r="N233" i="5"/>
  <c r="O233" i="5"/>
  <c r="N232" i="5"/>
  <c r="O232" i="5"/>
  <c r="N231" i="5"/>
  <c r="O231" i="5"/>
  <c r="N230" i="5"/>
  <c r="O230" i="5"/>
  <c r="N229" i="5"/>
  <c r="O229" i="5"/>
  <c r="N228" i="5"/>
  <c r="O228" i="5"/>
  <c r="N227" i="5"/>
  <c r="O227" i="5"/>
  <c r="N226" i="5"/>
  <c r="O226" i="5"/>
  <c r="N225" i="5"/>
  <c r="O225" i="5"/>
  <c r="N224" i="5"/>
  <c r="O224" i="5"/>
  <c r="N223" i="5"/>
  <c r="O223" i="5"/>
  <c r="N222" i="5"/>
  <c r="O222" i="5"/>
  <c r="N221" i="5"/>
  <c r="O221" i="5"/>
  <c r="N220" i="5"/>
  <c r="O220" i="5"/>
  <c r="N219" i="5"/>
  <c r="O219" i="5"/>
  <c r="N218" i="5"/>
  <c r="O218" i="5"/>
  <c r="N217" i="5"/>
  <c r="O217" i="5"/>
  <c r="N216" i="5"/>
  <c r="O216" i="5"/>
  <c r="N215" i="5"/>
  <c r="O215" i="5"/>
  <c r="N214" i="5"/>
  <c r="O214" i="5"/>
  <c r="N213" i="5"/>
  <c r="O213" i="5"/>
  <c r="N212" i="5"/>
  <c r="O212" i="5"/>
  <c r="N211" i="5"/>
  <c r="O211" i="5"/>
  <c r="N210" i="5"/>
  <c r="O210" i="5"/>
  <c r="N209" i="5"/>
  <c r="O209" i="5"/>
  <c r="N208" i="5"/>
  <c r="O208" i="5"/>
  <c r="N207" i="5"/>
  <c r="O207" i="5"/>
  <c r="N206" i="5"/>
  <c r="O206" i="5"/>
  <c r="N205" i="5"/>
  <c r="O205" i="5"/>
  <c r="N204" i="5"/>
  <c r="O204" i="5"/>
  <c r="N203" i="5"/>
  <c r="O203" i="5"/>
  <c r="N202" i="5"/>
  <c r="O202" i="5"/>
  <c r="N201" i="5"/>
  <c r="O201" i="5"/>
  <c r="N200" i="5"/>
  <c r="O200" i="5"/>
  <c r="N199" i="5"/>
  <c r="O199" i="5"/>
  <c r="N198" i="5"/>
  <c r="O198" i="5"/>
  <c r="N197" i="5"/>
  <c r="O197" i="5"/>
  <c r="N196" i="5"/>
  <c r="O196" i="5"/>
  <c r="N195" i="5"/>
  <c r="O195" i="5"/>
  <c r="N194" i="5"/>
  <c r="O194" i="5"/>
  <c r="N193" i="5"/>
  <c r="O193" i="5"/>
  <c r="N192" i="5"/>
  <c r="O192" i="5"/>
  <c r="N191" i="5"/>
  <c r="O191" i="5"/>
  <c r="N190" i="5"/>
  <c r="O190" i="5"/>
  <c r="N189" i="5"/>
  <c r="O189" i="5"/>
  <c r="N188" i="5"/>
  <c r="O188" i="5"/>
  <c r="N187" i="5"/>
  <c r="O187" i="5"/>
  <c r="N186" i="5"/>
  <c r="O186" i="5"/>
  <c r="N185" i="5"/>
  <c r="O185" i="5"/>
  <c r="N184" i="5"/>
  <c r="O184" i="5"/>
  <c r="N183" i="5"/>
  <c r="O183" i="5"/>
  <c r="N182" i="5"/>
  <c r="O182" i="5"/>
  <c r="N181" i="5"/>
  <c r="O181" i="5"/>
  <c r="N180" i="5"/>
  <c r="O180" i="5"/>
  <c r="N179" i="5"/>
  <c r="O179" i="5"/>
  <c r="N178" i="5"/>
  <c r="O178" i="5"/>
  <c r="N177" i="5"/>
  <c r="O177" i="5"/>
  <c r="N176" i="5"/>
  <c r="O176" i="5"/>
  <c r="N175" i="5"/>
  <c r="O175" i="5"/>
  <c r="N174" i="5"/>
  <c r="O174" i="5"/>
  <c r="N173" i="5"/>
  <c r="O173" i="5"/>
  <c r="N172" i="5"/>
  <c r="O172" i="5"/>
  <c r="N171" i="5"/>
  <c r="O171" i="5"/>
  <c r="N170" i="5"/>
  <c r="O170" i="5"/>
  <c r="N169" i="5"/>
  <c r="O169" i="5"/>
  <c r="N168" i="5"/>
  <c r="O168" i="5"/>
  <c r="N167" i="5"/>
  <c r="O167" i="5"/>
  <c r="N166" i="5"/>
  <c r="O166" i="5"/>
  <c r="N165" i="5"/>
  <c r="O165" i="5"/>
  <c r="N164" i="5"/>
  <c r="O164" i="5"/>
  <c r="N163" i="5"/>
  <c r="O163" i="5"/>
  <c r="N162" i="5"/>
  <c r="O162" i="5"/>
  <c r="N161" i="5"/>
  <c r="O161" i="5"/>
  <c r="N160" i="5"/>
  <c r="O160" i="5"/>
  <c r="N159" i="5"/>
  <c r="O159" i="5"/>
  <c r="N158" i="5"/>
  <c r="O158" i="5"/>
  <c r="N157" i="5"/>
  <c r="O157" i="5"/>
  <c r="N156" i="5"/>
  <c r="O156" i="5"/>
  <c r="N155" i="5"/>
  <c r="O155" i="5"/>
  <c r="N154" i="5"/>
  <c r="O154" i="5"/>
  <c r="N153" i="5"/>
  <c r="O153" i="5"/>
  <c r="N152" i="5"/>
  <c r="O152" i="5"/>
  <c r="N151" i="5"/>
  <c r="O151" i="5"/>
  <c r="N150" i="5"/>
  <c r="O150" i="5"/>
  <c r="N149" i="5"/>
  <c r="O149" i="5"/>
  <c r="N148" i="5"/>
  <c r="O148" i="5"/>
  <c r="N147" i="5"/>
  <c r="O147" i="5"/>
  <c r="N146" i="5"/>
  <c r="O146" i="5"/>
  <c r="N145" i="5"/>
  <c r="O145" i="5"/>
  <c r="N144" i="5"/>
  <c r="O144" i="5"/>
  <c r="N143" i="5"/>
  <c r="O143" i="5"/>
  <c r="N142" i="5"/>
  <c r="O142" i="5"/>
  <c r="N141" i="5"/>
  <c r="O141" i="5"/>
  <c r="N140" i="5"/>
  <c r="O140" i="5"/>
  <c r="N139" i="5"/>
  <c r="O139" i="5"/>
  <c r="N138" i="5"/>
  <c r="O138" i="5"/>
  <c r="N137" i="5"/>
  <c r="O137" i="5"/>
  <c r="N136" i="5"/>
  <c r="O136" i="5"/>
  <c r="N135" i="5"/>
  <c r="O135" i="5"/>
  <c r="N134" i="5"/>
  <c r="O134" i="5"/>
  <c r="N133" i="5"/>
  <c r="O133" i="5"/>
  <c r="N132" i="5"/>
  <c r="O132" i="5"/>
  <c r="N131" i="5"/>
  <c r="O131" i="5"/>
  <c r="N130" i="5"/>
  <c r="O130" i="5"/>
  <c r="N129" i="5"/>
  <c r="O129" i="5"/>
  <c r="N128" i="5"/>
  <c r="O128" i="5"/>
  <c r="N127" i="5"/>
  <c r="O127" i="5"/>
  <c r="N126" i="5"/>
  <c r="O126" i="5"/>
  <c r="N125" i="5"/>
  <c r="O125" i="5"/>
  <c r="N124" i="5"/>
  <c r="O124" i="5"/>
  <c r="N123" i="5"/>
  <c r="O123" i="5"/>
  <c r="N122" i="5"/>
  <c r="O122" i="5"/>
  <c r="N121" i="5"/>
  <c r="O121" i="5"/>
  <c r="N120" i="5"/>
  <c r="O120" i="5"/>
  <c r="N119" i="5"/>
  <c r="O119" i="5"/>
  <c r="N118" i="5"/>
  <c r="O118" i="5"/>
  <c r="N117" i="5"/>
  <c r="O117" i="5"/>
  <c r="N116" i="5"/>
  <c r="O116" i="5"/>
  <c r="N115" i="5"/>
  <c r="O115" i="5"/>
  <c r="N114" i="5"/>
  <c r="O114" i="5"/>
  <c r="N113" i="5"/>
  <c r="O113" i="5"/>
  <c r="N112" i="5"/>
  <c r="O112" i="5"/>
  <c r="N111" i="5"/>
  <c r="O111" i="5"/>
  <c r="N110" i="5"/>
  <c r="O110" i="5"/>
  <c r="N109" i="5"/>
  <c r="O109" i="5"/>
  <c r="N108" i="5"/>
  <c r="O108" i="5"/>
  <c r="N107" i="5"/>
  <c r="O107" i="5"/>
  <c r="N106" i="5"/>
  <c r="O106" i="5"/>
  <c r="N105" i="5"/>
  <c r="O105" i="5"/>
  <c r="N104" i="5"/>
  <c r="O104" i="5"/>
  <c r="N103" i="5"/>
  <c r="O103" i="5"/>
  <c r="N102" i="5"/>
  <c r="O102" i="5"/>
  <c r="N101" i="5"/>
  <c r="O101" i="5"/>
  <c r="N100" i="5"/>
  <c r="O100" i="5"/>
  <c r="N99" i="5"/>
  <c r="O99" i="5"/>
  <c r="N98" i="5"/>
  <c r="O98" i="5"/>
  <c r="N97" i="5"/>
  <c r="O97" i="5"/>
  <c r="N96" i="5"/>
  <c r="O96" i="5"/>
  <c r="N95" i="5"/>
  <c r="O95" i="5"/>
  <c r="N94" i="5"/>
  <c r="O94" i="5"/>
  <c r="N93" i="5"/>
  <c r="O93" i="5"/>
  <c r="N92" i="5"/>
  <c r="O92" i="5"/>
  <c r="N91" i="5"/>
  <c r="O91" i="5"/>
  <c r="N90" i="5"/>
  <c r="O90" i="5"/>
  <c r="N89" i="5"/>
  <c r="O89" i="5"/>
  <c r="N88" i="5"/>
  <c r="O88" i="5"/>
  <c r="N87" i="5"/>
  <c r="O87" i="5"/>
  <c r="N86" i="5"/>
  <c r="O86" i="5"/>
  <c r="N85" i="5"/>
  <c r="O85" i="5"/>
  <c r="N84" i="5"/>
  <c r="O84" i="5"/>
  <c r="N83" i="5"/>
  <c r="O83" i="5"/>
  <c r="N82" i="5"/>
  <c r="O82" i="5"/>
  <c r="N81" i="5"/>
  <c r="O81" i="5"/>
  <c r="N80" i="5"/>
  <c r="O80" i="5"/>
  <c r="N79" i="5"/>
  <c r="O79" i="5"/>
  <c r="N78" i="5"/>
  <c r="O78" i="5"/>
  <c r="O2" i="5"/>
  <c r="N2" i="5"/>
  <c r="P2" i="6"/>
  <c r="O2" i="6"/>
  <c r="O569" i="6"/>
  <c r="P569" i="6"/>
  <c r="O568" i="6"/>
  <c r="P568" i="6"/>
  <c r="O567" i="6"/>
  <c r="P567" i="6"/>
  <c r="O566" i="6"/>
  <c r="P566" i="6"/>
  <c r="O565" i="6"/>
  <c r="P565" i="6"/>
  <c r="O564" i="6"/>
  <c r="P564" i="6"/>
  <c r="O563" i="6"/>
  <c r="P563" i="6"/>
  <c r="O562" i="6"/>
  <c r="P562" i="6"/>
  <c r="O561" i="6"/>
  <c r="P561" i="6"/>
  <c r="O560" i="6"/>
  <c r="P560" i="6"/>
  <c r="O559" i="6"/>
  <c r="P559" i="6"/>
  <c r="O558" i="6"/>
  <c r="P558" i="6"/>
  <c r="O557" i="6"/>
  <c r="P557" i="6"/>
  <c r="O556" i="6"/>
  <c r="P556" i="6"/>
  <c r="O555" i="6"/>
  <c r="P555" i="6"/>
  <c r="O554" i="6"/>
  <c r="P554" i="6"/>
  <c r="O553" i="6"/>
  <c r="P553" i="6"/>
  <c r="O552" i="6"/>
  <c r="P552" i="6"/>
  <c r="O551" i="6"/>
  <c r="P551" i="6"/>
  <c r="O550" i="6"/>
  <c r="P550" i="6"/>
  <c r="O549" i="6"/>
  <c r="P549" i="6"/>
  <c r="O548" i="6"/>
  <c r="P548" i="6"/>
  <c r="O547" i="6"/>
  <c r="P547" i="6"/>
  <c r="O546" i="6"/>
  <c r="P546" i="6"/>
  <c r="O545" i="6"/>
  <c r="P545" i="6"/>
  <c r="O544" i="6"/>
  <c r="P544" i="6"/>
  <c r="O543" i="6"/>
  <c r="P543" i="6"/>
  <c r="O542" i="6"/>
  <c r="P542" i="6"/>
  <c r="O541" i="6"/>
  <c r="P541" i="6"/>
  <c r="O540" i="6"/>
  <c r="P540" i="6"/>
  <c r="O539" i="6"/>
  <c r="P539" i="6"/>
  <c r="O538" i="6"/>
  <c r="P538" i="6"/>
  <c r="O537" i="6"/>
  <c r="P537" i="6"/>
  <c r="O536" i="6"/>
  <c r="P536" i="6"/>
  <c r="O535" i="6"/>
  <c r="P535" i="6"/>
  <c r="O534" i="6"/>
  <c r="P534" i="6"/>
  <c r="O533" i="6"/>
  <c r="P533" i="6"/>
  <c r="O532" i="6"/>
  <c r="P532" i="6"/>
  <c r="O531" i="6"/>
  <c r="P531" i="6"/>
  <c r="O530" i="6"/>
  <c r="P530" i="6"/>
  <c r="O529" i="6"/>
  <c r="P529" i="6"/>
  <c r="O528" i="6"/>
  <c r="P528" i="6"/>
  <c r="O527" i="6"/>
  <c r="P527" i="6"/>
  <c r="O526" i="6"/>
  <c r="P526" i="6"/>
  <c r="O525" i="6"/>
  <c r="P525" i="6"/>
  <c r="O524" i="6"/>
  <c r="P524" i="6"/>
  <c r="O523" i="6"/>
  <c r="P523" i="6"/>
  <c r="O522" i="6"/>
  <c r="P522" i="6"/>
  <c r="O521" i="6"/>
  <c r="P521" i="6"/>
  <c r="O520" i="6"/>
  <c r="P520" i="6"/>
  <c r="O519" i="6"/>
  <c r="P519" i="6"/>
  <c r="O518" i="6"/>
  <c r="P518" i="6"/>
  <c r="O517" i="6"/>
  <c r="P517" i="6"/>
  <c r="O516" i="6"/>
  <c r="P516" i="6"/>
  <c r="O515" i="6"/>
  <c r="P515" i="6"/>
  <c r="O514" i="6"/>
  <c r="P514" i="6"/>
  <c r="O513" i="6"/>
  <c r="P513" i="6"/>
  <c r="O512" i="6"/>
  <c r="P512" i="6"/>
  <c r="O511" i="6"/>
  <c r="P511" i="6"/>
  <c r="O510" i="6"/>
  <c r="P510" i="6"/>
  <c r="O509" i="6"/>
  <c r="P509" i="6"/>
  <c r="O508" i="6"/>
  <c r="P508" i="6"/>
  <c r="O507" i="6"/>
  <c r="P507" i="6"/>
  <c r="O506" i="6"/>
  <c r="P506" i="6"/>
  <c r="O505" i="6"/>
  <c r="P505" i="6"/>
  <c r="O504" i="6"/>
  <c r="P504" i="6"/>
  <c r="O503" i="6"/>
  <c r="P503" i="6"/>
  <c r="O502" i="6"/>
  <c r="P502" i="6"/>
  <c r="O501" i="6"/>
  <c r="P501" i="6"/>
  <c r="O500" i="6"/>
  <c r="P500" i="6"/>
  <c r="O499" i="6"/>
  <c r="P499" i="6"/>
  <c r="O498" i="6"/>
  <c r="P498" i="6"/>
  <c r="O497" i="6"/>
  <c r="P497" i="6"/>
  <c r="O496" i="6"/>
  <c r="P496" i="6"/>
  <c r="O495" i="6"/>
  <c r="P495" i="6"/>
  <c r="O494" i="6"/>
  <c r="P494" i="6"/>
  <c r="O493" i="6"/>
  <c r="P493" i="6"/>
  <c r="O492" i="6"/>
  <c r="P492" i="6"/>
  <c r="O491" i="6"/>
  <c r="P491" i="6"/>
  <c r="O490" i="6"/>
  <c r="P490" i="6"/>
  <c r="O489" i="6"/>
  <c r="P489" i="6"/>
  <c r="O488" i="6"/>
  <c r="P488" i="6"/>
  <c r="O487" i="6"/>
  <c r="P487" i="6"/>
  <c r="O486" i="6"/>
  <c r="P486" i="6"/>
  <c r="O485" i="6"/>
  <c r="P485" i="6"/>
  <c r="O484" i="6"/>
  <c r="P484" i="6"/>
  <c r="O483" i="6"/>
  <c r="P483" i="6"/>
  <c r="O482" i="6"/>
  <c r="P482" i="6"/>
  <c r="O481" i="6"/>
  <c r="P481" i="6"/>
  <c r="O480" i="6"/>
  <c r="P480" i="6"/>
  <c r="O479" i="6"/>
  <c r="P479" i="6"/>
  <c r="O478" i="6"/>
  <c r="P478" i="6"/>
  <c r="O477" i="6"/>
  <c r="P477" i="6"/>
  <c r="O476" i="6"/>
  <c r="P476" i="6"/>
  <c r="O475" i="6"/>
  <c r="P475" i="6"/>
  <c r="O474" i="6"/>
  <c r="P474" i="6"/>
  <c r="O473" i="6"/>
  <c r="P473" i="6"/>
  <c r="O472" i="6"/>
  <c r="P472" i="6"/>
  <c r="O471" i="6"/>
  <c r="P471" i="6"/>
  <c r="O470" i="6"/>
  <c r="P470" i="6"/>
  <c r="O469" i="6"/>
  <c r="P469" i="6"/>
  <c r="O468" i="6"/>
  <c r="P468" i="6"/>
  <c r="O467" i="6"/>
  <c r="P467" i="6"/>
  <c r="O466" i="6"/>
  <c r="P466" i="6"/>
  <c r="O465" i="6"/>
  <c r="P465" i="6"/>
  <c r="O464" i="6"/>
  <c r="P464" i="6"/>
  <c r="O463" i="6"/>
  <c r="P463" i="6"/>
  <c r="O462" i="6"/>
  <c r="P462" i="6"/>
  <c r="O461" i="6"/>
  <c r="P461" i="6"/>
  <c r="O460" i="6"/>
  <c r="P460" i="6"/>
  <c r="O459" i="6"/>
  <c r="P459" i="6"/>
  <c r="O458" i="6"/>
  <c r="P458" i="6"/>
  <c r="O457" i="6"/>
  <c r="P457" i="6"/>
  <c r="O456" i="6"/>
  <c r="P456" i="6"/>
  <c r="O455" i="6"/>
  <c r="P455" i="6"/>
  <c r="O454" i="6"/>
  <c r="P454" i="6"/>
  <c r="O453" i="6"/>
  <c r="P453" i="6"/>
  <c r="O452" i="6"/>
  <c r="P452" i="6"/>
  <c r="O451" i="6"/>
  <c r="P451" i="6"/>
  <c r="O450" i="6"/>
  <c r="P450" i="6"/>
  <c r="O449" i="6"/>
  <c r="P449" i="6"/>
  <c r="O448" i="6"/>
  <c r="P448" i="6"/>
  <c r="O447" i="6"/>
  <c r="P447" i="6"/>
  <c r="O446" i="6"/>
  <c r="P446" i="6"/>
  <c r="O445" i="6"/>
  <c r="P445" i="6"/>
  <c r="O444" i="6"/>
  <c r="P444" i="6"/>
  <c r="O443" i="6"/>
  <c r="P443" i="6"/>
  <c r="O442" i="6"/>
  <c r="P442" i="6"/>
  <c r="O441" i="6"/>
  <c r="P441" i="6"/>
  <c r="O440" i="6"/>
  <c r="P440" i="6"/>
  <c r="O439" i="6"/>
  <c r="P439" i="6"/>
  <c r="O438" i="6"/>
  <c r="P438" i="6"/>
  <c r="O437" i="6"/>
  <c r="P437" i="6"/>
  <c r="O436" i="6"/>
  <c r="P436" i="6"/>
  <c r="O435" i="6"/>
  <c r="P435" i="6"/>
  <c r="O434" i="6"/>
  <c r="P434" i="6"/>
  <c r="O433" i="6"/>
  <c r="P433" i="6"/>
  <c r="O432" i="6"/>
  <c r="P432" i="6"/>
  <c r="O431" i="6"/>
  <c r="P431" i="6"/>
  <c r="O430" i="6"/>
  <c r="P430" i="6"/>
  <c r="O429" i="6"/>
  <c r="P429" i="6"/>
  <c r="O428" i="6"/>
  <c r="P428" i="6"/>
  <c r="O427" i="6"/>
  <c r="P427" i="6"/>
  <c r="O426" i="6"/>
  <c r="P426" i="6"/>
  <c r="O425" i="6"/>
  <c r="P425" i="6"/>
  <c r="O424" i="6"/>
  <c r="P424" i="6"/>
  <c r="O423" i="6"/>
  <c r="P423" i="6"/>
  <c r="O422" i="6"/>
  <c r="P422" i="6"/>
  <c r="O421" i="6"/>
  <c r="P421" i="6"/>
  <c r="O420" i="6"/>
  <c r="P420" i="6"/>
  <c r="O419" i="6"/>
  <c r="P419" i="6"/>
  <c r="O418" i="6"/>
  <c r="P418" i="6"/>
  <c r="O417" i="6"/>
  <c r="P417" i="6"/>
  <c r="O416" i="6"/>
  <c r="P416" i="6"/>
  <c r="O415" i="6"/>
  <c r="P415" i="6"/>
  <c r="O414" i="6"/>
  <c r="P414" i="6"/>
  <c r="O413" i="6"/>
  <c r="P413" i="6"/>
  <c r="O412" i="6"/>
  <c r="P412" i="6"/>
  <c r="O411" i="6"/>
  <c r="P411" i="6"/>
  <c r="O410" i="6"/>
  <c r="P410" i="6"/>
  <c r="O409" i="6"/>
  <c r="P409" i="6"/>
  <c r="O408" i="6"/>
  <c r="P408" i="6"/>
  <c r="O407" i="6"/>
  <c r="P407" i="6"/>
  <c r="O406" i="6"/>
  <c r="P406" i="6"/>
  <c r="O405" i="6"/>
  <c r="P405" i="6"/>
  <c r="O404" i="6"/>
  <c r="P404" i="6"/>
  <c r="O403" i="6"/>
  <c r="P403" i="6"/>
  <c r="O402" i="6"/>
  <c r="P402" i="6"/>
  <c r="O401" i="6"/>
  <c r="P401" i="6"/>
  <c r="O400" i="6"/>
  <c r="P400" i="6"/>
  <c r="O399" i="6"/>
  <c r="P399" i="6"/>
  <c r="O398" i="6"/>
  <c r="P398" i="6"/>
  <c r="O397" i="6"/>
  <c r="P397" i="6"/>
  <c r="O396" i="6"/>
  <c r="P396" i="6"/>
  <c r="O395" i="6"/>
  <c r="P395" i="6"/>
  <c r="O394" i="6"/>
  <c r="P394" i="6"/>
  <c r="O393" i="6"/>
  <c r="P393" i="6"/>
  <c r="O392" i="6"/>
  <c r="P392" i="6"/>
  <c r="O391" i="6"/>
  <c r="P391" i="6"/>
  <c r="O390" i="6"/>
  <c r="P390" i="6"/>
  <c r="O389" i="6"/>
  <c r="P389" i="6"/>
  <c r="O388" i="6"/>
  <c r="P388" i="6"/>
  <c r="O387" i="6"/>
  <c r="P387" i="6"/>
  <c r="O386" i="6"/>
  <c r="P386" i="6"/>
  <c r="O385" i="6"/>
  <c r="P385" i="6"/>
  <c r="O384" i="6"/>
  <c r="P384" i="6"/>
  <c r="O383" i="6"/>
  <c r="P383" i="6"/>
  <c r="O382" i="6"/>
  <c r="P382" i="6"/>
  <c r="O381" i="6"/>
  <c r="P381" i="6"/>
  <c r="O380" i="6"/>
  <c r="P380" i="6"/>
  <c r="O379" i="6"/>
  <c r="P379" i="6"/>
  <c r="O378" i="6"/>
  <c r="P378" i="6"/>
  <c r="O377" i="6"/>
  <c r="P377" i="6"/>
  <c r="O376" i="6"/>
  <c r="P376" i="6"/>
  <c r="O375" i="6"/>
  <c r="P375" i="6"/>
  <c r="O374" i="6"/>
  <c r="P374" i="6"/>
  <c r="O373" i="6"/>
  <c r="P373" i="6"/>
  <c r="O372" i="6"/>
  <c r="P372" i="6"/>
  <c r="O371" i="6"/>
  <c r="P371" i="6"/>
  <c r="O370" i="6"/>
  <c r="P370" i="6"/>
  <c r="O369" i="6"/>
  <c r="P369" i="6"/>
  <c r="O368" i="6"/>
  <c r="P368" i="6"/>
  <c r="O367" i="6"/>
  <c r="P367" i="6"/>
  <c r="O366" i="6"/>
  <c r="P366" i="6"/>
  <c r="O365" i="6"/>
  <c r="P365" i="6"/>
  <c r="O364" i="6"/>
  <c r="P364" i="6"/>
  <c r="O363" i="6"/>
  <c r="P363" i="6"/>
  <c r="O362" i="6"/>
  <c r="P362" i="6"/>
  <c r="O361" i="6"/>
  <c r="P361" i="6"/>
  <c r="O360" i="6"/>
  <c r="P360" i="6"/>
  <c r="O359" i="6"/>
  <c r="P359" i="6"/>
  <c r="O358" i="6"/>
  <c r="P358" i="6"/>
  <c r="O357" i="6"/>
  <c r="P357" i="6"/>
  <c r="O356" i="6"/>
  <c r="P356" i="6"/>
  <c r="O355" i="6"/>
  <c r="P355" i="6"/>
  <c r="O354" i="6"/>
  <c r="P354" i="6"/>
  <c r="O353" i="6"/>
  <c r="P353" i="6"/>
  <c r="O352" i="6"/>
  <c r="P352" i="6"/>
  <c r="O351" i="6"/>
  <c r="P351" i="6"/>
  <c r="O350" i="6"/>
  <c r="P350" i="6"/>
  <c r="O349" i="6"/>
  <c r="P349" i="6"/>
  <c r="O348" i="6"/>
  <c r="P348" i="6"/>
  <c r="O347" i="6"/>
  <c r="P347" i="6"/>
  <c r="O346" i="6"/>
  <c r="P346" i="6"/>
  <c r="O345" i="6"/>
  <c r="P345" i="6"/>
  <c r="O344" i="6"/>
  <c r="P344" i="6"/>
  <c r="O343" i="6"/>
  <c r="P343" i="6"/>
  <c r="O342" i="6"/>
  <c r="P342" i="6"/>
  <c r="O341" i="6"/>
  <c r="P341" i="6"/>
  <c r="O340" i="6"/>
  <c r="P340" i="6"/>
  <c r="O339" i="6"/>
  <c r="P339" i="6"/>
  <c r="O338" i="6"/>
  <c r="P338" i="6"/>
  <c r="O337" i="6"/>
  <c r="P337" i="6"/>
  <c r="O336" i="6"/>
  <c r="P336" i="6"/>
  <c r="O335" i="6"/>
  <c r="P335" i="6"/>
  <c r="O334" i="6"/>
  <c r="P334" i="6"/>
  <c r="O333" i="6"/>
  <c r="P333" i="6"/>
  <c r="O332" i="6"/>
  <c r="P332" i="6"/>
  <c r="O331" i="6"/>
  <c r="P331" i="6"/>
  <c r="O330" i="6"/>
  <c r="P330" i="6"/>
  <c r="O329" i="6"/>
  <c r="P329" i="6"/>
  <c r="O328" i="6"/>
  <c r="P328" i="6"/>
  <c r="O327" i="6"/>
  <c r="P327" i="6"/>
  <c r="O326" i="6"/>
  <c r="P326" i="6"/>
  <c r="O325" i="6"/>
  <c r="P325" i="6"/>
  <c r="O324" i="6"/>
  <c r="P324" i="6"/>
  <c r="O323" i="6"/>
  <c r="P323" i="6"/>
  <c r="O322" i="6"/>
  <c r="P322" i="6"/>
  <c r="O321" i="6"/>
  <c r="P321" i="6"/>
  <c r="O320" i="6"/>
  <c r="P320" i="6"/>
  <c r="O319" i="6"/>
  <c r="P319" i="6"/>
  <c r="O318" i="6"/>
  <c r="P318" i="6"/>
  <c r="O317" i="6"/>
  <c r="P317" i="6"/>
  <c r="O316" i="6"/>
  <c r="P316" i="6"/>
  <c r="O315" i="6"/>
  <c r="P315" i="6"/>
  <c r="O314" i="6"/>
  <c r="P314" i="6"/>
  <c r="O313" i="6"/>
  <c r="P313" i="6"/>
  <c r="O312" i="6"/>
  <c r="P312" i="6"/>
  <c r="O311" i="6"/>
  <c r="P311" i="6"/>
  <c r="O310" i="6"/>
  <c r="P310" i="6"/>
  <c r="O309" i="6"/>
  <c r="P309" i="6"/>
  <c r="O308" i="6"/>
  <c r="P308" i="6"/>
  <c r="O307" i="6"/>
  <c r="P307" i="6"/>
  <c r="O306" i="6"/>
  <c r="P306" i="6"/>
  <c r="O305" i="6"/>
  <c r="P305" i="6"/>
  <c r="O304" i="6"/>
  <c r="P304" i="6"/>
  <c r="O303" i="6"/>
  <c r="P303" i="6"/>
  <c r="O302" i="6"/>
  <c r="P302" i="6"/>
  <c r="O301" i="6"/>
  <c r="P301" i="6"/>
  <c r="O300" i="6"/>
  <c r="P300" i="6"/>
  <c r="O299" i="6"/>
  <c r="P299" i="6"/>
  <c r="O298" i="6"/>
  <c r="P298" i="6"/>
  <c r="O297" i="6"/>
  <c r="P297" i="6"/>
  <c r="O296" i="6"/>
  <c r="P296" i="6"/>
  <c r="O295" i="6"/>
  <c r="P295" i="6"/>
  <c r="O294" i="6"/>
  <c r="P294" i="6"/>
  <c r="O293" i="6"/>
  <c r="P293" i="6"/>
  <c r="O292" i="6"/>
  <c r="P292" i="6"/>
  <c r="O291" i="6"/>
  <c r="P291" i="6"/>
  <c r="O290" i="6"/>
  <c r="P290" i="6"/>
  <c r="O289" i="6"/>
  <c r="P289" i="6"/>
  <c r="O288" i="6"/>
  <c r="P288" i="6"/>
  <c r="O287" i="6"/>
  <c r="P287" i="6"/>
  <c r="O286" i="6"/>
  <c r="P286" i="6"/>
  <c r="O285" i="6"/>
  <c r="P285" i="6"/>
  <c r="O284" i="6"/>
  <c r="P284" i="6"/>
  <c r="O283" i="6"/>
  <c r="P283" i="6"/>
  <c r="O282" i="6"/>
  <c r="P282" i="6"/>
  <c r="O281" i="6"/>
  <c r="P281" i="6"/>
  <c r="O280" i="6"/>
  <c r="P280" i="6"/>
  <c r="O279" i="6"/>
  <c r="P279" i="6"/>
  <c r="O278" i="6"/>
  <c r="P278" i="6"/>
  <c r="O277" i="6"/>
  <c r="P277" i="6"/>
  <c r="O276" i="6"/>
  <c r="P276" i="6"/>
  <c r="O275" i="6"/>
  <c r="P275" i="6"/>
  <c r="O274" i="6"/>
  <c r="P274" i="6"/>
  <c r="O273" i="6"/>
  <c r="P273" i="6"/>
  <c r="O272" i="6"/>
  <c r="P272" i="6"/>
  <c r="O271" i="6"/>
  <c r="P271" i="6"/>
  <c r="O270" i="6"/>
  <c r="P270" i="6"/>
  <c r="O269" i="6"/>
  <c r="P269" i="6"/>
  <c r="O268" i="6"/>
  <c r="P268" i="6"/>
  <c r="O267" i="6"/>
  <c r="P267" i="6"/>
  <c r="O266" i="6"/>
  <c r="P266" i="6"/>
  <c r="O265" i="6"/>
  <c r="P265" i="6"/>
  <c r="O264" i="6"/>
  <c r="P264" i="6"/>
  <c r="O263" i="6"/>
  <c r="P263" i="6"/>
  <c r="O262" i="6"/>
  <c r="P262" i="6"/>
  <c r="O261" i="6"/>
  <c r="P261" i="6"/>
  <c r="O260" i="6"/>
  <c r="P260" i="6"/>
  <c r="O259" i="6"/>
  <c r="P259" i="6"/>
  <c r="O258" i="6"/>
  <c r="P258" i="6"/>
  <c r="O257" i="6"/>
  <c r="P257" i="6"/>
  <c r="O256" i="6"/>
  <c r="P256" i="6"/>
  <c r="O255" i="6"/>
  <c r="P255" i="6"/>
  <c r="O254" i="6"/>
  <c r="P254" i="6"/>
  <c r="O253" i="6"/>
  <c r="P253" i="6"/>
  <c r="O252" i="6"/>
  <c r="P252" i="6"/>
  <c r="O251" i="6"/>
  <c r="P251" i="6"/>
  <c r="O250" i="6"/>
  <c r="P250" i="6"/>
  <c r="O249" i="6"/>
  <c r="P249" i="6"/>
  <c r="O248" i="6"/>
  <c r="P248" i="6"/>
  <c r="O247" i="6"/>
  <c r="P247" i="6"/>
  <c r="O246" i="6"/>
  <c r="P246" i="6"/>
  <c r="O245" i="6"/>
  <c r="P245" i="6"/>
  <c r="O244" i="6"/>
  <c r="P244" i="6"/>
  <c r="O243" i="6"/>
  <c r="P243" i="6"/>
  <c r="O242" i="6"/>
  <c r="P242" i="6"/>
  <c r="O241" i="6"/>
  <c r="P241" i="6"/>
  <c r="O240" i="6"/>
  <c r="P240" i="6"/>
  <c r="O239" i="6"/>
  <c r="P239" i="6"/>
  <c r="O238" i="6"/>
  <c r="P238" i="6"/>
  <c r="O237" i="6"/>
  <c r="P237" i="6"/>
  <c r="O236" i="6"/>
  <c r="P236" i="6"/>
  <c r="O235" i="6"/>
  <c r="P235" i="6"/>
  <c r="O234" i="6"/>
  <c r="P234" i="6"/>
  <c r="O233" i="6"/>
  <c r="P233" i="6"/>
  <c r="O232" i="6"/>
  <c r="P232" i="6"/>
  <c r="O231" i="6"/>
  <c r="P231" i="6"/>
  <c r="O230" i="6"/>
  <c r="P230" i="6"/>
  <c r="O229" i="6"/>
  <c r="P229" i="6"/>
  <c r="O228" i="6"/>
  <c r="P228" i="6"/>
  <c r="O227" i="6"/>
  <c r="P227" i="6"/>
  <c r="O226" i="6"/>
  <c r="P226" i="6"/>
  <c r="O225" i="6"/>
  <c r="P225" i="6"/>
  <c r="O224" i="6"/>
  <c r="P224" i="6"/>
  <c r="O223" i="6"/>
  <c r="P223" i="6"/>
  <c r="O222" i="6"/>
  <c r="P222" i="6"/>
  <c r="O221" i="6"/>
  <c r="P221" i="6"/>
  <c r="O220" i="6"/>
  <c r="P220" i="6"/>
  <c r="O219" i="6"/>
  <c r="P219" i="6"/>
  <c r="O218" i="6"/>
  <c r="P218" i="6"/>
  <c r="O217" i="6"/>
  <c r="P217" i="6"/>
  <c r="O216" i="6"/>
  <c r="P216" i="6"/>
  <c r="O215" i="6"/>
  <c r="P215" i="6"/>
  <c r="O214" i="6"/>
  <c r="P214" i="6"/>
  <c r="O213" i="6"/>
  <c r="P213" i="6"/>
  <c r="O212" i="6"/>
  <c r="P212" i="6"/>
  <c r="O211" i="6"/>
  <c r="P211" i="6"/>
  <c r="O210" i="6"/>
  <c r="P210" i="6"/>
  <c r="O209" i="6"/>
  <c r="P209" i="6"/>
  <c r="O208" i="6"/>
  <c r="P208" i="6"/>
  <c r="O207" i="6"/>
  <c r="P207" i="6"/>
  <c r="O206" i="6"/>
  <c r="P206" i="6"/>
  <c r="O205" i="6"/>
  <c r="P205" i="6"/>
  <c r="O204" i="6"/>
  <c r="P204" i="6"/>
  <c r="O203" i="6"/>
  <c r="P203" i="6"/>
  <c r="O202" i="6"/>
  <c r="P202" i="6"/>
  <c r="O201" i="6"/>
  <c r="P201" i="6"/>
  <c r="O200" i="6"/>
  <c r="P200" i="6"/>
  <c r="O199" i="6"/>
  <c r="P199" i="6"/>
  <c r="O198" i="6"/>
  <c r="P198" i="6"/>
  <c r="O197" i="6"/>
  <c r="P197" i="6"/>
  <c r="O196" i="6"/>
  <c r="P196" i="6"/>
  <c r="O195" i="6"/>
  <c r="P195" i="6"/>
  <c r="O194" i="6"/>
  <c r="P194" i="6"/>
  <c r="O193" i="6"/>
  <c r="P193" i="6"/>
  <c r="O192" i="6"/>
  <c r="P192" i="6"/>
  <c r="O191" i="6"/>
  <c r="P191" i="6"/>
  <c r="O190" i="6"/>
  <c r="P190" i="6"/>
  <c r="O189" i="6"/>
  <c r="P189" i="6"/>
  <c r="O188" i="6"/>
  <c r="P188" i="6"/>
  <c r="O187" i="6"/>
  <c r="P187" i="6"/>
  <c r="O186" i="6"/>
  <c r="P186" i="6"/>
  <c r="O185" i="6"/>
  <c r="P185" i="6"/>
  <c r="O184" i="6"/>
  <c r="P184" i="6"/>
  <c r="O183" i="6"/>
  <c r="P183" i="6"/>
  <c r="O182" i="6"/>
  <c r="P182" i="6"/>
  <c r="O181" i="6"/>
  <c r="P181" i="6"/>
  <c r="O180" i="6"/>
  <c r="P180" i="6"/>
  <c r="O179" i="6"/>
  <c r="P179" i="6"/>
  <c r="O178" i="6"/>
  <c r="P178" i="6"/>
  <c r="O177" i="6"/>
  <c r="P177" i="6"/>
  <c r="O176" i="6"/>
  <c r="P176" i="6"/>
  <c r="O175" i="6"/>
  <c r="P175" i="6"/>
  <c r="O174" i="6"/>
  <c r="P174" i="6"/>
  <c r="O173" i="6"/>
  <c r="P173" i="6"/>
  <c r="O172" i="6"/>
  <c r="P172" i="6"/>
  <c r="O171" i="6"/>
  <c r="P171" i="6"/>
  <c r="O170" i="6"/>
  <c r="P170" i="6"/>
  <c r="O169" i="6"/>
  <c r="P169" i="6"/>
  <c r="O168" i="6"/>
  <c r="P168" i="6"/>
  <c r="O167" i="6"/>
  <c r="P167" i="6"/>
  <c r="O166" i="6"/>
  <c r="P166" i="6"/>
  <c r="O165" i="6"/>
  <c r="P165" i="6"/>
  <c r="O164" i="6"/>
  <c r="P164" i="6"/>
  <c r="O163" i="6"/>
  <c r="P163" i="6"/>
  <c r="O162" i="6"/>
  <c r="P162" i="6"/>
  <c r="O161" i="6"/>
  <c r="P161" i="6"/>
  <c r="O160" i="6"/>
  <c r="P160" i="6"/>
  <c r="O159" i="6"/>
  <c r="P159" i="6"/>
  <c r="O158" i="6"/>
  <c r="P158" i="6"/>
  <c r="O157" i="6"/>
  <c r="P157" i="6"/>
  <c r="O156" i="6"/>
  <c r="P156" i="6"/>
  <c r="O155" i="6"/>
  <c r="P155" i="6"/>
  <c r="O154" i="6"/>
  <c r="P154" i="6"/>
  <c r="O153" i="6"/>
  <c r="P153" i="6"/>
  <c r="O152" i="6"/>
  <c r="P152" i="6"/>
  <c r="O151" i="6"/>
  <c r="P151" i="6"/>
  <c r="O150" i="6"/>
  <c r="P150" i="6"/>
  <c r="O149" i="6"/>
  <c r="P149" i="6"/>
  <c r="O148" i="6"/>
  <c r="P148" i="6"/>
  <c r="O147" i="6"/>
  <c r="P147" i="6"/>
  <c r="O146" i="6"/>
  <c r="P146" i="6"/>
  <c r="O145" i="6"/>
  <c r="P145" i="6"/>
  <c r="O144" i="6"/>
  <c r="P144" i="6"/>
  <c r="O143" i="6"/>
  <c r="P143" i="6"/>
  <c r="O142" i="6"/>
  <c r="P142" i="6"/>
  <c r="O141" i="6"/>
  <c r="P141" i="6"/>
  <c r="O140" i="6"/>
  <c r="P140" i="6"/>
  <c r="O139" i="6"/>
  <c r="P139" i="6"/>
  <c r="O138" i="6"/>
  <c r="P138" i="6"/>
  <c r="O137" i="6"/>
  <c r="P137" i="6"/>
  <c r="O136" i="6"/>
  <c r="P136" i="6"/>
  <c r="O135" i="6"/>
  <c r="P135" i="6"/>
  <c r="O134" i="6"/>
  <c r="P134" i="6"/>
  <c r="O133" i="6"/>
  <c r="P133" i="6"/>
  <c r="O132" i="6"/>
  <c r="P132" i="6"/>
  <c r="O131" i="6"/>
  <c r="P131" i="6"/>
  <c r="O130" i="6"/>
  <c r="P130" i="6"/>
  <c r="O129" i="6"/>
  <c r="P129" i="6"/>
  <c r="O128" i="6"/>
  <c r="P128" i="6"/>
  <c r="O127" i="6"/>
  <c r="P127" i="6"/>
  <c r="O126" i="6"/>
  <c r="P126" i="6"/>
  <c r="O125" i="6"/>
  <c r="P125" i="6"/>
  <c r="O124" i="6"/>
  <c r="P124" i="6"/>
  <c r="O123" i="6"/>
  <c r="P123" i="6"/>
  <c r="O122" i="6"/>
  <c r="P122" i="6"/>
  <c r="O121" i="6"/>
  <c r="P121" i="6"/>
  <c r="O120" i="6"/>
  <c r="P120" i="6"/>
  <c r="O119" i="6"/>
  <c r="P119" i="6"/>
  <c r="O118" i="6"/>
  <c r="P118" i="6"/>
  <c r="O117" i="6"/>
  <c r="P117" i="6"/>
  <c r="O116" i="6"/>
  <c r="P116" i="6"/>
  <c r="O115" i="6"/>
  <c r="P115" i="6"/>
  <c r="O114" i="6"/>
  <c r="P114" i="6"/>
  <c r="O113" i="6"/>
  <c r="P113" i="6"/>
  <c r="O112" i="6"/>
  <c r="P112" i="6"/>
  <c r="O111" i="6"/>
  <c r="P111" i="6"/>
  <c r="O110" i="6"/>
  <c r="P110" i="6"/>
  <c r="O109" i="6"/>
  <c r="P109" i="6"/>
  <c r="O108" i="6"/>
  <c r="P108" i="6"/>
  <c r="O107" i="6"/>
  <c r="P107" i="6"/>
  <c r="O106" i="6"/>
  <c r="P106" i="6"/>
  <c r="O105" i="6"/>
  <c r="P105" i="6"/>
  <c r="O104" i="6"/>
  <c r="P104" i="6"/>
  <c r="O103" i="6"/>
  <c r="P103" i="6"/>
  <c r="O102" i="6"/>
  <c r="P102" i="6"/>
  <c r="O101" i="6"/>
  <c r="P101" i="6"/>
  <c r="O100" i="6"/>
  <c r="P100" i="6"/>
  <c r="O99" i="6"/>
  <c r="P99" i="6"/>
  <c r="O98" i="6"/>
  <c r="P98" i="6"/>
  <c r="O97" i="6"/>
  <c r="P97" i="6"/>
  <c r="O96" i="6"/>
  <c r="P96" i="6"/>
  <c r="O95" i="6"/>
  <c r="P95" i="6"/>
  <c r="O94" i="6"/>
  <c r="P94" i="6"/>
  <c r="O93" i="6"/>
  <c r="P93" i="6"/>
  <c r="O92" i="6"/>
  <c r="P92" i="6"/>
  <c r="O91" i="6"/>
  <c r="P91" i="6"/>
  <c r="O90" i="6"/>
  <c r="P90" i="6"/>
  <c r="O89" i="6"/>
  <c r="P89" i="6"/>
  <c r="O88" i="6"/>
  <c r="P88" i="6"/>
  <c r="O87" i="6"/>
  <c r="P87" i="6"/>
  <c r="O86" i="6"/>
  <c r="P86" i="6"/>
  <c r="O85" i="6"/>
  <c r="P85" i="6"/>
  <c r="O84" i="6"/>
  <c r="P84" i="6"/>
  <c r="O83" i="6"/>
  <c r="P83" i="6"/>
  <c r="O82" i="6"/>
  <c r="P82" i="6"/>
  <c r="O81" i="6"/>
  <c r="P81" i="6"/>
  <c r="O80" i="6"/>
  <c r="P80" i="6"/>
  <c r="O79" i="6"/>
  <c r="P79" i="6"/>
  <c r="O78" i="6"/>
  <c r="P78" i="6"/>
  <c r="O77" i="6"/>
  <c r="P77" i="6"/>
  <c r="O76" i="6"/>
  <c r="P76" i="6"/>
  <c r="O75" i="6"/>
  <c r="P75" i="6"/>
  <c r="O74" i="6"/>
  <c r="P74" i="6"/>
  <c r="O73" i="6"/>
  <c r="P73" i="6"/>
  <c r="O72" i="6"/>
  <c r="P72" i="6"/>
  <c r="O71" i="6"/>
  <c r="P71" i="6"/>
  <c r="O70" i="6"/>
  <c r="P70" i="6"/>
  <c r="O69" i="6"/>
  <c r="P69" i="6"/>
  <c r="O68" i="6"/>
  <c r="P68" i="6"/>
  <c r="O67" i="6"/>
  <c r="P67" i="6"/>
  <c r="O66" i="6"/>
  <c r="P66" i="6"/>
  <c r="O65" i="6"/>
  <c r="P65" i="6"/>
  <c r="O64" i="6"/>
  <c r="P64" i="6"/>
  <c r="O63" i="6"/>
  <c r="P63" i="6"/>
  <c r="O62" i="6"/>
  <c r="P62" i="6"/>
  <c r="O61" i="6"/>
  <c r="P61" i="6"/>
  <c r="O60" i="6"/>
  <c r="P60" i="6"/>
  <c r="O59" i="6"/>
  <c r="P59" i="6"/>
  <c r="O58" i="6"/>
  <c r="P58" i="6"/>
  <c r="O57" i="6"/>
  <c r="P57" i="6"/>
  <c r="O56" i="6"/>
  <c r="P56" i="6"/>
  <c r="O55" i="6"/>
  <c r="P55" i="6"/>
  <c r="O54" i="6"/>
  <c r="P54" i="6"/>
  <c r="O53" i="6"/>
  <c r="P53" i="6"/>
  <c r="O52" i="6"/>
  <c r="P52" i="6"/>
  <c r="O51" i="6"/>
  <c r="P51" i="6"/>
  <c r="O50" i="6"/>
  <c r="P50" i="6"/>
  <c r="O49" i="6"/>
  <c r="P49" i="6"/>
  <c r="O48" i="6"/>
  <c r="P48" i="6"/>
  <c r="O47" i="6"/>
  <c r="P47" i="6"/>
  <c r="O46" i="6"/>
  <c r="P46" i="6"/>
  <c r="O45" i="6"/>
  <c r="P45" i="6"/>
  <c r="O44" i="6"/>
  <c r="P44" i="6"/>
  <c r="O43" i="6"/>
  <c r="P43" i="6"/>
  <c r="O42" i="6"/>
  <c r="P42" i="6"/>
  <c r="O41" i="6"/>
  <c r="P41" i="6"/>
  <c r="O40" i="6"/>
  <c r="P40" i="6"/>
  <c r="O39" i="6"/>
  <c r="P39" i="6"/>
  <c r="O38" i="6"/>
  <c r="P38" i="6"/>
  <c r="O37" i="6"/>
  <c r="P37" i="6"/>
  <c r="O36" i="6"/>
  <c r="P36" i="6"/>
  <c r="O35" i="6"/>
  <c r="P35" i="6"/>
  <c r="O34" i="6"/>
  <c r="P34" i="6"/>
  <c r="O33" i="6"/>
  <c r="P33" i="6"/>
  <c r="O32" i="6"/>
  <c r="P32" i="6"/>
  <c r="O31" i="6"/>
  <c r="P31" i="6"/>
  <c r="O30" i="6"/>
  <c r="P30" i="6"/>
  <c r="O29" i="6"/>
  <c r="P29" i="6"/>
  <c r="O28" i="6"/>
  <c r="P28" i="6"/>
  <c r="O27" i="6"/>
  <c r="P27" i="6"/>
  <c r="O26" i="6"/>
  <c r="P26" i="6"/>
  <c r="O25" i="6"/>
  <c r="P25" i="6"/>
  <c r="O24" i="6"/>
  <c r="P24" i="6"/>
  <c r="O23" i="6"/>
  <c r="P23" i="6"/>
  <c r="O22" i="6"/>
  <c r="P22" i="6"/>
  <c r="O21" i="6"/>
  <c r="P21" i="6"/>
  <c r="O20" i="6"/>
  <c r="P20" i="6"/>
  <c r="O19" i="6"/>
  <c r="P19" i="6"/>
  <c r="O18" i="6"/>
  <c r="P18" i="6"/>
  <c r="O17" i="6"/>
  <c r="P17" i="6"/>
  <c r="O16" i="6"/>
  <c r="P16" i="6"/>
  <c r="O15" i="6"/>
  <c r="P15" i="6"/>
  <c r="O14" i="6"/>
  <c r="P14" i="6"/>
  <c r="O13" i="6"/>
  <c r="P13" i="6"/>
  <c r="O12" i="6"/>
  <c r="P12" i="6"/>
  <c r="O11" i="6"/>
  <c r="P11" i="6"/>
  <c r="O10" i="6"/>
  <c r="P10" i="6"/>
  <c r="O9" i="6"/>
  <c r="P9" i="6"/>
  <c r="O8" i="6"/>
  <c r="P8" i="6"/>
  <c r="O7" i="6"/>
  <c r="P7" i="6"/>
  <c r="O6" i="6"/>
  <c r="P6" i="6"/>
  <c r="O5" i="6"/>
  <c r="P5" i="6"/>
  <c r="O4" i="6"/>
  <c r="P4" i="6"/>
  <c r="O3" i="6"/>
  <c r="P3" i="6"/>
  <c r="J1091" i="10" l="1"/>
  <c r="K1091" i="10" s="1"/>
  <c r="J1090" i="10"/>
  <c r="K1090" i="10" s="1"/>
  <c r="J1089" i="10"/>
  <c r="K1089" i="10" s="1"/>
  <c r="J1088" i="10"/>
  <c r="K1088" i="10" s="1"/>
  <c r="J1087" i="10"/>
  <c r="K1087" i="10" s="1"/>
  <c r="J1086" i="10"/>
  <c r="K1086" i="10" s="1"/>
  <c r="J1085" i="10"/>
  <c r="K1085" i="10" s="1"/>
  <c r="J1084" i="10"/>
  <c r="K1084" i="10" s="1"/>
  <c r="J1083" i="10"/>
  <c r="K1083" i="10" s="1"/>
  <c r="J1082" i="10"/>
  <c r="K1082" i="10" s="1"/>
  <c r="J1081" i="10"/>
  <c r="K1081" i="10" s="1"/>
  <c r="J1080" i="10"/>
  <c r="K1080" i="10" s="1"/>
  <c r="J1079" i="10"/>
  <c r="K1079" i="10" s="1"/>
  <c r="J1078" i="10"/>
  <c r="K1078" i="10" s="1"/>
  <c r="J1077" i="10"/>
  <c r="K1077" i="10" s="1"/>
  <c r="J1076" i="10"/>
  <c r="K1076" i="10" s="1"/>
  <c r="J1075" i="10"/>
  <c r="K1075" i="10" s="1"/>
  <c r="J1074" i="10"/>
  <c r="K1074" i="10" s="1"/>
  <c r="J1073" i="10"/>
  <c r="K1073" i="10" s="1"/>
  <c r="J1072" i="10"/>
  <c r="K1072" i="10" s="1"/>
  <c r="J1071" i="10"/>
  <c r="K1071" i="10" s="1"/>
  <c r="J1070" i="10"/>
  <c r="K1070" i="10" s="1"/>
  <c r="J1069" i="10"/>
  <c r="K1069" i="10" s="1"/>
  <c r="J1068" i="10"/>
  <c r="K1068" i="10" s="1"/>
  <c r="J1067" i="10"/>
  <c r="K1067" i="10" s="1"/>
  <c r="J1066" i="10"/>
  <c r="K1066" i="10" s="1"/>
  <c r="J1065" i="10"/>
  <c r="K1065" i="10" s="1"/>
  <c r="J1064" i="10"/>
  <c r="K1064" i="10" s="1"/>
  <c r="J1063" i="10"/>
  <c r="K1063" i="10" s="1"/>
  <c r="J1062" i="10"/>
  <c r="K1062" i="10" s="1"/>
  <c r="J1061" i="10"/>
  <c r="K1061" i="10" s="1"/>
  <c r="J1060" i="10"/>
  <c r="K1060" i="10" s="1"/>
  <c r="J1059" i="10"/>
  <c r="K1059" i="10" s="1"/>
  <c r="J1058" i="10"/>
  <c r="K1058" i="10" s="1"/>
  <c r="J1057" i="10"/>
  <c r="K1057" i="10" s="1"/>
  <c r="J1056" i="10"/>
  <c r="K1056" i="10" s="1"/>
  <c r="J1055" i="10"/>
  <c r="K1055" i="10" s="1"/>
  <c r="J1054" i="10"/>
  <c r="K1054" i="10" s="1"/>
  <c r="J1053" i="10"/>
  <c r="K1053" i="10" s="1"/>
  <c r="J1052" i="10"/>
  <c r="K1052" i="10" s="1"/>
  <c r="J1051" i="10"/>
  <c r="K1051" i="10" s="1"/>
  <c r="J1050" i="10"/>
  <c r="K1050" i="10" s="1"/>
  <c r="J1049" i="10"/>
  <c r="K1049" i="10" s="1"/>
  <c r="J1048" i="10"/>
  <c r="K1048" i="10" s="1"/>
  <c r="J1047" i="10"/>
  <c r="K1047" i="10" s="1"/>
  <c r="J1046" i="10"/>
  <c r="K1046" i="10" s="1"/>
  <c r="J1045" i="10"/>
  <c r="K1045" i="10" s="1"/>
  <c r="J1044" i="10"/>
  <c r="K1044" i="10" s="1"/>
  <c r="J1043" i="10"/>
  <c r="K1043" i="10" s="1"/>
  <c r="J1042" i="10"/>
  <c r="K1042" i="10" s="1"/>
  <c r="J1041" i="10"/>
  <c r="K1041" i="10" s="1"/>
  <c r="J1040" i="10"/>
  <c r="K1040" i="10" s="1"/>
  <c r="J1039" i="10"/>
  <c r="K1039" i="10" s="1"/>
  <c r="J1038" i="10"/>
  <c r="K1038" i="10" s="1"/>
  <c r="J1037" i="10"/>
  <c r="K1037" i="10" s="1"/>
  <c r="J1036" i="10"/>
  <c r="K1036" i="10" s="1"/>
  <c r="J1035" i="10"/>
  <c r="K1035" i="10" s="1"/>
  <c r="J1034" i="10"/>
  <c r="K1034" i="10" s="1"/>
  <c r="J1033" i="10"/>
  <c r="K1033" i="10" s="1"/>
  <c r="J1032" i="10"/>
  <c r="K1032" i="10" s="1"/>
  <c r="J1031" i="10"/>
  <c r="K1031" i="10" s="1"/>
  <c r="J1030" i="10"/>
  <c r="K1030" i="10" s="1"/>
  <c r="J1029" i="10"/>
  <c r="K1029" i="10" s="1"/>
  <c r="J1028" i="10"/>
  <c r="K1028" i="10" s="1"/>
  <c r="J1027" i="10"/>
  <c r="K1027" i="10" s="1"/>
  <c r="J1026" i="10"/>
  <c r="K1026" i="10" s="1"/>
  <c r="J1025" i="10"/>
  <c r="K1025" i="10" s="1"/>
  <c r="J1024" i="10"/>
  <c r="K1024" i="10" s="1"/>
  <c r="J1023" i="10"/>
  <c r="K1023" i="10" s="1"/>
  <c r="J1022" i="10"/>
  <c r="K1022" i="10" s="1"/>
  <c r="J1021" i="10"/>
  <c r="K1021" i="10" s="1"/>
  <c r="J1020" i="10"/>
  <c r="K1020" i="10" s="1"/>
  <c r="J1019" i="10"/>
  <c r="K1019" i="10" s="1"/>
  <c r="J1018" i="10"/>
  <c r="K1018" i="10" s="1"/>
  <c r="J1017" i="10"/>
  <c r="K1017" i="10" s="1"/>
  <c r="J1016" i="10"/>
  <c r="K1016" i="10" s="1"/>
  <c r="J1015" i="10"/>
  <c r="K1015" i="10" s="1"/>
  <c r="J1014" i="10"/>
  <c r="K1014" i="10" s="1"/>
  <c r="J1013" i="10"/>
  <c r="K1013" i="10" s="1"/>
  <c r="J1012" i="10"/>
  <c r="K1012" i="10" s="1"/>
  <c r="J1011" i="10"/>
  <c r="K1011" i="10" s="1"/>
  <c r="J1010" i="10"/>
  <c r="K1010" i="10" s="1"/>
  <c r="J1009" i="10"/>
  <c r="K1009" i="10" s="1"/>
  <c r="J1008" i="10"/>
  <c r="K1008" i="10" s="1"/>
  <c r="J1007" i="10"/>
  <c r="K1007" i="10" s="1"/>
  <c r="J1006" i="10"/>
  <c r="K1006" i="10" s="1"/>
  <c r="J1005" i="10"/>
  <c r="K1005" i="10" s="1"/>
  <c r="J1004" i="10"/>
  <c r="K1004" i="10" s="1"/>
  <c r="J1003" i="10"/>
  <c r="K1003" i="10" s="1"/>
  <c r="J1002" i="10"/>
  <c r="K1002" i="10" s="1"/>
  <c r="J1001" i="10"/>
  <c r="K1001" i="10" s="1"/>
  <c r="J1000" i="10"/>
  <c r="K1000" i="10" s="1"/>
  <c r="J999" i="10"/>
  <c r="K999" i="10" s="1"/>
  <c r="J998" i="10"/>
  <c r="K998" i="10" s="1"/>
  <c r="J997" i="10"/>
  <c r="K997" i="10" s="1"/>
  <c r="J996" i="10"/>
  <c r="K996" i="10" s="1"/>
  <c r="J995" i="10"/>
  <c r="K995" i="10" s="1"/>
  <c r="J994" i="10"/>
  <c r="K994" i="10" s="1"/>
  <c r="J993" i="10"/>
  <c r="K993" i="10" s="1"/>
  <c r="J992" i="10"/>
  <c r="K992" i="10" s="1"/>
  <c r="J991" i="10"/>
  <c r="K991" i="10" s="1"/>
  <c r="J990" i="10"/>
  <c r="J989" i="10"/>
  <c r="K989" i="10" s="1"/>
  <c r="J988" i="10"/>
  <c r="K988" i="10" s="1"/>
  <c r="J987" i="10"/>
  <c r="K987" i="10" s="1"/>
  <c r="J986" i="10"/>
  <c r="K986" i="10" s="1"/>
  <c r="J985" i="10"/>
  <c r="K985" i="10" s="1"/>
  <c r="J984" i="10"/>
  <c r="K984" i="10" s="1"/>
  <c r="J983" i="10"/>
  <c r="K983" i="10" s="1"/>
  <c r="J982" i="10"/>
  <c r="K982" i="10" s="1"/>
  <c r="J981" i="10"/>
  <c r="K981" i="10" s="1"/>
  <c r="J980" i="10"/>
  <c r="K980" i="10" s="1"/>
  <c r="J979" i="10"/>
  <c r="K979" i="10" s="1"/>
  <c r="J978" i="10"/>
  <c r="K978" i="10" s="1"/>
  <c r="J977" i="10"/>
  <c r="J976" i="10"/>
  <c r="K976" i="10" s="1"/>
  <c r="J975" i="10"/>
  <c r="K975" i="10" s="1"/>
  <c r="J974" i="10"/>
  <c r="K974" i="10" s="1"/>
  <c r="J973" i="10"/>
  <c r="K973" i="10" s="1"/>
  <c r="J972" i="10"/>
  <c r="K972" i="10" s="1"/>
  <c r="J971" i="10"/>
  <c r="K971" i="10" s="1"/>
  <c r="J970" i="10"/>
  <c r="K970" i="10" s="1"/>
  <c r="J969" i="10"/>
  <c r="K969" i="10" s="1"/>
  <c r="J968" i="10"/>
  <c r="K968" i="10" s="1"/>
  <c r="J967" i="10"/>
  <c r="K967" i="10" s="1"/>
  <c r="J966" i="10"/>
  <c r="K966" i="10" s="1"/>
  <c r="J965" i="10"/>
  <c r="K965" i="10" s="1"/>
  <c r="J964" i="10"/>
  <c r="K964" i="10" s="1"/>
  <c r="J963" i="10"/>
  <c r="K963" i="10" s="1"/>
  <c r="J962" i="10"/>
  <c r="K962" i="10" s="1"/>
  <c r="J961" i="10"/>
  <c r="K961" i="10" s="1"/>
  <c r="J960" i="10"/>
  <c r="K960" i="10" s="1"/>
  <c r="J959" i="10"/>
  <c r="K959" i="10" s="1"/>
  <c r="J958" i="10"/>
  <c r="K958" i="10" s="1"/>
  <c r="J957" i="10"/>
  <c r="K957" i="10" s="1"/>
  <c r="J956" i="10"/>
  <c r="K956" i="10" s="1"/>
  <c r="J955" i="10"/>
  <c r="K955" i="10" s="1"/>
  <c r="J954" i="10"/>
  <c r="K954" i="10" s="1"/>
  <c r="J953" i="10"/>
  <c r="K953" i="10" s="1"/>
  <c r="J952" i="10"/>
  <c r="K952" i="10" s="1"/>
  <c r="J951" i="10"/>
  <c r="K951" i="10" s="1"/>
  <c r="J950" i="10"/>
  <c r="K950" i="10" s="1"/>
  <c r="J949" i="10"/>
  <c r="K949" i="10" s="1"/>
  <c r="J948" i="10"/>
  <c r="K948" i="10" s="1"/>
  <c r="J947" i="10"/>
  <c r="K947" i="10" s="1"/>
  <c r="J946" i="10"/>
  <c r="K946" i="10" s="1"/>
  <c r="J945" i="10"/>
  <c r="K945" i="10" s="1"/>
  <c r="J944" i="10"/>
  <c r="K944" i="10" s="1"/>
  <c r="J943" i="10"/>
  <c r="K943" i="10" s="1"/>
  <c r="J942" i="10"/>
  <c r="K942" i="10" s="1"/>
  <c r="J941" i="10"/>
  <c r="K941" i="10" s="1"/>
  <c r="J940" i="10"/>
  <c r="K940" i="10" s="1"/>
  <c r="J939" i="10"/>
  <c r="K939" i="10" s="1"/>
  <c r="J938" i="10"/>
  <c r="K938" i="10" s="1"/>
  <c r="J937" i="10"/>
  <c r="K937" i="10" s="1"/>
  <c r="J936" i="10"/>
  <c r="K936" i="10" s="1"/>
  <c r="J935" i="10"/>
  <c r="K935" i="10" s="1"/>
  <c r="J934" i="10"/>
  <c r="K934" i="10" s="1"/>
  <c r="J933" i="10"/>
  <c r="K933" i="10" s="1"/>
  <c r="J932" i="10"/>
  <c r="K932" i="10" s="1"/>
  <c r="J931" i="10"/>
  <c r="K931" i="10" s="1"/>
  <c r="J930" i="10"/>
  <c r="K930" i="10" s="1"/>
  <c r="J929" i="10"/>
  <c r="K929" i="10" s="1"/>
  <c r="J928" i="10"/>
  <c r="J927" i="10"/>
  <c r="K927" i="10" s="1"/>
  <c r="J926" i="10"/>
  <c r="K926" i="10" s="1"/>
  <c r="J925" i="10"/>
  <c r="K925" i="10" s="1"/>
  <c r="J924" i="10"/>
  <c r="K924" i="10" s="1"/>
  <c r="J923" i="10"/>
  <c r="K923" i="10" s="1"/>
  <c r="J922" i="10"/>
  <c r="K922" i="10" s="1"/>
  <c r="J921" i="10"/>
  <c r="K921" i="10" s="1"/>
  <c r="J920" i="10"/>
  <c r="K920" i="10" s="1"/>
  <c r="J919" i="10"/>
  <c r="K919" i="10" s="1"/>
  <c r="J918" i="10"/>
  <c r="K918" i="10" s="1"/>
  <c r="J917" i="10"/>
  <c r="K917" i="10" s="1"/>
  <c r="J916" i="10"/>
  <c r="K916" i="10" s="1"/>
  <c r="J915" i="10"/>
  <c r="K915" i="10" s="1"/>
  <c r="J914" i="10"/>
  <c r="K914" i="10" s="1"/>
  <c r="J913" i="10"/>
  <c r="K913" i="10" s="1"/>
  <c r="J912" i="10"/>
  <c r="K912" i="10" s="1"/>
  <c r="J911" i="10"/>
  <c r="K911" i="10" s="1"/>
  <c r="J910" i="10"/>
  <c r="K910" i="10" s="1"/>
  <c r="J909" i="10"/>
  <c r="K909" i="10" s="1"/>
  <c r="J908" i="10"/>
  <c r="K908" i="10" s="1"/>
  <c r="J907" i="10"/>
  <c r="K907" i="10" s="1"/>
  <c r="J906" i="10"/>
  <c r="K906" i="10" s="1"/>
  <c r="J905" i="10"/>
  <c r="K905" i="10" s="1"/>
  <c r="J904" i="10"/>
  <c r="K904" i="10" s="1"/>
  <c r="J903" i="10"/>
  <c r="K903" i="10" s="1"/>
  <c r="J902" i="10"/>
  <c r="K902" i="10" s="1"/>
  <c r="J901" i="10"/>
  <c r="K901" i="10" s="1"/>
  <c r="J900" i="10"/>
  <c r="K900" i="10" s="1"/>
  <c r="J899" i="10"/>
  <c r="K899" i="10" s="1"/>
  <c r="J898" i="10"/>
  <c r="K898" i="10" s="1"/>
  <c r="J897" i="10"/>
  <c r="K897" i="10" s="1"/>
  <c r="J896" i="10"/>
  <c r="K896" i="10" s="1"/>
  <c r="J895" i="10"/>
  <c r="K895" i="10" s="1"/>
  <c r="J894" i="10"/>
  <c r="K894" i="10" s="1"/>
  <c r="J893" i="10"/>
  <c r="K893" i="10" s="1"/>
  <c r="J892" i="10"/>
  <c r="K892" i="10" s="1"/>
  <c r="J891" i="10"/>
  <c r="K891" i="10" s="1"/>
  <c r="J890" i="10"/>
  <c r="K890" i="10" s="1"/>
  <c r="J889" i="10"/>
  <c r="K889" i="10" s="1"/>
  <c r="J888" i="10"/>
  <c r="K888" i="10" s="1"/>
  <c r="J887" i="10"/>
  <c r="K887" i="10" s="1"/>
  <c r="J886" i="10"/>
  <c r="K886" i="10" s="1"/>
  <c r="J885" i="10"/>
  <c r="K885" i="10" s="1"/>
  <c r="J884" i="10"/>
  <c r="K884" i="10" s="1"/>
  <c r="J883" i="10"/>
  <c r="K883" i="10" s="1"/>
  <c r="J882" i="10"/>
  <c r="J881" i="10"/>
  <c r="K881" i="10" s="1"/>
  <c r="J880" i="10"/>
  <c r="J879" i="10"/>
  <c r="K879" i="10" s="1"/>
  <c r="J878" i="10"/>
  <c r="K878" i="10" s="1"/>
  <c r="J877" i="10"/>
  <c r="K877" i="10" s="1"/>
  <c r="J876" i="10"/>
  <c r="K876" i="10" s="1"/>
  <c r="J875" i="10"/>
  <c r="K875" i="10" s="1"/>
  <c r="J874" i="10"/>
  <c r="K874" i="10" s="1"/>
  <c r="J873" i="10"/>
  <c r="K873" i="10" s="1"/>
  <c r="J872" i="10"/>
  <c r="K872" i="10" s="1"/>
  <c r="J871" i="10"/>
  <c r="K871" i="10" s="1"/>
  <c r="J870" i="10"/>
  <c r="K870" i="10" s="1"/>
  <c r="J869" i="10"/>
  <c r="K869" i="10" s="1"/>
  <c r="J868" i="10"/>
  <c r="J867" i="10"/>
  <c r="K867" i="10" s="1"/>
  <c r="J866" i="10"/>
  <c r="K866" i="10" s="1"/>
  <c r="J865" i="10"/>
  <c r="K865" i="10" s="1"/>
  <c r="J864" i="10"/>
  <c r="K864" i="10" s="1"/>
  <c r="J863" i="10"/>
  <c r="K863" i="10" s="1"/>
  <c r="J862" i="10"/>
  <c r="K862" i="10" s="1"/>
  <c r="J861" i="10"/>
  <c r="K861" i="10" s="1"/>
  <c r="J860" i="10"/>
  <c r="K860" i="10" s="1"/>
  <c r="J859" i="10"/>
  <c r="K859" i="10" s="1"/>
  <c r="J858" i="10"/>
  <c r="K858" i="10" s="1"/>
  <c r="J857" i="10"/>
  <c r="K857" i="10" s="1"/>
  <c r="J856" i="10"/>
  <c r="K856" i="10" s="1"/>
  <c r="J855" i="10"/>
  <c r="J854" i="10"/>
  <c r="J853" i="10"/>
  <c r="J852" i="10"/>
  <c r="K852" i="10" s="1"/>
  <c r="J851" i="10"/>
  <c r="K851" i="10" s="1"/>
  <c r="J850" i="10"/>
  <c r="K850" i="10" s="1"/>
  <c r="J849" i="10"/>
  <c r="J848" i="10"/>
  <c r="J847" i="10"/>
  <c r="J846" i="10"/>
  <c r="K846" i="10" s="1"/>
  <c r="J845" i="10"/>
  <c r="K845" i="10" s="1"/>
  <c r="J844" i="10"/>
  <c r="K844" i="10" s="1"/>
  <c r="J843" i="10"/>
  <c r="K843" i="10" s="1"/>
  <c r="J842" i="10"/>
  <c r="K842" i="10" s="1"/>
  <c r="J841" i="10"/>
  <c r="K841" i="10" s="1"/>
  <c r="J840" i="10"/>
  <c r="K840" i="10" s="1"/>
  <c r="J839" i="10"/>
  <c r="K839" i="10" s="1"/>
  <c r="J838" i="10"/>
  <c r="J837" i="10"/>
  <c r="J836" i="10"/>
  <c r="K836" i="10" s="1"/>
  <c r="J835" i="10"/>
  <c r="J834" i="10"/>
  <c r="J833" i="10"/>
  <c r="J832" i="10"/>
  <c r="J831" i="10"/>
  <c r="K831" i="10" s="1"/>
  <c r="J830" i="10"/>
  <c r="K830" i="10" s="1"/>
  <c r="J829" i="10"/>
  <c r="K829" i="10" s="1"/>
  <c r="J828" i="10"/>
  <c r="K828" i="10" s="1"/>
  <c r="J827" i="10"/>
  <c r="K827" i="10" s="1"/>
  <c r="J826" i="10"/>
  <c r="K826" i="10" s="1"/>
  <c r="J825" i="10"/>
  <c r="K825" i="10" s="1"/>
  <c r="J824" i="10"/>
  <c r="K824" i="10" s="1"/>
  <c r="J823" i="10"/>
  <c r="K823" i="10" s="1"/>
  <c r="J822" i="10"/>
  <c r="K822" i="10" s="1"/>
  <c r="J821" i="10"/>
  <c r="K821" i="10" s="1"/>
  <c r="J820" i="10"/>
  <c r="K820" i="10" s="1"/>
  <c r="J819" i="10"/>
  <c r="K819" i="10" s="1"/>
  <c r="J818" i="10"/>
  <c r="K818" i="10" s="1"/>
  <c r="J817" i="10"/>
  <c r="K817" i="10" s="1"/>
  <c r="J816" i="10"/>
  <c r="K816" i="10" s="1"/>
  <c r="J815" i="10"/>
  <c r="K815" i="10" s="1"/>
  <c r="J814" i="10"/>
  <c r="K814" i="10" s="1"/>
  <c r="J813" i="10"/>
  <c r="K813" i="10" s="1"/>
  <c r="J812" i="10"/>
  <c r="K812" i="10" s="1"/>
  <c r="J811" i="10"/>
  <c r="K811" i="10" s="1"/>
  <c r="J810" i="10"/>
  <c r="K810" i="10" s="1"/>
  <c r="J809" i="10"/>
  <c r="K809" i="10" s="1"/>
  <c r="J808" i="10"/>
  <c r="K808" i="10" s="1"/>
  <c r="J807" i="10"/>
  <c r="J806" i="10"/>
  <c r="K806" i="10" s="1"/>
  <c r="J805" i="10"/>
  <c r="K805" i="10" s="1"/>
  <c r="J804" i="10"/>
  <c r="K804" i="10" s="1"/>
  <c r="J803" i="10"/>
  <c r="K803" i="10" s="1"/>
  <c r="J802" i="10"/>
  <c r="K802" i="10" s="1"/>
  <c r="J801" i="10"/>
  <c r="K801" i="10" s="1"/>
  <c r="J800" i="10"/>
  <c r="K800" i="10" s="1"/>
  <c r="J799" i="10"/>
  <c r="K799" i="10" s="1"/>
  <c r="J798" i="10"/>
  <c r="K798" i="10" s="1"/>
  <c r="J797" i="10"/>
  <c r="K797" i="10" s="1"/>
  <c r="J796" i="10"/>
  <c r="J795" i="10"/>
  <c r="K795" i="10" s="1"/>
  <c r="J794" i="10"/>
  <c r="K794" i="10" s="1"/>
  <c r="J793" i="10"/>
  <c r="K793" i="10" s="1"/>
  <c r="J792" i="10"/>
  <c r="K792" i="10" s="1"/>
  <c r="J791" i="10"/>
  <c r="K791" i="10" s="1"/>
  <c r="J790" i="10"/>
  <c r="K790" i="10" s="1"/>
  <c r="J789" i="10"/>
  <c r="K789" i="10" s="1"/>
  <c r="J788" i="10"/>
  <c r="K788" i="10" s="1"/>
  <c r="J787" i="10"/>
  <c r="K787" i="10" s="1"/>
  <c r="J786" i="10"/>
  <c r="K786" i="10" s="1"/>
  <c r="J785" i="10"/>
  <c r="K785" i="10" s="1"/>
  <c r="J784" i="10"/>
  <c r="K784" i="10" s="1"/>
  <c r="J783" i="10"/>
  <c r="K783" i="10" s="1"/>
  <c r="J782" i="10"/>
  <c r="K782" i="10" s="1"/>
  <c r="J781" i="10"/>
  <c r="K781" i="10" s="1"/>
  <c r="J780" i="10"/>
  <c r="K780" i="10" s="1"/>
  <c r="J779" i="10"/>
  <c r="K779" i="10" s="1"/>
  <c r="J778" i="10"/>
  <c r="K778" i="10" s="1"/>
  <c r="J777" i="10"/>
  <c r="K777" i="10" s="1"/>
  <c r="J776" i="10"/>
  <c r="K776" i="10" s="1"/>
  <c r="J775" i="10"/>
  <c r="K775" i="10" s="1"/>
  <c r="J774" i="10"/>
  <c r="K774" i="10" s="1"/>
  <c r="J773" i="10"/>
  <c r="K773" i="10" s="1"/>
  <c r="J772" i="10"/>
  <c r="K772" i="10" s="1"/>
  <c r="J771" i="10"/>
  <c r="K771" i="10" s="1"/>
  <c r="J770" i="10"/>
  <c r="K770" i="10" s="1"/>
  <c r="J769" i="10"/>
  <c r="K769" i="10" s="1"/>
  <c r="J768" i="10"/>
  <c r="K768" i="10" s="1"/>
  <c r="J767" i="10"/>
  <c r="K767" i="10" s="1"/>
  <c r="J766" i="10"/>
  <c r="J765" i="10"/>
  <c r="K765" i="10" s="1"/>
  <c r="J764" i="10"/>
  <c r="K764" i="10" s="1"/>
  <c r="J763" i="10"/>
  <c r="K763" i="10" s="1"/>
  <c r="J762" i="10"/>
  <c r="K762" i="10" s="1"/>
  <c r="J761" i="10"/>
  <c r="K761" i="10" s="1"/>
  <c r="J760" i="10"/>
  <c r="K760" i="10" s="1"/>
  <c r="J759" i="10"/>
  <c r="K759" i="10" s="1"/>
  <c r="J758" i="10"/>
  <c r="K758" i="10" s="1"/>
  <c r="J757" i="10"/>
  <c r="K757" i="10" s="1"/>
  <c r="J756" i="10"/>
  <c r="K756" i="10" s="1"/>
  <c r="J755" i="10"/>
  <c r="K755" i="10" s="1"/>
  <c r="J754" i="10"/>
  <c r="K754" i="10" s="1"/>
  <c r="J753" i="10"/>
  <c r="K753" i="10" s="1"/>
  <c r="J752" i="10"/>
  <c r="K752" i="10" s="1"/>
  <c r="J751" i="10"/>
  <c r="K751" i="10" s="1"/>
  <c r="J750" i="10"/>
  <c r="K750" i="10" s="1"/>
  <c r="J749" i="10"/>
  <c r="K749" i="10" s="1"/>
  <c r="J748" i="10"/>
  <c r="K748" i="10" s="1"/>
  <c r="J747" i="10"/>
  <c r="K747" i="10" s="1"/>
  <c r="J746" i="10"/>
  <c r="K746" i="10" s="1"/>
  <c r="J745" i="10"/>
  <c r="K745" i="10" s="1"/>
  <c r="J744" i="10"/>
  <c r="K744" i="10" s="1"/>
  <c r="J743" i="10"/>
  <c r="K743" i="10" s="1"/>
  <c r="J742" i="10"/>
  <c r="K742" i="10" s="1"/>
  <c r="J741" i="10"/>
  <c r="K741" i="10" s="1"/>
  <c r="J740" i="10"/>
  <c r="K740" i="10" s="1"/>
  <c r="J739" i="10"/>
  <c r="K739" i="10" s="1"/>
  <c r="J738" i="10"/>
  <c r="K738" i="10" s="1"/>
  <c r="J737" i="10"/>
  <c r="K737" i="10" s="1"/>
  <c r="J736" i="10"/>
  <c r="J735" i="10"/>
  <c r="J734" i="10"/>
  <c r="J733" i="10"/>
  <c r="J732" i="10"/>
  <c r="J731" i="10"/>
  <c r="K731" i="10" s="1"/>
  <c r="J730" i="10"/>
  <c r="K730" i="10" s="1"/>
  <c r="J729" i="10"/>
  <c r="K729" i="10" s="1"/>
  <c r="J728" i="10"/>
  <c r="J727" i="10"/>
  <c r="K727" i="10" s="1"/>
  <c r="J726" i="10"/>
  <c r="K726" i="10" s="1"/>
  <c r="J725" i="10"/>
  <c r="K725" i="10" s="1"/>
  <c r="J724" i="10"/>
  <c r="K724" i="10" s="1"/>
  <c r="J723" i="10"/>
  <c r="K723" i="10" s="1"/>
  <c r="J722" i="10"/>
  <c r="K722" i="10" s="1"/>
  <c r="J721" i="10"/>
  <c r="K721" i="10" s="1"/>
  <c r="J720" i="10"/>
  <c r="K720" i="10" s="1"/>
  <c r="J719" i="10"/>
  <c r="K719" i="10" s="1"/>
  <c r="J718" i="10"/>
  <c r="K718" i="10" s="1"/>
  <c r="J717" i="10"/>
  <c r="K717" i="10" s="1"/>
  <c r="J716" i="10"/>
  <c r="K716" i="10" s="1"/>
  <c r="J715" i="10"/>
  <c r="K715" i="10" s="1"/>
  <c r="J714" i="10"/>
  <c r="K714" i="10" s="1"/>
  <c r="J713" i="10"/>
  <c r="K713" i="10" s="1"/>
  <c r="J712" i="10"/>
  <c r="K712" i="10" s="1"/>
  <c r="J711" i="10"/>
  <c r="K711" i="10" s="1"/>
  <c r="J710" i="10"/>
  <c r="K710" i="10" s="1"/>
  <c r="J709" i="10"/>
  <c r="K709" i="10" s="1"/>
  <c r="J708" i="10"/>
  <c r="K708" i="10" s="1"/>
  <c r="J707" i="10"/>
  <c r="K707" i="10" s="1"/>
  <c r="J706" i="10"/>
  <c r="K706" i="10" s="1"/>
  <c r="J705" i="10"/>
  <c r="K705" i="10" s="1"/>
  <c r="J704" i="10"/>
  <c r="K704" i="10" s="1"/>
  <c r="J703" i="10"/>
  <c r="K703" i="10" s="1"/>
  <c r="J702" i="10"/>
  <c r="K702" i="10" s="1"/>
  <c r="J701" i="10"/>
  <c r="K701" i="10" s="1"/>
  <c r="J700" i="10"/>
  <c r="K700" i="10" s="1"/>
  <c r="J699" i="10"/>
  <c r="K699" i="10" s="1"/>
  <c r="J698" i="10"/>
  <c r="K698" i="10" s="1"/>
  <c r="J697" i="10"/>
  <c r="K697" i="10" s="1"/>
  <c r="J696" i="10"/>
  <c r="K696" i="10" s="1"/>
  <c r="J695" i="10"/>
  <c r="K695" i="10" s="1"/>
  <c r="J694" i="10"/>
  <c r="J693" i="10"/>
  <c r="K693" i="10" s="1"/>
  <c r="J692" i="10"/>
  <c r="J691" i="10"/>
  <c r="K691" i="10" s="1"/>
  <c r="J690" i="10"/>
  <c r="K690" i="10" s="1"/>
  <c r="J689" i="10"/>
  <c r="K689" i="10" s="1"/>
  <c r="J688" i="10"/>
  <c r="K688" i="10" s="1"/>
  <c r="J687" i="10"/>
  <c r="K687" i="10" s="1"/>
  <c r="J686" i="10"/>
  <c r="K686" i="10" s="1"/>
  <c r="J685" i="10"/>
  <c r="J684" i="10"/>
  <c r="K684" i="10" s="1"/>
  <c r="J683" i="10"/>
  <c r="K683" i="10" s="1"/>
  <c r="J682" i="10"/>
  <c r="K682" i="10" s="1"/>
  <c r="J681" i="10"/>
  <c r="K681" i="10" s="1"/>
  <c r="J680" i="10"/>
  <c r="K680" i="10" s="1"/>
  <c r="J679" i="10"/>
  <c r="K679" i="10" s="1"/>
  <c r="J678" i="10"/>
  <c r="K678" i="10" s="1"/>
  <c r="J677" i="10"/>
  <c r="K677" i="10" s="1"/>
  <c r="J676" i="10"/>
  <c r="K676" i="10" s="1"/>
  <c r="J675" i="10"/>
  <c r="J674" i="10"/>
  <c r="K674" i="10" s="1"/>
  <c r="J673" i="10"/>
  <c r="K673" i="10" s="1"/>
  <c r="J672" i="10"/>
  <c r="K672" i="10" s="1"/>
  <c r="J671" i="10"/>
  <c r="K671" i="10" s="1"/>
  <c r="J670" i="10"/>
  <c r="J669" i="10"/>
  <c r="J668" i="10"/>
  <c r="K668" i="10" s="1"/>
  <c r="J667" i="10"/>
  <c r="K667" i="10" s="1"/>
  <c r="J666" i="10"/>
  <c r="K666" i="10" s="1"/>
  <c r="J665" i="10"/>
  <c r="J664" i="10"/>
  <c r="K664" i="10" s="1"/>
  <c r="J663" i="10"/>
  <c r="K663" i="10" s="1"/>
  <c r="J662" i="10"/>
  <c r="K662" i="10" s="1"/>
  <c r="J661" i="10"/>
  <c r="J660" i="10"/>
  <c r="K660" i="10" s="1"/>
  <c r="J659" i="10"/>
  <c r="K659" i="10" s="1"/>
  <c r="J658" i="10"/>
  <c r="K658" i="10" s="1"/>
  <c r="J657" i="10"/>
  <c r="K657" i="10" s="1"/>
  <c r="J656" i="10"/>
  <c r="K656" i="10" s="1"/>
  <c r="J655" i="10"/>
  <c r="J654" i="10"/>
  <c r="J653" i="10"/>
  <c r="K653" i="10" s="1"/>
  <c r="J652" i="10"/>
  <c r="K652" i="10" s="1"/>
  <c r="J651" i="10"/>
  <c r="K651" i="10" s="1"/>
  <c r="J650" i="10"/>
  <c r="K650" i="10" s="1"/>
  <c r="J649" i="10"/>
  <c r="K649" i="10" s="1"/>
  <c r="J648" i="10"/>
  <c r="K648" i="10" s="1"/>
  <c r="J647" i="10"/>
  <c r="K647" i="10" s="1"/>
  <c r="J646" i="10"/>
  <c r="K646" i="10" s="1"/>
  <c r="J645" i="10"/>
  <c r="K645" i="10" s="1"/>
  <c r="J644" i="10"/>
  <c r="K644" i="10" s="1"/>
  <c r="J643" i="10"/>
  <c r="K643" i="10" s="1"/>
  <c r="J642" i="10"/>
  <c r="K642" i="10" s="1"/>
  <c r="J641" i="10"/>
  <c r="K641" i="10" s="1"/>
  <c r="J640" i="10"/>
  <c r="K640" i="10" s="1"/>
  <c r="J639" i="10"/>
  <c r="K639" i="10" s="1"/>
  <c r="J638" i="10"/>
  <c r="K638" i="10" s="1"/>
  <c r="J637" i="10"/>
  <c r="J636" i="10"/>
  <c r="K636" i="10" s="1"/>
  <c r="J635" i="10"/>
  <c r="K635" i="10" s="1"/>
  <c r="J634" i="10"/>
  <c r="K634" i="10" s="1"/>
  <c r="J633" i="10"/>
  <c r="J632" i="10"/>
  <c r="J631" i="10"/>
  <c r="K631" i="10" s="1"/>
  <c r="J630" i="10"/>
  <c r="K630" i="10" s="1"/>
  <c r="J629" i="10"/>
  <c r="K629" i="10" s="1"/>
  <c r="J628" i="10"/>
  <c r="K628" i="10" s="1"/>
  <c r="J627" i="10"/>
  <c r="J626" i="10"/>
  <c r="J625" i="10"/>
  <c r="K625" i="10" s="1"/>
  <c r="J624" i="10"/>
  <c r="J623" i="10"/>
  <c r="J622" i="10"/>
  <c r="J621" i="10"/>
  <c r="J620" i="10"/>
  <c r="J619" i="10"/>
  <c r="J618" i="10"/>
  <c r="J617" i="10"/>
  <c r="K617" i="10" s="1"/>
  <c r="J616" i="10"/>
  <c r="J615" i="10"/>
  <c r="K615" i="10" s="1"/>
  <c r="J614" i="10"/>
  <c r="K614" i="10" s="1"/>
  <c r="J613" i="10"/>
  <c r="K613" i="10" s="1"/>
  <c r="J612" i="10"/>
  <c r="J611" i="10"/>
  <c r="K611" i="10" s="1"/>
  <c r="J610" i="10"/>
  <c r="J609" i="10"/>
  <c r="K609" i="10" s="1"/>
  <c r="J608" i="10"/>
  <c r="K608" i="10" s="1"/>
  <c r="J607" i="10"/>
  <c r="K607" i="10" s="1"/>
  <c r="J606" i="10"/>
  <c r="K606" i="10" s="1"/>
  <c r="J605" i="10"/>
  <c r="K605" i="10" s="1"/>
  <c r="J604" i="10"/>
  <c r="K604" i="10" s="1"/>
  <c r="J603" i="10"/>
  <c r="K603" i="10" s="1"/>
  <c r="J602" i="10"/>
  <c r="K602" i="10" s="1"/>
  <c r="J601" i="10"/>
  <c r="K601" i="10" s="1"/>
  <c r="J600" i="10"/>
  <c r="K600" i="10" s="1"/>
  <c r="J599" i="10"/>
  <c r="J598" i="10"/>
  <c r="J597" i="10"/>
  <c r="K597" i="10" s="1"/>
  <c r="J596" i="10"/>
  <c r="K596" i="10" s="1"/>
  <c r="J595" i="10"/>
  <c r="K595" i="10" s="1"/>
  <c r="J594" i="10"/>
  <c r="K594" i="10" s="1"/>
  <c r="J593" i="10"/>
  <c r="K593" i="10" s="1"/>
  <c r="J592" i="10"/>
  <c r="K592" i="10" s="1"/>
  <c r="J591" i="10"/>
  <c r="K591" i="10" s="1"/>
  <c r="J590" i="10"/>
  <c r="K590" i="10" s="1"/>
  <c r="J589" i="10"/>
  <c r="K589" i="10" s="1"/>
  <c r="J588" i="10"/>
  <c r="K588" i="10" s="1"/>
  <c r="J587" i="10"/>
  <c r="K587" i="10" s="1"/>
  <c r="J586" i="10"/>
  <c r="K586" i="10" s="1"/>
  <c r="J585" i="10"/>
  <c r="K585" i="10" s="1"/>
  <c r="J584" i="10"/>
  <c r="K584" i="10" s="1"/>
  <c r="J583" i="10"/>
  <c r="K583" i="10" s="1"/>
  <c r="J582" i="10"/>
  <c r="K582" i="10" s="1"/>
  <c r="J581" i="10"/>
  <c r="K581" i="10" s="1"/>
  <c r="J580" i="10"/>
  <c r="K580" i="10" s="1"/>
  <c r="J579" i="10"/>
  <c r="J578" i="10"/>
  <c r="J577" i="10"/>
  <c r="K577" i="10" s="1"/>
  <c r="J576" i="10"/>
  <c r="K576" i="10" s="1"/>
  <c r="J575" i="10"/>
  <c r="J574" i="10"/>
  <c r="J573" i="10"/>
  <c r="K573" i="10" s="1"/>
  <c r="J572" i="10"/>
  <c r="K572" i="10" s="1"/>
  <c r="J571" i="10"/>
  <c r="K571" i="10" s="1"/>
  <c r="J570" i="10"/>
  <c r="J569" i="10"/>
  <c r="J568" i="10"/>
  <c r="K568" i="10" s="1"/>
  <c r="J567" i="10"/>
  <c r="K567" i="10" s="1"/>
  <c r="J566" i="10"/>
  <c r="K566" i="10" s="1"/>
  <c r="J565" i="10"/>
  <c r="K565" i="10" s="1"/>
  <c r="J564" i="10"/>
  <c r="J563" i="10"/>
  <c r="J562" i="10"/>
  <c r="J561" i="10"/>
  <c r="K561" i="10" s="1"/>
  <c r="J560" i="10"/>
  <c r="K560" i="10" s="1"/>
  <c r="J559" i="10"/>
  <c r="K559" i="10" s="1"/>
  <c r="J558" i="10"/>
  <c r="K558" i="10" s="1"/>
  <c r="J557" i="10"/>
  <c r="J556" i="10"/>
  <c r="J555" i="10"/>
  <c r="K555" i="10" s="1"/>
  <c r="J554" i="10"/>
  <c r="K554" i="10" s="1"/>
  <c r="J553" i="10"/>
  <c r="K553" i="10" s="1"/>
  <c r="J552" i="10"/>
  <c r="K552" i="10" s="1"/>
  <c r="J551" i="10"/>
  <c r="K551" i="10" s="1"/>
  <c r="J550" i="10"/>
  <c r="K550" i="10" s="1"/>
  <c r="J549" i="10"/>
  <c r="K549" i="10" s="1"/>
  <c r="J548" i="10"/>
  <c r="K548" i="10" s="1"/>
  <c r="J547" i="10"/>
  <c r="K547" i="10" s="1"/>
  <c r="J546" i="10"/>
  <c r="J545" i="10"/>
  <c r="K545" i="10" s="1"/>
  <c r="J544" i="10"/>
  <c r="K544" i="10" s="1"/>
  <c r="J543" i="10"/>
  <c r="J542" i="10"/>
  <c r="K542" i="10" s="1"/>
  <c r="J541" i="10"/>
  <c r="J540" i="10"/>
  <c r="K540" i="10" s="1"/>
  <c r="J539" i="10"/>
  <c r="K539" i="10" s="1"/>
  <c r="J538" i="10"/>
  <c r="K538" i="10" s="1"/>
  <c r="J537" i="10"/>
  <c r="K537" i="10" s="1"/>
  <c r="J536" i="10"/>
  <c r="J535" i="10"/>
  <c r="K535" i="10" s="1"/>
  <c r="J534" i="10"/>
  <c r="K534" i="10" s="1"/>
  <c r="J533" i="10"/>
  <c r="K533" i="10" s="1"/>
  <c r="J532" i="10"/>
  <c r="K532" i="10" s="1"/>
  <c r="J531" i="10"/>
  <c r="K531" i="10" s="1"/>
  <c r="J530" i="10"/>
  <c r="K530" i="10" s="1"/>
  <c r="J529" i="10"/>
  <c r="K529" i="10" s="1"/>
  <c r="J528" i="10"/>
  <c r="K528" i="10" s="1"/>
  <c r="J527" i="10"/>
  <c r="J526" i="10"/>
  <c r="K526" i="10" s="1"/>
  <c r="J525" i="10"/>
  <c r="K525" i="10" s="1"/>
  <c r="J524" i="10"/>
  <c r="K524" i="10" s="1"/>
  <c r="J523" i="10"/>
  <c r="K523" i="10" s="1"/>
  <c r="J522" i="10"/>
  <c r="K522" i="10" s="1"/>
  <c r="J521" i="10"/>
  <c r="K521" i="10" s="1"/>
  <c r="J520" i="10"/>
  <c r="J519" i="10"/>
  <c r="K519" i="10" s="1"/>
  <c r="J518" i="10"/>
  <c r="K518" i="10" s="1"/>
  <c r="J517" i="10"/>
  <c r="J516" i="10"/>
  <c r="K516" i="10" s="1"/>
  <c r="J515" i="10"/>
  <c r="K515" i="10" s="1"/>
  <c r="J514" i="10"/>
  <c r="K514" i="10" s="1"/>
  <c r="J513" i="10"/>
  <c r="K513" i="10" s="1"/>
  <c r="J512" i="10"/>
  <c r="K512" i="10" s="1"/>
  <c r="J511" i="10"/>
  <c r="K511" i="10" s="1"/>
  <c r="J510" i="10"/>
  <c r="K510" i="10" s="1"/>
  <c r="J509" i="10"/>
  <c r="J508" i="10"/>
  <c r="J507" i="10"/>
  <c r="K507" i="10" s="1"/>
  <c r="J506" i="10"/>
  <c r="K506" i="10" s="1"/>
  <c r="J505" i="10"/>
  <c r="K505" i="10" s="1"/>
  <c r="J504" i="10"/>
  <c r="K504" i="10" s="1"/>
  <c r="J503" i="10"/>
  <c r="K503" i="10" s="1"/>
  <c r="J502" i="10"/>
  <c r="K502" i="10" s="1"/>
  <c r="J501" i="10"/>
  <c r="K501" i="10" s="1"/>
  <c r="J500" i="10"/>
  <c r="J499" i="10"/>
  <c r="K499" i="10" s="1"/>
  <c r="J498" i="10"/>
  <c r="K498" i="10" s="1"/>
  <c r="J497" i="10"/>
  <c r="K497" i="10" s="1"/>
  <c r="J496" i="10"/>
  <c r="K496" i="10" s="1"/>
  <c r="J495" i="10"/>
  <c r="K495" i="10" s="1"/>
  <c r="J494" i="10"/>
  <c r="K494" i="10" s="1"/>
  <c r="J493" i="10"/>
  <c r="J492" i="10"/>
  <c r="J491" i="10"/>
  <c r="K491" i="10" s="1"/>
  <c r="J490" i="10"/>
  <c r="K490" i="10" s="1"/>
  <c r="J489" i="10"/>
  <c r="K489" i="10" s="1"/>
  <c r="J488" i="10"/>
  <c r="K488" i="10" s="1"/>
  <c r="J487" i="10"/>
  <c r="K487" i="10" s="1"/>
  <c r="J486" i="10"/>
  <c r="K486" i="10" s="1"/>
  <c r="J485" i="10"/>
  <c r="K485" i="10" s="1"/>
  <c r="J484" i="10"/>
  <c r="K484" i="10" s="1"/>
  <c r="J483" i="10"/>
  <c r="K483" i="10" s="1"/>
  <c r="J482" i="10"/>
  <c r="K482" i="10" s="1"/>
  <c r="J481" i="10"/>
  <c r="K481" i="10" s="1"/>
  <c r="J480" i="10"/>
  <c r="K480" i="10" s="1"/>
  <c r="J479" i="10"/>
  <c r="K479" i="10" s="1"/>
  <c r="J478" i="10"/>
  <c r="K478" i="10" s="1"/>
  <c r="J477" i="10"/>
  <c r="J476" i="10"/>
  <c r="K476" i="10" s="1"/>
  <c r="J475" i="10"/>
  <c r="K475" i="10" s="1"/>
  <c r="J474" i="10"/>
  <c r="J473" i="10"/>
  <c r="K473" i="10" s="1"/>
  <c r="J472" i="10"/>
  <c r="K472" i="10" s="1"/>
  <c r="J471" i="10"/>
  <c r="K471" i="10" s="1"/>
  <c r="J470" i="10"/>
  <c r="K470" i="10" s="1"/>
  <c r="J469" i="10"/>
  <c r="J468" i="10"/>
  <c r="J467" i="10"/>
  <c r="K467" i="10" s="1"/>
  <c r="J466" i="10"/>
  <c r="K466" i="10" s="1"/>
  <c r="J465" i="10"/>
  <c r="K465" i="10" s="1"/>
  <c r="J464" i="10"/>
  <c r="K464" i="10" s="1"/>
  <c r="J463" i="10"/>
  <c r="K463" i="10" s="1"/>
  <c r="J462" i="10"/>
  <c r="J461" i="10"/>
  <c r="J460" i="10"/>
  <c r="J459" i="10"/>
  <c r="J458" i="10"/>
  <c r="K458" i="10" s="1"/>
  <c r="J457" i="10"/>
  <c r="K457" i="10" s="1"/>
  <c r="J456" i="10"/>
  <c r="K456" i="10" s="1"/>
  <c r="J455" i="10"/>
  <c r="K455" i="10" s="1"/>
  <c r="J454" i="10"/>
  <c r="K454" i="10" s="1"/>
  <c r="J453" i="10"/>
  <c r="K453" i="10" s="1"/>
  <c r="J452" i="10"/>
  <c r="K452" i="10" s="1"/>
  <c r="J451" i="10"/>
  <c r="J450" i="10"/>
  <c r="K450" i="10" s="1"/>
  <c r="J449" i="10"/>
  <c r="J448" i="10"/>
  <c r="K448" i="10" s="1"/>
  <c r="J447" i="10"/>
  <c r="K447" i="10" s="1"/>
  <c r="J446" i="10"/>
  <c r="J445" i="10"/>
  <c r="K445" i="10" s="1"/>
  <c r="J444" i="10"/>
  <c r="K444" i="10" s="1"/>
  <c r="J443" i="10"/>
  <c r="K443" i="10" s="1"/>
  <c r="J442" i="10"/>
  <c r="K442" i="10" s="1"/>
  <c r="J441" i="10"/>
  <c r="K441" i="10" s="1"/>
  <c r="J440" i="10"/>
  <c r="K440" i="10" s="1"/>
  <c r="J439" i="10"/>
  <c r="K439" i="10" s="1"/>
  <c r="J438" i="10"/>
  <c r="K438" i="10" s="1"/>
  <c r="J437" i="10"/>
  <c r="J436" i="10"/>
  <c r="J435" i="10"/>
  <c r="K435" i="10" s="1"/>
  <c r="J434" i="10"/>
  <c r="K434" i="10" s="1"/>
  <c r="J433" i="10"/>
  <c r="K433" i="10" s="1"/>
  <c r="J432" i="10"/>
  <c r="K432" i="10" s="1"/>
  <c r="J431" i="10"/>
  <c r="K431" i="10" s="1"/>
  <c r="J430" i="10"/>
  <c r="K430" i="10" s="1"/>
  <c r="J429" i="10"/>
  <c r="K429" i="10" s="1"/>
  <c r="J428" i="10"/>
  <c r="J427" i="10"/>
  <c r="J426" i="10"/>
  <c r="J425" i="10"/>
  <c r="K425" i="10" s="1"/>
  <c r="J424" i="10"/>
  <c r="K424" i="10" s="1"/>
  <c r="J423" i="10"/>
  <c r="K423" i="10" s="1"/>
  <c r="J422" i="10"/>
  <c r="K422" i="10" s="1"/>
  <c r="J421" i="10"/>
  <c r="K421" i="10" s="1"/>
  <c r="J420" i="10"/>
  <c r="K420" i="10" s="1"/>
  <c r="J419" i="10"/>
  <c r="K419" i="10" s="1"/>
  <c r="J418" i="10"/>
  <c r="K418" i="10" s="1"/>
  <c r="J417" i="10"/>
  <c r="K417" i="10" s="1"/>
  <c r="J416" i="10"/>
  <c r="J415" i="10"/>
  <c r="K415" i="10" s="1"/>
  <c r="J414" i="10"/>
  <c r="K414" i="10" s="1"/>
  <c r="J413" i="10"/>
  <c r="K413" i="10" s="1"/>
  <c r="J412" i="10"/>
  <c r="K412" i="10" s="1"/>
  <c r="J411" i="10"/>
  <c r="K411" i="10" s="1"/>
  <c r="J410" i="10"/>
  <c r="J409" i="10"/>
  <c r="J408" i="10"/>
  <c r="J407" i="10"/>
  <c r="K407" i="10" s="1"/>
  <c r="J406" i="10"/>
  <c r="J405" i="10"/>
  <c r="J404" i="10"/>
  <c r="J403" i="10"/>
  <c r="K403" i="10" s="1"/>
  <c r="J402" i="10"/>
  <c r="K402" i="10" s="1"/>
  <c r="J401" i="10"/>
  <c r="K401" i="10" s="1"/>
  <c r="J400" i="10"/>
  <c r="K400" i="10" s="1"/>
  <c r="J399" i="10"/>
  <c r="K399" i="10" s="1"/>
  <c r="J398" i="10"/>
  <c r="K398" i="10" s="1"/>
  <c r="J397" i="10"/>
  <c r="K397" i="10" s="1"/>
  <c r="J396" i="10"/>
  <c r="K396" i="10" s="1"/>
  <c r="J395" i="10"/>
  <c r="J394" i="10"/>
  <c r="K394" i="10" s="1"/>
  <c r="J393" i="10"/>
  <c r="K393" i="10" s="1"/>
  <c r="J392" i="10"/>
  <c r="K392" i="10" s="1"/>
  <c r="J391" i="10"/>
  <c r="K391" i="10" s="1"/>
  <c r="J390" i="10"/>
  <c r="J389" i="10"/>
  <c r="J388" i="10"/>
  <c r="J387" i="10"/>
  <c r="J386" i="10"/>
  <c r="K386" i="10" s="1"/>
  <c r="J385" i="10"/>
  <c r="K385" i="10" s="1"/>
  <c r="J384" i="10"/>
  <c r="K384" i="10" s="1"/>
  <c r="J383" i="10"/>
  <c r="J382" i="10"/>
  <c r="J381" i="10"/>
  <c r="K381" i="10" s="1"/>
  <c r="J380" i="10"/>
  <c r="K380" i="10" s="1"/>
  <c r="J379" i="10"/>
  <c r="K379" i="10" s="1"/>
  <c r="J378" i="10"/>
  <c r="K378" i="10" s="1"/>
  <c r="J377" i="10"/>
  <c r="J376" i="10"/>
  <c r="K376" i="10" s="1"/>
  <c r="J375" i="10"/>
  <c r="J374" i="10"/>
  <c r="K374" i="10" s="1"/>
  <c r="J373" i="10"/>
  <c r="K373" i="10" s="1"/>
  <c r="J372" i="10"/>
  <c r="K372" i="10" s="1"/>
  <c r="J371" i="10"/>
  <c r="K371" i="10" s="1"/>
  <c r="J370" i="10"/>
  <c r="K370" i="10" s="1"/>
  <c r="J369" i="10"/>
  <c r="K369" i="10" s="1"/>
  <c r="J368" i="10"/>
  <c r="J367" i="10"/>
  <c r="J366" i="10"/>
  <c r="K366" i="10" s="1"/>
  <c r="J365" i="10"/>
  <c r="K365" i="10" s="1"/>
  <c r="J364" i="10"/>
  <c r="K364" i="10" s="1"/>
  <c r="J363" i="10"/>
  <c r="K363" i="10" s="1"/>
  <c r="J362" i="10"/>
  <c r="K362" i="10" s="1"/>
  <c r="J361" i="10"/>
  <c r="K361" i="10" s="1"/>
  <c r="J360" i="10"/>
  <c r="J359" i="10"/>
  <c r="J358" i="10"/>
  <c r="K358" i="10" s="1"/>
  <c r="J357" i="10"/>
  <c r="K357" i="10" s="1"/>
  <c r="J356" i="10"/>
  <c r="K356" i="10" s="1"/>
  <c r="J355" i="10"/>
  <c r="K355" i="10" s="1"/>
  <c r="J354" i="10"/>
  <c r="K354" i="10" s="1"/>
  <c r="J353" i="10"/>
  <c r="K353" i="10" s="1"/>
  <c r="J352" i="10"/>
  <c r="J351" i="10"/>
  <c r="K351" i="10" s="1"/>
  <c r="J350" i="10"/>
  <c r="K350" i="10" s="1"/>
  <c r="J349" i="10"/>
  <c r="J348" i="10"/>
  <c r="K348" i="10" s="1"/>
  <c r="J347" i="10"/>
  <c r="K347" i="10" s="1"/>
  <c r="J346" i="10"/>
  <c r="K346" i="10" s="1"/>
  <c r="J345" i="10"/>
  <c r="K345" i="10" s="1"/>
  <c r="J344" i="10"/>
  <c r="K344" i="10" s="1"/>
  <c r="J343" i="10"/>
  <c r="K343" i="10" s="1"/>
  <c r="J342" i="10"/>
  <c r="K342" i="10" s="1"/>
  <c r="J341" i="10"/>
  <c r="K341" i="10" s="1"/>
  <c r="J340" i="10"/>
  <c r="J339" i="10"/>
  <c r="J338" i="10"/>
  <c r="J337" i="10"/>
  <c r="K337" i="10" s="1"/>
  <c r="J336" i="10"/>
  <c r="K336" i="10" s="1"/>
  <c r="J335" i="10"/>
  <c r="K335" i="10" s="1"/>
  <c r="J334" i="10"/>
  <c r="K334" i="10" s="1"/>
  <c r="J333" i="10"/>
  <c r="K333" i="10" s="1"/>
  <c r="J332" i="10"/>
  <c r="J331" i="10"/>
  <c r="J330" i="10"/>
  <c r="J329" i="10"/>
  <c r="K329" i="10" s="1"/>
  <c r="J328" i="10"/>
  <c r="K328" i="10" s="1"/>
  <c r="J327" i="10"/>
  <c r="K327" i="10" s="1"/>
  <c r="J326" i="10"/>
  <c r="J325" i="10"/>
  <c r="J324" i="10"/>
  <c r="J323" i="10"/>
  <c r="J322" i="10"/>
  <c r="J321" i="10"/>
  <c r="K321" i="10" s="1"/>
  <c r="J320" i="10"/>
  <c r="K320" i="10" s="1"/>
  <c r="J319" i="10"/>
  <c r="J318" i="10"/>
  <c r="K318" i="10" s="1"/>
  <c r="J317" i="10"/>
  <c r="J316" i="10"/>
  <c r="K316" i="10" s="1"/>
  <c r="J315" i="10"/>
  <c r="J314" i="10"/>
  <c r="K314" i="10" s="1"/>
  <c r="J313" i="10"/>
  <c r="K313" i="10" s="1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K300" i="10" s="1"/>
  <c r="J299" i="10"/>
  <c r="J298" i="10"/>
  <c r="K298" i="10" s="1"/>
  <c r="J297" i="10"/>
  <c r="J296" i="10"/>
  <c r="K296" i="10" s="1"/>
  <c r="J295" i="10"/>
  <c r="K295" i="10" s="1"/>
  <c r="J294" i="10"/>
  <c r="J293" i="10"/>
  <c r="J292" i="10"/>
  <c r="J291" i="10"/>
  <c r="J290" i="10"/>
  <c r="K290" i="10" s="1"/>
  <c r="J289" i="10"/>
  <c r="J288" i="10"/>
  <c r="J287" i="10"/>
  <c r="J286" i="10"/>
  <c r="J285" i="10"/>
  <c r="J284" i="10"/>
  <c r="J283" i="10"/>
  <c r="J282" i="10"/>
  <c r="K282" i="10" s="1"/>
  <c r="J281" i="10"/>
  <c r="J280" i="10"/>
  <c r="J279" i="10"/>
  <c r="K279" i="10" s="1"/>
  <c r="J278" i="10"/>
  <c r="K278" i="10" s="1"/>
  <c r="J277" i="10"/>
  <c r="J276" i="10"/>
  <c r="K276" i="10" s="1"/>
  <c r="J275" i="10"/>
  <c r="J274" i="10"/>
  <c r="J273" i="10"/>
  <c r="J272" i="10"/>
  <c r="J271" i="10"/>
  <c r="J270" i="10"/>
  <c r="J269" i="10"/>
  <c r="J268" i="10"/>
  <c r="J267" i="10"/>
  <c r="K267" i="10" s="1"/>
  <c r="J266" i="10"/>
  <c r="J265" i="10"/>
  <c r="K265" i="10" s="1"/>
  <c r="J264" i="10"/>
  <c r="K264" i="10" s="1"/>
  <c r="J263" i="10"/>
  <c r="K263" i="10" s="1"/>
  <c r="J262" i="10"/>
  <c r="K262" i="10" s="1"/>
  <c r="J261" i="10"/>
  <c r="K261" i="10" s="1"/>
  <c r="J260" i="10"/>
  <c r="J259" i="10"/>
  <c r="K259" i="10" s="1"/>
  <c r="J258" i="10"/>
  <c r="J257" i="10"/>
  <c r="J256" i="10"/>
  <c r="J255" i="10"/>
  <c r="J254" i="10"/>
  <c r="K254" i="10" s="1"/>
  <c r="J253" i="10"/>
  <c r="K253" i="10" s="1"/>
  <c r="J252" i="10"/>
  <c r="J251" i="10"/>
  <c r="K251" i="10" s="1"/>
  <c r="J250" i="10"/>
  <c r="K250" i="10" s="1"/>
  <c r="J249" i="10"/>
  <c r="K249" i="10" s="1"/>
  <c r="J248" i="10"/>
  <c r="J247" i="10"/>
  <c r="K247" i="10" s="1"/>
  <c r="J246" i="10"/>
  <c r="J245" i="10"/>
  <c r="J244" i="10"/>
  <c r="J243" i="10"/>
  <c r="K243" i="10" s="1"/>
  <c r="J242" i="10"/>
  <c r="J241" i="10"/>
  <c r="K241" i="10" s="1"/>
  <c r="J240" i="10"/>
  <c r="J239" i="10"/>
  <c r="K239" i="10" s="1"/>
  <c r="J238" i="10"/>
  <c r="J237" i="10"/>
  <c r="J236" i="10"/>
  <c r="J235" i="10"/>
  <c r="K235" i="10" s="1"/>
  <c r="J234" i="10"/>
  <c r="J233" i="10"/>
  <c r="K233" i="10" s="1"/>
  <c r="J232" i="10"/>
  <c r="K232" i="10" s="1"/>
  <c r="J231" i="10"/>
  <c r="J230" i="10"/>
  <c r="J229" i="10"/>
  <c r="J228" i="10"/>
  <c r="K228" i="10" s="1"/>
  <c r="J227" i="10"/>
  <c r="J226" i="10"/>
  <c r="J225" i="10"/>
  <c r="K225" i="10" s="1"/>
  <c r="J224" i="10"/>
  <c r="K224" i="10" s="1"/>
  <c r="J223" i="10"/>
  <c r="K223" i="10" s="1"/>
  <c r="J222" i="10"/>
  <c r="K222" i="10" s="1"/>
  <c r="J221" i="10"/>
  <c r="K221" i="10" s="1"/>
  <c r="J220" i="10"/>
  <c r="K220" i="10" s="1"/>
  <c r="J219" i="10"/>
  <c r="K219" i="10" s="1"/>
  <c r="J218" i="10"/>
  <c r="K218" i="10" s="1"/>
  <c r="J217" i="10"/>
  <c r="K217" i="10" s="1"/>
  <c r="J216" i="10"/>
  <c r="K216" i="10" s="1"/>
  <c r="J215" i="10"/>
  <c r="K215" i="10" s="1"/>
  <c r="J214" i="10"/>
  <c r="K214" i="10" s="1"/>
  <c r="J213" i="10"/>
  <c r="K213" i="10" s="1"/>
  <c r="J212" i="10"/>
  <c r="J211" i="10"/>
  <c r="J210" i="10"/>
  <c r="J209" i="10"/>
  <c r="J208" i="10"/>
  <c r="K208" i="10" s="1"/>
  <c r="J207" i="10"/>
  <c r="K207" i="10" s="1"/>
  <c r="J206" i="10"/>
  <c r="J205" i="10"/>
  <c r="K205" i="10" s="1"/>
  <c r="J204" i="10"/>
  <c r="K204" i="10" s="1"/>
  <c r="J203" i="10"/>
  <c r="J202" i="10"/>
  <c r="J201" i="10"/>
  <c r="J200" i="10"/>
  <c r="J199" i="10"/>
  <c r="K199" i="10" s="1"/>
  <c r="J198" i="10"/>
  <c r="K198" i="10" s="1"/>
  <c r="J197" i="10"/>
  <c r="K197" i="10" s="1"/>
  <c r="J196" i="10"/>
  <c r="K196" i="10" s="1"/>
  <c r="J195" i="10"/>
  <c r="J194" i="10"/>
  <c r="K194" i="10" s="1"/>
  <c r="J193" i="10"/>
  <c r="K193" i="10" s="1"/>
  <c r="J192" i="10"/>
  <c r="K192" i="10" s="1"/>
  <c r="J191" i="10"/>
  <c r="J190" i="10"/>
  <c r="J189" i="10"/>
  <c r="J188" i="10"/>
  <c r="K188" i="10" s="1"/>
  <c r="J187" i="10"/>
  <c r="J186" i="10"/>
  <c r="K186" i="10" s="1"/>
  <c r="J185" i="10"/>
  <c r="K185" i="10" s="1"/>
  <c r="J184" i="10"/>
  <c r="J183" i="10"/>
  <c r="K183" i="10" s="1"/>
  <c r="J182" i="10"/>
  <c r="K182" i="10" s="1"/>
  <c r="J181" i="10"/>
  <c r="K181" i="10" s="1"/>
  <c r="J180" i="10"/>
  <c r="K180" i="10" s="1"/>
  <c r="J179" i="10"/>
  <c r="J178" i="10"/>
  <c r="J177" i="10"/>
  <c r="J176" i="10"/>
  <c r="K176" i="10" s="1"/>
  <c r="J175" i="10"/>
  <c r="J174" i="10"/>
  <c r="K174" i="10" s="1"/>
  <c r="J173" i="10"/>
  <c r="J172" i="10"/>
  <c r="J171" i="10"/>
  <c r="K171" i="10" s="1"/>
  <c r="J170" i="10"/>
  <c r="J169" i="10"/>
  <c r="J168" i="10"/>
  <c r="K168" i="10" s="1"/>
  <c r="J167" i="10"/>
  <c r="K167" i="10" s="1"/>
  <c r="J166" i="10"/>
  <c r="J165" i="10"/>
  <c r="J164" i="10"/>
  <c r="K164" i="10" s="1"/>
  <c r="J163" i="10"/>
  <c r="K163" i="10" s="1"/>
  <c r="J162" i="10"/>
  <c r="J161" i="10"/>
  <c r="J160" i="10"/>
  <c r="K160" i="10" s="1"/>
  <c r="J159" i="10"/>
  <c r="J158" i="10"/>
  <c r="K158" i="10" s="1"/>
  <c r="J157" i="10"/>
  <c r="J156" i="10"/>
  <c r="K156" i="10" s="1"/>
  <c r="J155" i="10"/>
  <c r="K155" i="10" s="1"/>
  <c r="J154" i="10"/>
  <c r="K154" i="10" s="1"/>
  <c r="J153" i="10"/>
  <c r="K153" i="10" s="1"/>
  <c r="J152" i="10"/>
  <c r="J151" i="10"/>
  <c r="K151" i="10" s="1"/>
  <c r="J150" i="10"/>
  <c r="K150" i="10" s="1"/>
  <c r="J149" i="10"/>
  <c r="K149" i="10" s="1"/>
  <c r="J148" i="10"/>
  <c r="J147" i="10"/>
  <c r="K147" i="10" s="1"/>
  <c r="J146" i="10"/>
  <c r="K146" i="10" s="1"/>
  <c r="J145" i="10"/>
  <c r="J144" i="10"/>
  <c r="J143" i="10"/>
  <c r="K143" i="10" s="1"/>
  <c r="J142" i="10"/>
  <c r="K142" i="10" s="1"/>
  <c r="J141" i="10"/>
  <c r="K141" i="10" s="1"/>
  <c r="J140" i="10"/>
  <c r="K140" i="10" s="1"/>
  <c r="J139" i="10"/>
  <c r="J138" i="10"/>
  <c r="J137" i="10"/>
  <c r="J136" i="10"/>
  <c r="K136" i="10" s="1"/>
  <c r="J135" i="10"/>
  <c r="K135" i="10" s="1"/>
  <c r="J134" i="10"/>
  <c r="K134" i="10" s="1"/>
  <c r="J133" i="10"/>
  <c r="J132" i="10"/>
  <c r="J131" i="10"/>
  <c r="J130" i="10"/>
  <c r="J129" i="10"/>
  <c r="J128" i="10"/>
  <c r="J127" i="10"/>
  <c r="K127" i="10" s="1"/>
  <c r="J126" i="10"/>
  <c r="J125" i="10"/>
  <c r="K125" i="10" s="1"/>
  <c r="J124" i="10"/>
  <c r="J123" i="10"/>
  <c r="J122" i="10"/>
  <c r="J121" i="10"/>
  <c r="J120" i="10"/>
  <c r="J119" i="10"/>
  <c r="K119" i="10" s="1"/>
  <c r="J118" i="10"/>
  <c r="K118" i="10" s="1"/>
  <c r="J117" i="10"/>
  <c r="J116" i="10"/>
  <c r="K116" i="10" s="1"/>
  <c r="J115" i="10"/>
  <c r="J114" i="10"/>
  <c r="K114" i="10" s="1"/>
  <c r="J113" i="10"/>
  <c r="J112" i="10"/>
  <c r="K112" i="10" s="1"/>
  <c r="J111" i="10"/>
  <c r="K111" i="10" s="1"/>
  <c r="J110" i="10"/>
  <c r="J109" i="10"/>
  <c r="J108" i="10"/>
  <c r="J107" i="10"/>
  <c r="K107" i="10" s="1"/>
  <c r="J106" i="10"/>
  <c r="K106" i="10" s="1"/>
  <c r="J105" i="10"/>
  <c r="K105" i="10" s="1"/>
  <c r="J104" i="10"/>
  <c r="J103" i="10"/>
  <c r="K103" i="10" s="1"/>
  <c r="J102" i="10"/>
  <c r="J101" i="10"/>
  <c r="J100" i="10"/>
  <c r="J99" i="10"/>
  <c r="K99" i="10" s="1"/>
  <c r="J98" i="10"/>
  <c r="J97" i="10"/>
  <c r="K97" i="10" s="1"/>
  <c r="J96" i="10"/>
  <c r="K96" i="10" s="1"/>
  <c r="J95" i="10"/>
  <c r="K95" i="10" s="1"/>
  <c r="J94" i="10"/>
  <c r="J93" i="10"/>
  <c r="J92" i="10"/>
  <c r="J91" i="10"/>
  <c r="J90" i="10"/>
  <c r="K90" i="10" s="1"/>
  <c r="J89" i="10"/>
  <c r="K89" i="10" s="1"/>
  <c r="J88" i="10"/>
  <c r="J87" i="10"/>
  <c r="J86" i="10"/>
  <c r="J85" i="10"/>
  <c r="J84" i="10"/>
  <c r="J83" i="10"/>
  <c r="J82" i="10"/>
  <c r="J81" i="10"/>
  <c r="J80" i="10"/>
  <c r="J79" i="10"/>
  <c r="K79" i="10" s="1"/>
  <c r="J78" i="10"/>
  <c r="J77" i="10"/>
  <c r="J76" i="10"/>
  <c r="K76" i="10" s="1"/>
  <c r="J75" i="10"/>
  <c r="K75" i="10" s="1"/>
  <c r="J74" i="10"/>
  <c r="J73" i="10"/>
  <c r="J72" i="10"/>
  <c r="K72" i="10" s="1"/>
  <c r="J71" i="10"/>
  <c r="J70" i="10"/>
  <c r="J69" i="10"/>
  <c r="K69" i="10" s="1"/>
  <c r="J68" i="10"/>
  <c r="K68" i="10" s="1"/>
  <c r="J67" i="10"/>
  <c r="J66" i="10"/>
  <c r="K66" i="10" s="1"/>
  <c r="J65" i="10"/>
  <c r="K65" i="10" s="1"/>
  <c r="J64" i="10"/>
  <c r="J63" i="10"/>
  <c r="J62" i="10"/>
  <c r="K62" i="10" s="1"/>
  <c r="J61" i="10"/>
  <c r="K61" i="10" s="1"/>
  <c r="J60" i="10"/>
  <c r="J59" i="10"/>
  <c r="J58" i="10"/>
  <c r="J57" i="10"/>
  <c r="K57" i="10" s="1"/>
  <c r="J56" i="10"/>
  <c r="K56" i="10" s="1"/>
  <c r="J55" i="10"/>
  <c r="K55" i="10" s="1"/>
  <c r="J54" i="10"/>
  <c r="K54" i="10" s="1"/>
  <c r="J53" i="10"/>
  <c r="K53" i="10" s="1"/>
  <c r="J52" i="10"/>
  <c r="K52" i="10" s="1"/>
  <c r="J51" i="10"/>
  <c r="K51" i="10" s="1"/>
  <c r="J50" i="10"/>
  <c r="J49" i="10"/>
  <c r="J48" i="10"/>
  <c r="J47" i="10"/>
  <c r="K47" i="10" s="1"/>
  <c r="J46" i="10"/>
  <c r="J45" i="10"/>
  <c r="J44" i="10"/>
  <c r="J43" i="10"/>
  <c r="J42" i="10"/>
  <c r="K42" i="10" s="1"/>
  <c r="J41" i="10"/>
  <c r="K41" i="10" s="1"/>
  <c r="J40" i="10"/>
  <c r="K40" i="10" s="1"/>
  <c r="J39" i="10"/>
  <c r="K39" i="10" s="1"/>
  <c r="J38" i="10"/>
  <c r="J37" i="10"/>
  <c r="J36" i="10"/>
  <c r="K36" i="10" s="1"/>
  <c r="J35" i="10"/>
  <c r="J34" i="10"/>
  <c r="J33" i="10"/>
  <c r="J32" i="10"/>
  <c r="K32" i="10" s="1"/>
  <c r="J31" i="10"/>
  <c r="J30" i="10"/>
  <c r="J29" i="10"/>
  <c r="J28" i="10"/>
  <c r="K28" i="10" s="1"/>
  <c r="J27" i="10"/>
  <c r="K27" i="10" s="1"/>
  <c r="J26" i="10"/>
  <c r="J25" i="10"/>
  <c r="J24" i="10"/>
  <c r="J23" i="10"/>
  <c r="J22" i="10"/>
  <c r="J21" i="10"/>
  <c r="J20" i="10"/>
  <c r="J19" i="10"/>
  <c r="J18" i="10"/>
  <c r="K18" i="10" s="1"/>
  <c r="J17" i="10"/>
  <c r="K17" i="10" s="1"/>
  <c r="J16" i="10"/>
  <c r="J15" i="10"/>
  <c r="J14" i="10"/>
  <c r="J13" i="10"/>
  <c r="K13" i="10" s="1"/>
  <c r="J12" i="10"/>
  <c r="J11" i="10"/>
  <c r="J10" i="10"/>
  <c r="J9" i="10"/>
  <c r="J8" i="10"/>
  <c r="J7" i="10"/>
  <c r="J6" i="10"/>
  <c r="J5" i="10"/>
  <c r="J4" i="10"/>
  <c r="J3" i="10"/>
  <c r="J2" i="10"/>
  <c r="K977" i="10"/>
  <c r="K3" i="10" l="1"/>
  <c r="K4" i="10"/>
  <c r="K5" i="10"/>
  <c r="K6" i="10"/>
  <c r="K7" i="10"/>
  <c r="K8" i="10"/>
  <c r="K9" i="10"/>
  <c r="K10" i="10"/>
  <c r="K11" i="10"/>
  <c r="K12" i="10"/>
  <c r="K377" i="10"/>
  <c r="K14" i="10"/>
  <c r="K15" i="10"/>
  <c r="K16" i="10"/>
  <c r="K19" i="10"/>
  <c r="K20" i="10"/>
  <c r="K21" i="10"/>
  <c r="K22" i="10"/>
  <c r="K23" i="10"/>
  <c r="K24" i="10"/>
  <c r="K25" i="10"/>
  <c r="K26" i="10"/>
  <c r="K29" i="10"/>
  <c r="K30" i="10"/>
  <c r="K31" i="10"/>
  <c r="K33" i="10"/>
  <c r="K34" i="10"/>
  <c r="K35" i="10"/>
  <c r="K37" i="10"/>
  <c r="K38" i="10"/>
  <c r="K43" i="10"/>
  <c r="K44" i="10"/>
  <c r="K45" i="10"/>
  <c r="K46" i="10"/>
  <c r="K48" i="10"/>
  <c r="K49" i="10"/>
  <c r="K50" i="10"/>
  <c r="K58" i="10"/>
  <c r="K59" i="10"/>
  <c r="K60" i="10"/>
  <c r="K63" i="10"/>
  <c r="K64" i="10"/>
  <c r="K67" i="10"/>
  <c r="K70" i="10"/>
  <c r="K71" i="10"/>
  <c r="K73" i="10"/>
  <c r="K74" i="10"/>
  <c r="K77" i="10"/>
  <c r="K78" i="10"/>
  <c r="K80" i="10"/>
  <c r="K81" i="10"/>
  <c r="K82" i="10"/>
  <c r="K83" i="10"/>
  <c r="K84" i="10"/>
  <c r="K85" i="10"/>
  <c r="K86" i="10"/>
  <c r="K87" i="10"/>
  <c r="K88" i="10"/>
  <c r="K91" i="10"/>
  <c r="K92" i="10"/>
  <c r="K93" i="10"/>
  <c r="K94" i="10"/>
  <c r="K98" i="10"/>
  <c r="K100" i="10"/>
  <c r="K101" i="10"/>
  <c r="K102" i="10"/>
  <c r="K104" i="10"/>
  <c r="K108" i="10"/>
  <c r="K109" i="10"/>
  <c r="K110" i="10"/>
  <c r="K113" i="10"/>
  <c r="K115" i="10"/>
  <c r="K117" i="10"/>
  <c r="K120" i="10"/>
  <c r="K121" i="10"/>
  <c r="K122" i="10"/>
  <c r="K123" i="10"/>
  <c r="K124" i="10"/>
  <c r="K126" i="10"/>
  <c r="K128" i="10"/>
  <c r="K129" i="10"/>
  <c r="K130" i="10"/>
  <c r="K131" i="10"/>
  <c r="K132" i="10"/>
  <c r="K133" i="10"/>
  <c r="K137" i="10"/>
  <c r="K138" i="10"/>
  <c r="K139" i="10"/>
  <c r="K144" i="10"/>
  <c r="K145" i="10"/>
  <c r="K148" i="10"/>
  <c r="K152" i="10"/>
  <c r="K157" i="10"/>
  <c r="K159" i="10"/>
  <c r="K161" i="10"/>
  <c r="K162" i="10"/>
  <c r="K165" i="10"/>
  <c r="K166" i="10"/>
  <c r="K169" i="10"/>
  <c r="K170" i="10"/>
  <c r="K172" i="10"/>
  <c r="K173" i="10"/>
  <c r="K175" i="10"/>
  <c r="K177" i="10"/>
  <c r="K178" i="10"/>
  <c r="K179" i="10"/>
  <c r="K184" i="10"/>
  <c r="K187" i="10"/>
  <c r="K189" i="10"/>
  <c r="K190" i="10"/>
  <c r="K191" i="10"/>
  <c r="K195" i="10"/>
  <c r="K200" i="10"/>
  <c r="K201" i="10"/>
  <c r="K202" i="10"/>
  <c r="K203" i="10"/>
  <c r="K206" i="10"/>
  <c r="K209" i="10"/>
  <c r="K210" i="10"/>
  <c r="K211" i="10"/>
  <c r="K212" i="10"/>
  <c r="K226" i="10"/>
  <c r="K227" i="10"/>
  <c r="K229" i="10"/>
  <c r="K230" i="10"/>
  <c r="K231" i="10"/>
  <c r="K234" i="10"/>
  <c r="K236" i="10"/>
  <c r="K237" i="10"/>
  <c r="K238" i="10"/>
  <c r="K240" i="10"/>
  <c r="K242" i="10"/>
  <c r="K244" i="10"/>
  <c r="K245" i="10"/>
  <c r="K246" i="10"/>
  <c r="K248" i="10"/>
  <c r="K252" i="10"/>
  <c r="K255" i="10"/>
  <c r="K256" i="10"/>
  <c r="K257" i="10"/>
  <c r="K258" i="10"/>
  <c r="K260" i="10"/>
  <c r="K266" i="10"/>
  <c r="K268" i="10"/>
  <c r="K269" i="10"/>
  <c r="K270" i="10"/>
  <c r="K271" i="10"/>
  <c r="K272" i="10"/>
  <c r="K273" i="10"/>
  <c r="K274" i="10"/>
  <c r="K275" i="10"/>
  <c r="K277" i="10"/>
  <c r="K280" i="10"/>
  <c r="K281" i="10"/>
  <c r="K283" i="10"/>
  <c r="K284" i="10"/>
  <c r="K285" i="10"/>
  <c r="K286" i="10"/>
  <c r="K287" i="10"/>
  <c r="K288" i="10"/>
  <c r="K289" i="10"/>
  <c r="K291" i="10"/>
  <c r="K292" i="10"/>
  <c r="K293" i="10"/>
  <c r="K294" i="10"/>
  <c r="K297" i="10"/>
  <c r="K299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5" i="10"/>
  <c r="K317" i="10"/>
  <c r="K319" i="10"/>
  <c r="K322" i="10"/>
  <c r="K323" i="10"/>
  <c r="K324" i="10"/>
  <c r="K325" i="10"/>
  <c r="K326" i="10"/>
  <c r="K330" i="10"/>
  <c r="K331" i="10"/>
  <c r="K332" i="10"/>
  <c r="K338" i="10"/>
  <c r="K339" i="10"/>
  <c r="K340" i="10"/>
  <c r="K349" i="10"/>
  <c r="K352" i="10"/>
  <c r="K359" i="10"/>
  <c r="K360" i="10"/>
  <c r="K367" i="10"/>
  <c r="K368" i="10"/>
  <c r="K375" i="10"/>
  <c r="K382" i="10"/>
  <c r="K383" i="10"/>
  <c r="K387" i="10"/>
  <c r="K388" i="10"/>
  <c r="K389" i="10"/>
  <c r="K390" i="10"/>
  <c r="K395" i="10"/>
  <c r="K404" i="10"/>
  <c r="K405" i="10"/>
  <c r="K406" i="10"/>
  <c r="K408" i="10"/>
  <c r="K409" i="10"/>
  <c r="K410" i="10"/>
  <c r="K416" i="10"/>
  <c r="K426" i="10"/>
  <c r="K427" i="10"/>
  <c r="K428" i="10"/>
  <c r="K436" i="10"/>
  <c r="K437" i="10"/>
  <c r="K446" i="10"/>
  <c r="K449" i="10"/>
  <c r="K451" i="10"/>
  <c r="K459" i="10"/>
  <c r="K460" i="10"/>
  <c r="K461" i="10"/>
  <c r="K462" i="10"/>
  <c r="K468" i="10"/>
  <c r="K469" i="10"/>
  <c r="K474" i="10"/>
  <c r="K477" i="10"/>
  <c r="K492" i="10"/>
  <c r="K493" i="10"/>
  <c r="K500" i="10"/>
  <c r="K508" i="10"/>
  <c r="K509" i="10"/>
  <c r="K517" i="10"/>
  <c r="K520" i="10"/>
  <c r="K527" i="10"/>
  <c r="K536" i="10"/>
  <c r="K541" i="10"/>
  <c r="K543" i="10"/>
  <c r="K546" i="10"/>
  <c r="K556" i="10"/>
  <c r="K557" i="10"/>
  <c r="K562" i="10"/>
  <c r="K563" i="10"/>
  <c r="K564" i="10"/>
  <c r="K569" i="10"/>
  <c r="K570" i="10"/>
  <c r="K574" i="10"/>
  <c r="K575" i="10"/>
  <c r="K578" i="10"/>
  <c r="K579" i="10"/>
  <c r="K598" i="10"/>
  <c r="K599" i="10"/>
  <c r="K610" i="10"/>
  <c r="K612" i="10"/>
  <c r="K616" i="10"/>
  <c r="K618" i="10"/>
  <c r="K619" i="10"/>
  <c r="K620" i="10"/>
  <c r="K621" i="10"/>
  <c r="K622" i="10"/>
  <c r="K623" i="10"/>
  <c r="K624" i="10"/>
  <c r="K626" i="10"/>
  <c r="K627" i="10"/>
  <c r="K632" i="10"/>
  <c r="K633" i="10"/>
  <c r="K637" i="10"/>
  <c r="K654" i="10"/>
  <c r="K655" i="10"/>
  <c r="K661" i="10"/>
  <c r="K665" i="10"/>
  <c r="K669" i="10"/>
  <c r="K670" i="10"/>
  <c r="K675" i="10"/>
  <c r="K685" i="10"/>
  <c r="K692" i="10"/>
  <c r="K694" i="10"/>
  <c r="K728" i="10"/>
  <c r="K732" i="10"/>
  <c r="K733" i="10"/>
  <c r="K734" i="10"/>
  <c r="K735" i="10"/>
  <c r="K736" i="10"/>
  <c r="K766" i="10"/>
  <c r="K796" i="10"/>
  <c r="K807" i="10"/>
  <c r="K832" i="10"/>
  <c r="K833" i="10"/>
  <c r="K834" i="10"/>
  <c r="K835" i="10"/>
  <c r="K837" i="10"/>
  <c r="K838" i="10"/>
  <c r="K847" i="10"/>
  <c r="K848" i="10"/>
  <c r="K849" i="10"/>
  <c r="K853" i="10"/>
  <c r="K854" i="10"/>
  <c r="K855" i="10"/>
  <c r="K868" i="10"/>
  <c r="K880" i="10"/>
  <c r="K882" i="10"/>
  <c r="K928" i="10"/>
  <c r="K990" i="10"/>
  <c r="K2" i="10"/>
</calcChain>
</file>

<file path=xl/sharedStrings.xml><?xml version="1.0" encoding="utf-8"?>
<sst xmlns="http://schemas.openxmlformats.org/spreadsheetml/2006/main" count="30835" uniqueCount="3263">
  <si>
    <t>IVF</t>
  </si>
  <si>
    <t>Sijoitusrahasto Evli Wealth Manager</t>
  </si>
  <si>
    <t>07446590#044</t>
  </si>
  <si>
    <t>UCITS</t>
  </si>
  <si>
    <t>Open-end</t>
  </si>
  <si>
    <t>Yhdistelmärahasto</t>
  </si>
  <si>
    <t>Sulautunut</t>
  </si>
  <si>
    <t>PEF</t>
  </si>
  <si>
    <t>AC Cleantech Growth Fund I Ky</t>
  </si>
  <si>
    <t>22859000#001</t>
  </si>
  <si>
    <t>Non-UCITS</t>
  </si>
  <si>
    <t>Closed-end</t>
  </si>
  <si>
    <t>Buyout-rahasto</t>
  </si>
  <si>
    <t>Lakkautettu</t>
  </si>
  <si>
    <t>NULL</t>
  </si>
  <si>
    <t>Amanda V East Feeder Ky</t>
  </si>
  <si>
    <t>07360527#069</t>
  </si>
  <si>
    <t>Intera Fund II Ky</t>
  </si>
  <si>
    <t>OP-Amerikka Kasvu -sijoitusrahasto</t>
  </si>
  <si>
    <t>07439622#111</t>
  </si>
  <si>
    <t>Osakerahasto</t>
  </si>
  <si>
    <t>eQ PE VI North Feeder Ky</t>
  </si>
  <si>
    <t>07360527#064</t>
  </si>
  <si>
    <t>eQ PE VI North Feeder II Ky</t>
  </si>
  <si>
    <t>07360527#065</t>
  </si>
  <si>
    <t>eQ PE VI North Feeder III Ky</t>
  </si>
  <si>
    <t>07360527#066</t>
  </si>
  <si>
    <t>Taaleri Metsärahasto III Ky</t>
  </si>
  <si>
    <t>22643277#006</t>
  </si>
  <si>
    <t>Muu rahasto</t>
  </si>
  <si>
    <t>Elite Kiinteistökehitysrahasto I Ky</t>
  </si>
  <si>
    <t>07446590#136</t>
  </si>
  <si>
    <t>Kiinteistörahasto</t>
  </si>
  <si>
    <t>Obsido Rebalanced 50 Sijoitusrahasto</t>
  </si>
  <si>
    <t>Elite Kiinteistökehitysrahasto I Feeder Ky</t>
  </si>
  <si>
    <t>07446590#135</t>
  </si>
  <si>
    <t>Specialplaceringsfonden Aktia Commodity</t>
  </si>
  <si>
    <t>Elite Kiinteistökehitysrahasto I Syöttörahasto III Ky</t>
  </si>
  <si>
    <t>07446590#138</t>
  </si>
  <si>
    <t>WS Solar Energy Fund I Ky</t>
  </si>
  <si>
    <t>25997361#001</t>
  </si>
  <si>
    <t>WS Solar Energy Fund I Profit Sharing Bond Ky</t>
  </si>
  <si>
    <t>25997361#002</t>
  </si>
  <si>
    <t>Obsido Rebalanced 50 SEK Sijoitusrahasto</t>
  </si>
  <si>
    <t>28233658#004</t>
  </si>
  <si>
    <t>Erikoissijoitusrahasto Estlander &amp; Partners Glacies</t>
  </si>
  <si>
    <t>18300220#022</t>
  </si>
  <si>
    <t>Hedge-rahasto</t>
  </si>
  <si>
    <t>Sijoitusrahasto Evli Target Maturity Nordic Bond 2023</t>
  </si>
  <si>
    <t>07446590#092</t>
  </si>
  <si>
    <t>Korkorahasto</t>
  </si>
  <si>
    <t>Mandatum AM Hiilinielukiinteistöt I Ky</t>
  </si>
  <si>
    <t>28125497#002</t>
  </si>
  <si>
    <t>OP-Amerikka Vakaa -sijoitusrahasto</t>
  </si>
  <si>
    <t>07439622#140</t>
  </si>
  <si>
    <t>OP-Amerikka Laatu -sijoitusrahasto</t>
  </si>
  <si>
    <t>07439622#141</t>
  </si>
  <si>
    <t>OP-Eurooppa Vakaa -sijoitusrahasto</t>
  </si>
  <si>
    <t>07439622#142</t>
  </si>
  <si>
    <t>OP-Eurooppa Laatu -sijoitusrahasto</t>
  </si>
  <si>
    <t>07439622#143</t>
  </si>
  <si>
    <t>Taaleri Infra I Ky</t>
  </si>
  <si>
    <t>Coeus Invest GRIT Erikoissijoitusrahasto</t>
  </si>
  <si>
    <t>18300220#036</t>
  </si>
  <si>
    <t>Visio Siilo Erikoissijoitusrahasto</t>
  </si>
  <si>
    <t>18300220#037</t>
  </si>
  <si>
    <t>Kysely</t>
  </si>
  <si>
    <t>RaportoinninAloitusPvm</t>
  </si>
  <si>
    <t>RaportoinninLopetusPvm</t>
  </si>
  <si>
    <t>Raportoija</t>
  </si>
  <si>
    <t>RaportoijanRahastotunnus</t>
  </si>
  <si>
    <t>YksikkoId</t>
  </si>
  <si>
    <t>Y_tunnus</t>
  </si>
  <si>
    <t>UCITS_erikoissijoitusrahastotyyppi</t>
  </si>
  <si>
    <t>Pääomanvaihtelevuus</t>
  </si>
  <si>
    <t>Rahastotyyppi</t>
  </si>
  <si>
    <t>Sijoitusrahasto Evli Impact Equity</t>
  </si>
  <si>
    <t>07446590#119</t>
  </si>
  <si>
    <t>Gorilla Capital Fund III Ky</t>
  </si>
  <si>
    <t>28279074#002</t>
  </si>
  <si>
    <t>Venture Capital -rahasto</t>
  </si>
  <si>
    <t>Evli Infrastructure Fund II Ky</t>
  </si>
  <si>
    <t>07446590#122</t>
  </si>
  <si>
    <t>Evli Infrastructure II Feeder A Ky</t>
  </si>
  <si>
    <t>07446590#123</t>
  </si>
  <si>
    <t>EAB Renewable Energy Infrastructure Fund II Feeder VIII Ky</t>
  </si>
  <si>
    <t>07446590#165</t>
  </si>
  <si>
    <t>MAM Growth Equity II Ky</t>
  </si>
  <si>
    <t>28125497#003</t>
  </si>
  <si>
    <t>BOA Real Estate 1 Ky</t>
  </si>
  <si>
    <t>31225771#003</t>
  </si>
  <si>
    <t>Armada Fund VI Ky</t>
  </si>
  <si>
    <t>23066336#007</t>
  </si>
  <si>
    <t>Erikoissijoitusrahasto eQ PE XV US Feeder</t>
  </si>
  <si>
    <t>07360527#134</t>
  </si>
  <si>
    <t>OP-Private Equity -erikoissijoitussijoitusrahasto</t>
  </si>
  <si>
    <t>07439622#149</t>
  </si>
  <si>
    <t>LähiTapiola Velkasijoitus III Ky</t>
  </si>
  <si>
    <t>16172050#032</t>
  </si>
  <si>
    <t>LähiTapiola Velkasijoitus III Feeder Ky</t>
  </si>
  <si>
    <t>16172050#033</t>
  </si>
  <si>
    <t>Ethos Light Industrial Strategies I Ky</t>
  </si>
  <si>
    <t>32592442#001</t>
  </si>
  <si>
    <t>Certior Private Equity Fund II Ky</t>
  </si>
  <si>
    <t>24169855#007</t>
  </si>
  <si>
    <t>Certior Private Equity Fund II Feeder Ky</t>
  </si>
  <si>
    <t>24169855#008</t>
  </si>
  <si>
    <t>Lifeline Ventures Fund V Ky</t>
  </si>
  <si>
    <t>29897173#002</t>
  </si>
  <si>
    <t>Erikoissijoitusrahasto Amanda eQ V East Feeder</t>
  </si>
  <si>
    <t>07360527#135</t>
  </si>
  <si>
    <t>Erikoissijoitusrahasto eQ PE VI North Feeder</t>
  </si>
  <si>
    <t>07360527#136</t>
  </si>
  <si>
    <t>Erikoissijoitusrahasto Finlandia Asset Allocator 25</t>
  </si>
  <si>
    <t>23245609#019</t>
  </si>
  <si>
    <t>Erikoissijoitusrahasto Finlandia Asset Allocator 50</t>
  </si>
  <si>
    <t>23245609#020</t>
  </si>
  <si>
    <t>Failup Fund I Ky</t>
  </si>
  <si>
    <t>33004534#001</t>
  </si>
  <si>
    <t>Greencode I Ky</t>
  </si>
  <si>
    <t>33188687#001</t>
  </si>
  <si>
    <t>Voima Ventures Fund III Ky</t>
  </si>
  <si>
    <t>29157108#003</t>
  </si>
  <si>
    <t>Lifeline Ventures Fund V Feeder Ky</t>
  </si>
  <si>
    <t>29897173#003</t>
  </si>
  <si>
    <t>Finlandia Korkostrategia Sijoitusrahasto</t>
  </si>
  <si>
    <t>23245609#021</t>
  </si>
  <si>
    <t>Erikoissijoitusrahasto Proprius Partners DACH Value</t>
  </si>
  <si>
    <t>32844961#001</t>
  </si>
  <si>
    <t>Erikoissijoitusrahasto Proprius Partners Micro Finland</t>
  </si>
  <si>
    <t>32844961#002</t>
  </si>
  <si>
    <t>Ålandsbanken Havsvind I Kb</t>
  </si>
  <si>
    <t>14713626#050</t>
  </si>
  <si>
    <t>Taaleri SolarWind III Ky</t>
  </si>
  <si>
    <t>28332453#007</t>
  </si>
  <si>
    <t>Aktia Aurinkotuuli III Ky</t>
  </si>
  <si>
    <t>20628401#103</t>
  </si>
  <si>
    <t>Aktia Aurinkotuuli III Rahoittajat Ky</t>
  </si>
  <si>
    <t>20628401#104</t>
  </si>
  <si>
    <t>Aktia Aurinkotuuli III Sijoittajat 500 Ky</t>
  </si>
  <si>
    <t>20628401#105</t>
  </si>
  <si>
    <t>Aktia Aurinkotuuli III Sijoittajat 100 Ky</t>
  </si>
  <si>
    <t>20628401#106</t>
  </si>
  <si>
    <t>Aktia Aurinkotuuli III Omistajat Ky</t>
  </si>
  <si>
    <t>20628401#107</t>
  </si>
  <si>
    <t>Evli Private Equity III Feeder B Ky</t>
  </si>
  <si>
    <t>07446590#166</t>
  </si>
  <si>
    <t>OP-Alternative Credit -erikoissijoitusrahasto</t>
  </si>
  <si>
    <t>07439622#150</t>
  </si>
  <si>
    <t>Illusian Ventures I Ky</t>
  </si>
  <si>
    <t>33038347#001</t>
  </si>
  <si>
    <t>Ålandsbanken Havsvind I Matarfond Kb</t>
  </si>
  <si>
    <t>14713626#051</t>
  </si>
  <si>
    <t>Aktia Aurinkotuuli III Henkilökunta Ky</t>
  </si>
  <si>
    <t>20628401#110</t>
  </si>
  <si>
    <t>Voima Ventures Fund III Feeder Ky</t>
  </si>
  <si>
    <t>29157108#004</t>
  </si>
  <si>
    <t>Innovestor Kasvurahasto III Ky</t>
  </si>
  <si>
    <t>27097164#007</t>
  </si>
  <si>
    <t>IPR.VC Fund III Ky</t>
  </si>
  <si>
    <t>26630385#004</t>
  </si>
  <si>
    <t>EAB Renewable Energy Infrastructure Fund II Feeder IX Ky</t>
  </si>
  <si>
    <t>07446590#167</t>
  </si>
  <si>
    <t>Kvanted Fund 1 Ky</t>
  </si>
  <si>
    <t>33382607#001</t>
  </si>
  <si>
    <t>IPR.VC Fund III Feeder Ky</t>
  </si>
  <si>
    <t>26630385#005</t>
  </si>
  <si>
    <t>Erikoissijoitusrahasto CWS Investment Partners Fund III</t>
  </si>
  <si>
    <t>29064614#029</t>
  </si>
  <si>
    <t>UB Nordic Forest Fund IV Ky</t>
  </si>
  <si>
    <t>21181015#053</t>
  </si>
  <si>
    <t>Evli Private Debt II Ky</t>
  </si>
  <si>
    <t>07446590#168</t>
  </si>
  <si>
    <t>Evli Private Debt II Feeder A Ky</t>
  </si>
  <si>
    <t>07446590#169</t>
  </si>
  <si>
    <t>Alexandria Lyhyt Korko Sijoitusrahasto</t>
  </si>
  <si>
    <t>16039364#012</t>
  </si>
  <si>
    <t>Sijoitusrahasto Aktia Passiivi USA</t>
  </si>
  <si>
    <t>20628401#111</t>
  </si>
  <si>
    <t>Sijoitusrahasto Aktia Passiivi Eurooppa</t>
  </si>
  <si>
    <t>20628401#112</t>
  </si>
  <si>
    <t>Sijoitusrahasto Aktia Passiivi Kehittyvät Markkinat</t>
  </si>
  <si>
    <t>20628401#113</t>
  </si>
  <si>
    <t>Sijoitusrahasto Aktia Passiivi Japani</t>
  </si>
  <si>
    <t>20628401#114</t>
  </si>
  <si>
    <t>Sijoitusrahasto Titanium Korko</t>
  </si>
  <si>
    <t>22888047#009</t>
  </si>
  <si>
    <t>Erikoissijoitusrahasto UB Nordic Forest Fund IV Syöttörahasto</t>
  </si>
  <si>
    <t>21181015#054</t>
  </si>
  <si>
    <t>Erikoissijoitusrahasto UB Uusiutuva Energia</t>
  </si>
  <si>
    <t>21181015#055</t>
  </si>
  <si>
    <t>Sijoitusrahasto Nordea Kehittyvä Eurooppa</t>
  </si>
  <si>
    <t>17377859#259</t>
  </si>
  <si>
    <t>Cactos Fleet Finland Ky</t>
  </si>
  <si>
    <t>32965173#001</t>
  </si>
  <si>
    <t>Virta Sijoituspooli II Ky</t>
  </si>
  <si>
    <t>32140454#002</t>
  </si>
  <si>
    <t>Korkia Renewables &amp;  Energy Infrastructure Ky</t>
  </si>
  <si>
    <t>25997361#013</t>
  </si>
  <si>
    <t>Korkia REI HNWI Feeder Ky</t>
  </si>
  <si>
    <t>25997361#014</t>
  </si>
  <si>
    <t>Korkia REI Feeder Ky</t>
  </si>
  <si>
    <t>25997361#015</t>
  </si>
  <si>
    <t>Erikoissijoitusrahasto Proprius Partners Micro Scandinavia</t>
  </si>
  <si>
    <t>32844961#003</t>
  </si>
  <si>
    <t>CWS Sustainable Future Erikoissijoitusrahasto</t>
  </si>
  <si>
    <t>18300220#042</t>
  </si>
  <si>
    <t>OP-Kestävä Hyvinvointi -sijoitusrahasto</t>
  </si>
  <si>
    <t>07439622#151</t>
  </si>
  <si>
    <t>Kanssasijoitusrahasto I Ky</t>
  </si>
  <si>
    <t>27097164#008</t>
  </si>
  <si>
    <t>eQ PE XV US Ky</t>
  </si>
  <si>
    <t>07360527#133</t>
  </si>
  <si>
    <t>MAKI.VC FUND III Ky</t>
  </si>
  <si>
    <t>28369715#003</t>
  </si>
  <si>
    <t>NSI Nordic Science I Ky</t>
  </si>
  <si>
    <t>31255065#001</t>
  </si>
  <si>
    <t>Kasvurahastojen Rahasto V Ky</t>
  </si>
  <si>
    <t>22245500#005</t>
  </si>
  <si>
    <t>TB VC Solutions eQ II Ky</t>
  </si>
  <si>
    <t>07360527#137</t>
  </si>
  <si>
    <t>Erikoissijoitusrahasto eQ VC II</t>
  </si>
  <si>
    <t>07360527#138</t>
  </si>
  <si>
    <t>Evli Impact Forest Fund II Ky</t>
  </si>
  <si>
    <t>07446590#170</t>
  </si>
  <si>
    <t>Evli Impact Forest II Feeder A Ky</t>
  </si>
  <si>
    <t>07446590#171</t>
  </si>
  <si>
    <t>MAKI.VC FUND III Feeder Ky</t>
  </si>
  <si>
    <t>28369715#004</t>
  </si>
  <si>
    <t>CapMan Growth Equity Fund III Ky</t>
  </si>
  <si>
    <t>29064614#030</t>
  </si>
  <si>
    <t>Sijoitusrahasto Evli Eurooppa Kasvu</t>
  </si>
  <si>
    <t>07446590#176</t>
  </si>
  <si>
    <t>NSI Feeder I Ky</t>
  </si>
  <si>
    <t>31255065#002</t>
  </si>
  <si>
    <t>Säästöpankki Aasia –erikoissijoitusrahasto</t>
  </si>
  <si>
    <t>17956316#020</t>
  </si>
  <si>
    <t>UB Nordic Forest Fund II Ky</t>
  </si>
  <si>
    <t>21181015#028</t>
  </si>
  <si>
    <t>Sijoitusrahasto Nora Two (EUR)</t>
  </si>
  <si>
    <t>17377859#220</t>
  </si>
  <si>
    <t>Sijoitusrahasto Nora Two (NOK)</t>
  </si>
  <si>
    <t>17377859#225</t>
  </si>
  <si>
    <t>Oy Wedeco Ab</t>
  </si>
  <si>
    <t>15318791#001</t>
  </si>
  <si>
    <t>Finnventure Rahasto V Ky</t>
  </si>
  <si>
    <t>07490276#006</t>
  </si>
  <si>
    <t>Maneq Fund 2002 Ky</t>
  </si>
  <si>
    <t>19011500#009</t>
  </si>
  <si>
    <t>Finnmezzanine Rahasto III A Ky</t>
  </si>
  <si>
    <t>07490276#008</t>
  </si>
  <si>
    <t>Finnmezzanine Rahasto III C Ky</t>
  </si>
  <si>
    <t>07490276#011</t>
  </si>
  <si>
    <t>Finnmezzanine Rahasto III B Ky</t>
  </si>
  <si>
    <t>07490276#009</t>
  </si>
  <si>
    <t>CapMan Real Estate I Ky</t>
  </si>
  <si>
    <t>07491762#001</t>
  </si>
  <si>
    <t>OP-Euro -sijoitusrahasto</t>
  </si>
  <si>
    <t>07439622#016</t>
  </si>
  <si>
    <t>S-Pankki Lyhyt Korko Sijoitusrahasto</t>
  </si>
  <si>
    <t>09791339#004</t>
  </si>
  <si>
    <t>Veraventure Oy</t>
  </si>
  <si>
    <t>08425222#002</t>
  </si>
  <si>
    <t>Aloitusrahasto Vera Oy</t>
  </si>
  <si>
    <t>08425222#001</t>
  </si>
  <si>
    <t>Sijoitusrahasto eQ Lyhyt Korko</t>
  </si>
  <si>
    <t>07360527#007</t>
  </si>
  <si>
    <t>Sijoitusrahasto Danske Invest Suomi Osinko Plus</t>
  </si>
  <si>
    <t>06716026#085</t>
  </si>
  <si>
    <t>Sijoitusrahasto Nordea Korko Varovainen</t>
  </si>
  <si>
    <t>17377859#083</t>
  </si>
  <si>
    <t>Sijoitusrahasto Nordea Korko</t>
  </si>
  <si>
    <t>17377859#084</t>
  </si>
  <si>
    <t>DEAS Property Fund Finland I Ky</t>
  </si>
  <si>
    <t>16044745#001</t>
  </si>
  <si>
    <t>Amanda III Eastern Private Equity Ky</t>
  </si>
  <si>
    <t>07360527#074</t>
  </si>
  <si>
    <t>ANL Kiinteistöt I Ky</t>
  </si>
  <si>
    <t>22148364#004</t>
  </si>
  <si>
    <t>EPI Healthcare I Ky</t>
  </si>
  <si>
    <t>21047668#001</t>
  </si>
  <si>
    <t>EPI Russia I Ky</t>
  </si>
  <si>
    <t>20410234#001</t>
  </si>
  <si>
    <t>Icecapital Housing Fund I Ky</t>
  </si>
  <si>
    <t>22032150#004</t>
  </si>
  <si>
    <t>Icecapital Saint Petersburg Residential Fund I Ky</t>
  </si>
  <si>
    <t>22032150#005</t>
  </si>
  <si>
    <t>Intera Fund I Ky</t>
  </si>
  <si>
    <t>21225823#001</t>
  </si>
  <si>
    <t>Mandatum Pääomarahasto I Ky</t>
  </si>
  <si>
    <t>07360527#072</t>
  </si>
  <si>
    <t>Real Estate Fund Finland I Ky</t>
  </si>
  <si>
    <t>05991018#001</t>
  </si>
  <si>
    <t>Selected Mezzanine Funds I Ky</t>
  </si>
  <si>
    <t>01120872#002</t>
  </si>
  <si>
    <t>Tapiola KR I Ky</t>
  </si>
  <si>
    <t>16172050#005</t>
  </si>
  <si>
    <t>Tapiola KR III Ky</t>
  </si>
  <si>
    <t>16172050#006</t>
  </si>
  <si>
    <t>Armada Mezzanine Fund II Ky</t>
  </si>
  <si>
    <t>23066336#001</t>
  </si>
  <si>
    <t>Kauppakeskuskiinteistöt FEA Ky</t>
  </si>
  <si>
    <t>16044745#003</t>
  </si>
  <si>
    <t>Selected Private Equity Funds I Ky</t>
  </si>
  <si>
    <t>01120872#001</t>
  </si>
  <si>
    <t>Medtech Rahasto Ky</t>
  </si>
  <si>
    <t>20831856#001</t>
  </si>
  <si>
    <t>OP-Dollari -sijoitusrahasto</t>
  </si>
  <si>
    <t>07439622#101</t>
  </si>
  <si>
    <t>Erikoissijoitusrahasto AURTUA+</t>
  </si>
  <si>
    <t>21181015#020</t>
  </si>
  <si>
    <t>Ålandsbanken Bostadsfond Specialplaceringsfond</t>
  </si>
  <si>
    <t>14713626#023</t>
  </si>
  <si>
    <t>Sijoitusrahasto Taaleri Yrityskorko</t>
  </si>
  <si>
    <t>20628401#019</t>
  </si>
  <si>
    <t>Sijoitusrahasto Evli Ruotsi Select</t>
  </si>
  <si>
    <t>07446590#063</t>
  </si>
  <si>
    <t>Sijoitusrahasto Evli Ruotsi Osakeindeksi</t>
  </si>
  <si>
    <t>07446590#064</t>
  </si>
  <si>
    <t>Real Estate Fund of Funds II Ky</t>
  </si>
  <si>
    <t>05991018#002</t>
  </si>
  <si>
    <t>Sijoitusrahasto FOURTON Fiesta</t>
  </si>
  <si>
    <t>09051752#005</t>
  </si>
  <si>
    <t>Säästöpankki High Yield -sijoitusrahasto</t>
  </si>
  <si>
    <t>17956316#018</t>
  </si>
  <si>
    <t>ICECAPITAL Housing Fund II Ky</t>
  </si>
  <si>
    <t>22032150#006</t>
  </si>
  <si>
    <t>Sentica Buyout III Ky</t>
  </si>
  <si>
    <t>19076208#006</t>
  </si>
  <si>
    <t>Sponsor Fund III Ky</t>
  </si>
  <si>
    <t>07612464#002</t>
  </si>
  <si>
    <t>Tapiola KR IV Ky</t>
  </si>
  <si>
    <t>16172050#007</t>
  </si>
  <si>
    <t>Sijoitusrahasto Aktia A100</t>
  </si>
  <si>
    <t>20628401#020</t>
  </si>
  <si>
    <t>Sijoitusrahasto Aktia A25</t>
  </si>
  <si>
    <t>20628401#021</t>
  </si>
  <si>
    <t>Sijoitusrahasto Taaleri Kehittyvät Markkinat</t>
  </si>
  <si>
    <t>20628401#022</t>
  </si>
  <si>
    <t>Sijoitusrahasto FOURTON Tempo</t>
  </si>
  <si>
    <t>09051752#006</t>
  </si>
  <si>
    <t>OP-Vuokratuotto -erikoissijoitusrahasto</t>
  </si>
  <si>
    <t>07439622#105</t>
  </si>
  <si>
    <t>Erikoissijoitusrahasto Titanium Hoivakiinteistö</t>
  </si>
  <si>
    <t>22888047#002</t>
  </si>
  <si>
    <t>S-Pankki Kasvavat Taloudet Osake Sijoitusrahasto</t>
  </si>
  <si>
    <t>09791339#042</t>
  </si>
  <si>
    <t>OP-Amerikka Pienyhtiöt -sijoitusrahasto</t>
  </si>
  <si>
    <t>07439622#106</t>
  </si>
  <si>
    <t>Sijoitusrahasto Evli Kehittyvät Markkinat Yrityslaina</t>
  </si>
  <si>
    <t>07446590#065</t>
  </si>
  <si>
    <t>Sijoitusrahasto Evli Emerging Frontier</t>
  </si>
  <si>
    <t>07446590#066</t>
  </si>
  <si>
    <t>Finlandia Globaali Allokaatio Erikoissijoitusrahasto</t>
  </si>
  <si>
    <t>23245609#013</t>
  </si>
  <si>
    <t>Sijoitusrahasto Nordea Stable Equities UCITS ETF</t>
  </si>
  <si>
    <t>17377859#101</t>
  </si>
  <si>
    <t>Sijoitusrahasto Nordea Global Emerging Markets Equities UCITS ETF</t>
  </si>
  <si>
    <t>17377859#102</t>
  </si>
  <si>
    <t>Sijoitusrahasto Nordea Euroopan Pienet Yhtiöt</t>
  </si>
  <si>
    <t>17377859#103</t>
  </si>
  <si>
    <t>Sijoitusrahasto LähiTapiola Pohjoinen Yrityskorko ESG</t>
  </si>
  <si>
    <t>09791339#070</t>
  </si>
  <si>
    <t>Sijoitusrahasto eQ LCR Korko</t>
  </si>
  <si>
    <t>07360527#059</t>
  </si>
  <si>
    <t>Front Suomi Sijoitusrahasto</t>
  </si>
  <si>
    <t>20451423#007</t>
  </si>
  <si>
    <t>Sijoitusrahasto Nordea Obligasjon Stars</t>
  </si>
  <si>
    <t>17377859#104</t>
  </si>
  <si>
    <t>Erikoissijoitusrahasto Aktia Mikro Markka</t>
  </si>
  <si>
    <t>20628401#023</t>
  </si>
  <si>
    <t>Specialplaceringsfonden Aktia Global High Yield Bond+</t>
  </si>
  <si>
    <t>06725133#037</t>
  </si>
  <si>
    <t>S-Pankki Toimitila Erikoissijoitusrahasto</t>
  </si>
  <si>
    <t>09791339#091</t>
  </si>
  <si>
    <t>OP-Vaurastuva Keskiluokka -sijoitusrahasto</t>
  </si>
  <si>
    <t>07439622#107</t>
  </si>
  <si>
    <t>Sijoitusrahasto UB LCR Korko</t>
  </si>
  <si>
    <t>14713626#024</t>
  </si>
  <si>
    <t>Finlandia Fokus Erikoissijoitusrahasto</t>
  </si>
  <si>
    <t>23245609#014</t>
  </si>
  <si>
    <t>Finlandia Korkotuotto Sijoitusrahasto</t>
  </si>
  <si>
    <t>23245609#015</t>
  </si>
  <si>
    <t>OP-Pohjoismaat Plus -erikoissijoitusrahasto</t>
  </si>
  <si>
    <t>07439622#108</t>
  </si>
  <si>
    <t>Nordic Option Oy</t>
  </si>
  <si>
    <t>08696137#001</t>
  </si>
  <si>
    <t>Midinvest Oy</t>
  </si>
  <si>
    <t>16447843#001</t>
  </si>
  <si>
    <t>Matkailurahasto Nordia Oy</t>
  </si>
  <si>
    <t>08668558#001</t>
  </si>
  <si>
    <t>Pikespo Invest Oy Ltd</t>
  </si>
  <si>
    <t>22380761#001</t>
  </si>
  <si>
    <t>Armada Mezzanine Fund II NIB Ky</t>
  </si>
  <si>
    <t>23066336#002</t>
  </si>
  <si>
    <t>CapMan Private Rahasto III Ky</t>
  </si>
  <si>
    <t>19011500#002</t>
  </si>
  <si>
    <t>Wedeco Fund III Ky</t>
  </si>
  <si>
    <t>15318791#002</t>
  </si>
  <si>
    <t>Mandatum Pääomarahasto II Ky</t>
  </si>
  <si>
    <t>07360527#073</t>
  </si>
  <si>
    <t>Holtron Capital Fund II Ky</t>
  </si>
  <si>
    <t>19790751#001</t>
  </si>
  <si>
    <t>Promotion Equity I Ky</t>
  </si>
  <si>
    <t>21283126#006</t>
  </si>
  <si>
    <t>Promotion Equity I C Ky</t>
  </si>
  <si>
    <t>21283126#005</t>
  </si>
  <si>
    <t>Promotion Equity I D Ky</t>
  </si>
  <si>
    <t>21283126#004</t>
  </si>
  <si>
    <t>Promotion Equity I E Ky</t>
  </si>
  <si>
    <t>21283126#002</t>
  </si>
  <si>
    <t>Power Fund I Ky</t>
  </si>
  <si>
    <t>17900152#001</t>
  </si>
  <si>
    <t>Teknoventure Rahasto II Ky</t>
  </si>
  <si>
    <t>08696137#004</t>
  </si>
  <si>
    <t>Ylä-Savon Pääomarahasto Oy</t>
  </si>
  <si>
    <t>22380761#004</t>
  </si>
  <si>
    <t>CapMan Private Rahasto II Ky</t>
  </si>
  <si>
    <t>07490276#012</t>
  </si>
  <si>
    <t>Aboa Venture III Ky</t>
  </si>
  <si>
    <t>08718295#002</t>
  </si>
  <si>
    <t>Jokilaaksojen Rahasto I Ky</t>
  </si>
  <si>
    <t>08696137#003</t>
  </si>
  <si>
    <t>CapMan Private Rahasto I Ky</t>
  </si>
  <si>
    <t>07490276#010</t>
  </si>
  <si>
    <t>Aboa Venture II Ky</t>
  </si>
  <si>
    <t>08718295#001</t>
  </si>
  <si>
    <t>Power Fund II Ky</t>
  </si>
  <si>
    <t>17900152#002</t>
  </si>
  <si>
    <t>Länsi-Suomen Pääomarahasto Oy</t>
  </si>
  <si>
    <t>08718295#003</t>
  </si>
  <si>
    <t>MB Equity Fund IV Ky</t>
  </si>
  <si>
    <t>21228450#001</t>
  </si>
  <si>
    <t>Sentica Terveysteknologia I Ky</t>
  </si>
  <si>
    <t>19076208#002</t>
  </si>
  <si>
    <t>Amanda IV West Ky</t>
  </si>
  <si>
    <t>07360527#075</t>
  </si>
  <si>
    <t>Teknoventure Rahasto III Ky</t>
  </si>
  <si>
    <t>08696137#005</t>
  </si>
  <si>
    <t>Profita Fund III Ky</t>
  </si>
  <si>
    <t>07678113#003</t>
  </si>
  <si>
    <t>Ilmarisen Suomi-Rahasto I Ky</t>
  </si>
  <si>
    <t>21283126#007</t>
  </si>
  <si>
    <t>Midinvest Fund II Ky</t>
  </si>
  <si>
    <t>16447843#007</t>
  </si>
  <si>
    <t>Terveysrahasto Oy</t>
  </si>
  <si>
    <t>20377374#001</t>
  </si>
  <si>
    <t>CapMan Private Access III Ky</t>
  </si>
  <si>
    <t>19011500#005</t>
  </si>
  <si>
    <t>Conor Technology Fund I Ky</t>
  </si>
  <si>
    <t>23027732#001</t>
  </si>
  <si>
    <t>Sentica Kasvurahasto II Ky</t>
  </si>
  <si>
    <t>19076208#004</t>
  </si>
  <si>
    <t>Uudenmaan Pääomarahasto Oy</t>
  </si>
  <si>
    <t>22380761#005</t>
  </si>
  <si>
    <t>Wedeco Seed Fund Ky</t>
  </si>
  <si>
    <t>15318791#003</t>
  </si>
  <si>
    <t>Midinvest Fund PH I Ky</t>
  </si>
  <si>
    <t>16447843#006</t>
  </si>
  <si>
    <t>Conor Technology Fund II Ky</t>
  </si>
  <si>
    <t>23027732#004</t>
  </si>
  <si>
    <t>Selected Private Equity Funds II Ky</t>
  </si>
  <si>
    <t>01120872#003</t>
  </si>
  <si>
    <t>Conor SPV II Ky</t>
  </si>
  <si>
    <t>23027732#003</t>
  </si>
  <si>
    <t>Folmer Equity Fund I Ky</t>
  </si>
  <si>
    <t>21520937#001</t>
  </si>
  <si>
    <t>IC Housing Feeder II Ky</t>
  </si>
  <si>
    <t>22032150#007</t>
  </si>
  <si>
    <t>Kasvurahastojen Rahasto Ky</t>
  </si>
  <si>
    <t>22245500#001</t>
  </si>
  <si>
    <t>Sentica Buyout III Co-Investment Ky</t>
  </si>
  <si>
    <t>19076208#007</t>
  </si>
  <si>
    <t>Tapiola KR III Feeder Oy</t>
  </si>
  <si>
    <t>16172050#009</t>
  </si>
  <si>
    <t>Amanda V East Ky</t>
  </si>
  <si>
    <t>07360527#068</t>
  </si>
  <si>
    <t>Quorum Asuntoturva II Ky</t>
  </si>
  <si>
    <t>21738303#001</t>
  </si>
  <si>
    <t>Wedeco Fund IV Ky</t>
  </si>
  <si>
    <t>15318791#004</t>
  </si>
  <si>
    <t>Armada Mezzanine Fund III NIB Ky</t>
  </si>
  <si>
    <t>23066336#004</t>
  </si>
  <si>
    <t>Armada Mezzanine Fund III Ky</t>
  </si>
  <si>
    <t>23066336#003</t>
  </si>
  <si>
    <t>CapMan Hotels RE Feeder Ky</t>
  </si>
  <si>
    <t>21361438#002</t>
  </si>
  <si>
    <t>CapMan Private Access IV Buyout Ky</t>
  </si>
  <si>
    <t>19011500#007</t>
  </si>
  <si>
    <t>CapMan Hotels RE Ky</t>
  </si>
  <si>
    <t>21361438#001</t>
  </si>
  <si>
    <t>Inventure Fund Ky</t>
  </si>
  <si>
    <t>19790751#002</t>
  </si>
  <si>
    <t>Vaaka Partners Buyout I D Ky</t>
  </si>
  <si>
    <t>21283126#019</t>
  </si>
  <si>
    <t>Vaaka Partners Buyout I B Ky</t>
  </si>
  <si>
    <t>21283126#018</t>
  </si>
  <si>
    <t>Vaaka Partners Buyout I Ky</t>
  </si>
  <si>
    <t>21283126#017</t>
  </si>
  <si>
    <t>Vaaka Partners Buyout I C Ky</t>
  </si>
  <si>
    <t>21283126#016</t>
  </si>
  <si>
    <t>Vaaka Partners Buyout I E Ky</t>
  </si>
  <si>
    <t>21283126#015</t>
  </si>
  <si>
    <t>Vaaka Partners Buyout I F Ky</t>
  </si>
  <si>
    <t>21283126#014</t>
  </si>
  <si>
    <t>Sentica Buyout IV Ky</t>
  </si>
  <si>
    <t>19076208#001</t>
  </si>
  <si>
    <t>Sentica Buyout IV Co-Investment Ky</t>
  </si>
  <si>
    <t>19076208#008</t>
  </si>
  <si>
    <t>Vaaka Partners Buyout Fund II Ky</t>
  </si>
  <si>
    <t>21283126#020</t>
  </si>
  <si>
    <t>IC Housing Feeder III Ky</t>
  </si>
  <si>
    <t>22032150#009</t>
  </si>
  <si>
    <t>ICECAPITAL Asunto 2012 Ky</t>
  </si>
  <si>
    <t>22032150#008</t>
  </si>
  <si>
    <t>Lifeline Ventures Fund I Ky</t>
  </si>
  <si>
    <t>24641347#001</t>
  </si>
  <si>
    <t>VisionPlus Fund I Ky</t>
  </si>
  <si>
    <t>24631421#001</t>
  </si>
  <si>
    <t>Power Fund III Ky</t>
  </si>
  <si>
    <t>17900152#003</t>
  </si>
  <si>
    <t>Conor SPV III Ky</t>
  </si>
  <si>
    <t>23027732#005</t>
  </si>
  <si>
    <t>23867854#002</t>
  </si>
  <si>
    <t>Palvelurahasto I Ky</t>
  </si>
  <si>
    <t>20377374#002</t>
  </si>
  <si>
    <t>Real Estate Fund Finland III Ky</t>
  </si>
  <si>
    <t>05991018#003</t>
  </si>
  <si>
    <t>CapMan Buyout X Fund B Ky</t>
  </si>
  <si>
    <t>25487003#001</t>
  </si>
  <si>
    <t>Capman Private Technology 2007 Ky</t>
  </si>
  <si>
    <t>19011500#006</t>
  </si>
  <si>
    <t>Capman Private Life Science IV Ky</t>
  </si>
  <si>
    <t>19011500#004</t>
  </si>
  <si>
    <t>Capman Private Buyout VIII Ky</t>
  </si>
  <si>
    <t>19011500#003</t>
  </si>
  <si>
    <t>CapMan Mezzanine IV Classic Ky</t>
  </si>
  <si>
    <t>19011500#001</t>
  </si>
  <si>
    <t>Erikoissijoitusrahasto Danske Invest Suomen Parhaat</t>
  </si>
  <si>
    <t>06716026#106</t>
  </si>
  <si>
    <t>Sijoitusrahasto Nordea Swedish Ideas Equity Fund</t>
  </si>
  <si>
    <t>17377859#105</t>
  </si>
  <si>
    <t>Erikoissijoitusrahasto HCP Quant</t>
  </si>
  <si>
    <t>21543362#003</t>
  </si>
  <si>
    <t>Sijoitusrahasto Nordea Premium Varainhoito Varovainen</t>
  </si>
  <si>
    <t>17377859#106</t>
  </si>
  <si>
    <t>S-Pankki Asunto Erikoissijoitusrahasto</t>
  </si>
  <si>
    <t>09791339#074</t>
  </si>
  <si>
    <t>Erikoissijoitusrahasto Estlander &amp; Partners Dynamic</t>
  </si>
  <si>
    <t>18300220#006</t>
  </si>
  <si>
    <t>Säästöpankki Kehittyvät Korkomarkkinat –erikoissijoitusrahasto</t>
  </si>
  <si>
    <t>17956316#019</t>
  </si>
  <si>
    <t>OP-Amerikka Arvoyhtiöt -sijoitusrahasto</t>
  </si>
  <si>
    <t>07439622#109</t>
  </si>
  <si>
    <t>OP-Kehittyvät Reunamarkkinat -sijoitusrahasto</t>
  </si>
  <si>
    <t>07439622#110</t>
  </si>
  <si>
    <t>Sijoitusrahasto Evli Osake</t>
  </si>
  <si>
    <t>07446590#125</t>
  </si>
  <si>
    <t>Placeringsfond Nordea Defensiv</t>
  </si>
  <si>
    <t>17377859#108</t>
  </si>
  <si>
    <t>Dividend House European Small Cap Sijoitusrahasto</t>
  </si>
  <si>
    <t>22954454#004</t>
  </si>
  <si>
    <t>Erikoissijoitusrahasto Gramont Equity Opportunities</t>
  </si>
  <si>
    <t>25408408#001</t>
  </si>
  <si>
    <t>Sijoitusrahasto Aktia Nordic High Yield</t>
  </si>
  <si>
    <t>20628401#024</t>
  </si>
  <si>
    <t>Armada Mezzanine Fund IV Ky</t>
  </si>
  <si>
    <t>23066336#005</t>
  </si>
  <si>
    <t>iCon-Real Estate Fund II Ky (hoitaminen ja markkinointi kielletty 17.12.2019)</t>
  </si>
  <si>
    <t>25361865#001</t>
  </si>
  <si>
    <t>MG Commodity Corporation Ky Rahasto</t>
  </si>
  <si>
    <t>10993421#001</t>
  </si>
  <si>
    <t>Kasvurahastojen Rahasto II Ky</t>
  </si>
  <si>
    <t>22245500#002</t>
  </si>
  <si>
    <t>Elite Alfred Berg Korkovarainhoito Sijoitusrahasto</t>
  </si>
  <si>
    <t>09137804#020</t>
  </si>
  <si>
    <t>Elite Alfred Berg Osakevarainhoito Sijoitusrahasto</t>
  </si>
  <si>
    <t>09137804#021</t>
  </si>
  <si>
    <t>Erikoissijoitusrahasto Nordea Navigo</t>
  </si>
  <si>
    <t>17377859#198</t>
  </si>
  <si>
    <t>OP-Eurooppa Plus -sijoitusrahasto</t>
  </si>
  <si>
    <t>07439622#112</t>
  </si>
  <si>
    <t>Ålandsbanken Norden Aktie Placeringsfond</t>
  </si>
  <si>
    <t>14713626#025</t>
  </si>
  <si>
    <t>Ålandsbanken Sverige Aktie Placeringsfond</t>
  </si>
  <si>
    <t>14713626#026</t>
  </si>
  <si>
    <t>Ålandsbanken Kina Aktie Placeringsfond</t>
  </si>
  <si>
    <t>14713626#027</t>
  </si>
  <si>
    <t>Vanaja Capital Oy</t>
  </si>
  <si>
    <t>17392207#001</t>
  </si>
  <si>
    <t>Sponsor Fund IV Ky</t>
  </si>
  <si>
    <t>07612464#001</t>
  </si>
  <si>
    <t>eQ PE Value I A Ky</t>
  </si>
  <si>
    <t>07360527#061</t>
  </si>
  <si>
    <t>eQ PE Value I B Ky</t>
  </si>
  <si>
    <t>07360527#062</t>
  </si>
  <si>
    <t>Verso Fund II Ky</t>
  </si>
  <si>
    <t>24776970#001</t>
  </si>
  <si>
    <t>Erikoissijoitusrahasto Taaleri Aktiivi</t>
  </si>
  <si>
    <t>20628401#025</t>
  </si>
  <si>
    <t>Placeringsfonden Aktia Emerging Market Equity Select</t>
  </si>
  <si>
    <t>06725133#038</t>
  </si>
  <si>
    <t>Taaleritehtaan Tuulitehdas II Syöttörahasto Ky</t>
  </si>
  <si>
    <t>22643277#001</t>
  </si>
  <si>
    <t>Sijoitusrahasto Aktia Arvo Kruunu</t>
  </si>
  <si>
    <t>20628401#026</t>
  </si>
  <si>
    <t>eQ PE VI North Ky</t>
  </si>
  <si>
    <t>07360527#063</t>
  </si>
  <si>
    <t>CCF PE Ky</t>
  </si>
  <si>
    <t>07360527#067</t>
  </si>
  <si>
    <t>Sijoitusrahasto UB Pohjois-Amerikka REIT</t>
  </si>
  <si>
    <t>21181015#022</t>
  </si>
  <si>
    <t>Placeringsfonden Aktia Europe Small Cap</t>
  </si>
  <si>
    <t>06725133#039</t>
  </si>
  <si>
    <t>Erikoissijoitusrahasto Estlander &amp; Partners Commodity</t>
  </si>
  <si>
    <t>18300220#007</t>
  </si>
  <si>
    <t>OP-Metsänomistaja -erikoissijoitusrahasto</t>
  </si>
  <si>
    <t>07439622#113</t>
  </si>
  <si>
    <t>Berlin Invest 2 Oy</t>
  </si>
  <si>
    <t>24137685#001</t>
  </si>
  <si>
    <t>Berlin Invest 3 Oy</t>
  </si>
  <si>
    <t>24137685#002</t>
  </si>
  <si>
    <t>Taaleri Tuulitehdas II Ky</t>
  </si>
  <si>
    <t>22643277#002</t>
  </si>
  <si>
    <t>Taaleritehtaan Ovitehdas Ky</t>
  </si>
  <si>
    <t>22643277#003</t>
  </si>
  <si>
    <t>Taaleritehtaan Ovitehtaan Syöttörahasto Ky</t>
  </si>
  <si>
    <t>22643277#004</t>
  </si>
  <si>
    <t>Taaleritehtaan Biotehdas I Ky</t>
  </si>
  <si>
    <t>22643277#005</t>
  </si>
  <si>
    <t>IC Residential Property Feeder I Ky</t>
  </si>
  <si>
    <t>22032150#001</t>
  </si>
  <si>
    <t>ICECAPITAL Residential Property Fund I Ky</t>
  </si>
  <si>
    <t>22032150#002</t>
  </si>
  <si>
    <t>Elite Alfred Berg Vastuulliset sijoitukset Erikoissijoitusrahasto</t>
  </si>
  <si>
    <t>21793994#028</t>
  </si>
  <si>
    <t>Access Capital Private Debt Fund II Ky</t>
  </si>
  <si>
    <t>01120872#004</t>
  </si>
  <si>
    <t>Elite Aurinkotuotto I Ky</t>
  </si>
  <si>
    <t>07446590#172</t>
  </si>
  <si>
    <t>ICECAPITAL Asunto 2015 Ky</t>
  </si>
  <si>
    <t>22032150#003</t>
  </si>
  <si>
    <t>Karhu Asuntorahasto I Ky</t>
  </si>
  <si>
    <t>25298149#002</t>
  </si>
  <si>
    <t>Karhu Asuntorahasto II Ky</t>
  </si>
  <si>
    <t>25298149#003</t>
  </si>
  <si>
    <t>Karhu Asuntorahasto III Ky</t>
  </si>
  <si>
    <t>25298149#004</t>
  </si>
  <si>
    <t>Vendep Startup Rahasto I Ky</t>
  </si>
  <si>
    <t>25583054#001</t>
  </si>
  <si>
    <t>Verso Spin-off Fund I Ky</t>
  </si>
  <si>
    <t>24776970#002</t>
  </si>
  <si>
    <t>Royal Majestics Fashion &amp; Design Fund I Ky</t>
  </si>
  <si>
    <t>23380405#001</t>
  </si>
  <si>
    <t>Erikoissijoitusrahasto eQ Liikekiinteistöt</t>
  </si>
  <si>
    <t>07360527#070</t>
  </si>
  <si>
    <t>CCF PE II Ky</t>
  </si>
  <si>
    <t>07360527#071</t>
  </si>
  <si>
    <t>OP-Private Korkostrategia -erikoissijoitusrahasto</t>
  </si>
  <si>
    <t>07439622#114</t>
  </si>
  <si>
    <t>OP-Private Strategia 25 -erikoissijoitusrahasto</t>
  </si>
  <si>
    <t>07439622#115</t>
  </si>
  <si>
    <t>OP-Private Strategia 50 -erikoissijoitusrahasto</t>
  </si>
  <si>
    <t>07439622#116</t>
  </si>
  <si>
    <t>OP-Private Strategia 75 -erikoissijoitusrahasto</t>
  </si>
  <si>
    <t>07439622#117</t>
  </si>
  <si>
    <t>OP-Private Osakestrategia -erikoissijoitusrahasto</t>
  </si>
  <si>
    <t>07439622#118</t>
  </si>
  <si>
    <t>Sijoitusrahasto Nordea Global Equity Allocation</t>
  </si>
  <si>
    <t>17377859#200</t>
  </si>
  <si>
    <t>Sijoitusrahasto Nordea Equity Opportunities</t>
  </si>
  <si>
    <t>17377859#201</t>
  </si>
  <si>
    <t>Sijoitusrahasto Nordea Fixed Income Credit Opportunities</t>
  </si>
  <si>
    <t>17377859#202</t>
  </si>
  <si>
    <t>Asuntosalkku Eesti Oy</t>
  </si>
  <si>
    <t>25483547#001</t>
  </si>
  <si>
    <t>Asuntoturva Oy</t>
  </si>
  <si>
    <t>24510689#001</t>
  </si>
  <si>
    <t>OP Pension Private Equity Funds Ky</t>
  </si>
  <si>
    <t>01120872#005</t>
  </si>
  <si>
    <t>Rival Turku Oy</t>
  </si>
  <si>
    <t>22895490#001</t>
  </si>
  <si>
    <t>Rival Invest Oy</t>
  </si>
  <si>
    <t>22895490#002</t>
  </si>
  <si>
    <t>Mediatonic Fund I Ky</t>
  </si>
  <si>
    <t>22886797#001</t>
  </si>
  <si>
    <t>Kasvurahasto II:n Piensijoittajarahasto Ky</t>
  </si>
  <si>
    <t>19076208#005</t>
  </si>
  <si>
    <t>Taaleri Afrikka Rahaston Syöttörahasto Ky</t>
  </si>
  <si>
    <t>22643277#007</t>
  </si>
  <si>
    <t>Taaleritehtaan Tuulitehdas I Syöttörahasto Ky</t>
  </si>
  <si>
    <t>22643277#008</t>
  </si>
  <si>
    <t>Taaleri Metsärahasto III Syöttörahasto Ky</t>
  </si>
  <si>
    <t>22643277#009</t>
  </si>
  <si>
    <t>Taaleritehtaan Asuntorahasto VI Syöttörahasto Ky</t>
  </si>
  <si>
    <t>22643277#010</t>
  </si>
  <si>
    <t>Taaleritehtaan Tuulitehdas I Ky</t>
  </si>
  <si>
    <t>22643277#011</t>
  </si>
  <si>
    <t>Taaleritehtaan Biotehdas I Syöttörahasto Ky</t>
  </si>
  <si>
    <t>22643277#012</t>
  </si>
  <si>
    <t>Taaleritehtaan Oaktree Syöttörahasto Ky</t>
  </si>
  <si>
    <t>22643277#013</t>
  </si>
  <si>
    <t>Taaleritehtaan Metsärahasto I Ky</t>
  </si>
  <si>
    <t>22643277#014</t>
  </si>
  <si>
    <t>Taaleri Afrikka Rahasto I Ky</t>
  </si>
  <si>
    <t>22643277#015</t>
  </si>
  <si>
    <t>Taaleritehtaan Linnainmaankulma Ky</t>
  </si>
  <si>
    <t>22643277#016</t>
  </si>
  <si>
    <t>Taaleritehtaan Tuulitehdas II Syöttörahasto II Ky</t>
  </si>
  <si>
    <t>22643277#017</t>
  </si>
  <si>
    <t>Taaleri Asuntorahasto VI Ky</t>
  </si>
  <si>
    <t>22643277#018</t>
  </si>
  <si>
    <t>Taaleritehtaan Metsärahasto I Syöttörahasto Ky</t>
  </si>
  <si>
    <t>22643277#019</t>
  </si>
  <si>
    <t>Taaleritehtaan Porin Asuntorahasto II Ky</t>
  </si>
  <si>
    <t>22643277#020</t>
  </si>
  <si>
    <t>Taaleritehtaan Rauman Asuntorahasto IV Ky</t>
  </si>
  <si>
    <t>22643277#021</t>
  </si>
  <si>
    <t>Canelco Capital Oy (vanha)</t>
  </si>
  <si>
    <t>22380761#006</t>
  </si>
  <si>
    <t>Essedel Russia Opportunity Fund Ky</t>
  </si>
  <si>
    <t>22307951#001</t>
  </si>
  <si>
    <t>Juuri Rahasto I Ky</t>
  </si>
  <si>
    <t>26391679#001</t>
  </si>
  <si>
    <t>CapMan Endowment Nordic Real Estate Ky</t>
  </si>
  <si>
    <t>25487062#001</t>
  </si>
  <si>
    <t>WasaGroup Fund I Ky</t>
  </si>
  <si>
    <t>25416942#001</t>
  </si>
  <si>
    <t>EW1 Venture Fund Ky</t>
  </si>
  <si>
    <t>25287175#001</t>
  </si>
  <si>
    <t>LähiTapiola KR PK2 Ky</t>
  </si>
  <si>
    <t>16172050#008</t>
  </si>
  <si>
    <t>Trevian Care I Ky</t>
  </si>
  <si>
    <t>25075439#001</t>
  </si>
  <si>
    <t>Trevian Retail II Sub Fund I Ky</t>
  </si>
  <si>
    <t>25075439#002</t>
  </si>
  <si>
    <t>Trevian Care II Ky</t>
  </si>
  <si>
    <t>25075439#003</t>
  </si>
  <si>
    <t>Trevian Retail I Ky</t>
  </si>
  <si>
    <t>25075439#004</t>
  </si>
  <si>
    <t>OP Toimitilakiinteistö Syöttörahasto I Ky</t>
  </si>
  <si>
    <t>05991018#004</t>
  </si>
  <si>
    <t>FIM Asuntorahasto I Ky</t>
  </si>
  <si>
    <t>17710076#001</t>
  </si>
  <si>
    <t>Inventure Fund II Ky</t>
  </si>
  <si>
    <t>19790751#003</t>
  </si>
  <si>
    <t>Northern Startup Fund II Ky</t>
  </si>
  <si>
    <t>24764259#001</t>
  </si>
  <si>
    <t>Northern Startup Fund I Ky</t>
  </si>
  <si>
    <t>24764259#002</t>
  </si>
  <si>
    <t>Sentica Buyout IV Feeder Fund Ky</t>
  </si>
  <si>
    <t>19076208#009</t>
  </si>
  <si>
    <t>USA Asunnot I Oy</t>
  </si>
  <si>
    <t>24597710#001</t>
  </si>
  <si>
    <t>Obsido Property Holding Oy</t>
  </si>
  <si>
    <t>24489795#001</t>
  </si>
  <si>
    <t>OP Toimitilakiinteistö Ky</t>
  </si>
  <si>
    <t>05991018#005</t>
  </si>
  <si>
    <t>Obsido Real Estate Holding Oy</t>
  </si>
  <si>
    <t>24489795#002</t>
  </si>
  <si>
    <t>West Asunnot Oy</t>
  </si>
  <si>
    <t>24489795#003</t>
  </si>
  <si>
    <t>LPR Holding Oy</t>
  </si>
  <si>
    <t>24489795#004</t>
  </si>
  <si>
    <t>Nurture Real Estate Holding Oy</t>
  </si>
  <si>
    <t>24489795#005</t>
  </si>
  <si>
    <t>Nurture Invest Holding Oy</t>
  </si>
  <si>
    <t>24489795#006</t>
  </si>
  <si>
    <t>LTT Holding Oy</t>
  </si>
  <si>
    <t>24489795#007</t>
  </si>
  <si>
    <t>Nurture Property Holding Oy</t>
  </si>
  <si>
    <t>24489795#008</t>
  </si>
  <si>
    <t>Nurture Capital Holding Oy</t>
  </si>
  <si>
    <t>24489795#009</t>
  </si>
  <si>
    <t>Gorilla Kiihdytys 2012 Ky</t>
  </si>
  <si>
    <t>24478471#001</t>
  </si>
  <si>
    <t>OP Asuntorahasto Syöttörahasto II Ky</t>
  </si>
  <si>
    <t>05991018#006</t>
  </si>
  <si>
    <t>Open Ocean Fund Two Ky</t>
  </si>
  <si>
    <t>22934285#001</t>
  </si>
  <si>
    <t>Open Ocean Fund Three Ky</t>
  </si>
  <si>
    <t>22934269#001</t>
  </si>
  <si>
    <t>OP Asuntorahasto Syöttörahasto I Ky</t>
  </si>
  <si>
    <t>05991018#007</t>
  </si>
  <si>
    <t>OP Asuntorahasto I Ky</t>
  </si>
  <si>
    <t>05991018#008</t>
  </si>
  <si>
    <t>Real Estate Debt and Secondaries Ky</t>
  </si>
  <si>
    <t>05991018#009</t>
  </si>
  <si>
    <t>ASM Properties Ky</t>
  </si>
  <si>
    <t>22148364#001</t>
  </si>
  <si>
    <t>SN Properties Ky</t>
  </si>
  <si>
    <t>22148364#002</t>
  </si>
  <si>
    <t>Niittymaa Oy</t>
  </si>
  <si>
    <t>22148364#003</t>
  </si>
  <si>
    <t>ICECAPITAL Housing Fund III Ky</t>
  </si>
  <si>
    <t>22032150#010</t>
  </si>
  <si>
    <t>Terveysteknologia I Henkilöstö Ky</t>
  </si>
  <si>
    <t>19076208#003</t>
  </si>
  <si>
    <t>Quorum Rakennuttajarahasto II Ky</t>
  </si>
  <si>
    <t>19723081#006</t>
  </si>
  <si>
    <t>Selected Mezzanine Investment I Ky</t>
  </si>
  <si>
    <t>01120872#006</t>
  </si>
  <si>
    <t>Quorum Rakennuttajarahasto I Ky</t>
  </si>
  <si>
    <t>19723081#008</t>
  </si>
  <si>
    <t>EPI Baltic I Oy</t>
  </si>
  <si>
    <t>19331184#002</t>
  </si>
  <si>
    <t>MultiFire</t>
  </si>
  <si>
    <t>19208258#001</t>
  </si>
  <si>
    <t>Maneq Fund 2004 Ky</t>
  </si>
  <si>
    <t>19011500#008</t>
  </si>
  <si>
    <t>TKPM Asuntorahasto I Ky</t>
  </si>
  <si>
    <t>18212730#001</t>
  </si>
  <si>
    <t>LähiTapiola Asuntorahasto Prime Feeder Oy</t>
  </si>
  <si>
    <t>16172050#001</t>
  </si>
  <si>
    <t>TuuliTapiola Ky</t>
  </si>
  <si>
    <t>16172050#002</t>
  </si>
  <si>
    <t>LähiTapiola Asuntorahasto Prime Ky</t>
  </si>
  <si>
    <t>16172050#003</t>
  </si>
  <si>
    <t>Rival 10 Invest Oy</t>
  </si>
  <si>
    <t>16105296#001</t>
  </si>
  <si>
    <t>Selected Private Equity Investment II Ky</t>
  </si>
  <si>
    <t>01120872#007</t>
  </si>
  <si>
    <t>Rival VIII Invest Oy</t>
  </si>
  <si>
    <t>16105296#002</t>
  </si>
  <si>
    <t>Rival XIV Invest Oy</t>
  </si>
  <si>
    <t>16105296#003</t>
  </si>
  <si>
    <t>Rival XV Invest Oy</t>
  </si>
  <si>
    <t>16105296#004</t>
  </si>
  <si>
    <t>Ursula Invest Oy</t>
  </si>
  <si>
    <t>16105296#005</t>
  </si>
  <si>
    <t>Rival IX Invest Oy</t>
  </si>
  <si>
    <t>16105296#006</t>
  </si>
  <si>
    <t>Rival XII Invest Oy</t>
  </si>
  <si>
    <t>16105296#007</t>
  </si>
  <si>
    <t>Rival XIII Invest Oy</t>
  </si>
  <si>
    <t>16105296#008</t>
  </si>
  <si>
    <t>Rival VII Invest Oy</t>
  </si>
  <si>
    <t>16105296#009</t>
  </si>
  <si>
    <t>Rival VI Invest Oy</t>
  </si>
  <si>
    <t>22895490#003</t>
  </si>
  <si>
    <t>BPT Healthcare II Ky</t>
  </si>
  <si>
    <t>25870598#001</t>
  </si>
  <si>
    <t>NegaWatt Energiatehokkuusrahasto 1 Ky</t>
  </si>
  <si>
    <t>25755274#001</t>
  </si>
  <si>
    <t>UB Nordic Forest Fund I Ky</t>
  </si>
  <si>
    <t>21181015#027</t>
  </si>
  <si>
    <t>CapMan Endowment Buyout X Ky</t>
  </si>
  <si>
    <t>25487062#002</t>
  </si>
  <si>
    <t>DEAS Property Fund Finland I Feeder Ky</t>
  </si>
  <si>
    <t>16044745#002</t>
  </si>
  <si>
    <t>Finnish Residential Zoning Club Ky</t>
  </si>
  <si>
    <t>16044745#004</t>
  </si>
  <si>
    <t>Amberia Ky</t>
  </si>
  <si>
    <t>16044745#005</t>
  </si>
  <si>
    <t>PAM USA Fund I Ky</t>
  </si>
  <si>
    <t>07439622#119</t>
  </si>
  <si>
    <t>Berlin Invest Oy</t>
  </si>
  <si>
    <t>24137685#003</t>
  </si>
  <si>
    <t>Asuntoverstas Attic Fund I Ky</t>
  </si>
  <si>
    <t>25779575#001</t>
  </si>
  <si>
    <t>Lifeline Ventures Fund II Ky</t>
  </si>
  <si>
    <t>23043812#001</t>
  </si>
  <si>
    <t>OP-Vähähiilinen Maailma -sijoitusrahasto</t>
  </si>
  <si>
    <t>07439622#120</t>
  </si>
  <si>
    <t>Front Maltillinen Sijoitusrahasto</t>
  </si>
  <si>
    <t>20451423#010</t>
  </si>
  <si>
    <t>FIM Asunto Holding I Ky</t>
  </si>
  <si>
    <t>17710076#002</t>
  </si>
  <si>
    <t>FIM Asunto Holding II Ky</t>
  </si>
  <si>
    <t>17710076#003</t>
  </si>
  <si>
    <t>FIM Asunto Holding III Ky</t>
  </si>
  <si>
    <t>17710076#004</t>
  </si>
  <si>
    <t>FIM Asunto Holding IV Ky</t>
  </si>
  <si>
    <t>17710076#005</t>
  </si>
  <si>
    <t>eQ PE VII US Ky</t>
  </si>
  <si>
    <t>07360527#076</t>
  </si>
  <si>
    <t>eQ PE VII US Feeder I Ky</t>
  </si>
  <si>
    <t>07360527#077</t>
  </si>
  <si>
    <t>eQ PE VII US Feeder II Ky</t>
  </si>
  <si>
    <t>07360527#078</t>
  </si>
  <si>
    <t>21793994#029</t>
  </si>
  <si>
    <t>BF Private Credit Fund I Ky</t>
  </si>
  <si>
    <t>24621135#002</t>
  </si>
  <si>
    <t>BF Private Credit Feeder I Ky</t>
  </si>
  <si>
    <t>24621135#003</t>
  </si>
  <si>
    <t>Bocap SME Achievers Fund I Ky</t>
  </si>
  <si>
    <t>24621135#001</t>
  </si>
  <si>
    <t>Access Co-Investment Fund Buy-Out Europe Syöttörahasto Ky</t>
  </si>
  <si>
    <t>01120872#008</t>
  </si>
  <si>
    <t>Sijoitusrahasto Evli Osakefaktori Eurooppa</t>
  </si>
  <si>
    <t>07446590#073</t>
  </si>
  <si>
    <t>OP-Yrityslaina Amerikka -sijoitusrahasto</t>
  </si>
  <si>
    <t>07439622#122</t>
  </si>
  <si>
    <t>UB Yritysrahoitusrahasto I Ky</t>
  </si>
  <si>
    <t>19723081#009</t>
  </si>
  <si>
    <t>ICECAPITAL Housing Fund IV Ky</t>
  </si>
  <si>
    <t>22032150#011</t>
  </si>
  <si>
    <t>IC Housing Feeder IV Ky</t>
  </si>
  <si>
    <t>22032150#012</t>
  </si>
  <si>
    <t>BPT Healthcare II Feeder C Ky</t>
  </si>
  <si>
    <t>25870598#002</t>
  </si>
  <si>
    <t>Sijoitusrahasto Evli GEM</t>
  </si>
  <si>
    <t>07446590#074</t>
  </si>
  <si>
    <t>FIM Tontti Holding I Ky</t>
  </si>
  <si>
    <t>09791339#096</t>
  </si>
  <si>
    <t>FIM Tonttirahasto I Ky</t>
  </si>
  <si>
    <t>09791339#097</t>
  </si>
  <si>
    <t>Elite Aurinkotuotto II Ky</t>
  </si>
  <si>
    <t>07446590#173</t>
  </si>
  <si>
    <t>Taaleri Tonttirahasto Ky</t>
  </si>
  <si>
    <t>22643277#022</t>
  </si>
  <si>
    <t>Taaleri Tonttirahaston Syöttörahasto Ky</t>
  </si>
  <si>
    <t>22643277#023</t>
  </si>
  <si>
    <t>LähiTapiola Asuntosijoitus Suomi Ky</t>
  </si>
  <si>
    <t>16172050#004</t>
  </si>
  <si>
    <t>NegaWatt Energiatehokkuusrahasto 2 Ky</t>
  </si>
  <si>
    <t>25755274#002</t>
  </si>
  <si>
    <t>Epiqus Työhyvinvointi I Ky</t>
  </si>
  <si>
    <t>26536188#001</t>
  </si>
  <si>
    <t>Certior Credit Opportunities Fund Ky</t>
  </si>
  <si>
    <t>24169855#001</t>
  </si>
  <si>
    <t>IPR. VC Fund I Ky</t>
  </si>
  <si>
    <t>26630385#001</t>
  </si>
  <si>
    <t>Courage Ventures Seed 1 Ky</t>
  </si>
  <si>
    <t>26840569#001</t>
  </si>
  <si>
    <t>Barcelona Invest Oy</t>
  </si>
  <si>
    <t>26773685#001</t>
  </si>
  <si>
    <t>Samla Toimitilat Ky</t>
  </si>
  <si>
    <t>26842943#001</t>
  </si>
  <si>
    <t>Taaleri Kiinteistökehitys A-Sarja Ky</t>
  </si>
  <si>
    <t>22643277#024</t>
  </si>
  <si>
    <t>Taaleri Kiinteistökehitys B-Sarja Ky</t>
  </si>
  <si>
    <t>22643277#025</t>
  </si>
  <si>
    <t>Taaleri Kiinteistökehitysrahasto Ky</t>
  </si>
  <si>
    <t>22643277#026</t>
  </si>
  <si>
    <t>MedTECH Rahasto Pre-Exit Ky</t>
  </si>
  <si>
    <t>20831856#002</t>
  </si>
  <si>
    <t>Posse Fund I Ky</t>
  </si>
  <si>
    <t>26593748#001</t>
  </si>
  <si>
    <t>Kasvattajarahasto Ky</t>
  </si>
  <si>
    <t>08718295#004</t>
  </si>
  <si>
    <t>Open Ocean Fund 2015 Ky</t>
  </si>
  <si>
    <t>26638993#001</t>
  </si>
  <si>
    <t>Specialplaceringsfonden Aktia SLS</t>
  </si>
  <si>
    <t>06725133#040</t>
  </si>
  <si>
    <t>WasaGroup Fund III Ky</t>
  </si>
  <si>
    <t>25416942#002</t>
  </si>
  <si>
    <t>WasaGroup Fund II Ky</t>
  </si>
  <si>
    <t>25416942#003</t>
  </si>
  <si>
    <t>Taaleri Kiinteistökehitys C-Sarja Ky</t>
  </si>
  <si>
    <t>22643277#027</t>
  </si>
  <si>
    <t>Ålandsbanken Kort Ränta SEK Placeringsfond</t>
  </si>
  <si>
    <t>14713626#028</t>
  </si>
  <si>
    <t>Ålandsbanken Obligation Sverige Placeringsfond</t>
  </si>
  <si>
    <t>14713626#029</t>
  </si>
  <si>
    <t>Sijoitusrahasto LähiTapiola Pohjoismaat ESG</t>
  </si>
  <si>
    <t>09791339#076</t>
  </si>
  <si>
    <t>EAI Residential I Ky</t>
  </si>
  <si>
    <t>07446590#084</t>
  </si>
  <si>
    <t>EAI Residential Feeder Fund I Ky</t>
  </si>
  <si>
    <t>07446590#085</t>
  </si>
  <si>
    <t>MB Equity Fund V Ky</t>
  </si>
  <si>
    <t>26997152#001</t>
  </si>
  <si>
    <t>Superhero Venture Fund 2015 Ky</t>
  </si>
  <si>
    <t>26963091#001</t>
  </si>
  <si>
    <t>Avara Asuinkiinteistörahasto I Ky</t>
  </si>
  <si>
    <t>21539603#001</t>
  </si>
  <si>
    <t>Rival Alternative Invest Ky</t>
  </si>
  <si>
    <t>16105296#010</t>
  </si>
  <si>
    <t>Erikoissijoitusrahasto UB Metsä</t>
  </si>
  <si>
    <t>21181015#023</t>
  </si>
  <si>
    <t>OP-Eurooppa Pienyhtiöt -sijoitusrahasto</t>
  </si>
  <si>
    <t>07439622#123</t>
  </si>
  <si>
    <t>Nest Capital 2015 Fund Ky</t>
  </si>
  <si>
    <t>26794734#001</t>
  </si>
  <si>
    <t>Erikoissijoitusrahasto Evli Vuokratuotto II</t>
  </si>
  <si>
    <t>07446590#134</t>
  </si>
  <si>
    <t>Sijoitusrahasto UB Korko Plus</t>
  </si>
  <si>
    <t>21181015#024</t>
  </si>
  <si>
    <t>Erikoissijoitusrahasto Aktia Mikro Rein</t>
  </si>
  <si>
    <t>20628401#027</t>
  </si>
  <si>
    <t>ICON Real Estate Fund III - Suurpelto Ky (hoitaminen ja markkinointi kielletty 17.12.2019)</t>
  </si>
  <si>
    <t>25361865#002</t>
  </si>
  <si>
    <t>Midinvest Fund III Ky</t>
  </si>
  <si>
    <t>16447843#008</t>
  </si>
  <si>
    <t>Certior Credit Investments I Ky</t>
  </si>
  <si>
    <t>24169855#002</t>
  </si>
  <si>
    <t>eQ PE VIII North Ky</t>
  </si>
  <si>
    <t>07360527#079</t>
  </si>
  <si>
    <t>Placeringsfonden Aktia Emerging Market Local Currency Frontier Bond+</t>
  </si>
  <si>
    <t>06725133#041</t>
  </si>
  <si>
    <t>BPT Healthcare II Feeder A Ky</t>
  </si>
  <si>
    <t>25870598#003</t>
  </si>
  <si>
    <t>BPT Healthcare II Feeder B Ky</t>
  </si>
  <si>
    <t>25870598#004</t>
  </si>
  <si>
    <t>OP-Private Tavoitetuotto -erikoissijoitusrahasto</t>
  </si>
  <si>
    <t>07439622#124</t>
  </si>
  <si>
    <t>OP-Private Tavoitetuotto Plus -erikoissijoitusrahasto</t>
  </si>
  <si>
    <t>07439622#125</t>
  </si>
  <si>
    <t>Real Estate Fund of Funds V Ky</t>
  </si>
  <si>
    <t>05991018#010</t>
  </si>
  <si>
    <t>OP Tonttirahasto Ky</t>
  </si>
  <si>
    <t>05991018#011</t>
  </si>
  <si>
    <t>Sijoitusrahasto Zenito Silver and Gold</t>
  </si>
  <si>
    <t>07446590#126</t>
  </si>
  <si>
    <t>Korona Fund III Ky</t>
  </si>
  <si>
    <t>20377374#003</t>
  </si>
  <si>
    <t>ICON Real Estate Fund II - Syöttörahasto I Ky</t>
  </si>
  <si>
    <t>25361865#003</t>
  </si>
  <si>
    <t>Lifeline Ventures Fund III Ky</t>
  </si>
  <si>
    <t>24641398#001</t>
  </si>
  <si>
    <t>Erikoissijoitusrahasto UB Pohjoismaiset Liikekiinteistöt</t>
  </si>
  <si>
    <t>21181015#026</t>
  </si>
  <si>
    <t>Ålandsbanken Tomtfond Specialplaceringsfond</t>
  </si>
  <si>
    <t>14713626#030</t>
  </si>
  <si>
    <t>LähiTapiola Asuntosijoitus Suomi Feeder Oy</t>
  </si>
  <si>
    <t>16172050#010</t>
  </si>
  <si>
    <t>Erikoissijoitusrahasto Aktia Varainhoitosalkku+ Tasapainoinen</t>
  </si>
  <si>
    <t>20628401#028</t>
  </si>
  <si>
    <t>Erikoissijoitusrahasto Aktia Varainhoitosalkku+ Tuottohakuinen</t>
  </si>
  <si>
    <t>20628401#029</t>
  </si>
  <si>
    <t>Erikoissijoitusrahasto Aktia Varainhoitosalkku+ Maltillinen</t>
  </si>
  <si>
    <t>20628401#030</t>
  </si>
  <si>
    <t>Erikoissijoitusrahasto eQ Mandaatti</t>
  </si>
  <si>
    <t>07360527#081</t>
  </si>
  <si>
    <t>Samla Pienyritykset Ky</t>
  </si>
  <si>
    <t>26842943#002</t>
  </si>
  <si>
    <t>06725133#042</t>
  </si>
  <si>
    <t>Elite Kiinteistökehitysrahasto I Syöttörahasto II Ky</t>
  </si>
  <si>
    <t>07446590#137</t>
  </si>
  <si>
    <t>Sijoitusrahasto Titanium Osake</t>
  </si>
  <si>
    <t>22888047#003</t>
  </si>
  <si>
    <t>Ålandsbanken Allokeringsportfölj Hög Risk Placeringsfond</t>
  </si>
  <si>
    <t>14713626#031</t>
  </si>
  <si>
    <t>Ålandsbanken Allokeringsportfölj Låg Risk Placeringsfond</t>
  </si>
  <si>
    <t>14713626#032</t>
  </si>
  <si>
    <t>Säästöpankki Kiinteistöosake Eurooppa -sijoitusrahasto</t>
  </si>
  <si>
    <t>17956316#022</t>
  </si>
  <si>
    <t>Taaleri Kiertotalous Sijoittajat Ky</t>
  </si>
  <si>
    <t>22643277#028</t>
  </si>
  <si>
    <t>Taaleri Kiertotalous Ky</t>
  </si>
  <si>
    <t>22643277#029</t>
  </si>
  <si>
    <t>Taaleri Kiertotalous Omistajat Ky</t>
  </si>
  <si>
    <t>22643277#030</t>
  </si>
  <si>
    <t>Northern Startup Fund III Ky</t>
  </si>
  <si>
    <t>24764259#003</t>
  </si>
  <si>
    <t>Elite Alfred Berg Optimi Erikoissijoitusrahasto</t>
  </si>
  <si>
    <t>21793994#038</t>
  </si>
  <si>
    <t>Erikoissijoitusrahasto Titanium Asunto</t>
  </si>
  <si>
    <t>22888047#004</t>
  </si>
  <si>
    <t>Erikoissijoitusrahasto eQ PE TSR 2016</t>
  </si>
  <si>
    <t>07360527#082</t>
  </si>
  <si>
    <t>Sijoitusrahasto Seligson &amp; Co Tropico LatAm</t>
  </si>
  <si>
    <t>10932901#033</t>
  </si>
  <si>
    <t>Finlandia 2050 Sijoitusrahasto</t>
  </si>
  <si>
    <t>23245609#016</t>
  </si>
  <si>
    <t>Saari I Ky</t>
  </si>
  <si>
    <t>27268664#001</t>
  </si>
  <si>
    <t>Erikoissijoitusrahasto eQ PE VIII North Feeder</t>
  </si>
  <si>
    <t>07360527#083</t>
  </si>
  <si>
    <t>EAI Residential Feeder Fund II Ky</t>
  </si>
  <si>
    <t>07446590#086</t>
  </si>
  <si>
    <t>Finlandia Laatuyhtiöt Sijoitusrahasto</t>
  </si>
  <si>
    <t>23245609#017</t>
  </si>
  <si>
    <t>Intera Fund III Ky</t>
  </si>
  <si>
    <t>23867854#003</t>
  </si>
  <si>
    <t>EAI Solar I Ky</t>
  </si>
  <si>
    <t>26677482#004</t>
  </si>
  <si>
    <t>Erikoissijoitusrahasto eQ Metsä</t>
  </si>
  <si>
    <t>07360527#084</t>
  </si>
  <si>
    <t>Front Signal Erikoissijoitusrahasto</t>
  </si>
  <si>
    <t>20451423#011</t>
  </si>
  <si>
    <t>Taaleri Tuulitehdas III Ky</t>
  </si>
  <si>
    <t>22643277#031</t>
  </si>
  <si>
    <t>Taaleri Tuulitehdas III Syöttörahasto Ky</t>
  </si>
  <si>
    <t>22643277#032</t>
  </si>
  <si>
    <t>Taaleri Tuulitehdas III Sijoittajat Ky</t>
  </si>
  <si>
    <t>22643277#034</t>
  </si>
  <si>
    <t>Nest Capital Endowment Ky</t>
  </si>
  <si>
    <t>25487062#003</t>
  </si>
  <si>
    <t>Erikoissijoitusrahasto eQ PE SLS</t>
  </si>
  <si>
    <t>07360527#085</t>
  </si>
  <si>
    <t>Sijoitusrahasto Evli Osakefaktori USA</t>
  </si>
  <si>
    <t>07446590#076</t>
  </si>
  <si>
    <t>OP-Kestävä Maailma -sijoitusrahasto</t>
  </si>
  <si>
    <t>07439622#126</t>
  </si>
  <si>
    <t>UB Asuntorahasto I Ky</t>
  </si>
  <si>
    <t>21181015#029</t>
  </si>
  <si>
    <t>Innovestor Kasvurahasto I Ky</t>
  </si>
  <si>
    <t>27097164#001</t>
  </si>
  <si>
    <t>Sijoitusrahasto Nordea Allokeringsfond</t>
  </si>
  <si>
    <t>17377859#204</t>
  </si>
  <si>
    <t>Sijoitusrahasto Nordea Vastuullinen Valinta Kasvu</t>
  </si>
  <si>
    <t>17377859#205</t>
  </si>
  <si>
    <t>Sijoitusrahasto Nordea Vastuullinen Valinta Maltti</t>
  </si>
  <si>
    <t>17377859#206</t>
  </si>
  <si>
    <t>Sijoitusrahasto Nordea Vastuullinen Valinta Tasapaino</t>
  </si>
  <si>
    <t>17377859#207</t>
  </si>
  <si>
    <t>Bocap SME Achievers Fund II Ky</t>
  </si>
  <si>
    <t>27610685#001</t>
  </si>
  <si>
    <t>Premico Asuntorahasto Ky</t>
  </si>
  <si>
    <t>27000385#001</t>
  </si>
  <si>
    <t>FinCap Fund I Ky</t>
  </si>
  <si>
    <t>27526045#001</t>
  </si>
  <si>
    <t>Rival Alternative Invest II Ky</t>
  </si>
  <si>
    <t>16105296#011</t>
  </si>
  <si>
    <t>Butterfly Venture Fund III Ky</t>
  </si>
  <si>
    <t>24764259#004</t>
  </si>
  <si>
    <t>Sijoitusrahasto eQ Maailma</t>
  </si>
  <si>
    <t>07360527#110</t>
  </si>
  <si>
    <t>Specialplaceringsfonden Aktia Alternative</t>
  </si>
  <si>
    <t>06725133#043</t>
  </si>
  <si>
    <t>Erikoissijoitusrahasto Evli Q7</t>
  </si>
  <si>
    <t>07446590#077</t>
  </si>
  <si>
    <t>EAI Solar Feeder Fund I Ky</t>
  </si>
  <si>
    <t>26677482#005</t>
  </si>
  <si>
    <t>Sijoitusrahasto lnvestors Global Aristocrats</t>
  </si>
  <si>
    <t>22954454#005</t>
  </si>
  <si>
    <t>Sijoitusrahasto Nordea Discretionary Global Equity</t>
  </si>
  <si>
    <t>17377859#208</t>
  </si>
  <si>
    <t>Sijoitusrahasto Nordea Discretionary Asset Allocation</t>
  </si>
  <si>
    <t>17377859#209</t>
  </si>
  <si>
    <t>Sijoitusrahasto Nordea Discretionary Corporate Credit</t>
  </si>
  <si>
    <t>17377859#210</t>
  </si>
  <si>
    <t>Sijoitusrahasto Nordea Discretionary Swedish Equity</t>
  </si>
  <si>
    <t>17377859#211</t>
  </si>
  <si>
    <t>LähiTapiola Asuntosijoitus Suomi Feeder II Oy</t>
  </si>
  <si>
    <t>16172050#011</t>
  </si>
  <si>
    <t>Icebreaker Fund I Ky</t>
  </si>
  <si>
    <t>27605923#001</t>
  </si>
  <si>
    <t>Finesco Kasvurahasto Ky</t>
  </si>
  <si>
    <t>27047837#001</t>
  </si>
  <si>
    <t>Sveitsi Kiinteistörahasto Ky</t>
  </si>
  <si>
    <t>27047837#002</t>
  </si>
  <si>
    <t>Finhoiva Ky</t>
  </si>
  <si>
    <t>27526045#002</t>
  </si>
  <si>
    <t>Obsido Yritysrahasto I Ky</t>
  </si>
  <si>
    <t>24489795#010</t>
  </si>
  <si>
    <t>Sentica Buyout V Ky</t>
  </si>
  <si>
    <t>19076208#010</t>
  </si>
  <si>
    <t>Korona Fund III SR Ky</t>
  </si>
  <si>
    <t>20377374#004</t>
  </si>
  <si>
    <t>Epiqus Kotouttaminen I Ky</t>
  </si>
  <si>
    <t>26536188#002</t>
  </si>
  <si>
    <t>Placeringsfonden Aktia Nordic Micro Cap</t>
  </si>
  <si>
    <t>06725133#044</t>
  </si>
  <si>
    <t>S-Pankki Metsä Erikoissijoitusrahasto</t>
  </si>
  <si>
    <t>09791339#077</t>
  </si>
  <si>
    <t>EAKR-Aloitusrahasto Oy</t>
  </si>
  <si>
    <t>08425222#003</t>
  </si>
  <si>
    <t>Taaleri Tonttirahasto II Ky</t>
  </si>
  <si>
    <t>22643277#035</t>
  </si>
  <si>
    <t>Taaleri Tonttirahasto II Syöttörahasto Ky</t>
  </si>
  <si>
    <t>22643277#036</t>
  </si>
  <si>
    <t>Taaleri Tonttirahasto II Sijoittajat Ky</t>
  </si>
  <si>
    <t>22643277#037</t>
  </si>
  <si>
    <t>Taaleri Tonttirahasto II Omistajat Ky</t>
  </si>
  <si>
    <t>22643277#038</t>
  </si>
  <si>
    <t>Elite Alfred Berg Eurooppa Faktorit Sijoitusrahasto</t>
  </si>
  <si>
    <t>21793994#041</t>
  </si>
  <si>
    <t>Placeringsfonden Aktia Emerging Market Corporate Bond+</t>
  </si>
  <si>
    <t>06725133#045</t>
  </si>
  <si>
    <t>OP-Japanin Tähdet –sijoitusrahasto</t>
  </si>
  <si>
    <t>07439622#127</t>
  </si>
  <si>
    <t>OP-Amerikka-sijoitusrahasto</t>
  </si>
  <si>
    <t>07439622#128</t>
  </si>
  <si>
    <t>Wave I Ky</t>
  </si>
  <si>
    <t>27838225#001</t>
  </si>
  <si>
    <t>Elite Älyenergia I Ky</t>
  </si>
  <si>
    <t>07446590#139</t>
  </si>
  <si>
    <t>Sentica Buyout V Feeder Fund Ky</t>
  </si>
  <si>
    <t>19076208#011</t>
  </si>
  <si>
    <t>Taaleri Vuokrakoti Ky</t>
  </si>
  <si>
    <t>22643277#039</t>
  </si>
  <si>
    <t>Taaleri Vuokrakoti Syöttörahasto Ky</t>
  </si>
  <si>
    <t>22643277#040</t>
  </si>
  <si>
    <t>Taaleri Aurinkotuuli Ky</t>
  </si>
  <si>
    <t>22643277#041</t>
  </si>
  <si>
    <t>Taaleri Aurinkotuuli Omistajat Ky</t>
  </si>
  <si>
    <t>22643277#042</t>
  </si>
  <si>
    <t>Taaleri Aurinkotuuli Sijoittajat Ky</t>
  </si>
  <si>
    <t>22643277#043</t>
  </si>
  <si>
    <t>Taaleri Aurinkotuuli Rahoittajat Ky</t>
  </si>
  <si>
    <t>22643277#044</t>
  </si>
  <si>
    <t>Erikoissijoitusrahasto eQ PE SJS</t>
  </si>
  <si>
    <t>07360527#086</t>
  </si>
  <si>
    <t>eQ PE IX US Ky</t>
  </si>
  <si>
    <t>07360527#087</t>
  </si>
  <si>
    <t>Erikoissijoitusrahasto eQ PE IX US Feeder</t>
  </si>
  <si>
    <t>07360527#088</t>
  </si>
  <si>
    <t>Myrhattan Kehitys Ky</t>
  </si>
  <si>
    <t>18212730#002</t>
  </si>
  <si>
    <t>Erikoissijoitusrahasto Estlander &amp; Partners Alpha Trend 3x</t>
  </si>
  <si>
    <t>18300220#010</t>
  </si>
  <si>
    <t>Erikoissijoitusrahasto Estlander &amp; Partners Alpha Trend</t>
  </si>
  <si>
    <t>18300220#011</t>
  </si>
  <si>
    <t>Elite Alfred Berg Suomi Faktorit Erikoissijoitusrahasto</t>
  </si>
  <si>
    <t>21793994#044</t>
  </si>
  <si>
    <t>Taaleri Afrikka Rahasto II Ky</t>
  </si>
  <si>
    <t>22643277#045</t>
  </si>
  <si>
    <t>Taaleri Afrikka Rahasto II Syöttörahasto Ky</t>
  </si>
  <si>
    <t>22643277#046</t>
  </si>
  <si>
    <t>Taaleri Afrikka Rahasto II Sijoittajat Ky</t>
  </si>
  <si>
    <t>22643277#047</t>
  </si>
  <si>
    <t>Taaleri Afrikka Rahasto II Omistajat Ky</t>
  </si>
  <si>
    <t>22643277#048</t>
  </si>
  <si>
    <t>Vendep Capital Fund II Ky</t>
  </si>
  <si>
    <t>27252961#002</t>
  </si>
  <si>
    <t>TKPM Satukuja Kehitys Ky</t>
  </si>
  <si>
    <t>18212730#003</t>
  </si>
  <si>
    <t>YCE Housing I Ky</t>
  </si>
  <si>
    <t>19610802#002</t>
  </si>
  <si>
    <t>Fondita European Micro Cap Placeringsfond</t>
  </si>
  <si>
    <t>08996885#007</t>
  </si>
  <si>
    <t>Vaaka Partners Buyout Fund III Feeder Ky</t>
  </si>
  <si>
    <t>21283126#021</t>
  </si>
  <si>
    <t>Erikoissijoitusrahasto eQ Private Credit</t>
  </si>
  <si>
    <t>07360527#089</t>
  </si>
  <si>
    <t>Obsido Kiinteistörahasto I Ky</t>
  </si>
  <si>
    <t>24489795#011</t>
  </si>
  <si>
    <t>Taaleri Aurinkotuuli Omistajat B Ky</t>
  </si>
  <si>
    <t>22643277#049</t>
  </si>
  <si>
    <t>Vaaka Partners Buyout Fund III Ky</t>
  </si>
  <si>
    <t>21283126#022</t>
  </si>
  <si>
    <t>Samla Asunnot Ky</t>
  </si>
  <si>
    <t>26842943#003</t>
  </si>
  <si>
    <t>Ålandsbanken Dynamisk Ränta Placeringsfond</t>
  </si>
  <si>
    <t>14713626#038</t>
  </si>
  <si>
    <t>Erikoissijoitusrahasto UB Reaaliomaisuus</t>
  </si>
  <si>
    <t>21181015#031</t>
  </si>
  <si>
    <t>Kasvurahastojen Rahasto III Ky</t>
  </si>
  <si>
    <t>22245500#003</t>
  </si>
  <si>
    <t>Specialplaceringsgfonden Aktia Trade Finance</t>
  </si>
  <si>
    <t>06725133#046</t>
  </si>
  <si>
    <t>Erikoissijoitusrahasto eQ Kehittyvät Markkinat Pienyhtiö</t>
  </si>
  <si>
    <t>07360527#090</t>
  </si>
  <si>
    <t>Folmer Equity Fund II Ky</t>
  </si>
  <si>
    <t>21520937#002</t>
  </si>
  <si>
    <t>LähiTapiola Asuntosijoitus Suomi Feeder III Oy</t>
  </si>
  <si>
    <t>16172050#012</t>
  </si>
  <si>
    <t>Vendep Capital Fund II Feeder Ky</t>
  </si>
  <si>
    <t>27252961#003</t>
  </si>
  <si>
    <t>eQ PE SF Ky</t>
  </si>
  <si>
    <t>07360527#091</t>
  </si>
  <si>
    <t>Ålandsbanken Premium 100 Global Aktie Placeringsfond</t>
  </si>
  <si>
    <t>14713626#039</t>
  </si>
  <si>
    <t>Sijoitusrahasto Nordea Global Enhanced</t>
  </si>
  <si>
    <t>17377859#212</t>
  </si>
  <si>
    <t>Sijoitusrahasto Nordea North American Enhanced</t>
  </si>
  <si>
    <t>17377859#213</t>
  </si>
  <si>
    <t>Sijoitusrahasto UB EM Frontier Real Assets</t>
  </si>
  <si>
    <t>21181015#032</t>
  </si>
  <si>
    <t>OP-Maailma Indeksi -sijoitusrahasto</t>
  </si>
  <si>
    <t>07439622#129</t>
  </si>
  <si>
    <t>TK Kehitys Ky</t>
  </si>
  <si>
    <t>18212730#004</t>
  </si>
  <si>
    <t>EAI Private Equity Feeder I Ky</t>
  </si>
  <si>
    <t>07446590#087</t>
  </si>
  <si>
    <t>Accunia Alpha Credit Fund -erikoissijoitusrahasto</t>
  </si>
  <si>
    <t>18300220#012</t>
  </si>
  <si>
    <t>Alexandria Kiinteistö Erikoissijoitusrahasto</t>
  </si>
  <si>
    <t>16039364#006</t>
  </si>
  <si>
    <t>Butterfly Feeder Fund III Ky</t>
  </si>
  <si>
    <t>24764259#005</t>
  </si>
  <si>
    <t>Elite PK-Yrityslaina I Ky</t>
  </si>
  <si>
    <t>21793994#046</t>
  </si>
  <si>
    <t>Sijoitusrahasto LähiTapiola Eurooppa High Yield ESG</t>
  </si>
  <si>
    <t>10932901#062</t>
  </si>
  <si>
    <t>Sijoitusrahasto LähiTapiola Yhteisö Pitkäkorko ESG</t>
  </si>
  <si>
    <t>10932901#069</t>
  </si>
  <si>
    <t>Sijoitusrahasto LähiTapiola Yhteisö Yrityskorko ESG</t>
  </si>
  <si>
    <t>10932901#072</t>
  </si>
  <si>
    <t>Sijoitusrahasto LähiTapiola Yhteisö Eurooppa ESG</t>
  </si>
  <si>
    <t>10932901#067</t>
  </si>
  <si>
    <t>Sijoitusrahasto LähiTapiola Yhteisö USA ESG</t>
  </si>
  <si>
    <t>10932901#068</t>
  </si>
  <si>
    <t>Inventure Fund III Ky</t>
  </si>
  <si>
    <t>19790751#004</t>
  </si>
  <si>
    <t>S-Pankki Tontti Erikoissijoitusrahasto</t>
  </si>
  <si>
    <t>09791339#092</t>
  </si>
  <si>
    <t>Specialplaceringsfond Estlander &amp; Partners Portfolio Enhancing Fund AI</t>
  </si>
  <si>
    <t>18300220#013</t>
  </si>
  <si>
    <t>Specialplaceringsfond Estlander &amp; Partners Portfolio Enhancing Fund AII</t>
  </si>
  <si>
    <t>18300220#014</t>
  </si>
  <si>
    <t>Premico Asuntorahasto Laina I Ky</t>
  </si>
  <si>
    <t>27000385#002</t>
  </si>
  <si>
    <t>Placeringsfonden Aktia Aktieportfölj</t>
  </si>
  <si>
    <t>06725133#047</t>
  </si>
  <si>
    <t>Erikoissijoitusrahasto Mandatum AM Suomi Kiinteistöt II</t>
  </si>
  <si>
    <t>28125497#001</t>
  </si>
  <si>
    <t>Erikoissijoitusrahasto CapMan Nordic Property Income Fund</t>
  </si>
  <si>
    <t>07491762#002</t>
  </si>
  <si>
    <t>Erikoissijoitusrahasto Investium Osakevarainhoito</t>
  </si>
  <si>
    <t>18300220#015</t>
  </si>
  <si>
    <t>Erikoissijoitusrahasto Kansainväliset Kiinteistöt</t>
  </si>
  <si>
    <t>18300220#016</t>
  </si>
  <si>
    <t>Sentica Buyout V Co-Investment Ky</t>
  </si>
  <si>
    <t>19076208#012</t>
  </si>
  <si>
    <t>CapMan Endowment Nordic Real Estate II Ky</t>
  </si>
  <si>
    <t>07491762#003</t>
  </si>
  <si>
    <t>Sijoitusrahasto Taaleri Lyhyet Korot</t>
  </si>
  <si>
    <t>20628401#032</t>
  </si>
  <si>
    <t>MAKI.VC FUND I Ky</t>
  </si>
  <si>
    <t>28369715#001</t>
  </si>
  <si>
    <t>Säästöpankki Korkopainoinen erikoissijoitusrahasto</t>
  </si>
  <si>
    <t>17956316#023</t>
  </si>
  <si>
    <t>Säästöpankki Tasapainoinen erikoissijoitusrahasto</t>
  </si>
  <si>
    <t>17956316#024</t>
  </si>
  <si>
    <t>Säästöpankki Osakepainoinen erikoissijoitusrahasto</t>
  </si>
  <si>
    <t>17956316#025</t>
  </si>
  <si>
    <t>Säästöpankki Tuottohakuinen erikoissijoitusrahasto</t>
  </si>
  <si>
    <t>17956316#026</t>
  </si>
  <si>
    <t>Sijoitusrahasto LähiTapiola Eurooppa Ilmastoindeksi</t>
  </si>
  <si>
    <t>09791339#078</t>
  </si>
  <si>
    <t>Sijoitusrahasto LähiTapiola USA Ilmastoindeksi</t>
  </si>
  <si>
    <t>09791339#079</t>
  </si>
  <si>
    <t>Erikoissijoitusrahasto LähiTapiola Sijoituskiinteistöt</t>
  </si>
  <si>
    <t>16172050#018</t>
  </si>
  <si>
    <t>Innovestor Kasvurahasto II Ky</t>
  </si>
  <si>
    <t>27097164#003</t>
  </si>
  <si>
    <t>Estlander &amp; Partners Trend Index -sijoitusrahasto</t>
  </si>
  <si>
    <t>18300220#017</t>
  </si>
  <si>
    <t>Erikoissijoitusrahasto Evli Factor Premia</t>
  </si>
  <si>
    <t>07446590#080</t>
  </si>
  <si>
    <t>OP-Palvelukiinteistöt -erikoissijoitusrahasto</t>
  </si>
  <si>
    <t>07439622#130</t>
  </si>
  <si>
    <t>S-Pankki Varainhoito Säästäjä 10 Sijoitusrahasto</t>
  </si>
  <si>
    <t>09791339#080</t>
  </si>
  <si>
    <t>S-Pankki Varainhoito Säästäjä 100 Sijoitusrahasto</t>
  </si>
  <si>
    <t>09791339#081</t>
  </si>
  <si>
    <t>Gorilla Capital Fund 2017 Ky</t>
  </si>
  <si>
    <t>28279074#001</t>
  </si>
  <si>
    <t>Specialplaceringsfond SEB SLS</t>
  </si>
  <si>
    <t>08151401#028</t>
  </si>
  <si>
    <t>Erikoissijoitusrahasto Estlander &amp; Partners Resources</t>
  </si>
  <si>
    <t>18300220#018</t>
  </si>
  <si>
    <t>Sijoitusrahasto Nora One (SEK)</t>
  </si>
  <si>
    <t>17377859#214</t>
  </si>
  <si>
    <t>Sijoitusrahasto Nora Two (SEK)</t>
  </si>
  <si>
    <t>17377859#215</t>
  </si>
  <si>
    <t>Sijoitusrahasto Nora Three (SEK)</t>
  </si>
  <si>
    <t>17377859#216</t>
  </si>
  <si>
    <t>Sijoitusrahasto Nora Four (SEK)</t>
  </si>
  <si>
    <t>17377859#217</t>
  </si>
  <si>
    <t>Sijoitusrahasto Nora Five (SEK)</t>
  </si>
  <si>
    <t>17377859#218</t>
  </si>
  <si>
    <t>Sijoitusrahasto Nora One (EUR)</t>
  </si>
  <si>
    <t>17377859#219</t>
  </si>
  <si>
    <t>Sijoitusrahasto Nora Three (EUR)</t>
  </si>
  <si>
    <t>17377859#221</t>
  </si>
  <si>
    <t>Sijoitusrahasto Nora Four (EUR)</t>
  </si>
  <si>
    <t>17377859#222</t>
  </si>
  <si>
    <t>Sijoitusrahasto Nora Five (EUR)</t>
  </si>
  <si>
    <t>17377859#223</t>
  </si>
  <si>
    <t>Sijoitusrahasto Nora One (NOK)</t>
  </si>
  <si>
    <t>17377859#224</t>
  </si>
  <si>
    <t>Sijoitusrahasto Nora Three (NOK)</t>
  </si>
  <si>
    <t>17377859#226</t>
  </si>
  <si>
    <t>Sijoitusrahasto Nora Four (NOK)</t>
  </si>
  <si>
    <t>17377859#227</t>
  </si>
  <si>
    <t>Sijoitusrahasto Nora Five (NOK)</t>
  </si>
  <si>
    <t>17377859#228</t>
  </si>
  <si>
    <t>Sijoitusrahasto Nora One Master</t>
  </si>
  <si>
    <t>17377859#229</t>
  </si>
  <si>
    <t>Sijoitusrahasto Nora Two Master</t>
  </si>
  <si>
    <t>17377859#230</t>
  </si>
  <si>
    <t>Sijoitusrahasto Nora Three Master</t>
  </si>
  <si>
    <t>17377859#231</t>
  </si>
  <si>
    <t>Sijoitusrahasto Nora Four Master</t>
  </si>
  <si>
    <t>17377859#232</t>
  </si>
  <si>
    <t>Sijoitusrahasto Nora Five Master</t>
  </si>
  <si>
    <t>17377859#233</t>
  </si>
  <si>
    <t>CapMan Growth Equity Fund 2017 Ky</t>
  </si>
  <si>
    <t>07491762#005</t>
  </si>
  <si>
    <t>Obsido Rebalanced 85 Sijoitusrahasto</t>
  </si>
  <si>
    <t>28233658#001</t>
  </si>
  <si>
    <t>FIM Infrastructure Mezzanine Debt Fund I Ky</t>
  </si>
  <si>
    <t>09791339#098</t>
  </si>
  <si>
    <t>Obsido Omakotitalotontti I Ky vaihtoehtorahasto</t>
  </si>
  <si>
    <t>28233658#002</t>
  </si>
  <si>
    <t>OP-High Yield Amerikka -sijoitusrahasto</t>
  </si>
  <si>
    <t>07439622#131</t>
  </si>
  <si>
    <t>Erikoissijoitusrahasto eQ Eurooppa Aktiivi</t>
  </si>
  <si>
    <t>07360527#092</t>
  </si>
  <si>
    <t>eQ PE X North Ky</t>
  </si>
  <si>
    <t>07360527#093</t>
  </si>
  <si>
    <t>Erikoissijoitusrahasto eQ PE X North Feeder</t>
  </si>
  <si>
    <t>07360527#094</t>
  </si>
  <si>
    <t>Certior Private Equity Fund I Ky</t>
  </si>
  <si>
    <t>24169855#003</t>
  </si>
  <si>
    <t>Specialplaceringsfonden Aktia Opportunistic Credit I</t>
  </si>
  <si>
    <t>06725133#048</t>
  </si>
  <si>
    <t>FIM Lapset ja nuoret I Ky</t>
  </si>
  <si>
    <t>09791339#099</t>
  </si>
  <si>
    <t>Placeringsfonden Aktia Förvaltningsportfölj 25</t>
  </si>
  <si>
    <t>06725133#049</t>
  </si>
  <si>
    <t>Placeringsfonden Aktia Förvaltningsportfölj 50</t>
  </si>
  <si>
    <t>06725133#050</t>
  </si>
  <si>
    <t>Placeringsfonden Aktia Förvaltningsportfölj 75</t>
  </si>
  <si>
    <t>06725133#051</t>
  </si>
  <si>
    <t>ICON Real Estate Fund V - Ilves Ky (hoitaminen ja markkinointi kielletty 17.12.2019)</t>
  </si>
  <si>
    <t>25361865#004</t>
  </si>
  <si>
    <t>ICON Real Estate Fund IV - Kruunu Ky (hoitaminen ja markkinointi kielletty 17.12.2019)</t>
  </si>
  <si>
    <t>25361865#005</t>
  </si>
  <si>
    <t>Evli Healthcare I Ky</t>
  </si>
  <si>
    <t>07446590#081</t>
  </si>
  <si>
    <t>Evli Healthcare I Feeder A Ky</t>
  </si>
  <si>
    <t>07446590#082</t>
  </si>
  <si>
    <t>Erikoissijoitusrahasto Evli Healthcare I Feeder B</t>
  </si>
  <si>
    <t>07446590#083</t>
  </si>
  <si>
    <t>R2 Crystal -erikoissijoitusrahasto</t>
  </si>
  <si>
    <t>07439622#132</t>
  </si>
  <si>
    <t>EduImpact Fund Ky</t>
  </si>
  <si>
    <t>28665274#001</t>
  </si>
  <si>
    <t>Erikoissijoitusrahasto eQ PE SF II</t>
  </si>
  <si>
    <t>07360527#095</t>
  </si>
  <si>
    <t>Certior Private Equity Fund I Feeder Ky</t>
  </si>
  <si>
    <t>24169855#004</t>
  </si>
  <si>
    <t>Erikoissijoitusrahasto Evli Vuokratuotto</t>
  </si>
  <si>
    <t>07446590#088</t>
  </si>
  <si>
    <t>EAI Residential Feeder Fund III Ky</t>
  </si>
  <si>
    <t>07446590#089</t>
  </si>
  <si>
    <t>Fundu Fund Ky</t>
  </si>
  <si>
    <t>28268172#001</t>
  </si>
  <si>
    <t>Erikoissijoitusrahasto JAM Systematic - World Sectors</t>
  </si>
  <si>
    <t>18300220#019</t>
  </si>
  <si>
    <t>Open Ocean Opportunity Fund I Ky</t>
  </si>
  <si>
    <t>26638993#004</t>
  </si>
  <si>
    <t>Erikoissijoitusrahasto Estlander &amp; Partners Ignis</t>
  </si>
  <si>
    <t>18300220#020</t>
  </si>
  <si>
    <t>Sijoitusrahasto Nordea Kreditt Stars</t>
  </si>
  <si>
    <t>17377859#234</t>
  </si>
  <si>
    <t>Elite Finland Value Added Fund II Ky</t>
  </si>
  <si>
    <t>07446590#140</t>
  </si>
  <si>
    <t>Sijoitusrahasto Evli Maailma X</t>
  </si>
  <si>
    <t>07446590#090</t>
  </si>
  <si>
    <t>Fondita Healthcare Placeringsfond</t>
  </si>
  <si>
    <t>08996885#008</t>
  </si>
  <si>
    <t>Taaleri Georahasto I Sijoittajat Ky</t>
  </si>
  <si>
    <t>22643277#052</t>
  </si>
  <si>
    <t>Taaleri Georahasto I Ky</t>
  </si>
  <si>
    <t>22643277#050</t>
  </si>
  <si>
    <t>Taaleri Georahasto I Henkilökunta Ky</t>
  </si>
  <si>
    <t>22643277#051</t>
  </si>
  <si>
    <t>Taaleri Georahasto I Rahoittajat Ky</t>
  </si>
  <si>
    <t>22643277#053</t>
  </si>
  <si>
    <t>OP-Suomi Mikroyhtiöt -erikoissijoitusrahasto</t>
  </si>
  <si>
    <t>07439622#133</t>
  </si>
  <si>
    <t>Erikoissijoitusrahasto Aktia Uusi Eurooppa</t>
  </si>
  <si>
    <t>20628401#033</t>
  </si>
  <si>
    <t>Erikoissijoitusrahasto Estlander &amp; Partners Terra</t>
  </si>
  <si>
    <t>18300220#021</t>
  </si>
  <si>
    <t>Ålandsbanken Lunastustontti I Ky</t>
  </si>
  <si>
    <t>14713626#040</t>
  </si>
  <si>
    <t>FIM Multifactor Osake Eurooppa Sijoitusrahasto</t>
  </si>
  <si>
    <t>09791339#082</t>
  </si>
  <si>
    <t>FIM Multifactor Osake USA Sijoitusrahasto</t>
  </si>
  <si>
    <t>09791339#083</t>
  </si>
  <si>
    <t>Erikoissijoitusrahasto Evli Finland Value Added Fund II Feeder</t>
  </si>
  <si>
    <t>07446590#141</t>
  </si>
  <si>
    <t>Erikoissijoitusrahasto eQ PE SKR</t>
  </si>
  <si>
    <t>07360527#096</t>
  </si>
  <si>
    <t>Erikoissijoitusrahasto eQ PE JAW</t>
  </si>
  <si>
    <t>07360527#097</t>
  </si>
  <si>
    <t>Erikoissijoitusrahasto eQ PE EAS</t>
  </si>
  <si>
    <t>07360527#098</t>
  </si>
  <si>
    <t>Obsido Global Covered Sijoitusrahasto</t>
  </si>
  <si>
    <t>28233658#005</t>
  </si>
  <si>
    <t>Elite Intian Aurinko I Ky</t>
  </si>
  <si>
    <t>07446590#142</t>
  </si>
  <si>
    <t>Erikoissijoitusrahasto UB High Yield</t>
  </si>
  <si>
    <t>21181015#033</t>
  </si>
  <si>
    <t>OP-Suomi Indeksi -sijoitusrahasto</t>
  </si>
  <si>
    <t>07439622#134</t>
  </si>
  <si>
    <t>Sijoitusrahasto Aktia A50</t>
  </si>
  <si>
    <t>20628401#034</t>
  </si>
  <si>
    <t>Sijoitusrahasto Aktia Arvo Rein</t>
  </si>
  <si>
    <t>20628401#035</t>
  </si>
  <si>
    <t>USA Asunnot 2 Oy</t>
  </si>
  <si>
    <t>24597710#002</t>
  </si>
  <si>
    <t>Sijoitusrahasto LähiTapiola Reaalikorko ESG</t>
  </si>
  <si>
    <t>09791339#084</t>
  </si>
  <si>
    <t>Erikoissijoitusrahasto eQ Private Credit II</t>
  </si>
  <si>
    <t>07360527#099</t>
  </si>
  <si>
    <t>Erikoissijoitusrahasto Estlander &amp; Partners Portfolio Enhancing Fund AIII</t>
  </si>
  <si>
    <t>18300220#023</t>
  </si>
  <si>
    <t>Redeye Nordic Hidden Champions Erikoissijoitusrahasto</t>
  </si>
  <si>
    <t>18300220#024</t>
  </si>
  <si>
    <t>Terwarahasto 1 Ky</t>
  </si>
  <si>
    <t>27728544#001</t>
  </si>
  <si>
    <t>Erikoissijoitusrahasto UB Suomi Kiinteistöt</t>
  </si>
  <si>
    <t>21181015#034</t>
  </si>
  <si>
    <t>Taaleri Tallikiinteistöt Ky</t>
  </si>
  <si>
    <t>22643277#054</t>
  </si>
  <si>
    <t>Taaleri Tallikiinteistöt Henkilökunta Ky</t>
  </si>
  <si>
    <t>22643277#055</t>
  </si>
  <si>
    <t>Taaleri Tallikiinteistöt Sijoittajat Ky</t>
  </si>
  <si>
    <t>22643277#056</t>
  </si>
  <si>
    <t>Taaleri Tallikiinteistöt Rahoittajat Ky</t>
  </si>
  <si>
    <t>22643277#057</t>
  </si>
  <si>
    <t>Taaleri Tallikiinteistöt Omistajat Ky</t>
  </si>
  <si>
    <t>22643277#058</t>
  </si>
  <si>
    <t>Elite Finland Value Added Fund II Syöttörahasto II Ky</t>
  </si>
  <si>
    <t>07446590#143</t>
  </si>
  <si>
    <t>Specialplaceringsfonden Aktia Affärsfastigheter</t>
  </si>
  <si>
    <t>06725133#052</t>
  </si>
  <si>
    <t>Grid.vc I Ky</t>
  </si>
  <si>
    <t>27633406#001</t>
  </si>
  <si>
    <t>Fundu Junior I Ky</t>
  </si>
  <si>
    <t>28268172#002</t>
  </si>
  <si>
    <t>Fundu Junior I Holding  Ky</t>
  </si>
  <si>
    <t>28268172#003</t>
  </si>
  <si>
    <t>FIM Vuokratontti Ky</t>
  </si>
  <si>
    <t>09791339#100</t>
  </si>
  <si>
    <t>FIM Vuokratontti Holding Ky</t>
  </si>
  <si>
    <t>09791339#101</t>
  </si>
  <si>
    <t>Samla Toimitilat II Ky</t>
  </si>
  <si>
    <t>26842943#004</t>
  </si>
  <si>
    <t>EGP Fund I Ky</t>
  </si>
  <si>
    <t>07446590#091</t>
  </si>
  <si>
    <t>Sijoitusrahasto Nordea Vastuulliset Osakkeet Maailma</t>
  </si>
  <si>
    <t>17377859#235</t>
  </si>
  <si>
    <t>CapMan Endowment Nordic Infrastructure I Ky</t>
  </si>
  <si>
    <t>29064614#003</t>
  </si>
  <si>
    <t>Säästöpankki Ympäristö -erikoissijoitusrahasto</t>
  </si>
  <si>
    <t>17956316#027</t>
  </si>
  <si>
    <t>FIM Private Debt Fund I Ky</t>
  </si>
  <si>
    <t>09791339#102</t>
  </si>
  <si>
    <t>Front Korko Erikoissijoitusrahasto</t>
  </si>
  <si>
    <t>20451423#012</t>
  </si>
  <si>
    <t>Terrieri Kiinteistöt Ky</t>
  </si>
  <si>
    <t>09791339#108</t>
  </si>
  <si>
    <t>FinCap Fund II Ky</t>
  </si>
  <si>
    <t>27526045#003</t>
  </si>
  <si>
    <t>EGP Feeder Fund I Ky</t>
  </si>
  <si>
    <t>07446590#093</t>
  </si>
  <si>
    <t>Front Osake Sijoitusrahasto</t>
  </si>
  <si>
    <t>20451423#013</t>
  </si>
  <si>
    <t>Front Rohkea Sijoitusrahasto</t>
  </si>
  <si>
    <t>20451423#014</t>
  </si>
  <si>
    <t>Sijoitusrahasto Aktia Euroopan Kassakoneet</t>
  </si>
  <si>
    <t>20628401#036</t>
  </si>
  <si>
    <t>Erikoissijoitusrahasto Evli Intian Aurinko I Feeder I</t>
  </si>
  <si>
    <t>07446590#144</t>
  </si>
  <si>
    <t>Erikoissijoitusrahasto Evli Finland Value Added Fund II Feeder II</t>
  </si>
  <si>
    <t>07446590#145</t>
  </si>
  <si>
    <t>Sijoitusrahasto Titanium Kasvuosinko ESG</t>
  </si>
  <si>
    <t>22888047#005</t>
  </si>
  <si>
    <t>Elite Alfred Berg Pohjoismaat Faktorit Sijoitusrahasto</t>
  </si>
  <si>
    <t>21793994#058</t>
  </si>
  <si>
    <t>ICECAPITAL Housing Fund V Ky</t>
  </si>
  <si>
    <t>22032150#013</t>
  </si>
  <si>
    <t>IC Housing Feeder V Ky</t>
  </si>
  <si>
    <t>22032150#014</t>
  </si>
  <si>
    <t>Evli Healthcare I Feeder C Ky</t>
  </si>
  <si>
    <t>07446590#094</t>
  </si>
  <si>
    <t>eQ PE XI US Ky</t>
  </si>
  <si>
    <t>07360527#100</t>
  </si>
  <si>
    <t>Erikoissijoitusrahasto eQ PE XI US Feeder</t>
  </si>
  <si>
    <t>07360527#101</t>
  </si>
  <si>
    <t>Erikoissijoitusrahasto eQ PE TSR 2019</t>
  </si>
  <si>
    <t>07360527#102</t>
  </si>
  <si>
    <t>UB Nordic Forest Fund III Ky</t>
  </si>
  <si>
    <t>21181015#035</t>
  </si>
  <si>
    <t>UB Nordic Forest Fund III Syöttörahasto Ky</t>
  </si>
  <si>
    <t>21181015#036</t>
  </si>
  <si>
    <t>Luotsi Asuntorahasto Ky</t>
  </si>
  <si>
    <t>28570689#001</t>
  </si>
  <si>
    <t>IVH Kampus Ky</t>
  </si>
  <si>
    <t>22954454#007</t>
  </si>
  <si>
    <t>Armada Fund V Ky</t>
  </si>
  <si>
    <t>23066336#006</t>
  </si>
  <si>
    <t>IPR.VC Fund II Ky</t>
  </si>
  <si>
    <t>26630385#002</t>
  </si>
  <si>
    <t>Evli Kiinteistökehitys II Syöttörahasto III Ky</t>
  </si>
  <si>
    <t>07446590#146</t>
  </si>
  <si>
    <t>S-Pankki Passiivinen Eurooppa ESG Osake Sijoitusrahasto</t>
  </si>
  <si>
    <t>09791339#085</t>
  </si>
  <si>
    <t>Säästöpankki Maltti -sijoitusrahasto</t>
  </si>
  <si>
    <t>17956316#028</t>
  </si>
  <si>
    <t>Säästöpankki Kantti -sijoitusrahasto</t>
  </si>
  <si>
    <t>17956316#029</t>
  </si>
  <si>
    <t>Terrieri Kiinteistöt Syöttörahasto Ky</t>
  </si>
  <si>
    <t>23929517#004</t>
  </si>
  <si>
    <t>EAI Residential Feeder Fund IV Ky</t>
  </si>
  <si>
    <t>07446590#095</t>
  </si>
  <si>
    <t>Erikoissijoitusrahasto Taaleri Globaali Korko</t>
  </si>
  <si>
    <t>20628401#037</t>
  </si>
  <si>
    <t>Erikoissijoitusrahasto Aktia Vaihtoehtoiset</t>
  </si>
  <si>
    <t>20628401#038</t>
  </si>
  <si>
    <t>Evolver Fund I  Ky</t>
  </si>
  <si>
    <t>28754218#001</t>
  </si>
  <si>
    <t>Sijoitusrahasto Nordea Hållbarhetsfond Obligationer Global</t>
  </si>
  <si>
    <t>17377859#236</t>
  </si>
  <si>
    <t>Sijoitusrahasto Nordea Vastuulliset Korot Maailma</t>
  </si>
  <si>
    <t>17377859#237</t>
  </si>
  <si>
    <t>Sijoitusrahasto Nordea Bærekraftige Obligasjoner Global</t>
  </si>
  <si>
    <t>17377859#238</t>
  </si>
  <si>
    <t>Taaleri Aurinkotuuli II Ky</t>
  </si>
  <si>
    <t>22643277#059</t>
  </si>
  <si>
    <t>Taaleri Aurinkotuuli II Sijoittajat Ky</t>
  </si>
  <si>
    <t>22643277#060</t>
  </si>
  <si>
    <t>Taaleri Aurinkotuuli II Rahoittajat Ky</t>
  </si>
  <si>
    <t>22643277#061</t>
  </si>
  <si>
    <t>Evli Healthcare I Feeder D Ky</t>
  </si>
  <si>
    <t>07446590#096</t>
  </si>
  <si>
    <t>Nordic Game Ventures First Fund Ky</t>
  </si>
  <si>
    <t>22886797#002</t>
  </si>
  <si>
    <t>Luotsi Asuntorahasto Feeder 1 Ky</t>
  </si>
  <si>
    <t>28570689#002</t>
  </si>
  <si>
    <t>FIM Lapset ja nuoret Holding I Ky</t>
  </si>
  <si>
    <t>09791339#103</t>
  </si>
  <si>
    <t>FIM Infrastructure Mezzanine Debt Fund II Ky</t>
  </si>
  <si>
    <t>09791339#104</t>
  </si>
  <si>
    <t>Innovestor Technology Fund Ky</t>
  </si>
  <si>
    <t>27097164#004</t>
  </si>
  <si>
    <t>CapMan Endowment Buyout XI Ky</t>
  </si>
  <si>
    <t>29064614#009</t>
  </si>
  <si>
    <t>Evli Private Equity II Ky</t>
  </si>
  <si>
    <t>07446590#097</t>
  </si>
  <si>
    <t>Evli Private Equity II Feeder A Ky</t>
  </si>
  <si>
    <t>07446590#098</t>
  </si>
  <si>
    <t>Superhero Venture Fund 2020 Ky</t>
  </si>
  <si>
    <t>26963091#002</t>
  </si>
  <si>
    <t>Alexandria Yrityskorko Erikoissijoitusrahasto</t>
  </si>
  <si>
    <t>16039364#007</t>
  </si>
  <si>
    <t>Evli Private Equity I Ky</t>
  </si>
  <si>
    <t>07446590#099</t>
  </si>
  <si>
    <t>Juuri Rahasto II Ky</t>
  </si>
  <si>
    <t>26391679#002</t>
  </si>
  <si>
    <t>VTT Ventures Oy</t>
  </si>
  <si>
    <t>29157108#001</t>
  </si>
  <si>
    <t>Voima Ventures Fund II Ky</t>
  </si>
  <si>
    <t>29157108#002</t>
  </si>
  <si>
    <t>UB Nordic Forest Fund III Syöttörahasto II Ky</t>
  </si>
  <si>
    <t>21181015#037</t>
  </si>
  <si>
    <t>DEAS Tonttirahasto Ky</t>
  </si>
  <si>
    <t>25997361#003</t>
  </si>
  <si>
    <t>DEAS Tontti Holding Ky</t>
  </si>
  <si>
    <t>25997361#004</t>
  </si>
  <si>
    <t>Sijoitusrahasto LähiTapiola Kestävä Vaikuttajakorko</t>
  </si>
  <si>
    <t>09791339#087</t>
  </si>
  <si>
    <t>Dasos Habitat Fund Ky</t>
  </si>
  <si>
    <t>19880781#005</t>
  </si>
  <si>
    <t>Taaleri Tuulirahasto IV Ky</t>
  </si>
  <si>
    <t>22643277#062</t>
  </si>
  <si>
    <t>Taaleri Tuulirahasto IV Omistajat Ky</t>
  </si>
  <si>
    <t>22643277#063</t>
  </si>
  <si>
    <t>Taaleri Tuulirahasto IV Rahoittajat Ky</t>
  </si>
  <si>
    <t>22643277#064</t>
  </si>
  <si>
    <t>Taaleri Tuulirahasto IV Sijoittajat Ky</t>
  </si>
  <si>
    <t>22643277#065</t>
  </si>
  <si>
    <t>Taaleri Tuulirahasto IV Henkilökunta Ky</t>
  </si>
  <si>
    <t>22643277#066</t>
  </si>
  <si>
    <t>UB Nordic Forest Fund I Syöttörahasto Ky</t>
  </si>
  <si>
    <t>21181015#038</t>
  </si>
  <si>
    <t>UB Nordic Forest Fund II Syöttörahasto Ky</t>
  </si>
  <si>
    <t>21181015#039</t>
  </si>
  <si>
    <t>UB Yritysrahoitusrahasto I Feeder Ky</t>
  </si>
  <si>
    <t>21181015#040</t>
  </si>
  <si>
    <t>Ålandsbanken Green Bond ESG Placeringsfond</t>
  </si>
  <si>
    <t>14713626#045</t>
  </si>
  <si>
    <t>Taaleri Päiväkotikiinteistöt Ky</t>
  </si>
  <si>
    <t>22643277#067</t>
  </si>
  <si>
    <t>Taaleri Päiväkotikiinteistöt Rahoittajat Ky</t>
  </si>
  <si>
    <t>22643277#068</t>
  </si>
  <si>
    <t>Taaleri Päiväkotikiinteistöt Sijoittajat Ky</t>
  </si>
  <si>
    <t>22643277#069</t>
  </si>
  <si>
    <t>Taaleri Päiväkotikiinteistöt Omistajat Ky</t>
  </si>
  <si>
    <t>22643277#070</t>
  </si>
  <si>
    <t>Taaleri Päiväkotikiinteistöt Henkilökunta Ky</t>
  </si>
  <si>
    <t>22643277#071</t>
  </si>
  <si>
    <t>S-Pankki Passiivinen USA ESG Osake Sijoitusrahasto</t>
  </si>
  <si>
    <t>09791339#088</t>
  </si>
  <si>
    <t>Start Up -Rahasto Joensuu Ky</t>
  </si>
  <si>
    <t>29245124#001</t>
  </si>
  <si>
    <t>Lifeline Ventures Fund IV Ky</t>
  </si>
  <si>
    <t>29897173#001</t>
  </si>
  <si>
    <t>Nexit III Ky</t>
  </si>
  <si>
    <t>15793816#002</t>
  </si>
  <si>
    <t>Verso Fund III Ky</t>
  </si>
  <si>
    <t>24776970#003</t>
  </si>
  <si>
    <t>DevCo Partners III Ky</t>
  </si>
  <si>
    <t>26194405#001</t>
  </si>
  <si>
    <t>Evli Kiinteistökehitys II Syöttörahasto IV Ky</t>
  </si>
  <si>
    <t>07446590#147</t>
  </si>
  <si>
    <t>Avara Vuokrakodit I Ky</t>
  </si>
  <si>
    <t>21539603#002</t>
  </si>
  <si>
    <t>IPR.VC Fund II Feeder Ky</t>
  </si>
  <si>
    <t>26630385#003</t>
  </si>
  <si>
    <t>Avara Residential Fund II Ky</t>
  </si>
  <si>
    <t>21539603#003</t>
  </si>
  <si>
    <t>Sijoitusrahasto Nordea Tactical Asset Allocation</t>
  </si>
  <si>
    <t>17377859#241</t>
  </si>
  <si>
    <t>Sijoitusrahasto Nordea Norwegian Stars</t>
  </si>
  <si>
    <t>17377859#242</t>
  </si>
  <si>
    <t>Sijoitusrahasto Nordea Vastuullinen Valinta Maltti (SEK)</t>
  </si>
  <si>
    <t>17377859#243</t>
  </si>
  <si>
    <t>Sijoitusrahasto Nordea Vastuullinen Valinta Kasvu (SEK)</t>
  </si>
  <si>
    <t>17377859#244</t>
  </si>
  <si>
    <t>Sijoitusrahasto Nordea Vastuullinen Valinta Tasapaino (SEK)</t>
  </si>
  <si>
    <t>17377859#245</t>
  </si>
  <si>
    <t>Sijoitusrahasto Nordea Vastuullinen Valinta Maltti (NOK)</t>
  </si>
  <si>
    <t>17377859#246</t>
  </si>
  <si>
    <t>Sijoitusrahasto Nordea Vastuullinen Valinta Kasvu (NOK)</t>
  </si>
  <si>
    <t>17377859#247</t>
  </si>
  <si>
    <t>Sijoitusrahasto Nordea Vastuullinen Valinta Tasapaino (NOK)</t>
  </si>
  <si>
    <t>17377859#248</t>
  </si>
  <si>
    <t>EduImpact Fund Feeder Ky</t>
  </si>
  <si>
    <t>28665274#002</t>
  </si>
  <si>
    <t>Taaleri Kasvurahastot I Ky</t>
  </si>
  <si>
    <t>22643277#072</t>
  </si>
  <si>
    <t>Taaleri Kasvurahastot I Rahoittajat Ky</t>
  </si>
  <si>
    <t>22643277#073</t>
  </si>
  <si>
    <t>Taaleri Kasvurahastot I Sijoittajat Ky</t>
  </si>
  <si>
    <t>22643277#074</t>
  </si>
  <si>
    <t>Erikoissijoitusrahasto Aristoi Minoa</t>
  </si>
  <si>
    <t>18300220#026</t>
  </si>
  <si>
    <t>Placeringsfonden Aktia European High Yield Bond+</t>
  </si>
  <si>
    <t>06725133#053</t>
  </si>
  <si>
    <t>NFT.VC Fund I Ky</t>
  </si>
  <si>
    <t>29245212#001</t>
  </si>
  <si>
    <t>Icebreaker Fund II Ky</t>
  </si>
  <si>
    <t>27605923#002</t>
  </si>
  <si>
    <t>DevCo Partners III Feeder Ky</t>
  </si>
  <si>
    <t>26194405#002</t>
  </si>
  <si>
    <t>B10 Alternative Income II Erikoissijoitusrahasto</t>
  </si>
  <si>
    <t>18300220#028</t>
  </si>
  <si>
    <t>Erikoissijoitusrahasto Investors Tuottokiinteistöt</t>
  </si>
  <si>
    <t>22954454#008</t>
  </si>
  <si>
    <t>Innowash Fund I Ky</t>
  </si>
  <si>
    <t>29381935#001</t>
  </si>
  <si>
    <t>EAB Pääomarahastot I Ky</t>
  </si>
  <si>
    <t>07446590#148</t>
  </si>
  <si>
    <t>EAB Credit Fund I Ky</t>
  </si>
  <si>
    <t>07446590#149</t>
  </si>
  <si>
    <t>ICECAPITAL Residential Property Fund II Ky</t>
  </si>
  <si>
    <t>22032150#015</t>
  </si>
  <si>
    <t>Premico Asuntorahasto II Ky</t>
  </si>
  <si>
    <t>30134149#001</t>
  </si>
  <si>
    <t>Erikoissijoitusrahasto eQ PE Espoo</t>
  </si>
  <si>
    <t>07360527#104</t>
  </si>
  <si>
    <t>Erikoissijoitusrahasto eQ PE SF III</t>
  </si>
  <si>
    <t>07360527#105</t>
  </si>
  <si>
    <t>Erikoissijoitusrahasto eQ PE XII North Feeder</t>
  </si>
  <si>
    <t>07360527#106</t>
  </si>
  <si>
    <t>eQ PE XII North Ky</t>
  </si>
  <si>
    <t>07360527#107</t>
  </si>
  <si>
    <t>WIP Water Fund Erikoissijoitusrahasto</t>
  </si>
  <si>
    <t>18300220#029</t>
  </si>
  <si>
    <t>UB Nordic Forest Fund III Syöttörahasto III Ky</t>
  </si>
  <si>
    <t>21181015#041</t>
  </si>
  <si>
    <t>Kasvurahastojen Rahasto IV Ky</t>
  </si>
  <si>
    <t>22245500#004</t>
  </si>
  <si>
    <t>LähiTapiola Yhteiskuntakiinteistöt Suomi Ky</t>
  </si>
  <si>
    <t>16172050#019</t>
  </si>
  <si>
    <t>LähiTapiola Velkasijoitus II Ky</t>
  </si>
  <si>
    <t>16172050#020</t>
  </si>
  <si>
    <t>LähiTapiola Pääomasijoitus IV Ky</t>
  </si>
  <si>
    <t>16172050#021</t>
  </si>
  <si>
    <t>LähiTapiola Velkasijoitus II Feeder Ky</t>
  </si>
  <si>
    <t>16172050#022</t>
  </si>
  <si>
    <t>LähiTapiola Pääomasijoitus IV Feeder Ky</t>
  </si>
  <si>
    <t>16172050#023</t>
  </si>
  <si>
    <t>Superhero Venture Fund 2020 Feeder Ky</t>
  </si>
  <si>
    <t>26963091#003</t>
  </si>
  <si>
    <t>Premico Asuntorahasto II Laina Ky</t>
  </si>
  <si>
    <t>30134149#002</t>
  </si>
  <si>
    <t>Erikoissijoitusrahasto Aktia Asunnot+</t>
  </si>
  <si>
    <t>20628401#039</t>
  </si>
  <si>
    <t>Erikoissijoitusrahasto eQ PE Pro</t>
  </si>
  <si>
    <t>07360527#108</t>
  </si>
  <si>
    <t>Sijoitusrahasto Visio Compounder</t>
  </si>
  <si>
    <t>18300220#041</t>
  </si>
  <si>
    <t>LähiTapiola Keskustakiinteistöt Ky</t>
  </si>
  <si>
    <t>16172050#024</t>
  </si>
  <si>
    <t>Epiqus Kotouttaminen Holding I Ky</t>
  </si>
  <si>
    <t>26536188#003</t>
  </si>
  <si>
    <t>Evli Infrastructure Fund I Ky</t>
  </si>
  <si>
    <t>07446590#100</t>
  </si>
  <si>
    <t>Evli Infrastructure I Feeder A Ky</t>
  </si>
  <si>
    <t>07446590#101</t>
  </si>
  <si>
    <t>OP-Tavoite 2 -sijoitusrahasto</t>
  </si>
  <si>
    <t>07439622#136</t>
  </si>
  <si>
    <t>OP-Tavoite 3 -sijoitusrahasto</t>
  </si>
  <si>
    <t>07439622#137</t>
  </si>
  <si>
    <t>OP-Tavoite 4 -sijoitusrahasto</t>
  </si>
  <si>
    <t>07439622#138</t>
  </si>
  <si>
    <t>Erikoissijoitusrahasto UB Maailma</t>
  </si>
  <si>
    <t>21181015#043</t>
  </si>
  <si>
    <t>Front Megatrendit Sijoitusrahasto</t>
  </si>
  <si>
    <t>20451423#015</t>
  </si>
  <si>
    <t>Avara Residential Fund II Feeder Ky</t>
  </si>
  <si>
    <t>21539603#004</t>
  </si>
  <si>
    <t>Avara Vuokrakodit I Syöttörahasto Ky</t>
  </si>
  <si>
    <t>21539603#005</t>
  </si>
  <si>
    <t>Korkia Aurinkoenergiarahasto Ky</t>
  </si>
  <si>
    <t>25997361#005</t>
  </si>
  <si>
    <t>Korkia Aurinkoenergia Holding Ky</t>
  </si>
  <si>
    <t>25997361#006</t>
  </si>
  <si>
    <t>Nest Capital Fund III Ky</t>
  </si>
  <si>
    <t>29064614#011</t>
  </si>
  <si>
    <t>OP Finnfund Global Impact Fund I Ky</t>
  </si>
  <si>
    <t>07439622#139</t>
  </si>
  <si>
    <t>CapMan Endowment Hotels II Ky</t>
  </si>
  <si>
    <t>29064614#012</t>
  </si>
  <si>
    <t>Open Ocean Fund 2020 Ky</t>
  </si>
  <si>
    <t>30980441#001</t>
  </si>
  <si>
    <t>North Savo Startup Fund Ky</t>
  </si>
  <si>
    <t>30193325#001</t>
  </si>
  <si>
    <t>Evli Private Equity II Feeder B Ky</t>
  </si>
  <si>
    <t>07446590#102</t>
  </si>
  <si>
    <t>Alexandria Reaaliomaisuus Erikoissijoitusrahasto</t>
  </si>
  <si>
    <t>16039364#008</t>
  </si>
  <si>
    <t>S-Pankki Fossiiliton Eurooppa ESG Osake Sijoitusrahasto</t>
  </si>
  <si>
    <t>09791339#089</t>
  </si>
  <si>
    <t>Bocap SME Achievers Fund III KY</t>
  </si>
  <si>
    <t>27610685#002</t>
  </si>
  <si>
    <t>Sponsor Fund V Ky</t>
  </si>
  <si>
    <t>07612464#003</t>
  </si>
  <si>
    <t>MAKI.VC Fund II Ky</t>
  </si>
  <si>
    <t>28369715#002</t>
  </si>
  <si>
    <t>Erikoissijoitusrahasto eQ PE HABS</t>
  </si>
  <si>
    <t>07360527#111</t>
  </si>
  <si>
    <t>Erikoissijoitusrahasto eQ PE 4 E-stiftelser</t>
  </si>
  <si>
    <t>07360527#112</t>
  </si>
  <si>
    <t>FIM Työllistäminen I Ky</t>
  </si>
  <si>
    <t>09791339#105</t>
  </si>
  <si>
    <t>FIM Työllistäminen Holding I Ky</t>
  </si>
  <si>
    <t>09791339#106</t>
  </si>
  <si>
    <t>UB Nordic Forest Fund III Syöttörahasto IV Ky</t>
  </si>
  <si>
    <t>21181015#044</t>
  </si>
  <si>
    <t>Erikoissijoitusrahasto Aktia Impakti</t>
  </si>
  <si>
    <t>20628401#040</t>
  </si>
  <si>
    <t>Pääkaupunkiseudun Tonttirahasto Ky</t>
  </si>
  <si>
    <t>30999185#001</t>
  </si>
  <si>
    <t>Ålandsbanken Nordiska Småbolag Placeringsfond</t>
  </si>
  <si>
    <t>14713626#046</t>
  </si>
  <si>
    <t>Sijoitusrahasto Nordea Institutionella Småbolagsfonden Sverige</t>
  </si>
  <si>
    <t>17377859#250</t>
  </si>
  <si>
    <t>Nest Capital Endowment III Ky</t>
  </si>
  <si>
    <t>29064614#014</t>
  </si>
  <si>
    <t>Butterfly Venture Fund IV Ky</t>
  </si>
  <si>
    <t>24764259#006</t>
  </si>
  <si>
    <t>Oivat Kaupunkikodit Ky</t>
  </si>
  <si>
    <t>07360527#113</t>
  </si>
  <si>
    <t>Erikoissijoitusrahasto eQ Asunnot</t>
  </si>
  <si>
    <t>07360527#114</t>
  </si>
  <si>
    <t>Sijoitusrahasto Nordea Innovation Stars</t>
  </si>
  <si>
    <t>17377859#251</t>
  </si>
  <si>
    <t>Taaleri Velkarahastot I Ky</t>
  </si>
  <si>
    <t>22643277#075</t>
  </si>
  <si>
    <t>Taaleri Velkarahastot I Rahoittajat Ky</t>
  </si>
  <si>
    <t>22643277#076</t>
  </si>
  <si>
    <t>Taaleri Velkarahastot I Sijoittajat Ky</t>
  </si>
  <si>
    <t>22643277#077</t>
  </si>
  <si>
    <t>Sijoitusrahasto Evli Osakefaktori Maailma</t>
  </si>
  <si>
    <t>07446590#103</t>
  </si>
  <si>
    <t>Sijoitusrahasto Evli Green Corporate Bond</t>
  </si>
  <si>
    <t>07446590#104</t>
  </si>
  <si>
    <t>OP-Eurooppa Arvoyhtiöt-sijoitusrahasto</t>
  </si>
  <si>
    <t>07439622#144</t>
  </si>
  <si>
    <t>Elite Alfred Berg Kehittyvät Markkinat Fokus Sijoitusrahasto</t>
  </si>
  <si>
    <t>07446590#131</t>
  </si>
  <si>
    <t>Elite Alfred Berg USA Fokus Sijoitusrahasto</t>
  </si>
  <si>
    <t>07446590#132</t>
  </si>
  <si>
    <t>Sijoitusrahasto UB Lyhyt Korko</t>
  </si>
  <si>
    <t>21181015#045</t>
  </si>
  <si>
    <t>CapMan Growth Equity Fund II Ky</t>
  </si>
  <si>
    <t>29064614#015</t>
  </si>
  <si>
    <t>Sijoitusrahasto Evli Nordic 2025 Target Maturity</t>
  </si>
  <si>
    <t>07446590#105</t>
  </si>
  <si>
    <t>Systematic alpha I Ky</t>
  </si>
  <si>
    <t>29063769#001</t>
  </si>
  <si>
    <t>CapMan Special Situations I Ky</t>
  </si>
  <si>
    <t>29064614#016</t>
  </si>
  <si>
    <t>UB Nordic Forest Fund III Syöttörahasto V Ky</t>
  </si>
  <si>
    <t>21181015#046</t>
  </si>
  <si>
    <t>OP-Alternative Portfolio -erikoissijoitusrahasto</t>
  </si>
  <si>
    <t>07439622#145</t>
  </si>
  <si>
    <t>Erikoissijoitusrahasto eQ Private Credit III</t>
  </si>
  <si>
    <t>07360527#115</t>
  </si>
  <si>
    <t>Trevian Retail II Ky</t>
  </si>
  <si>
    <t>25075439#005</t>
  </si>
  <si>
    <t>Erikoissijoitusrahasto LähiTapiola Korkotähdet</t>
  </si>
  <si>
    <t>16172050#025</t>
  </si>
  <si>
    <t>Erikoissijoitusrahasto LähiTapiola Tähtivarainhoito 25</t>
  </si>
  <si>
    <t>16172050#026</t>
  </si>
  <si>
    <t>GOS Private Debt I Ky</t>
  </si>
  <si>
    <t>29026204#002</t>
  </si>
  <si>
    <t>Sijoitusrahasto LähiTapiola Tähtivarainhoito 50</t>
  </si>
  <si>
    <t>10932901#070</t>
  </si>
  <si>
    <t>Sijoitusrahasto LähiTapiola Tähtivarainhoito 75</t>
  </si>
  <si>
    <t>10932901#071</t>
  </si>
  <si>
    <t>Erikoissijoitusrahasto LähiTapiola Osaketähdet</t>
  </si>
  <si>
    <t>16172050#029</t>
  </si>
  <si>
    <t>Minoria Fund I Ky</t>
  </si>
  <si>
    <t>31385118#001</t>
  </si>
  <si>
    <t>Minoria Feeder Fund I Ky</t>
  </si>
  <si>
    <t>31385118#002</t>
  </si>
  <si>
    <t>North Karelia Growth Fund Ky</t>
  </si>
  <si>
    <t>28619307#001</t>
  </si>
  <si>
    <t>South Savo Growth Fund Ky</t>
  </si>
  <si>
    <t>28619307#002</t>
  </si>
  <si>
    <t>BOA Rantakäärme Ky</t>
  </si>
  <si>
    <t>31225771#001</t>
  </si>
  <si>
    <t>Erikoissijoitusrahasto Asilo Argo</t>
  </si>
  <si>
    <t>21181015#047</t>
  </si>
  <si>
    <t>Säästöpankki Kiinteistö –erikoissijoitusrahasto</t>
  </si>
  <si>
    <t>17956316#037</t>
  </si>
  <si>
    <t>ICECAPITAL Housing Fund VI Ky</t>
  </si>
  <si>
    <t>22032150#016</t>
  </si>
  <si>
    <t>IC Housing Feeder VI Ky</t>
  </si>
  <si>
    <t>22032150#017</t>
  </si>
  <si>
    <t>Erikoissijoitusrahasto Obsido Global Balanced</t>
  </si>
  <si>
    <t>28233658#007</t>
  </si>
  <si>
    <t>Erikoissijoitusrahasto Obsido Global Aggressive</t>
  </si>
  <si>
    <t>28233658#008</t>
  </si>
  <si>
    <t>Evli Impact Forest Fund I Ky</t>
  </si>
  <si>
    <t>07446590#106</t>
  </si>
  <si>
    <t>Evli Impact Forest I Feeder A Ky</t>
  </si>
  <si>
    <t>07446590#107</t>
  </si>
  <si>
    <t>Eduimpact Fund Feeder II Ky</t>
  </si>
  <si>
    <t>28665274#003</t>
  </si>
  <si>
    <t>GRIT Innolab AI Equity Arbitrage Specialplaceringsfond</t>
  </si>
  <si>
    <t>18300220#030</t>
  </si>
  <si>
    <t>Certior Special Opportunities Fund Ky</t>
  </si>
  <si>
    <t>24169855#006</t>
  </si>
  <si>
    <t>FIM Infrastructure Mezzanine Debt Fund III Ky</t>
  </si>
  <si>
    <t>09791339#107</t>
  </si>
  <si>
    <t>Dasos Kestävä Metsä ja Puu III -erikoissijoitusrahasto</t>
  </si>
  <si>
    <t>19880781#006</t>
  </si>
  <si>
    <t>Erikoissijoitusrahasto Titanium Varainhoito</t>
  </si>
  <si>
    <t>22888047#006</t>
  </si>
  <si>
    <t>GRIT HSS Longview Specialplaceringsfond</t>
  </si>
  <si>
    <t>18300220#031</t>
  </si>
  <si>
    <t>Ålandsbanken Vindkraft Specialplaceringsfond</t>
  </si>
  <si>
    <t>14713626#047</t>
  </si>
  <si>
    <t>Erikoissijoitusrahasto CapMan Tre Smeder</t>
  </si>
  <si>
    <t>29064614#018</t>
  </si>
  <si>
    <t>eQ PE XIII US Ky</t>
  </si>
  <si>
    <t>07360527#116</t>
  </si>
  <si>
    <t>Erikoissijoitusrahasto eQ PE XIII US Feeder</t>
  </si>
  <si>
    <t>07360527#117</t>
  </si>
  <si>
    <t>Erikoissijoitusrahasto eQ PE UTU</t>
  </si>
  <si>
    <t>07360527#118</t>
  </si>
  <si>
    <t>Erikoissijoitusrahasto eQ PE Elva</t>
  </si>
  <si>
    <t>07360527#119</t>
  </si>
  <si>
    <t>Erikoissijoitusrahasto Aktia Mikro Kruunu</t>
  </si>
  <si>
    <t>20628401#041</t>
  </si>
  <si>
    <t>CapMan Endowment Special Situations I Ky</t>
  </si>
  <si>
    <t>29064614#019</t>
  </si>
  <si>
    <t>06725133#055</t>
  </si>
  <si>
    <t>Vendep Capital Fund III Ky</t>
  </si>
  <si>
    <t>27252961#004</t>
  </si>
  <si>
    <t>Vendep Capital Fund III Feeder Ky</t>
  </si>
  <si>
    <t>27252961#005</t>
  </si>
  <si>
    <t>Samla Hotels Ky</t>
  </si>
  <si>
    <t>26842943#005</t>
  </si>
  <si>
    <t>Icebreaker Opportunity Fund I Ky</t>
  </si>
  <si>
    <t>27605923#003</t>
  </si>
  <si>
    <t>Tuohex Kiinteistörahasto I Ky</t>
  </si>
  <si>
    <t>31436042#001</t>
  </si>
  <si>
    <t>Erikoissijoitusrahasto Evli Leveraged Loan</t>
  </si>
  <si>
    <t>07446590#108</t>
  </si>
  <si>
    <t>Obsido Vuokrarahasto I Ky (AIF)</t>
  </si>
  <si>
    <t>28233658#009</t>
  </si>
  <si>
    <t>Avara Vuokrakodit I Syöttörahasto II Ky</t>
  </si>
  <si>
    <t>21539603#006</t>
  </si>
  <si>
    <t>Erikoissijoitusrahasto eQ PE VEK</t>
  </si>
  <si>
    <t>07360527#120</t>
  </si>
  <si>
    <t>Erikoissijoitusrahasto eQ PE CCF</t>
  </si>
  <si>
    <t>07360527#121</t>
  </si>
  <si>
    <t>Evli Renewable Energy Infrastructure Fund Il Ky</t>
  </si>
  <si>
    <t>07446590#151</t>
  </si>
  <si>
    <t>Finnish Impact Film Fund Ky</t>
  </si>
  <si>
    <t>26188179#001</t>
  </si>
  <si>
    <t>Finnish Impact Film Fund Feeder Ky</t>
  </si>
  <si>
    <t>26188179#002</t>
  </si>
  <si>
    <t>Innovestor Life Science Fund Ky</t>
  </si>
  <si>
    <t>27097164#005</t>
  </si>
  <si>
    <t>Wave II Ky</t>
  </si>
  <si>
    <t>27838225#002</t>
  </si>
  <si>
    <t>Sijoitusrahasto Zenito UK Value Fund</t>
  </si>
  <si>
    <t>07446590#133</t>
  </si>
  <si>
    <t>WIP Technology Fund Erikoissijoitusrahasto</t>
  </si>
  <si>
    <t>18300220#032</t>
  </si>
  <si>
    <t>EAB Renewable Energy Infrastructure Fund II Feeder I Ky</t>
  </si>
  <si>
    <t>07446590#152</t>
  </si>
  <si>
    <t>Erikoissijoitusrahasto UB Metsä Global</t>
  </si>
  <si>
    <t>21181015#048</t>
  </si>
  <si>
    <t>Korona Fund IV Ky</t>
  </si>
  <si>
    <t>20377374#005</t>
  </si>
  <si>
    <t>Erikoissijoitusrahasto Titanium Baltia Kiinteistö</t>
  </si>
  <si>
    <t>22888047#007</t>
  </si>
  <si>
    <t>FOV Ventures Fund I Ky</t>
  </si>
  <si>
    <t>31777146#001</t>
  </si>
  <si>
    <t>Innovestor Life Science Private Fund Ky</t>
  </si>
  <si>
    <t>27097164#006</t>
  </si>
  <si>
    <t>OP Suomi Infra Ky</t>
  </si>
  <si>
    <t>07439622#146</t>
  </si>
  <si>
    <t>OP-Suomi Infra -erikoissijoitusrahasto</t>
  </si>
  <si>
    <t>07439622#147</t>
  </si>
  <si>
    <t>LähiTapiola Pääomasijoitus V Ky</t>
  </si>
  <si>
    <t>16172050#030</t>
  </si>
  <si>
    <t>Erikoissijoitusrahasto Aktia Private alarahasto Aktia Family Fund One</t>
  </si>
  <si>
    <t>20628401#044</t>
  </si>
  <si>
    <t>Nordia Kasvu Ky</t>
  </si>
  <si>
    <t>08668558#002</t>
  </si>
  <si>
    <t>Evli Private Debt Fund I Ky</t>
  </si>
  <si>
    <t>07446590#110</t>
  </si>
  <si>
    <t>Evli Private Debt I Feeder A Ky</t>
  </si>
  <si>
    <t>07446590#111</t>
  </si>
  <si>
    <t>S-Pankki Global Private Assets Erikoissijoitusrahasto</t>
  </si>
  <si>
    <t>09791339#093</t>
  </si>
  <si>
    <t>Intera Fund IV Ky</t>
  </si>
  <si>
    <t>31737232#004</t>
  </si>
  <si>
    <t>Evli Uusiutuva Energia II SR II Ky</t>
  </si>
  <si>
    <t>07446590#153</t>
  </si>
  <si>
    <t>GRIT SLS Erikoissijoitusrahasto</t>
  </si>
  <si>
    <t>18300220#033</t>
  </si>
  <si>
    <t>S-Pankki Vaikuttavuus I Ky</t>
  </si>
  <si>
    <t>09791339#109</t>
  </si>
  <si>
    <t>S-Pankki Vaikuttavuus I Holding Ky</t>
  </si>
  <si>
    <t>09791339#110</t>
  </si>
  <si>
    <t>LähiTapiola Pääomasijoitus V Feeder Ky</t>
  </si>
  <si>
    <t>16172050#031</t>
  </si>
  <si>
    <t>MB Equity Fund VI Ky</t>
  </si>
  <si>
    <t>31782818#001</t>
  </si>
  <si>
    <t>EAB Value Added Fund III Ky</t>
  </si>
  <si>
    <t>07446590#154</t>
  </si>
  <si>
    <t>EAB Value Added Fund III Feeder I Ky</t>
  </si>
  <si>
    <t>07446590#155</t>
  </si>
  <si>
    <t>Erikoissijoitusrahasto eQ PE VII US Feeder II</t>
  </si>
  <si>
    <t>07360527#123</t>
  </si>
  <si>
    <t>Sijoitusrahasto Fourton ESG Dynasty</t>
  </si>
  <si>
    <t>31417319#006</t>
  </si>
  <si>
    <t>EduImpact Fund Feeder III Ky</t>
  </si>
  <si>
    <t>28665274#004</t>
  </si>
  <si>
    <t>Sijoitusrahasto Titanium Kehittyvät Markkinat Kasvuosinko ESG</t>
  </si>
  <si>
    <t>22888047#008</t>
  </si>
  <si>
    <t>EAB Renewable Energy Infrastructure Fund II Feeder III Ky</t>
  </si>
  <si>
    <t>07446590#156</t>
  </si>
  <si>
    <t>OP-Pohjoismaat Mikroyhtiöt -erikoissijoitusrahasto</t>
  </si>
  <si>
    <t>07439622#148</t>
  </si>
  <si>
    <t>S-Pankki Uudistava Maatalous Erikoissijoitusrahasto</t>
  </si>
  <si>
    <t>09791339#094</t>
  </si>
  <si>
    <t>AGCM Dragon Fund Erikoissijoitusrahasto</t>
  </si>
  <si>
    <t>18300220#034</t>
  </si>
  <si>
    <t>Avara Vuokrakodit I Syöttörahasto III Ky</t>
  </si>
  <si>
    <t>21539603#007</t>
  </si>
  <si>
    <t>Sijoitusrahasto UB Eurooppa AI</t>
  </si>
  <si>
    <t>21181015#049</t>
  </si>
  <si>
    <t>EAB Value Added Fund III SR II Ky</t>
  </si>
  <si>
    <t>07446590#157</t>
  </si>
  <si>
    <t>Erikoissijoitusrahasto Nordea Global Private Markets</t>
  </si>
  <si>
    <t>17377859#252</t>
  </si>
  <si>
    <t>Aktia Asuntorahasto VIII Ky</t>
  </si>
  <si>
    <t>20628401#045</t>
  </si>
  <si>
    <t>Aktia Asuntorahasto VIII Rahoittajat Ky</t>
  </si>
  <si>
    <t>20628401#046</t>
  </si>
  <si>
    <t>Aktia Asuntorahasto VIII Sijoittajat 500 Ky</t>
  </si>
  <si>
    <t>20628401#047</t>
  </si>
  <si>
    <t>Aktia Asuntorahasto VIII Sijoittajat 100 Ky</t>
  </si>
  <si>
    <t>20628401#048</t>
  </si>
  <si>
    <t>Aktia Asuntorahasto VIII Omistajat Ky</t>
  </si>
  <si>
    <t>20628401#049</t>
  </si>
  <si>
    <t>Taaleri Asuntorahasto VIII Ky</t>
  </si>
  <si>
    <t>22643277#079</t>
  </si>
  <si>
    <t>DevCo Partners IV Ky</t>
  </si>
  <si>
    <t>26194405#003</t>
  </si>
  <si>
    <t>Erikoissijoitusrahasto CWS Investment Partners Fund</t>
  </si>
  <si>
    <t>29064614#022</t>
  </si>
  <si>
    <t>EGP Fund II Ky</t>
  </si>
  <si>
    <t>07446590#112</t>
  </si>
  <si>
    <t>EGP Feeder Fund II Ky</t>
  </si>
  <si>
    <t>07446590#113</t>
  </si>
  <si>
    <t>S-Pankki Kiinteistövarainhoito Erikoissijoitusrahasto</t>
  </si>
  <si>
    <t>09791339#095</t>
  </si>
  <si>
    <t>Estlander &amp; Partners Tailhedge Erikoissijoitusrahasto</t>
  </si>
  <si>
    <t>18300220#035</t>
  </si>
  <si>
    <t>EAB Renewable Energy Infrastructure Fund II Feeder IV Ky</t>
  </si>
  <si>
    <t>07446590#158</t>
  </si>
  <si>
    <t>Inventure Fund IV Ky</t>
  </si>
  <si>
    <t>19790751#005</t>
  </si>
  <si>
    <t>DEAS Tonttirahasto II Ky</t>
  </si>
  <si>
    <t>25997361#007</t>
  </si>
  <si>
    <t>DEAS Tontti Holding II Ky</t>
  </si>
  <si>
    <t>25997361#008</t>
  </si>
  <si>
    <t>DEAS Tontti Holding II PB Ky</t>
  </si>
  <si>
    <t>25997361#009</t>
  </si>
  <si>
    <t>Robin Capital Fund I Ky</t>
  </si>
  <si>
    <t>29208526#001</t>
  </si>
  <si>
    <t>Virta Sijoituspooli I Ky</t>
  </si>
  <si>
    <t>32140454#001</t>
  </si>
  <si>
    <t>Butterfly Feeder Fund IV Ky</t>
  </si>
  <si>
    <t>24764259#007</t>
  </si>
  <si>
    <t>Alexandria Pienyhtiöt Erikoissijoitusrahasto</t>
  </si>
  <si>
    <t>16039364#010</t>
  </si>
  <si>
    <t>Sijoitusrahasto Nordea Vastuullinen Valinta Erittäin Tuottohakuinen</t>
  </si>
  <si>
    <t>17377859#253</t>
  </si>
  <si>
    <t>Sijoitusrahasto Nordea Vastuullinen Valinta Tuottohakuinen (SEK)</t>
  </si>
  <si>
    <t>17377859#254</t>
  </si>
  <si>
    <t>Sijoitusrahasto Nordea Vastuullinen Valinta Tuottohakuinen (NOK)</t>
  </si>
  <si>
    <t>17377859#255</t>
  </si>
  <si>
    <t>Sijoitusrahasto Nordea Nordic Covered Bond</t>
  </si>
  <si>
    <t>17377859#256</t>
  </si>
  <si>
    <t>TB VC Solutions eQ Ky</t>
  </si>
  <si>
    <t>07360527#124</t>
  </si>
  <si>
    <t>Erikoissijoitusrahasto eQ VC</t>
  </si>
  <si>
    <t>07360527#125</t>
  </si>
  <si>
    <t>UB Forest Industry Green Growth Fund I Ky</t>
  </si>
  <si>
    <t>21181015#050</t>
  </si>
  <si>
    <t>Evli Residential Fund II Ky</t>
  </si>
  <si>
    <t>07446590#114</t>
  </si>
  <si>
    <t>Evli Residential II Feeder A Ky</t>
  </si>
  <si>
    <t>07446590#115</t>
  </si>
  <si>
    <t>Evli Private Equity III Ky</t>
  </si>
  <si>
    <t>07446590#116</t>
  </si>
  <si>
    <t>Evli Private Equity III Feeder A Ky</t>
  </si>
  <si>
    <t>07446590#117</t>
  </si>
  <si>
    <t>Vaaka Partners Buyout Fund IV Ky</t>
  </si>
  <si>
    <t>21283126#023</t>
  </si>
  <si>
    <t>Vaaka Partners Buyout Fund IV Feeder Ky</t>
  </si>
  <si>
    <t>21283126#024</t>
  </si>
  <si>
    <t>DevCo Partners IV Syöttörahasto Ky</t>
  </si>
  <si>
    <t>26194405#004</t>
  </si>
  <si>
    <t>eQ PE XIV North Ky</t>
  </si>
  <si>
    <t>07360527#126</t>
  </si>
  <si>
    <t>Erikoissijoitusrahasto eQ PE XIV North Feeder</t>
  </si>
  <si>
    <t>07360527#127</t>
  </si>
  <si>
    <t>Erikoissijoitusrahasto eQ PE SF IV</t>
  </si>
  <si>
    <t>07360527#128</t>
  </si>
  <si>
    <t>EAB Value Added Fund III SR III Ky</t>
  </si>
  <si>
    <t>07446590#159</t>
  </si>
  <si>
    <t>Taaleri Bioindustry Fund I Ky</t>
  </si>
  <si>
    <t>22643277#080</t>
  </si>
  <si>
    <t>Oivat Kaupunkikodit II Ky</t>
  </si>
  <si>
    <t>07360527#129</t>
  </si>
  <si>
    <t>Erikoissijoitusrahasto eQ Asunnot II</t>
  </si>
  <si>
    <t>07360527#130</t>
  </si>
  <si>
    <t>Erikoissijoitusrahasto eQ PE TSR 2022</t>
  </si>
  <si>
    <t>07360527#131</t>
  </si>
  <si>
    <t>Erikoissijoitusrahasto eQ PE Hereditas</t>
  </si>
  <si>
    <t>07360527#132</t>
  </si>
  <si>
    <t>Evli Uusiutuva Energia II SR V Ky</t>
  </si>
  <si>
    <t>07446590#160</t>
  </si>
  <si>
    <t>Aktia Bioteollisuus I Ky</t>
  </si>
  <si>
    <t>20628401#053</t>
  </si>
  <si>
    <t>Aktia Bioteollisuus I Rahoittajat Ky</t>
  </si>
  <si>
    <t>20628401#054</t>
  </si>
  <si>
    <t>Aktia Bioteollisuus I Sijoittajat 500 Ky</t>
  </si>
  <si>
    <t>20628401#055</t>
  </si>
  <si>
    <t>Aktia Bioteollisuus I Sijoittajat 100 Ky</t>
  </si>
  <si>
    <t>20628401#056</t>
  </si>
  <si>
    <t>Aktia Bioteollisuus I Omistajat Ky</t>
  </si>
  <si>
    <t>20628401#057</t>
  </si>
  <si>
    <t>Korkia Uusiutuva Energia Ky</t>
  </si>
  <si>
    <t>25997361#010</t>
  </si>
  <si>
    <t>Korkia Uusiutuva Energia Holding Ky</t>
  </si>
  <si>
    <t>25997361#011</t>
  </si>
  <si>
    <t>Korkia Uusiutuva Energia Holding PB Ky</t>
  </si>
  <si>
    <t>25997361#012</t>
  </si>
  <si>
    <t>Erikoissijoitusrahasto HCP Bricks</t>
  </si>
  <si>
    <t>21543362#004</t>
  </si>
  <si>
    <t>UB Forest Industry Green Growth Feeder Fund I Ky</t>
  </si>
  <si>
    <t>21181015#051</t>
  </si>
  <si>
    <t>Erikoissijoitusrahasto Evli Logistiikkakiinteistöt</t>
  </si>
  <si>
    <t>07446590#161</t>
  </si>
  <si>
    <t>B10 Sustainable Farmland Erikoissijoitusrahasto</t>
  </si>
  <si>
    <t>18300220#038</t>
  </si>
  <si>
    <t>Erikoissijoitusrahasto Finlandia Asset Allocator 75</t>
  </si>
  <si>
    <t>23245609#018</t>
  </si>
  <si>
    <t>Sijoitusrahasto Nordea Stratega 90</t>
  </si>
  <si>
    <t>17377859#257</t>
  </si>
  <si>
    <t>Sijoitusrahasto POP Tarmo</t>
  </si>
  <si>
    <t>17956316#038</t>
  </si>
  <si>
    <t>Forea Osakestrategia- Erikoissijoitusrahasto</t>
  </si>
  <si>
    <t>18300220#039</t>
  </si>
  <si>
    <t>Erikoissijoitusrahasto CWS Investment Partners Fund II</t>
  </si>
  <si>
    <t>29064614#025</t>
  </si>
  <si>
    <t>Erikoissijoitusrahasto CapMan Endowment Nordic Infrastructure II Fund</t>
  </si>
  <si>
    <t>29064614#026</t>
  </si>
  <si>
    <t>Canelco Capital Oy</t>
  </si>
  <si>
    <t>22380761#007</t>
  </si>
  <si>
    <t>Superhero Opportunity Fund 2022 Ky</t>
  </si>
  <si>
    <t>26963091#004</t>
  </si>
  <si>
    <t>Voland Technology Growth Fund I Ky</t>
  </si>
  <si>
    <t>32251293#001</t>
  </si>
  <si>
    <t>Saari II Ky</t>
  </si>
  <si>
    <t>27268664#002</t>
  </si>
  <si>
    <t>Sijoitusrahasto Nordea World Passive</t>
  </si>
  <si>
    <t>17377859#258</t>
  </si>
  <si>
    <t>EAB Renewable Energy Infrastructure Fund II Feeder VI Ky</t>
  </si>
  <si>
    <t>07446590#162</t>
  </si>
  <si>
    <t>Voland Technology Growth Fund I Feeder Ky</t>
  </si>
  <si>
    <t>32251293#002</t>
  </si>
  <si>
    <t>Sijoitusrahasto Evli Pohjoismaat Pienyhtiöt</t>
  </si>
  <si>
    <t>07446590#120</t>
  </si>
  <si>
    <t>Sijoitusrahasto Evli USA Kasvu</t>
  </si>
  <si>
    <t>07446590#121</t>
  </si>
  <si>
    <t>Inventure Technology IV Ky</t>
  </si>
  <si>
    <t>19790751#006</t>
  </si>
  <si>
    <t>EAB Value Added Fund III SR IV Ky</t>
  </si>
  <si>
    <t>07446590#163</t>
  </si>
  <si>
    <t>Evli Uusiutuva Energia II SR VII Ky</t>
  </si>
  <si>
    <t>07446590#164</t>
  </si>
  <si>
    <t>Alexandria Ympäristö Erikoissijoitusrahasto</t>
  </si>
  <si>
    <t>16039364#011</t>
  </si>
  <si>
    <t>MMF</t>
  </si>
  <si>
    <t>Placeringsfond SEB Money Manager</t>
  </si>
  <si>
    <t>08151401#010</t>
  </si>
  <si>
    <t>Rahamarkkinarahasto</t>
  </si>
  <si>
    <t>Placeringsfond SEB Euro Short Rate</t>
  </si>
  <si>
    <t>08151401#024</t>
  </si>
  <si>
    <t>Placeringsfonden Handelsbanken Euroränta</t>
  </si>
  <si>
    <t>11050193#004</t>
  </si>
  <si>
    <t>Sijoitusrahasto Alfred Berg Korko</t>
  </si>
  <si>
    <t>09137804#012</t>
  </si>
  <si>
    <t>Placeringsfond SEB Likviditetsfond</t>
  </si>
  <si>
    <t>08151401#019</t>
  </si>
  <si>
    <t>Sijoitusrahasto eQ Lyhyt Rahamarkkinarahasto</t>
  </si>
  <si>
    <t>07360527#057</t>
  </si>
  <si>
    <t>Sijoitusrahasto LähiTapiola Kassakorko</t>
  </si>
  <si>
    <t>09791339#058</t>
  </si>
  <si>
    <t>Sijoitusrahasto Danske Invest Rahamarkkina</t>
  </si>
  <si>
    <t>06716026#098</t>
  </si>
  <si>
    <t>Elite Alfred Berg Suomi Fokus Sijoitusrahasto</t>
  </si>
  <si>
    <t>07446590#129</t>
  </si>
  <si>
    <t>Sijoitusrahasto Alfred Berg Obligaatio</t>
  </si>
  <si>
    <t>09137804#003</t>
  </si>
  <si>
    <t>FIM Forte Sijoitusrahasto</t>
  </si>
  <si>
    <t>09791339#003</t>
  </si>
  <si>
    <t>Placeringsfond SEB Finlandia Optimized Low Carbon</t>
  </si>
  <si>
    <t>08151401#013</t>
  </si>
  <si>
    <t>Placeringsfond SEB Finland Optimum</t>
  </si>
  <si>
    <t>08151401#011</t>
  </si>
  <si>
    <t>Placeringsfond SEB 50</t>
  </si>
  <si>
    <t>08151401#015</t>
  </si>
  <si>
    <t>Placeringsfond SEB Finland Small Cap</t>
  </si>
  <si>
    <t>08151401#012</t>
  </si>
  <si>
    <t>Placeringsfond SEB Global Equity Multimanager</t>
  </si>
  <si>
    <t>08151401#008</t>
  </si>
  <si>
    <t>Placeringsfond SEB 80</t>
  </si>
  <si>
    <t>08151401#016</t>
  </si>
  <si>
    <t>OP-Delta -sijoitusrahasto</t>
  </si>
  <si>
    <t>07439622#014</t>
  </si>
  <si>
    <t>Placeringsfond SEB Finland Momentum</t>
  </si>
  <si>
    <t>08151401#009</t>
  </si>
  <si>
    <t>Placeringsfond SEB European Equity</t>
  </si>
  <si>
    <t>08151401#006</t>
  </si>
  <si>
    <t>Placeringsfonden Handelsbanken Euro-obligation</t>
  </si>
  <si>
    <t>11050193#002</t>
  </si>
  <si>
    <t>Placeringsfonden Handelsbanken Finland</t>
  </si>
  <si>
    <t>11050193#001</t>
  </si>
  <si>
    <t>FIM Russia Sijoitusrahasto</t>
  </si>
  <si>
    <t>09791339#007</t>
  </si>
  <si>
    <t>Sijoitusrahasto Danske Invest Eurooppa Yhdistelmä</t>
  </si>
  <si>
    <t>06716026#005</t>
  </si>
  <si>
    <t>Sijoitusrahasto Alfred Berg Small Cap Finland</t>
  </si>
  <si>
    <t>09137804#010</t>
  </si>
  <si>
    <t>Placeringsfond SEB Euro Bond</t>
  </si>
  <si>
    <t>08151401#005</t>
  </si>
  <si>
    <t>Ålandsbanken Premium 70 Placeringsfond</t>
  </si>
  <si>
    <t>14713626#002</t>
  </si>
  <si>
    <t>Sijoitusrahasto eQ Globaali Telekommunikaatio</t>
  </si>
  <si>
    <t>07360527#034</t>
  </si>
  <si>
    <t>Sijoitusrahasto eQ Globaali Sektorit</t>
  </si>
  <si>
    <t>07360527#023</t>
  </si>
  <si>
    <t>Placeringsfond SEB Ethical Forum</t>
  </si>
  <si>
    <t>08151401#002</t>
  </si>
  <si>
    <t>Placeringsfond SEB 30</t>
  </si>
  <si>
    <t>08151401#014</t>
  </si>
  <si>
    <t>Placeringsfonden Handelsbanken Europa Aggressiv</t>
  </si>
  <si>
    <t>11050193#003</t>
  </si>
  <si>
    <t>Placeringsfond SEB European Optimum</t>
  </si>
  <si>
    <t>08151401#007</t>
  </si>
  <si>
    <t>07439622#001</t>
  </si>
  <si>
    <t>Placerinfsfonden Aktia Folkhälsan</t>
  </si>
  <si>
    <t>06725133#004</t>
  </si>
  <si>
    <t>Elite Alfred Berg Eurooppa Fokus Sijoitusrahasto</t>
  </si>
  <si>
    <t>07446590#128</t>
  </si>
  <si>
    <t>Placeringsfond SEB European Exposure</t>
  </si>
  <si>
    <t>08151401#001</t>
  </si>
  <si>
    <t>Sijoitusrahasto eQ Globaali Teknologia</t>
  </si>
  <si>
    <t>07360527#032</t>
  </si>
  <si>
    <t>FIM Rohto Sijoitusrahasto</t>
  </si>
  <si>
    <t>09791339#006</t>
  </si>
  <si>
    <t>Placeringsfonden Handelsbanken Mega Mixränta</t>
  </si>
  <si>
    <t>11050193#005</t>
  </si>
  <si>
    <t>Sijoitusrahasto Danske Invest Kultapossu</t>
  </si>
  <si>
    <t>06716026#014</t>
  </si>
  <si>
    <t>Sijoitusrahasto Danske Invest Suomen Pienyhtiöt</t>
  </si>
  <si>
    <t>06716026#020</t>
  </si>
  <si>
    <t>Sijoitusrahasto Danske Invest Yhteisöobligaatio</t>
  </si>
  <si>
    <t>06716026#026</t>
  </si>
  <si>
    <t>Sijoitusrahasto Danske Invest Suomi Yhteisöosake</t>
  </si>
  <si>
    <t>06716026#027</t>
  </si>
  <si>
    <t>OP-Itä-Eurooppa -sijoitusrahasto</t>
  </si>
  <si>
    <t>07439622#019</t>
  </si>
  <si>
    <t>OP-Kehittyvä Eurooppa -sijoitusrahasto</t>
  </si>
  <si>
    <t>07439622#093</t>
  </si>
  <si>
    <t>Specialplaceringsfonden Sb-Kombinationsfond</t>
  </si>
  <si>
    <t>06725133#010</t>
  </si>
  <si>
    <t>Sijoitusrahasto Danske Invest Baltic Equity</t>
  </si>
  <si>
    <t>06716026#029</t>
  </si>
  <si>
    <t>Sijoitusrahasto Danske Invest Tavoite 2020</t>
  </si>
  <si>
    <t>06716026#037</t>
  </si>
  <si>
    <t>Sijoitusrahasto Alfred Berg Global</t>
  </si>
  <si>
    <t>09137804#014</t>
  </si>
  <si>
    <t>Sijoitusrahasto LähiTapiola 2015</t>
  </si>
  <si>
    <t>09791339#049</t>
  </si>
  <si>
    <t>Sijoitusrahasto LähiTapiola 2020</t>
  </si>
  <si>
    <t>09791339#050</t>
  </si>
  <si>
    <t>FIM Tekoäly Sijoitusrahasto</t>
  </si>
  <si>
    <t>09791339#012</t>
  </si>
  <si>
    <t>OP-Amerikka -sijoitusrahasto</t>
  </si>
  <si>
    <t>07439622#024</t>
  </si>
  <si>
    <t>OP-Focus -erikoissijoitusrahasto</t>
  </si>
  <si>
    <t>07439622#029</t>
  </si>
  <si>
    <t>Placeringsfond SEB US Exposure</t>
  </si>
  <si>
    <t>08151401#017</t>
  </si>
  <si>
    <t>Sijoitusrahasto Danske Invest Emerging Asia</t>
  </si>
  <si>
    <t>06716026#047</t>
  </si>
  <si>
    <t>Sijoitusrahasto Danske Invest Kontra</t>
  </si>
  <si>
    <t>06716026#052</t>
  </si>
  <si>
    <t>Sijoitusrahasto Danske Invest Valtionobligaatio</t>
  </si>
  <si>
    <t>06716026#060</t>
  </si>
  <si>
    <t>Sijoitusrahasto eQ Globaali Perusteollisuus</t>
  </si>
  <si>
    <t>07360527#031</t>
  </si>
  <si>
    <t>Sijoitusrahasto eQ Globaali Kuluttaja</t>
  </si>
  <si>
    <t>07360527#025</t>
  </si>
  <si>
    <t>Sijoitusrahasto eQ Globaali Terveydenhuolto</t>
  </si>
  <si>
    <t>07360527#029</t>
  </si>
  <si>
    <t>Sijoitusrahasto eQ Globaali Rahoitus</t>
  </si>
  <si>
    <t>07360527#027</t>
  </si>
  <si>
    <t>Placeringsfonden Handelsbanken Europa Index</t>
  </si>
  <si>
    <t>11050193#006</t>
  </si>
  <si>
    <t>Placeringsfond SEB Global High Yield</t>
  </si>
  <si>
    <t>08151401#018</t>
  </si>
  <si>
    <t>FIM China Sijoitusrahasto</t>
  </si>
  <si>
    <t>09791339#013</t>
  </si>
  <si>
    <t>FIM Kehittyvät Markkinat Pienemmät Yhtiöt Sijoitusrahasto</t>
  </si>
  <si>
    <t>09791339#039</t>
  </si>
  <si>
    <t>Sijoitusrahasto LähiTapiola Vastuullinen Kehittyvät Markkinat</t>
  </si>
  <si>
    <t>09791339#061</t>
  </si>
  <si>
    <t>Sijoitusrahasto Nordea Medica</t>
  </si>
  <si>
    <t>17377859#039</t>
  </si>
  <si>
    <t>Sijoitusrahasto Nordea Eurooppa</t>
  </si>
  <si>
    <t>17377859#017</t>
  </si>
  <si>
    <t>Sijoitusrahasto Nordea Foresta</t>
  </si>
  <si>
    <t>17377859#018</t>
  </si>
  <si>
    <t>Sijoitusrahasto Nordea Teknologia</t>
  </si>
  <si>
    <t>17377859#034</t>
  </si>
  <si>
    <t>Sijoitusrahasto Nordea Pro Eurooppa</t>
  </si>
  <si>
    <t>17377859#025</t>
  </si>
  <si>
    <t>Erikoissijoitusrahasto Danske Invest Europe Enhanced Index</t>
  </si>
  <si>
    <t>06716026#062</t>
  </si>
  <si>
    <t>Erikoissijoitusrahasto Danske Invest North America Enhanced Index</t>
  </si>
  <si>
    <t>06716026#063</t>
  </si>
  <si>
    <t>FIM Eurooppa pienemmät yhtiöt Sijoitusrahasto</t>
  </si>
  <si>
    <t>09791339#015</t>
  </si>
  <si>
    <t>Sijoitusrahasto Danske Invest US Small Cap Value</t>
  </si>
  <si>
    <t>06716026#064</t>
  </si>
  <si>
    <t>Erikoissijoitusrahasto Danske Invest Eliksir</t>
  </si>
  <si>
    <t>06716026#068</t>
  </si>
  <si>
    <t>OP-Eurooppa Teema -sijoitusrahasto</t>
  </si>
  <si>
    <t>07439622#035</t>
  </si>
  <si>
    <t>OP-Eurooppa Osake -sijoitusrahasto</t>
  </si>
  <si>
    <t>07439622#064</t>
  </si>
  <si>
    <t>Sijoitusrahasto Danske Invest Kestävä Arvo Korko</t>
  </si>
  <si>
    <t>06716026#070</t>
  </si>
  <si>
    <t>FIM Emerging Europe Sijoitusrahasto</t>
  </si>
  <si>
    <t>09791339#017</t>
  </si>
  <si>
    <t>Ålandsbanken Nordic Value Placeringsfond</t>
  </si>
  <si>
    <t>14713626#007</t>
  </si>
  <si>
    <t>Specialplaceringsfonden Aktia Asset Allocation</t>
  </si>
  <si>
    <t>06725133#015</t>
  </si>
  <si>
    <t>Sijoitusrahasto FOURTON Odysseus</t>
  </si>
  <si>
    <t>09051752#001</t>
  </si>
  <si>
    <t>Sijoitusrahasto FOURTON Stamina</t>
  </si>
  <si>
    <t>09051752#002</t>
  </si>
  <si>
    <t>Sijoitusrahasto eQ Eurooppa Kiinteistö</t>
  </si>
  <si>
    <t>07360527#054</t>
  </si>
  <si>
    <t>Sijoitusrahasto eQ Globaali Teollisuus</t>
  </si>
  <si>
    <t>07360527#030</t>
  </si>
  <si>
    <t>FIM Brazil Sijoitusrahasto</t>
  </si>
  <si>
    <t>09791339#019</t>
  </si>
  <si>
    <t>Sijoitusrahasto Danske Invest Latin America</t>
  </si>
  <si>
    <t>06716026#074</t>
  </si>
  <si>
    <t>Sijoitusrahasto Danske Invest Kiinteistö</t>
  </si>
  <si>
    <t>06716026#075</t>
  </si>
  <si>
    <t>Erikoissijoitusrahasto Danske Invest High Yield</t>
  </si>
  <si>
    <t>06716026#077</t>
  </si>
  <si>
    <t>Erikoissijoitusrahasto Danske Invest Raaka-aine</t>
  </si>
  <si>
    <t>06716026#078</t>
  </si>
  <si>
    <t>Erikoissijoitusrahasto Danske Invest Kulta</t>
  </si>
  <si>
    <t>06716026#079</t>
  </si>
  <si>
    <t>Sijoitusrahasto Evli Venäjä</t>
  </si>
  <si>
    <t>07446590#038</t>
  </si>
  <si>
    <t>Erikoissijoitusrahasto Nordea Takuuturva 100</t>
  </si>
  <si>
    <t>17377859#057</t>
  </si>
  <si>
    <t>Placeringsfonden Handelsbanken Sverige Selektiv</t>
  </si>
  <si>
    <t>11050193#007</t>
  </si>
  <si>
    <t>Specialplaceringsfonden Handelsbanken Klick Sverige 90</t>
  </si>
  <si>
    <t>11050193#009</t>
  </si>
  <si>
    <t>Specialplaceringsfonden Handelsbanken Europa Protect</t>
  </si>
  <si>
    <t>11050193#010</t>
  </si>
  <si>
    <t>Placeringsfonden Handelsbanken Norden Selektiv</t>
  </si>
  <si>
    <t>11050193#012</t>
  </si>
  <si>
    <t>Placeringsfonden Handelsbanken Europa Selektiv</t>
  </si>
  <si>
    <t>11050193#013</t>
  </si>
  <si>
    <t>Placeringsfonden Handelsbanken Fond i Fond 50</t>
  </si>
  <si>
    <t>11050193#016</t>
  </si>
  <si>
    <t>Placeringsfonden Handelsbanken Aktiv 50</t>
  </si>
  <si>
    <t>11050193#014</t>
  </si>
  <si>
    <t>Placeringsfonden Handelsbanken Aktiv 100</t>
  </si>
  <si>
    <t>11050193#015</t>
  </si>
  <si>
    <t>Sijoitusrahasto Danske Invest Mustameri</t>
  </si>
  <si>
    <t>06716026#083</t>
  </si>
  <si>
    <t>Sijoitusrahasto Evli Rupla Korko</t>
  </si>
  <si>
    <t>07446590#039</t>
  </si>
  <si>
    <t>Erikoissijoitusrahasto Nordea Osakesalkku</t>
  </si>
  <si>
    <t>17377859#060</t>
  </si>
  <si>
    <t>Erikoissijoitusrahasto Nordea Korkosalkku Plus</t>
  </si>
  <si>
    <t>17377859#065</t>
  </si>
  <si>
    <t>Erikoissijoitusrahasto eQ Raaka-aine</t>
  </si>
  <si>
    <t>07360527#043</t>
  </si>
  <si>
    <t>FIM Russia Small Cap Sijoitusrahasto</t>
  </si>
  <si>
    <t>09791339#023</t>
  </si>
  <si>
    <t>Placeringsfonden Ålandsbanken Emerging Markets</t>
  </si>
  <si>
    <t>14713626#009</t>
  </si>
  <si>
    <t>Ålandsbanken Premium 30 Placeringsfond</t>
  </si>
  <si>
    <t>14713626#011</t>
  </si>
  <si>
    <t>Placeringsfonden Handelsbanken Stabil 25</t>
  </si>
  <si>
    <t>11050193#023</t>
  </si>
  <si>
    <t>Placeringsfonden Handelsbanken Pension 50 Aktiv</t>
  </si>
  <si>
    <t>11050193#024</t>
  </si>
  <si>
    <t>Placeringsfonden Handelsbanken Pension 60 Aktiv</t>
  </si>
  <si>
    <t>11050193#025</t>
  </si>
  <si>
    <t>Placeringsfonden Handelsbanken Pension 70 Aktiv</t>
  </si>
  <si>
    <t>11050193#026</t>
  </si>
  <si>
    <t>Placeringsfonden Handelsbanken Pension 80 Aktiv</t>
  </si>
  <si>
    <t>11050193#027</t>
  </si>
  <si>
    <t>Sijoitusrahasto Danske Invest Russia Small Cap</t>
  </si>
  <si>
    <t>06716026#086</t>
  </si>
  <si>
    <t>Placeringsfond SEB Företagsobligationsfond Flexibel</t>
  </si>
  <si>
    <t>08151401#022</t>
  </si>
  <si>
    <t>Placeringsfonden Handelsbanken Kina</t>
  </si>
  <si>
    <t>11050193#029</t>
  </si>
  <si>
    <t>Sijoitusrahasto Danske Invest Pohjoisen Pienyhtiöt</t>
  </si>
  <si>
    <t>06716026#089</t>
  </si>
  <si>
    <t>Sijoitusrahasto Danske Invest Pohjoisen Parhaat</t>
  </si>
  <si>
    <t>06716026#090</t>
  </si>
  <si>
    <t>Specialplaceringsfond SEB Räntehedge Alpha</t>
  </si>
  <si>
    <t>08151401#023</t>
  </si>
  <si>
    <t>Erikoissijoitusrahasto Nordea II Takuuturva 100</t>
  </si>
  <si>
    <t>17377859#069</t>
  </si>
  <si>
    <t>Erikoissijoitusrahasto Estlander &amp; Partners Presto</t>
  </si>
  <si>
    <t>18300220#002</t>
  </si>
  <si>
    <t>OP-Pääomaturva 2017 -erikoissijoitusrahasto</t>
  </si>
  <si>
    <t>07439622#042</t>
  </si>
  <si>
    <t>Sijoitusrahasto Danske Invest Arvo Venäjä</t>
  </si>
  <si>
    <t>06716026#092</t>
  </si>
  <si>
    <t>Placeringsfonden Ålandsbanken Finland Value</t>
  </si>
  <si>
    <t>14713626#013</t>
  </si>
  <si>
    <t>Sijoitusrahasto Nordea Uudet Kasvumarkkinat</t>
  </si>
  <si>
    <t>17377859#070</t>
  </si>
  <si>
    <t>OP-Obligaatio -sijoitusrahasto</t>
  </si>
  <si>
    <t>07439622#047</t>
  </si>
  <si>
    <t>OP-Vaihtovelkakirjalaina -sijoitusrahasto</t>
  </si>
  <si>
    <t>07439622#065</t>
  </si>
  <si>
    <t>OP-Raaka-aine -erikoissijoitusrahasto</t>
  </si>
  <si>
    <t>07439622#068</t>
  </si>
  <si>
    <t>OP-Aasia Tiikerit -sijoitusrahasto</t>
  </si>
  <si>
    <t>07439622#069</t>
  </si>
  <si>
    <t>OP-Horisontti 2015 -sijoitusrahasto</t>
  </si>
  <si>
    <t>07439622#073</t>
  </si>
  <si>
    <t>OP-Horisontti 2025 -sijoitusrahasto</t>
  </si>
  <si>
    <t>07439622#074</t>
  </si>
  <si>
    <t>OP-Horisontti 2035 -sijoitusrahasto</t>
  </si>
  <si>
    <t>07439622#075</t>
  </si>
  <si>
    <t>Erikoissijoitusrahasto LähiTapiola Japani</t>
  </si>
  <si>
    <t>09791339#045</t>
  </si>
  <si>
    <t>Sijoitusrahasto Evli New Republics</t>
  </si>
  <si>
    <t>07446590#043</t>
  </si>
  <si>
    <t>Sijoitusrahasto eQ Suomiliiga</t>
  </si>
  <si>
    <t>07360527#018</t>
  </si>
  <si>
    <t>Erikoissijoitusrahasto Populus</t>
  </si>
  <si>
    <t>06652755#002</t>
  </si>
  <si>
    <t>Sijoitusrahasto LähiTapiola Vastuullinen Osinko Suomi</t>
  </si>
  <si>
    <t>09791339#071</t>
  </si>
  <si>
    <t>FIM Sahara Sijoitusrahasto</t>
  </si>
  <si>
    <t>09791339#031</t>
  </si>
  <si>
    <t>FIM Ukraine Sijoitusrahasto</t>
  </si>
  <si>
    <t>09791339#032</t>
  </si>
  <si>
    <t>OP-Yrityslaina Prima -sijoitusrahasto</t>
  </si>
  <si>
    <t>07439622#077</t>
  </si>
  <si>
    <t>Placeringsfonden Aktia Inflation Bond+</t>
  </si>
  <si>
    <t>06725133#026</t>
  </si>
  <si>
    <t>Erikoissijoitusrahasto eQ Hedge</t>
  </si>
  <si>
    <t>07360527#019</t>
  </si>
  <si>
    <t>Erikoissijoitusrahasto Nordea III Takuuturva 100</t>
  </si>
  <si>
    <t>17377859#075</t>
  </si>
  <si>
    <t>Erikoissijoitusrahasto eQ Euro Valtionobligaatio Indeksi</t>
  </si>
  <si>
    <t>07360527#045</t>
  </si>
  <si>
    <t>Erikoissijoitusrahasto Nordea Turva 75</t>
  </si>
  <si>
    <t>17377859#076</t>
  </si>
  <si>
    <t>Erikoissijoitusrahasto Icecapital Alternative Beta</t>
  </si>
  <si>
    <t>07360527#042</t>
  </si>
  <si>
    <t>Erikoissijoitusrahasto Evli Ilmasto</t>
  </si>
  <si>
    <t>07446590#046</t>
  </si>
  <si>
    <t>Erikoissijoitusrahasto Icecapital Global Tactical Asset Allocation</t>
  </si>
  <si>
    <t>07360527#049</t>
  </si>
  <si>
    <t>OP-Absoluuttinen Salkku -erikoissijoitusrahasto</t>
  </si>
  <si>
    <t>07439622#081</t>
  </si>
  <si>
    <t>Sijoitusrahasto Taaleri Optimi</t>
  </si>
  <si>
    <t>20628401#003</t>
  </si>
  <si>
    <t>Erikoissijoitusrahasto UB View</t>
  </si>
  <si>
    <t>21181015#001</t>
  </si>
  <si>
    <t>Erikoissijoitusrahasto VISIO EM Multi Strategy</t>
  </si>
  <si>
    <t>21181015#002</t>
  </si>
  <si>
    <t>Sijoitusrahasto Danske Invest Suomi Osinko</t>
  </si>
  <si>
    <t>06716026#100</t>
  </si>
  <si>
    <t>Erikoissijoitusrahasto Danske Invest Trans-Balkan</t>
  </si>
  <si>
    <t>06716026#102</t>
  </si>
  <si>
    <t>Sijoitusrahasto Danske Invest Navigaattori</t>
  </si>
  <si>
    <t>06716026#103</t>
  </si>
  <si>
    <t>OP-EMD Local Currency Short Term -erikoissijoitusrahasto</t>
  </si>
  <si>
    <t>07439622#082</t>
  </si>
  <si>
    <t>Placeringsfonden Handelsbanken Ny Energi</t>
  </si>
  <si>
    <t>11050193#038</t>
  </si>
  <si>
    <t>Sijoitusrahasto Taaleritehdas Rupla Osake</t>
  </si>
  <si>
    <t>20628401#004</t>
  </si>
  <si>
    <t>Sijoitusrahasto Taaleri Arvo Troikka</t>
  </si>
  <si>
    <t>20628401#012</t>
  </si>
  <si>
    <t>Erikoissijoitusrahasto eQ Afrikka</t>
  </si>
  <si>
    <t>07360527#041</t>
  </si>
  <si>
    <t>Sijoitusrahasto Taaleritehdas Lyydian Leijona Osake</t>
  </si>
  <si>
    <t>20628401#010</t>
  </si>
  <si>
    <t>Erikoissijoitusrahasto Nordea Suomi 130/30</t>
  </si>
  <si>
    <t>17377859#079</t>
  </si>
  <si>
    <t>Erikoissijoitusrahasto Icecapital High Yield Beta</t>
  </si>
  <si>
    <t>07360527#050</t>
  </si>
  <si>
    <t>FIM Green Energy Sijoitusrahasto</t>
  </si>
  <si>
    <t>09791339#036</t>
  </si>
  <si>
    <t>Sijoitusrahasto Evli Kehittyvät Markkinat</t>
  </si>
  <si>
    <t>07446590#055</t>
  </si>
  <si>
    <t>OP-Latinalainen Amerikka -sijoitusrahasto</t>
  </si>
  <si>
    <t>07439622#084</t>
  </si>
  <si>
    <t>OP-Likvidi-sijoitusrahasto</t>
  </si>
  <si>
    <t>07439622#085</t>
  </si>
  <si>
    <t>Sijoitusrahasto LähiTapiola Itä-Eurooppa</t>
  </si>
  <si>
    <t>09791339#057</t>
  </si>
  <si>
    <t>Sijoitusrahasto Quorum Nordic Special Situations</t>
  </si>
  <si>
    <t>19723081#002</t>
  </si>
  <si>
    <t>Erikoissijoitusrahasto Nordea V Takuuturva 100</t>
  </si>
  <si>
    <t>17377859#082</t>
  </si>
  <si>
    <t>Säästöpankki Venäjä -erikoissijoitusrahasto</t>
  </si>
  <si>
    <t>17956316#011</t>
  </si>
  <si>
    <t>Placeringsfonden Handelsbanken Generationsfond 50-tal</t>
  </si>
  <si>
    <t>11050193#040</t>
  </si>
  <si>
    <t>Placeringsfonden Handelsbanken Generationsfond 60-tal</t>
  </si>
  <si>
    <t>11050193#041</t>
  </si>
  <si>
    <t>Placeringsfonden Handelsbanken Generationsfond 70-tal</t>
  </si>
  <si>
    <t>11050193#042</t>
  </si>
  <si>
    <t>Placeringsfonden Handelsbanken Generationsfond 80-tal</t>
  </si>
  <si>
    <t>11050193#043</t>
  </si>
  <si>
    <t>Placeringsfonden Handelsbanken Generationsfond 40-tal</t>
  </si>
  <si>
    <t>11050193#039</t>
  </si>
  <si>
    <t>Erikoissijoitusrahasto Quorum Nordic Special Situations+</t>
  </si>
  <si>
    <t>19723081#003</t>
  </si>
  <si>
    <t>Sijoitusrahasto eQ Venäjä</t>
  </si>
  <si>
    <t>07360527#037</t>
  </si>
  <si>
    <t>Sijoitusrahasto Elite Systematica</t>
  </si>
  <si>
    <t>19723081#004</t>
  </si>
  <si>
    <t>Sijoitusrahasto Evli Taktinen Allokaatio</t>
  </si>
  <si>
    <t>07446590#057</t>
  </si>
  <si>
    <t>Erikoissijoitusrahasto Fourton Fokus Suomi</t>
  </si>
  <si>
    <t>09051752#004</t>
  </si>
  <si>
    <t>Erikoissijoitusrahasto UB Russia</t>
  </si>
  <si>
    <t>21181015#006</t>
  </si>
  <si>
    <t>Placeringsfonden Aktia Tillväxtmarknad Aktie</t>
  </si>
  <si>
    <t>06725133#032</t>
  </si>
  <si>
    <t>Placeringsfonden Handelsbanken Företagsobligationsfond (SEK)</t>
  </si>
  <si>
    <t>11050193#044</t>
  </si>
  <si>
    <t>Eufex ActiveAlpha Sijoitusrahasto</t>
  </si>
  <si>
    <t>21793994#001</t>
  </si>
  <si>
    <t>OP-Pääomaturva 2015 (95) -erikoissijoitusrahasto</t>
  </si>
  <si>
    <t>07439622#089</t>
  </si>
  <si>
    <t>OP-EMD Portfolio -erikoissijoitusrahasto</t>
  </si>
  <si>
    <t>07439622#090</t>
  </si>
  <si>
    <t>Sijoitusrahasto Aktia Arvo Markka</t>
  </si>
  <si>
    <t>20628401#013</t>
  </si>
  <si>
    <t>Sijoitusrahasto eQ Kehittyvä Aasia</t>
  </si>
  <si>
    <t>07360527#038</t>
  </si>
  <si>
    <t>OP-Horisontti 2045 -sijoitusrahasto</t>
  </si>
  <si>
    <t>07439622#092</t>
  </si>
  <si>
    <t>Erikoissijoitusrahasto Titanium Trendi</t>
  </si>
  <si>
    <t>22888047#001</t>
  </si>
  <si>
    <t>Bon 75 Sijoitusrahasto</t>
  </si>
  <si>
    <t>21793994#004</t>
  </si>
  <si>
    <t>Elite Alfred Berg Trendi Sijoitusrahasto</t>
  </si>
  <si>
    <t>21793994#022</t>
  </si>
  <si>
    <t>Finlandia Suomi Sijoitusrahasto</t>
  </si>
  <si>
    <t>23245609#001</t>
  </si>
  <si>
    <t>Finlandia Eurooppa Sijoitusrahasto</t>
  </si>
  <si>
    <t>23245609#002</t>
  </si>
  <si>
    <t>Finlandia Pohjois-Amerikka Sijoitusrahasto</t>
  </si>
  <si>
    <t>23245609#003</t>
  </si>
  <si>
    <t>Finlandia Brasilia Sijoitusrahasto</t>
  </si>
  <si>
    <t>23245609#004</t>
  </si>
  <si>
    <t>Finlandia Venäjä Sijoitusrahasto</t>
  </si>
  <si>
    <t>23245609#005</t>
  </si>
  <si>
    <t>Finlandia Intia Sijoitusrahasto</t>
  </si>
  <si>
    <t>23245609#006</t>
  </si>
  <si>
    <t>Finlandia Kiina Sijoitusrahasto</t>
  </si>
  <si>
    <t>23245609#007</t>
  </si>
  <si>
    <t>Finlandia Bric+ Erikoissijoitusrahasto</t>
  </si>
  <si>
    <t>23245609#008</t>
  </si>
  <si>
    <t>Finlandia Osakevarainhoito Erikoissijoitusrahasto</t>
  </si>
  <si>
    <t>23245609#009</t>
  </si>
  <si>
    <t>Finlandia Tasapainoinen Erikoissijoitusrahasto</t>
  </si>
  <si>
    <t>23245609#010</t>
  </si>
  <si>
    <t>Placeringsfonden Aktia Emerging Market Local Currency T-Bill+</t>
  </si>
  <si>
    <t>06725133#033</t>
  </si>
  <si>
    <t>Premier Selection Sijoitusrahasto</t>
  </si>
  <si>
    <t>09791339#038</t>
  </si>
  <si>
    <t>Sijoitusrahasto Dividend House Nordic Large Cap</t>
  </si>
  <si>
    <t>22954454#001</t>
  </si>
  <si>
    <t>Ålandsbanken Eco Performance Placeringsfond</t>
  </si>
  <si>
    <t>14713626#022</t>
  </si>
  <si>
    <t>Erikoissijoitusrahasto UB Korkosalkku</t>
  </si>
  <si>
    <t>21181015#010</t>
  </si>
  <si>
    <t>Front Struktuuri Erikoissijoitusrahasto</t>
  </si>
  <si>
    <t>20451423#008</t>
  </si>
  <si>
    <t>Front Tasapainoinen Sijoitusrahasto</t>
  </si>
  <si>
    <t>20451423#009</t>
  </si>
  <si>
    <t>Eufex Hyödyke Erikoissijoitusrahasto</t>
  </si>
  <si>
    <t>21793994#009</t>
  </si>
  <si>
    <t>EPL Hyödyke Erikoissijoitusrahasto</t>
  </si>
  <si>
    <t>20628401#017</t>
  </si>
  <si>
    <t>Sijoitusrahasto Nordea Suomi Small Cap</t>
  </si>
  <si>
    <t>17377859#089</t>
  </si>
  <si>
    <t>Sijoitusrahasto Nordea Valtionlaina AAA</t>
  </si>
  <si>
    <t>17377859#090</t>
  </si>
  <si>
    <t>EPL Osakeoptimi Erikoissijoitusrahasto</t>
  </si>
  <si>
    <t>21793994#011</t>
  </si>
  <si>
    <t>EPL Taktinen Sijoitusrahasto</t>
  </si>
  <si>
    <t>21793994#019</t>
  </si>
  <si>
    <t>Finlandia Likvidi Erikoissijoitusrahasto</t>
  </si>
  <si>
    <t>23245609#011</t>
  </si>
  <si>
    <t>Finlandia High Yield+ Erikoissijoitusrahasto</t>
  </si>
  <si>
    <t>23245609#012</t>
  </si>
  <si>
    <t>Bon Kehittyvät Markkinat Sijoitusrahasto</t>
  </si>
  <si>
    <t>21793994#012</t>
  </si>
  <si>
    <t>Sijoitusrahasto LähiTapiola Vastuullinen Osinko</t>
  </si>
  <si>
    <t>09791339#068</t>
  </si>
  <si>
    <t>Erikoissijoitusrahasto Nordea Private Banking Focus Suomi</t>
  </si>
  <si>
    <t>17377859#091</t>
  </si>
  <si>
    <t>Erikoissijoitusrahasto Nordea Private Banking Focus Nordic</t>
  </si>
  <si>
    <t>17377859#092</t>
  </si>
  <si>
    <t>Erikoissijoitusrahasto Nordea Private Banking Focus Europe</t>
  </si>
  <si>
    <t>17377859#093</t>
  </si>
  <si>
    <t>Sijoitusrahasto Taaleri Dinaari Osake</t>
  </si>
  <si>
    <t>20628401#014</t>
  </si>
  <si>
    <t>Säästöpankki Kassa -sijoitusrahasto</t>
  </si>
  <si>
    <t>17956316#016</t>
  </si>
  <si>
    <t>Sijoitusrahasto Taaleritehdas Arvo Rein Osake</t>
  </si>
  <si>
    <t>20628401#015</t>
  </si>
  <si>
    <t>Eufex Varainhoito Erikoissijoitusrahasto</t>
  </si>
  <si>
    <t>21793994#013</t>
  </si>
  <si>
    <t>Eufex Aegis Erikoissijoitusrahasto</t>
  </si>
  <si>
    <t>21793994#014</t>
  </si>
  <si>
    <t>Aalto Tasapainoinen Sijoitusrahasto</t>
  </si>
  <si>
    <t>21793994#015</t>
  </si>
  <si>
    <t>Aalto Varovainen Sijoitusrahasto</t>
  </si>
  <si>
    <t>21793994#016</t>
  </si>
  <si>
    <t>S-Pankki Top Yield Erikoissijoitusrahasto</t>
  </si>
  <si>
    <t>09791339#040</t>
  </si>
  <si>
    <t>EPL 100 Erikoissijoitusrahasto</t>
  </si>
  <si>
    <t>21793994#018</t>
  </si>
  <si>
    <t>Säästöpankki Trendi -erikoissijoitusrahasto</t>
  </si>
  <si>
    <t>17956316#017</t>
  </si>
  <si>
    <t>OP-Afrikka -sijoitusrahasto</t>
  </si>
  <si>
    <t>07439622#098</t>
  </si>
  <si>
    <t>Placeringsfond SEB Corporate Bond Ex Financials</t>
  </si>
  <si>
    <t>08151401#025</t>
  </si>
  <si>
    <t>Specialplaceringsfonden Aktia High Conviction</t>
  </si>
  <si>
    <t>06725133#035</t>
  </si>
  <si>
    <t>OP-Tuottohakuinen -sijoitusrahasto</t>
  </si>
  <si>
    <t>07439622#099</t>
  </si>
  <si>
    <t>Placeringsfonden Aktia Global Government Bond+</t>
  </si>
  <si>
    <t>06725133#036</t>
  </si>
  <si>
    <t>Sijoitusrahasto UB Pension</t>
  </si>
  <si>
    <t>21181015#011</t>
  </si>
  <si>
    <t>Sijoitusrahasto UB Eurooppa</t>
  </si>
  <si>
    <t>21181015#016</t>
  </si>
  <si>
    <t>OP - Equity Hedge -erikoissijoitusrahasto</t>
  </si>
  <si>
    <t>07439622#102</t>
  </si>
  <si>
    <t>EPL Raaka-aine Erikoissijoitusrahasto</t>
  </si>
  <si>
    <t>21793994#020</t>
  </si>
  <si>
    <t>Erikoissijoitusrahasto UB Real REIT</t>
  </si>
  <si>
    <t>21181015#021</t>
  </si>
  <si>
    <t>FIM Alpha Erikoissijoitusrahasto</t>
  </si>
  <si>
    <t>09791339#041</t>
  </si>
  <si>
    <t>Head Nordic Select Dividend Sijoitusrahasto</t>
  </si>
  <si>
    <t>07446590#075</t>
  </si>
  <si>
    <t>Sijoitusrahasto Taaleritehdas Allokaatio 50</t>
  </si>
  <si>
    <t>20628401#018</t>
  </si>
  <si>
    <t>JAM Systematic - Liquid Alternatives Sijoitusrahasto</t>
  </si>
  <si>
    <t>18300220#025</t>
  </si>
  <si>
    <t>Status</t>
  </si>
  <si>
    <t>Elinaika (kk)</t>
  </si>
  <si>
    <t>Kysely (PEF = 0, IVF = 1)</t>
  </si>
  <si>
    <t>UCITS-tyyppi (NON = 0, UCITS = 1)</t>
  </si>
  <si>
    <t>Pääomanvaihtelevuus (Closed-end = 0, Open-end = 1)</t>
  </si>
  <si>
    <t>Jatkaa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</si>
  <si>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</si>
  <si>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</si>
  <si>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</si>
  <si>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</si>
  <si>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</si>
  <si>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</si>
  <si>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</si>
  <si>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</si>
  <si>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</si>
  <si>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</si>
  <si>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</si>
  <si>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</si>
  <si>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</si>
  <si>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</si>
  <si>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</si>
  <si>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</si>
  <si>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</si>
  <si>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</si>
  <si>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</si>
  <si>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</si>
  <si>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</si>
  <si>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</si>
  <si>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</si>
  <si>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SUMMARY OUTPUT Kiinteistö</t>
  </si>
  <si>
    <t>SUMMARY OUTPUT Hedge</t>
  </si>
  <si>
    <t>SUMMARY OUTPUT Buyout</t>
  </si>
  <si>
    <t>SUMMARY OUTPUT Korko</t>
  </si>
  <si>
    <t>SUMMARY OUTPUT Muu</t>
  </si>
  <si>
    <t>SUMMARY OUTPUT Venture Capital</t>
  </si>
  <si>
    <t>SUMMARY OUTPUT Osake</t>
  </si>
  <si>
    <t>SUMMARY OUTPUT Yhdistelmä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</si>
  <si>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</si>
  <si>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</si>
  <si>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</si>
  <si>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</si>
  <si>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</si>
  <si>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</si>
  <si>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</si>
  <si>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</si>
  <si>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</si>
  <si>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</si>
  <si>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</si>
  <si>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</si>
  <si>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</si>
  <si>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Hallinnointiyhtiö</t>
  </si>
  <si>
    <t>Ei löydy</t>
  </si>
  <si>
    <t>OP-Rahastoyhtiö Oy</t>
  </si>
  <si>
    <t>S-Pankki Rahastoyhtiö Oy</t>
  </si>
  <si>
    <t>eQ Rahastoyhtiö Oy</t>
  </si>
  <si>
    <t>Nordea Funds Oy</t>
  </si>
  <si>
    <t>Access Capital Advisors Finland Oy</t>
  </si>
  <si>
    <t>LähiTapiola Kiinteistövarainhoito Oy</t>
  </si>
  <si>
    <t>Ålandsbanken Fondbolag Ab</t>
  </si>
  <si>
    <t>Evli-Rahastoyhtiö Oy</t>
  </si>
  <si>
    <t>OP Kiinteistösijoitus Oy</t>
  </si>
  <si>
    <t>Fourton Oy</t>
  </si>
  <si>
    <t>Sp-Rahastoyhtiö Oy</t>
  </si>
  <si>
    <t>Titanium Rahastoyhtiö Oy</t>
  </si>
  <si>
    <t>Seligson &amp; Co Rahastoyhtiö Oyj</t>
  </si>
  <si>
    <t>Aktia Rahastoyhtiö Oy</t>
  </si>
  <si>
    <t>Finlandia Rahastoyhtiö Oy</t>
  </si>
  <si>
    <t>Midinvest Management Oy</t>
  </si>
  <si>
    <t>Nordia Management Oy</t>
  </si>
  <si>
    <t>CapMan Classic GP Oy</t>
  </si>
  <si>
    <t>Canelco Management Oy</t>
  </si>
  <si>
    <t>CapMan Capital Management Oy</t>
  </si>
  <si>
    <t>VNT Management Oy</t>
  </si>
  <si>
    <t>Aboa Venture Management Oy</t>
  </si>
  <si>
    <t>MB Partners II Oy</t>
  </si>
  <si>
    <t>Conor Venture Partners Oy</t>
  </si>
  <si>
    <t>Sentica Partners Oy</t>
  </si>
  <si>
    <t>Folmer Management Oy</t>
  </si>
  <si>
    <t>Tesi Fund Management Oy</t>
  </si>
  <si>
    <t>LähiTapiola Vaihtoehtorahastot Oy</t>
  </si>
  <si>
    <t>Onventure Oy</t>
  </si>
  <si>
    <t>Vaaka Partners Oy</t>
  </si>
  <si>
    <t>Lifeline Ventures Fund Management Oy</t>
  </si>
  <si>
    <t>VisionPlus Oyj</t>
  </si>
  <si>
    <t>CapMan Buyout X GP Oy</t>
  </si>
  <si>
    <t>Helsinki Capital Partners Oy</t>
  </si>
  <si>
    <t>Armada Credit Partners Oy</t>
  </si>
  <si>
    <t>Sponsor Capital Oy</t>
  </si>
  <si>
    <t>Verso Capital Oy</t>
  </si>
  <si>
    <t>Taaleri Pääomarahastot Oy</t>
  </si>
  <si>
    <t>UB Rahastoyhtiö Oy</t>
  </si>
  <si>
    <t>Confido Kiinteistöhallinta Oy</t>
  </si>
  <si>
    <t>Taaleri Energia Funds Management Oy</t>
  </si>
  <si>
    <t>ICECAPITAL REAM Oy</t>
  </si>
  <si>
    <t>Vendep Capital Oy</t>
  </si>
  <si>
    <t>Royal Majestics Helsinki Oy</t>
  </si>
  <si>
    <t>Essedel Capital Partners Oy</t>
  </si>
  <si>
    <t>Juuri Partners Oy</t>
  </si>
  <si>
    <t>CapMan Endowment GP Oy</t>
  </si>
  <si>
    <t>Yrityskiihdyttämö East Wings Oy</t>
  </si>
  <si>
    <t>Butterfly Ventures Oy</t>
  </si>
  <si>
    <t>Hamilton &amp; Cooper Properties Oy</t>
  </si>
  <si>
    <t>Gorilla Ventures Oy</t>
  </si>
  <si>
    <t>Open Ocean Capital Oy</t>
  </si>
  <si>
    <t>Taitokaari Property Management Oy</t>
  </si>
  <si>
    <t>DEAS Asset Management Finland Oy</t>
  </si>
  <si>
    <t>Bocap SME Advisors Oy</t>
  </si>
  <si>
    <t>NegaWatt Energia Oy</t>
  </si>
  <si>
    <t>Certior Capital Oy</t>
  </si>
  <si>
    <t>IPR.VC Management Oy</t>
  </si>
  <si>
    <t>Courage Ventures Management Oy</t>
  </si>
  <si>
    <t>Confido Cataluna Oy</t>
  </si>
  <si>
    <t>Samla Capital Oy</t>
  </si>
  <si>
    <t>Open Ocean Partners Oy</t>
  </si>
  <si>
    <t>WasaGroup Funds Oy</t>
  </si>
  <si>
    <t>MB Partners V Oy</t>
  </si>
  <si>
    <t>Superhero Capital Oy</t>
  </si>
  <si>
    <t>Avara Rahastot Oy</t>
  </si>
  <si>
    <t>Nest Capital 2015 GP Oy</t>
  </si>
  <si>
    <t>Korona Invest Oy</t>
  </si>
  <si>
    <t>Saari Partners Oy</t>
  </si>
  <si>
    <t>Intera Partners Oy</t>
  </si>
  <si>
    <t>Innovestor Ventures Oy</t>
  </si>
  <si>
    <t>Bocap Private Equity Oy</t>
  </si>
  <si>
    <t>Premico Asuntorahaston hallinnointiyhtiö Oy</t>
  </si>
  <si>
    <t>FinCap Kiinteistörahastot Oy</t>
  </si>
  <si>
    <t>Investors House Rahastot Oy</t>
  </si>
  <si>
    <t>Icebreaker Fund Management Oy</t>
  </si>
  <si>
    <t>S-Pankki Vaikuttavuussijoitukset Oy</t>
  </si>
  <si>
    <t>Wave Ventures Oy</t>
  </si>
  <si>
    <t>GRIT Rahastoyhtiö Oy</t>
  </si>
  <si>
    <t>Fondbolaget Fondita Ab</t>
  </si>
  <si>
    <t>Obsido Rahastoyhtiö Oy</t>
  </si>
  <si>
    <t>Alexandria Rahastoyhtiö Oy</t>
  </si>
  <si>
    <t>Mandatum AM AIFM Oy</t>
  </si>
  <si>
    <t>CapMan AIFM Oy</t>
  </si>
  <si>
    <t>MAKI Ventures Oy</t>
  </si>
  <si>
    <t>Gorilla Capital Management Oy</t>
  </si>
  <si>
    <t>EduImpact Venture Capital Oy</t>
  </si>
  <si>
    <t>FundSi Oy</t>
  </si>
  <si>
    <t>Terwa Management Oy</t>
  </si>
  <si>
    <t>Grid.vc Oy</t>
  </si>
  <si>
    <t>Luotsi Capital Oy</t>
  </si>
  <si>
    <t>Evolver Equity Ab</t>
  </si>
  <si>
    <t>Nordic Game Fund Management Oy</t>
  </si>
  <si>
    <t>Voima Ventures Oy</t>
  </si>
  <si>
    <t>DEAS Fund Management DK A/S</t>
  </si>
  <si>
    <t>Dasos Capital Oy</t>
  </si>
  <si>
    <t>Joensuun Startup Kehitys Oy</t>
  </si>
  <si>
    <t>LLV Fund Management Oy</t>
  </si>
  <si>
    <t>Nexit Ventures Oy</t>
  </si>
  <si>
    <t>DevCo Partners Oy</t>
  </si>
  <si>
    <t>Nordic Food Tech Venture Capital Oy</t>
  </si>
  <si>
    <t>Premico Pääomarahastot Oy</t>
  </si>
  <si>
    <t>Korkia Capital Oy</t>
  </si>
  <si>
    <t>Open Ocean Ventures Oy</t>
  </si>
  <si>
    <t>Nostetta Ventures Oy</t>
  </si>
  <si>
    <t>SARKA Varainhoito Oy</t>
  </si>
  <si>
    <t>Systematic alpha Oy</t>
  </si>
  <si>
    <t>GOS Yritysrahoitus Oy</t>
  </si>
  <si>
    <t>Redstone Nordics Oy</t>
  </si>
  <si>
    <t>BOA Capital Oy</t>
  </si>
  <si>
    <t>Tuohex Capital Oy</t>
  </si>
  <si>
    <t>Aurora Studios Oy</t>
  </si>
  <si>
    <t>Innovestor Life Science Oy</t>
  </si>
  <si>
    <t>FOV Fund Management Oy</t>
  </si>
  <si>
    <t>MB Partners Oy</t>
  </si>
  <si>
    <t>Robin Capital Management Oy</t>
  </si>
  <si>
    <t>Virta Equity Oy</t>
  </si>
  <si>
    <t>Voland Partners Oy</t>
  </si>
  <si>
    <t>Ethos Capital Oy</t>
  </si>
  <si>
    <t>Failup Ventures Management Oy</t>
  </si>
  <si>
    <t>Greencode Ventures Oy</t>
  </si>
  <si>
    <t>Proprius Partners Oy</t>
  </si>
  <si>
    <t>Napkin Capital Oy</t>
  </si>
  <si>
    <t>Kvanted Oy</t>
  </si>
  <si>
    <t>Nordic Science Investments Oy</t>
  </si>
  <si>
    <t>Cactos Fleet Management Finland Oy</t>
  </si>
  <si>
    <t>Bin</t>
  </si>
  <si>
    <t>More</t>
  </si>
  <si>
    <t>Frequency</t>
  </si>
  <si>
    <t>AIF</t>
  </si>
  <si>
    <t>Retail</t>
  </si>
  <si>
    <t>Non-Retail</t>
  </si>
  <si>
    <t>AIF - retail</t>
  </si>
  <si>
    <t>AIF - non-retail</t>
  </si>
  <si>
    <t>Correlation matrix</t>
  </si>
  <si>
    <t>Fund Management Company</t>
  </si>
  <si>
    <t>Fund category</t>
  </si>
  <si>
    <t>Capital variability</t>
  </si>
  <si>
    <t>Reporter</t>
  </si>
  <si>
    <t>UCITS_special mutual fund type</t>
  </si>
  <si>
    <t>Row number</t>
  </si>
  <si>
    <t>Lifetime (whole years)</t>
  </si>
  <si>
    <t>ReportingEndDate</t>
  </si>
  <si>
    <t>ReportingStartDate</t>
  </si>
  <si>
    <t>Query</t>
  </si>
  <si>
    <t>Not found</t>
  </si>
  <si>
    <t>Closed</t>
  </si>
  <si>
    <t>Merged</t>
  </si>
  <si>
    <t>Buy-out fund</t>
  </si>
  <si>
    <t>Bond fund</t>
  </si>
  <si>
    <t>Real-estate fund</t>
  </si>
  <si>
    <t>Combination fund</t>
  </si>
  <si>
    <t>Venture Capital fund</t>
  </si>
  <si>
    <t>Stock fund</t>
  </si>
  <si>
    <t>Other fund</t>
  </si>
  <si>
    <t>Hedge fund</t>
  </si>
  <si>
    <t>Money market fund</t>
  </si>
  <si>
    <t>Elinaika (y)</t>
  </si>
  <si>
    <t>DEAS Fund Management</t>
  </si>
  <si>
    <t>SEB</t>
  </si>
  <si>
    <t>Handelsbanken</t>
  </si>
  <si>
    <t>Rival</t>
  </si>
  <si>
    <t>Trevian</t>
  </si>
  <si>
    <t>Teknoventure</t>
  </si>
  <si>
    <t>Wedeco</t>
  </si>
  <si>
    <t>Aalto</t>
  </si>
  <si>
    <t>BPT</t>
  </si>
  <si>
    <t>EPI</t>
  </si>
  <si>
    <t>EPL</t>
  </si>
  <si>
    <t>Eufex</t>
  </si>
  <si>
    <t>Finnmezzanine</t>
  </si>
  <si>
    <t>Front</t>
  </si>
  <si>
    <t>Fundu</t>
  </si>
  <si>
    <t>ICON</t>
  </si>
  <si>
    <t>Karhu</t>
  </si>
  <si>
    <t>Medtech</t>
  </si>
  <si>
    <t>Nurture</t>
  </si>
  <si>
    <t>Promotion Equity</t>
  </si>
  <si>
    <t>Quorum</t>
  </si>
  <si>
    <t>BF</t>
  </si>
  <si>
    <t>Bon</t>
  </si>
  <si>
    <t>Intera</t>
  </si>
  <si>
    <t>Evli</t>
  </si>
  <si>
    <t>Danske Invest</t>
  </si>
  <si>
    <t>Ålandsbanken</t>
  </si>
  <si>
    <t>Confido</t>
  </si>
  <si>
    <t>CapMan</t>
  </si>
  <si>
    <t>Conor Venture Partners</t>
  </si>
  <si>
    <t>Nordea</t>
  </si>
  <si>
    <t>Osuuspankki</t>
  </si>
  <si>
    <t>Bocap</t>
  </si>
  <si>
    <t>ICECAPITAL REAM</t>
  </si>
  <si>
    <t>UB</t>
  </si>
  <si>
    <t>Seligson &amp; Co</t>
  </si>
  <si>
    <t>Säästöpankki</t>
  </si>
  <si>
    <t>Finlandia</t>
  </si>
  <si>
    <t>Titanium</t>
  </si>
  <si>
    <t>Mandatum</t>
  </si>
  <si>
    <t>Access Capital Advisors</t>
  </si>
  <si>
    <t>Armada Credit Partners</t>
  </si>
  <si>
    <t>NegaWatt Energia</t>
  </si>
  <si>
    <t>Sentica Partners</t>
  </si>
  <si>
    <t>LähiTapiola</t>
  </si>
  <si>
    <t>Fourton</t>
  </si>
  <si>
    <t>Midinvest Management</t>
  </si>
  <si>
    <t>Nordia Management</t>
  </si>
  <si>
    <t>Aboa Venture</t>
  </si>
  <si>
    <t>VNT Management</t>
  </si>
  <si>
    <t>Vaaka Partners</t>
  </si>
  <si>
    <t>Lifeline Ventures</t>
  </si>
  <si>
    <t>Helsinki Capital Partners</t>
  </si>
  <si>
    <t>S-Pankki</t>
  </si>
  <si>
    <t>Obsido</t>
  </si>
  <si>
    <t>Gorilla Capital Management</t>
  </si>
  <si>
    <t>WasaGroup</t>
  </si>
  <si>
    <t>Alexandria</t>
  </si>
  <si>
    <t>Taaleri</t>
  </si>
  <si>
    <t>Aurora Studios</t>
  </si>
  <si>
    <t>Avara Rahastot</t>
  </si>
  <si>
    <t>Butterfly Ventures</t>
  </si>
  <si>
    <t>Canelco Management</t>
  </si>
  <si>
    <t>Cactos Fleet Management Finland</t>
  </si>
  <si>
    <t>Certior Capital</t>
  </si>
  <si>
    <t>Courage Ventures</t>
  </si>
  <si>
    <t>Dasos Capital</t>
  </si>
  <si>
    <t>DevCo Partners</t>
  </si>
  <si>
    <t>EduImpact Venture Capital</t>
  </si>
  <si>
    <t>Essedel Capital Partners</t>
  </si>
  <si>
    <t>FinCap Kiinteistörahastot</t>
  </si>
  <si>
    <t>Folmer Management</t>
  </si>
  <si>
    <t>Fondita</t>
  </si>
  <si>
    <t>Hamilton &amp; Cooper Properties</t>
  </si>
  <si>
    <t>Icebreaker</t>
  </si>
  <si>
    <t>IPR.VC</t>
  </si>
  <si>
    <t>Investors House</t>
  </si>
  <si>
    <t>Korkia Capital</t>
  </si>
  <si>
    <t>Korona Invest</t>
  </si>
  <si>
    <t>Juuri Partners</t>
  </si>
  <si>
    <t>Innovestor</t>
  </si>
  <si>
    <t>Luotsi Capital</t>
  </si>
  <si>
    <t>MAKI Ventures</t>
  </si>
  <si>
    <t>MB Partners</t>
  </si>
  <si>
    <t>Onventure</t>
  </si>
  <si>
    <t>Premico</t>
  </si>
  <si>
    <t>Proprius Partners</t>
  </si>
  <si>
    <t>Saari Partners</t>
  </si>
  <si>
    <t>Samla Capital</t>
  </si>
  <si>
    <t>Superhero Capital</t>
  </si>
  <si>
    <t>Sponsor Capital</t>
  </si>
  <si>
    <t>Taitokaari Property Management</t>
  </si>
  <si>
    <t>Tesi Fund Management</t>
  </si>
  <si>
    <t>Vendep Capital</t>
  </si>
  <si>
    <t>Verso Capital</t>
  </si>
  <si>
    <t>Voima Ventures</t>
  </si>
  <si>
    <t>Voland Partners</t>
  </si>
  <si>
    <t>Virta Equity</t>
  </si>
  <si>
    <t>Wave Ventures</t>
  </si>
  <si>
    <t>WS Solar</t>
  </si>
  <si>
    <t>OpenOcean Fund 2024 Ky</t>
  </si>
  <si>
    <t>33185814#001</t>
  </si>
  <si>
    <t>Evolver Fund II Ky</t>
  </si>
  <si>
    <t>28754218#002</t>
  </si>
  <si>
    <t>Eteläpohjalainen kasvurahasto Ky</t>
  </si>
  <si>
    <t>28619307#003</t>
  </si>
  <si>
    <t>Erikoissijoitusrahasto CapMan Growth Equity Fund III Feeder</t>
  </si>
  <si>
    <t>29064614#031</t>
  </si>
  <si>
    <t>Placeringsfond Nordea Norge Pluss</t>
  </si>
  <si>
    <t>17377859#263</t>
  </si>
  <si>
    <t>Placeringsfond Nordea Kort Obligasjon Pluss</t>
  </si>
  <si>
    <t>17377859#265</t>
  </si>
  <si>
    <t>Placeringsfond Nordea FRN Kreditt</t>
  </si>
  <si>
    <t>17377859#266</t>
  </si>
  <si>
    <t>Placeringsfond Nordea Obligasjon II</t>
  </si>
  <si>
    <t>17377859#267</t>
  </si>
  <si>
    <t>Placeringsfond Nordea Obligasjon III</t>
  </si>
  <si>
    <t>17377859#268</t>
  </si>
  <si>
    <t>OP-Alternative Credit II -erikoissijoitusrahasto</t>
  </si>
  <si>
    <t>07439622#152</t>
  </si>
  <si>
    <t>Ethos Residential Opportunities I Ky</t>
  </si>
  <si>
    <t>32592442#002</t>
  </si>
  <si>
    <t>S-Pankki European Private Credit Erikoissijoitusrahasto</t>
  </si>
  <si>
    <t>09791339#112</t>
  </si>
  <si>
    <t>Erikoissijoitusrahasto Proprius Partners Arvo Suomi</t>
  </si>
  <si>
    <t>32844961#004</t>
  </si>
  <si>
    <t>Forea Korkosijoitukset Plus Erikoissijoitusrahasto</t>
  </si>
  <si>
    <t>18300220#043</t>
  </si>
  <si>
    <t>OP-Kestävä Yrityslaina -sijoitusrahasto</t>
  </si>
  <si>
    <t>07439622#153</t>
  </si>
  <si>
    <t>Sijoitusrahasto LähiTapiola Kuluttaja ESG</t>
  </si>
  <si>
    <t>10932901#042</t>
  </si>
  <si>
    <t>Sijoitusrahasto Nordea Aasialaiset Tähdet</t>
  </si>
  <si>
    <t>17377859#038</t>
  </si>
  <si>
    <t>Erikoissijoitusrahasto Aktia Vakaa Korko</t>
  </si>
  <si>
    <t>20628401#016</t>
  </si>
  <si>
    <t>Sijoitusrahasto Nordea Private Banking Kort Obligasjon Pluss</t>
  </si>
  <si>
    <t>17377859#098</t>
  </si>
  <si>
    <t>Sijoitusrahasto Nordea Private Banking Obligasjon</t>
  </si>
  <si>
    <t>17377859#100</t>
  </si>
  <si>
    <t>Sijoitusrahasto Evli Globaali Korko</t>
  </si>
  <si>
    <t>07446590#124</t>
  </si>
  <si>
    <t>20628401#076</t>
  </si>
  <si>
    <t>Continues</t>
  </si>
  <si>
    <t>OpenOcean Oy</t>
  </si>
  <si>
    <t>Lähitapiola</t>
  </si>
  <si>
    <t>Epiqus</t>
  </si>
  <si>
    <t>Suomen Kuntakiinteistöt 1 Ky</t>
  </si>
  <si>
    <t>31336148#001</t>
  </si>
  <si>
    <t>Equilibrium Fund A Ky</t>
  </si>
  <si>
    <t>32660863#001</t>
  </si>
  <si>
    <t>Placeringsfond Nordea Stabile Aksjer Global Valutasikret</t>
  </si>
  <si>
    <t>17377859#260</t>
  </si>
  <si>
    <t>Placeringsfond Nordea Stabile Aksjer Global</t>
  </si>
  <si>
    <t>17377859#261</t>
  </si>
  <si>
    <t>Placeringsfond Nordea Norge Verdi</t>
  </si>
  <si>
    <t>17377859#262</t>
  </si>
  <si>
    <t>Placeringsfond Nordea Kort Obligasjon</t>
  </si>
  <si>
    <t>17377859#264</t>
  </si>
  <si>
    <t>Placeringsfond Nordea Plan Konservativ</t>
  </si>
  <si>
    <t>17377859#269</t>
  </si>
  <si>
    <t>Placeringsfond Nordea Plan Moderat</t>
  </si>
  <si>
    <t>17377859#270</t>
  </si>
  <si>
    <t>Placeringsfond Nordea Plan Balansert</t>
  </si>
  <si>
    <t>17377859#271</t>
  </si>
  <si>
    <t>Placeringsfond Nordea Plan Vekstorientert</t>
  </si>
  <si>
    <t>17377859#272</t>
  </si>
  <si>
    <t>Placeringsfond Nordea Plan Offensiv</t>
  </si>
  <si>
    <t>17377859#273</t>
  </si>
  <si>
    <t>Superhero Venture Fund 2024 Ky</t>
  </si>
  <si>
    <t>26963091#005</t>
  </si>
  <si>
    <t>Placeringsfond Nordea Avkastning</t>
  </si>
  <si>
    <t>17377859#274</t>
  </si>
  <si>
    <t>Placeringsfond Nordea Norwegian Passive Fund</t>
  </si>
  <si>
    <t>17377859#275</t>
  </si>
  <si>
    <t>Placeringsfond Nordea FRN Pensjon</t>
  </si>
  <si>
    <t>17377859#276</t>
  </si>
  <si>
    <t>Placeringsfond Nordea FRN OMF</t>
  </si>
  <si>
    <t>17377859#277</t>
  </si>
  <si>
    <t>Placeringsfond Nordea Global Statsobligasjon</t>
  </si>
  <si>
    <t>17377859#278</t>
  </si>
  <si>
    <t>LähiTapiola Pääomasijoitus VI Ky</t>
  </si>
  <si>
    <t>16172050#035</t>
  </si>
  <si>
    <t>LähiTapiola Pääomasijoitus VI Feeder Ky</t>
  </si>
  <si>
    <t>16172050#036</t>
  </si>
  <si>
    <t>Erikoissijoitusrahasto eQ PE SF V</t>
  </si>
  <si>
    <t>07360527#141</t>
  </si>
  <si>
    <t>Illusian Ventures II Ky</t>
  </si>
  <si>
    <t>33038347#002</t>
  </si>
  <si>
    <t>Signum Financial Technology &amp; Digital Assets Erikoissijoitusrahasto</t>
  </si>
  <si>
    <t>18300220#044</t>
  </si>
  <si>
    <t>Signum Monetary Systems &amp; Inflation Hedge Erikoissijoitusrahasto</t>
  </si>
  <si>
    <t>18300220#045</t>
  </si>
  <si>
    <t>Superhero Venture Fund 2024 Feeder Ky</t>
  </si>
  <si>
    <t>26963091#006</t>
  </si>
  <si>
    <t>Erikoissijoitusrahasto Evli Private Equity Alarahasto SLS 1</t>
  </si>
  <si>
    <t>07446590#179</t>
  </si>
  <si>
    <t>Erikoissijoitusrahasto Evli Private Equity Alarahasto SKF 2</t>
  </si>
  <si>
    <t>07446590#180</t>
  </si>
  <si>
    <t>Alexandria Pääomasijoitukset Erikoissijoitusrahasto</t>
  </si>
  <si>
    <t>16039364#013</t>
  </si>
  <si>
    <t>OP-Reaalikorko -sijoitusrahasto</t>
  </si>
  <si>
    <t>07439622#076</t>
  </si>
  <si>
    <t>OP-EMD Local Currency -erikoissijoitusrahasto</t>
  </si>
  <si>
    <t>07439622#091</t>
  </si>
  <si>
    <t>OP-EMD Hard Currency Corporate IG -sijoitusrahasto</t>
  </si>
  <si>
    <t>07439622#097</t>
  </si>
  <si>
    <t>Sijoitusrahasto Nordea Private Banking FRN</t>
  </si>
  <si>
    <t>17377859#099</t>
  </si>
  <si>
    <t>31417319#003</t>
  </si>
  <si>
    <t>YKS Management Oy</t>
  </si>
  <si>
    <t>Equilibrium Funds Oy</t>
  </si>
  <si>
    <t>Illusian Capital Oy</t>
  </si>
  <si>
    <t>BOA Kyy Ky</t>
  </si>
  <si>
    <t>31225771#002</t>
  </si>
  <si>
    <t>Evli Private Capital Fund I Ky</t>
  </si>
  <si>
    <t>07446590#174</t>
  </si>
  <si>
    <t>Evli Private Capital I Feeder A Ky</t>
  </si>
  <si>
    <t>07446590#175</t>
  </si>
  <si>
    <t>Fundco PE Strategies I Ky</t>
  </si>
  <si>
    <t>33917579#001</t>
  </si>
  <si>
    <t>Fundco PE I Ky</t>
  </si>
  <si>
    <t>33917579#002</t>
  </si>
  <si>
    <t>Aktia Velkarahastot II Ky</t>
  </si>
  <si>
    <t>20628401#116</t>
  </si>
  <si>
    <t>Aktia Velkarahastot II Rahoittajat Ky</t>
  </si>
  <si>
    <t>20628401#117</t>
  </si>
  <si>
    <t>Aktia Velkarahastot II Sijoittajat 500 Ky</t>
  </si>
  <si>
    <t>20628401#118</t>
  </si>
  <si>
    <t>Aktia Velkarahastot II Sijoittajat 100 Ky</t>
  </si>
  <si>
    <t>20628401#119</t>
  </si>
  <si>
    <t>Aktia Velkarahastot II Omistajat Ky</t>
  </si>
  <si>
    <t>20628401#120</t>
  </si>
  <si>
    <t>eQ PE XVI North Ky</t>
  </si>
  <si>
    <t>07360527#139</t>
  </si>
  <si>
    <t>Erikoissijoitusrahasto eQ PE XVI North Feeder</t>
  </si>
  <si>
    <t>07360527#140</t>
  </si>
  <si>
    <t>Leo Capital Europe Fund I Ky</t>
  </si>
  <si>
    <t>33542455#001</t>
  </si>
  <si>
    <t>Fundco PE I Feeder Ky</t>
  </si>
  <si>
    <t>33917579#004</t>
  </si>
  <si>
    <t>Ålandsbanken Norden Dividend Placeringsfond</t>
  </si>
  <si>
    <t>14713626#052</t>
  </si>
  <si>
    <t>Erikoissijoitusrahasto CW Investment Partners Fund IV</t>
  </si>
  <si>
    <t>29064614#033</t>
  </si>
  <si>
    <t>CW</t>
  </si>
  <si>
    <t>Sijoitusrahasto Danske Invest India</t>
  </si>
  <si>
    <t>06716026#076</t>
  </si>
  <si>
    <t>Sijoitusrahasto Danske Invest Itä-Eurooppa Konvergenssi</t>
  </si>
  <si>
    <t>06716026#094</t>
  </si>
  <si>
    <t>fundco oy</t>
  </si>
  <si>
    <t>Leo Capital Europe Oy</t>
  </si>
  <si>
    <t>Placerinfsfonden Aktia Rahastoyhtiö Oy Folkhälsan</t>
  </si>
  <si>
    <t>Sijoitusrahasto Aktia Rahastoyhtiö Oy A100</t>
  </si>
  <si>
    <t>Sijoitusrahasto Aktia Rahastoyhtiö Oy A25</t>
  </si>
  <si>
    <t>Erikoissijoitusrahasto Aktia Rahastoyhtiö Oy Mikro Markka</t>
  </si>
  <si>
    <t>Specialplaceringsfonden Aktia Rahastoyhtiö Oy Global High Yield Bond+</t>
  </si>
  <si>
    <t>Specialplaceringsfonden Aktia Rahastoyhtiö Oy Asset Allocation</t>
  </si>
  <si>
    <t>Placeringsfonden Aktia Rahastoyhtiö Oy Inflation Bond+</t>
  </si>
  <si>
    <t>Sijoitusrahasto Aktia Rahastoyhtiö Oy Nordic High Yield</t>
  </si>
  <si>
    <t>Sijoitusrahasto Aktia Rahastoyhtiö Oy Arvo Kruunu</t>
  </si>
  <si>
    <t>Placeringsfonden Aktia Rahastoyhtiö Oy Europe Small Cap</t>
  </si>
  <si>
    <t>Placeringsfonden Aktia Rahastoyhtiö Oy Tillväxtmarknad Aktie</t>
  </si>
  <si>
    <t>Sijoitusrahasto Aktia Rahastoyhtiö Oy Arvo Markka</t>
  </si>
  <si>
    <t>Placeringsfonden Aktia Rahastoyhtiö Oy Emerging Market Local Currency T-Bill+</t>
  </si>
  <si>
    <t>Specialplaceringsfonden Aktia Rahastoyhtiö Oy High Conviction</t>
  </si>
  <si>
    <t>Placeringsfonden Aktia Rahastoyhtiö Oy Global Government Bond+</t>
  </si>
  <si>
    <t>Specialplaceringsfonden Aktia Rahastoyhtiö Oy SLS</t>
  </si>
  <si>
    <t>Erikoissijoitusrahasto Aktia Rahastoyhtiö Oy Mikro Rein</t>
  </si>
  <si>
    <t>Placeringsfonden Aktia Rahastoyhtiö Oy Emerging Market Local Currency Frontier Bond+</t>
  </si>
  <si>
    <t>Erikoissijoitusrahasto Aktia Rahastoyhtiö Oy Varainhoitosalkku+ Tasapainoinen</t>
  </si>
  <si>
    <t>Erikoissijoitusrahasto Aktia Rahastoyhtiö Oy Varainhoitosalkku+ Tuottohakuinen</t>
  </si>
  <si>
    <t>Erikoissijoitusrahasto Aktia Rahastoyhtiö Oy Varainhoitosalkku+ Maltillinen</t>
  </si>
  <si>
    <t>Specialplaceringsfonden Aktia Rahastoyhtiö Oy Commodity</t>
  </si>
  <si>
    <t>Specialplaceringsfonden Aktia Rahastoyhtiö Oy Alternative</t>
  </si>
  <si>
    <t>Placeringsfonden Aktia Rahastoyhtiö Oy Nordic Micro Cap</t>
  </si>
  <si>
    <t>Placeringsfonden Aktia Rahastoyhtiö Oy Emerging Market Corporate Bond+</t>
  </si>
  <si>
    <t>Specialplaceringsgfonden Aktia Rahastoyhtiö Oy Trade Finance</t>
  </si>
  <si>
    <t>Placeringsfonden Aktia Rahastoyhtiö Oy Aktieportfölj</t>
  </si>
  <si>
    <t>Specialplaceringsfonden Aktia Rahastoyhtiö Oy Opportunistic Credit I</t>
  </si>
  <si>
    <t>Placeringsfonden Aktia Rahastoyhtiö Oy Förvaltningsportfölj 25</t>
  </si>
  <si>
    <t>Placeringsfonden Aktia Rahastoyhtiö Oy Förvaltningsportfölj 50</t>
  </si>
  <si>
    <t>Placeringsfonden Aktia Rahastoyhtiö Oy Förvaltningsportfölj 75</t>
  </si>
  <si>
    <t>Erikoissijoitusrahasto Aktia Rahastoyhtiö Oy Uusi Eurooppa</t>
  </si>
  <si>
    <t>Sijoitusrahasto Aktia Rahastoyhtiö Oy A50</t>
  </si>
  <si>
    <t>Sijoitusrahasto Aktia Rahastoyhtiö Oy Arvo Rein</t>
  </si>
  <si>
    <t>Specialplaceringsfonden Aktia Rahastoyhtiö Oy Affärsfastigheter</t>
  </si>
  <si>
    <t>Sijoitusrahasto Aktia Rahastoyhtiö Oy Euroopan Kassakoneet</t>
  </si>
  <si>
    <t>Erikoissijoitusrahasto Aktia Rahastoyhtiö Oy Vaihtoehtoiset</t>
  </si>
  <si>
    <t>Placeringsfonden Aktia Rahastoyhtiö Oy European High Yield Bond+</t>
  </si>
  <si>
    <t>Erikoissijoitusrahasto Aktia Rahastoyhtiö Oy Asunnot+</t>
  </si>
  <si>
    <t>Erikoissijoitusrahasto Aktia Rahastoyhtiö Oy Impakti</t>
  </si>
  <si>
    <t>Erikoissijoitusrahasto Aktia Rahastoyhtiö Oy Mikro Kruunu</t>
  </si>
  <si>
    <t>Erikoissijoitusrahasto Aktia Rahastoyhtiö Oy Private alarahasto Aktia Rahastoyhtiö Oy Family Fund One</t>
  </si>
  <si>
    <t>Aktia Rahastoyhtiö Oy Asuntorahasto VIII Ky</t>
  </si>
  <si>
    <t>Aktia Rahastoyhtiö Oy Asuntorahasto VIII Rahoittajat Ky</t>
  </si>
  <si>
    <t>Aktia Rahastoyhtiö Oy Asuntorahasto VIII Sijoittajat 500 Ky</t>
  </si>
  <si>
    <t>Aktia Rahastoyhtiö Oy Asuntorahasto VIII Sijoittajat 100 Ky</t>
  </si>
  <si>
    <t>Aktia Rahastoyhtiö Oy Asuntorahasto VIII Omistajat Ky</t>
  </si>
  <si>
    <t>Aktia Rahastoyhtiö Oy Bioteollisuus I Ky</t>
  </si>
  <si>
    <t>Aktia Rahastoyhtiö Oy Bioteollisuus I Rahoittajat Ky</t>
  </si>
  <si>
    <t>Aktia Rahastoyhtiö Oy Bioteollisuus I Sijoittajat 500 Ky</t>
  </si>
  <si>
    <t>Aktia Rahastoyhtiö Oy Bioteollisuus I Sijoittajat 100 Ky</t>
  </si>
  <si>
    <t>Aktia Rahastoyhtiö Oy Bioteollisuus I Omistajat Ky</t>
  </si>
  <si>
    <t>Aktia Rahastoyhtiö Oy Aurinkotuuli III Ky</t>
  </si>
  <si>
    <t>Aktia Rahastoyhtiö Oy Aurinkotuuli III Rahoittajat Ky</t>
  </si>
  <si>
    <t>Aktia Rahastoyhtiö Oy Aurinkotuuli III Sijoittajat 500 Ky</t>
  </si>
  <si>
    <t>Aktia Rahastoyhtiö Oy Aurinkotuuli III Sijoittajat 100 Ky</t>
  </si>
  <si>
    <t>Aktia Rahastoyhtiö Oy Aurinkotuuli III Omistajat Ky</t>
  </si>
  <si>
    <t>Aktia Rahastoyhtiö Oy Aurinkotuuli III Henkilökunta Ky</t>
  </si>
  <si>
    <t>Sijoitusrahasto Aktia Rahastoyhtiö Oy Passiivi USA</t>
  </si>
  <si>
    <t>Sijoitusrahasto Aktia Rahastoyhtiö Oy Passiivi Eurooppa</t>
  </si>
  <si>
    <t>Sijoitusrahasto Aktia Rahastoyhtiö Oy Passiivi Kehittyvät Markkinat</t>
  </si>
  <si>
    <t>Sijoitusrahasto Aktia Rahastoyhtiö Oy Passiivi Japani</t>
  </si>
  <si>
    <t>Erikoissijoitusrahasto Aktia Rahastoyhtiö Oy Vakaa Korko</t>
  </si>
  <si>
    <t>Aktia Rahastoyhtiö Oy Velkarahastot II Ky</t>
  </si>
  <si>
    <t>Aktia Rahastoyhtiö Oy Velkarahastot II Rahoittajat Ky</t>
  </si>
  <si>
    <t>Aktia Rahastoyhtiö Oy Velkarahastot II Sijoittajat 500 Ky</t>
  </si>
  <si>
    <t>Aktia Rahastoyhtiö Oy Velkarahastot II Sijoittajat 100 Ky</t>
  </si>
  <si>
    <t>Aktia Rahastoyhtiö Oy Velkarahastot II Omistajat Ky</t>
  </si>
  <si>
    <t>Maneq</t>
  </si>
  <si>
    <t>Placeringsfonden Aktia Rahastoyhtiö Oy Emerging Market Equity Select</t>
  </si>
  <si>
    <t>Wave III KY</t>
  </si>
  <si>
    <t>27838225#003</t>
  </si>
  <si>
    <t>21181015#056</t>
  </si>
  <si>
    <t>UB Asuntorahasto I Syöttörahasto Ky</t>
  </si>
  <si>
    <t>21181015#057</t>
  </si>
  <si>
    <t>Erikoissijoitusrahasto eQ Eurooppa Indeksi ESG</t>
  </si>
  <si>
    <t>07360527#144</t>
  </si>
  <si>
    <t>Erikoissijoitusrahasto eQ Maailma Indeksi ESG</t>
  </si>
  <si>
    <t>07360527#145</t>
  </si>
  <si>
    <t>Sijoitusrahasto Nordea USA Passiivinen</t>
  </si>
  <si>
    <t>17377859#279</t>
  </si>
  <si>
    <t>Icebreaker Fund III Ky</t>
  </si>
  <si>
    <t>27605923#004</t>
  </si>
  <si>
    <t>Terwarahasto 2 Ky</t>
  </si>
  <si>
    <t>27728544#002</t>
  </si>
  <si>
    <t>Sijoitusrahasto Aktia European Smaller Companies</t>
  </si>
  <si>
    <t>20628401#121</t>
  </si>
  <si>
    <t>Erikoissijoitusrahasto eQ Asunnot III</t>
  </si>
  <si>
    <t>07360527#147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</si>
</sst>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4" borderId="8"/>
    <xf numFmtId="0" fontId="1" fillId="5" borderId="8" applyFont="0"/>
  </cellStyleXfs>
  <cellXfs count="36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2" fillId="3" borderId="3" xfId="0" applyFont="1" applyFill="1" applyBorder="1"/>
    <xf numFmtId="0" fontId="2" fillId="3" borderId="4" xfId="0" applyFont="1" applyFill="1" applyBorder="1"/>
    <xf numFmtId="49" fontId="2" fillId="3" borderId="4" xfId="0" applyNumberFormat="1" applyFont="1" applyFill="1" applyBorder="1"/>
    <xf numFmtId="0" fontId="2" fillId="3" borderId="5" xfId="0" applyFont="1" applyFill="1" applyBorder="1"/>
    <xf numFmtId="0" fontId="0" fillId="2" borderId="3" xfId="0" applyFill="1" applyBorder="1"/>
    <xf numFmtId="49" fontId="0" fillId="2" borderId="4" xfId="0" applyNumberFormat="1" applyFill="1" applyBorder="1"/>
    <xf numFmtId="0" fontId="0" fillId="2" borderId="4" xfId="0" applyFill="1" applyBorder="1"/>
    <xf numFmtId="0" fontId="0" fillId="0" borderId="3" xfId="0" applyBorder="1"/>
    <xf numFmtId="49" fontId="0" fillId="0" borderId="4" xfId="0" applyNumberFormat="1" applyBorder="1"/>
    <xf numFmtId="0" fontId="0" fillId="0" borderId="4" xfId="0" applyBorder="1"/>
    <xf numFmtId="49" fontId="0" fillId="0" borderId="2" xfId="0" applyNumberFormat="1" applyBorder="1"/>
    <xf numFmtId="2" fontId="2" fillId="3" borderId="4" xfId="0" applyNumberFormat="1" applyFont="1" applyFill="1" applyBorder="1"/>
    <xf numFmtId="2" fontId="0" fillId="2" borderId="4" xfId="0" applyNumberFormat="1" applyFill="1" applyBorder="1"/>
    <xf numFmtId="2" fontId="0" fillId="0" borderId="4" xfId="0" applyNumberFormat="1" applyBorder="1"/>
    <xf numFmtId="2" fontId="0" fillId="0" borderId="2" xfId="0" applyNumberFormat="1" applyBorder="1"/>
    <xf numFmtId="2" fontId="0" fillId="0" borderId="0" xfId="0" applyNumberFormat="1"/>
    <xf numFmtId="0" fontId="0" fillId="0" borderId="6" xfId="0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Continuous"/>
    </xf>
    <xf numFmtId="0" fontId="4" fillId="0" borderId="0" xfId="0" applyFont="1"/>
    <xf numFmtId="0" fontId="2" fillId="3" borderId="0" xfId="0" applyFont="1" applyFill="1"/>
    <xf numFmtId="0" fontId="0" fillId="2" borderId="0" xfId="0" applyFill="1"/>
    <xf numFmtId="0" fontId="8" fillId="0" borderId="0" xfId="2" applyFont="1" applyFill="1" applyBorder="1"/>
    <xf numFmtId="0" fontId="9" fillId="0" borderId="0" xfId="2" applyFont="1" applyFill="1" applyBorder="1"/>
    <xf numFmtId="0" fontId="9" fillId="0" borderId="0" xfId="2" quotePrefix="1" applyFont="1" applyFill="1" applyBorder="1"/>
    <xf numFmtId="0" fontId="7" fillId="0" borderId="0" xfId="1" applyFont="1" applyFill="1" applyBorder="1"/>
    <xf numFmtId="0" fontId="7" fillId="0" borderId="0" xfId="0" applyFont="1"/>
    <xf numFmtId="0" fontId="10" fillId="0" borderId="0" xfId="2" applyFont="1" applyFill="1" applyBorder="1"/>
    <xf numFmtId="0" fontId="0" fillId="0" borderId="0" xfId="0" applyNumberFormat="1"/>
  </cellXfs>
  <cellStyles count="3">
    <cellStyle name="Add" xfId="2" xr:uid="{65FFBAD3-51EC-493F-BE59-D24F44E64A11}"/>
    <cellStyle name="Delete" xfId="1" xr:uid="{B696E644-60E7-49A8-903A-F6F410EBEDCE}"/>
    <cellStyle name="Normal" xfId="0" builtinId="0"/>
  </cellStyles>
  <dxfs count="12">
    <dxf>
      <font>
        <b val="0"/>
      </font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30" formatCode="@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FI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'Statistisk analys'!$T$196:$T$229</c:f>
              <c:strCache>
                <c:ptCount val="34"/>
                <c:pt idx="0">
                  <c:v>0</c:v>
                </c:pt>
                <c:pt idx="1">
                  <c:v>4,121212121</c:v>
                </c:pt>
                <c:pt idx="2">
                  <c:v>8,242424242</c:v>
                </c:pt>
                <c:pt idx="3">
                  <c:v>12,36363636</c:v>
                </c:pt>
                <c:pt idx="4">
                  <c:v>16,48484848</c:v>
                </c:pt>
                <c:pt idx="5">
                  <c:v>20,60606061</c:v>
                </c:pt>
                <c:pt idx="6">
                  <c:v>24,72727273</c:v>
                </c:pt>
                <c:pt idx="7">
                  <c:v>28,84848485</c:v>
                </c:pt>
                <c:pt idx="8">
                  <c:v>32,96969697</c:v>
                </c:pt>
                <c:pt idx="9">
                  <c:v>37,09090909</c:v>
                </c:pt>
                <c:pt idx="10">
                  <c:v>41,21212121</c:v>
                </c:pt>
                <c:pt idx="11">
                  <c:v>45,33333333</c:v>
                </c:pt>
                <c:pt idx="12">
                  <c:v>49,45454545</c:v>
                </c:pt>
                <c:pt idx="13">
                  <c:v>53,57575758</c:v>
                </c:pt>
                <c:pt idx="14">
                  <c:v>57,6969697</c:v>
                </c:pt>
                <c:pt idx="15">
                  <c:v>61,81818182</c:v>
                </c:pt>
                <c:pt idx="16">
                  <c:v>65,93939394</c:v>
                </c:pt>
                <c:pt idx="17">
                  <c:v>70,06060606</c:v>
                </c:pt>
                <c:pt idx="18">
                  <c:v>74,18181818</c:v>
                </c:pt>
                <c:pt idx="19">
                  <c:v>78,3030303</c:v>
                </c:pt>
                <c:pt idx="20">
                  <c:v>82,42424242</c:v>
                </c:pt>
                <c:pt idx="21">
                  <c:v>86,54545455</c:v>
                </c:pt>
                <c:pt idx="22">
                  <c:v>90,66666667</c:v>
                </c:pt>
                <c:pt idx="23">
                  <c:v>94,78787879</c:v>
                </c:pt>
                <c:pt idx="24">
                  <c:v>98,90909091</c:v>
                </c:pt>
                <c:pt idx="25">
                  <c:v>103,030303</c:v>
                </c:pt>
                <c:pt idx="26">
                  <c:v>107,1515152</c:v>
                </c:pt>
                <c:pt idx="27">
                  <c:v>111,2727273</c:v>
                </c:pt>
                <c:pt idx="28">
                  <c:v>115,3939394</c:v>
                </c:pt>
                <c:pt idx="29">
                  <c:v>119,5151515</c:v>
                </c:pt>
                <c:pt idx="30">
                  <c:v>123,6363636</c:v>
                </c:pt>
                <c:pt idx="31">
                  <c:v>127,7575758</c:v>
                </c:pt>
                <c:pt idx="32">
                  <c:v>131,8787879</c:v>
                </c:pt>
                <c:pt idx="33">
                  <c:v>More</c:v>
                </c:pt>
              </c:strCache>
            </c:strRef>
          </c:cat>
          <c:val>
            <c:numRef>
              <c:f>'Statistisk analys'!$U$196:$U$229</c:f>
              <c:numCache>
                <c:formatCode>General</c:formatCode>
                <c:ptCount val="34"/>
                <c:pt idx="0">
                  <c:v>3</c:v>
                </c:pt>
                <c:pt idx="1">
                  <c:v>12</c:v>
                </c:pt>
                <c:pt idx="2">
                  <c:v>31</c:v>
                </c:pt>
                <c:pt idx="3">
                  <c:v>54</c:v>
                </c:pt>
                <c:pt idx="4">
                  <c:v>30</c:v>
                </c:pt>
                <c:pt idx="5">
                  <c:v>43</c:v>
                </c:pt>
                <c:pt idx="6">
                  <c:v>50</c:v>
                </c:pt>
                <c:pt idx="7">
                  <c:v>27</c:v>
                </c:pt>
                <c:pt idx="8">
                  <c:v>47</c:v>
                </c:pt>
                <c:pt idx="9">
                  <c:v>60</c:v>
                </c:pt>
                <c:pt idx="10">
                  <c:v>46</c:v>
                </c:pt>
                <c:pt idx="11">
                  <c:v>33</c:v>
                </c:pt>
                <c:pt idx="12">
                  <c:v>44</c:v>
                </c:pt>
                <c:pt idx="13">
                  <c:v>37</c:v>
                </c:pt>
                <c:pt idx="14">
                  <c:v>36</c:v>
                </c:pt>
                <c:pt idx="15">
                  <c:v>38</c:v>
                </c:pt>
                <c:pt idx="16">
                  <c:v>46</c:v>
                </c:pt>
                <c:pt idx="17">
                  <c:v>17</c:v>
                </c:pt>
                <c:pt idx="18">
                  <c:v>58</c:v>
                </c:pt>
                <c:pt idx="19">
                  <c:v>30</c:v>
                </c:pt>
                <c:pt idx="20">
                  <c:v>21</c:v>
                </c:pt>
                <c:pt idx="21">
                  <c:v>51</c:v>
                </c:pt>
                <c:pt idx="22">
                  <c:v>18</c:v>
                </c:pt>
                <c:pt idx="23">
                  <c:v>26</c:v>
                </c:pt>
                <c:pt idx="24">
                  <c:v>32</c:v>
                </c:pt>
                <c:pt idx="25">
                  <c:v>30</c:v>
                </c:pt>
                <c:pt idx="26">
                  <c:v>26</c:v>
                </c:pt>
                <c:pt idx="27">
                  <c:v>12</c:v>
                </c:pt>
                <c:pt idx="28">
                  <c:v>102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4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D-49B5-94A4-5E9D82985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76180719"/>
        <c:axId val="1876184079"/>
      </c:barChart>
      <c:catAx>
        <c:axId val="187618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FI" sz="1600" baseline="0"/>
                  <a:t>Lifetime in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76184079"/>
        <c:crosses val="autoZero"/>
        <c:auto val="1"/>
        <c:lblAlgn val="ctr"/>
        <c:lblOffset val="100"/>
        <c:noMultiLvlLbl val="0"/>
      </c:catAx>
      <c:valAx>
        <c:axId val="18761840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FI" sz="1600"/>
                  <a:t>Frequency</a:t>
                </a:r>
                <a:endParaRPr lang="sv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FI"/>
            </a:p>
          </c:txPr>
        </c:title>
        <c:numFmt formatCode="General" sourceLinked="1"/>
        <c:majorTickMark val="none"/>
        <c:minorTickMark val="none"/>
        <c:tickLblPos val="nextTo"/>
        <c:crossAx val="1876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FI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'Statistisk analys på stängde'!$T$194:$T$208</c:f>
              <c:strCache>
                <c:ptCount val="15"/>
                <c:pt idx="0">
                  <c:v>0</c:v>
                </c:pt>
                <c:pt idx="1">
                  <c:v>8,571428571</c:v>
                </c:pt>
                <c:pt idx="2">
                  <c:v>17,14285714</c:v>
                </c:pt>
                <c:pt idx="3">
                  <c:v>25,71428571</c:v>
                </c:pt>
                <c:pt idx="4">
                  <c:v>34,28571429</c:v>
                </c:pt>
                <c:pt idx="5">
                  <c:v>42,85714286</c:v>
                </c:pt>
                <c:pt idx="6">
                  <c:v>51,42857143</c:v>
                </c:pt>
                <c:pt idx="7">
                  <c:v>60</c:v>
                </c:pt>
                <c:pt idx="8">
                  <c:v>68,57142857</c:v>
                </c:pt>
                <c:pt idx="9">
                  <c:v>77,14285714</c:v>
                </c:pt>
                <c:pt idx="10">
                  <c:v>85,71428571</c:v>
                </c:pt>
                <c:pt idx="11">
                  <c:v>94,28571429</c:v>
                </c:pt>
                <c:pt idx="12">
                  <c:v>102,8571429</c:v>
                </c:pt>
                <c:pt idx="13">
                  <c:v>111,4285714</c:v>
                </c:pt>
                <c:pt idx="14">
                  <c:v>More</c:v>
                </c:pt>
              </c:strCache>
            </c:strRef>
          </c:cat>
          <c:val>
            <c:numRef>
              <c:f>'Statistisk analys på stängde'!$U$194:$U$208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23</c:v>
                </c:pt>
                <c:pt idx="3">
                  <c:v>30</c:v>
                </c:pt>
                <c:pt idx="4">
                  <c:v>18</c:v>
                </c:pt>
                <c:pt idx="5">
                  <c:v>30</c:v>
                </c:pt>
                <c:pt idx="6">
                  <c:v>21</c:v>
                </c:pt>
                <c:pt idx="7">
                  <c:v>19</c:v>
                </c:pt>
                <c:pt idx="8">
                  <c:v>12</c:v>
                </c:pt>
                <c:pt idx="9">
                  <c:v>16</c:v>
                </c:pt>
                <c:pt idx="10">
                  <c:v>12</c:v>
                </c:pt>
                <c:pt idx="11">
                  <c:v>10</c:v>
                </c:pt>
                <c:pt idx="12">
                  <c:v>10</c:v>
                </c:pt>
                <c:pt idx="13">
                  <c:v>4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6-459D-BFF6-AE79E98FFB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57513632"/>
        <c:axId val="1857514112"/>
      </c:barChart>
      <c:catAx>
        <c:axId val="185751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FI"/>
                  <a:t>Lifetime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57514112"/>
        <c:crosses val="autoZero"/>
        <c:auto val="1"/>
        <c:lblAlgn val="ctr"/>
        <c:lblOffset val="100"/>
        <c:noMultiLvlLbl val="0"/>
      </c:catAx>
      <c:valAx>
        <c:axId val="18575141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FI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crossAx val="185751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514349</xdr:colOff>
      <xdr:row>230</xdr:row>
      <xdr:rowOff>28575</xdr:rowOff>
    </xdr:from>
    <xdr:to>
      <xdr:col>26</xdr:col>
      <xdr:colOff>38099</xdr:colOff>
      <xdr:row>260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E7566-6B59-644F-4358-EE247D7DB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609599</xdr:colOff>
      <xdr:row>209</xdr:row>
      <xdr:rowOff>66674</xdr:rowOff>
    </xdr:from>
    <xdr:to>
      <xdr:col>29</xdr:col>
      <xdr:colOff>171450</xdr:colOff>
      <xdr:row>233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A425A-0E50-BE1A-DE6A-D0AB2D94B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\Admin\Fundadmin\Operations%20team\Sommarprojekt\Marknadsanalys%202024\sira_reporters_20240630.xlsx" TargetMode="External"/><Relationship Id="rId1" Type="http://schemas.openxmlformats.org/officeDocument/2006/relationships/externalLinkPath" Target="sira_reporters_202406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\Admin\Fundadmin\Operations%20team\Sommarprojekt\Marknadsanalys%202024\aif.xlsx" TargetMode="External"/><Relationship Id="rId1" Type="http://schemas.openxmlformats.org/officeDocument/2006/relationships/externalLinkPath" Target="ai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\Admin\Fundadmin\Operations%20team\Sommarprojekt\Marknadsanalys%202024\sira_reporters_20240930.xlsx" TargetMode="External"/><Relationship Id="rId1" Type="http://schemas.openxmlformats.org/officeDocument/2006/relationships/externalLinkPath" Target="sira_reporters_2024093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ra_reporters_2024033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\Admin\Fundadmin\Operations%20team\Sommarprojekt\Marknadsanalys%202024\sira_reporters_20250430.xlsx" TargetMode="External"/><Relationship Id="rId1" Type="http://schemas.openxmlformats.org/officeDocument/2006/relationships/externalLinkPath" Target="sira_reporters_2025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6.2024"/>
    </sheetNames>
    <sheetDataSet>
      <sheetData sheetId="0">
        <row r="1">
          <cell r="B1" t="str">
            <v/>
          </cell>
          <cell r="H1" t="str">
            <v/>
          </cell>
        </row>
        <row r="2">
          <cell r="B2" t="str">
            <v>Tilanne / Situation / Situation: 30.06.2024</v>
          </cell>
          <cell r="H2" t="str">
            <v/>
          </cell>
        </row>
        <row r="3">
          <cell r="B3" t="str">
            <v>Päivitetty / Uppdaterad / Updated: 30.06.2024</v>
          </cell>
          <cell r="H3" t="str">
            <v/>
          </cell>
        </row>
        <row r="4">
          <cell r="B4" t="str">
            <v/>
          </cell>
          <cell r="H4" t="str">
            <v/>
          </cell>
        </row>
        <row r="5">
          <cell r="B5" t="str">
            <v/>
          </cell>
          <cell r="H5" t="str">
            <v/>
          </cell>
        </row>
        <row r="6">
          <cell r="B6" t="str">
            <v>Sijoitusrahastotunnus</v>
          </cell>
          <cell r="H6" t="str">
            <v>Hallinnointiyhtiö</v>
          </cell>
        </row>
        <row r="7">
          <cell r="B7" t="str">
            <v>Fondens ID-kod</v>
          </cell>
          <cell r="H7" t="str">
            <v>Förvaltningsbolag</v>
          </cell>
        </row>
        <row r="8">
          <cell r="B8" t="str">
            <v>Investment fund identifier</v>
          </cell>
          <cell r="H8" t="str">
            <v>Management company</v>
          </cell>
        </row>
        <row r="9">
          <cell r="B9" t="str">
            <v/>
          </cell>
          <cell r="H9" t="str">
            <v/>
          </cell>
        </row>
        <row r="10">
          <cell r="B10" t="str">
            <v/>
          </cell>
          <cell r="H10" t="str">
            <v/>
          </cell>
        </row>
        <row r="11">
          <cell r="B11" t="str">
            <v>Sijoitusrahastot (UCITS)</v>
          </cell>
          <cell r="H11" t="str">
            <v/>
          </cell>
        </row>
        <row r="12">
          <cell r="B12" t="str">
            <v>Investeringsfonder (UCITS)</v>
          </cell>
          <cell r="H12" t="str">
            <v/>
          </cell>
        </row>
        <row r="13">
          <cell r="B13" t="str">
            <v>Investment funds (UCITS)</v>
          </cell>
          <cell r="H13" t="str">
            <v/>
          </cell>
        </row>
        <row r="14">
          <cell r="B14" t="str">
            <v/>
          </cell>
          <cell r="H14" t="str">
            <v/>
          </cell>
        </row>
        <row r="15">
          <cell r="B15" t="str">
            <v>06716026#001</v>
          </cell>
          <cell r="H15" t="str">
            <v>Danske Invest Rahastoyhtiö Oy</v>
          </cell>
        </row>
        <row r="16">
          <cell r="B16" t="str">
            <v>06716026#002</v>
          </cell>
          <cell r="H16" t="str">
            <v>Danske Invest Rahastoyhtiö Oy</v>
          </cell>
        </row>
        <row r="17">
          <cell r="B17" t="str">
            <v>06716026#003</v>
          </cell>
          <cell r="H17" t="str">
            <v>Danske Invest Rahastoyhtiö Oy</v>
          </cell>
        </row>
        <row r="18">
          <cell r="B18" t="str">
            <v>06716026#004</v>
          </cell>
          <cell r="H18" t="str">
            <v>Danske Invest Rahastoyhtiö Oy</v>
          </cell>
        </row>
        <row r="19">
          <cell r="B19" t="str">
            <v>06716026#007</v>
          </cell>
          <cell r="H19" t="str">
            <v>Danske Invest Rahastoyhtiö Oy</v>
          </cell>
        </row>
        <row r="20">
          <cell r="B20" t="str">
            <v>06716026#008</v>
          </cell>
          <cell r="H20" t="str">
            <v>Danske Invest Rahastoyhtiö Oy</v>
          </cell>
        </row>
        <row r="21">
          <cell r="B21" t="str">
            <v>06716026#009</v>
          </cell>
          <cell r="H21" t="str">
            <v>Danske Invest Rahastoyhtiö Oy</v>
          </cell>
        </row>
        <row r="22">
          <cell r="B22" t="str">
            <v>06716026#010</v>
          </cell>
          <cell r="H22" t="str">
            <v>Danske Invest Rahastoyhtiö Oy</v>
          </cell>
        </row>
        <row r="23">
          <cell r="B23" t="str">
            <v>06716026#011</v>
          </cell>
          <cell r="H23" t="str">
            <v>Danske Invest Rahastoyhtiö Oy</v>
          </cell>
        </row>
        <row r="24">
          <cell r="B24" t="str">
            <v>06716026#017</v>
          </cell>
          <cell r="H24" t="str">
            <v>Danske Invest Rahastoyhtiö Oy</v>
          </cell>
        </row>
        <row r="25">
          <cell r="B25" t="str">
            <v>06716026#018</v>
          </cell>
          <cell r="H25" t="str">
            <v>Danske Invest Rahastoyhtiö Oy</v>
          </cell>
        </row>
        <row r="26">
          <cell r="B26" t="str">
            <v>06716026#019</v>
          </cell>
          <cell r="H26" t="str">
            <v>Danske Invest Rahastoyhtiö Oy</v>
          </cell>
        </row>
        <row r="27">
          <cell r="B27" t="str">
            <v>06716026#022</v>
          </cell>
          <cell r="H27" t="str">
            <v>Danske Invest Rahastoyhtiö Oy</v>
          </cell>
        </row>
        <row r="28">
          <cell r="B28" t="str">
            <v>06716026#024</v>
          </cell>
          <cell r="H28" t="str">
            <v>Danske Invest Rahastoyhtiö Oy</v>
          </cell>
        </row>
        <row r="29">
          <cell r="B29" t="str">
            <v>06716026#025</v>
          </cell>
          <cell r="H29" t="str">
            <v>Danske Invest Rahastoyhtiö Oy</v>
          </cell>
        </row>
        <row r="30">
          <cell r="B30" t="str">
            <v>06716026#038</v>
          </cell>
          <cell r="H30" t="str">
            <v>Danske Invest Rahastoyhtiö Oy</v>
          </cell>
        </row>
        <row r="31">
          <cell r="B31" t="str">
            <v>06716026#040</v>
          </cell>
          <cell r="H31" t="str">
            <v>Danske Invest Rahastoyhtiö Oy</v>
          </cell>
        </row>
        <row r="32">
          <cell r="B32" t="str">
            <v>06716026#041</v>
          </cell>
          <cell r="H32" t="str">
            <v>Danske Invest Rahastoyhtiö Oy</v>
          </cell>
        </row>
        <row r="33">
          <cell r="B33" t="str">
            <v>06716026#053</v>
          </cell>
          <cell r="H33" t="str">
            <v>Danske Invest Rahastoyhtiö Oy</v>
          </cell>
        </row>
        <row r="34">
          <cell r="B34" t="str">
            <v>06716026#058</v>
          </cell>
          <cell r="H34" t="str">
            <v>Danske Invest Rahastoyhtiö Oy</v>
          </cell>
        </row>
        <row r="35">
          <cell r="B35" t="str">
            <v>06716026#072</v>
          </cell>
          <cell r="H35" t="str">
            <v>Danske Invest Rahastoyhtiö Oy</v>
          </cell>
        </row>
        <row r="36">
          <cell r="B36" t="str">
            <v>06716026#073</v>
          </cell>
          <cell r="H36" t="str">
            <v>Danske Invest Rahastoyhtiö Oy</v>
          </cell>
        </row>
        <row r="37">
          <cell r="B37" t="str">
            <v>06716026#076</v>
          </cell>
          <cell r="H37" t="str">
            <v>Danske Invest Rahastoyhtiö Oy</v>
          </cell>
        </row>
        <row r="38">
          <cell r="B38" t="str">
            <v>06716026#082</v>
          </cell>
          <cell r="H38" t="str">
            <v>Danske Invest Rahastoyhtiö Oy</v>
          </cell>
        </row>
        <row r="39">
          <cell r="B39" t="str">
            <v>06716026#084</v>
          </cell>
          <cell r="H39" t="str">
            <v>Danske Invest Rahastoyhtiö Oy</v>
          </cell>
        </row>
        <row r="40">
          <cell r="B40" t="str">
            <v>06716026#088</v>
          </cell>
          <cell r="H40" t="str">
            <v>Danske Invest Rahastoyhtiö Oy</v>
          </cell>
        </row>
        <row r="41">
          <cell r="B41" t="str">
            <v>06716026#091</v>
          </cell>
          <cell r="H41" t="str">
            <v>Danske Invest Rahastoyhtiö Oy</v>
          </cell>
        </row>
        <row r="42">
          <cell r="B42" t="str">
            <v>06716026#093</v>
          </cell>
          <cell r="H42" t="str">
            <v>Danske Invest Rahastoyhtiö Oy</v>
          </cell>
        </row>
        <row r="43">
          <cell r="B43" t="str">
            <v>06716026#094</v>
          </cell>
          <cell r="H43" t="str">
            <v>Danske Invest Rahastoyhtiö Oy</v>
          </cell>
        </row>
        <row r="44">
          <cell r="B44" t="str">
            <v>07360527#002</v>
          </cell>
          <cell r="H44" t="str">
            <v>eQ Rahastoyhtiö Oy</v>
          </cell>
        </row>
        <row r="45">
          <cell r="B45" t="str">
            <v>07360527#007</v>
          </cell>
          <cell r="H45" t="str">
            <v>eQ Rahastoyhtiö Oy</v>
          </cell>
        </row>
        <row r="46">
          <cell r="B46" t="str">
            <v>07360527#015</v>
          </cell>
          <cell r="H46" t="str">
            <v>eQ Rahastoyhtiö Oy</v>
          </cell>
        </row>
        <row r="47">
          <cell r="B47" t="str">
            <v>07360527#021</v>
          </cell>
          <cell r="H47" t="str">
            <v>eQ Rahastoyhtiö Oy</v>
          </cell>
        </row>
        <row r="48">
          <cell r="B48" t="str">
            <v>07360527#026</v>
          </cell>
          <cell r="H48" t="str">
            <v>eQ Rahastoyhtiö Oy</v>
          </cell>
        </row>
        <row r="49">
          <cell r="B49" t="str">
            <v>07360527#035</v>
          </cell>
          <cell r="H49" t="str">
            <v>eQ Rahastoyhtiö Oy</v>
          </cell>
        </row>
        <row r="50">
          <cell r="B50" t="str">
            <v>07360527#036</v>
          </cell>
          <cell r="H50" t="str">
            <v>eQ Rahastoyhtiö Oy</v>
          </cell>
        </row>
        <row r="51">
          <cell r="B51" t="str">
            <v>07360527#039</v>
          </cell>
          <cell r="H51" t="str">
            <v>eQ Rahastoyhtiö Oy</v>
          </cell>
        </row>
        <row r="52">
          <cell r="B52" t="str">
            <v>07360527#053</v>
          </cell>
          <cell r="H52" t="str">
            <v>eQ Rahastoyhtiö Oy</v>
          </cell>
        </row>
        <row r="53">
          <cell r="B53" t="str">
            <v>07360527#055</v>
          </cell>
          <cell r="H53" t="str">
            <v>eQ Rahastoyhtiö Oy</v>
          </cell>
        </row>
        <row r="54">
          <cell r="B54" t="str">
            <v>07360527#056</v>
          </cell>
          <cell r="H54" t="str">
            <v>eQ Rahastoyhtiö Oy</v>
          </cell>
        </row>
        <row r="55">
          <cell r="B55" t="str">
            <v>07360527#109</v>
          </cell>
          <cell r="H55" t="str">
            <v>eQ Rahastoyhtiö Oy</v>
          </cell>
        </row>
        <row r="56">
          <cell r="B56" t="str">
            <v>07360527#110</v>
          </cell>
          <cell r="H56" t="str">
            <v>eQ Rahastoyhtiö Oy</v>
          </cell>
        </row>
        <row r="57">
          <cell r="B57" t="str">
            <v>07360527#140</v>
          </cell>
          <cell r="H57" t="str">
            <v>eQ Rahastoyhtiö Oy</v>
          </cell>
        </row>
        <row r="58">
          <cell r="B58" t="str">
            <v>07439622#005</v>
          </cell>
          <cell r="H58" t="str">
            <v>OP-Rahastoyhtiö Oy</v>
          </cell>
        </row>
        <row r="59">
          <cell r="B59" t="str">
            <v>07439622#010</v>
          </cell>
          <cell r="H59" t="str">
            <v>OP-Rahastoyhtiö Oy</v>
          </cell>
        </row>
        <row r="60">
          <cell r="B60" t="str">
            <v>07439622#011</v>
          </cell>
          <cell r="H60" t="str">
            <v>OP-Rahastoyhtiö Oy</v>
          </cell>
        </row>
        <row r="61">
          <cell r="B61" t="str">
            <v>07439622#016</v>
          </cell>
          <cell r="H61" t="str">
            <v>OP-Rahastoyhtiö Oy</v>
          </cell>
        </row>
        <row r="62">
          <cell r="B62" t="str">
            <v>07439622#017</v>
          </cell>
          <cell r="H62" t="str">
            <v>OP-Rahastoyhtiö Oy</v>
          </cell>
        </row>
        <row r="63">
          <cell r="B63" t="str">
            <v>07439622#018</v>
          </cell>
          <cell r="H63" t="str">
            <v>OP-Rahastoyhtiö Oy</v>
          </cell>
        </row>
        <row r="64">
          <cell r="B64" t="str">
            <v>07439622#020</v>
          </cell>
          <cell r="H64" t="str">
            <v>OP-Rahastoyhtiö Oy</v>
          </cell>
        </row>
        <row r="65">
          <cell r="B65" t="str">
            <v>07439622#022</v>
          </cell>
          <cell r="H65" t="str">
            <v>OP-Rahastoyhtiö Oy</v>
          </cell>
        </row>
        <row r="66">
          <cell r="B66" t="str">
            <v>07439622#026</v>
          </cell>
          <cell r="H66" t="str">
            <v>OP-Rahastoyhtiö Oy</v>
          </cell>
        </row>
        <row r="67">
          <cell r="B67" t="str">
            <v>07439622#027</v>
          </cell>
          <cell r="H67" t="str">
            <v>OP-Rahastoyhtiö Oy</v>
          </cell>
        </row>
        <row r="68">
          <cell r="B68" t="str">
            <v>07439622#030</v>
          </cell>
          <cell r="H68" t="str">
            <v>OP-Rahastoyhtiö Oy</v>
          </cell>
        </row>
        <row r="69">
          <cell r="B69" t="str">
            <v>07439622#032</v>
          </cell>
          <cell r="H69" t="str">
            <v>OP-Rahastoyhtiö Oy</v>
          </cell>
        </row>
        <row r="70">
          <cell r="B70" t="str">
            <v>07439622#036</v>
          </cell>
          <cell r="H70" t="str">
            <v>OP-Rahastoyhtiö Oy</v>
          </cell>
        </row>
        <row r="71">
          <cell r="B71" t="str">
            <v>07439622#038</v>
          </cell>
          <cell r="H71" t="str">
            <v>OP-Rahastoyhtiö Oy</v>
          </cell>
        </row>
        <row r="72">
          <cell r="B72" t="str">
            <v>07439622#039</v>
          </cell>
          <cell r="H72" t="str">
            <v>OP-Rahastoyhtiö Oy</v>
          </cell>
        </row>
        <row r="73">
          <cell r="B73" t="str">
            <v>07439622#045</v>
          </cell>
          <cell r="H73" t="str">
            <v>OP-Rahastoyhtiö Oy</v>
          </cell>
        </row>
        <row r="74">
          <cell r="B74" t="str">
            <v>07439622#048</v>
          </cell>
          <cell r="H74" t="str">
            <v>OP-Rahastoyhtiö Oy</v>
          </cell>
        </row>
        <row r="75">
          <cell r="B75" t="str">
            <v>07439622#063</v>
          </cell>
          <cell r="H75" t="str">
            <v>OP-Rahastoyhtiö Oy</v>
          </cell>
        </row>
        <row r="76">
          <cell r="B76" t="str">
            <v>07439622#067</v>
          </cell>
          <cell r="H76" t="str">
            <v>OP-Rahastoyhtiö Oy</v>
          </cell>
        </row>
        <row r="77">
          <cell r="B77" t="str">
            <v>07439622#071</v>
          </cell>
          <cell r="H77" t="str">
            <v>OP-Rahastoyhtiö Oy</v>
          </cell>
        </row>
        <row r="78">
          <cell r="B78" t="str">
            <v>07439622#076</v>
          </cell>
          <cell r="H78" t="str">
            <v>OP-Rahastoyhtiö Oy</v>
          </cell>
        </row>
        <row r="79">
          <cell r="B79" t="str">
            <v>07439622#080</v>
          </cell>
          <cell r="H79" t="str">
            <v>OP-Rahastoyhtiö Oy</v>
          </cell>
        </row>
        <row r="80">
          <cell r="B80" t="str">
            <v>07439622#087</v>
          </cell>
          <cell r="H80" t="str">
            <v>OP-Rahastoyhtiö Oy</v>
          </cell>
        </row>
        <row r="81">
          <cell r="B81" t="str">
            <v>07439622#088</v>
          </cell>
          <cell r="H81" t="str">
            <v>OP-Rahastoyhtiö Oy</v>
          </cell>
        </row>
        <row r="82">
          <cell r="B82" t="str">
            <v>07439622#094</v>
          </cell>
          <cell r="H82" t="str">
            <v>OP-Rahastoyhtiö Oy</v>
          </cell>
        </row>
        <row r="83">
          <cell r="B83" t="str">
            <v>07439622#095</v>
          </cell>
          <cell r="H83" t="str">
            <v>OP-Rahastoyhtiö Oy</v>
          </cell>
        </row>
        <row r="84">
          <cell r="B84" t="str">
            <v>07439622#096</v>
          </cell>
          <cell r="H84" t="str">
            <v>OP-Rahastoyhtiö Oy</v>
          </cell>
        </row>
        <row r="85">
          <cell r="B85" t="str">
            <v>07439622#097</v>
          </cell>
          <cell r="H85" t="str">
            <v>OP-Rahastoyhtiö Oy</v>
          </cell>
        </row>
        <row r="86">
          <cell r="B86" t="str">
            <v>07439622#100</v>
          </cell>
          <cell r="H86" t="str">
            <v>OP-Rahastoyhtiö Oy</v>
          </cell>
        </row>
        <row r="87">
          <cell r="B87" t="str">
            <v>07439622#103</v>
          </cell>
          <cell r="H87" t="str">
            <v>OP-Rahastoyhtiö Oy</v>
          </cell>
        </row>
        <row r="88">
          <cell r="B88" t="str">
            <v>07439622#104</v>
          </cell>
          <cell r="H88" t="str">
            <v>OP-Rahastoyhtiö Oy</v>
          </cell>
        </row>
        <row r="89">
          <cell r="B89" t="str">
            <v>07439622#106</v>
          </cell>
          <cell r="H89" t="str">
            <v>OP-Rahastoyhtiö Oy</v>
          </cell>
        </row>
        <row r="90">
          <cell r="B90" t="str">
            <v>07439622#107</v>
          </cell>
          <cell r="H90" t="str">
            <v>OP-Rahastoyhtiö Oy</v>
          </cell>
        </row>
        <row r="91">
          <cell r="B91" t="str">
            <v>07439622#109</v>
          </cell>
          <cell r="H91" t="str">
            <v>OP-Rahastoyhtiö Oy</v>
          </cell>
        </row>
        <row r="92">
          <cell r="B92" t="str">
            <v>07439622#120</v>
          </cell>
          <cell r="H92" t="str">
            <v>OP-Rahastoyhtiö Oy</v>
          </cell>
        </row>
        <row r="93">
          <cell r="B93" t="str">
            <v>07439622#122</v>
          </cell>
          <cell r="H93" t="str">
            <v>OP-Rahastoyhtiö Oy</v>
          </cell>
        </row>
        <row r="94">
          <cell r="B94" t="str">
            <v>07439622#123</v>
          </cell>
          <cell r="H94" t="str">
            <v>OP-Rahastoyhtiö Oy</v>
          </cell>
        </row>
        <row r="95">
          <cell r="B95" t="str">
            <v>07439622#126</v>
          </cell>
          <cell r="H95" t="str">
            <v>OP-Rahastoyhtiö Oy</v>
          </cell>
        </row>
        <row r="96">
          <cell r="B96" t="str">
            <v>07439622#127</v>
          </cell>
          <cell r="H96" t="str">
            <v>OP-Rahastoyhtiö Oy</v>
          </cell>
        </row>
        <row r="97">
          <cell r="B97" t="str">
            <v>07439622#129</v>
          </cell>
          <cell r="H97" t="str">
            <v>OP-Rahastoyhtiö Oy</v>
          </cell>
        </row>
        <row r="98">
          <cell r="B98" t="str">
            <v>07439622#131</v>
          </cell>
          <cell r="H98" t="str">
            <v>OP-Rahastoyhtiö Oy</v>
          </cell>
        </row>
        <row r="99">
          <cell r="B99" t="str">
            <v>07439622#134</v>
          </cell>
          <cell r="H99" t="str">
            <v>OP-Rahastoyhtiö Oy</v>
          </cell>
        </row>
        <row r="100">
          <cell r="B100" t="str">
            <v>07439622#136</v>
          </cell>
          <cell r="H100" t="str">
            <v>OP-Rahastoyhtiö Oy</v>
          </cell>
        </row>
        <row r="101">
          <cell r="B101" t="str">
            <v>07439622#137</v>
          </cell>
          <cell r="H101" t="str">
            <v>OP-Rahastoyhtiö Oy</v>
          </cell>
        </row>
        <row r="102">
          <cell r="B102" t="str">
            <v>07439622#138</v>
          </cell>
          <cell r="H102" t="str">
            <v>OP-Rahastoyhtiö Oy</v>
          </cell>
        </row>
        <row r="103">
          <cell r="B103" t="str">
            <v>07439622#144</v>
          </cell>
          <cell r="H103" t="str">
            <v>OP-Rahastoyhtiö Oy</v>
          </cell>
        </row>
        <row r="104">
          <cell r="B104" t="str">
            <v>07439622#151</v>
          </cell>
          <cell r="H104" t="str">
            <v>OP-Rahastoyhtiö Oy</v>
          </cell>
        </row>
        <row r="105">
          <cell r="B105" t="str">
            <v>07439622#153</v>
          </cell>
          <cell r="H105" t="str">
            <v>OP-Rahastoyhtiö Oy</v>
          </cell>
        </row>
        <row r="106">
          <cell r="B106" t="str">
            <v>07446590#004</v>
          </cell>
          <cell r="H106" t="str">
            <v>Evli-Rahastoyhtiö Oy</v>
          </cell>
        </row>
        <row r="107">
          <cell r="B107" t="str">
            <v>07446590#006</v>
          </cell>
          <cell r="H107" t="str">
            <v>Evli-Rahastoyhtiö Oy</v>
          </cell>
        </row>
        <row r="108">
          <cell r="B108" t="str">
            <v>07446590#010</v>
          </cell>
          <cell r="H108" t="str">
            <v>Evli-Rahastoyhtiö Oy</v>
          </cell>
        </row>
        <row r="109">
          <cell r="B109" t="str">
            <v>07446590#011</v>
          </cell>
          <cell r="H109" t="str">
            <v>Evli-Rahastoyhtiö Oy</v>
          </cell>
        </row>
        <row r="110">
          <cell r="B110" t="str">
            <v>07446590#013</v>
          </cell>
          <cell r="H110" t="str">
            <v>Evli-Rahastoyhtiö Oy</v>
          </cell>
        </row>
        <row r="111">
          <cell r="B111" t="str">
            <v>07446590#016</v>
          </cell>
          <cell r="H111" t="str">
            <v>Evli-Rahastoyhtiö Oy</v>
          </cell>
        </row>
        <row r="112">
          <cell r="B112" t="str">
            <v>07446590#018</v>
          </cell>
          <cell r="H112" t="str">
            <v>Evli-Rahastoyhtiö Oy</v>
          </cell>
        </row>
        <row r="113">
          <cell r="B113" t="str">
            <v>07446590#020</v>
          </cell>
          <cell r="H113" t="str">
            <v>Evli-Rahastoyhtiö Oy</v>
          </cell>
        </row>
        <row r="114">
          <cell r="B114" t="str">
            <v>07446590#023</v>
          </cell>
          <cell r="H114" t="str">
            <v>Evli-Rahastoyhtiö Oy</v>
          </cell>
        </row>
        <row r="115">
          <cell r="B115" t="str">
            <v>07446590#025</v>
          </cell>
          <cell r="H115" t="str">
            <v>Evli-Rahastoyhtiö Oy</v>
          </cell>
        </row>
        <row r="116">
          <cell r="B116" t="str">
            <v>07446590#026</v>
          </cell>
          <cell r="H116" t="str">
            <v>Evli-Rahastoyhtiö Oy</v>
          </cell>
        </row>
        <row r="117">
          <cell r="B117" t="str">
            <v>07446590#031</v>
          </cell>
          <cell r="H117" t="str">
            <v>Evli-Rahastoyhtiö Oy</v>
          </cell>
        </row>
        <row r="118">
          <cell r="B118" t="str">
            <v>07446590#037</v>
          </cell>
          <cell r="H118" t="str">
            <v>Evli-Rahastoyhtiö Oy</v>
          </cell>
        </row>
        <row r="119">
          <cell r="B119" t="str">
            <v>07446590#042</v>
          </cell>
          <cell r="H119" t="str">
            <v>Evli-Rahastoyhtiö Oy</v>
          </cell>
        </row>
        <row r="120">
          <cell r="B120" t="str">
            <v>07446590#045</v>
          </cell>
          <cell r="H120" t="str">
            <v>Evli-Rahastoyhtiö Oy</v>
          </cell>
        </row>
        <row r="121">
          <cell r="B121" t="str">
            <v>07446590#054</v>
          </cell>
          <cell r="H121" t="str">
            <v>Evli-Rahastoyhtiö Oy</v>
          </cell>
        </row>
        <row r="122">
          <cell r="B122" t="str">
            <v>07446590#059</v>
          </cell>
          <cell r="H122" t="str">
            <v>Evli-Rahastoyhtiö Oy</v>
          </cell>
        </row>
        <row r="123">
          <cell r="B123" t="str">
            <v>07446590#060</v>
          </cell>
          <cell r="H123" t="str">
            <v>Evli-Rahastoyhtiö Oy</v>
          </cell>
        </row>
        <row r="124">
          <cell r="B124" t="str">
            <v>07446590#064</v>
          </cell>
          <cell r="H124" t="str">
            <v>Evli-Rahastoyhtiö Oy</v>
          </cell>
        </row>
        <row r="125">
          <cell r="B125" t="str">
            <v>07446590#065</v>
          </cell>
          <cell r="H125" t="str">
            <v>Evli-Rahastoyhtiö Oy</v>
          </cell>
        </row>
        <row r="126">
          <cell r="B126" t="str">
            <v>07446590#066</v>
          </cell>
          <cell r="H126" t="str">
            <v>Evli-Rahastoyhtiö Oy</v>
          </cell>
        </row>
        <row r="127">
          <cell r="B127" t="str">
            <v>07446590#073</v>
          </cell>
          <cell r="H127" t="str">
            <v>Evli-Rahastoyhtiö Oy</v>
          </cell>
        </row>
        <row r="128">
          <cell r="B128" t="str">
            <v>07446590#074</v>
          </cell>
          <cell r="H128" t="str">
            <v>Evli-Rahastoyhtiö Oy</v>
          </cell>
        </row>
        <row r="129">
          <cell r="B129" t="str">
            <v>07446590#076</v>
          </cell>
          <cell r="H129" t="str">
            <v>Evli-Rahastoyhtiö Oy</v>
          </cell>
        </row>
        <row r="130">
          <cell r="B130" t="str">
            <v>07446590#090</v>
          </cell>
          <cell r="H130" t="str">
            <v>Evli-Rahastoyhtiö Oy</v>
          </cell>
        </row>
        <row r="131">
          <cell r="B131" t="str">
            <v>07446590#103</v>
          </cell>
          <cell r="H131" t="str">
            <v>Evli-Rahastoyhtiö Oy</v>
          </cell>
        </row>
        <row r="132">
          <cell r="B132" t="str">
            <v>07446590#104</v>
          </cell>
          <cell r="H132" t="str">
            <v>Evli-Rahastoyhtiö Oy</v>
          </cell>
        </row>
        <row r="133">
          <cell r="B133" t="str">
            <v>07446590#105</v>
          </cell>
          <cell r="H133" t="str">
            <v>Evli-Rahastoyhtiö Oy</v>
          </cell>
        </row>
        <row r="134">
          <cell r="B134" t="str">
            <v>07446590#119</v>
          </cell>
          <cell r="H134" t="str">
            <v>Evli-Rahastoyhtiö Oy</v>
          </cell>
        </row>
        <row r="135">
          <cell r="B135" t="str">
            <v>07446590#120</v>
          </cell>
          <cell r="H135" t="str">
            <v>Evli-Rahastoyhtiö Oy</v>
          </cell>
        </row>
        <row r="136">
          <cell r="B136" t="str">
            <v>07446590#121</v>
          </cell>
          <cell r="H136" t="str">
            <v>Evli-Rahastoyhtiö Oy</v>
          </cell>
        </row>
        <row r="137">
          <cell r="B137" t="str">
            <v>07446590#125</v>
          </cell>
          <cell r="H137" t="str">
            <v>Evli-Rahastoyhtiö Oy</v>
          </cell>
        </row>
        <row r="138">
          <cell r="B138" t="str">
            <v>07446590#126</v>
          </cell>
          <cell r="H138" t="str">
            <v>Evli-Rahastoyhtiö Oy</v>
          </cell>
        </row>
        <row r="139">
          <cell r="B139" t="str">
            <v>07446590#127</v>
          </cell>
          <cell r="H139" t="str">
            <v>Evli-Rahastoyhtiö Oy</v>
          </cell>
        </row>
        <row r="140">
          <cell r="B140" t="str">
            <v>07446590#130</v>
          </cell>
          <cell r="H140" t="str">
            <v>Evli-Rahastoyhtiö Oy</v>
          </cell>
        </row>
        <row r="141">
          <cell r="B141" t="str">
            <v>07446590#133</v>
          </cell>
          <cell r="H141" t="str">
            <v>Evli-Rahastoyhtiö Oy</v>
          </cell>
        </row>
        <row r="142">
          <cell r="B142" t="str">
            <v>07446590#176</v>
          </cell>
          <cell r="H142" t="str">
            <v>Evli-Rahastoyhtiö Oy</v>
          </cell>
        </row>
        <row r="143">
          <cell r="B143" t="str">
            <v>07446590#177</v>
          </cell>
          <cell r="H143" t="str">
            <v>Evli-Rahastoyhtiö Oy</v>
          </cell>
        </row>
        <row r="144">
          <cell r="B144" t="str">
            <v>08996885#001</v>
          </cell>
          <cell r="H144" t="str">
            <v>Fondbolaget Fondita Ab</v>
          </cell>
        </row>
        <row r="145">
          <cell r="B145" t="str">
            <v>08996885#002</v>
          </cell>
          <cell r="H145" t="str">
            <v>Fondbolaget Fondita Ab</v>
          </cell>
        </row>
        <row r="146">
          <cell r="B146" t="str">
            <v>08996885#003</v>
          </cell>
          <cell r="H146" t="str">
            <v>Fondbolaget Fondita Ab</v>
          </cell>
        </row>
        <row r="147">
          <cell r="B147" t="str">
            <v>08996885#004</v>
          </cell>
          <cell r="H147" t="str">
            <v>Fondbolaget Fondita Ab</v>
          </cell>
        </row>
        <row r="148">
          <cell r="B148" t="str">
            <v>08996885#005</v>
          </cell>
          <cell r="H148" t="str">
            <v>Fondbolaget Fondita Ab</v>
          </cell>
        </row>
        <row r="149">
          <cell r="B149" t="str">
            <v>08996885#006</v>
          </cell>
          <cell r="H149" t="str">
            <v>Fondbolaget Fondita Ab</v>
          </cell>
        </row>
        <row r="150">
          <cell r="B150" t="str">
            <v>08996885#007</v>
          </cell>
          <cell r="H150" t="str">
            <v>Fondbolaget Fondita Ab</v>
          </cell>
        </row>
        <row r="151">
          <cell r="B151" t="str">
            <v>08996885#008</v>
          </cell>
          <cell r="H151" t="str">
            <v>Fondbolaget Fondita Ab</v>
          </cell>
        </row>
        <row r="152">
          <cell r="B152" t="str">
            <v>09791339#001</v>
          </cell>
          <cell r="H152" t="str">
            <v>S-Pankki Rahastoyhtiö Oy</v>
          </cell>
        </row>
        <row r="153">
          <cell r="B153" t="str">
            <v>09791339#002</v>
          </cell>
          <cell r="H153" t="str">
            <v>S-Pankki Rahastoyhtiö Oy</v>
          </cell>
        </row>
        <row r="154">
          <cell r="B154" t="str">
            <v>09791339#004</v>
          </cell>
          <cell r="H154" t="str">
            <v>S-Pankki Rahastoyhtiö Oy</v>
          </cell>
        </row>
        <row r="155">
          <cell r="B155" t="str">
            <v>09791339#005</v>
          </cell>
          <cell r="H155" t="str">
            <v>S-Pankki Rahastoyhtiö Oy</v>
          </cell>
        </row>
        <row r="156">
          <cell r="B156" t="str">
            <v>09791339#008</v>
          </cell>
          <cell r="H156" t="str">
            <v>S-Pankki Rahastoyhtiö Oy</v>
          </cell>
        </row>
        <row r="157">
          <cell r="B157" t="str">
            <v>09791339#009</v>
          </cell>
          <cell r="H157" t="str">
            <v>S-Pankki Rahastoyhtiö Oy</v>
          </cell>
        </row>
        <row r="158">
          <cell r="B158" t="str">
            <v>09791339#011</v>
          </cell>
          <cell r="H158" t="str">
            <v>S-Pankki Rahastoyhtiö Oy</v>
          </cell>
        </row>
        <row r="159">
          <cell r="B159" t="str">
            <v>09791339#018</v>
          </cell>
          <cell r="H159" t="str">
            <v>S-Pankki Rahastoyhtiö Oy</v>
          </cell>
        </row>
        <row r="160">
          <cell r="B160" t="str">
            <v>09791339#025</v>
          </cell>
          <cell r="H160" t="str">
            <v>S-Pankki Rahastoyhtiö Oy</v>
          </cell>
        </row>
        <row r="161">
          <cell r="B161" t="str">
            <v>09791339#026</v>
          </cell>
          <cell r="H161" t="str">
            <v>S-Pankki Rahastoyhtiö Oy</v>
          </cell>
        </row>
        <row r="162">
          <cell r="B162" t="str">
            <v>09791339#027</v>
          </cell>
          <cell r="H162" t="str">
            <v>S-Pankki Rahastoyhtiö Oy</v>
          </cell>
        </row>
        <row r="163">
          <cell r="B163" t="str">
            <v>09791339#033</v>
          </cell>
          <cell r="H163" t="str">
            <v>S-Pankki Rahastoyhtiö Oy</v>
          </cell>
        </row>
        <row r="164">
          <cell r="B164" t="str">
            <v>09791339#035</v>
          </cell>
          <cell r="H164" t="str">
            <v>S-Pankki Rahastoyhtiö Oy</v>
          </cell>
        </row>
        <row r="165">
          <cell r="B165" t="str">
            <v>09791339#037</v>
          </cell>
          <cell r="H165" t="str">
            <v>S-Pankki Rahastoyhtiö Oy</v>
          </cell>
        </row>
        <row r="166">
          <cell r="B166" t="str">
            <v>09791339#042</v>
          </cell>
          <cell r="H166" t="str">
            <v>S-Pankki Rahastoyhtiö Oy</v>
          </cell>
        </row>
        <row r="167">
          <cell r="B167" t="str">
            <v>09791339#080</v>
          </cell>
          <cell r="H167" t="str">
            <v>S-Pankki Rahastoyhtiö Oy</v>
          </cell>
        </row>
        <row r="168">
          <cell r="B168" t="str">
            <v>09791339#081</v>
          </cell>
          <cell r="H168" t="str">
            <v>S-Pankki Rahastoyhtiö Oy</v>
          </cell>
        </row>
        <row r="169">
          <cell r="B169" t="str">
            <v>09791339#085</v>
          </cell>
          <cell r="H169" t="str">
            <v>S-Pankki Rahastoyhtiö Oy</v>
          </cell>
        </row>
        <row r="170">
          <cell r="B170" t="str">
            <v>09791339#088</v>
          </cell>
          <cell r="H170" t="str">
            <v>S-Pankki Rahastoyhtiö Oy</v>
          </cell>
        </row>
        <row r="171">
          <cell r="B171" t="str">
            <v>09791339#089</v>
          </cell>
          <cell r="H171" t="str">
            <v>S-Pankki Rahastoyhtiö Oy</v>
          </cell>
        </row>
        <row r="172">
          <cell r="B172" t="str">
            <v>10932901#003</v>
          </cell>
          <cell r="H172" t="str">
            <v>Seligson &amp; Co Rahastoyhtiö Oyj</v>
          </cell>
        </row>
        <row r="173">
          <cell r="B173" t="str">
            <v>10932901#004</v>
          </cell>
          <cell r="H173" t="str">
            <v>Seligson &amp; Co Rahastoyhtiö Oyj</v>
          </cell>
        </row>
        <row r="174">
          <cell r="B174" t="str">
            <v>10932901#007</v>
          </cell>
          <cell r="H174" t="str">
            <v>Seligson &amp; Co Rahastoyhtiö Oyj</v>
          </cell>
        </row>
        <row r="175">
          <cell r="B175" t="str">
            <v>10932901#009</v>
          </cell>
          <cell r="H175" t="str">
            <v>Seligson &amp; Co Rahastoyhtiö Oyj</v>
          </cell>
        </row>
        <row r="176">
          <cell r="B176" t="str">
            <v>10932901#012</v>
          </cell>
          <cell r="H176" t="str">
            <v>Seligson &amp; Co Rahastoyhtiö Oyj</v>
          </cell>
        </row>
        <row r="177">
          <cell r="B177" t="str">
            <v>10932901#013</v>
          </cell>
          <cell r="H177" t="str">
            <v>Seligson &amp; Co Rahastoyhtiö Oyj</v>
          </cell>
        </row>
        <row r="178">
          <cell r="B178" t="str">
            <v>10932901#014</v>
          </cell>
          <cell r="H178" t="str">
            <v>Seligson &amp; Co Rahastoyhtiö Oyj</v>
          </cell>
        </row>
        <row r="179">
          <cell r="B179" t="str">
            <v>10932901#016</v>
          </cell>
          <cell r="H179" t="str">
            <v>Seligson &amp; Co Rahastoyhtiö Oyj</v>
          </cell>
        </row>
        <row r="180">
          <cell r="B180" t="str">
            <v>10932901#017</v>
          </cell>
          <cell r="H180" t="str">
            <v>Seligson &amp; Co Rahastoyhtiö Oyj</v>
          </cell>
        </row>
        <row r="181">
          <cell r="B181" t="str">
            <v>10932901#027</v>
          </cell>
          <cell r="H181" t="str">
            <v>Seligson &amp; Co Rahastoyhtiö Oyj</v>
          </cell>
        </row>
        <row r="182">
          <cell r="B182" t="str">
            <v>10932901#028</v>
          </cell>
          <cell r="H182" t="str">
            <v>Seligson &amp; Co Rahastoyhtiö Oyj</v>
          </cell>
        </row>
        <row r="183">
          <cell r="B183" t="str">
            <v>10932901#029</v>
          </cell>
          <cell r="H183" t="str">
            <v>Seligson &amp; Co Rahastoyhtiö Oyj</v>
          </cell>
        </row>
        <row r="184">
          <cell r="B184" t="str">
            <v>10932901#031</v>
          </cell>
          <cell r="H184" t="str">
            <v>Seligson &amp; Co Rahastoyhtiö Oyj</v>
          </cell>
        </row>
        <row r="185">
          <cell r="B185" t="str">
            <v>10932901#032</v>
          </cell>
          <cell r="H185" t="str">
            <v>Seligson &amp; Co Rahastoyhtiö Oyj</v>
          </cell>
        </row>
        <row r="186">
          <cell r="B186" t="str">
            <v>10932901#033</v>
          </cell>
          <cell r="H186" t="str">
            <v>Seligson &amp; Co Rahastoyhtiö Oyj</v>
          </cell>
        </row>
        <row r="187">
          <cell r="B187" t="str">
            <v>10932901#034</v>
          </cell>
          <cell r="H187" t="str">
            <v>Seligson &amp; Co Rahastoyhtiö Oyj</v>
          </cell>
        </row>
        <row r="188">
          <cell r="B188" t="str">
            <v>10932901#035</v>
          </cell>
          <cell r="H188" t="str">
            <v>Seligson &amp; Co Rahastoyhtiö Oyj</v>
          </cell>
        </row>
        <row r="189">
          <cell r="B189" t="str">
            <v>10932901#036</v>
          </cell>
          <cell r="H189" t="str">
            <v>Seligson &amp; Co Rahastoyhtiö Oyj</v>
          </cell>
        </row>
        <row r="190">
          <cell r="B190" t="str">
            <v>10932901#037</v>
          </cell>
          <cell r="H190" t="str">
            <v>Seligson &amp; Co Rahastoyhtiö Oyj</v>
          </cell>
        </row>
        <row r="191">
          <cell r="B191" t="str">
            <v>10932901#038</v>
          </cell>
          <cell r="H191" t="str">
            <v>Seligson &amp; Co Rahastoyhtiö Oyj</v>
          </cell>
        </row>
        <row r="192">
          <cell r="B192" t="str">
            <v>10932901#039</v>
          </cell>
          <cell r="H192" t="str">
            <v>Seligson &amp; Co Rahastoyhtiö Oyj</v>
          </cell>
        </row>
        <row r="193">
          <cell r="B193" t="str">
            <v>10932901#040</v>
          </cell>
          <cell r="H193" t="str">
            <v>Seligson &amp; Co Rahastoyhtiö Oyj</v>
          </cell>
        </row>
        <row r="194">
          <cell r="B194" t="str">
            <v>10932901#041</v>
          </cell>
          <cell r="H194" t="str">
            <v>Seligson &amp; Co Rahastoyhtiö Oyj</v>
          </cell>
        </row>
        <row r="195">
          <cell r="B195" t="str">
            <v>10932901#043</v>
          </cell>
          <cell r="H195" t="str">
            <v>Seligson &amp; Co Rahastoyhtiö Oyj</v>
          </cell>
        </row>
        <row r="196">
          <cell r="B196" t="str">
            <v>10932901#044</v>
          </cell>
          <cell r="H196" t="str">
            <v>Seligson &amp; Co Rahastoyhtiö Oyj</v>
          </cell>
        </row>
        <row r="197">
          <cell r="B197" t="str">
            <v>10932901#045</v>
          </cell>
          <cell r="H197" t="str">
            <v>Seligson &amp; Co Rahastoyhtiö Oyj</v>
          </cell>
        </row>
        <row r="198">
          <cell r="B198" t="str">
            <v>10932901#046</v>
          </cell>
          <cell r="H198" t="str">
            <v>Seligson &amp; Co Rahastoyhtiö Oyj</v>
          </cell>
        </row>
        <row r="199">
          <cell r="B199" t="str">
            <v>10932901#047</v>
          </cell>
          <cell r="H199" t="str">
            <v>Seligson &amp; Co Rahastoyhtiö Oyj</v>
          </cell>
        </row>
        <row r="200">
          <cell r="B200" t="str">
            <v>10932901#048</v>
          </cell>
          <cell r="H200" t="str">
            <v>Seligson &amp; Co Rahastoyhtiö Oyj</v>
          </cell>
        </row>
        <row r="201">
          <cell r="B201" t="str">
            <v>10932901#049</v>
          </cell>
          <cell r="H201" t="str">
            <v>Seligson &amp; Co Rahastoyhtiö Oyj</v>
          </cell>
        </row>
        <row r="202">
          <cell r="B202" t="str">
            <v>10932901#050</v>
          </cell>
          <cell r="H202" t="str">
            <v>Seligson &amp; Co Rahastoyhtiö Oyj</v>
          </cell>
        </row>
        <row r="203">
          <cell r="B203" t="str">
            <v>10932901#051</v>
          </cell>
          <cell r="H203" t="str">
            <v>Seligson &amp; Co Rahastoyhtiö Oyj</v>
          </cell>
        </row>
        <row r="204">
          <cell r="B204" t="str">
            <v>10932901#052</v>
          </cell>
          <cell r="H204" t="str">
            <v>Seligson &amp; Co Rahastoyhtiö Oyj</v>
          </cell>
        </row>
        <row r="205">
          <cell r="B205" t="str">
            <v>10932901#053</v>
          </cell>
          <cell r="H205" t="str">
            <v>Seligson &amp; Co Rahastoyhtiö Oyj</v>
          </cell>
        </row>
        <row r="206">
          <cell r="B206" t="str">
            <v>10932901#054</v>
          </cell>
          <cell r="H206" t="str">
            <v>Seligson &amp; Co Rahastoyhtiö Oyj</v>
          </cell>
        </row>
        <row r="207">
          <cell r="B207" t="str">
            <v>10932901#055</v>
          </cell>
          <cell r="H207" t="str">
            <v>Seligson &amp; Co Rahastoyhtiö Oyj</v>
          </cell>
        </row>
        <row r="208">
          <cell r="B208" t="str">
            <v>10932901#056</v>
          </cell>
          <cell r="H208" t="str">
            <v>Seligson &amp; Co Rahastoyhtiö Oyj</v>
          </cell>
        </row>
        <row r="209">
          <cell r="B209" t="str">
            <v>10932901#057</v>
          </cell>
          <cell r="H209" t="str">
            <v>Seligson &amp; Co Rahastoyhtiö Oyj</v>
          </cell>
        </row>
        <row r="210">
          <cell r="B210" t="str">
            <v>10932901#058</v>
          </cell>
          <cell r="H210" t="str">
            <v>Seligson &amp; Co Rahastoyhtiö Oyj</v>
          </cell>
        </row>
        <row r="211">
          <cell r="B211" t="str">
            <v>10932901#059</v>
          </cell>
          <cell r="H211" t="str">
            <v>Seligson &amp; Co Rahastoyhtiö Oyj</v>
          </cell>
        </row>
        <row r="212">
          <cell r="B212" t="str">
            <v>10932901#060</v>
          </cell>
          <cell r="H212" t="str">
            <v>Seligson &amp; Co Rahastoyhtiö Oyj</v>
          </cell>
        </row>
        <row r="213">
          <cell r="B213" t="str">
            <v>10932901#061</v>
          </cell>
          <cell r="H213" t="str">
            <v>Seligson &amp; Co Rahastoyhtiö Oyj</v>
          </cell>
        </row>
        <row r="214">
          <cell r="B214" t="str">
            <v>10932901#062</v>
          </cell>
          <cell r="H214" t="str">
            <v>Seligson &amp; Co Rahastoyhtiö Oyj</v>
          </cell>
        </row>
        <row r="215">
          <cell r="B215" t="str">
            <v>10932901#067</v>
          </cell>
          <cell r="H215" t="str">
            <v>Seligson &amp; Co Rahastoyhtiö Oyj</v>
          </cell>
        </row>
        <row r="216">
          <cell r="B216" t="str">
            <v>10932901#068</v>
          </cell>
          <cell r="H216" t="str">
            <v>Seligson &amp; Co Rahastoyhtiö Oyj</v>
          </cell>
        </row>
        <row r="217">
          <cell r="B217" t="str">
            <v>10932901#069</v>
          </cell>
          <cell r="H217" t="str">
            <v>Seligson &amp; Co Rahastoyhtiö Oyj</v>
          </cell>
        </row>
        <row r="218">
          <cell r="B218" t="str">
            <v>10932901#070</v>
          </cell>
          <cell r="H218" t="str">
            <v>Seligson &amp; Co Rahastoyhtiö Oyj</v>
          </cell>
        </row>
        <row r="219">
          <cell r="B219" t="str">
            <v>10932901#071</v>
          </cell>
          <cell r="H219" t="str">
            <v>Seligson &amp; Co Rahastoyhtiö Oyj</v>
          </cell>
        </row>
        <row r="220">
          <cell r="B220" t="str">
            <v>10932901#072</v>
          </cell>
          <cell r="H220" t="str">
            <v>Seligson &amp; Co Rahastoyhtiö Oyj</v>
          </cell>
        </row>
        <row r="221">
          <cell r="B221" t="str">
            <v>14713626#001</v>
          </cell>
          <cell r="H221" t="str">
            <v>Ålandsbanken Fondbolag Ab</v>
          </cell>
        </row>
        <row r="222">
          <cell r="B222" t="str">
            <v>14713626#005</v>
          </cell>
          <cell r="H222" t="str">
            <v>Ålandsbanken Fondbolag Ab</v>
          </cell>
        </row>
        <row r="223">
          <cell r="B223" t="str">
            <v>14713626#008</v>
          </cell>
          <cell r="H223" t="str">
            <v>Ålandsbanken Fondbolag Ab</v>
          </cell>
        </row>
        <row r="224">
          <cell r="B224" t="str">
            <v>14713626#010</v>
          </cell>
          <cell r="H224" t="str">
            <v>Ålandsbanken Fondbolag Ab</v>
          </cell>
        </row>
        <row r="225">
          <cell r="B225" t="str">
            <v>14713626#012</v>
          </cell>
          <cell r="H225" t="str">
            <v>Ålandsbanken Fondbolag Ab</v>
          </cell>
        </row>
        <row r="226">
          <cell r="B226" t="str">
            <v>14713626#025</v>
          </cell>
          <cell r="H226" t="str">
            <v>Ålandsbanken Fondbolag Ab</v>
          </cell>
        </row>
        <row r="227">
          <cell r="B227" t="str">
            <v>14713626#042</v>
          </cell>
          <cell r="H227" t="str">
            <v>Ålandsbanken Fondbolag Ab</v>
          </cell>
        </row>
        <row r="228">
          <cell r="B228" t="str">
            <v>14713626#045</v>
          </cell>
          <cell r="H228" t="str">
            <v>Ålandsbanken Fondbolag Ab</v>
          </cell>
        </row>
        <row r="229">
          <cell r="B229" t="str">
            <v>14713626#046</v>
          </cell>
          <cell r="H229" t="str">
            <v>Ålandsbanken Fondbolag Ab</v>
          </cell>
        </row>
        <row r="230">
          <cell r="B230" t="str">
            <v>16039364#001</v>
          </cell>
          <cell r="H230" t="str">
            <v>Alexandria Rahastoyhtiö Oy</v>
          </cell>
        </row>
        <row r="231">
          <cell r="B231" t="str">
            <v>16039364#002</v>
          </cell>
          <cell r="H231" t="str">
            <v>Alexandria Rahastoyhtiö Oy</v>
          </cell>
        </row>
        <row r="232">
          <cell r="B232" t="str">
            <v>16039364#003</v>
          </cell>
          <cell r="H232" t="str">
            <v>Alexandria Rahastoyhtiö Oy</v>
          </cell>
        </row>
        <row r="233">
          <cell r="B233" t="str">
            <v>16039364#004</v>
          </cell>
          <cell r="H233" t="str">
            <v>Alexandria Rahastoyhtiö Oy</v>
          </cell>
        </row>
        <row r="234">
          <cell r="B234" t="str">
            <v>16039364#005</v>
          </cell>
          <cell r="H234" t="str">
            <v>Alexandria Rahastoyhtiö Oy</v>
          </cell>
        </row>
        <row r="235">
          <cell r="B235" t="str">
            <v>16039364#012</v>
          </cell>
          <cell r="H235" t="str">
            <v>Alexandria Rahastoyhtiö Oy</v>
          </cell>
        </row>
        <row r="236">
          <cell r="B236" t="str">
            <v>17377859#001</v>
          </cell>
          <cell r="H236" t="str">
            <v>Nordea Funds Oy</v>
          </cell>
        </row>
        <row r="237">
          <cell r="B237" t="str">
            <v>17377859#004</v>
          </cell>
          <cell r="H237" t="str">
            <v>Nordea Funds Oy</v>
          </cell>
        </row>
        <row r="238">
          <cell r="B238" t="str">
            <v>17377859#007</v>
          </cell>
          <cell r="H238" t="str">
            <v>Nordea Funds Oy</v>
          </cell>
        </row>
        <row r="239">
          <cell r="B239" t="str">
            <v>17377859#009</v>
          </cell>
          <cell r="H239" t="str">
            <v>Nordea Funds Oy</v>
          </cell>
        </row>
        <row r="240">
          <cell r="B240" t="str">
            <v>17377859#011</v>
          </cell>
          <cell r="H240" t="str">
            <v>Nordea Funds Oy</v>
          </cell>
        </row>
        <row r="241">
          <cell r="B241" t="str">
            <v>17377859#012</v>
          </cell>
          <cell r="H241" t="str">
            <v>Nordea Funds Oy</v>
          </cell>
        </row>
        <row r="242">
          <cell r="B242" t="str">
            <v>17377859#013</v>
          </cell>
          <cell r="H242" t="str">
            <v>Nordea Funds Oy</v>
          </cell>
        </row>
        <row r="243">
          <cell r="B243" t="str">
            <v>17377859#015</v>
          </cell>
          <cell r="H243" t="str">
            <v>Nordea Funds Oy</v>
          </cell>
        </row>
        <row r="244">
          <cell r="B244" t="str">
            <v>17377859#021</v>
          </cell>
          <cell r="H244" t="str">
            <v>Nordea Funds Oy</v>
          </cell>
        </row>
        <row r="245">
          <cell r="B245" t="str">
            <v>17377859#022</v>
          </cell>
          <cell r="H245" t="str">
            <v>Nordea Funds Oy</v>
          </cell>
        </row>
        <row r="246">
          <cell r="B246" t="str">
            <v>17377859#023</v>
          </cell>
          <cell r="H246" t="str">
            <v>Nordea Funds Oy</v>
          </cell>
        </row>
        <row r="247">
          <cell r="B247" t="str">
            <v>17377859#026</v>
          </cell>
          <cell r="H247" t="str">
            <v>Nordea Funds Oy</v>
          </cell>
        </row>
        <row r="248">
          <cell r="B248" t="str">
            <v>17377859#029</v>
          </cell>
          <cell r="H248" t="str">
            <v>Nordea Funds Oy</v>
          </cell>
        </row>
        <row r="249">
          <cell r="B249" t="str">
            <v>17377859#031</v>
          </cell>
          <cell r="H249" t="str">
            <v>Nordea Funds Oy</v>
          </cell>
        </row>
        <row r="250">
          <cell r="B250" t="str">
            <v>17377859#036</v>
          </cell>
          <cell r="H250" t="str">
            <v>Nordea Funds Oy</v>
          </cell>
        </row>
        <row r="251">
          <cell r="B251" t="str">
            <v>17377859#041</v>
          </cell>
          <cell r="H251" t="str">
            <v>Nordea Funds Oy</v>
          </cell>
        </row>
        <row r="252">
          <cell r="B252" t="str">
            <v>17377859#045</v>
          </cell>
          <cell r="H252" t="str">
            <v>Nordea Funds Oy</v>
          </cell>
        </row>
        <row r="253">
          <cell r="B253" t="str">
            <v>17377859#046</v>
          </cell>
          <cell r="H253" t="str">
            <v>Nordea Funds Oy</v>
          </cell>
        </row>
        <row r="254">
          <cell r="B254" t="str">
            <v>17377859#047</v>
          </cell>
          <cell r="H254" t="str">
            <v>Nordea Funds Oy</v>
          </cell>
        </row>
        <row r="255">
          <cell r="B255" t="str">
            <v>17377859#048</v>
          </cell>
          <cell r="H255" t="str">
            <v>Nordea Funds Oy</v>
          </cell>
        </row>
        <row r="256">
          <cell r="B256" t="str">
            <v>17377859#049</v>
          </cell>
          <cell r="H256" t="str">
            <v>Nordea Funds Oy</v>
          </cell>
        </row>
        <row r="257">
          <cell r="B257" t="str">
            <v>17377859#051</v>
          </cell>
          <cell r="H257" t="str">
            <v>Nordea Funds Oy</v>
          </cell>
        </row>
        <row r="258">
          <cell r="B258" t="str">
            <v>17377859#053</v>
          </cell>
          <cell r="H258" t="str">
            <v>Nordea Funds Oy</v>
          </cell>
        </row>
        <row r="259">
          <cell r="B259" t="str">
            <v>17377859#054</v>
          </cell>
          <cell r="H259" t="str">
            <v>Nordea Funds Oy</v>
          </cell>
        </row>
        <row r="260">
          <cell r="B260" t="str">
            <v>17377859#058</v>
          </cell>
          <cell r="H260" t="str">
            <v>Nordea Funds Oy</v>
          </cell>
        </row>
        <row r="261">
          <cell r="B261" t="str">
            <v>17377859#059</v>
          </cell>
          <cell r="H261" t="str">
            <v>Nordea Funds Oy</v>
          </cell>
        </row>
        <row r="262">
          <cell r="B262" t="str">
            <v>17377859#062</v>
          </cell>
          <cell r="H262" t="str">
            <v>Nordea Funds Oy</v>
          </cell>
        </row>
        <row r="263">
          <cell r="B263" t="str">
            <v>17377859#063</v>
          </cell>
          <cell r="H263" t="str">
            <v>Nordea Funds Oy</v>
          </cell>
        </row>
        <row r="264">
          <cell r="B264" t="str">
            <v>17377859#064</v>
          </cell>
          <cell r="H264" t="str">
            <v>Nordea Funds Oy</v>
          </cell>
        </row>
        <row r="265">
          <cell r="B265" t="str">
            <v>17377859#068</v>
          </cell>
          <cell r="H265" t="str">
            <v>Nordea Funds Oy</v>
          </cell>
        </row>
        <row r="266">
          <cell r="B266" t="str">
            <v>17377859#080</v>
          </cell>
          <cell r="H266" t="str">
            <v>Nordea Funds Oy</v>
          </cell>
        </row>
        <row r="267">
          <cell r="B267" t="str">
            <v>17377859#081</v>
          </cell>
          <cell r="H267" t="str">
            <v>Nordea Funds Oy</v>
          </cell>
        </row>
        <row r="268">
          <cell r="B268" t="str">
            <v>17377859#083</v>
          </cell>
          <cell r="H268" t="str">
            <v>Nordea Funds Oy</v>
          </cell>
        </row>
        <row r="269">
          <cell r="B269" t="str">
            <v>17377859#084</v>
          </cell>
          <cell r="H269" t="str">
            <v>Nordea Funds Oy</v>
          </cell>
        </row>
        <row r="270">
          <cell r="B270" t="str">
            <v>17377859#085</v>
          </cell>
          <cell r="H270" t="str">
            <v>Nordea Funds Oy</v>
          </cell>
        </row>
        <row r="271">
          <cell r="B271" t="str">
            <v>17377859#086</v>
          </cell>
          <cell r="H271" t="str">
            <v>Nordea Funds Oy</v>
          </cell>
        </row>
        <row r="272">
          <cell r="B272" t="str">
            <v>17377859#087</v>
          </cell>
          <cell r="H272" t="str">
            <v>Nordea Funds Oy</v>
          </cell>
        </row>
        <row r="273">
          <cell r="B273" t="str">
            <v>17377859#088</v>
          </cell>
          <cell r="H273" t="str">
            <v>Nordea Funds Oy</v>
          </cell>
        </row>
        <row r="274">
          <cell r="B274" t="str">
            <v>17377859#094</v>
          </cell>
          <cell r="H274" t="str">
            <v>Nordea Funds Oy</v>
          </cell>
        </row>
        <row r="275">
          <cell r="B275" t="str">
            <v>17377859#095</v>
          </cell>
          <cell r="H275" t="str">
            <v>Nordea Funds Oy</v>
          </cell>
        </row>
        <row r="276">
          <cell r="B276" t="str">
            <v>17377859#097</v>
          </cell>
          <cell r="H276" t="str">
            <v>Nordea Funds Oy</v>
          </cell>
        </row>
        <row r="277">
          <cell r="B277" t="str">
            <v>17377859#099</v>
          </cell>
          <cell r="H277" t="str">
            <v>Nordea Funds Oy</v>
          </cell>
        </row>
        <row r="278">
          <cell r="B278" t="str">
            <v>17377859#103</v>
          </cell>
          <cell r="H278" t="str">
            <v>Nordea Funds Oy</v>
          </cell>
        </row>
        <row r="279">
          <cell r="B279" t="str">
            <v>17377859#104</v>
          </cell>
          <cell r="H279" t="str">
            <v>Nordea Funds Oy</v>
          </cell>
        </row>
        <row r="280">
          <cell r="B280" t="str">
            <v>17377859#105</v>
          </cell>
          <cell r="H280" t="str">
            <v>Nordea Funds Oy</v>
          </cell>
        </row>
        <row r="281">
          <cell r="B281" t="str">
            <v>17377859#106</v>
          </cell>
          <cell r="H281" t="str">
            <v>Nordea Funds Oy</v>
          </cell>
        </row>
        <row r="282">
          <cell r="B282" t="str">
            <v>17377859#108</v>
          </cell>
          <cell r="H282" t="str">
            <v>Nordea Funds Oy</v>
          </cell>
        </row>
        <row r="283">
          <cell r="B283" t="str">
            <v>17377859#200</v>
          </cell>
          <cell r="H283" t="str">
            <v>Nordea Funds Oy</v>
          </cell>
        </row>
        <row r="284">
          <cell r="B284" t="str">
            <v>17377859#201</v>
          </cell>
          <cell r="H284" t="str">
            <v>Nordea Funds Oy</v>
          </cell>
        </row>
        <row r="285">
          <cell r="B285" t="str">
            <v>17377859#202</v>
          </cell>
          <cell r="H285" t="str">
            <v>Nordea Funds Oy</v>
          </cell>
        </row>
        <row r="286">
          <cell r="B286" t="str">
            <v>17377859#204</v>
          </cell>
          <cell r="H286" t="str">
            <v>Nordea Funds Oy</v>
          </cell>
        </row>
        <row r="287">
          <cell r="B287" t="str">
            <v>17377859#205</v>
          </cell>
          <cell r="H287" t="str">
            <v>Nordea Funds Oy</v>
          </cell>
        </row>
        <row r="288">
          <cell r="B288" t="str">
            <v>17377859#206</v>
          </cell>
          <cell r="H288" t="str">
            <v>Nordea Funds Oy</v>
          </cell>
        </row>
        <row r="289">
          <cell r="B289" t="str">
            <v>17377859#207</v>
          </cell>
          <cell r="H289" t="str">
            <v>Nordea Funds Oy</v>
          </cell>
        </row>
        <row r="290">
          <cell r="B290" t="str">
            <v>17377859#208</v>
          </cell>
          <cell r="H290" t="str">
            <v>Nordea Funds Oy</v>
          </cell>
        </row>
        <row r="291">
          <cell r="B291" t="str">
            <v>17377859#209</v>
          </cell>
          <cell r="H291" t="str">
            <v>Nordea Funds Oy</v>
          </cell>
        </row>
        <row r="292">
          <cell r="B292" t="str">
            <v>17377859#210</v>
          </cell>
          <cell r="H292" t="str">
            <v>Nordea Funds Oy</v>
          </cell>
        </row>
        <row r="293">
          <cell r="B293" t="str">
            <v>17377859#211</v>
          </cell>
          <cell r="H293" t="str">
            <v>Nordea Funds Oy</v>
          </cell>
        </row>
        <row r="294">
          <cell r="B294" t="str">
            <v>17377859#212</v>
          </cell>
          <cell r="H294" t="str">
            <v>Nordea Funds Oy</v>
          </cell>
        </row>
        <row r="295">
          <cell r="B295" t="str">
            <v>17377859#213</v>
          </cell>
          <cell r="H295" t="str">
            <v>Nordea Funds Oy</v>
          </cell>
        </row>
        <row r="296">
          <cell r="B296" t="str">
            <v>17377859#215</v>
          </cell>
          <cell r="H296" t="str">
            <v>Nordea Funds Oy</v>
          </cell>
        </row>
        <row r="297">
          <cell r="B297" t="str">
            <v>17377859#216</v>
          </cell>
          <cell r="H297" t="str">
            <v>Nordea Funds Oy</v>
          </cell>
        </row>
        <row r="298">
          <cell r="B298" t="str">
            <v>17377859#217</v>
          </cell>
          <cell r="H298" t="str">
            <v>Nordea Funds Oy</v>
          </cell>
        </row>
        <row r="299">
          <cell r="B299" t="str">
            <v>17377859#218</v>
          </cell>
          <cell r="H299" t="str">
            <v>Nordea Funds Oy</v>
          </cell>
        </row>
        <row r="300">
          <cell r="B300" t="str">
            <v>17377859#221</v>
          </cell>
          <cell r="H300" t="str">
            <v>Nordea Funds Oy</v>
          </cell>
        </row>
        <row r="301">
          <cell r="B301" t="str">
            <v>17377859#222</v>
          </cell>
          <cell r="H301" t="str">
            <v>Nordea Funds Oy</v>
          </cell>
        </row>
        <row r="302">
          <cell r="B302" t="str">
            <v>17377859#223</v>
          </cell>
          <cell r="H302" t="str">
            <v>Nordea Funds Oy</v>
          </cell>
        </row>
        <row r="303">
          <cell r="B303" t="str">
            <v>17377859#226</v>
          </cell>
          <cell r="H303" t="str">
            <v>Nordea Funds Oy</v>
          </cell>
        </row>
        <row r="304">
          <cell r="B304" t="str">
            <v>17377859#227</v>
          </cell>
          <cell r="H304" t="str">
            <v>Nordea Funds Oy</v>
          </cell>
        </row>
        <row r="305">
          <cell r="B305" t="str">
            <v>17377859#230</v>
          </cell>
          <cell r="H305" t="str">
            <v>Nordea Funds Oy</v>
          </cell>
        </row>
        <row r="306">
          <cell r="B306" t="str">
            <v>17377859#231</v>
          </cell>
          <cell r="H306" t="str">
            <v>Nordea Funds Oy</v>
          </cell>
        </row>
        <row r="307">
          <cell r="B307" t="str">
            <v>17377859#232</v>
          </cell>
          <cell r="H307" t="str">
            <v>Nordea Funds Oy</v>
          </cell>
        </row>
        <row r="308">
          <cell r="B308" t="str">
            <v>17377859#233</v>
          </cell>
          <cell r="H308" t="str">
            <v>Nordea Funds Oy</v>
          </cell>
        </row>
        <row r="309">
          <cell r="B309" t="str">
            <v>17377859#234</v>
          </cell>
          <cell r="H309" t="str">
            <v>Nordea Funds Oy</v>
          </cell>
        </row>
        <row r="310">
          <cell r="B310" t="str">
            <v>17377859#235</v>
          </cell>
          <cell r="H310" t="str">
            <v>Nordea Funds Oy</v>
          </cell>
        </row>
        <row r="311">
          <cell r="B311" t="str">
            <v>17377859#236</v>
          </cell>
          <cell r="H311" t="str">
            <v>Nordea Funds Oy</v>
          </cell>
        </row>
        <row r="312">
          <cell r="B312" t="str">
            <v>17377859#237</v>
          </cell>
          <cell r="H312" t="str">
            <v>Nordea Funds Oy</v>
          </cell>
        </row>
        <row r="313">
          <cell r="B313" t="str">
            <v>17377859#238</v>
          </cell>
          <cell r="H313" t="str">
            <v>Nordea Funds Oy</v>
          </cell>
        </row>
        <row r="314">
          <cell r="B314" t="str">
            <v>17377859#241</v>
          </cell>
          <cell r="H314" t="str">
            <v>Nordea Funds Oy</v>
          </cell>
        </row>
        <row r="315">
          <cell r="B315" t="str">
            <v>17377859#242</v>
          </cell>
          <cell r="H315" t="str">
            <v>Nordea Funds Oy</v>
          </cell>
        </row>
        <row r="316">
          <cell r="B316" t="str">
            <v>17377859#243</v>
          </cell>
          <cell r="H316" t="str">
            <v>Nordea Funds Oy</v>
          </cell>
        </row>
        <row r="317">
          <cell r="B317" t="str">
            <v>17377859#244</v>
          </cell>
          <cell r="H317" t="str">
            <v>Nordea Funds Oy</v>
          </cell>
        </row>
        <row r="318">
          <cell r="B318" t="str">
            <v>17377859#245</v>
          </cell>
          <cell r="H318" t="str">
            <v>Nordea Funds Oy</v>
          </cell>
        </row>
        <row r="319">
          <cell r="B319" t="str">
            <v>17377859#246</v>
          </cell>
          <cell r="H319" t="str">
            <v>Nordea Funds Oy</v>
          </cell>
        </row>
        <row r="320">
          <cell r="B320" t="str">
            <v>17377859#247</v>
          </cell>
          <cell r="H320" t="str">
            <v>Nordea Funds Oy</v>
          </cell>
        </row>
        <row r="321">
          <cell r="B321" t="str">
            <v>17377859#248</v>
          </cell>
          <cell r="H321" t="str">
            <v>Nordea Funds Oy</v>
          </cell>
        </row>
        <row r="322">
          <cell r="B322" t="str">
            <v>17377859#250</v>
          </cell>
          <cell r="H322" t="str">
            <v>Nordea Funds Oy</v>
          </cell>
        </row>
        <row r="323">
          <cell r="B323" t="str">
            <v>17377859#251</v>
          </cell>
          <cell r="H323" t="str">
            <v>Nordea Funds Oy</v>
          </cell>
        </row>
        <row r="324">
          <cell r="B324" t="str">
            <v>17377859#253</v>
          </cell>
          <cell r="H324" t="str">
            <v>Nordea Funds Oy</v>
          </cell>
        </row>
        <row r="325">
          <cell r="B325" t="str">
            <v>17377859#254</v>
          </cell>
          <cell r="H325" t="str">
            <v>Nordea Funds Oy</v>
          </cell>
        </row>
        <row r="326">
          <cell r="B326" t="str">
            <v>17377859#255</v>
          </cell>
          <cell r="H326" t="str">
            <v>Nordea Funds Oy</v>
          </cell>
        </row>
        <row r="327">
          <cell r="B327" t="str">
            <v>17377859#256</v>
          </cell>
          <cell r="H327" t="str">
            <v>Nordea Funds Oy</v>
          </cell>
        </row>
        <row r="328">
          <cell r="B328" t="str">
            <v>17377859#257</v>
          </cell>
          <cell r="H328" t="str">
            <v>Nordea Funds Oy</v>
          </cell>
        </row>
        <row r="329">
          <cell r="B329" t="str">
            <v>17377859#258</v>
          </cell>
          <cell r="H329" t="str">
            <v>Nordea Funds Oy</v>
          </cell>
        </row>
        <row r="330">
          <cell r="B330" t="str">
            <v>17377859#259</v>
          </cell>
          <cell r="H330" t="str">
            <v>Nordea Funds Oy</v>
          </cell>
        </row>
        <row r="331">
          <cell r="B331" t="str">
            <v>17377859#263</v>
          </cell>
          <cell r="H331" t="str">
            <v>Nordea Funds Oy</v>
          </cell>
        </row>
        <row r="332">
          <cell r="B332" t="str">
            <v>17377859#265</v>
          </cell>
          <cell r="H332" t="str">
            <v>Nordea Funds Oy</v>
          </cell>
        </row>
        <row r="333">
          <cell r="B333" t="str">
            <v>17377859#266</v>
          </cell>
          <cell r="H333" t="str">
            <v>Nordea Funds Oy</v>
          </cell>
        </row>
        <row r="334">
          <cell r="B334" t="str">
            <v>17377859#267</v>
          </cell>
          <cell r="H334" t="str">
            <v>Nordea Funds Oy</v>
          </cell>
        </row>
        <row r="335">
          <cell r="B335" t="str">
            <v>17377859#268</v>
          </cell>
          <cell r="H335" t="str">
            <v>Nordea Funds Oy</v>
          </cell>
        </row>
        <row r="336">
          <cell r="B336" t="str">
            <v>17956316#001</v>
          </cell>
          <cell r="H336" t="str">
            <v>Sp-Rahastoyhtiö Oy</v>
          </cell>
        </row>
        <row r="337">
          <cell r="B337" t="str">
            <v>17956316#002</v>
          </cell>
          <cell r="H337" t="str">
            <v>Sp-Rahastoyhtiö Oy</v>
          </cell>
        </row>
        <row r="338">
          <cell r="B338" t="str">
            <v>17956316#003</v>
          </cell>
          <cell r="H338" t="str">
            <v>Sp-Rahastoyhtiö Oy</v>
          </cell>
        </row>
        <row r="339">
          <cell r="B339" t="str">
            <v>17956316#004</v>
          </cell>
          <cell r="H339" t="str">
            <v>Sp-Rahastoyhtiö Oy</v>
          </cell>
        </row>
        <row r="340">
          <cell r="B340" t="str">
            <v>17956316#006</v>
          </cell>
          <cell r="H340" t="str">
            <v>Sp-Rahastoyhtiö Oy</v>
          </cell>
        </row>
        <row r="341">
          <cell r="B341" t="str">
            <v>17956316#007</v>
          </cell>
          <cell r="H341" t="str">
            <v>Sp-Rahastoyhtiö Oy</v>
          </cell>
        </row>
        <row r="342">
          <cell r="B342" t="str">
            <v>17956316#008</v>
          </cell>
          <cell r="H342" t="str">
            <v>Sp-Rahastoyhtiö Oy</v>
          </cell>
        </row>
        <row r="343">
          <cell r="B343" t="str">
            <v>17956316#009</v>
          </cell>
          <cell r="H343" t="str">
            <v>Sp-Rahastoyhtiö Oy</v>
          </cell>
        </row>
        <row r="344">
          <cell r="B344" t="str">
            <v>17956316#010</v>
          </cell>
          <cell r="H344" t="str">
            <v>Sp-Rahastoyhtiö Oy</v>
          </cell>
        </row>
        <row r="345">
          <cell r="B345" t="str">
            <v>17956316#012</v>
          </cell>
          <cell r="H345" t="str">
            <v>Sp-Rahastoyhtiö Oy</v>
          </cell>
        </row>
        <row r="346">
          <cell r="B346" t="str">
            <v>17956316#013</v>
          </cell>
          <cell r="H346" t="str">
            <v>Sp-Rahastoyhtiö Oy</v>
          </cell>
        </row>
        <row r="347">
          <cell r="B347" t="str">
            <v>17956316#014</v>
          </cell>
          <cell r="H347" t="str">
            <v>Sp-Rahastoyhtiö Oy</v>
          </cell>
        </row>
        <row r="348">
          <cell r="B348" t="str">
            <v>17956316#015</v>
          </cell>
          <cell r="H348" t="str">
            <v>Sp-Rahastoyhtiö Oy</v>
          </cell>
        </row>
        <row r="349">
          <cell r="B349" t="str">
            <v>17956316#018</v>
          </cell>
          <cell r="H349" t="str">
            <v>Sp-Rahastoyhtiö Oy</v>
          </cell>
        </row>
        <row r="350">
          <cell r="B350" t="str">
            <v>17956316#022</v>
          </cell>
          <cell r="H350" t="str">
            <v>Sp-Rahastoyhtiö Oy</v>
          </cell>
        </row>
        <row r="351">
          <cell r="B351" t="str">
            <v>17956316#028</v>
          </cell>
          <cell r="H351" t="str">
            <v>Sp-Rahastoyhtiö Oy</v>
          </cell>
        </row>
        <row r="352">
          <cell r="B352" t="str">
            <v>17956316#029</v>
          </cell>
          <cell r="H352" t="str">
            <v>Sp-Rahastoyhtiö Oy</v>
          </cell>
        </row>
        <row r="353">
          <cell r="B353" t="str">
            <v>17956316#030</v>
          </cell>
          <cell r="H353" t="str">
            <v>Sp-Rahastoyhtiö Oy</v>
          </cell>
        </row>
        <row r="354">
          <cell r="B354" t="str">
            <v>17956316#031</v>
          </cell>
          <cell r="H354" t="str">
            <v>Sp-Rahastoyhtiö Oy</v>
          </cell>
        </row>
        <row r="355">
          <cell r="B355" t="str">
            <v>17956316#032</v>
          </cell>
          <cell r="H355" t="str">
            <v>Sp-Rahastoyhtiö Oy</v>
          </cell>
        </row>
        <row r="356">
          <cell r="B356" t="str">
            <v>17956316#033</v>
          </cell>
          <cell r="H356" t="str">
            <v>Sp-Rahastoyhtiö Oy</v>
          </cell>
        </row>
        <row r="357">
          <cell r="B357" t="str">
            <v>17956316#034</v>
          </cell>
          <cell r="H357" t="str">
            <v>Sp-Rahastoyhtiö Oy</v>
          </cell>
        </row>
        <row r="358">
          <cell r="B358" t="str">
            <v>17956316#035</v>
          </cell>
          <cell r="H358" t="str">
            <v>Sp-Rahastoyhtiö Oy</v>
          </cell>
        </row>
        <row r="359">
          <cell r="B359" t="str">
            <v>17956316#036</v>
          </cell>
          <cell r="H359" t="str">
            <v>Sp-Rahastoyhtiö Oy</v>
          </cell>
        </row>
        <row r="360">
          <cell r="B360" t="str">
            <v>17956316#038</v>
          </cell>
          <cell r="H360" t="str">
            <v>Sp-Rahastoyhtiö Oy</v>
          </cell>
        </row>
        <row r="361">
          <cell r="B361" t="str">
            <v>18300220#027</v>
          </cell>
          <cell r="H361" t="str">
            <v>GRIT Rahastoyhtiö Oy</v>
          </cell>
        </row>
        <row r="362">
          <cell r="B362" t="str">
            <v>18300220#040</v>
          </cell>
          <cell r="H362" t="str">
            <v>GRIT Rahastoyhtiö Oy</v>
          </cell>
        </row>
        <row r="363">
          <cell r="B363" t="str">
            <v>18300220#041</v>
          </cell>
          <cell r="H363" t="str">
            <v>GRIT Rahastoyhtiö Oy</v>
          </cell>
        </row>
        <row r="364">
          <cell r="B364" t="str">
            <v>20628401#024</v>
          </cell>
          <cell r="H364" t="str">
            <v>Aktia Rahastoyhtiö Oy</v>
          </cell>
        </row>
        <row r="365">
          <cell r="B365" t="str">
            <v>20628401#035</v>
          </cell>
          <cell r="H365" t="str">
            <v>Aktia Rahastoyhtiö Oy</v>
          </cell>
        </row>
        <row r="366">
          <cell r="B366" t="str">
            <v>20628401#036</v>
          </cell>
          <cell r="H366" t="str">
            <v>Aktia Rahastoyhtiö Oy</v>
          </cell>
        </row>
        <row r="367">
          <cell r="B367" t="str">
            <v>20628401#059</v>
          </cell>
          <cell r="H367" t="str">
            <v>Aktia Rahastoyhtiö Oy</v>
          </cell>
        </row>
        <row r="368">
          <cell r="B368" t="str">
            <v>20628401#060</v>
          </cell>
          <cell r="H368" t="str">
            <v>Aktia Rahastoyhtiö Oy</v>
          </cell>
        </row>
        <row r="369">
          <cell r="B369" t="str">
            <v>20628401#061</v>
          </cell>
          <cell r="H369" t="str">
            <v>Aktia Rahastoyhtiö Oy</v>
          </cell>
        </row>
        <row r="370">
          <cell r="B370" t="str">
            <v>20628401#062</v>
          </cell>
          <cell r="H370" t="str">
            <v>Aktia Rahastoyhtiö Oy</v>
          </cell>
        </row>
        <row r="371">
          <cell r="B371" t="str">
            <v>20628401#063</v>
          </cell>
          <cell r="H371" t="str">
            <v>Aktia Rahastoyhtiö Oy</v>
          </cell>
        </row>
        <row r="372">
          <cell r="B372" t="str">
            <v>20628401#064</v>
          </cell>
          <cell r="H372" t="str">
            <v>Aktia Rahastoyhtiö Oy</v>
          </cell>
        </row>
        <row r="373">
          <cell r="B373" t="str">
            <v>20628401#065</v>
          </cell>
          <cell r="H373" t="str">
            <v>Aktia Rahastoyhtiö Oy</v>
          </cell>
        </row>
        <row r="374">
          <cell r="B374" t="str">
            <v>20628401#066</v>
          </cell>
          <cell r="H374" t="str">
            <v>Aktia Rahastoyhtiö Oy</v>
          </cell>
        </row>
        <row r="375">
          <cell r="B375" t="str">
            <v>20628401#067</v>
          </cell>
          <cell r="H375" t="str">
            <v>Aktia Rahastoyhtiö Oy</v>
          </cell>
        </row>
        <row r="376">
          <cell r="B376" t="str">
            <v>20628401#068</v>
          </cell>
          <cell r="H376" t="str">
            <v>Aktia Rahastoyhtiö Oy</v>
          </cell>
        </row>
        <row r="377">
          <cell r="B377" t="str">
            <v>20628401#069</v>
          </cell>
          <cell r="H377" t="str">
            <v>Aktia Rahastoyhtiö Oy</v>
          </cell>
        </row>
        <row r="378">
          <cell r="B378" t="str">
            <v>20628401#070</v>
          </cell>
          <cell r="H378" t="str">
            <v>Aktia Rahastoyhtiö Oy</v>
          </cell>
        </row>
        <row r="379">
          <cell r="B379" t="str">
            <v>20628401#071</v>
          </cell>
          <cell r="H379" t="str">
            <v>Aktia Rahastoyhtiö Oy</v>
          </cell>
        </row>
        <row r="380">
          <cell r="B380" t="str">
            <v>20628401#072</v>
          </cell>
          <cell r="H380" t="str">
            <v>Aktia Rahastoyhtiö Oy</v>
          </cell>
        </row>
        <row r="381">
          <cell r="B381" t="str">
            <v>20628401#073</v>
          </cell>
          <cell r="H381" t="str">
            <v>Aktia Rahastoyhtiö Oy</v>
          </cell>
        </row>
        <row r="382">
          <cell r="B382" t="str">
            <v>20628401#074</v>
          </cell>
          <cell r="H382" t="str">
            <v>Aktia Rahastoyhtiö Oy</v>
          </cell>
        </row>
        <row r="383">
          <cell r="B383" t="str">
            <v>20628401#075</v>
          </cell>
          <cell r="H383" t="str">
            <v>Aktia Rahastoyhtiö Oy</v>
          </cell>
        </row>
        <row r="384">
          <cell r="B384" t="str">
            <v>20628401#077</v>
          </cell>
          <cell r="H384" t="str">
            <v>Aktia Rahastoyhtiö Oy</v>
          </cell>
        </row>
        <row r="385">
          <cell r="B385" t="str">
            <v>20628401#079</v>
          </cell>
          <cell r="H385" t="str">
            <v>Aktia Rahastoyhtiö Oy</v>
          </cell>
        </row>
        <row r="386">
          <cell r="B386" t="str">
            <v>20628401#080</v>
          </cell>
          <cell r="H386" t="str">
            <v>Aktia Rahastoyhtiö Oy</v>
          </cell>
        </row>
        <row r="387">
          <cell r="B387" t="str">
            <v>20628401#082</v>
          </cell>
          <cell r="H387" t="str">
            <v>Aktia Rahastoyhtiö Oy</v>
          </cell>
        </row>
        <row r="388">
          <cell r="B388" t="str">
            <v>20628401#084</v>
          </cell>
          <cell r="H388" t="str">
            <v>Aktia Rahastoyhtiö Oy</v>
          </cell>
        </row>
        <row r="389">
          <cell r="B389" t="str">
            <v>20628401#085</v>
          </cell>
          <cell r="H389" t="str">
            <v>Aktia Rahastoyhtiö Oy</v>
          </cell>
        </row>
        <row r="390">
          <cell r="B390" t="str">
            <v>20628401#086</v>
          </cell>
          <cell r="H390" t="str">
            <v>Aktia Rahastoyhtiö Oy</v>
          </cell>
        </row>
        <row r="391">
          <cell r="B391" t="str">
            <v>20628401#111</v>
          </cell>
          <cell r="H391" t="str">
            <v>Aktia Rahastoyhtiö Oy</v>
          </cell>
        </row>
        <row r="392">
          <cell r="B392" t="str">
            <v>20628401#112</v>
          </cell>
          <cell r="H392" t="str">
            <v>Aktia Rahastoyhtiö Oy</v>
          </cell>
        </row>
        <row r="393">
          <cell r="B393" t="str">
            <v>20628401#113</v>
          </cell>
          <cell r="H393" t="str">
            <v>Aktia Rahastoyhtiö Oy</v>
          </cell>
        </row>
        <row r="394">
          <cell r="B394" t="str">
            <v>20628401#114</v>
          </cell>
          <cell r="H394" t="str">
            <v>Aktia Rahastoyhtiö Oy</v>
          </cell>
        </row>
        <row r="395">
          <cell r="B395" t="str">
            <v>21181015#012</v>
          </cell>
          <cell r="H395" t="str">
            <v>UB Rahastoyhtiö Oy</v>
          </cell>
        </row>
        <row r="396">
          <cell r="B396" t="str">
            <v>21181015#013</v>
          </cell>
          <cell r="H396" t="str">
            <v>UB Rahastoyhtiö Oy</v>
          </cell>
        </row>
        <row r="397">
          <cell r="B397" t="str">
            <v>21181015#014</v>
          </cell>
          <cell r="H397" t="str">
            <v>UB Rahastoyhtiö Oy</v>
          </cell>
        </row>
        <row r="398">
          <cell r="B398" t="str">
            <v>21181015#015</v>
          </cell>
          <cell r="H398" t="str">
            <v>UB Rahastoyhtiö Oy</v>
          </cell>
        </row>
        <row r="399">
          <cell r="B399" t="str">
            <v>21181015#017</v>
          </cell>
          <cell r="H399" t="str">
            <v>UB Rahastoyhtiö Oy</v>
          </cell>
        </row>
        <row r="400">
          <cell r="B400" t="str">
            <v>21181015#018</v>
          </cell>
          <cell r="H400" t="str">
            <v>UB Rahastoyhtiö Oy</v>
          </cell>
        </row>
        <row r="401">
          <cell r="B401" t="str">
            <v>21181015#019</v>
          </cell>
          <cell r="H401" t="str">
            <v>UB Rahastoyhtiö Oy</v>
          </cell>
        </row>
        <row r="402">
          <cell r="B402" t="str">
            <v>21181015#022</v>
          </cell>
          <cell r="H402" t="str">
            <v>UB Rahastoyhtiö Oy</v>
          </cell>
        </row>
        <row r="403">
          <cell r="B403" t="str">
            <v>21181015#024</v>
          </cell>
          <cell r="H403" t="str">
            <v>UB Rahastoyhtiö Oy</v>
          </cell>
        </row>
        <row r="404">
          <cell r="B404" t="str">
            <v>21181015#045</v>
          </cell>
          <cell r="H404" t="str">
            <v>UB Rahastoyhtiö Oy</v>
          </cell>
        </row>
        <row r="405">
          <cell r="B405" t="str">
            <v>21181015#049</v>
          </cell>
          <cell r="H405" t="str">
            <v>UB Rahastoyhtiö Oy</v>
          </cell>
        </row>
        <row r="406">
          <cell r="B406" t="str">
            <v>22888047#005</v>
          </cell>
          <cell r="H406" t="str">
            <v>Titanium Rahastoyhtiö Oy</v>
          </cell>
        </row>
        <row r="407">
          <cell r="B407" t="str">
            <v>22888047#008</v>
          </cell>
          <cell r="H407" t="str">
            <v>Titanium Rahastoyhtiö Oy</v>
          </cell>
        </row>
        <row r="408">
          <cell r="B408" t="str">
            <v>22888047#009</v>
          </cell>
          <cell r="H408" t="str">
            <v>Titanium Rahastoyhtiö Oy</v>
          </cell>
        </row>
        <row r="409">
          <cell r="B409" t="str">
            <v>22954454#002</v>
          </cell>
          <cell r="H409" t="str">
            <v>Investors House Rahastot Oy</v>
          </cell>
        </row>
        <row r="410">
          <cell r="B410" t="str">
            <v>22954454#005</v>
          </cell>
          <cell r="H410" t="str">
            <v>Investors House Rahastot Oy</v>
          </cell>
        </row>
        <row r="411">
          <cell r="B411" t="str">
            <v>23245609#015</v>
          </cell>
          <cell r="H411" t="str">
            <v>Finlandia Rahastoyhtiö Oy</v>
          </cell>
        </row>
        <row r="412">
          <cell r="B412" t="str">
            <v>23245609#016</v>
          </cell>
          <cell r="H412" t="str">
            <v>Finlandia Rahastoyhtiö Oy</v>
          </cell>
        </row>
        <row r="413">
          <cell r="B413" t="str">
            <v>23245609#017</v>
          </cell>
          <cell r="H413" t="str">
            <v>Finlandia Rahastoyhtiö Oy</v>
          </cell>
        </row>
        <row r="414">
          <cell r="B414" t="str">
            <v>23245609#021</v>
          </cell>
          <cell r="H414" t="str">
            <v>Finlandia Rahastoyhtiö Oy</v>
          </cell>
        </row>
        <row r="415">
          <cell r="B415" t="str">
            <v>28233658#001</v>
          </cell>
          <cell r="H415" t="str">
            <v>Obsido Rahastoyhtiö Oy</v>
          </cell>
        </row>
        <row r="416">
          <cell r="B416" t="str">
            <v>31417319#001</v>
          </cell>
          <cell r="H416" t="str">
            <v>Fourton Oy</v>
          </cell>
        </row>
        <row r="417">
          <cell r="B417" t="str">
            <v>31417319#003</v>
          </cell>
          <cell r="H417" t="str">
            <v>Fourton Oy</v>
          </cell>
        </row>
        <row r="418">
          <cell r="B418" t="str">
            <v>31417319#004</v>
          </cell>
          <cell r="H418" t="str">
            <v>Fourton Oy</v>
          </cell>
        </row>
        <row r="419">
          <cell r="B419" t="str">
            <v>31417319#005</v>
          </cell>
          <cell r="H419" t="str">
            <v>Fourton Oy</v>
          </cell>
        </row>
        <row r="420">
          <cell r="B420" t="str">
            <v>31417319#006</v>
          </cell>
          <cell r="H420" t="str">
            <v>Fourton Oy</v>
          </cell>
        </row>
        <row r="421">
          <cell r="B421" t="str">
            <v/>
          </cell>
          <cell r="H421" t="str">
            <v/>
          </cell>
        </row>
        <row r="422">
          <cell r="B422" t="str">
            <v>Erikoissijoitusrahastot (Non-UCITS)</v>
          </cell>
          <cell r="H422" t="str">
            <v/>
          </cell>
        </row>
        <row r="423">
          <cell r="B423" t="str">
            <v>Specialplaceringsfonder (Non-UCITS)</v>
          </cell>
          <cell r="H423" t="str">
            <v/>
          </cell>
        </row>
        <row r="424">
          <cell r="B424" t="str">
            <v>Special investment funds (Non-UCITS)</v>
          </cell>
          <cell r="H424" t="str">
            <v/>
          </cell>
        </row>
        <row r="425">
          <cell r="B425" t="str">
            <v/>
          </cell>
          <cell r="H425" t="str">
            <v/>
          </cell>
        </row>
        <row r="426">
          <cell r="B426" t="str">
            <v>06652755#001</v>
          </cell>
          <cell r="H426" t="str">
            <v>PYN Fund Management Oy</v>
          </cell>
        </row>
        <row r="427">
          <cell r="B427" t="str">
            <v>06716026#016</v>
          </cell>
          <cell r="H427" t="str">
            <v>Danske Invest Rahastoyhtiö Oy</v>
          </cell>
        </row>
        <row r="428">
          <cell r="B428" t="str">
            <v>07360527#040</v>
          </cell>
          <cell r="H428" t="str">
            <v>eQ Rahastoyhtiö Oy</v>
          </cell>
        </row>
        <row r="429">
          <cell r="B429" t="str">
            <v>07360527#044</v>
          </cell>
          <cell r="H429" t="str">
            <v>eQ Rahastoyhtiö Oy</v>
          </cell>
        </row>
        <row r="430">
          <cell r="B430" t="str">
            <v>07360527#046</v>
          </cell>
          <cell r="H430" t="str">
            <v>eQ Rahastoyhtiö Oy</v>
          </cell>
        </row>
        <row r="431">
          <cell r="B431" t="str">
            <v>07360527#047</v>
          </cell>
          <cell r="H431" t="str">
            <v>eQ Rahastoyhtiö Oy</v>
          </cell>
        </row>
        <row r="432">
          <cell r="B432" t="str">
            <v>07360527#048</v>
          </cell>
          <cell r="H432" t="str">
            <v>eQ Rahastoyhtiö Oy</v>
          </cell>
        </row>
        <row r="433">
          <cell r="B433" t="str">
            <v>07360527#051</v>
          </cell>
          <cell r="H433" t="str">
            <v>eQ Rahastoyhtiö Oy</v>
          </cell>
        </row>
        <row r="434">
          <cell r="B434" t="str">
            <v>07360527#052</v>
          </cell>
          <cell r="H434" t="str">
            <v>eQ Rahastoyhtiö Oy</v>
          </cell>
        </row>
        <row r="435">
          <cell r="B435" t="str">
            <v>07360527#060</v>
          </cell>
          <cell r="H435" t="str">
            <v>eQ Rahastoyhtiö Oy</v>
          </cell>
        </row>
        <row r="436">
          <cell r="B436" t="str">
            <v>07360527#070</v>
          </cell>
          <cell r="H436" t="str">
            <v>eQ Rahastoyhtiö Oy</v>
          </cell>
        </row>
        <row r="437">
          <cell r="B437" t="str">
            <v>07360527#081</v>
          </cell>
          <cell r="H437" t="str">
            <v>eQ Rahastoyhtiö Oy</v>
          </cell>
        </row>
        <row r="438">
          <cell r="B438" t="str">
            <v>07360527#082</v>
          </cell>
          <cell r="H438" t="str">
            <v>eQ Rahastoyhtiö Oy</v>
          </cell>
        </row>
        <row r="439">
          <cell r="B439" t="str">
            <v>07360527#083</v>
          </cell>
          <cell r="H439" t="str">
            <v>eQ Rahastoyhtiö Oy</v>
          </cell>
        </row>
        <row r="440">
          <cell r="B440" t="str">
            <v>07360527#085</v>
          </cell>
          <cell r="H440" t="str">
            <v>eQ Rahastoyhtiö Oy</v>
          </cell>
        </row>
        <row r="441">
          <cell r="B441" t="str">
            <v>07360527#086</v>
          </cell>
          <cell r="H441" t="str">
            <v>eQ Rahastoyhtiö Oy</v>
          </cell>
        </row>
        <row r="442">
          <cell r="B442" t="str">
            <v>07360527#088</v>
          </cell>
          <cell r="H442" t="str">
            <v>eQ Rahastoyhtiö Oy</v>
          </cell>
        </row>
        <row r="443">
          <cell r="B443" t="str">
            <v>07360527#089</v>
          </cell>
          <cell r="H443" t="str">
            <v>eQ Rahastoyhtiö Oy</v>
          </cell>
        </row>
        <row r="444">
          <cell r="B444" t="str">
            <v>07360527#090</v>
          </cell>
          <cell r="H444" t="str">
            <v>eQ Rahastoyhtiö Oy</v>
          </cell>
        </row>
        <row r="445">
          <cell r="B445" t="str">
            <v>07360527#092</v>
          </cell>
          <cell r="H445" t="str">
            <v>eQ Rahastoyhtiö Oy</v>
          </cell>
        </row>
        <row r="446">
          <cell r="B446" t="str">
            <v>07360527#094</v>
          </cell>
          <cell r="H446" t="str">
            <v>eQ Rahastoyhtiö Oy</v>
          </cell>
        </row>
        <row r="447">
          <cell r="B447" t="str">
            <v>07360527#095</v>
          </cell>
          <cell r="H447" t="str">
            <v>eQ Rahastoyhtiö Oy</v>
          </cell>
        </row>
        <row r="448">
          <cell r="B448" t="str">
            <v>07360527#096</v>
          </cell>
          <cell r="H448" t="str">
            <v>eQ Rahastoyhtiö Oy</v>
          </cell>
        </row>
        <row r="449">
          <cell r="B449" t="str">
            <v>07360527#097</v>
          </cell>
          <cell r="H449" t="str">
            <v>eQ Rahastoyhtiö Oy</v>
          </cell>
        </row>
        <row r="450">
          <cell r="B450" t="str">
            <v>07360527#098</v>
          </cell>
          <cell r="H450" t="str">
            <v>eQ Rahastoyhtiö Oy</v>
          </cell>
        </row>
        <row r="451">
          <cell r="B451" t="str">
            <v>07360527#099</v>
          </cell>
          <cell r="H451" t="str">
            <v>eQ Rahastoyhtiö Oy</v>
          </cell>
        </row>
        <row r="452">
          <cell r="B452" t="str">
            <v>07360527#101</v>
          </cell>
          <cell r="H452" t="str">
            <v>eQ Rahastoyhtiö Oy</v>
          </cell>
        </row>
        <row r="453">
          <cell r="B453" t="str">
            <v>07360527#102</v>
          </cell>
          <cell r="H453" t="str">
            <v>eQ Rahastoyhtiö Oy</v>
          </cell>
        </row>
        <row r="454">
          <cell r="B454" t="str">
            <v>07360527#104</v>
          </cell>
          <cell r="H454" t="str">
            <v>eQ Rahastoyhtiö Oy</v>
          </cell>
        </row>
        <row r="455">
          <cell r="B455" t="str">
            <v>07360527#105</v>
          </cell>
          <cell r="H455" t="str">
            <v>eQ Rahastoyhtiö Oy</v>
          </cell>
        </row>
        <row r="456">
          <cell r="B456" t="str">
            <v>07360527#106</v>
          </cell>
          <cell r="H456" t="str">
            <v>eQ Rahastoyhtiö Oy</v>
          </cell>
        </row>
        <row r="457">
          <cell r="B457" t="str">
            <v>07360527#108</v>
          </cell>
          <cell r="H457" t="str">
            <v>eQ Rahastoyhtiö Oy</v>
          </cell>
        </row>
        <row r="458">
          <cell r="B458" t="str">
            <v>07360527#111</v>
          </cell>
          <cell r="H458" t="str">
            <v>eQ Rahastoyhtiö Oy</v>
          </cell>
        </row>
        <row r="459">
          <cell r="B459" t="str">
            <v>07360527#112</v>
          </cell>
          <cell r="H459" t="str">
            <v>eQ Rahastoyhtiö Oy</v>
          </cell>
        </row>
        <row r="460">
          <cell r="B460" t="str">
            <v>07360527#114</v>
          </cell>
          <cell r="H460" t="str">
            <v>eQ Rahastoyhtiö Oy</v>
          </cell>
        </row>
        <row r="461">
          <cell r="B461" t="str">
            <v>07360527#115</v>
          </cell>
          <cell r="H461" t="str">
            <v>eQ Rahastoyhtiö Oy</v>
          </cell>
        </row>
        <row r="462">
          <cell r="B462" t="str">
            <v>07360527#117</v>
          </cell>
          <cell r="H462" t="str">
            <v>eQ Rahastoyhtiö Oy</v>
          </cell>
        </row>
        <row r="463">
          <cell r="B463" t="str">
            <v>07360527#118</v>
          </cell>
          <cell r="H463" t="str">
            <v>eQ Rahastoyhtiö Oy</v>
          </cell>
        </row>
        <row r="464">
          <cell r="B464" t="str">
            <v>07360527#119</v>
          </cell>
          <cell r="H464" t="str">
            <v>eQ Rahastoyhtiö Oy</v>
          </cell>
        </row>
        <row r="465">
          <cell r="B465" t="str">
            <v>07360527#120</v>
          </cell>
          <cell r="H465" t="str">
            <v>eQ Rahastoyhtiö Oy</v>
          </cell>
        </row>
        <row r="466">
          <cell r="B466" t="str">
            <v>07360527#121</v>
          </cell>
          <cell r="H466" t="str">
            <v>eQ Rahastoyhtiö Oy</v>
          </cell>
        </row>
        <row r="467">
          <cell r="B467" t="str">
            <v>07360527#123</v>
          </cell>
          <cell r="H467" t="str">
            <v>eQ Rahastoyhtiö Oy</v>
          </cell>
        </row>
        <row r="468">
          <cell r="B468" t="str">
            <v>07360527#125</v>
          </cell>
          <cell r="H468" t="str">
            <v>eQ Rahastoyhtiö Oy</v>
          </cell>
        </row>
        <row r="469">
          <cell r="B469" t="str">
            <v>07360527#127</v>
          </cell>
          <cell r="H469" t="str">
            <v>eQ Rahastoyhtiö Oy</v>
          </cell>
        </row>
        <row r="470">
          <cell r="B470" t="str">
            <v>07360527#128</v>
          </cell>
          <cell r="H470" t="str">
            <v>eQ Rahastoyhtiö Oy</v>
          </cell>
        </row>
        <row r="471">
          <cell r="B471" t="str">
            <v>07360527#130</v>
          </cell>
          <cell r="H471" t="str">
            <v>eQ Rahastoyhtiö Oy</v>
          </cell>
        </row>
        <row r="472">
          <cell r="B472" t="str">
            <v>07360527#131</v>
          </cell>
          <cell r="H472" t="str">
            <v>eQ Rahastoyhtiö Oy</v>
          </cell>
        </row>
        <row r="473">
          <cell r="B473" t="str">
            <v>07360527#132</v>
          </cell>
          <cell r="H473" t="str">
            <v>eQ Rahastoyhtiö Oy</v>
          </cell>
        </row>
        <row r="474">
          <cell r="B474" t="str">
            <v>07360527#134</v>
          </cell>
          <cell r="H474" t="str">
            <v>eQ Rahastoyhtiö Oy</v>
          </cell>
        </row>
        <row r="475">
          <cell r="B475" t="str">
            <v>07360527#135</v>
          </cell>
          <cell r="H475" t="str">
            <v>eQ Rahastoyhtiö Oy</v>
          </cell>
        </row>
        <row r="476">
          <cell r="B476" t="str">
            <v>07360527#136</v>
          </cell>
          <cell r="H476" t="str">
            <v>eQ Rahastoyhtiö Oy</v>
          </cell>
        </row>
        <row r="477">
          <cell r="B477" t="str">
            <v>07360527#138</v>
          </cell>
          <cell r="H477" t="str">
            <v>eQ Rahastoyhtiö Oy</v>
          </cell>
        </row>
        <row r="478">
          <cell r="B478" t="str">
            <v>07360527#141</v>
          </cell>
          <cell r="H478" t="str">
            <v>eQ Rahastoyhtiö Oy</v>
          </cell>
        </row>
        <row r="479">
          <cell r="B479" t="str">
            <v>07360527#143</v>
          </cell>
          <cell r="H479" t="str">
            <v>eQ Rahastoyhtiö Oy</v>
          </cell>
        </row>
        <row r="480">
          <cell r="B480" t="str">
            <v>07439622#091</v>
          </cell>
          <cell r="H480" t="str">
            <v>OP-Rahastoyhtiö Oy</v>
          </cell>
        </row>
        <row r="481">
          <cell r="B481" t="str">
            <v>07439622#105</v>
          </cell>
          <cell r="H481" t="str">
            <v>OP-Rahastoyhtiö Oy</v>
          </cell>
        </row>
        <row r="482">
          <cell r="B482" t="str">
            <v>07439622#113</v>
          </cell>
          <cell r="H482" t="str">
            <v>OP-Rahastoyhtiö Oy</v>
          </cell>
        </row>
        <row r="483">
          <cell r="B483" t="str">
            <v>07439622#114</v>
          </cell>
          <cell r="H483" t="str">
            <v>OP-Rahastoyhtiö Oy</v>
          </cell>
        </row>
        <row r="484">
          <cell r="B484" t="str">
            <v>07439622#115</v>
          </cell>
          <cell r="H484" t="str">
            <v>OP-Rahastoyhtiö Oy</v>
          </cell>
        </row>
        <row r="485">
          <cell r="B485" t="str">
            <v>07439622#116</v>
          </cell>
          <cell r="H485" t="str">
            <v>OP-Rahastoyhtiö Oy</v>
          </cell>
        </row>
        <row r="486">
          <cell r="B486" t="str">
            <v>07439622#117</v>
          </cell>
          <cell r="H486" t="str">
            <v>OP-Rahastoyhtiö Oy</v>
          </cell>
        </row>
        <row r="487">
          <cell r="B487" t="str">
            <v>07439622#118</v>
          </cell>
          <cell r="H487" t="str">
            <v>OP-Rahastoyhtiö Oy</v>
          </cell>
        </row>
        <row r="488">
          <cell r="B488" t="str">
            <v>07439622#130</v>
          </cell>
          <cell r="H488" t="str">
            <v>OP-Rahastoyhtiö Oy</v>
          </cell>
        </row>
        <row r="489">
          <cell r="B489" t="str">
            <v>07439622#132</v>
          </cell>
          <cell r="H489" t="str">
            <v>OP-Rahastoyhtiö Oy</v>
          </cell>
        </row>
        <row r="490">
          <cell r="B490" t="str">
            <v>07439622#145</v>
          </cell>
          <cell r="H490" t="str">
            <v>OP-Rahastoyhtiö Oy</v>
          </cell>
        </row>
        <row r="491">
          <cell r="B491" t="str">
            <v>07439622#147</v>
          </cell>
          <cell r="H491" t="str">
            <v>OP-Rahastoyhtiö Oy</v>
          </cell>
        </row>
        <row r="492">
          <cell r="B492" t="str">
            <v>07439622#149</v>
          </cell>
          <cell r="H492" t="str">
            <v>OP-Rahastoyhtiö Oy</v>
          </cell>
        </row>
        <row r="493">
          <cell r="B493" t="str">
            <v>07439622#150</v>
          </cell>
          <cell r="H493" t="str">
            <v>OP-Rahastoyhtiö Oy</v>
          </cell>
        </row>
        <row r="494">
          <cell r="B494" t="str">
            <v>07439622#152</v>
          </cell>
          <cell r="H494" t="str">
            <v>OP-Rahastoyhtiö Oy</v>
          </cell>
        </row>
        <row r="495">
          <cell r="B495" t="str">
            <v>07446590#077</v>
          </cell>
          <cell r="H495" t="str">
            <v>Evli-Rahastoyhtiö Oy</v>
          </cell>
        </row>
        <row r="496">
          <cell r="B496" t="str">
            <v>07446590#083</v>
          </cell>
          <cell r="H496" t="str">
            <v>Evli-Rahastoyhtiö Oy</v>
          </cell>
        </row>
        <row r="497">
          <cell r="B497" t="str">
            <v>07446590#088</v>
          </cell>
          <cell r="H497" t="str">
            <v>Evli-Rahastoyhtiö Oy</v>
          </cell>
        </row>
        <row r="498">
          <cell r="B498" t="str">
            <v>07446590#108</v>
          </cell>
          <cell r="H498" t="str">
            <v>Evli-Rahastoyhtiö Oy</v>
          </cell>
        </row>
        <row r="499">
          <cell r="B499" t="str">
            <v>07446590#134</v>
          </cell>
          <cell r="H499" t="str">
            <v>Evli-Rahastoyhtiö Oy</v>
          </cell>
        </row>
        <row r="500">
          <cell r="B500" t="str">
            <v>07446590#141</v>
          </cell>
          <cell r="H500" t="str">
            <v>Evli-Rahastoyhtiö Oy</v>
          </cell>
        </row>
        <row r="501">
          <cell r="B501" t="str">
            <v>07446590#144</v>
          </cell>
          <cell r="H501" t="str">
            <v>Evli-Rahastoyhtiö Oy</v>
          </cell>
        </row>
        <row r="502">
          <cell r="B502" t="str">
            <v>07446590#145</v>
          </cell>
          <cell r="H502" t="str">
            <v>Evli-Rahastoyhtiö Oy</v>
          </cell>
        </row>
        <row r="503">
          <cell r="B503" t="str">
            <v>07446590#161</v>
          </cell>
          <cell r="H503" t="str">
            <v>Evli-Rahastoyhtiö Oy</v>
          </cell>
        </row>
        <row r="504">
          <cell r="B504" t="str">
            <v>07446590#179</v>
          </cell>
          <cell r="H504" t="str">
            <v>Evli-Rahastoyhtiö Oy</v>
          </cell>
        </row>
        <row r="505">
          <cell r="B505" t="str">
            <v>07446590#180</v>
          </cell>
          <cell r="H505" t="str">
            <v>Evli-Rahastoyhtiö Oy</v>
          </cell>
        </row>
        <row r="506">
          <cell r="B506" t="str">
            <v>09791339#034</v>
          </cell>
          <cell r="H506" t="str">
            <v>S-Pankki Rahastoyhtiö Oy</v>
          </cell>
        </row>
        <row r="507">
          <cell r="B507" t="str">
            <v>09791339#074</v>
          </cell>
          <cell r="H507" t="str">
            <v>S-Pankki Rahastoyhtiö Oy</v>
          </cell>
        </row>
        <row r="508">
          <cell r="B508" t="str">
            <v>09791339#077</v>
          </cell>
          <cell r="H508" t="str">
            <v>S-Pankki Rahastoyhtiö Oy</v>
          </cell>
        </row>
        <row r="509">
          <cell r="B509" t="str">
            <v>09791339#091</v>
          </cell>
          <cell r="H509" t="str">
            <v>S-Pankki Rahastoyhtiö Oy</v>
          </cell>
        </row>
        <row r="510">
          <cell r="B510" t="str">
            <v>09791339#092</v>
          </cell>
          <cell r="H510" t="str">
            <v>S-Pankki Rahastoyhtiö Oy</v>
          </cell>
        </row>
        <row r="511">
          <cell r="B511" t="str">
            <v>09791339#093</v>
          </cell>
          <cell r="H511" t="str">
            <v>S-Pankki Rahastoyhtiö Oy</v>
          </cell>
        </row>
        <row r="512">
          <cell r="B512" t="str">
            <v>09791339#094</v>
          </cell>
          <cell r="H512" t="str">
            <v>S-Pankki Rahastoyhtiö Oy</v>
          </cell>
        </row>
        <row r="513">
          <cell r="B513" t="str">
            <v>09791339#095</v>
          </cell>
          <cell r="H513" t="str">
            <v>S-Pankki Rahastoyhtiö Oy</v>
          </cell>
        </row>
        <row r="514">
          <cell r="B514" t="str">
            <v>09791339#112</v>
          </cell>
          <cell r="H514" t="str">
            <v>S-Pankki Rahastoyhtiö Oy</v>
          </cell>
        </row>
        <row r="515">
          <cell r="B515" t="str">
            <v>14713626#023</v>
          </cell>
          <cell r="H515" t="str">
            <v>Ålandsbanken Fondbolag Ab</v>
          </cell>
        </row>
        <row r="516">
          <cell r="B516" t="str">
            <v>14713626#030</v>
          </cell>
          <cell r="H516" t="str">
            <v>Ålandsbanken Fondbolag Ab</v>
          </cell>
        </row>
        <row r="517">
          <cell r="B517" t="str">
            <v>14713626#047</v>
          </cell>
          <cell r="H517" t="str">
            <v>Ålandsbanken Fondbolag Ab</v>
          </cell>
        </row>
        <row r="518">
          <cell r="B518" t="str">
            <v>16039364#006</v>
          </cell>
          <cell r="H518" t="str">
            <v>Alexandria Rahastoyhtiö Oy</v>
          </cell>
        </row>
        <row r="519">
          <cell r="B519" t="str">
            <v>16039364#007</v>
          </cell>
          <cell r="H519" t="str">
            <v>Alexandria Rahastoyhtiö Oy</v>
          </cell>
        </row>
        <row r="520">
          <cell r="B520" t="str">
            <v>16039364#008</v>
          </cell>
          <cell r="H520" t="str">
            <v>Alexandria Rahastoyhtiö Oy</v>
          </cell>
        </row>
        <row r="521">
          <cell r="B521" t="str">
            <v>16039364#010</v>
          </cell>
          <cell r="H521" t="str">
            <v>Alexandria Rahastoyhtiö Oy</v>
          </cell>
        </row>
        <row r="522">
          <cell r="B522" t="str">
            <v>16039364#011</v>
          </cell>
          <cell r="H522" t="str">
            <v>Alexandria Rahastoyhtiö Oy</v>
          </cell>
        </row>
        <row r="523">
          <cell r="B523" t="str">
            <v>16172050#018</v>
          </cell>
          <cell r="H523" t="str">
            <v>LähiTapiola Vaihtoehtorahastot Oy</v>
          </cell>
        </row>
        <row r="524">
          <cell r="B524" t="str">
            <v>17377859#096</v>
          </cell>
          <cell r="H524" t="str">
            <v>Nordea Funds Oy</v>
          </cell>
        </row>
        <row r="525">
          <cell r="B525" t="str">
            <v>17377859#198</v>
          </cell>
          <cell r="H525" t="str">
            <v>Nordea Funds Oy</v>
          </cell>
        </row>
        <row r="526">
          <cell r="B526" t="str">
            <v>17377859#252</v>
          </cell>
          <cell r="H526" t="str">
            <v>Nordea Funds Oy</v>
          </cell>
        </row>
        <row r="527">
          <cell r="B527" t="str">
            <v>17956316#019</v>
          </cell>
          <cell r="H527" t="str">
            <v>Sp-Rahastoyhtiö Oy</v>
          </cell>
        </row>
        <row r="528">
          <cell r="B528" t="str">
            <v>17956316#023</v>
          </cell>
          <cell r="H528" t="str">
            <v>Sp-Rahastoyhtiö Oy</v>
          </cell>
        </row>
        <row r="529">
          <cell r="B529" t="str">
            <v>17956316#024</v>
          </cell>
          <cell r="H529" t="str">
            <v>Sp-Rahastoyhtiö Oy</v>
          </cell>
        </row>
        <row r="530">
          <cell r="B530" t="str">
            <v>17956316#025</v>
          </cell>
          <cell r="H530" t="str">
            <v>Sp-Rahastoyhtiö Oy</v>
          </cell>
        </row>
        <row r="531">
          <cell r="B531" t="str">
            <v>17956316#026</v>
          </cell>
          <cell r="H531" t="str">
            <v>Sp-Rahastoyhtiö Oy</v>
          </cell>
        </row>
        <row r="532">
          <cell r="B532" t="str">
            <v>17956316#027</v>
          </cell>
          <cell r="H532" t="str">
            <v>Sp-Rahastoyhtiö Oy</v>
          </cell>
        </row>
        <row r="533">
          <cell r="B533" t="str">
            <v>17956316#037</v>
          </cell>
          <cell r="H533" t="str">
            <v>Sp-Rahastoyhtiö Oy</v>
          </cell>
        </row>
        <row r="534">
          <cell r="B534" t="str">
            <v>18300220#005</v>
          </cell>
          <cell r="H534" t="str">
            <v>GRIT Rahastoyhtiö Oy</v>
          </cell>
        </row>
        <row r="535">
          <cell r="B535" t="str">
            <v>18300220#010</v>
          </cell>
          <cell r="H535" t="str">
            <v>GRIT Rahastoyhtiö Oy</v>
          </cell>
        </row>
        <row r="536">
          <cell r="B536" t="str">
            <v>18300220#012</v>
          </cell>
          <cell r="H536" t="str">
            <v>GRIT Rahastoyhtiö Oy</v>
          </cell>
        </row>
        <row r="537">
          <cell r="B537" t="str">
            <v>18300220#013</v>
          </cell>
          <cell r="H537" t="str">
            <v>GRIT Rahastoyhtiö Oy</v>
          </cell>
        </row>
        <row r="538">
          <cell r="B538" t="str">
            <v>18300220#016</v>
          </cell>
          <cell r="H538" t="str">
            <v>GRIT Rahastoyhtiö Oy</v>
          </cell>
        </row>
        <row r="539">
          <cell r="B539" t="str">
            <v>18300220#023</v>
          </cell>
          <cell r="H539" t="str">
            <v>GRIT Rahastoyhtiö Oy</v>
          </cell>
        </row>
        <row r="540">
          <cell r="B540" t="str">
            <v>18300220#024</v>
          </cell>
          <cell r="H540" t="str">
            <v>GRIT Rahastoyhtiö Oy</v>
          </cell>
        </row>
        <row r="541">
          <cell r="B541" t="str">
            <v>18300220#026</v>
          </cell>
          <cell r="H541" t="str">
            <v>GRIT Rahastoyhtiö Oy</v>
          </cell>
        </row>
        <row r="542">
          <cell r="B542" t="str">
            <v>18300220#028</v>
          </cell>
          <cell r="H542" t="str">
            <v>GRIT Rahastoyhtiö Oy</v>
          </cell>
        </row>
        <row r="543">
          <cell r="B543" t="str">
            <v>18300220#029</v>
          </cell>
          <cell r="H543" t="str">
            <v>GRIT Rahastoyhtiö Oy</v>
          </cell>
        </row>
        <row r="544">
          <cell r="B544" t="str">
            <v>18300220#031</v>
          </cell>
          <cell r="H544" t="str">
            <v>GRIT Rahastoyhtiö Oy</v>
          </cell>
        </row>
        <row r="545">
          <cell r="B545" t="str">
            <v>18300220#032</v>
          </cell>
          <cell r="H545" t="str">
            <v>GRIT Rahastoyhtiö Oy</v>
          </cell>
        </row>
        <row r="546">
          <cell r="B546" t="str">
            <v>18300220#034</v>
          </cell>
          <cell r="H546" t="str">
            <v>GRIT Rahastoyhtiö Oy</v>
          </cell>
        </row>
        <row r="547">
          <cell r="B547" t="str">
            <v>18300220#035</v>
          </cell>
          <cell r="H547" t="str">
            <v>GRIT Rahastoyhtiö Oy</v>
          </cell>
        </row>
        <row r="548">
          <cell r="B548" t="str">
            <v>18300220#038</v>
          </cell>
          <cell r="H548" t="str">
            <v>GRIT Rahastoyhtiö Oy</v>
          </cell>
        </row>
        <row r="549">
          <cell r="B549" t="str">
            <v>18300220#039</v>
          </cell>
          <cell r="H549" t="str">
            <v>GRIT Rahastoyhtiö Oy</v>
          </cell>
        </row>
        <row r="550">
          <cell r="B550" t="str">
            <v>18300220#042</v>
          </cell>
          <cell r="H550" t="str">
            <v>GRIT Rahastoyhtiö Oy</v>
          </cell>
        </row>
        <row r="551">
          <cell r="B551" t="str">
            <v>18300220#043</v>
          </cell>
          <cell r="H551" t="str">
            <v>GRIT Rahastoyhtiö Oy</v>
          </cell>
        </row>
        <row r="552">
          <cell r="B552" t="str">
            <v>18300220#044</v>
          </cell>
          <cell r="H552" t="str">
            <v>GRIT Rahastoyhtiö Oy</v>
          </cell>
        </row>
        <row r="553">
          <cell r="B553" t="str">
            <v>18300220#045</v>
          </cell>
          <cell r="H553" t="str">
            <v>GRIT Rahastoyhtiö Oy</v>
          </cell>
        </row>
        <row r="554">
          <cell r="B554" t="str">
            <v>19880781#006</v>
          </cell>
          <cell r="H554" t="str">
            <v>Dasos Capital Oy</v>
          </cell>
        </row>
        <row r="555">
          <cell r="B555" t="str">
            <v>20628401#023</v>
          </cell>
          <cell r="H555" t="str">
            <v>Aktia Rahastoyhtiö Oy</v>
          </cell>
        </row>
        <row r="556">
          <cell r="B556" t="str">
            <v>20628401#027</v>
          </cell>
          <cell r="H556" t="str">
            <v>Aktia Rahastoyhtiö Oy</v>
          </cell>
        </row>
        <row r="557">
          <cell r="B557" t="str">
            <v>20628401#028</v>
          </cell>
          <cell r="H557" t="str">
            <v>Aktia Rahastoyhtiö Oy</v>
          </cell>
        </row>
        <row r="558">
          <cell r="B558" t="str">
            <v>20628401#029</v>
          </cell>
          <cell r="H558" t="str">
            <v>Aktia Rahastoyhtiö Oy</v>
          </cell>
        </row>
        <row r="559">
          <cell r="B559" t="str">
            <v>20628401#030</v>
          </cell>
          <cell r="H559" t="str">
            <v>Aktia Rahastoyhtiö Oy</v>
          </cell>
        </row>
        <row r="560">
          <cell r="B560" t="str">
            <v>20628401#038</v>
          </cell>
          <cell r="H560" t="str">
            <v>Aktia Rahastoyhtiö Oy</v>
          </cell>
        </row>
        <row r="561">
          <cell r="B561" t="str">
            <v>20628401#039</v>
          </cell>
          <cell r="H561" t="str">
            <v>Aktia Rahastoyhtiö Oy</v>
          </cell>
        </row>
        <row r="562">
          <cell r="B562" t="str">
            <v>20628401#040</v>
          </cell>
          <cell r="H562" t="str">
            <v>Aktia Rahastoyhtiö Oy</v>
          </cell>
        </row>
        <row r="563">
          <cell r="B563" t="str">
            <v>20628401#044</v>
          </cell>
          <cell r="H563" t="str">
            <v>Aktia Rahastoyhtiö Oy</v>
          </cell>
        </row>
        <row r="564">
          <cell r="B564" t="str">
            <v>20628401#081</v>
          </cell>
          <cell r="H564" t="str">
            <v>Aktia Rahastoyhtiö Oy</v>
          </cell>
        </row>
        <row r="565">
          <cell r="B565" t="str">
            <v>20628401#083</v>
          </cell>
          <cell r="H565" t="str">
            <v>Aktia Rahastoyhtiö Oy</v>
          </cell>
        </row>
        <row r="566">
          <cell r="B566" t="str">
            <v>20628401#087</v>
          </cell>
          <cell r="H566" t="str">
            <v>Aktia Rahastoyhtiö Oy</v>
          </cell>
        </row>
        <row r="567">
          <cell r="B567" t="str">
            <v>21181015#004</v>
          </cell>
          <cell r="H567" t="str">
            <v>UB Rahastoyhtiö Oy</v>
          </cell>
        </row>
        <row r="568">
          <cell r="B568" t="str">
            <v>21181015#023</v>
          </cell>
          <cell r="H568" t="str">
            <v>UB Rahastoyhtiö Oy</v>
          </cell>
        </row>
        <row r="569">
          <cell r="B569" t="str">
            <v>21181015#026</v>
          </cell>
          <cell r="H569" t="str">
            <v>UB Rahastoyhtiö Oy</v>
          </cell>
        </row>
        <row r="570">
          <cell r="B570" t="str">
            <v>21181015#033</v>
          </cell>
          <cell r="H570" t="str">
            <v>UB Rahastoyhtiö Oy</v>
          </cell>
        </row>
        <row r="571">
          <cell r="B571" t="str">
            <v>21181015#034</v>
          </cell>
          <cell r="H571" t="str">
            <v>UB Rahastoyhtiö Oy</v>
          </cell>
        </row>
        <row r="572">
          <cell r="B572" t="str">
            <v>21181015#043</v>
          </cell>
          <cell r="H572" t="str">
            <v>UB Rahastoyhtiö Oy</v>
          </cell>
        </row>
        <row r="573">
          <cell r="B573" t="str">
            <v>21181015#047</v>
          </cell>
          <cell r="H573" t="str">
            <v>UB Rahastoyhtiö Oy</v>
          </cell>
        </row>
        <row r="574">
          <cell r="B574" t="str">
            <v>21181015#048</v>
          </cell>
          <cell r="H574" t="str">
            <v>UB Rahastoyhtiö Oy</v>
          </cell>
        </row>
        <row r="575">
          <cell r="B575" t="str">
            <v>21181015#052</v>
          </cell>
          <cell r="H575" t="str">
            <v>UB Rahastoyhtiö Oy</v>
          </cell>
        </row>
        <row r="576">
          <cell r="B576" t="str">
            <v>21181015#054</v>
          </cell>
          <cell r="H576" t="str">
            <v>UB Rahastoyhtiö Oy</v>
          </cell>
        </row>
        <row r="577">
          <cell r="B577" t="str">
            <v>21181015#055</v>
          </cell>
          <cell r="H577" t="str">
            <v>UB Rahastoyhtiö Oy</v>
          </cell>
        </row>
        <row r="578">
          <cell r="B578" t="str">
            <v>21543362#001</v>
          </cell>
          <cell r="H578" t="str">
            <v>Helsinki Capital Partners Oy</v>
          </cell>
        </row>
        <row r="579">
          <cell r="B579" t="str">
            <v>21543362#002</v>
          </cell>
          <cell r="H579" t="str">
            <v>Helsinki Capital Partners Oy</v>
          </cell>
        </row>
        <row r="580">
          <cell r="B580" t="str">
            <v>21543362#003</v>
          </cell>
          <cell r="H580" t="str">
            <v>Helsinki Capital Partners Oy</v>
          </cell>
        </row>
        <row r="581">
          <cell r="B581" t="str">
            <v>21543362#004</v>
          </cell>
          <cell r="H581" t="str">
            <v>Helsinki Capital Partners Oy</v>
          </cell>
        </row>
        <row r="582">
          <cell r="B582" t="str">
            <v>22888047#002</v>
          </cell>
          <cell r="H582" t="str">
            <v>Titanium Rahastoyhtiö Oy</v>
          </cell>
        </row>
        <row r="583">
          <cell r="B583" t="str">
            <v>22888047#004</v>
          </cell>
          <cell r="H583" t="str">
            <v>Titanium Rahastoyhtiö Oy</v>
          </cell>
        </row>
        <row r="584">
          <cell r="B584" t="str">
            <v>22888047#006</v>
          </cell>
          <cell r="H584" t="str">
            <v>Titanium Rahastoyhtiö Oy</v>
          </cell>
        </row>
        <row r="585">
          <cell r="B585" t="str">
            <v>22888047#007</v>
          </cell>
          <cell r="H585" t="str">
            <v>Titanium Rahastoyhtiö Oy</v>
          </cell>
        </row>
        <row r="586">
          <cell r="B586" t="str">
            <v>22954454#008</v>
          </cell>
          <cell r="H586" t="str">
            <v>Investors House Rahastot Oy</v>
          </cell>
        </row>
        <row r="587">
          <cell r="B587" t="str">
            <v>23245609#018</v>
          </cell>
          <cell r="H587" t="str">
            <v>Finlandia Rahastoyhtiö Oy</v>
          </cell>
        </row>
        <row r="588">
          <cell r="B588" t="str">
            <v>23245609#019</v>
          </cell>
          <cell r="H588" t="str">
            <v>Finlandia Rahastoyhtiö Oy</v>
          </cell>
        </row>
        <row r="589">
          <cell r="B589" t="str">
            <v>23245609#020</v>
          </cell>
          <cell r="H589" t="str">
            <v>Finlandia Rahastoyhtiö Oy</v>
          </cell>
        </row>
        <row r="590">
          <cell r="B590" t="str">
            <v>28125497#001</v>
          </cell>
          <cell r="H590" t="str">
            <v>Mandatum AM AIFM Oy</v>
          </cell>
        </row>
        <row r="591">
          <cell r="B591" t="str">
            <v>28233658#007</v>
          </cell>
          <cell r="H591" t="str">
            <v>Obsido Rahastoyhtiö Oy</v>
          </cell>
        </row>
        <row r="592">
          <cell r="B592" t="str">
            <v>28233658#008</v>
          </cell>
          <cell r="H592" t="str">
            <v>Obsido Rahastoyhtiö Oy</v>
          </cell>
        </row>
        <row r="593">
          <cell r="B593" t="str">
            <v>29064614#005</v>
          </cell>
          <cell r="H593" t="str">
            <v>CapMan AIFM Oy</v>
          </cell>
        </row>
        <row r="594">
          <cell r="B594" t="str">
            <v>29064614#018</v>
          </cell>
          <cell r="H594" t="str">
            <v>CapMan AIFM Oy</v>
          </cell>
        </row>
        <row r="595">
          <cell r="B595" t="str">
            <v>29064614#022</v>
          </cell>
          <cell r="H595" t="str">
            <v>CapMan AIFM Oy</v>
          </cell>
        </row>
        <row r="596">
          <cell r="B596" t="str">
            <v>29064614#025</v>
          </cell>
          <cell r="H596" t="str">
            <v>CapMan AIFM Oy</v>
          </cell>
        </row>
        <row r="597">
          <cell r="B597" t="str">
            <v>29064614#026</v>
          </cell>
          <cell r="H597" t="str">
            <v>CapMan AIFM Oy</v>
          </cell>
        </row>
        <row r="598">
          <cell r="B598" t="str">
            <v>29064614#029</v>
          </cell>
          <cell r="H598" t="str">
            <v>CapMan AIFM Oy</v>
          </cell>
        </row>
        <row r="599">
          <cell r="B599" t="str">
            <v>29064614#031</v>
          </cell>
          <cell r="H599" t="str">
            <v>CapMan AIFM Oy</v>
          </cell>
        </row>
        <row r="600">
          <cell r="B600" t="str">
            <v>32844961#001</v>
          </cell>
          <cell r="H600" t="str">
            <v>Proprius Partners Oy</v>
          </cell>
        </row>
        <row r="601">
          <cell r="B601" t="str">
            <v>32844961#002</v>
          </cell>
          <cell r="H601" t="str">
            <v>Proprius Partners Oy</v>
          </cell>
        </row>
        <row r="602">
          <cell r="B602" t="str">
            <v>32844961#003</v>
          </cell>
          <cell r="H602" t="str">
            <v>Proprius Partners Oy</v>
          </cell>
        </row>
        <row r="603">
          <cell r="B603" t="str">
            <v>32844961#004</v>
          </cell>
          <cell r="H603" t="str">
            <v>Proprius Partners Oy</v>
          </cell>
        </row>
        <row r="604">
          <cell r="B604" t="str">
            <v/>
          </cell>
          <cell r="H604" t="str">
            <v/>
          </cell>
        </row>
        <row r="605">
          <cell r="B605" t="str">
            <v/>
          </cell>
          <cell r="H605" t="str">
            <v/>
          </cell>
        </row>
        <row r="606">
          <cell r="B606" t="str">
            <v>Suljetut pääoma- ja kiinteistörahastot (Non-UCITS)</v>
          </cell>
          <cell r="H606" t="str">
            <v/>
          </cell>
        </row>
        <row r="607">
          <cell r="B607" t="str">
            <v>Sluten kapital- och fastighetsfonder (Non-UCITS)</v>
          </cell>
          <cell r="H607" t="str">
            <v/>
          </cell>
        </row>
        <row r="608">
          <cell r="B608" t="str">
            <v>Closed-end private equity and real estate funds (Non-UCITS)</v>
          </cell>
          <cell r="H608" t="str">
            <v/>
          </cell>
        </row>
        <row r="609">
          <cell r="B609" t="str">
            <v/>
          </cell>
          <cell r="H609" t="str">
            <v/>
          </cell>
        </row>
        <row r="610">
          <cell r="B610" t="str">
            <v>01120872#001</v>
          </cell>
          <cell r="H610" t="str">
            <v>Access Capital Advisors Finland Oy</v>
          </cell>
        </row>
        <row r="611">
          <cell r="B611" t="str">
            <v>01120872#002</v>
          </cell>
          <cell r="H611" t="str">
            <v>Access Capital Advisors Finland Oy</v>
          </cell>
        </row>
        <row r="612">
          <cell r="B612" t="str">
            <v>01120872#003</v>
          </cell>
          <cell r="H612" t="str">
            <v>Access Capital Advisors Finland Oy</v>
          </cell>
        </row>
        <row r="613">
          <cell r="B613" t="str">
            <v>01120872#004</v>
          </cell>
          <cell r="H613" t="str">
            <v>Access Capital Advisors Finland Oy</v>
          </cell>
        </row>
        <row r="614">
          <cell r="B614" t="str">
            <v>01120872#005</v>
          </cell>
          <cell r="H614" t="str">
            <v>Access Capital Advisors Finland Oy</v>
          </cell>
        </row>
        <row r="615">
          <cell r="B615" t="str">
            <v>01120872#006</v>
          </cell>
          <cell r="H615" t="str">
            <v>Access Capital Advisors Finland Oy</v>
          </cell>
        </row>
        <row r="616">
          <cell r="B616" t="str">
            <v>01120872#007</v>
          </cell>
          <cell r="H616" t="str">
            <v>Access Capital Advisors Finland Oy</v>
          </cell>
        </row>
        <row r="617">
          <cell r="B617" t="str">
            <v>01120872#008</v>
          </cell>
          <cell r="H617" t="str">
            <v>Access Capital Advisors Finland Oy</v>
          </cell>
        </row>
        <row r="618">
          <cell r="B618" t="str">
            <v>05991018#002</v>
          </cell>
          <cell r="H618" t="str">
            <v>OP Kiinteistösijoitus Oy</v>
          </cell>
        </row>
        <row r="619">
          <cell r="B619" t="str">
            <v>05991018#003</v>
          </cell>
          <cell r="H619" t="str">
            <v>OP Kiinteistösijoitus Oy</v>
          </cell>
        </row>
        <row r="620">
          <cell r="B620" t="str">
            <v>05991018#004</v>
          </cell>
          <cell r="H620" t="str">
            <v>OP Kiinteistösijoitus Oy</v>
          </cell>
        </row>
        <row r="621">
          <cell r="B621" t="str">
            <v>05991018#005</v>
          </cell>
          <cell r="H621" t="str">
            <v>OP Kiinteistösijoitus Oy</v>
          </cell>
        </row>
        <row r="622">
          <cell r="B622" t="str">
            <v>05991018#009</v>
          </cell>
          <cell r="H622" t="str">
            <v>OP Kiinteistösijoitus Oy</v>
          </cell>
        </row>
        <row r="623">
          <cell r="B623" t="str">
            <v>05991018#010</v>
          </cell>
          <cell r="H623" t="str">
            <v>OP Kiinteistösijoitus Oy</v>
          </cell>
        </row>
        <row r="624">
          <cell r="B624" t="str">
            <v>05991018#011</v>
          </cell>
          <cell r="H624" t="str">
            <v>OP Kiinteistösijoitus Oy</v>
          </cell>
        </row>
        <row r="625">
          <cell r="B625" t="str">
            <v>05991018#012</v>
          </cell>
          <cell r="H625" t="str">
            <v>OP Kiinteistösijoitus Oy</v>
          </cell>
        </row>
        <row r="626">
          <cell r="B626" t="str">
            <v>07360527#061</v>
          </cell>
          <cell r="H626" t="str">
            <v>eQ Rahastoyhtiö Oy</v>
          </cell>
        </row>
        <row r="627">
          <cell r="B627" t="str">
            <v>07360527#062</v>
          </cell>
          <cell r="H627" t="str">
            <v>eQ Rahastoyhtiö Oy</v>
          </cell>
        </row>
        <row r="628">
          <cell r="B628" t="str">
            <v>07360527#063</v>
          </cell>
          <cell r="H628" t="str">
            <v>eQ Rahastoyhtiö Oy</v>
          </cell>
        </row>
        <row r="629">
          <cell r="B629" t="str">
            <v>07360527#067</v>
          </cell>
          <cell r="H629" t="str">
            <v>eQ Rahastoyhtiö Oy</v>
          </cell>
        </row>
        <row r="630">
          <cell r="B630" t="str">
            <v>07360527#068</v>
          </cell>
          <cell r="H630" t="str">
            <v>eQ Rahastoyhtiö Oy</v>
          </cell>
        </row>
        <row r="631">
          <cell r="B631" t="str">
            <v>07360527#071</v>
          </cell>
          <cell r="H631" t="str">
            <v>eQ Rahastoyhtiö Oy</v>
          </cell>
        </row>
        <row r="632">
          <cell r="B632" t="str">
            <v>07360527#074</v>
          </cell>
          <cell r="H632" t="str">
            <v>eQ Rahastoyhtiö Oy</v>
          </cell>
        </row>
        <row r="633">
          <cell r="B633" t="str">
            <v>07360527#076</v>
          </cell>
          <cell r="H633" t="str">
            <v>eQ Rahastoyhtiö Oy</v>
          </cell>
        </row>
        <row r="634">
          <cell r="B634" t="str">
            <v>07360527#077</v>
          </cell>
          <cell r="H634" t="str">
            <v>eQ Rahastoyhtiö Oy</v>
          </cell>
        </row>
        <row r="635">
          <cell r="B635" t="str">
            <v>07360527#078</v>
          </cell>
          <cell r="H635" t="str">
            <v>eQ Rahastoyhtiö Oy</v>
          </cell>
        </row>
        <row r="636">
          <cell r="B636" t="str">
            <v>07360527#079</v>
          </cell>
          <cell r="H636" t="str">
            <v>eQ Rahastoyhtiö Oy</v>
          </cell>
        </row>
        <row r="637">
          <cell r="B637" t="str">
            <v>07360527#087</v>
          </cell>
          <cell r="H637" t="str">
            <v>eQ Rahastoyhtiö Oy</v>
          </cell>
        </row>
        <row r="638">
          <cell r="B638" t="str">
            <v>07360527#091</v>
          </cell>
          <cell r="H638" t="str">
            <v>eQ Rahastoyhtiö Oy</v>
          </cell>
        </row>
        <row r="639">
          <cell r="B639" t="str">
            <v>07360527#093</v>
          </cell>
          <cell r="H639" t="str">
            <v>eQ Rahastoyhtiö Oy</v>
          </cell>
        </row>
        <row r="640">
          <cell r="B640" t="str">
            <v>07360527#100</v>
          </cell>
          <cell r="H640" t="str">
            <v>eQ Rahastoyhtiö Oy</v>
          </cell>
        </row>
        <row r="641">
          <cell r="B641" t="str">
            <v>07360527#107</v>
          </cell>
          <cell r="H641" t="str">
            <v>eQ Rahastoyhtiö Oy</v>
          </cell>
        </row>
        <row r="642">
          <cell r="B642" t="str">
            <v>07360527#113</v>
          </cell>
          <cell r="H642" t="str">
            <v>eQ Rahastoyhtiö Oy</v>
          </cell>
        </row>
        <row r="643">
          <cell r="B643" t="str">
            <v>07360527#116</v>
          </cell>
          <cell r="H643" t="str">
            <v>eQ Rahastoyhtiö Oy</v>
          </cell>
        </row>
        <row r="644">
          <cell r="B644" t="str">
            <v>07360527#124</v>
          </cell>
          <cell r="H644" t="str">
            <v>eQ Rahastoyhtiö Oy</v>
          </cell>
        </row>
        <row r="645">
          <cell r="B645" t="str">
            <v>07360527#126</v>
          </cell>
          <cell r="H645" t="str">
            <v>eQ Rahastoyhtiö Oy</v>
          </cell>
        </row>
        <row r="646">
          <cell r="B646" t="str">
            <v>07360527#129</v>
          </cell>
          <cell r="H646" t="str">
            <v>eQ Rahastoyhtiö Oy</v>
          </cell>
        </row>
        <row r="647">
          <cell r="B647" t="str">
            <v>07360527#133</v>
          </cell>
          <cell r="H647" t="str">
            <v>eQ Rahastoyhtiö Oy</v>
          </cell>
        </row>
        <row r="648">
          <cell r="B648" t="str">
            <v>07360527#137</v>
          </cell>
          <cell r="H648" t="str">
            <v>eQ Rahastoyhtiö Oy</v>
          </cell>
        </row>
        <row r="649">
          <cell r="B649" t="str">
            <v>07360527#139</v>
          </cell>
          <cell r="H649" t="str">
            <v>eQ Rahastoyhtiö Oy</v>
          </cell>
        </row>
        <row r="650">
          <cell r="B650" t="str">
            <v>07360527#142</v>
          </cell>
          <cell r="H650" t="str">
            <v>eQ Rahastoyhtiö Oy</v>
          </cell>
        </row>
        <row r="651">
          <cell r="B651" t="str">
            <v>07439622#139</v>
          </cell>
          <cell r="H651" t="str">
            <v>OP-Rahastoyhtiö Oy</v>
          </cell>
        </row>
        <row r="652">
          <cell r="B652" t="str">
            <v>07439622#146</v>
          </cell>
          <cell r="H652" t="str">
            <v>OP-Rahastoyhtiö Oy</v>
          </cell>
        </row>
        <row r="653">
          <cell r="B653" t="str">
            <v>07446590#081</v>
          </cell>
          <cell r="H653" t="str">
            <v>Evli-Rahastoyhtiö Oy</v>
          </cell>
        </row>
        <row r="654">
          <cell r="B654" t="str">
            <v>07446590#082</v>
          </cell>
          <cell r="H654" t="str">
            <v>Evli-Rahastoyhtiö Oy</v>
          </cell>
        </row>
        <row r="655">
          <cell r="B655" t="str">
            <v>07446590#084</v>
          </cell>
          <cell r="H655" t="str">
            <v>Evli-Rahastoyhtiö Oy</v>
          </cell>
        </row>
        <row r="656">
          <cell r="B656" t="str">
            <v>07446590#085</v>
          </cell>
          <cell r="H656" t="str">
            <v>Evli-Rahastoyhtiö Oy</v>
          </cell>
        </row>
        <row r="657">
          <cell r="B657" t="str">
            <v>07446590#086</v>
          </cell>
          <cell r="H657" t="str">
            <v>Evli-Rahastoyhtiö Oy</v>
          </cell>
        </row>
        <row r="658">
          <cell r="B658" t="str">
            <v>07446590#087</v>
          </cell>
          <cell r="H658" t="str">
            <v>Evli-Rahastoyhtiö Oy</v>
          </cell>
        </row>
        <row r="659">
          <cell r="B659" t="str">
            <v>07446590#089</v>
          </cell>
          <cell r="H659" t="str">
            <v>Evli-Rahastoyhtiö Oy</v>
          </cell>
        </row>
        <row r="660">
          <cell r="B660" t="str">
            <v>07446590#091</v>
          </cell>
          <cell r="H660" t="str">
            <v>Evli-Rahastoyhtiö Oy</v>
          </cell>
        </row>
        <row r="661">
          <cell r="B661" t="str">
            <v>07446590#093</v>
          </cell>
          <cell r="H661" t="str">
            <v>Evli-Rahastoyhtiö Oy</v>
          </cell>
        </row>
        <row r="662">
          <cell r="B662" t="str">
            <v>07446590#094</v>
          </cell>
          <cell r="H662" t="str">
            <v>Evli-Rahastoyhtiö Oy</v>
          </cell>
        </row>
        <row r="663">
          <cell r="B663" t="str">
            <v>07446590#095</v>
          </cell>
          <cell r="H663" t="str">
            <v>Evli-Rahastoyhtiö Oy</v>
          </cell>
        </row>
        <row r="664">
          <cell r="B664" t="str">
            <v>07446590#096</v>
          </cell>
          <cell r="H664" t="str">
            <v>Evli-Rahastoyhtiö Oy</v>
          </cell>
        </row>
        <row r="665">
          <cell r="B665" t="str">
            <v>07446590#097</v>
          </cell>
          <cell r="H665" t="str">
            <v>Evli-Rahastoyhtiö Oy</v>
          </cell>
        </row>
        <row r="666">
          <cell r="B666" t="str">
            <v>07446590#098</v>
          </cell>
          <cell r="H666" t="str">
            <v>Evli-Rahastoyhtiö Oy</v>
          </cell>
        </row>
        <row r="667">
          <cell r="B667" t="str">
            <v>07446590#099</v>
          </cell>
          <cell r="H667" t="str">
            <v>Evli-Rahastoyhtiö Oy</v>
          </cell>
        </row>
        <row r="668">
          <cell r="B668" t="str">
            <v>07446590#100</v>
          </cell>
          <cell r="H668" t="str">
            <v>Evli-Rahastoyhtiö Oy</v>
          </cell>
        </row>
        <row r="669">
          <cell r="B669" t="str">
            <v>07446590#101</v>
          </cell>
          <cell r="H669" t="str">
            <v>Evli-Rahastoyhtiö Oy</v>
          </cell>
        </row>
        <row r="670">
          <cell r="B670" t="str">
            <v>07446590#102</v>
          </cell>
          <cell r="H670" t="str">
            <v>Evli-Rahastoyhtiö Oy</v>
          </cell>
        </row>
        <row r="671">
          <cell r="B671" t="str">
            <v>07446590#106</v>
          </cell>
          <cell r="H671" t="str">
            <v>Evli-Rahastoyhtiö Oy</v>
          </cell>
        </row>
        <row r="672">
          <cell r="B672" t="str">
            <v>07446590#107</v>
          </cell>
          <cell r="H672" t="str">
            <v>Evli-Rahastoyhtiö Oy</v>
          </cell>
        </row>
        <row r="673">
          <cell r="B673" t="str">
            <v>07446590#110</v>
          </cell>
          <cell r="H673" t="str">
            <v>Evli-Rahastoyhtiö Oy</v>
          </cell>
        </row>
        <row r="674">
          <cell r="B674" t="str">
            <v>07446590#111</v>
          </cell>
          <cell r="H674" t="str">
            <v>Evli-Rahastoyhtiö Oy</v>
          </cell>
        </row>
        <row r="675">
          <cell r="B675" t="str">
            <v>07446590#112</v>
          </cell>
          <cell r="H675" t="str">
            <v>Evli-Rahastoyhtiö Oy</v>
          </cell>
        </row>
        <row r="676">
          <cell r="B676" t="str">
            <v>07446590#113</v>
          </cell>
          <cell r="H676" t="str">
            <v>Evli-Rahastoyhtiö Oy</v>
          </cell>
        </row>
        <row r="677">
          <cell r="B677" t="str">
            <v>07446590#114</v>
          </cell>
          <cell r="H677" t="str">
            <v>Evli-Rahastoyhtiö Oy</v>
          </cell>
        </row>
        <row r="678">
          <cell r="B678" t="str">
            <v>07446590#115</v>
          </cell>
          <cell r="H678" t="str">
            <v>Evli-Rahastoyhtiö Oy</v>
          </cell>
        </row>
        <row r="679">
          <cell r="B679" t="str">
            <v>07446590#116</v>
          </cell>
          <cell r="H679" t="str">
            <v>Evli-Rahastoyhtiö Oy</v>
          </cell>
        </row>
        <row r="680">
          <cell r="B680" t="str">
            <v>07446590#117</v>
          </cell>
          <cell r="H680" t="str">
            <v>Evli-Rahastoyhtiö Oy</v>
          </cell>
        </row>
        <row r="681">
          <cell r="B681" t="str">
            <v>07446590#122</v>
          </cell>
          <cell r="H681" t="str">
            <v>Evli-Rahastoyhtiö Oy</v>
          </cell>
        </row>
        <row r="682">
          <cell r="B682" t="str">
            <v>07446590#123</v>
          </cell>
          <cell r="H682" t="str">
            <v>Evli-Rahastoyhtiö Oy</v>
          </cell>
        </row>
        <row r="683">
          <cell r="B683" t="str">
            <v>07446590#137</v>
          </cell>
          <cell r="H683" t="str">
            <v>Evli-Rahastoyhtiö Oy</v>
          </cell>
        </row>
        <row r="684">
          <cell r="B684" t="str">
            <v>07446590#139</v>
          </cell>
          <cell r="H684" t="str">
            <v>Evli-Rahastoyhtiö Oy</v>
          </cell>
        </row>
        <row r="685">
          <cell r="B685" t="str">
            <v>07446590#140</v>
          </cell>
          <cell r="H685" t="str">
            <v>Evli-Rahastoyhtiö Oy</v>
          </cell>
        </row>
        <row r="686">
          <cell r="B686" t="str">
            <v>07446590#142</v>
          </cell>
          <cell r="H686" t="str">
            <v>Evli-Rahastoyhtiö Oy</v>
          </cell>
        </row>
        <row r="687">
          <cell r="B687" t="str">
            <v>07446590#143</v>
          </cell>
          <cell r="H687" t="str">
            <v>Evli-Rahastoyhtiö Oy</v>
          </cell>
        </row>
        <row r="688">
          <cell r="B688" t="str">
            <v>07446590#146</v>
          </cell>
          <cell r="H688" t="str">
            <v>Evli-Rahastoyhtiö Oy</v>
          </cell>
        </row>
        <row r="689">
          <cell r="B689" t="str">
            <v>07446590#147</v>
          </cell>
          <cell r="H689" t="str">
            <v>Evli-Rahastoyhtiö Oy</v>
          </cell>
        </row>
        <row r="690">
          <cell r="B690" t="str">
            <v>07446590#148</v>
          </cell>
          <cell r="H690" t="str">
            <v>Evli-Rahastoyhtiö Oy</v>
          </cell>
        </row>
        <row r="691">
          <cell r="B691" t="str">
            <v>07446590#149</v>
          </cell>
          <cell r="H691" t="str">
            <v>Evli-Rahastoyhtiö Oy</v>
          </cell>
        </row>
        <row r="692">
          <cell r="B692" t="str">
            <v>07446590#151</v>
          </cell>
          <cell r="H692" t="str">
            <v>Evli-Rahastoyhtiö Oy</v>
          </cell>
        </row>
        <row r="693">
          <cell r="B693" t="str">
            <v>07446590#152</v>
          </cell>
          <cell r="H693" t="str">
            <v>Evli-Rahastoyhtiö Oy</v>
          </cell>
        </row>
        <row r="694">
          <cell r="B694" t="str">
            <v>07446590#153</v>
          </cell>
          <cell r="H694" t="str">
            <v>Evli-Rahastoyhtiö Oy</v>
          </cell>
        </row>
        <row r="695">
          <cell r="B695" t="str">
            <v>07446590#154</v>
          </cell>
          <cell r="H695" t="str">
            <v>Evli-Rahastoyhtiö Oy</v>
          </cell>
        </row>
        <row r="696">
          <cell r="B696" t="str">
            <v>07446590#155</v>
          </cell>
          <cell r="H696" t="str">
            <v>Evli-Rahastoyhtiö Oy</v>
          </cell>
        </row>
        <row r="697">
          <cell r="B697" t="str">
            <v>07446590#156</v>
          </cell>
          <cell r="H697" t="str">
            <v>Evli-Rahastoyhtiö Oy</v>
          </cell>
        </row>
        <row r="698">
          <cell r="B698" t="str">
            <v>07446590#157</v>
          </cell>
          <cell r="H698" t="str">
            <v>Evli-Rahastoyhtiö Oy</v>
          </cell>
        </row>
        <row r="699">
          <cell r="B699" t="str">
            <v>07446590#158</v>
          </cell>
          <cell r="H699" t="str">
            <v>Evli-Rahastoyhtiö Oy</v>
          </cell>
        </row>
        <row r="700">
          <cell r="B700" t="str">
            <v>07446590#159</v>
          </cell>
          <cell r="H700" t="str">
            <v>Evli-Rahastoyhtiö Oy</v>
          </cell>
        </row>
        <row r="701">
          <cell r="B701" t="str">
            <v>07446590#160</v>
          </cell>
          <cell r="H701" t="str">
            <v>Evli-Rahastoyhtiö Oy</v>
          </cell>
        </row>
        <row r="702">
          <cell r="B702" t="str">
            <v>07446590#162</v>
          </cell>
          <cell r="H702" t="str">
            <v>Evli-Rahastoyhtiö Oy</v>
          </cell>
        </row>
        <row r="703">
          <cell r="B703" t="str">
            <v>07446590#163</v>
          </cell>
          <cell r="H703" t="str">
            <v>Evli-Rahastoyhtiö Oy</v>
          </cell>
        </row>
        <row r="704">
          <cell r="B704" t="str">
            <v>07446590#164</v>
          </cell>
          <cell r="H704" t="str">
            <v>Evli-Rahastoyhtiö Oy</v>
          </cell>
        </row>
        <row r="705">
          <cell r="B705" t="str">
            <v>07446590#165</v>
          </cell>
          <cell r="H705" t="str">
            <v>Evli-Rahastoyhtiö Oy</v>
          </cell>
        </row>
        <row r="706">
          <cell r="B706" t="str">
            <v>07446590#166</v>
          </cell>
          <cell r="H706" t="str">
            <v>Evli-Rahastoyhtiö Oy</v>
          </cell>
        </row>
        <row r="707">
          <cell r="B707" t="str">
            <v>07446590#167</v>
          </cell>
          <cell r="H707" t="str">
            <v>Evli-Rahastoyhtiö Oy</v>
          </cell>
        </row>
        <row r="708">
          <cell r="B708" t="str">
            <v>07446590#168</v>
          </cell>
          <cell r="H708" t="str">
            <v>Evli-Rahastoyhtiö Oy</v>
          </cell>
        </row>
        <row r="709">
          <cell r="B709" t="str">
            <v>07446590#169</v>
          </cell>
          <cell r="H709" t="str">
            <v>Evli-Rahastoyhtiö Oy</v>
          </cell>
        </row>
        <row r="710">
          <cell r="B710" t="str">
            <v>07446590#170</v>
          </cell>
          <cell r="H710" t="str">
            <v>Evli-Rahastoyhtiö Oy</v>
          </cell>
        </row>
        <row r="711">
          <cell r="B711" t="str">
            <v>07446590#171</v>
          </cell>
          <cell r="H711" t="str">
            <v>Evli-Rahastoyhtiö Oy</v>
          </cell>
        </row>
        <row r="712">
          <cell r="B712" t="str">
            <v>07446590#172</v>
          </cell>
          <cell r="H712" t="str">
            <v>Evli-Rahastoyhtiö Oy</v>
          </cell>
        </row>
        <row r="713">
          <cell r="B713" t="str">
            <v>07446590#173</v>
          </cell>
          <cell r="H713" t="str">
            <v>Evli-Rahastoyhtiö Oy</v>
          </cell>
        </row>
        <row r="714">
          <cell r="B714" t="str">
            <v>07446590#174</v>
          </cell>
          <cell r="H714" t="str">
            <v>Evli-Rahastoyhtiö Oy</v>
          </cell>
        </row>
        <row r="715">
          <cell r="B715" t="str">
            <v>07446590#175</v>
          </cell>
          <cell r="H715" t="str">
            <v>Evli-Rahastoyhtiö Oy</v>
          </cell>
        </row>
        <row r="716">
          <cell r="B716" t="str">
            <v>07490276#012</v>
          </cell>
          <cell r="H716" t="str">
            <v>CapMan Capital Management Oy</v>
          </cell>
        </row>
        <row r="717">
          <cell r="B717" t="str">
            <v>07612464#001</v>
          </cell>
          <cell r="H717" t="str">
            <v>Sponsor Capital Oy</v>
          </cell>
        </row>
        <row r="718">
          <cell r="B718" t="str">
            <v>07612464#003</v>
          </cell>
          <cell r="H718" t="str">
            <v>Sponsor Capital Oy</v>
          </cell>
        </row>
        <row r="719">
          <cell r="B719" t="str">
            <v>07612464#004</v>
          </cell>
          <cell r="H719" t="str">
            <v>Sponsor Capital Oy</v>
          </cell>
        </row>
        <row r="720">
          <cell r="B720" t="str">
            <v>08668558#001</v>
          </cell>
          <cell r="H720" t="str">
            <v>Nordia Management Oy</v>
          </cell>
        </row>
        <row r="721">
          <cell r="B721" t="str">
            <v>08668558#002</v>
          </cell>
          <cell r="H721" t="str">
            <v>Nordia Management Oy</v>
          </cell>
        </row>
        <row r="722">
          <cell r="B722" t="str">
            <v>08718295#003</v>
          </cell>
          <cell r="H722" t="str">
            <v>Aboa Venture Management Oy</v>
          </cell>
        </row>
        <row r="723">
          <cell r="B723" t="str">
            <v>08718295#004</v>
          </cell>
          <cell r="H723" t="str">
            <v>Aboa Venture Management Oy</v>
          </cell>
        </row>
        <row r="724">
          <cell r="B724" t="str">
            <v>09791339#096</v>
          </cell>
          <cell r="H724" t="str">
            <v>S-Pankki Rahastoyhtiö Oy</v>
          </cell>
        </row>
        <row r="725">
          <cell r="B725" t="str">
            <v>09791339#097</v>
          </cell>
          <cell r="H725" t="str">
            <v>S-Pankki Rahastoyhtiö Oy</v>
          </cell>
        </row>
        <row r="726">
          <cell r="B726" t="str">
            <v>09791339#098</v>
          </cell>
          <cell r="H726" t="str">
            <v>S-Pankki Rahastoyhtiö Oy</v>
          </cell>
        </row>
        <row r="727">
          <cell r="B727" t="str">
            <v>09791339#099</v>
          </cell>
          <cell r="H727" t="str">
            <v>S-Pankki Rahastoyhtiö Oy</v>
          </cell>
        </row>
        <row r="728">
          <cell r="B728" t="str">
            <v>09791339#100</v>
          </cell>
          <cell r="H728" t="str">
            <v>S-Pankki Rahastoyhtiö Oy</v>
          </cell>
        </row>
        <row r="729">
          <cell r="B729" t="str">
            <v>09791339#101</v>
          </cell>
          <cell r="H729" t="str">
            <v>S-Pankki Rahastoyhtiö Oy</v>
          </cell>
        </row>
        <row r="730">
          <cell r="B730" t="str">
            <v>09791339#102</v>
          </cell>
          <cell r="H730" t="str">
            <v>S-Pankki Rahastoyhtiö Oy</v>
          </cell>
        </row>
        <row r="731">
          <cell r="B731" t="str">
            <v>09791339#103</v>
          </cell>
          <cell r="H731" t="str">
            <v>S-Pankki Rahastoyhtiö Oy</v>
          </cell>
        </row>
        <row r="732">
          <cell r="B732" t="str">
            <v>09791339#104</v>
          </cell>
          <cell r="H732" t="str">
            <v>S-Pankki Rahastoyhtiö Oy</v>
          </cell>
        </row>
        <row r="733">
          <cell r="B733" t="str">
            <v>09791339#105</v>
          </cell>
          <cell r="H733" t="str">
            <v>S-Pankki Rahastoyhtiö Oy</v>
          </cell>
        </row>
        <row r="734">
          <cell r="B734" t="str">
            <v>09791339#106</v>
          </cell>
          <cell r="H734" t="str">
            <v>S-Pankki Rahastoyhtiö Oy</v>
          </cell>
        </row>
        <row r="735">
          <cell r="B735" t="str">
            <v>09791339#107</v>
          </cell>
          <cell r="H735" t="str">
            <v>S-Pankki Rahastoyhtiö Oy</v>
          </cell>
        </row>
        <row r="736">
          <cell r="B736" t="str">
            <v>09791339#108</v>
          </cell>
          <cell r="H736" t="str">
            <v>S-Pankki Rahastoyhtiö Oy</v>
          </cell>
        </row>
        <row r="737">
          <cell r="B737" t="str">
            <v>09791339#109</v>
          </cell>
          <cell r="H737" t="str">
            <v>S-Pankki Rahastoyhtiö Oy</v>
          </cell>
        </row>
        <row r="738">
          <cell r="B738" t="str">
            <v>09791339#110</v>
          </cell>
          <cell r="H738" t="str">
            <v>S-Pankki Rahastoyhtiö Oy</v>
          </cell>
        </row>
        <row r="739">
          <cell r="B739" t="str">
            <v>14713626#040</v>
          </cell>
          <cell r="H739" t="str">
            <v>Ålandsbanken Fondbolag Ab</v>
          </cell>
        </row>
        <row r="740">
          <cell r="B740" t="str">
            <v>14713626#050</v>
          </cell>
          <cell r="H740" t="str">
            <v>Ålandsbanken Fondbolag Ab</v>
          </cell>
        </row>
        <row r="741">
          <cell r="B741" t="str">
            <v>14713626#051</v>
          </cell>
          <cell r="H741" t="str">
            <v>Ålandsbanken Fondbolag Ab</v>
          </cell>
        </row>
        <row r="742">
          <cell r="B742" t="str">
            <v>15793816#002</v>
          </cell>
          <cell r="H742" t="str">
            <v>Nexit Ventures Oy</v>
          </cell>
        </row>
        <row r="743">
          <cell r="B743" t="str">
            <v>16172050#001</v>
          </cell>
          <cell r="H743" t="str">
            <v>LähiTapiola Vaihtoehtorahastot Oy</v>
          </cell>
        </row>
        <row r="744">
          <cell r="B744" t="str">
            <v>16172050#003</v>
          </cell>
          <cell r="H744" t="str">
            <v>LähiTapiola Vaihtoehtorahastot Oy</v>
          </cell>
        </row>
        <row r="745">
          <cell r="B745" t="str">
            <v>16172050#004</v>
          </cell>
          <cell r="H745" t="str">
            <v>LähiTapiola Vaihtoehtorahastot Oy</v>
          </cell>
        </row>
        <row r="746">
          <cell r="B746" t="str">
            <v>16172050#010</v>
          </cell>
          <cell r="H746" t="str">
            <v>LähiTapiola Vaihtoehtorahastot Oy</v>
          </cell>
        </row>
        <row r="747">
          <cell r="B747" t="str">
            <v>16172050#011</v>
          </cell>
          <cell r="H747" t="str">
            <v>LähiTapiola Vaihtoehtorahastot Oy</v>
          </cell>
        </row>
        <row r="748">
          <cell r="B748" t="str">
            <v>16172050#012</v>
          </cell>
          <cell r="H748" t="str">
            <v>LähiTapiola Vaihtoehtorahastot Oy</v>
          </cell>
        </row>
        <row r="749">
          <cell r="B749" t="str">
            <v>16172050#019</v>
          </cell>
          <cell r="H749" t="str">
            <v>LähiTapiola Vaihtoehtorahastot Oy</v>
          </cell>
        </row>
        <row r="750">
          <cell r="B750" t="str">
            <v>16172050#020</v>
          </cell>
          <cell r="H750" t="str">
            <v>LähiTapiola Vaihtoehtorahastot Oy</v>
          </cell>
        </row>
        <row r="751">
          <cell r="B751" t="str">
            <v>16172050#021</v>
          </cell>
          <cell r="H751" t="str">
            <v>LähiTapiola Vaihtoehtorahastot Oy</v>
          </cell>
        </row>
        <row r="752">
          <cell r="B752" t="str">
            <v>16172050#022</v>
          </cell>
          <cell r="H752" t="str">
            <v>LähiTapiola Vaihtoehtorahastot Oy</v>
          </cell>
        </row>
        <row r="753">
          <cell r="B753" t="str">
            <v>16172050#023</v>
          </cell>
          <cell r="H753" t="str">
            <v>LähiTapiola Vaihtoehtorahastot Oy</v>
          </cell>
        </row>
        <row r="754">
          <cell r="B754" t="str">
            <v>16172050#024</v>
          </cell>
          <cell r="H754" t="str">
            <v>LähiTapiola Vaihtoehtorahastot Oy</v>
          </cell>
        </row>
        <row r="755">
          <cell r="B755" t="str">
            <v>16172050#030</v>
          </cell>
          <cell r="H755" t="str">
            <v>LähiTapiola Vaihtoehtorahastot Oy</v>
          </cell>
        </row>
        <row r="756">
          <cell r="B756" t="str">
            <v>16172050#031</v>
          </cell>
          <cell r="H756" t="str">
            <v>LähiTapiola Vaihtoehtorahastot Oy</v>
          </cell>
        </row>
        <row r="757">
          <cell r="B757" t="str">
            <v>16172050#032</v>
          </cell>
          <cell r="H757" t="str">
            <v>LähiTapiola Vaihtoehtorahastot Oy</v>
          </cell>
        </row>
        <row r="758">
          <cell r="B758" t="str">
            <v>16172050#033</v>
          </cell>
          <cell r="H758" t="str">
            <v>LähiTapiola Vaihtoehtorahastot Oy</v>
          </cell>
        </row>
        <row r="759">
          <cell r="B759" t="str">
            <v>16172050#034</v>
          </cell>
          <cell r="H759" t="str">
            <v>LähiTapiola Vaihtoehtorahastot Oy</v>
          </cell>
        </row>
        <row r="760">
          <cell r="B760" t="str">
            <v>16172050#035</v>
          </cell>
          <cell r="H760" t="str">
            <v>LähiTapiola Vaihtoehtorahastot Oy</v>
          </cell>
        </row>
        <row r="761">
          <cell r="B761" t="str">
            <v>16172050#036</v>
          </cell>
          <cell r="H761" t="str">
            <v>LähiTapiola Vaihtoehtorahastot Oy</v>
          </cell>
        </row>
        <row r="762">
          <cell r="B762" t="str">
            <v>16172050#037</v>
          </cell>
          <cell r="H762" t="str">
            <v>LähiTapiola Vaihtoehtorahastot Oy</v>
          </cell>
        </row>
        <row r="763">
          <cell r="B763" t="str">
            <v>16447843#001</v>
          </cell>
          <cell r="H763" t="str">
            <v>Midinvest Management Oy</v>
          </cell>
        </row>
        <row r="764">
          <cell r="B764" t="str">
            <v>16447843#007</v>
          </cell>
          <cell r="H764" t="str">
            <v>Midinvest Management Oy</v>
          </cell>
        </row>
        <row r="765">
          <cell r="B765" t="str">
            <v>17900152#002</v>
          </cell>
          <cell r="H765" t="str">
            <v>VNT Management Oy</v>
          </cell>
        </row>
        <row r="766">
          <cell r="B766" t="str">
            <v>17900152#003</v>
          </cell>
          <cell r="H766" t="str">
            <v>VNT Management Oy</v>
          </cell>
        </row>
        <row r="767">
          <cell r="B767" t="str">
            <v>18212730#001</v>
          </cell>
          <cell r="H767" t="str">
            <v>Taitokaari Property Management Oy</v>
          </cell>
        </row>
        <row r="768">
          <cell r="B768" t="str">
            <v>18212730#002</v>
          </cell>
          <cell r="H768" t="str">
            <v>Taitokaari Property Management Oy</v>
          </cell>
        </row>
        <row r="769">
          <cell r="B769" t="str">
            <v>18212730#003</v>
          </cell>
          <cell r="H769" t="str">
            <v>Taitokaari Property Management Oy</v>
          </cell>
        </row>
        <row r="770">
          <cell r="B770" t="str">
            <v>18212730#004</v>
          </cell>
          <cell r="H770" t="str">
            <v>Taitokaari Property Management Oy</v>
          </cell>
        </row>
        <row r="771">
          <cell r="B771" t="str">
            <v>19011500#001</v>
          </cell>
          <cell r="H771" t="str">
            <v>CapMan Classic GP Oy</v>
          </cell>
        </row>
        <row r="772">
          <cell r="B772" t="str">
            <v>19011500#002</v>
          </cell>
          <cell r="H772" t="str">
            <v>CapMan Classic GP Oy</v>
          </cell>
        </row>
        <row r="773">
          <cell r="B773" t="str">
            <v>19011500#003</v>
          </cell>
          <cell r="H773" t="str">
            <v>CapMan Classic GP Oy</v>
          </cell>
        </row>
        <row r="774">
          <cell r="B774" t="str">
            <v>19011500#007</v>
          </cell>
          <cell r="H774" t="str">
            <v>CapMan Classic GP Oy</v>
          </cell>
        </row>
        <row r="775">
          <cell r="B775" t="str">
            <v>19076208#001</v>
          </cell>
          <cell r="H775" t="str">
            <v>Sentica Partners Oy</v>
          </cell>
        </row>
        <row r="776">
          <cell r="B776" t="str">
            <v>19076208#004</v>
          </cell>
          <cell r="H776" t="str">
            <v>Sentica Partners Oy</v>
          </cell>
        </row>
        <row r="777">
          <cell r="B777" t="str">
            <v>19076208#005</v>
          </cell>
          <cell r="H777" t="str">
            <v>Sentica Partners Oy</v>
          </cell>
        </row>
        <row r="778">
          <cell r="B778" t="str">
            <v>19076208#008</v>
          </cell>
          <cell r="H778" t="str">
            <v>Sentica Partners Oy</v>
          </cell>
        </row>
        <row r="779">
          <cell r="B779" t="str">
            <v>19076208#009</v>
          </cell>
          <cell r="H779" t="str">
            <v>Sentica Partners Oy</v>
          </cell>
        </row>
        <row r="780">
          <cell r="B780" t="str">
            <v>19076208#010</v>
          </cell>
          <cell r="H780" t="str">
            <v>Sentica Partners Oy</v>
          </cell>
        </row>
        <row r="781">
          <cell r="B781" t="str">
            <v>19076208#011</v>
          </cell>
          <cell r="H781" t="str">
            <v>Sentica Partners Oy</v>
          </cell>
        </row>
        <row r="782">
          <cell r="B782" t="str">
            <v>19076208#012</v>
          </cell>
          <cell r="H782" t="str">
            <v>Sentica Partners Oy</v>
          </cell>
        </row>
        <row r="783">
          <cell r="B783" t="str">
            <v>19076208#013</v>
          </cell>
          <cell r="H783" t="str">
            <v>Sentica Partners Oy</v>
          </cell>
        </row>
        <row r="784">
          <cell r="B784" t="str">
            <v>19790751#002</v>
          </cell>
          <cell r="H784" t="str">
            <v>Onventure Oy</v>
          </cell>
        </row>
        <row r="785">
          <cell r="B785" t="str">
            <v>19790751#003</v>
          </cell>
          <cell r="H785" t="str">
            <v>Onventure Oy</v>
          </cell>
        </row>
        <row r="786">
          <cell r="B786" t="str">
            <v>19790751#004</v>
          </cell>
          <cell r="H786" t="str">
            <v>Onventure Oy</v>
          </cell>
        </row>
        <row r="787">
          <cell r="B787" t="str">
            <v>19790751#005</v>
          </cell>
          <cell r="H787" t="str">
            <v>Onventure Oy</v>
          </cell>
        </row>
        <row r="788">
          <cell r="B788" t="str">
            <v>19790751#006</v>
          </cell>
          <cell r="H788" t="str">
            <v>Onventure Oy</v>
          </cell>
        </row>
        <row r="789">
          <cell r="B789" t="str">
            <v>19880781#005</v>
          </cell>
          <cell r="H789" t="str">
            <v>Dasos Capital Oy</v>
          </cell>
        </row>
        <row r="790">
          <cell r="B790" t="str">
            <v>20377374#003</v>
          </cell>
          <cell r="H790" t="str">
            <v>Korona Invest Oy</v>
          </cell>
        </row>
        <row r="791">
          <cell r="B791" t="str">
            <v>20377374#004</v>
          </cell>
          <cell r="H791" t="str">
            <v>Korona Invest Oy</v>
          </cell>
        </row>
        <row r="792">
          <cell r="B792" t="str">
            <v>20377374#005</v>
          </cell>
          <cell r="H792" t="str">
            <v>Korona Invest Oy</v>
          </cell>
        </row>
        <row r="793">
          <cell r="B793" t="str">
            <v>20628401#045</v>
          </cell>
          <cell r="H793" t="str">
            <v>Aktia Rahastoyhtiö Oy</v>
          </cell>
        </row>
        <row r="794">
          <cell r="B794" t="str">
            <v>20628401#046</v>
          </cell>
          <cell r="H794" t="str">
            <v>Aktia Rahastoyhtiö Oy</v>
          </cell>
        </row>
        <row r="795">
          <cell r="B795" t="str">
            <v>20628401#047</v>
          </cell>
          <cell r="H795" t="str">
            <v>Aktia Rahastoyhtiö Oy</v>
          </cell>
        </row>
        <row r="796">
          <cell r="B796" t="str">
            <v>20628401#048</v>
          </cell>
          <cell r="H796" t="str">
            <v>Aktia Rahastoyhtiö Oy</v>
          </cell>
        </row>
        <row r="797">
          <cell r="B797" t="str">
            <v>20628401#049</v>
          </cell>
          <cell r="H797" t="str">
            <v>Aktia Rahastoyhtiö Oy</v>
          </cell>
        </row>
        <row r="798">
          <cell r="B798" t="str">
            <v>20628401#053</v>
          </cell>
          <cell r="H798" t="str">
            <v>Aktia Rahastoyhtiö Oy</v>
          </cell>
        </row>
        <row r="799">
          <cell r="B799" t="str">
            <v>20628401#054</v>
          </cell>
          <cell r="H799" t="str">
            <v>Aktia Rahastoyhtiö Oy</v>
          </cell>
        </row>
        <row r="800">
          <cell r="B800" t="str">
            <v>20628401#055</v>
          </cell>
          <cell r="H800" t="str">
            <v>Aktia Rahastoyhtiö Oy</v>
          </cell>
        </row>
        <row r="801">
          <cell r="B801" t="str">
            <v>20628401#056</v>
          </cell>
          <cell r="H801" t="str">
            <v>Aktia Rahastoyhtiö Oy</v>
          </cell>
        </row>
        <row r="802">
          <cell r="B802" t="str">
            <v>20628401#057</v>
          </cell>
          <cell r="H802" t="str">
            <v>Aktia Rahastoyhtiö Oy</v>
          </cell>
        </row>
        <row r="803">
          <cell r="B803" t="str">
            <v>20628401#103</v>
          </cell>
          <cell r="H803" t="str">
            <v>Aktia Rahastoyhtiö Oy</v>
          </cell>
        </row>
        <row r="804">
          <cell r="B804" t="str">
            <v>20628401#104</v>
          </cell>
          <cell r="H804" t="str">
            <v>Aktia Rahastoyhtiö Oy</v>
          </cell>
        </row>
        <row r="805">
          <cell r="B805" t="str">
            <v>20628401#105</v>
          </cell>
          <cell r="H805" t="str">
            <v>Aktia Rahastoyhtiö Oy</v>
          </cell>
        </row>
        <row r="806">
          <cell r="B806" t="str">
            <v>20628401#106</v>
          </cell>
          <cell r="H806" t="str">
            <v>Aktia Rahastoyhtiö Oy</v>
          </cell>
        </row>
        <row r="807">
          <cell r="B807" t="str">
            <v>20628401#107</v>
          </cell>
          <cell r="H807" t="str">
            <v>Aktia Rahastoyhtiö Oy</v>
          </cell>
        </row>
        <row r="808">
          <cell r="B808" t="str">
            <v>20628401#110</v>
          </cell>
          <cell r="H808" t="str">
            <v>Aktia Rahastoyhtiö Oy</v>
          </cell>
        </row>
        <row r="809">
          <cell r="B809" t="str">
            <v>20628401#116</v>
          </cell>
          <cell r="H809" t="str">
            <v>Aktia Rahastoyhtiö Oy</v>
          </cell>
        </row>
        <row r="810">
          <cell r="B810" t="str">
            <v>20628401#117</v>
          </cell>
          <cell r="H810" t="str">
            <v>Aktia Rahastoyhtiö Oy</v>
          </cell>
        </row>
        <row r="811">
          <cell r="B811" t="str">
            <v>20628401#118</v>
          </cell>
          <cell r="H811" t="str">
            <v>Aktia Rahastoyhtiö Oy</v>
          </cell>
        </row>
        <row r="812">
          <cell r="B812" t="str">
            <v>20628401#119</v>
          </cell>
          <cell r="H812" t="str">
            <v>Aktia Rahastoyhtiö Oy</v>
          </cell>
        </row>
        <row r="813">
          <cell r="B813" t="str">
            <v>20628401#120</v>
          </cell>
          <cell r="H813" t="str">
            <v>Aktia Rahastoyhtiö Oy</v>
          </cell>
        </row>
        <row r="814">
          <cell r="B814" t="str">
            <v>20741519#001</v>
          </cell>
          <cell r="H814" t="str">
            <v>LähiTapiola Kiinteistövarainhoito Oy</v>
          </cell>
        </row>
        <row r="815">
          <cell r="B815" t="str">
            <v>20741519#002</v>
          </cell>
          <cell r="H815" t="str">
            <v>LähiTapiola Kiinteistövarainhoito Oy</v>
          </cell>
        </row>
        <row r="816">
          <cell r="B816" t="str">
            <v>20741519#004</v>
          </cell>
          <cell r="H816" t="str">
            <v>LähiTapiola Kiinteistövarainhoito Oy</v>
          </cell>
        </row>
        <row r="817">
          <cell r="B817" t="str">
            <v>21181015#025</v>
          </cell>
          <cell r="H817" t="str">
            <v>UB Rahastoyhtiö Oy</v>
          </cell>
        </row>
        <row r="818">
          <cell r="B818" t="str">
            <v>21181015#035</v>
          </cell>
          <cell r="H818" t="str">
            <v>UB Rahastoyhtiö Oy</v>
          </cell>
        </row>
        <row r="819">
          <cell r="B819" t="str">
            <v>21181015#036</v>
          </cell>
          <cell r="H819" t="str">
            <v>UB Rahastoyhtiö Oy</v>
          </cell>
        </row>
        <row r="820">
          <cell r="B820" t="str">
            <v>21181015#037</v>
          </cell>
          <cell r="H820" t="str">
            <v>UB Rahastoyhtiö Oy</v>
          </cell>
        </row>
        <row r="821">
          <cell r="B821" t="str">
            <v>21181015#039</v>
          </cell>
          <cell r="H821" t="str">
            <v>UB Rahastoyhtiö Oy</v>
          </cell>
        </row>
        <row r="822">
          <cell r="B822" t="str">
            <v>21181015#040</v>
          </cell>
          <cell r="H822" t="str">
            <v>UB Rahastoyhtiö Oy</v>
          </cell>
        </row>
        <row r="823">
          <cell r="B823" t="str">
            <v>21181015#041</v>
          </cell>
          <cell r="H823" t="str">
            <v>UB Rahastoyhtiö Oy</v>
          </cell>
        </row>
        <row r="824">
          <cell r="B824" t="str">
            <v>21181015#044</v>
          </cell>
          <cell r="H824" t="str">
            <v>UB Rahastoyhtiö Oy</v>
          </cell>
        </row>
        <row r="825">
          <cell r="B825" t="str">
            <v>21181015#046</v>
          </cell>
          <cell r="H825" t="str">
            <v>UB Rahastoyhtiö Oy</v>
          </cell>
        </row>
        <row r="826">
          <cell r="B826" t="str">
            <v>21181015#050</v>
          </cell>
          <cell r="H826" t="str">
            <v>UB Rahastoyhtiö Oy</v>
          </cell>
        </row>
        <row r="827">
          <cell r="B827" t="str">
            <v>21181015#051</v>
          </cell>
          <cell r="H827" t="str">
            <v>UB Rahastoyhtiö Oy</v>
          </cell>
        </row>
        <row r="828">
          <cell r="B828" t="str">
            <v>21181015#053</v>
          </cell>
          <cell r="H828" t="str">
            <v>UB Rahastoyhtiö Oy</v>
          </cell>
        </row>
        <row r="829">
          <cell r="B829" t="str">
            <v>21228450#001</v>
          </cell>
          <cell r="H829" t="str">
            <v>MB Partners II Oy</v>
          </cell>
        </row>
        <row r="830">
          <cell r="B830" t="str">
            <v>21283126#020</v>
          </cell>
          <cell r="H830" t="str">
            <v>Vaaka Partners Oy</v>
          </cell>
        </row>
        <row r="831">
          <cell r="B831" t="str">
            <v>21283126#021</v>
          </cell>
          <cell r="H831" t="str">
            <v>Vaaka Partners Oy</v>
          </cell>
        </row>
        <row r="832">
          <cell r="B832" t="str">
            <v>21283126#022</v>
          </cell>
          <cell r="H832" t="str">
            <v>Vaaka Partners Oy</v>
          </cell>
        </row>
        <row r="833">
          <cell r="B833" t="str">
            <v>21283126#023</v>
          </cell>
          <cell r="H833" t="str">
            <v>Vaaka Partners Oy</v>
          </cell>
        </row>
        <row r="834">
          <cell r="B834" t="str">
            <v>21283126#024</v>
          </cell>
          <cell r="H834" t="str">
            <v>Vaaka Partners Oy</v>
          </cell>
        </row>
        <row r="835">
          <cell r="B835" t="str">
            <v>21520937#001</v>
          </cell>
          <cell r="H835" t="str">
            <v>Folmer Management Oy</v>
          </cell>
        </row>
        <row r="836">
          <cell r="B836" t="str">
            <v>21520937#002</v>
          </cell>
          <cell r="H836" t="str">
            <v>Folmer Management Oy</v>
          </cell>
        </row>
        <row r="837">
          <cell r="B837" t="str">
            <v>21520937#003</v>
          </cell>
          <cell r="H837" t="str">
            <v>Folmer Management Oy</v>
          </cell>
        </row>
        <row r="838">
          <cell r="B838" t="str">
            <v>21539603#001</v>
          </cell>
          <cell r="H838" t="str">
            <v>Avara Rahastot Oy</v>
          </cell>
        </row>
        <row r="839">
          <cell r="B839" t="str">
            <v>21539603#002</v>
          </cell>
          <cell r="H839" t="str">
            <v>Avara Rahastot Oy</v>
          </cell>
        </row>
        <row r="840">
          <cell r="B840" t="str">
            <v>21539603#003</v>
          </cell>
          <cell r="H840" t="str">
            <v>Avara Rahastot Oy</v>
          </cell>
        </row>
        <row r="841">
          <cell r="B841" t="str">
            <v>21539603#004</v>
          </cell>
          <cell r="H841" t="str">
            <v>Avara Rahastot Oy</v>
          </cell>
        </row>
        <row r="842">
          <cell r="B842" t="str">
            <v>21539603#005</v>
          </cell>
          <cell r="H842" t="str">
            <v>Avara Rahastot Oy</v>
          </cell>
        </row>
        <row r="843">
          <cell r="B843" t="str">
            <v>21539603#006</v>
          </cell>
          <cell r="H843" t="str">
            <v>Avara Rahastot Oy</v>
          </cell>
        </row>
        <row r="844">
          <cell r="B844" t="str">
            <v>21539603#007</v>
          </cell>
          <cell r="H844" t="str">
            <v>Avara Rahastot Oy</v>
          </cell>
        </row>
        <row r="845">
          <cell r="B845" t="str">
            <v>22032150#001</v>
          </cell>
          <cell r="H845" t="str">
            <v>ICECAPITAL REAM Oy</v>
          </cell>
        </row>
        <row r="846">
          <cell r="B846" t="str">
            <v>22032150#002</v>
          </cell>
          <cell r="H846" t="str">
            <v>ICECAPITAL REAM Oy</v>
          </cell>
        </row>
        <row r="847">
          <cell r="B847" t="str">
            <v>22032150#013</v>
          </cell>
          <cell r="H847" t="str">
            <v>ICECAPITAL REAM Oy</v>
          </cell>
        </row>
        <row r="848">
          <cell r="B848" t="str">
            <v>22032150#014</v>
          </cell>
          <cell r="H848" t="str">
            <v>ICECAPITAL REAM Oy</v>
          </cell>
        </row>
        <row r="849">
          <cell r="B849" t="str">
            <v>22032150#015</v>
          </cell>
          <cell r="H849" t="str">
            <v>ICECAPITAL REAM Oy</v>
          </cell>
        </row>
        <row r="850">
          <cell r="B850" t="str">
            <v>22032150#016</v>
          </cell>
          <cell r="H850" t="str">
            <v>ICECAPITAL REAM Oy</v>
          </cell>
        </row>
        <row r="851">
          <cell r="B851" t="str">
            <v>22032150#017</v>
          </cell>
          <cell r="H851" t="str">
            <v>ICECAPITAL REAM Oy</v>
          </cell>
        </row>
        <row r="852">
          <cell r="B852" t="str">
            <v>22245500#001</v>
          </cell>
          <cell r="H852" t="str">
            <v>Tesi Fund Management Oy</v>
          </cell>
        </row>
        <row r="853">
          <cell r="B853" t="str">
            <v>22245500#002</v>
          </cell>
          <cell r="H853" t="str">
            <v>Tesi Fund Management Oy</v>
          </cell>
        </row>
        <row r="854">
          <cell r="B854" t="str">
            <v>22245500#003</v>
          </cell>
          <cell r="H854" t="str">
            <v>Tesi Fund Management Oy</v>
          </cell>
        </row>
        <row r="855">
          <cell r="B855" t="str">
            <v>22245500#004</v>
          </cell>
          <cell r="H855" t="str">
            <v>Tesi Fund Management Oy</v>
          </cell>
        </row>
        <row r="856">
          <cell r="B856" t="str">
            <v>22245500#005</v>
          </cell>
          <cell r="H856" t="str">
            <v>Tesi Fund Management Oy</v>
          </cell>
        </row>
        <row r="857">
          <cell r="B857" t="str">
            <v>22307951#001</v>
          </cell>
          <cell r="H857" t="str">
            <v>Essedel Capital Partners Oy</v>
          </cell>
        </row>
        <row r="858">
          <cell r="B858" t="str">
            <v>22380761#004</v>
          </cell>
          <cell r="H858" t="str">
            <v>Canelco Management Oy</v>
          </cell>
        </row>
        <row r="859">
          <cell r="B859" t="str">
            <v>22380761#007</v>
          </cell>
          <cell r="H859" t="str">
            <v>Canelco Management Oy</v>
          </cell>
        </row>
        <row r="860">
          <cell r="B860" t="str">
            <v>22643277#001</v>
          </cell>
          <cell r="H860" t="str">
            <v>Taaleri Pääomarahastot Oy</v>
          </cell>
        </row>
        <row r="861">
          <cell r="B861" t="str">
            <v>22643277#007</v>
          </cell>
          <cell r="H861" t="str">
            <v>Taaleri Pääomarahastot Oy</v>
          </cell>
        </row>
        <row r="862">
          <cell r="B862" t="str">
            <v>22643277#009</v>
          </cell>
          <cell r="H862" t="str">
            <v>Taaleri Pääomarahastot Oy</v>
          </cell>
        </row>
        <row r="863">
          <cell r="B863" t="str">
            <v>22643277#013</v>
          </cell>
          <cell r="H863" t="str">
            <v>Taaleri Pääomarahastot Oy</v>
          </cell>
        </row>
        <row r="864">
          <cell r="B864" t="str">
            <v>22643277#015</v>
          </cell>
          <cell r="H864" t="str">
            <v>Taaleri Pääomarahastot Oy</v>
          </cell>
        </row>
        <row r="865">
          <cell r="B865" t="str">
            <v>22643277#017</v>
          </cell>
          <cell r="H865" t="str">
            <v>Taaleri Pääomarahastot Oy</v>
          </cell>
        </row>
        <row r="866">
          <cell r="B866" t="str">
            <v>22643277#021</v>
          </cell>
          <cell r="H866" t="str">
            <v>Taaleri Pääomarahastot Oy</v>
          </cell>
        </row>
        <row r="867">
          <cell r="B867" t="str">
            <v>22643277#022</v>
          </cell>
          <cell r="H867" t="str">
            <v>Taaleri Pääomarahastot Oy</v>
          </cell>
        </row>
        <row r="868">
          <cell r="B868" t="str">
            <v>22643277#023</v>
          </cell>
          <cell r="H868" t="str">
            <v>Taaleri Pääomarahastot Oy</v>
          </cell>
        </row>
        <row r="869">
          <cell r="B869" t="str">
            <v>22643277#024</v>
          </cell>
          <cell r="H869" t="str">
            <v>Taaleri Pääomarahastot Oy</v>
          </cell>
        </row>
        <row r="870">
          <cell r="B870" t="str">
            <v>22643277#025</v>
          </cell>
          <cell r="H870" t="str">
            <v>Taaleri Pääomarahastot Oy</v>
          </cell>
        </row>
        <row r="871">
          <cell r="B871" t="str">
            <v>22643277#026</v>
          </cell>
          <cell r="H871" t="str">
            <v>Taaleri Pääomarahastot Oy</v>
          </cell>
        </row>
        <row r="872">
          <cell r="B872" t="str">
            <v>22643277#027</v>
          </cell>
          <cell r="H872" t="str">
            <v>Taaleri Pääomarahastot Oy</v>
          </cell>
        </row>
        <row r="873">
          <cell r="B873" t="str">
            <v>22643277#028</v>
          </cell>
          <cell r="H873" t="str">
            <v>Taaleri Pääomarahastot Oy</v>
          </cell>
        </row>
        <row r="874">
          <cell r="B874" t="str">
            <v>22643277#029</v>
          </cell>
          <cell r="H874" t="str">
            <v>Taaleri Pääomarahastot Oy</v>
          </cell>
        </row>
        <row r="875">
          <cell r="B875" t="str">
            <v>22643277#030</v>
          </cell>
          <cell r="H875" t="str">
            <v>Taaleri Pääomarahastot Oy</v>
          </cell>
        </row>
        <row r="876">
          <cell r="B876" t="str">
            <v>22643277#032</v>
          </cell>
          <cell r="H876" t="str">
            <v>Taaleri Pääomarahastot Oy</v>
          </cell>
        </row>
        <row r="877">
          <cell r="B877" t="str">
            <v>22643277#034</v>
          </cell>
          <cell r="H877" t="str">
            <v>Taaleri Pääomarahastot Oy</v>
          </cell>
        </row>
        <row r="878">
          <cell r="B878" t="str">
            <v>22643277#035</v>
          </cell>
          <cell r="H878" t="str">
            <v>Taaleri Pääomarahastot Oy</v>
          </cell>
        </row>
        <row r="879">
          <cell r="B879" t="str">
            <v>22643277#036</v>
          </cell>
          <cell r="H879" t="str">
            <v>Taaleri Pääomarahastot Oy</v>
          </cell>
        </row>
        <row r="880">
          <cell r="B880" t="str">
            <v>22643277#037</v>
          </cell>
          <cell r="H880" t="str">
            <v>Taaleri Pääomarahastot Oy</v>
          </cell>
        </row>
        <row r="881">
          <cell r="B881" t="str">
            <v>22643277#038</v>
          </cell>
          <cell r="H881" t="str">
            <v>Taaleri Pääomarahastot Oy</v>
          </cell>
        </row>
        <row r="882">
          <cell r="B882" t="str">
            <v>22643277#039</v>
          </cell>
          <cell r="H882" t="str">
            <v>Taaleri Pääomarahastot Oy</v>
          </cell>
        </row>
        <row r="883">
          <cell r="B883" t="str">
            <v>22643277#040</v>
          </cell>
          <cell r="H883" t="str">
            <v>Taaleri Pääomarahastot Oy</v>
          </cell>
        </row>
        <row r="884">
          <cell r="B884" t="str">
            <v>22643277#042</v>
          </cell>
          <cell r="H884" t="str">
            <v>Taaleri Pääomarahastot Oy</v>
          </cell>
        </row>
        <row r="885">
          <cell r="B885" t="str">
            <v>22643277#043</v>
          </cell>
          <cell r="H885" t="str">
            <v>Taaleri Pääomarahastot Oy</v>
          </cell>
        </row>
        <row r="886">
          <cell r="B886" t="str">
            <v>22643277#044</v>
          </cell>
          <cell r="H886" t="str">
            <v>Taaleri Pääomarahastot Oy</v>
          </cell>
        </row>
        <row r="887">
          <cell r="B887" t="str">
            <v>22643277#045</v>
          </cell>
          <cell r="H887" t="str">
            <v>Taaleri Pääomarahastot Oy</v>
          </cell>
        </row>
        <row r="888">
          <cell r="B888" t="str">
            <v>22643277#046</v>
          </cell>
          <cell r="H888" t="str">
            <v>Taaleri Pääomarahastot Oy</v>
          </cell>
        </row>
        <row r="889">
          <cell r="B889" t="str">
            <v>22643277#047</v>
          </cell>
          <cell r="H889" t="str">
            <v>Taaleri Pääomarahastot Oy</v>
          </cell>
        </row>
        <row r="890">
          <cell r="B890" t="str">
            <v>22643277#048</v>
          </cell>
          <cell r="H890" t="str">
            <v>Taaleri Pääomarahastot Oy</v>
          </cell>
        </row>
        <row r="891">
          <cell r="B891" t="str">
            <v>22643277#049</v>
          </cell>
          <cell r="H891" t="str">
            <v>Taaleri Pääomarahastot Oy</v>
          </cell>
        </row>
        <row r="892">
          <cell r="B892" t="str">
            <v>22643277#054</v>
          </cell>
          <cell r="H892" t="str">
            <v>Taaleri Pääomarahastot Oy</v>
          </cell>
        </row>
        <row r="893">
          <cell r="B893" t="str">
            <v>22643277#055</v>
          </cell>
          <cell r="H893" t="str">
            <v>Taaleri Pääomarahastot Oy</v>
          </cell>
        </row>
        <row r="894">
          <cell r="B894" t="str">
            <v>22643277#056</v>
          </cell>
          <cell r="H894" t="str">
            <v>Taaleri Pääomarahastot Oy</v>
          </cell>
        </row>
        <row r="895">
          <cell r="B895" t="str">
            <v>22643277#057</v>
          </cell>
          <cell r="H895" t="str">
            <v>Taaleri Pääomarahastot Oy</v>
          </cell>
        </row>
        <row r="896">
          <cell r="B896" t="str">
            <v>22643277#058</v>
          </cell>
          <cell r="H896" t="str">
            <v>Taaleri Pääomarahastot Oy</v>
          </cell>
        </row>
        <row r="897">
          <cell r="B897" t="str">
            <v>22643277#059</v>
          </cell>
          <cell r="H897" t="str">
            <v>Taaleri Pääomarahastot Oy</v>
          </cell>
        </row>
        <row r="898">
          <cell r="B898" t="str">
            <v>22643277#060</v>
          </cell>
          <cell r="H898" t="str">
            <v>Taaleri Pääomarahastot Oy</v>
          </cell>
        </row>
        <row r="899">
          <cell r="B899" t="str">
            <v>22643277#061</v>
          </cell>
          <cell r="H899" t="str">
            <v>Taaleri Pääomarahastot Oy</v>
          </cell>
        </row>
        <row r="900">
          <cell r="B900" t="str">
            <v>22643277#062</v>
          </cell>
          <cell r="H900" t="str">
            <v>Taaleri Pääomarahastot Oy</v>
          </cell>
        </row>
        <row r="901">
          <cell r="B901" t="str">
            <v>22643277#063</v>
          </cell>
          <cell r="H901" t="str">
            <v>Taaleri Pääomarahastot Oy</v>
          </cell>
        </row>
        <row r="902">
          <cell r="B902" t="str">
            <v>22643277#064</v>
          </cell>
          <cell r="H902" t="str">
            <v>Taaleri Pääomarahastot Oy</v>
          </cell>
        </row>
        <row r="903">
          <cell r="B903" t="str">
            <v>22643277#065</v>
          </cell>
          <cell r="H903" t="str">
            <v>Taaleri Pääomarahastot Oy</v>
          </cell>
        </row>
        <row r="904">
          <cell r="B904" t="str">
            <v>22643277#066</v>
          </cell>
          <cell r="H904" t="str">
            <v>Taaleri Pääomarahastot Oy</v>
          </cell>
        </row>
        <row r="905">
          <cell r="B905" t="str">
            <v>22643277#072</v>
          </cell>
          <cell r="H905" t="str">
            <v>Taaleri Pääomarahastot Oy</v>
          </cell>
        </row>
        <row r="906">
          <cell r="B906" t="str">
            <v>22643277#073</v>
          </cell>
          <cell r="H906" t="str">
            <v>Taaleri Pääomarahastot Oy</v>
          </cell>
        </row>
        <row r="907">
          <cell r="B907" t="str">
            <v>22643277#074</v>
          </cell>
          <cell r="H907" t="str">
            <v>Taaleri Pääomarahastot Oy</v>
          </cell>
        </row>
        <row r="908">
          <cell r="B908" t="str">
            <v>22643277#075</v>
          </cell>
          <cell r="H908" t="str">
            <v>Taaleri Pääomarahastot Oy</v>
          </cell>
        </row>
        <row r="909">
          <cell r="B909" t="str">
            <v>22643277#076</v>
          </cell>
          <cell r="H909" t="str">
            <v>Taaleri Pääomarahastot Oy</v>
          </cell>
        </row>
        <row r="910">
          <cell r="B910" t="str">
            <v>22643277#077</v>
          </cell>
          <cell r="H910" t="str">
            <v>Taaleri Pääomarahastot Oy</v>
          </cell>
        </row>
        <row r="911">
          <cell r="B911" t="str">
            <v>22643277#079</v>
          </cell>
          <cell r="H911" t="str">
            <v>Taaleri Pääomarahastot Oy</v>
          </cell>
        </row>
        <row r="912">
          <cell r="B912" t="str">
            <v>22643277#080</v>
          </cell>
          <cell r="H912" t="str">
            <v>Taaleri Pääomarahastot Oy</v>
          </cell>
        </row>
        <row r="913">
          <cell r="B913" t="str">
            <v>22643277#081</v>
          </cell>
          <cell r="H913" t="str">
            <v>Taaleri Pääomarahastot Oy</v>
          </cell>
        </row>
        <row r="914">
          <cell r="B914" t="str">
            <v>22886797#002</v>
          </cell>
          <cell r="H914" t="str">
            <v>Nordic Game Fund Management Oy</v>
          </cell>
        </row>
        <row r="915">
          <cell r="B915" t="str">
            <v>22934349#001</v>
          </cell>
          <cell r="H915" t="str">
            <v>Open Ocean Capital Oy</v>
          </cell>
        </row>
        <row r="916">
          <cell r="B916" t="str">
            <v>22934349#002</v>
          </cell>
          <cell r="H916" t="str">
            <v>Open Ocean Capital Oy</v>
          </cell>
        </row>
        <row r="917">
          <cell r="B917" t="str">
            <v>23027732#001</v>
          </cell>
          <cell r="H917" t="str">
            <v>Conor Venture Partners Oy</v>
          </cell>
        </row>
        <row r="918">
          <cell r="B918" t="str">
            <v>23027732#004</v>
          </cell>
          <cell r="H918" t="str">
            <v>Conor Venture Partners Oy</v>
          </cell>
        </row>
        <row r="919">
          <cell r="B919" t="str">
            <v>23027732#005</v>
          </cell>
          <cell r="H919" t="str">
            <v>Conor Venture Partners Oy</v>
          </cell>
        </row>
        <row r="920">
          <cell r="B920" t="str">
            <v>23066336#005</v>
          </cell>
          <cell r="H920" t="str">
            <v>Armada Credit Partners Oy</v>
          </cell>
        </row>
        <row r="921">
          <cell r="B921" t="str">
            <v>23066336#006</v>
          </cell>
          <cell r="H921" t="str">
            <v>Armada Credit Partners Oy</v>
          </cell>
        </row>
        <row r="922">
          <cell r="B922" t="str">
            <v>23066336#007</v>
          </cell>
          <cell r="H922" t="str">
            <v>Armada Credit Partners Oy</v>
          </cell>
        </row>
        <row r="923">
          <cell r="B923" t="str">
            <v>23380405#001</v>
          </cell>
          <cell r="H923" t="str">
            <v>Royal Majestics Helsinki Oy</v>
          </cell>
        </row>
        <row r="924">
          <cell r="B924" t="str">
            <v>24137685#001</v>
          </cell>
          <cell r="H924" t="str">
            <v>Confido Kiinteistöhallinta Oy</v>
          </cell>
        </row>
        <row r="925">
          <cell r="B925" t="str">
            <v>24137685#002</v>
          </cell>
          <cell r="H925" t="str">
            <v>Confido Kiinteistöhallinta Oy</v>
          </cell>
        </row>
        <row r="926">
          <cell r="B926" t="str">
            <v>24137685#003</v>
          </cell>
          <cell r="H926" t="str">
            <v>Confido Kiinteistöhallinta Oy</v>
          </cell>
        </row>
        <row r="927">
          <cell r="B927" t="str">
            <v>24169855#001</v>
          </cell>
          <cell r="H927" t="str">
            <v>Certior Capital Oy</v>
          </cell>
        </row>
        <row r="928">
          <cell r="B928" t="str">
            <v>24169855#002</v>
          </cell>
          <cell r="H928" t="str">
            <v>Certior Capital Oy</v>
          </cell>
        </row>
        <row r="929">
          <cell r="B929" t="str">
            <v>24169855#003</v>
          </cell>
          <cell r="H929" t="str">
            <v>Certior Capital Oy</v>
          </cell>
        </row>
        <row r="930">
          <cell r="B930" t="str">
            <v>24169855#004</v>
          </cell>
          <cell r="H930" t="str">
            <v>Certior Capital Oy</v>
          </cell>
        </row>
        <row r="931">
          <cell r="B931" t="str">
            <v>24169855#006</v>
          </cell>
          <cell r="H931" t="str">
            <v>Certior Capital Oy</v>
          </cell>
        </row>
        <row r="932">
          <cell r="B932" t="str">
            <v>24169855#007</v>
          </cell>
          <cell r="H932" t="str">
            <v>Certior Capital Oy</v>
          </cell>
        </row>
        <row r="933">
          <cell r="B933" t="str">
            <v>24169855#008</v>
          </cell>
          <cell r="H933" t="str">
            <v>Certior Capital Oy</v>
          </cell>
        </row>
        <row r="934">
          <cell r="B934" t="str">
            <v>24478471#001</v>
          </cell>
          <cell r="H934" t="str">
            <v>Gorilla Ventures Oy</v>
          </cell>
        </row>
        <row r="935">
          <cell r="B935" t="str">
            <v>24597710#001</v>
          </cell>
          <cell r="H935" t="str">
            <v>Hamilton &amp; Cooper Properties Oy</v>
          </cell>
        </row>
        <row r="936">
          <cell r="B936" t="str">
            <v>24597710#002</v>
          </cell>
          <cell r="H936" t="str">
            <v>Hamilton &amp; Cooper Properties Oy</v>
          </cell>
        </row>
        <row r="937">
          <cell r="B937" t="str">
            <v>24631421#001</v>
          </cell>
          <cell r="H937" t="str">
            <v>VisionPlus Oyj</v>
          </cell>
        </row>
        <row r="938">
          <cell r="B938" t="str">
            <v>24641398#001</v>
          </cell>
          <cell r="H938" t="str">
            <v>Lifeline Ventures Fund Management Oy</v>
          </cell>
        </row>
        <row r="939">
          <cell r="B939" t="str">
            <v>24641398#002</v>
          </cell>
          <cell r="H939" t="str">
            <v>Lifeline Ventures Fund Management Oy</v>
          </cell>
        </row>
        <row r="940">
          <cell r="B940" t="str">
            <v>24641398#003</v>
          </cell>
          <cell r="H940" t="str">
            <v>Lifeline Ventures Fund Management Oy</v>
          </cell>
        </row>
        <row r="941">
          <cell r="B941" t="str">
            <v>24764259#001</v>
          </cell>
          <cell r="H941" t="str">
            <v>Butterfly Ventures Oy</v>
          </cell>
        </row>
        <row r="942">
          <cell r="B942" t="str">
            <v>24764259#002</v>
          </cell>
          <cell r="H942" t="str">
            <v>Butterfly Ventures Oy</v>
          </cell>
        </row>
        <row r="943">
          <cell r="B943" t="str">
            <v>24764259#003</v>
          </cell>
          <cell r="H943" t="str">
            <v>Butterfly Ventures Oy</v>
          </cell>
        </row>
        <row r="944">
          <cell r="B944" t="str">
            <v>24764259#004</v>
          </cell>
          <cell r="H944" t="str">
            <v>Butterfly Ventures Oy</v>
          </cell>
        </row>
        <row r="945">
          <cell r="B945" t="str">
            <v>24764259#005</v>
          </cell>
          <cell r="H945" t="str">
            <v>Butterfly Ventures Oy</v>
          </cell>
        </row>
        <row r="946">
          <cell r="B946" t="str">
            <v>24764259#006</v>
          </cell>
          <cell r="H946" t="str">
            <v>Butterfly Ventures Oy</v>
          </cell>
        </row>
        <row r="947">
          <cell r="B947" t="str">
            <v>24764259#007</v>
          </cell>
          <cell r="H947" t="str">
            <v>Butterfly Ventures Oy</v>
          </cell>
        </row>
        <row r="948">
          <cell r="B948" t="str">
            <v>24776970#001</v>
          </cell>
          <cell r="H948" t="str">
            <v>Verso Capital Oy</v>
          </cell>
        </row>
        <row r="949">
          <cell r="B949" t="str">
            <v>24776970#002</v>
          </cell>
          <cell r="H949" t="str">
            <v>Verso Capital Oy</v>
          </cell>
        </row>
        <row r="950">
          <cell r="B950" t="str">
            <v>24776970#003</v>
          </cell>
          <cell r="H950" t="str">
            <v>Verso Capital Oy</v>
          </cell>
        </row>
        <row r="951">
          <cell r="B951" t="str">
            <v>24872719#001</v>
          </cell>
          <cell r="H951" t="str">
            <v>Bocap SME Advisors Oy</v>
          </cell>
        </row>
        <row r="952">
          <cell r="B952" t="str">
            <v>25287175#001</v>
          </cell>
          <cell r="H952" t="str">
            <v>Yrityskiihdyttämö East Wings Oy</v>
          </cell>
        </row>
        <row r="953">
          <cell r="B953" t="str">
            <v>25416942#002</v>
          </cell>
          <cell r="H953" t="str">
            <v>WasaGroup Funds Oy</v>
          </cell>
        </row>
        <row r="954">
          <cell r="B954" t="str">
            <v>25416942#003</v>
          </cell>
          <cell r="H954" t="str">
            <v>WasaGroup Funds Oy</v>
          </cell>
        </row>
        <row r="955">
          <cell r="B955" t="str">
            <v>25487003#001</v>
          </cell>
          <cell r="H955" t="str">
            <v>CapMan Buyout X GP Oy</v>
          </cell>
        </row>
        <row r="956">
          <cell r="B956" t="str">
            <v>25487062#001</v>
          </cell>
          <cell r="H956" t="str">
            <v>CapMan Endowment GP Oy</v>
          </cell>
        </row>
        <row r="957">
          <cell r="B957" t="str">
            <v>25487062#002</v>
          </cell>
          <cell r="H957" t="str">
            <v>CapMan Endowment GP Oy</v>
          </cell>
        </row>
        <row r="958">
          <cell r="B958" t="str">
            <v>25487062#003</v>
          </cell>
          <cell r="H958" t="str">
            <v>CapMan Endowment GP Oy</v>
          </cell>
        </row>
        <row r="959">
          <cell r="B959" t="str">
            <v>25755274#002</v>
          </cell>
          <cell r="H959" t="str">
            <v>NegaWatt Energia Oy</v>
          </cell>
        </row>
        <row r="960">
          <cell r="B960" t="str">
            <v>25997361#005</v>
          </cell>
          <cell r="H960" t="str">
            <v>Korkia Capital Oy</v>
          </cell>
        </row>
        <row r="961">
          <cell r="B961" t="str">
            <v>25997361#006</v>
          </cell>
          <cell r="H961" t="str">
            <v>Korkia Capital Oy</v>
          </cell>
        </row>
        <row r="962">
          <cell r="B962" t="str">
            <v>25997361#010</v>
          </cell>
          <cell r="H962" t="str">
            <v>Korkia Capital Oy</v>
          </cell>
        </row>
        <row r="963">
          <cell r="B963" t="str">
            <v>25997361#011</v>
          </cell>
          <cell r="H963" t="str">
            <v>Korkia Capital Oy</v>
          </cell>
        </row>
        <row r="964">
          <cell r="B964" t="str">
            <v>25997361#012</v>
          </cell>
          <cell r="H964" t="str">
            <v>Korkia Capital Oy</v>
          </cell>
        </row>
        <row r="965">
          <cell r="B965" t="str">
            <v>25997361#013</v>
          </cell>
          <cell r="H965" t="str">
            <v>Korkia Capital Oy</v>
          </cell>
        </row>
        <row r="966">
          <cell r="B966" t="str">
            <v>25997361#014</v>
          </cell>
          <cell r="H966" t="str">
            <v>Korkia Capital Oy</v>
          </cell>
        </row>
        <row r="967">
          <cell r="B967" t="str">
            <v>25997361#015</v>
          </cell>
          <cell r="H967" t="str">
            <v>Korkia Capital Oy</v>
          </cell>
        </row>
        <row r="968">
          <cell r="B968" t="str">
            <v>26188179#001</v>
          </cell>
          <cell r="H968" t="str">
            <v>Aurora Studios Oy</v>
          </cell>
        </row>
        <row r="969">
          <cell r="B969" t="str">
            <v>26188179#002</v>
          </cell>
          <cell r="H969" t="str">
            <v>Aurora Studios Oy</v>
          </cell>
        </row>
        <row r="970">
          <cell r="B970" t="str">
            <v>26194405#001</v>
          </cell>
          <cell r="H970" t="str">
            <v>DevCo Partners Oy</v>
          </cell>
        </row>
        <row r="971">
          <cell r="B971" t="str">
            <v>26194405#002</v>
          </cell>
          <cell r="H971" t="str">
            <v>DevCo Partners Oy</v>
          </cell>
        </row>
        <row r="972">
          <cell r="B972" t="str">
            <v>26194405#003</v>
          </cell>
          <cell r="H972" t="str">
            <v>DevCo Partners Oy</v>
          </cell>
        </row>
        <row r="973">
          <cell r="B973" t="str">
            <v>26194405#004</v>
          </cell>
          <cell r="H973" t="str">
            <v>DevCo Partners Oy</v>
          </cell>
        </row>
        <row r="974">
          <cell r="B974" t="str">
            <v>26391679#001</v>
          </cell>
          <cell r="H974" t="str">
            <v>Juuri Partners Oy</v>
          </cell>
        </row>
        <row r="975">
          <cell r="B975" t="str">
            <v>26391679#002</v>
          </cell>
          <cell r="H975" t="str">
            <v>Juuri Partners Oy</v>
          </cell>
        </row>
        <row r="976">
          <cell r="B976" t="str">
            <v>26536188#002</v>
          </cell>
          <cell r="H976" t="str">
            <v>S-Pankki Vaikuttavuussijoitukset Oy</v>
          </cell>
        </row>
        <row r="977">
          <cell r="B977" t="str">
            <v>26536188#003</v>
          </cell>
          <cell r="H977" t="str">
            <v>S-Pankki Vaikuttavuussijoitukset Oy</v>
          </cell>
        </row>
        <row r="978">
          <cell r="B978" t="str">
            <v>26630385#001</v>
          </cell>
          <cell r="H978" t="str">
            <v>IPR.VC Management Oy</v>
          </cell>
        </row>
        <row r="979">
          <cell r="B979" t="str">
            <v>26630385#002</v>
          </cell>
          <cell r="H979" t="str">
            <v>IPR.VC Management Oy</v>
          </cell>
        </row>
        <row r="980">
          <cell r="B980" t="str">
            <v>26630385#003</v>
          </cell>
          <cell r="H980" t="str">
            <v>IPR.VC Management Oy</v>
          </cell>
        </row>
        <row r="981">
          <cell r="B981" t="str">
            <v>26630385#004</v>
          </cell>
          <cell r="H981" t="str">
            <v>IPR.VC Management Oy</v>
          </cell>
        </row>
        <row r="982">
          <cell r="B982" t="str">
            <v>26630385#005</v>
          </cell>
          <cell r="H982" t="str">
            <v>IPR.VC Management Oy</v>
          </cell>
        </row>
        <row r="983">
          <cell r="B983" t="str">
            <v>26638993#001</v>
          </cell>
          <cell r="H983" t="str">
            <v>Open Ocean Partners Oy</v>
          </cell>
        </row>
        <row r="984">
          <cell r="B984" t="str">
            <v>26638993#004</v>
          </cell>
          <cell r="H984" t="str">
            <v>Open Ocean Partners Oy</v>
          </cell>
        </row>
        <row r="985">
          <cell r="B985" t="str">
            <v>26773685#001</v>
          </cell>
          <cell r="H985" t="str">
            <v>Confido Cataluna Oy</v>
          </cell>
        </row>
        <row r="986">
          <cell r="B986" t="str">
            <v>26794734#001</v>
          </cell>
          <cell r="H986" t="str">
            <v>Nest Capital 2015 GP Oy</v>
          </cell>
        </row>
        <row r="987">
          <cell r="B987" t="str">
            <v>26840569#001</v>
          </cell>
          <cell r="H987" t="str">
            <v>Courage Ventures Management Oy</v>
          </cell>
        </row>
        <row r="988">
          <cell r="B988" t="str">
            <v>26840569#002</v>
          </cell>
          <cell r="H988" t="str">
            <v>Courage Ventures Management Oy</v>
          </cell>
        </row>
        <row r="989">
          <cell r="B989" t="str">
            <v>26842943#001</v>
          </cell>
          <cell r="H989" t="str">
            <v>Samla Capital Oy</v>
          </cell>
        </row>
        <row r="990">
          <cell r="B990" t="str">
            <v>26842943#003</v>
          </cell>
          <cell r="H990" t="str">
            <v>Samla Capital Oy</v>
          </cell>
        </row>
        <row r="991">
          <cell r="B991" t="str">
            <v>26842943#004</v>
          </cell>
          <cell r="H991" t="str">
            <v>Samla Capital Oy</v>
          </cell>
        </row>
        <row r="992">
          <cell r="B992" t="str">
            <v>26842943#005</v>
          </cell>
          <cell r="H992" t="str">
            <v>Samla Capital Oy</v>
          </cell>
        </row>
        <row r="993">
          <cell r="B993" t="str">
            <v>26879068#001</v>
          </cell>
          <cell r="H993" t="str">
            <v>GreenMorrow Oy</v>
          </cell>
        </row>
        <row r="994">
          <cell r="B994" t="str">
            <v>26963091#001</v>
          </cell>
          <cell r="H994" t="str">
            <v>Superhero Capital Oy</v>
          </cell>
        </row>
        <row r="995">
          <cell r="B995" t="str">
            <v>26963091#002</v>
          </cell>
          <cell r="H995" t="str">
            <v>Superhero Capital Oy</v>
          </cell>
        </row>
        <row r="996">
          <cell r="B996" t="str">
            <v>26963091#003</v>
          </cell>
          <cell r="H996" t="str">
            <v>Superhero Capital Oy</v>
          </cell>
        </row>
        <row r="997">
          <cell r="B997" t="str">
            <v>26963091#004</v>
          </cell>
          <cell r="H997" t="str">
            <v>Superhero Capital Oy</v>
          </cell>
        </row>
        <row r="998">
          <cell r="B998" t="str">
            <v>26963091#005</v>
          </cell>
          <cell r="H998" t="str">
            <v>Superhero Capital Oy</v>
          </cell>
        </row>
        <row r="999">
          <cell r="B999" t="str">
            <v>26963091#006</v>
          </cell>
          <cell r="H999" t="str">
            <v>Superhero Capital Oy</v>
          </cell>
        </row>
        <row r="1000">
          <cell r="B1000" t="str">
            <v>26997152#001</v>
          </cell>
          <cell r="H1000" t="str">
            <v>MB Partners V Oy</v>
          </cell>
        </row>
        <row r="1001">
          <cell r="B1001" t="str">
            <v>27000385#001</v>
          </cell>
          <cell r="H1001" t="str">
            <v>Premico Asuntorahaston hallinnointiyhtiö Oy</v>
          </cell>
        </row>
        <row r="1002">
          <cell r="B1002" t="str">
            <v>27000385#002</v>
          </cell>
          <cell r="H1002" t="str">
            <v>Premico Asuntorahaston hallinnointiyhtiö Oy</v>
          </cell>
        </row>
        <row r="1003">
          <cell r="B1003" t="str">
            <v>27097164#001</v>
          </cell>
          <cell r="H1003" t="str">
            <v>Innovestor Ventures Oy</v>
          </cell>
        </row>
        <row r="1004">
          <cell r="B1004" t="str">
            <v>27097164#003</v>
          </cell>
          <cell r="H1004" t="str">
            <v>Innovestor Ventures Oy</v>
          </cell>
        </row>
        <row r="1005">
          <cell r="B1005" t="str">
            <v>27097164#004</v>
          </cell>
          <cell r="H1005" t="str">
            <v>Innovestor Ventures Oy</v>
          </cell>
        </row>
        <row r="1006">
          <cell r="B1006" t="str">
            <v>27097164#007</v>
          </cell>
          <cell r="H1006" t="str">
            <v>Innovestor Ventures Oy</v>
          </cell>
        </row>
        <row r="1007">
          <cell r="B1007" t="str">
            <v>27097164#008</v>
          </cell>
          <cell r="H1007" t="str">
            <v>Innovestor Ventures Oy</v>
          </cell>
        </row>
        <row r="1008">
          <cell r="B1008" t="str">
            <v>27252961#001</v>
          </cell>
          <cell r="H1008" t="str">
            <v>Vendep Capital Oy</v>
          </cell>
        </row>
        <row r="1009">
          <cell r="B1009" t="str">
            <v>27252961#002</v>
          </cell>
          <cell r="H1009" t="str">
            <v>Vendep Capital Oy</v>
          </cell>
        </row>
        <row r="1010">
          <cell r="B1010" t="str">
            <v>27252961#003</v>
          </cell>
          <cell r="H1010" t="str">
            <v>Vendep Capital Oy</v>
          </cell>
        </row>
        <row r="1011">
          <cell r="B1011" t="str">
            <v>27252961#004</v>
          </cell>
          <cell r="H1011" t="str">
            <v>Vendep Capital Oy</v>
          </cell>
        </row>
        <row r="1012">
          <cell r="B1012" t="str">
            <v>27252961#005</v>
          </cell>
          <cell r="H1012" t="str">
            <v>Vendep Capital Oy</v>
          </cell>
        </row>
        <row r="1013">
          <cell r="B1013" t="str">
            <v>27268664#001</v>
          </cell>
          <cell r="H1013" t="str">
            <v>Saari Partners Oy</v>
          </cell>
        </row>
        <row r="1014">
          <cell r="B1014" t="str">
            <v>27268664#002</v>
          </cell>
          <cell r="H1014" t="str">
            <v>Saari Partners Oy</v>
          </cell>
        </row>
        <row r="1015">
          <cell r="B1015" t="str">
            <v>27526045#001</v>
          </cell>
          <cell r="H1015" t="str">
            <v>FinCap Kiinteistörahastot Oy</v>
          </cell>
        </row>
        <row r="1016">
          <cell r="B1016" t="str">
            <v>27526045#003</v>
          </cell>
          <cell r="H1016" t="str">
            <v>FinCap Kiinteistörahastot Oy</v>
          </cell>
        </row>
        <row r="1017">
          <cell r="B1017" t="str">
            <v>27605923#001</v>
          </cell>
          <cell r="H1017" t="str">
            <v>Icebreaker Fund Management Oy</v>
          </cell>
        </row>
        <row r="1018">
          <cell r="B1018" t="str">
            <v>27605923#002</v>
          </cell>
          <cell r="H1018" t="str">
            <v>Icebreaker Fund Management Oy</v>
          </cell>
        </row>
        <row r="1019">
          <cell r="B1019" t="str">
            <v>27605923#003</v>
          </cell>
          <cell r="H1019" t="str">
            <v>Icebreaker Fund Management Oy</v>
          </cell>
        </row>
        <row r="1020">
          <cell r="B1020" t="str">
            <v>27610685#001</v>
          </cell>
          <cell r="H1020" t="str">
            <v>Bocap Private Equity Oy</v>
          </cell>
        </row>
        <row r="1021">
          <cell r="B1021" t="str">
            <v>27610685#002</v>
          </cell>
          <cell r="H1021" t="str">
            <v>Bocap Private Equity Oy</v>
          </cell>
        </row>
        <row r="1022">
          <cell r="B1022" t="str">
            <v>27633406#001</v>
          </cell>
          <cell r="H1022" t="str">
            <v>Grid.vc Oy</v>
          </cell>
        </row>
        <row r="1023">
          <cell r="B1023" t="str">
            <v>27728544#001</v>
          </cell>
          <cell r="H1023" t="str">
            <v>Terwa Management Oy</v>
          </cell>
        </row>
        <row r="1024">
          <cell r="B1024" t="str">
            <v>27838225#001</v>
          </cell>
          <cell r="H1024" t="str">
            <v>Wave Ventures Oy</v>
          </cell>
        </row>
        <row r="1025">
          <cell r="B1025" t="str">
            <v>27838225#002</v>
          </cell>
          <cell r="H1025" t="str">
            <v>Wave Ventures Oy</v>
          </cell>
        </row>
        <row r="1026">
          <cell r="B1026" t="str">
            <v>27838225#003</v>
          </cell>
          <cell r="H1026" t="str">
            <v>Wave Ventures Oy</v>
          </cell>
        </row>
        <row r="1027">
          <cell r="B1027" t="str">
            <v>28125497#003</v>
          </cell>
          <cell r="H1027" t="str">
            <v>Mandatum AM AIFM Oy</v>
          </cell>
        </row>
        <row r="1028">
          <cell r="B1028" t="str">
            <v>28233658#002</v>
          </cell>
          <cell r="H1028" t="str">
            <v>Obsido Rahastoyhtiö Oy</v>
          </cell>
        </row>
        <row r="1029">
          <cell r="B1029" t="str">
            <v>28233658#006</v>
          </cell>
          <cell r="H1029" t="str">
            <v>Obsido Rahastoyhtiö Oy</v>
          </cell>
        </row>
        <row r="1030">
          <cell r="B1030" t="str">
            <v>28233658#009</v>
          </cell>
          <cell r="H1030" t="str">
            <v>Obsido Rahastoyhtiö Oy</v>
          </cell>
        </row>
        <row r="1031">
          <cell r="B1031" t="str">
            <v>28268172#001</v>
          </cell>
          <cell r="H1031" t="str">
            <v>FundSi Oy</v>
          </cell>
        </row>
        <row r="1032">
          <cell r="B1032" t="str">
            <v>28279074#001</v>
          </cell>
          <cell r="H1032" t="str">
            <v>Gorilla Capital Management Oy</v>
          </cell>
        </row>
        <row r="1033">
          <cell r="B1033" t="str">
            <v>28279074#002</v>
          </cell>
          <cell r="H1033" t="str">
            <v>Gorilla Capital Management Oy</v>
          </cell>
        </row>
        <row r="1034">
          <cell r="B1034" t="str">
            <v>28332453#003</v>
          </cell>
          <cell r="H1034" t="str">
            <v>Taaleri Energia Funds Management Oy</v>
          </cell>
        </row>
        <row r="1035">
          <cell r="B1035" t="str">
            <v>28332453#004</v>
          </cell>
          <cell r="H1035" t="str">
            <v>Taaleri Energia Funds Management Oy</v>
          </cell>
        </row>
        <row r="1036">
          <cell r="B1036" t="str">
            <v>28332453#005</v>
          </cell>
          <cell r="H1036" t="str">
            <v>Taaleri Energia Funds Management Oy</v>
          </cell>
        </row>
        <row r="1037">
          <cell r="B1037" t="str">
            <v>28332453#007</v>
          </cell>
          <cell r="H1037" t="str">
            <v>Taaleri Energia Funds Management Oy</v>
          </cell>
        </row>
        <row r="1038">
          <cell r="B1038" t="str">
            <v>28369715#001</v>
          </cell>
          <cell r="H1038" t="str">
            <v>MAKI Ventures Oy</v>
          </cell>
        </row>
        <row r="1039">
          <cell r="B1039" t="str">
            <v>28369715#002</v>
          </cell>
          <cell r="H1039" t="str">
            <v>MAKI Ventures Oy</v>
          </cell>
        </row>
        <row r="1040">
          <cell r="B1040" t="str">
            <v>28369715#003</v>
          </cell>
          <cell r="H1040" t="str">
            <v>MAKI Ventures Oy</v>
          </cell>
        </row>
        <row r="1041">
          <cell r="B1041" t="str">
            <v>28369715#004</v>
          </cell>
          <cell r="H1041" t="str">
            <v>MAKI Ventures Oy</v>
          </cell>
        </row>
        <row r="1042">
          <cell r="B1042" t="str">
            <v>28462311#001</v>
          </cell>
          <cell r="H1042" t="str">
            <v>Conor TF III Manager Oy</v>
          </cell>
        </row>
        <row r="1043">
          <cell r="B1043" t="str">
            <v>28570689#001</v>
          </cell>
          <cell r="H1043" t="str">
            <v>Luotsi Capital Oy</v>
          </cell>
        </row>
        <row r="1044">
          <cell r="B1044" t="str">
            <v>28570689#002</v>
          </cell>
          <cell r="H1044" t="str">
            <v>Luotsi Capital Oy</v>
          </cell>
        </row>
        <row r="1045">
          <cell r="B1045" t="str">
            <v>28570689#003</v>
          </cell>
          <cell r="H1045" t="str">
            <v>Luotsi Capital Oy</v>
          </cell>
        </row>
        <row r="1046">
          <cell r="B1046" t="str">
            <v>28570689#004</v>
          </cell>
          <cell r="H1046" t="str">
            <v>Luotsi Capital Oy</v>
          </cell>
        </row>
        <row r="1047">
          <cell r="B1047" t="str">
            <v>28619307#001</v>
          </cell>
          <cell r="H1047" t="str">
            <v>Redstone Nordics Oy</v>
          </cell>
        </row>
        <row r="1048">
          <cell r="B1048" t="str">
            <v>28619307#002</v>
          </cell>
          <cell r="H1048" t="str">
            <v>Redstone Nordics Oy</v>
          </cell>
        </row>
        <row r="1049">
          <cell r="B1049" t="str">
            <v>28619307#003</v>
          </cell>
          <cell r="H1049" t="str">
            <v>Redstone Nordics Oy</v>
          </cell>
        </row>
        <row r="1050">
          <cell r="B1050" t="str">
            <v>28665274#001</v>
          </cell>
          <cell r="H1050" t="str">
            <v>EduImpact Venture Capital Oy</v>
          </cell>
        </row>
        <row r="1051">
          <cell r="B1051" t="str">
            <v>28665274#002</v>
          </cell>
          <cell r="H1051" t="str">
            <v>EduImpact Venture Capital Oy</v>
          </cell>
        </row>
        <row r="1052">
          <cell r="B1052" t="str">
            <v>28665274#003</v>
          </cell>
          <cell r="H1052" t="str">
            <v>EduImpact Venture Capital Oy</v>
          </cell>
        </row>
        <row r="1053">
          <cell r="B1053" t="str">
            <v>28665274#004</v>
          </cell>
          <cell r="H1053" t="str">
            <v>EduImpact Venture Capital Oy</v>
          </cell>
        </row>
        <row r="1054">
          <cell r="B1054" t="str">
            <v>28754218#001</v>
          </cell>
          <cell r="H1054" t="str">
            <v>Evolver Equity Ab</v>
          </cell>
        </row>
        <row r="1055">
          <cell r="B1055" t="str">
            <v>28754218#002</v>
          </cell>
          <cell r="H1055" t="str">
            <v>Evolver Equity Ab</v>
          </cell>
        </row>
        <row r="1056">
          <cell r="B1056" t="str">
            <v>29026204#002</v>
          </cell>
          <cell r="H1056" t="str">
            <v>GOS Yritysrahoitus Oy</v>
          </cell>
        </row>
        <row r="1057">
          <cell r="B1057" t="str">
            <v>29063769#001</v>
          </cell>
          <cell r="H1057" t="str">
            <v>Systematic alpha Oy</v>
          </cell>
        </row>
        <row r="1058">
          <cell r="B1058" t="str">
            <v>29064614#003</v>
          </cell>
          <cell r="H1058" t="str">
            <v>CapMan AIFM Oy</v>
          </cell>
        </row>
        <row r="1059">
          <cell r="B1059" t="str">
            <v>29064614#006</v>
          </cell>
          <cell r="H1059" t="str">
            <v>CapMan AIFM Oy</v>
          </cell>
        </row>
        <row r="1060">
          <cell r="B1060" t="str">
            <v>29064614#008</v>
          </cell>
          <cell r="H1060" t="str">
            <v>CapMan AIFM Oy</v>
          </cell>
        </row>
        <row r="1061">
          <cell r="B1061" t="str">
            <v>29064614#009</v>
          </cell>
          <cell r="H1061" t="str">
            <v>CapMan AIFM Oy</v>
          </cell>
        </row>
        <row r="1062">
          <cell r="B1062" t="str">
            <v>29064614#011</v>
          </cell>
          <cell r="H1062" t="str">
            <v>CapMan AIFM Oy</v>
          </cell>
        </row>
        <row r="1063">
          <cell r="B1063" t="str">
            <v>29064614#012</v>
          </cell>
          <cell r="H1063" t="str">
            <v>CapMan AIFM Oy</v>
          </cell>
        </row>
        <row r="1064">
          <cell r="B1064" t="str">
            <v>29064614#014</v>
          </cell>
          <cell r="H1064" t="str">
            <v>CapMan AIFM Oy</v>
          </cell>
        </row>
        <row r="1065">
          <cell r="B1065" t="str">
            <v>29064614#015</v>
          </cell>
          <cell r="H1065" t="str">
            <v>CapMan AIFM Oy</v>
          </cell>
        </row>
        <row r="1066">
          <cell r="B1066" t="str">
            <v>29064614#016</v>
          </cell>
          <cell r="H1066" t="str">
            <v>CapMan AIFM Oy</v>
          </cell>
        </row>
        <row r="1067">
          <cell r="B1067" t="str">
            <v>29064614#019</v>
          </cell>
          <cell r="H1067" t="str">
            <v>CapMan AIFM Oy</v>
          </cell>
        </row>
        <row r="1068">
          <cell r="B1068" t="str">
            <v>29064614#030</v>
          </cell>
          <cell r="H1068" t="str">
            <v>CapMan AIFM Oy</v>
          </cell>
        </row>
        <row r="1069">
          <cell r="B1069" t="str">
            <v>29112428#001</v>
          </cell>
          <cell r="H1069" t="str">
            <v>Vauraus AIFM Oy</v>
          </cell>
        </row>
        <row r="1070">
          <cell r="B1070" t="str">
            <v>29157108#001</v>
          </cell>
          <cell r="H1070" t="str">
            <v>Voima Ventures Oy</v>
          </cell>
        </row>
        <row r="1071">
          <cell r="B1071" t="str">
            <v>29157108#002</v>
          </cell>
          <cell r="H1071" t="str">
            <v>Voima Ventures Oy</v>
          </cell>
        </row>
        <row r="1072">
          <cell r="B1072" t="str">
            <v>29157108#003</v>
          </cell>
          <cell r="H1072" t="str">
            <v>Voima Ventures Oy</v>
          </cell>
        </row>
        <row r="1073">
          <cell r="B1073" t="str">
            <v>29157108#004</v>
          </cell>
          <cell r="H1073" t="str">
            <v>Voima Ventures Oy</v>
          </cell>
        </row>
        <row r="1074">
          <cell r="B1074" t="str">
            <v>29208526#001</v>
          </cell>
          <cell r="H1074" t="str">
            <v>Robin Capital Management Oy</v>
          </cell>
        </row>
        <row r="1075">
          <cell r="B1075" t="str">
            <v>29245124#001</v>
          </cell>
          <cell r="H1075" t="str">
            <v>Joensuun Startup Kehitys Oy</v>
          </cell>
        </row>
        <row r="1076">
          <cell r="B1076" t="str">
            <v>29245212#001</v>
          </cell>
          <cell r="H1076" t="str">
            <v>Nordic Food Tech Venture Capital Oy</v>
          </cell>
        </row>
        <row r="1077">
          <cell r="B1077" t="str">
            <v>29245212#002</v>
          </cell>
          <cell r="H1077" t="str">
            <v>Nordic Food Tech Venture Capital Oy</v>
          </cell>
        </row>
        <row r="1078">
          <cell r="B1078" t="str">
            <v>29897173#001</v>
          </cell>
          <cell r="H1078" t="str">
            <v>LLV Fund Management Oy</v>
          </cell>
        </row>
        <row r="1079">
          <cell r="B1079" t="str">
            <v>29897173#002</v>
          </cell>
          <cell r="H1079" t="str">
            <v>LLV Fund Management Oy</v>
          </cell>
        </row>
        <row r="1080">
          <cell r="B1080" t="str">
            <v>29897173#003</v>
          </cell>
          <cell r="H1080" t="str">
            <v>LLV Fund Management Oy</v>
          </cell>
        </row>
        <row r="1081">
          <cell r="B1081" t="str">
            <v>30134149#001</v>
          </cell>
          <cell r="H1081" t="str">
            <v>Premico Pääomarahastot Oy</v>
          </cell>
        </row>
        <row r="1082">
          <cell r="B1082" t="str">
            <v>30134149#002</v>
          </cell>
          <cell r="H1082" t="str">
            <v>Premico Pääomarahastot Oy</v>
          </cell>
        </row>
        <row r="1083">
          <cell r="B1083" t="str">
            <v>30193325#001</v>
          </cell>
          <cell r="H1083" t="str">
            <v>Nostetta Ventures Oy</v>
          </cell>
        </row>
        <row r="1084">
          <cell r="B1084" t="str">
            <v>30980441#001</v>
          </cell>
          <cell r="H1084" t="str">
            <v>Open Ocean Ventures Oy</v>
          </cell>
        </row>
        <row r="1085">
          <cell r="B1085" t="str">
            <v>30992004#001</v>
          </cell>
          <cell r="H1085" t="str">
            <v>Landmark Real Assets Oy</v>
          </cell>
        </row>
        <row r="1086">
          <cell r="B1086" t="str">
            <v>30999185#001</v>
          </cell>
          <cell r="H1086" t="str">
            <v>SARKA Varainhoito Oy</v>
          </cell>
        </row>
        <row r="1087">
          <cell r="B1087" t="str">
            <v>31225771#001</v>
          </cell>
          <cell r="H1087" t="str">
            <v>BOA Capital Oy</v>
          </cell>
        </row>
        <row r="1088">
          <cell r="B1088" t="str">
            <v>31225771#002</v>
          </cell>
          <cell r="H1088" t="str">
            <v>BOA Capital Oy</v>
          </cell>
        </row>
        <row r="1089">
          <cell r="B1089" t="str">
            <v>31225771#003</v>
          </cell>
          <cell r="H1089" t="str">
            <v>BOA Capital Oy</v>
          </cell>
        </row>
        <row r="1090">
          <cell r="B1090" t="str">
            <v>31255065#001</v>
          </cell>
          <cell r="H1090" t="str">
            <v>Nordic Science Investments Oy</v>
          </cell>
        </row>
        <row r="1091">
          <cell r="B1091" t="str">
            <v>31255065#002</v>
          </cell>
          <cell r="H1091" t="str">
            <v>Nordic Science Investments Oy</v>
          </cell>
        </row>
        <row r="1092">
          <cell r="B1092" t="str">
            <v>31336148#001</v>
          </cell>
          <cell r="H1092" t="str">
            <v>YKS Management Oy</v>
          </cell>
        </row>
        <row r="1093">
          <cell r="B1093" t="str">
            <v>31436042#001</v>
          </cell>
          <cell r="H1093" t="str">
            <v>Tuohex Capital Oy</v>
          </cell>
        </row>
        <row r="1094">
          <cell r="B1094" t="str">
            <v>31605811#001</v>
          </cell>
          <cell r="H1094" t="str">
            <v>StartMore Operative Oy</v>
          </cell>
        </row>
        <row r="1095">
          <cell r="B1095" t="str">
            <v>31737232#003</v>
          </cell>
          <cell r="H1095" t="str">
            <v>Intera Partners Oy</v>
          </cell>
        </row>
        <row r="1096">
          <cell r="B1096" t="str">
            <v>31737232#004</v>
          </cell>
          <cell r="H1096" t="str">
            <v>Intera Partners Oy</v>
          </cell>
        </row>
        <row r="1097">
          <cell r="B1097" t="str">
            <v>31777146#001</v>
          </cell>
          <cell r="H1097" t="str">
            <v>FOV Fund Management Oy</v>
          </cell>
        </row>
        <row r="1098">
          <cell r="B1098" t="str">
            <v>31779424#001</v>
          </cell>
          <cell r="H1098" t="str">
            <v>DEAS Asset Management Finland Oy</v>
          </cell>
        </row>
        <row r="1099">
          <cell r="B1099" t="str">
            <v>31779686#003</v>
          </cell>
          <cell r="H1099" t="str">
            <v>DEAS Fund Management DK A/S</v>
          </cell>
        </row>
        <row r="1100">
          <cell r="B1100" t="str">
            <v>31779686#004</v>
          </cell>
          <cell r="H1100" t="str">
            <v>DEAS Fund Management DK A/S</v>
          </cell>
        </row>
        <row r="1101">
          <cell r="B1101" t="str">
            <v>31779686#005</v>
          </cell>
          <cell r="H1101" t="str">
            <v>DEAS Fund Management DK A/S</v>
          </cell>
        </row>
        <row r="1102">
          <cell r="B1102" t="str">
            <v>31779686#006</v>
          </cell>
          <cell r="H1102" t="str">
            <v>DEAS Fund Management DK A/S</v>
          </cell>
        </row>
        <row r="1103">
          <cell r="B1103" t="str">
            <v>31779686#007</v>
          </cell>
          <cell r="H1103" t="str">
            <v>DEAS Fund Management DK A/S</v>
          </cell>
        </row>
        <row r="1104">
          <cell r="B1104" t="str">
            <v>31782818#001</v>
          </cell>
          <cell r="H1104" t="str">
            <v>MB Partners Oy</v>
          </cell>
        </row>
        <row r="1105">
          <cell r="B1105" t="str">
            <v>32140454#001</v>
          </cell>
          <cell r="H1105" t="str">
            <v>Virta Equity Oy</v>
          </cell>
        </row>
        <row r="1106">
          <cell r="B1106" t="str">
            <v>32140454#002</v>
          </cell>
          <cell r="H1106" t="str">
            <v>Virta Equity Oy</v>
          </cell>
        </row>
        <row r="1107">
          <cell r="B1107" t="str">
            <v>32214134#001</v>
          </cell>
          <cell r="H1107" t="str">
            <v>Innovestor Life Science Oy</v>
          </cell>
        </row>
        <row r="1108">
          <cell r="B1108" t="str">
            <v>32214134#002</v>
          </cell>
          <cell r="H1108" t="str">
            <v>Innovestor Life Science Oy</v>
          </cell>
        </row>
        <row r="1109">
          <cell r="B1109" t="str">
            <v>32251293#001</v>
          </cell>
          <cell r="H1109" t="str">
            <v>Voland Partners Oy</v>
          </cell>
        </row>
        <row r="1110">
          <cell r="B1110" t="str">
            <v>32251293#002</v>
          </cell>
          <cell r="H1110" t="str">
            <v>Voland Partners Oy</v>
          </cell>
        </row>
        <row r="1111">
          <cell r="B1111" t="str">
            <v>32503964#001</v>
          </cell>
          <cell r="H1111" t="str">
            <v>Findea Capital Oy</v>
          </cell>
        </row>
        <row r="1112">
          <cell r="B1112" t="str">
            <v>32592442#001</v>
          </cell>
          <cell r="H1112" t="str">
            <v>Ethos Capital Oy</v>
          </cell>
        </row>
        <row r="1113">
          <cell r="B1113" t="str">
            <v>32592442#002</v>
          </cell>
          <cell r="H1113" t="str">
            <v>Ethos Capital Oy</v>
          </cell>
        </row>
        <row r="1114">
          <cell r="B1114" t="str">
            <v>32660863#001</v>
          </cell>
          <cell r="H1114" t="str">
            <v>Equilibrium Funds Oy</v>
          </cell>
        </row>
        <row r="1115">
          <cell r="B1115" t="str">
            <v>32965173#001</v>
          </cell>
          <cell r="H1115" t="str">
            <v>Cactos Fleet Management Finland Oy</v>
          </cell>
        </row>
        <row r="1116">
          <cell r="B1116" t="str">
            <v>33004534#001</v>
          </cell>
          <cell r="H1116" t="str">
            <v>Failup Ventures Management Oy</v>
          </cell>
        </row>
        <row r="1117">
          <cell r="B1117" t="str">
            <v>33038347#001</v>
          </cell>
          <cell r="H1117" t="str">
            <v>Illusian Capital Oy</v>
          </cell>
        </row>
        <row r="1118">
          <cell r="B1118" t="str">
            <v>33038347#002</v>
          </cell>
          <cell r="H1118" t="str">
            <v>Illusian Capital Oy</v>
          </cell>
        </row>
        <row r="1119">
          <cell r="B1119" t="str">
            <v>33185814#001</v>
          </cell>
          <cell r="H1119" t="str">
            <v>OpenOcean Oy</v>
          </cell>
        </row>
        <row r="1120">
          <cell r="B1120" t="str">
            <v>33188687#001</v>
          </cell>
          <cell r="H1120" t="str">
            <v>Greencode Ventures Oy</v>
          </cell>
        </row>
        <row r="1121">
          <cell r="B1121" t="str">
            <v>33296602#001</v>
          </cell>
          <cell r="H1121" t="str">
            <v>Botnia Ventures Oy Ab</v>
          </cell>
        </row>
        <row r="1122">
          <cell r="B1122" t="str">
            <v>33382607#001</v>
          </cell>
          <cell r="H1122" t="str">
            <v>Kvanted Oy</v>
          </cell>
        </row>
        <row r="1123">
          <cell r="B1123" t="str">
            <v>33390084#001</v>
          </cell>
          <cell r="H1123" t="str">
            <v>Revon Ventures Oy</v>
          </cell>
        </row>
        <row r="1124">
          <cell r="B1124" t="str">
            <v>33542455#001</v>
          </cell>
          <cell r="H1124" t="str">
            <v>Leo Capital Europe Oy</v>
          </cell>
        </row>
        <row r="1125">
          <cell r="B1125" t="str">
            <v>33917579#001</v>
          </cell>
          <cell r="H1125" t="str">
            <v>fundco oy</v>
          </cell>
        </row>
        <row r="1126">
          <cell r="B1126" t="str">
            <v>33917579#002</v>
          </cell>
          <cell r="H1126" t="str">
            <v>fundco oy</v>
          </cell>
        </row>
        <row r="1127">
          <cell r="B1127" t="str">
            <v>33917579#003</v>
          </cell>
          <cell r="H1127" t="str">
            <v>fundco oy</v>
          </cell>
        </row>
        <row r="1128">
          <cell r="B1128" t="str">
            <v>33917579#004</v>
          </cell>
          <cell r="H1128" t="str">
            <v>fundco oy</v>
          </cell>
        </row>
        <row r="1129">
          <cell r="B1129" t="str">
            <v/>
          </cell>
          <cell r="H1129" t="str">
            <v/>
          </cell>
        </row>
        <row r="1130">
          <cell r="B1130" t="str">
            <v/>
          </cell>
          <cell r="H1130" t="str">
            <v/>
          </cell>
        </row>
        <row r="1131">
          <cell r="B1131" t="str">
            <v>Rahamarkkinarahastot luetaan rahalaitosektoriin (MFI)</v>
          </cell>
          <cell r="H1131" t="str">
            <v/>
          </cell>
        </row>
        <row r="1132">
          <cell r="B1132" t="str">
            <v>Penningmarknadsfonder klassificeras som monetära finansinstitut (MFI)</v>
          </cell>
          <cell r="H1132" t="str">
            <v/>
          </cell>
        </row>
        <row r="1133">
          <cell r="B1133" t="str">
            <v>Money market funds are included in the MFI sector</v>
          </cell>
          <cell r="H1133" t="str">
            <v/>
          </cell>
        </row>
        <row r="1134">
          <cell r="B1134" t="str">
            <v/>
          </cell>
          <cell r="H1134" t="str">
            <v/>
          </cell>
        </row>
        <row r="1135">
          <cell r="B1135" t="str">
            <v>10932901#018</v>
          </cell>
          <cell r="H1135" t="str">
            <v>Seligson &amp; Co Rahastoyhtiö Oyj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Rahasto</v>
          </cell>
          <cell r="B1" t="str">
            <v>AIF</v>
          </cell>
        </row>
        <row r="2">
          <cell r="A2" t="str">
            <v>Access Capital Private Debt Fund II Ky</v>
          </cell>
          <cell r="B2" t="str">
            <v>Non-Retail</v>
          </cell>
        </row>
        <row r="3">
          <cell r="A3" t="str">
            <v>Access Co-Investment Fund Buy-Out Europe Syöttörahasto Ky</v>
          </cell>
          <cell r="B3" t="str">
            <v>Non-Retail</v>
          </cell>
        </row>
        <row r="4">
          <cell r="A4" t="str">
            <v>Accunia Alpha Credit Fund -erikoissijoitusrahasto</v>
          </cell>
          <cell r="B4" t="str">
            <v>Retail</v>
          </cell>
        </row>
        <row r="5">
          <cell r="A5" t="str">
            <v>AGCM Dragon Fund Erikoissijoitusrahasto</v>
          </cell>
          <cell r="B5" t="str">
            <v>Retail</v>
          </cell>
        </row>
        <row r="6">
          <cell r="A6" t="str">
            <v>Aktia Asuntorahasto VIII Ky</v>
          </cell>
          <cell r="B6" t="str">
            <v>Retail</v>
          </cell>
        </row>
        <row r="7">
          <cell r="A7" t="str">
            <v>Aktia Asuntorahasto VIII Omistajat Ky</v>
          </cell>
          <cell r="B7" t="str">
            <v>Retail</v>
          </cell>
        </row>
        <row r="8">
          <cell r="A8" t="str">
            <v>Aktia Asuntorahasto VIII Rahoittajat Ky</v>
          </cell>
          <cell r="B8" t="str">
            <v>Retail</v>
          </cell>
        </row>
        <row r="9">
          <cell r="A9" t="str">
            <v>Aktia Asuntorahasto VIII Sijoittajat 100 Ky</v>
          </cell>
          <cell r="B9" t="str">
            <v>Retail</v>
          </cell>
        </row>
        <row r="10">
          <cell r="A10" t="str">
            <v>Aktia Asuntorahasto VIII Sijoittajat 500 Ky</v>
          </cell>
          <cell r="B10" t="str">
            <v>Retail</v>
          </cell>
        </row>
        <row r="11">
          <cell r="A11" t="str">
            <v>Aktia Aurinkotuuli III Henkilökunta Ky</v>
          </cell>
          <cell r="B11" t="str">
            <v>Retail</v>
          </cell>
        </row>
        <row r="12">
          <cell r="A12" t="str">
            <v>Aktia Aurinkotuuli III Ky</v>
          </cell>
          <cell r="B12" t="str">
            <v>Retail</v>
          </cell>
        </row>
        <row r="13">
          <cell r="A13" t="str">
            <v>Aktia Aurinkotuuli III Omistajat Ky</v>
          </cell>
          <cell r="B13" t="str">
            <v>Retail</v>
          </cell>
        </row>
        <row r="14">
          <cell r="A14" t="str">
            <v>Aktia Aurinkotuuli III Rahoittajat Ky</v>
          </cell>
          <cell r="B14" t="str">
            <v>Retail</v>
          </cell>
        </row>
        <row r="15">
          <cell r="A15" t="str">
            <v>Aktia Aurinkotuuli III Sijoittajat 100 Ky</v>
          </cell>
          <cell r="B15" t="str">
            <v>Retail</v>
          </cell>
        </row>
        <row r="16">
          <cell r="A16" t="str">
            <v>Aktia Aurinkotuuli III Sijoittajat 500 Ky</v>
          </cell>
          <cell r="B16" t="str">
            <v>Retail</v>
          </cell>
        </row>
        <row r="17">
          <cell r="A17" t="str">
            <v>Aktia Bioteollisuus I Ky</v>
          </cell>
          <cell r="B17" t="str">
            <v>Retail</v>
          </cell>
        </row>
        <row r="18">
          <cell r="A18" t="str">
            <v>Aktia Bioteollisuus I Omistajat Ky</v>
          </cell>
          <cell r="B18" t="str">
            <v>Retail</v>
          </cell>
        </row>
        <row r="19">
          <cell r="A19" t="str">
            <v>Aktia Bioteollisuus I Rahoittajat Ky</v>
          </cell>
          <cell r="B19" t="str">
            <v>Retail</v>
          </cell>
        </row>
        <row r="20">
          <cell r="A20" t="str">
            <v>Aktia Bioteollisuus I Sijoittajat 100 Ky</v>
          </cell>
          <cell r="B20" t="str">
            <v>Retail</v>
          </cell>
        </row>
        <row r="21">
          <cell r="A21" t="str">
            <v>Aktia Bioteollisuus I Sijoittajat 500 Ky</v>
          </cell>
          <cell r="B21" t="str">
            <v>Retail</v>
          </cell>
        </row>
        <row r="22">
          <cell r="A22" t="str">
            <v>Alexandria Kiinteistö Erikoissijoitusrahasto</v>
          </cell>
          <cell r="B22" t="str">
            <v>Retail</v>
          </cell>
        </row>
        <row r="23">
          <cell r="A23" t="str">
            <v>Alexandria Lyhyt Korko Sijoitusrahasto</v>
          </cell>
          <cell r="B23" t="str">
            <v>Retail</v>
          </cell>
        </row>
        <row r="24">
          <cell r="A24" t="str">
            <v>Alexandria Pienyhtiöt Erikoissijoitusrahasto</v>
          </cell>
          <cell r="B24" t="str">
            <v>Retail</v>
          </cell>
        </row>
        <row r="25">
          <cell r="A25" t="str">
            <v>Alexandria Reaaliomaisuus Erikoissijoitusrahasto</v>
          </cell>
          <cell r="B25" t="str">
            <v>Retail</v>
          </cell>
        </row>
        <row r="26">
          <cell r="A26" t="str">
            <v>Alexandria Ympäristö Erikoissijoitusrahasto</v>
          </cell>
          <cell r="B26" t="str">
            <v>Retail</v>
          </cell>
        </row>
        <row r="27">
          <cell r="A27" t="str">
            <v>Alexandria Yrityskorko Erikoissijoitusrahasto</v>
          </cell>
          <cell r="B27" t="str">
            <v>Retail</v>
          </cell>
        </row>
        <row r="28">
          <cell r="A28" t="str">
            <v>Amanda III Eastern Private Equity Ky</v>
          </cell>
          <cell r="B28" t="str">
            <v>Non-Retail</v>
          </cell>
        </row>
        <row r="29">
          <cell r="A29" t="str">
            <v>Amanda V East Ky</v>
          </cell>
          <cell r="B29" t="str">
            <v>Non-Retail</v>
          </cell>
        </row>
        <row r="30">
          <cell r="A30" t="str">
            <v>Amberia Ky</v>
          </cell>
          <cell r="B30" t="str">
            <v>Non-Retail</v>
          </cell>
        </row>
        <row r="31">
          <cell r="A31" t="str">
            <v>Armada Fund V Ky</v>
          </cell>
          <cell r="B31" t="str">
            <v>Non-Retail</v>
          </cell>
        </row>
        <row r="32">
          <cell r="A32" t="str">
            <v>Armada Fund VI Ky</v>
          </cell>
          <cell r="B32" t="str">
            <v>Non-Retail</v>
          </cell>
        </row>
        <row r="33">
          <cell r="A33" t="str">
            <v>Armada Mezzanine Fund IV Ky</v>
          </cell>
          <cell r="B33" t="str">
            <v>Non-Retail</v>
          </cell>
        </row>
        <row r="34">
          <cell r="A34" t="str">
            <v>Avara Asuinkiinteistörahasto I Ky</v>
          </cell>
          <cell r="B34" t="str">
            <v>Non-Retail</v>
          </cell>
        </row>
        <row r="35">
          <cell r="A35" t="str">
            <v>Avara Residential Fund II Feeder Ky</v>
          </cell>
          <cell r="B35" t="str">
            <v>Non-Retail</v>
          </cell>
        </row>
        <row r="36">
          <cell r="A36" t="str">
            <v>Avara Residential Fund II Ky</v>
          </cell>
          <cell r="B36" t="str">
            <v>Non-Retail</v>
          </cell>
        </row>
        <row r="37">
          <cell r="A37" t="str">
            <v>Avara Vuokrakodit I Ky</v>
          </cell>
          <cell r="B37" t="str">
            <v>Non-Retail</v>
          </cell>
        </row>
        <row r="38">
          <cell r="A38" t="str">
            <v>Avara Vuokrakodit I Syöttörahasto II Ky</v>
          </cell>
          <cell r="B38" t="str">
            <v>Non-Retail</v>
          </cell>
        </row>
        <row r="39">
          <cell r="A39" t="str">
            <v>Avara Vuokrakodit I Syöttörahasto III Ky</v>
          </cell>
          <cell r="B39" t="str">
            <v>Non-Retail</v>
          </cell>
        </row>
        <row r="40">
          <cell r="A40" t="str">
            <v>Avara Vuokrakodit I Syöttörahasto Ky</v>
          </cell>
          <cell r="B40" t="str">
            <v>Non-Retail</v>
          </cell>
        </row>
        <row r="41">
          <cell r="A41" t="str">
            <v>B10 Alternative Income II Erikoissijoitusrahasto</v>
          </cell>
          <cell r="B41" t="str">
            <v>Retail</v>
          </cell>
        </row>
        <row r="42">
          <cell r="A42" t="str">
            <v>B10 Sustainable Farmland Erikoissijoitusrahasto</v>
          </cell>
          <cell r="B42" t="str">
            <v>Retail</v>
          </cell>
        </row>
        <row r="43">
          <cell r="A43" t="str">
            <v>Barcelona Invest Oy</v>
          </cell>
          <cell r="B43" t="str">
            <v>Non-Retail</v>
          </cell>
        </row>
        <row r="44">
          <cell r="A44" t="str">
            <v>Berlin Invest 2 Oy</v>
          </cell>
          <cell r="B44" t="str">
            <v>Non-Retail</v>
          </cell>
        </row>
        <row r="45">
          <cell r="A45" t="str">
            <v>Berlin Invest 3 Oy</v>
          </cell>
          <cell r="B45" t="str">
            <v>Non-Retail</v>
          </cell>
        </row>
        <row r="46">
          <cell r="A46" t="str">
            <v>Berlin Invest Oy</v>
          </cell>
          <cell r="B46" t="str">
            <v>Non-Retail</v>
          </cell>
        </row>
        <row r="47">
          <cell r="A47" t="str">
            <v>BOA Rantakäärme Ky</v>
          </cell>
          <cell r="B47" t="str">
            <v>Non-Retail</v>
          </cell>
        </row>
        <row r="48">
          <cell r="A48" t="str">
            <v>BOA Real Estate 1 Ky</v>
          </cell>
          <cell r="B48" t="str">
            <v>Non-Retail</v>
          </cell>
        </row>
        <row r="49">
          <cell r="A49" t="str">
            <v>Bocap SME Achievers Fund I Ky</v>
          </cell>
          <cell r="B49" t="str">
            <v>Non-Retail</v>
          </cell>
        </row>
        <row r="50">
          <cell r="A50" t="str">
            <v>Bocap SME Achievers Fund II Ky</v>
          </cell>
          <cell r="B50" t="str">
            <v>Non-Retail</v>
          </cell>
        </row>
        <row r="51">
          <cell r="A51" t="str">
            <v>Bocap SME Achievers Fund III KY</v>
          </cell>
          <cell r="B51" t="str">
            <v>Retail</v>
          </cell>
        </row>
        <row r="52">
          <cell r="A52" t="str">
            <v>Butterfly Feeder Fund III Ky</v>
          </cell>
          <cell r="B52" t="str">
            <v>Non-Retail</v>
          </cell>
        </row>
        <row r="53">
          <cell r="A53" t="str">
            <v>Butterfly Feeder Fund IV Ky</v>
          </cell>
          <cell r="B53" t="str">
            <v>Retail</v>
          </cell>
        </row>
        <row r="54">
          <cell r="A54" t="str">
            <v>Butterfly Venture Fund III Ky</v>
          </cell>
          <cell r="B54" t="str">
            <v>Non-Retail</v>
          </cell>
        </row>
        <row r="55">
          <cell r="A55" t="str">
            <v>Butterfly Venture Fund IV Ky</v>
          </cell>
          <cell r="B55" t="str">
            <v>Retail</v>
          </cell>
        </row>
        <row r="56">
          <cell r="A56" t="str">
            <v>Cactos Fleet Finland Ky</v>
          </cell>
          <cell r="B56" t="str">
            <v>Non-Retail</v>
          </cell>
        </row>
        <row r="57">
          <cell r="A57" t="str">
            <v>Canelco Capital Oy</v>
          </cell>
          <cell r="B57" t="str">
            <v>Non-Retail</v>
          </cell>
        </row>
        <row r="58">
          <cell r="A58" t="str">
            <v>CapMan Buyout X Fund B Ky</v>
          </cell>
          <cell r="B58" t="str">
            <v>Non-Retail</v>
          </cell>
        </row>
        <row r="59">
          <cell r="A59" t="str">
            <v>CapMan Endowment Buyout X Ky</v>
          </cell>
          <cell r="B59" t="str">
            <v>Non-Retail</v>
          </cell>
        </row>
        <row r="60">
          <cell r="A60" t="str">
            <v>CapMan Endowment Buyout XI Ky</v>
          </cell>
          <cell r="B60" t="str">
            <v>Non-Retail</v>
          </cell>
        </row>
        <row r="61">
          <cell r="A61" t="str">
            <v>CapMan Endowment Hotels II Ky</v>
          </cell>
          <cell r="B61" t="str">
            <v>Non-Retail</v>
          </cell>
        </row>
        <row r="62">
          <cell r="A62" t="str">
            <v>CapMan Endowment Nordic Infrastructure I Ky</v>
          </cell>
          <cell r="B62" t="str">
            <v>Non-Retail</v>
          </cell>
        </row>
        <row r="63">
          <cell r="A63" t="str">
            <v>CapMan Endowment Nordic Real Estate II Ky</v>
          </cell>
          <cell r="B63" t="str">
            <v>Non-Retail</v>
          </cell>
        </row>
        <row r="64">
          <cell r="A64" t="str">
            <v>CapMan Endowment Nordic Real Estate Ky</v>
          </cell>
          <cell r="B64" t="str">
            <v>Non-Retail</v>
          </cell>
        </row>
        <row r="65">
          <cell r="A65" t="str">
            <v>CapMan Endowment Special Situations I Ky</v>
          </cell>
          <cell r="B65" t="str">
            <v>Non-Retail</v>
          </cell>
        </row>
        <row r="66">
          <cell r="A66" t="str">
            <v>CapMan Growth Equity Fund 2017 Ky</v>
          </cell>
          <cell r="B66" t="str">
            <v>Non-Retail</v>
          </cell>
        </row>
        <row r="67">
          <cell r="A67" t="str">
            <v>CapMan Growth Equity Fund II Ky</v>
          </cell>
          <cell r="B67" t="str">
            <v>Retail</v>
          </cell>
        </row>
        <row r="68">
          <cell r="A68" t="str">
            <v>CapMan Mezzanine IV Classic Ky</v>
          </cell>
          <cell r="B68" t="str">
            <v>Non-Retail</v>
          </cell>
        </row>
        <row r="69">
          <cell r="A69" t="str">
            <v>CapMan Private Access IV Buyout Ky</v>
          </cell>
          <cell r="B69" t="str">
            <v>Non-Retail</v>
          </cell>
        </row>
        <row r="70">
          <cell r="A70" t="str">
            <v>Capman Private Buyout VIII Ky</v>
          </cell>
          <cell r="B70" t="str">
            <v>Non-Retail</v>
          </cell>
        </row>
        <row r="71">
          <cell r="A71" t="str">
            <v>CapMan Private Rahasto II Ky</v>
          </cell>
          <cell r="B71" t="str">
            <v>Non-Retail</v>
          </cell>
        </row>
        <row r="72">
          <cell r="A72" t="str">
            <v>CapMan Private Rahasto III Ky</v>
          </cell>
          <cell r="B72" t="str">
            <v>Non-Retail</v>
          </cell>
        </row>
        <row r="73">
          <cell r="A73" t="str">
            <v>CapMan Special Situations I Ky</v>
          </cell>
          <cell r="B73" t="str">
            <v>Non-Retail</v>
          </cell>
        </row>
        <row r="74">
          <cell r="A74" t="str">
            <v>CCF PE II Ky</v>
          </cell>
          <cell r="B74" t="str">
            <v>Non-Retail</v>
          </cell>
        </row>
        <row r="75">
          <cell r="A75" t="str">
            <v>CCF PE Ky</v>
          </cell>
          <cell r="B75" t="str">
            <v>Non-Retail</v>
          </cell>
        </row>
        <row r="76">
          <cell r="A76" t="str">
            <v>Certior Credit Investments I Ky</v>
          </cell>
          <cell r="B76" t="str">
            <v>Non-Retail</v>
          </cell>
        </row>
        <row r="77">
          <cell r="A77" t="str">
            <v>Certior Credit Opportunities Fund Ky</v>
          </cell>
          <cell r="B77" t="str">
            <v>Non-Retail</v>
          </cell>
        </row>
        <row r="78">
          <cell r="A78" t="str">
            <v>Certior Private Equity Fund I Feeder Ky</v>
          </cell>
          <cell r="B78" t="str">
            <v>Non-Retail</v>
          </cell>
        </row>
        <row r="79">
          <cell r="A79" t="str">
            <v>Certior Private Equity Fund I Ky</v>
          </cell>
          <cell r="B79" t="str">
            <v>Non-Retail</v>
          </cell>
        </row>
        <row r="80">
          <cell r="A80" t="str">
            <v>Certior Private Equity Fund II Feeder Ky</v>
          </cell>
          <cell r="B80" t="str">
            <v>Non-Retail</v>
          </cell>
        </row>
        <row r="81">
          <cell r="A81" t="str">
            <v>Certior Private Equity Fund II Ky</v>
          </cell>
          <cell r="B81" t="str">
            <v>Non-Retail</v>
          </cell>
        </row>
        <row r="82">
          <cell r="A82" t="str">
            <v>Certior Special Opportunities Fund Ky</v>
          </cell>
          <cell r="B82" t="str">
            <v>Non-Retail</v>
          </cell>
        </row>
        <row r="83">
          <cell r="A83" t="str">
            <v>Conor SPV III Ky</v>
          </cell>
          <cell r="B83" t="str">
            <v>Non-Retail</v>
          </cell>
        </row>
        <row r="84">
          <cell r="A84" t="str">
            <v>Conor Technology Fund I Ky</v>
          </cell>
          <cell r="B84" t="str">
            <v>Non-Retail</v>
          </cell>
        </row>
        <row r="85">
          <cell r="A85" t="str">
            <v>Conor Technology Fund II Ky</v>
          </cell>
          <cell r="B85" t="str">
            <v>Non-Retail</v>
          </cell>
        </row>
        <row r="86">
          <cell r="A86" t="str">
            <v>Courage Ventures Seed 1 Ky</v>
          </cell>
          <cell r="B86" t="str">
            <v>Non-Retail</v>
          </cell>
        </row>
        <row r="87">
          <cell r="A87" t="str">
            <v>CWS Sustainable Future Erikoissijoitusrahasto</v>
          </cell>
          <cell r="B87" t="str">
            <v>Retail</v>
          </cell>
        </row>
        <row r="88">
          <cell r="A88" t="str">
            <v>Dasos Habitat Fund Ky</v>
          </cell>
          <cell r="B88" t="str">
            <v>Non-Retail</v>
          </cell>
        </row>
        <row r="89">
          <cell r="A89" t="str">
            <v>Dasos Kestävä Metsä ja Puu III -erikoissijoitusrahasto</v>
          </cell>
          <cell r="B89" t="str">
            <v>Retail</v>
          </cell>
        </row>
        <row r="90">
          <cell r="A90" t="str">
            <v>DEAS Property Fund Finland I Feeder Ky</v>
          </cell>
          <cell r="B90" t="str">
            <v>Non-Retail</v>
          </cell>
        </row>
        <row r="91">
          <cell r="A91" t="str">
            <v>DEAS Property Fund Finland I Ky</v>
          </cell>
          <cell r="B91" t="str">
            <v>Non-Retail</v>
          </cell>
        </row>
        <row r="92">
          <cell r="A92" t="str">
            <v>DEAS Tontti Holding II Ky</v>
          </cell>
          <cell r="B92" t="str">
            <v>Retail</v>
          </cell>
        </row>
        <row r="93">
          <cell r="A93" t="str">
            <v>DEAS Tontti Holding II PB Ky</v>
          </cell>
          <cell r="B93" t="str">
            <v>Retail</v>
          </cell>
        </row>
        <row r="94">
          <cell r="A94" t="str">
            <v>DEAS Tontti Holding Ky</v>
          </cell>
          <cell r="B94" t="str">
            <v>Non-Retail</v>
          </cell>
        </row>
        <row r="95">
          <cell r="A95" t="str">
            <v>DEAS Tonttirahasto II Ky</v>
          </cell>
          <cell r="B95" t="str">
            <v>Retail</v>
          </cell>
        </row>
        <row r="96">
          <cell r="A96" t="str">
            <v>DEAS Tonttirahasto Ky</v>
          </cell>
          <cell r="B96" t="str">
            <v>Non-Retail</v>
          </cell>
        </row>
        <row r="97">
          <cell r="A97" t="str">
            <v>DevCo Partners III Feeder Ky</v>
          </cell>
          <cell r="B97" t="str">
            <v>Non-Retail</v>
          </cell>
        </row>
        <row r="98">
          <cell r="A98" t="str">
            <v>DevCo Partners III Ky</v>
          </cell>
          <cell r="B98" t="str">
            <v>Non-Retail</v>
          </cell>
        </row>
        <row r="99">
          <cell r="A99" t="str">
            <v>DevCo Partners IV Ky</v>
          </cell>
          <cell r="B99" t="str">
            <v>Non-Retail</v>
          </cell>
        </row>
        <row r="100">
          <cell r="A100" t="str">
            <v>DevCo Partners IV Syöttörahasto Ky</v>
          </cell>
          <cell r="B100" t="str">
            <v>Non-Retail</v>
          </cell>
        </row>
        <row r="101">
          <cell r="A101" t="str">
            <v>EAB Credit Fund I Ky</v>
          </cell>
          <cell r="B101" t="str">
            <v>Non-Retail</v>
          </cell>
        </row>
        <row r="102">
          <cell r="A102" t="str">
            <v>EAB Pääomarahastot I Ky</v>
          </cell>
          <cell r="B102" t="str">
            <v>Non-Retail</v>
          </cell>
        </row>
        <row r="103">
          <cell r="A103" t="str">
            <v>EAB Renewable Energy Infrastructure Fund II Feeder I Ky</v>
          </cell>
          <cell r="B103" t="str">
            <v>Retail</v>
          </cell>
        </row>
        <row r="104">
          <cell r="A104" t="str">
            <v>EAB Renewable Energy Infrastructure Fund II Feeder III Ky</v>
          </cell>
          <cell r="B104" t="str">
            <v>Retail</v>
          </cell>
        </row>
        <row r="105">
          <cell r="A105" t="str">
            <v>EAB Renewable Energy Infrastructure Fund II Feeder IV Ky</v>
          </cell>
          <cell r="B105" t="str">
            <v>Retail</v>
          </cell>
        </row>
        <row r="106">
          <cell r="A106" t="str">
            <v>EAB Renewable Energy Infrastructure Fund II Feeder IX Ky</v>
          </cell>
          <cell r="B106" t="str">
            <v>Retail</v>
          </cell>
        </row>
        <row r="107">
          <cell r="A107" t="str">
            <v>EAB Renewable Energy Infrastructure Fund II Feeder VI Ky</v>
          </cell>
          <cell r="B107" t="str">
            <v>Retail</v>
          </cell>
        </row>
        <row r="108">
          <cell r="A108" t="str">
            <v>EAB Renewable Energy Infrastructure Fund II Feeder VIII Ky</v>
          </cell>
          <cell r="B108" t="str">
            <v>Retail</v>
          </cell>
        </row>
        <row r="109">
          <cell r="A109" t="str">
            <v>EAB Value Added Fund III Feeder I Ky</v>
          </cell>
          <cell r="B109" t="str">
            <v>Retail</v>
          </cell>
        </row>
        <row r="110">
          <cell r="A110" t="str">
            <v>EAB Value Added Fund III Ky</v>
          </cell>
          <cell r="B110" t="str">
            <v>Retail</v>
          </cell>
        </row>
        <row r="111">
          <cell r="A111" t="str">
            <v>EAB Value Added Fund III SR II Ky</v>
          </cell>
          <cell r="B111" t="str">
            <v>Retail</v>
          </cell>
        </row>
        <row r="112">
          <cell r="A112" t="str">
            <v>EAB Value Added Fund III SR III Ky</v>
          </cell>
          <cell r="B112" t="str">
            <v>Retail</v>
          </cell>
        </row>
        <row r="113">
          <cell r="A113" t="str">
            <v>EAB Value Added Fund III SR IV Ky</v>
          </cell>
          <cell r="B113" t="str">
            <v>Retail</v>
          </cell>
        </row>
        <row r="114">
          <cell r="A114" t="str">
            <v>EAI Private Equity Feeder I Ky</v>
          </cell>
          <cell r="B114" t="str">
            <v>Non-Retail</v>
          </cell>
        </row>
        <row r="115">
          <cell r="A115" t="str">
            <v>EAI Residential Feeder Fund I Ky</v>
          </cell>
          <cell r="B115" t="str">
            <v>Non-Retail</v>
          </cell>
        </row>
        <row r="116">
          <cell r="A116" t="str">
            <v>EAI Residential Feeder Fund II Ky</v>
          </cell>
          <cell r="B116" t="str">
            <v>Non-Retail</v>
          </cell>
        </row>
        <row r="117">
          <cell r="A117" t="str">
            <v>EAI Residential Feeder Fund III Ky</v>
          </cell>
          <cell r="B117" t="str">
            <v>Retail</v>
          </cell>
        </row>
        <row r="118">
          <cell r="A118" t="str">
            <v>EAI Residential Feeder Fund IV Ky</v>
          </cell>
          <cell r="B118" t="str">
            <v>Retail</v>
          </cell>
        </row>
        <row r="119">
          <cell r="A119" t="str">
            <v>EAI Residential I Ky</v>
          </cell>
          <cell r="B119" t="str">
            <v>Non-Retail</v>
          </cell>
        </row>
        <row r="120">
          <cell r="A120" t="str">
            <v>Eduimpact Fund Feeder II Ky</v>
          </cell>
          <cell r="B120" t="str">
            <v>Retail</v>
          </cell>
        </row>
        <row r="121">
          <cell r="A121" t="str">
            <v>EduImpact Fund Feeder III Ky</v>
          </cell>
          <cell r="B121" t="str">
            <v>Retail</v>
          </cell>
        </row>
        <row r="122">
          <cell r="A122" t="str">
            <v>EduImpact Fund Feeder Ky</v>
          </cell>
          <cell r="B122" t="str">
            <v>Retail</v>
          </cell>
        </row>
        <row r="123">
          <cell r="A123" t="str">
            <v>EduImpact Fund Ky</v>
          </cell>
          <cell r="B123" t="str">
            <v>Non-Retail</v>
          </cell>
        </row>
        <row r="124">
          <cell r="A124" t="str">
            <v>EGP Feeder Fund I Ky</v>
          </cell>
          <cell r="B124" t="str">
            <v>Retail</v>
          </cell>
        </row>
        <row r="125">
          <cell r="A125" t="str">
            <v>EGP Feeder Fund II Ky</v>
          </cell>
          <cell r="B125" t="str">
            <v>Retail</v>
          </cell>
        </row>
        <row r="126">
          <cell r="A126" t="str">
            <v>EGP Fund I Ky</v>
          </cell>
          <cell r="B126" t="str">
            <v>Retail</v>
          </cell>
        </row>
        <row r="127">
          <cell r="A127" t="str">
            <v>EGP Fund II Ky</v>
          </cell>
          <cell r="B127" t="str">
            <v>Retail</v>
          </cell>
        </row>
        <row r="128">
          <cell r="A128" t="str">
            <v>Elite Aurinkotuotto I Ky</v>
          </cell>
          <cell r="B128" t="str">
            <v>Non-Retail</v>
          </cell>
        </row>
        <row r="129">
          <cell r="A129" t="str">
            <v>Elite Aurinkotuotto II Ky</v>
          </cell>
          <cell r="B129" t="str">
            <v>Non-Retail</v>
          </cell>
        </row>
        <row r="130">
          <cell r="A130" t="str">
            <v>Elite Finland Value Added Fund II Ky</v>
          </cell>
          <cell r="B130" t="str">
            <v>Non-Retail</v>
          </cell>
        </row>
        <row r="131">
          <cell r="A131" t="str">
            <v>Elite Finland Value Added Fund II Syöttörahasto II Ky</v>
          </cell>
          <cell r="B131" t="str">
            <v>Retail</v>
          </cell>
        </row>
        <row r="132">
          <cell r="A132" t="str">
            <v>Elite Intian Aurinko I Ky</v>
          </cell>
          <cell r="B132" t="str">
            <v>Non-Retail</v>
          </cell>
        </row>
        <row r="133">
          <cell r="A133" t="str">
            <v>Elite Kiinteistökehitysrahasto I Syöttörahasto II Ky</v>
          </cell>
          <cell r="B133" t="str">
            <v>Retail</v>
          </cell>
        </row>
        <row r="134">
          <cell r="A134" t="str">
            <v>Elite Älyenergia I Ky</v>
          </cell>
          <cell r="B134" t="str">
            <v>Retail</v>
          </cell>
        </row>
        <row r="135">
          <cell r="A135" t="str">
            <v>Epiqus Kotouttaminen Holding I Ky</v>
          </cell>
          <cell r="B135" t="str">
            <v>Non-Retail</v>
          </cell>
        </row>
        <row r="136">
          <cell r="A136" t="str">
            <v>Epiqus Kotouttaminen I Ky</v>
          </cell>
          <cell r="B136" t="str">
            <v>Non-Retail</v>
          </cell>
        </row>
        <row r="137">
          <cell r="A137" t="str">
            <v>eQ PE IX US Ky</v>
          </cell>
          <cell r="B137" t="str">
            <v>Non-Retail</v>
          </cell>
        </row>
        <row r="138">
          <cell r="A138" t="str">
            <v>eQ PE SF Ky</v>
          </cell>
          <cell r="B138" t="str">
            <v>Non-Retail</v>
          </cell>
        </row>
        <row r="139">
          <cell r="A139" t="str">
            <v>eQ PE Value I A Ky</v>
          </cell>
          <cell r="B139" t="str">
            <v>Retail</v>
          </cell>
        </row>
        <row r="140">
          <cell r="A140" t="str">
            <v>eQ PE Value I B Ky</v>
          </cell>
          <cell r="B140" t="str">
            <v>Non-Retail</v>
          </cell>
        </row>
        <row r="141">
          <cell r="A141" t="str">
            <v>eQ PE VI North Ky</v>
          </cell>
          <cell r="B141" t="str">
            <v>Non-Retail</v>
          </cell>
        </row>
        <row r="142">
          <cell r="A142" t="str">
            <v>eQ PE VII US Feeder I Ky</v>
          </cell>
          <cell r="B142" t="str">
            <v>Retail</v>
          </cell>
        </row>
        <row r="143">
          <cell r="A143" t="str">
            <v>eQ PE VII US Feeder II Ky</v>
          </cell>
          <cell r="B143" t="str">
            <v>Retail</v>
          </cell>
        </row>
        <row r="144">
          <cell r="A144" t="str">
            <v>eQ PE VII US Ky</v>
          </cell>
          <cell r="B144" t="str">
            <v>Retail</v>
          </cell>
        </row>
        <row r="145">
          <cell r="A145" t="str">
            <v>eQ PE VIII North Ky</v>
          </cell>
          <cell r="B145" t="str">
            <v>Non-Retail</v>
          </cell>
        </row>
        <row r="146">
          <cell r="A146" t="str">
            <v>eQ PE X North Ky</v>
          </cell>
          <cell r="B146" t="str">
            <v>Non-Retail</v>
          </cell>
        </row>
        <row r="147">
          <cell r="A147" t="str">
            <v>eQ PE XI US Ky</v>
          </cell>
          <cell r="B147" t="str">
            <v>Non-Retail</v>
          </cell>
        </row>
        <row r="148">
          <cell r="A148" t="str">
            <v>eQ PE XII North Ky</v>
          </cell>
          <cell r="B148" t="str">
            <v>Non-Retail</v>
          </cell>
        </row>
        <row r="149">
          <cell r="A149" t="str">
            <v>eQ PE XIII US Ky</v>
          </cell>
          <cell r="B149" t="str">
            <v>Non-Retail</v>
          </cell>
        </row>
        <row r="150">
          <cell r="A150" t="str">
            <v>eQ PE XIV North Ky</v>
          </cell>
          <cell r="B150" t="str">
            <v>Retail</v>
          </cell>
        </row>
        <row r="151">
          <cell r="A151" t="str">
            <v>eQ PE XV US Ky</v>
          </cell>
          <cell r="B151" t="str">
            <v>Non-Retail</v>
          </cell>
        </row>
        <row r="152">
          <cell r="A152" t="str">
            <v>Erikoissijoitusrahasto Aktia Asunnot+</v>
          </cell>
          <cell r="B152" t="str">
            <v>Retail</v>
          </cell>
        </row>
        <row r="153">
          <cell r="A153" t="str">
            <v>Erikoissijoitusrahasto Aktia Impakti</v>
          </cell>
          <cell r="B153" t="str">
            <v>Retail</v>
          </cell>
        </row>
        <row r="154">
          <cell r="A154" t="str">
            <v>Erikoissijoitusrahasto Aktia Mikro Markka</v>
          </cell>
          <cell r="B154" t="str">
            <v>Retail</v>
          </cell>
        </row>
        <row r="155">
          <cell r="A155" t="str">
            <v>Erikoissijoitusrahasto Aktia Mikro Rein</v>
          </cell>
          <cell r="B155" t="str">
            <v>Retail</v>
          </cell>
        </row>
        <row r="156">
          <cell r="A156" t="str">
            <v>Erikoissijoitusrahasto Aktia Private alarahasto Aktia Family Fund One</v>
          </cell>
          <cell r="B156" t="str">
            <v>Retail</v>
          </cell>
        </row>
        <row r="157">
          <cell r="A157" t="str">
            <v>Erikoissijoitusrahasto Aktia Vaihtoehtoiset</v>
          </cell>
          <cell r="B157" t="str">
            <v>Retail</v>
          </cell>
        </row>
        <row r="158">
          <cell r="A158" t="str">
            <v>Erikoissijoitusrahasto Aktia Vakaa Korko</v>
          </cell>
          <cell r="B158" t="str">
            <v>Retail</v>
          </cell>
        </row>
        <row r="159">
          <cell r="A159" t="str">
            <v>Erikoissijoitusrahasto Aktia Varainhoitosalkku+ Maltillinen</v>
          </cell>
          <cell r="B159" t="str">
            <v>Retail</v>
          </cell>
        </row>
        <row r="160">
          <cell r="A160" t="str">
            <v>Erikoissijoitusrahasto Aktia Varainhoitosalkku+ Tasapainoinen</v>
          </cell>
          <cell r="B160" t="str">
            <v>Retail</v>
          </cell>
        </row>
        <row r="161">
          <cell r="A161" t="str">
            <v>Erikoissijoitusrahasto Aktia Varainhoitosalkku+ Tuottohakuinen</v>
          </cell>
          <cell r="B161" t="str">
            <v>Retail</v>
          </cell>
        </row>
        <row r="162">
          <cell r="A162" t="str">
            <v>Erikoissijoitusrahasto Amanda eQ V East Feeder</v>
          </cell>
          <cell r="B162" t="str">
            <v>Non-Retail</v>
          </cell>
        </row>
        <row r="163">
          <cell r="A163" t="str">
            <v>Erikoissijoitusrahasto Aristoi Minoa</v>
          </cell>
          <cell r="B163" t="str">
            <v>Retail</v>
          </cell>
        </row>
        <row r="164">
          <cell r="A164" t="str">
            <v>Erikoissijoitusrahasto Asilo Argo</v>
          </cell>
          <cell r="B164" t="str">
            <v>Retail</v>
          </cell>
        </row>
        <row r="165">
          <cell r="A165" t="str">
            <v>Erikoissijoitusrahasto CapMan Endowment Nordic Infrastructure II Fund</v>
          </cell>
          <cell r="B165" t="str">
            <v>Non-Retail</v>
          </cell>
        </row>
        <row r="166">
          <cell r="A166" t="str">
            <v>Erikoissijoitusrahasto CapMan Nordic Property Income Fund</v>
          </cell>
          <cell r="B166" t="str">
            <v>Retail</v>
          </cell>
        </row>
        <row r="167">
          <cell r="A167" t="str">
            <v>Erikoissijoitusrahasto CapMan Tre Smeder</v>
          </cell>
          <cell r="B167" t="str">
            <v>Non-Retail</v>
          </cell>
        </row>
        <row r="168">
          <cell r="A168" t="str">
            <v>Erikoissijoitusrahasto CWS Investment Partners Fund</v>
          </cell>
          <cell r="B168" t="str">
            <v>Non-Retail</v>
          </cell>
        </row>
        <row r="169">
          <cell r="A169" t="str">
            <v>Erikoissijoitusrahasto CWS Investment Partners Fund II</v>
          </cell>
          <cell r="B169" t="str">
            <v>Non-Retail</v>
          </cell>
        </row>
        <row r="170">
          <cell r="A170" t="str">
            <v>Erikoissijoitusrahasto CWS Investment Partners Fund III</v>
          </cell>
          <cell r="B170" t="str">
            <v>Non-Retail</v>
          </cell>
        </row>
        <row r="171">
          <cell r="A171" t="str">
            <v>Erikoissijoitusrahasto Danske Invest Emerging Markets Debt</v>
          </cell>
          <cell r="B171" t="str">
            <v>Retail</v>
          </cell>
        </row>
        <row r="172">
          <cell r="A172" t="str">
            <v>Erikoissijoitusrahasto eQ Asunnot</v>
          </cell>
          <cell r="B172" t="str">
            <v>Non-Retail</v>
          </cell>
        </row>
        <row r="173">
          <cell r="A173" t="str">
            <v>Erikoissijoitusrahasto eQ Asunnot II</v>
          </cell>
          <cell r="B173" t="str">
            <v>Non-Retail</v>
          </cell>
        </row>
        <row r="174">
          <cell r="A174" t="str">
            <v>Erikoissijoitusrahasto eQ Euro Investment Grade Indeksi</v>
          </cell>
          <cell r="B174" t="str">
            <v>Retail</v>
          </cell>
        </row>
        <row r="175">
          <cell r="A175" t="str">
            <v>Erikoissijoitusrahasto eQ Eurooppa Aktiivi</v>
          </cell>
          <cell r="B175" t="str">
            <v>Retail</v>
          </cell>
        </row>
        <row r="176">
          <cell r="A176" t="str">
            <v>Erikoissijoitusrahasto eQ Eurooppa Indeksi</v>
          </cell>
          <cell r="B176" t="str">
            <v>Retail</v>
          </cell>
        </row>
        <row r="177">
          <cell r="A177" t="str">
            <v>Erikoissijoitusrahasto eQ Frontier Osake</v>
          </cell>
          <cell r="B177" t="str">
            <v>Retail</v>
          </cell>
        </row>
        <row r="178">
          <cell r="A178" t="str">
            <v>Erikoissijoitusrahasto eQ Japani Indeksi</v>
          </cell>
          <cell r="B178" t="str">
            <v>Retail</v>
          </cell>
        </row>
        <row r="179">
          <cell r="A179" t="str">
            <v>Erikoissijoitusrahasto eQ Kehittyvät Markkinat Indeksi</v>
          </cell>
          <cell r="B179" t="str">
            <v>Retail</v>
          </cell>
        </row>
        <row r="180">
          <cell r="A180" t="str">
            <v>Erikoissijoitusrahasto eQ Kehittyvät Markkinat Pienyhtiö</v>
          </cell>
          <cell r="B180" t="str">
            <v>Retail</v>
          </cell>
        </row>
        <row r="181">
          <cell r="A181" t="str">
            <v>Erikoissijoitusrahasto eQ Kehittyvät Markkinat Yrityslaina Paikallisvaluutta</v>
          </cell>
          <cell r="B181" t="str">
            <v>Retail</v>
          </cell>
        </row>
        <row r="182">
          <cell r="A182" t="str">
            <v>Erikoissijoitusrahasto eQ Liikekiinteistöt</v>
          </cell>
          <cell r="B182" t="str">
            <v>Retail</v>
          </cell>
        </row>
        <row r="183">
          <cell r="A183" t="str">
            <v>Erikoissijoitusrahasto eQ Mandaatti</v>
          </cell>
          <cell r="B183" t="str">
            <v>Retail</v>
          </cell>
        </row>
        <row r="184">
          <cell r="A184" t="str">
            <v>Erikoissijoitusrahasto eQ PE 4 E-stiftelser</v>
          </cell>
          <cell r="B184" t="str">
            <v>Non-Retail</v>
          </cell>
        </row>
        <row r="185">
          <cell r="A185" t="str">
            <v>Erikoissijoitusrahasto eQ PE CCF</v>
          </cell>
          <cell r="B185" t="str">
            <v>Non-Retail</v>
          </cell>
        </row>
        <row r="186">
          <cell r="A186" t="str">
            <v>Erikoissijoitusrahasto eQ PE EAS</v>
          </cell>
          <cell r="B186" t="str">
            <v>Non-Retail</v>
          </cell>
        </row>
        <row r="187">
          <cell r="A187" t="str">
            <v>Erikoissijoitusrahasto eQ PE Elva</v>
          </cell>
          <cell r="B187" t="str">
            <v>Non-Retail</v>
          </cell>
        </row>
        <row r="188">
          <cell r="A188" t="str">
            <v>Erikoissijoitusrahasto eQ PE Espoo</v>
          </cell>
          <cell r="B188" t="str">
            <v>Non-Retail</v>
          </cell>
        </row>
        <row r="189">
          <cell r="A189" t="str">
            <v>Erikoissijoitusrahasto eQ PE HABS</v>
          </cell>
          <cell r="B189" t="str">
            <v>Non-Retail</v>
          </cell>
        </row>
        <row r="190">
          <cell r="A190" t="str">
            <v>Erikoissijoitusrahasto eQ PE Hereditas</v>
          </cell>
          <cell r="B190" t="str">
            <v>Non-Retail</v>
          </cell>
        </row>
        <row r="191">
          <cell r="A191" t="str">
            <v>Erikoissijoitusrahasto eQ PE IX US Feeder</v>
          </cell>
          <cell r="B191" t="str">
            <v>Non-Retail</v>
          </cell>
        </row>
        <row r="192">
          <cell r="A192" t="str">
            <v>Erikoissijoitusrahasto eQ PE JAW</v>
          </cell>
          <cell r="B192" t="str">
            <v>Non-Retail</v>
          </cell>
        </row>
        <row r="193">
          <cell r="A193" t="str">
            <v>Erikoissijoitusrahasto eQ PE Pro</v>
          </cell>
          <cell r="B193" t="str">
            <v>Non-Retail</v>
          </cell>
        </row>
        <row r="194">
          <cell r="A194" t="str">
            <v>Erikoissijoitusrahasto eQ PE SF II</v>
          </cell>
          <cell r="B194" t="str">
            <v>Non-Retail</v>
          </cell>
        </row>
        <row r="195">
          <cell r="A195" t="str">
            <v>Erikoissijoitusrahasto eQ PE SF III</v>
          </cell>
          <cell r="B195" t="str">
            <v>Non-Retail</v>
          </cell>
        </row>
        <row r="196">
          <cell r="A196" t="str">
            <v>Erikoissijoitusrahasto eQ PE SF IV</v>
          </cell>
          <cell r="B196" t="str">
            <v>Non-Retail</v>
          </cell>
        </row>
        <row r="197">
          <cell r="A197" t="str">
            <v>Erikoissijoitusrahasto eQ PE SJS</v>
          </cell>
          <cell r="B197" t="str">
            <v>Non-Retail</v>
          </cell>
        </row>
        <row r="198">
          <cell r="A198" t="str">
            <v>Erikoissijoitusrahasto eQ PE SKR</v>
          </cell>
          <cell r="B198" t="str">
            <v>Non-Retail</v>
          </cell>
        </row>
        <row r="199">
          <cell r="A199" t="str">
            <v>Erikoissijoitusrahasto eQ PE SLS</v>
          </cell>
          <cell r="B199" t="str">
            <v>Non-Retail</v>
          </cell>
        </row>
        <row r="200">
          <cell r="A200" t="str">
            <v>Erikoissijoitusrahasto eQ PE TSR 2016</v>
          </cell>
          <cell r="B200" t="str">
            <v>Non-Retail</v>
          </cell>
        </row>
        <row r="201">
          <cell r="A201" t="str">
            <v>Erikoissijoitusrahasto eQ PE TSR 2019</v>
          </cell>
          <cell r="B201" t="str">
            <v>Non-Retail</v>
          </cell>
        </row>
        <row r="202">
          <cell r="A202" t="str">
            <v>Erikoissijoitusrahasto eQ PE TSR 2022</v>
          </cell>
          <cell r="B202" t="str">
            <v>Non-Retail</v>
          </cell>
        </row>
        <row r="203">
          <cell r="A203" t="str">
            <v>Erikoissijoitusrahasto eQ PE UTU</v>
          </cell>
          <cell r="B203" t="str">
            <v>Non-Retail</v>
          </cell>
        </row>
        <row r="204">
          <cell r="A204" t="str">
            <v>Erikoissijoitusrahasto eQ PE VEK</v>
          </cell>
          <cell r="B204" t="str">
            <v>Non-Retail</v>
          </cell>
        </row>
        <row r="205">
          <cell r="A205" t="str">
            <v>Erikoissijoitusrahasto eQ PE VI North Feeder</v>
          </cell>
          <cell r="B205" t="str">
            <v>Non-Retail</v>
          </cell>
        </row>
        <row r="206">
          <cell r="A206" t="str">
            <v>Erikoissijoitusrahasto eQ PE VII US Feeder II</v>
          </cell>
          <cell r="B206" t="str">
            <v>Non-Retail</v>
          </cell>
        </row>
        <row r="207">
          <cell r="A207" t="str">
            <v>Erikoissijoitusrahasto eQ PE VIII North Feeder</v>
          </cell>
          <cell r="B207" t="str">
            <v>Non-Retail</v>
          </cell>
        </row>
        <row r="208">
          <cell r="A208" t="str">
            <v>Erikoissijoitusrahasto eQ PE X North Feeder</v>
          </cell>
          <cell r="B208" t="str">
            <v>Non-Retail</v>
          </cell>
        </row>
        <row r="209">
          <cell r="A209" t="str">
            <v>Erikoissijoitusrahasto eQ PE XI US Feeder</v>
          </cell>
          <cell r="B209" t="str">
            <v>Non-Retail</v>
          </cell>
        </row>
        <row r="210">
          <cell r="A210" t="str">
            <v>Erikoissijoitusrahasto eQ PE XII North Feeder</v>
          </cell>
          <cell r="B210" t="str">
            <v>Non-Retail</v>
          </cell>
        </row>
        <row r="211">
          <cell r="A211" t="str">
            <v>Erikoissijoitusrahasto eQ PE XIII US Feeder</v>
          </cell>
          <cell r="B211" t="str">
            <v>Non-Retail</v>
          </cell>
        </row>
        <row r="212">
          <cell r="A212" t="str">
            <v>Erikoissijoitusrahasto eQ PE XIV North Feeder</v>
          </cell>
          <cell r="B212" t="str">
            <v>Non-Retail</v>
          </cell>
        </row>
        <row r="213">
          <cell r="A213" t="str">
            <v>Erikoissijoitusrahasto eQ PE XV US Feeder</v>
          </cell>
          <cell r="B213" t="str">
            <v>Non-Retail</v>
          </cell>
        </row>
        <row r="214">
          <cell r="A214" t="str">
            <v>Erikoissijoitusrahasto eQ Private Credit</v>
          </cell>
          <cell r="B214" t="str">
            <v>Non-Retail</v>
          </cell>
        </row>
        <row r="215">
          <cell r="A215" t="str">
            <v>Erikoissijoitusrahasto eQ Private Credit II</v>
          </cell>
          <cell r="B215" t="str">
            <v>Non-Retail</v>
          </cell>
        </row>
        <row r="216">
          <cell r="A216" t="str">
            <v>Erikoissijoitusrahasto eQ Private Credit III</v>
          </cell>
          <cell r="B216" t="str">
            <v>Non-Retail</v>
          </cell>
        </row>
        <row r="217">
          <cell r="A217" t="str">
            <v>Erikoissijoitusrahasto eQ USA Indeksi</v>
          </cell>
          <cell r="B217" t="str">
            <v>Retail</v>
          </cell>
        </row>
        <row r="218">
          <cell r="A218" t="str">
            <v>Erikoissijoitusrahasto eQ VC</v>
          </cell>
          <cell r="B218" t="str">
            <v>Non-Retail</v>
          </cell>
        </row>
        <row r="219">
          <cell r="A219" t="str">
            <v>Erikoissijoitusrahasto eQ VC II</v>
          </cell>
          <cell r="B219" t="str">
            <v>Non-Retail</v>
          </cell>
        </row>
        <row r="220">
          <cell r="A220" t="str">
            <v>Erikoissijoitusrahasto eQ Yhteiskuntakiinteistöt</v>
          </cell>
          <cell r="B220" t="str">
            <v>Retail</v>
          </cell>
        </row>
        <row r="221">
          <cell r="A221" t="str">
            <v>Erikoissijoitusrahasto Estlander &amp; Partners Alpha Trend 3x</v>
          </cell>
          <cell r="B221" t="str">
            <v>Retail</v>
          </cell>
        </row>
        <row r="222">
          <cell r="A222" t="str">
            <v>Erikoissijoitusrahasto Estlander &amp; Partners Freedom</v>
          </cell>
          <cell r="B222" t="str">
            <v>Retail</v>
          </cell>
        </row>
        <row r="223">
          <cell r="A223" t="str">
            <v>Erikoissijoitusrahasto Estlander &amp; Partners Portfolio Enhancing Fund AIII</v>
          </cell>
          <cell r="B223" t="str">
            <v>Non-Retail</v>
          </cell>
        </row>
        <row r="224">
          <cell r="A224" t="str">
            <v>Erikoissijoitusrahasto Evli Finland Value Added Fund II Feeder</v>
          </cell>
          <cell r="B224" t="str">
            <v>Non-Retail</v>
          </cell>
        </row>
        <row r="225">
          <cell r="A225" t="str">
            <v>Erikoissijoitusrahasto Evli Finland Value Added Fund II Feeder II</v>
          </cell>
          <cell r="B225" t="str">
            <v>Non-Retail</v>
          </cell>
        </row>
        <row r="226">
          <cell r="A226" t="str">
            <v>Erikoissijoitusrahasto Evli Healthcare I Feeder B</v>
          </cell>
          <cell r="B226" t="str">
            <v>Non-Retail</v>
          </cell>
        </row>
        <row r="227">
          <cell r="A227" t="str">
            <v>Erikoissijoitusrahasto Evli Intian Aurinko I Feeder I</v>
          </cell>
          <cell r="B227" t="str">
            <v>Non-Retail</v>
          </cell>
        </row>
        <row r="228">
          <cell r="A228" t="str">
            <v>Erikoissijoitusrahasto Evli Leveraged Loan</v>
          </cell>
          <cell r="B228" t="str">
            <v>Retail</v>
          </cell>
        </row>
        <row r="229">
          <cell r="A229" t="str">
            <v>Erikoissijoitusrahasto Evli Logistiikkakiinteistöt</v>
          </cell>
          <cell r="B229" t="str">
            <v>Retail</v>
          </cell>
        </row>
        <row r="230">
          <cell r="A230" t="str">
            <v>Erikoissijoitusrahasto Evli Q7</v>
          </cell>
          <cell r="B230" t="str">
            <v>Retail</v>
          </cell>
        </row>
        <row r="231">
          <cell r="A231" t="str">
            <v>Erikoissijoitusrahasto Evli Vuokratuotto</v>
          </cell>
          <cell r="B231" t="str">
            <v>Retail</v>
          </cell>
        </row>
        <row r="232">
          <cell r="A232" t="str">
            <v>Erikoissijoitusrahasto Evli Vuokratuotto II</v>
          </cell>
          <cell r="B232" t="str">
            <v>Retail</v>
          </cell>
        </row>
        <row r="233">
          <cell r="A233" t="str">
            <v>Erikoissijoitusrahasto Finlandia Asset Allocator 25</v>
          </cell>
          <cell r="B233" t="str">
            <v>Retail</v>
          </cell>
        </row>
        <row r="234">
          <cell r="A234" t="str">
            <v>Erikoissijoitusrahasto Finlandia Asset Allocator 50</v>
          </cell>
          <cell r="B234" t="str">
            <v>Retail</v>
          </cell>
        </row>
        <row r="235">
          <cell r="A235" t="str">
            <v>Erikoissijoitusrahasto Finlandia Asset Allocator 75</v>
          </cell>
          <cell r="B235" t="str">
            <v>Retail</v>
          </cell>
        </row>
        <row r="236">
          <cell r="A236" t="str">
            <v>Erikoissijoitusrahasto HCP Black</v>
          </cell>
          <cell r="B236" t="str">
            <v>Retail</v>
          </cell>
        </row>
        <row r="237">
          <cell r="A237" t="str">
            <v>Erikoissijoitusrahasto HCP Bricks</v>
          </cell>
          <cell r="B237" t="str">
            <v>Retail</v>
          </cell>
        </row>
        <row r="238">
          <cell r="A238" t="str">
            <v>Erikoissijoitusrahasto HCP Focus</v>
          </cell>
          <cell r="B238" t="str">
            <v>Retail</v>
          </cell>
        </row>
        <row r="239">
          <cell r="A239" t="str">
            <v>Erikoissijoitusrahasto HCP Quant</v>
          </cell>
          <cell r="B239" t="str">
            <v>Retail</v>
          </cell>
        </row>
        <row r="240">
          <cell r="A240" t="str">
            <v>Erikoissijoitusrahasto Investors Tuottokiinteistöt</v>
          </cell>
          <cell r="B240" t="str">
            <v>Retail</v>
          </cell>
        </row>
        <row r="241">
          <cell r="A241" t="str">
            <v>Erikoissijoitusrahasto Kansainväliset Kiinteistöt</v>
          </cell>
          <cell r="B241" t="str">
            <v>Retail</v>
          </cell>
        </row>
        <row r="242">
          <cell r="A242" t="str">
            <v>Erikoissijoitusrahasto LähiTapiola Sijoituskiinteistöt</v>
          </cell>
          <cell r="B242" t="str">
            <v>Retail</v>
          </cell>
        </row>
        <row r="243">
          <cell r="A243" t="str">
            <v>Erikoissijoitusrahasto Mandatum AM Suomi Kiinteistöt II</v>
          </cell>
          <cell r="B243" t="str">
            <v>Retail</v>
          </cell>
        </row>
        <row r="244">
          <cell r="A244" t="str">
            <v>Erikoissijoitusrahasto Nordea Global Private Markets</v>
          </cell>
          <cell r="B244" t="str">
            <v>Retail</v>
          </cell>
        </row>
        <row r="245">
          <cell r="A245" t="str">
            <v>Erikoissijoitusrahasto Nordea Navigo</v>
          </cell>
          <cell r="B245" t="str">
            <v>Retail</v>
          </cell>
        </row>
        <row r="246">
          <cell r="A246" t="str">
            <v>Erikoissijoitusrahasto Nordea Private Banking Norsk Aksje Portefølje</v>
          </cell>
          <cell r="B246" t="str">
            <v>Retail</v>
          </cell>
        </row>
        <row r="247">
          <cell r="A247" t="str">
            <v>Erikoissijoitusrahasto Obsido Global Aggressive</v>
          </cell>
          <cell r="B247" t="str">
            <v>Retail</v>
          </cell>
        </row>
        <row r="248">
          <cell r="A248" t="str">
            <v>Erikoissijoitusrahasto Obsido Global Balanced</v>
          </cell>
          <cell r="B248" t="str">
            <v>Retail</v>
          </cell>
        </row>
        <row r="249">
          <cell r="A249" t="str">
            <v>Erikoissijoitusrahasto Proprius Partners DACH Value</v>
          </cell>
          <cell r="B249" t="str">
            <v>Retail</v>
          </cell>
        </row>
        <row r="250">
          <cell r="A250" t="str">
            <v>Erikoissijoitusrahasto Proprius Partners Micro Finland</v>
          </cell>
          <cell r="B250" t="str">
            <v>Retail</v>
          </cell>
        </row>
        <row r="251">
          <cell r="A251" t="str">
            <v>Erikoissijoitusrahasto Proprius Partners Micro Scandinavia</v>
          </cell>
          <cell r="B251" t="str">
            <v>Retail</v>
          </cell>
        </row>
        <row r="252">
          <cell r="A252" t="str">
            <v>Erikoissijoitusrahasto Titanium Asunto</v>
          </cell>
          <cell r="B252" t="str">
            <v>Retail</v>
          </cell>
        </row>
        <row r="253">
          <cell r="A253" t="str">
            <v>Erikoissijoitusrahasto Titanium Baltia Kiinteistö</v>
          </cell>
          <cell r="B253" t="str">
            <v>Retail</v>
          </cell>
        </row>
        <row r="254">
          <cell r="A254" t="str">
            <v>Erikoissijoitusrahasto Titanium Hoivakiinteistö</v>
          </cell>
          <cell r="B254" t="str">
            <v>Retail</v>
          </cell>
        </row>
        <row r="255">
          <cell r="A255" t="str">
            <v>Erikoissijoitusrahasto Titanium Varainhoito</v>
          </cell>
          <cell r="B255" t="str">
            <v>Retail</v>
          </cell>
        </row>
        <row r="256">
          <cell r="A256" t="str">
            <v>Erikoissijoitusrahasto UB High Yield</v>
          </cell>
          <cell r="B256" t="str">
            <v>Retail</v>
          </cell>
        </row>
        <row r="257">
          <cell r="A257" t="str">
            <v>Erikoissijoitusrahasto UB Maailma</v>
          </cell>
          <cell r="B257" t="str">
            <v>Retail</v>
          </cell>
        </row>
        <row r="258">
          <cell r="A258" t="str">
            <v>Erikoissijoitusrahasto UB Metsä</v>
          </cell>
          <cell r="B258" t="str">
            <v>Retail</v>
          </cell>
        </row>
        <row r="259">
          <cell r="A259" t="str">
            <v>Erikoissijoitusrahasto UB Metsä Global</v>
          </cell>
          <cell r="B259" t="str">
            <v>Retail</v>
          </cell>
        </row>
        <row r="260">
          <cell r="A260" t="str">
            <v>Erikoissijoitusrahasto UB Nordic Forest Fund IV Syöttörahasto</v>
          </cell>
          <cell r="B260" t="str">
            <v>Non-Retail</v>
          </cell>
        </row>
        <row r="261">
          <cell r="A261" t="str">
            <v>Erikoissijoitusrahasto UB Pohjoismaiset Liikekiinteistöt</v>
          </cell>
          <cell r="B261" t="str">
            <v>Retail</v>
          </cell>
        </row>
        <row r="262">
          <cell r="A262" t="str">
            <v>Erikoissijoitusrahasto UB Smart</v>
          </cell>
          <cell r="B262" t="str">
            <v>Retail</v>
          </cell>
        </row>
        <row r="263">
          <cell r="A263" t="str">
            <v>Erikoissijoitusrahasto UB Suomi Kiinteistöt</v>
          </cell>
          <cell r="B263" t="str">
            <v>Retail</v>
          </cell>
        </row>
        <row r="264">
          <cell r="A264" t="str">
            <v>Erikoissijoitusrahasto UB Uusiutuva Energia</v>
          </cell>
          <cell r="B264" t="str">
            <v>Retail</v>
          </cell>
        </row>
        <row r="265">
          <cell r="A265" t="str">
            <v>Essedel Russia Opportunity Fund Ky</v>
          </cell>
          <cell r="B265" t="str">
            <v>Non-Retail</v>
          </cell>
        </row>
        <row r="266">
          <cell r="A266" t="str">
            <v>Estlander &amp; Partners Tailhedge Erikoissijoitusrahasto</v>
          </cell>
          <cell r="B266" t="str">
            <v>Non-Retail</v>
          </cell>
        </row>
        <row r="267">
          <cell r="A267" t="str">
            <v>Ethos Light Industrial Strategies I Ky</v>
          </cell>
          <cell r="B267" t="str">
            <v>Retail</v>
          </cell>
        </row>
        <row r="268">
          <cell r="A268" t="str">
            <v>EW1 Venture Fund Ky</v>
          </cell>
          <cell r="B268" t="str">
            <v>Non-Retail</v>
          </cell>
        </row>
        <row r="269">
          <cell r="A269" t="str">
            <v>Evli Healthcare I Feeder A Ky</v>
          </cell>
          <cell r="B269" t="str">
            <v>Retail</v>
          </cell>
        </row>
        <row r="270">
          <cell r="A270" t="str">
            <v>Evli Healthcare I Feeder C Ky</v>
          </cell>
          <cell r="B270" t="str">
            <v>Retail</v>
          </cell>
        </row>
        <row r="271">
          <cell r="A271" t="str">
            <v>Evli Healthcare I Feeder D Ky</v>
          </cell>
          <cell r="B271" t="str">
            <v>Retail</v>
          </cell>
        </row>
        <row r="272">
          <cell r="A272" t="str">
            <v>Evli Healthcare I Ky</v>
          </cell>
          <cell r="B272" t="str">
            <v>Retail</v>
          </cell>
        </row>
        <row r="273">
          <cell r="A273" t="str">
            <v>Evli Impact Forest Fund I Ky</v>
          </cell>
          <cell r="B273" t="str">
            <v>Retail</v>
          </cell>
        </row>
        <row r="274">
          <cell r="A274" t="str">
            <v>Evli Impact Forest Fund II Ky</v>
          </cell>
          <cell r="B274" t="str">
            <v>Retail</v>
          </cell>
        </row>
        <row r="275">
          <cell r="A275" t="str">
            <v>Evli Impact Forest I Feeder A Ky</v>
          </cell>
          <cell r="B275" t="str">
            <v>Retail</v>
          </cell>
        </row>
        <row r="276">
          <cell r="A276" t="str">
            <v>Evli Impact Forest II Feeder A Ky</v>
          </cell>
          <cell r="B276" t="str">
            <v>Retail</v>
          </cell>
        </row>
        <row r="277">
          <cell r="A277" t="str">
            <v>Evli Infrastructure Fund I Ky</v>
          </cell>
          <cell r="B277" t="str">
            <v>Retail</v>
          </cell>
        </row>
        <row r="278">
          <cell r="A278" t="str">
            <v>Evli Infrastructure Fund II Ky</v>
          </cell>
          <cell r="B278" t="str">
            <v>Retail</v>
          </cell>
        </row>
        <row r="279">
          <cell r="A279" t="str">
            <v>Evli Infrastructure I Feeder A Ky</v>
          </cell>
          <cell r="B279" t="str">
            <v>Retail</v>
          </cell>
        </row>
        <row r="280">
          <cell r="A280" t="str">
            <v>Evli Infrastructure II Feeder A Ky</v>
          </cell>
          <cell r="B280" t="str">
            <v>Retail</v>
          </cell>
        </row>
        <row r="281">
          <cell r="A281" t="str">
            <v>Evli Kiinteistökehitys II Syöttörahasto III Ky</v>
          </cell>
          <cell r="B281" t="str">
            <v>Retail</v>
          </cell>
        </row>
        <row r="282">
          <cell r="A282" t="str">
            <v>Evli Kiinteistökehitys II Syöttörahasto IV Ky</v>
          </cell>
          <cell r="B282" t="str">
            <v>Retail</v>
          </cell>
        </row>
        <row r="283">
          <cell r="A283" t="str">
            <v>Evli Private Debt Fund I Ky</v>
          </cell>
          <cell r="B283" t="str">
            <v>Retail</v>
          </cell>
        </row>
        <row r="284">
          <cell r="A284" t="str">
            <v>Evli Private Debt I Feeder A Ky</v>
          </cell>
          <cell r="B284" t="str">
            <v>Retail</v>
          </cell>
        </row>
        <row r="285">
          <cell r="A285" t="str">
            <v>Evli Private Debt II Feeder A Ky</v>
          </cell>
          <cell r="B285" t="str">
            <v>Retail</v>
          </cell>
        </row>
        <row r="286">
          <cell r="A286" t="str">
            <v>Evli Private Debt II Ky</v>
          </cell>
          <cell r="B286" t="str">
            <v>Retail</v>
          </cell>
        </row>
        <row r="287">
          <cell r="A287" t="str">
            <v>Evli Private Equity I Ky</v>
          </cell>
          <cell r="B287" t="str">
            <v>Non-Retail</v>
          </cell>
        </row>
        <row r="288">
          <cell r="A288" t="str">
            <v>Evli Private Equity II Feeder A Ky</v>
          </cell>
          <cell r="B288" t="str">
            <v>Retail</v>
          </cell>
        </row>
        <row r="289">
          <cell r="A289" t="str">
            <v>Evli Private Equity II Feeder B Ky</v>
          </cell>
          <cell r="B289" t="str">
            <v>Retail</v>
          </cell>
        </row>
        <row r="290">
          <cell r="A290" t="str">
            <v>Evli Private Equity II Ky</v>
          </cell>
          <cell r="B290" t="str">
            <v>Retail</v>
          </cell>
        </row>
        <row r="291">
          <cell r="A291" t="str">
            <v>Evli Private Equity III Feeder A Ky</v>
          </cell>
          <cell r="B291" t="str">
            <v>Retail</v>
          </cell>
        </row>
        <row r="292">
          <cell r="A292" t="str">
            <v>Evli Private Equity III Feeder B Ky</v>
          </cell>
          <cell r="B292" t="str">
            <v>Retail</v>
          </cell>
        </row>
        <row r="293">
          <cell r="A293" t="str">
            <v>Evli Private Equity III Ky</v>
          </cell>
          <cell r="B293" t="str">
            <v>Retail</v>
          </cell>
        </row>
        <row r="294">
          <cell r="A294" t="str">
            <v>Evli Renewable Energy Infrastructure Fund Il Ky</v>
          </cell>
          <cell r="B294" t="str">
            <v>Retail</v>
          </cell>
        </row>
        <row r="295">
          <cell r="A295" t="str">
            <v>Evli Residential Fund II Ky</v>
          </cell>
          <cell r="B295" t="str">
            <v>Retail</v>
          </cell>
        </row>
        <row r="296">
          <cell r="A296" t="str">
            <v>Evli Residential II Feeder A Ky</v>
          </cell>
          <cell r="B296" t="str">
            <v>Retail</v>
          </cell>
        </row>
        <row r="297">
          <cell r="A297" t="str">
            <v>Evli Uusiutuva Energia II SR II Ky</v>
          </cell>
          <cell r="B297" t="str">
            <v>Retail</v>
          </cell>
        </row>
        <row r="298">
          <cell r="A298" t="str">
            <v>Evli Uusiutuva Energia II SR V Ky</v>
          </cell>
          <cell r="B298" t="str">
            <v>Retail</v>
          </cell>
        </row>
        <row r="299">
          <cell r="A299" t="str">
            <v>Evli Uusiutuva Energia II SR VII Ky</v>
          </cell>
          <cell r="B299" t="str">
            <v>Retail</v>
          </cell>
        </row>
        <row r="300">
          <cell r="A300" t="str">
            <v>Evolver Fund I  Ky</v>
          </cell>
          <cell r="B300" t="str">
            <v>Retail</v>
          </cell>
        </row>
        <row r="301">
          <cell r="A301" t="str">
            <v>Failup Fund I Ky</v>
          </cell>
          <cell r="B301" t="str">
            <v>Retail</v>
          </cell>
        </row>
        <row r="302">
          <cell r="A302" t="str">
            <v>FIM Infrastructure Mezzanine Debt Fund I Ky</v>
          </cell>
          <cell r="B302" t="str">
            <v>Non-Retail</v>
          </cell>
        </row>
        <row r="303">
          <cell r="A303" t="str">
            <v>FIM Infrastructure Mezzanine Debt Fund II Ky</v>
          </cell>
          <cell r="B303" t="str">
            <v>Non-Retail</v>
          </cell>
        </row>
        <row r="304">
          <cell r="A304" t="str">
            <v>FIM Infrastructure Mezzanine Debt Fund III Ky</v>
          </cell>
          <cell r="B304" t="str">
            <v>Non-Retail</v>
          </cell>
        </row>
        <row r="305">
          <cell r="A305" t="str">
            <v>FIM Lapset ja nuoret Holding I Ky</v>
          </cell>
          <cell r="B305" t="str">
            <v>Non-Retail</v>
          </cell>
        </row>
        <row r="306">
          <cell r="A306" t="str">
            <v>FIM Lapset ja nuoret I Ky</v>
          </cell>
          <cell r="B306" t="str">
            <v>Non-Retail</v>
          </cell>
        </row>
        <row r="307">
          <cell r="A307" t="str">
            <v>FIM Private Debt Fund I Ky</v>
          </cell>
          <cell r="B307" t="str">
            <v>Non-Retail</v>
          </cell>
        </row>
        <row r="308">
          <cell r="A308" t="str">
            <v>FIM Tontti Holding I Ky</v>
          </cell>
          <cell r="B308" t="str">
            <v>Retail</v>
          </cell>
        </row>
        <row r="309">
          <cell r="A309" t="str">
            <v>FIM Tonttirahasto I Ky</v>
          </cell>
          <cell r="B309" t="str">
            <v>Retail</v>
          </cell>
        </row>
        <row r="310">
          <cell r="A310" t="str">
            <v>FIM Työllistäminen Holding I Ky</v>
          </cell>
          <cell r="B310" t="str">
            <v>Non-Retail</v>
          </cell>
        </row>
        <row r="311">
          <cell r="A311" t="str">
            <v>FIM Työllistäminen I Ky</v>
          </cell>
          <cell r="B311" t="str">
            <v>Non-Retail</v>
          </cell>
        </row>
        <row r="312">
          <cell r="A312" t="str">
            <v>FIM Vuokratontti Holding Ky</v>
          </cell>
          <cell r="B312" t="str">
            <v>Retail</v>
          </cell>
        </row>
        <row r="313">
          <cell r="A313" t="str">
            <v>FIM Vuokratontti Ky</v>
          </cell>
          <cell r="B313" t="str">
            <v>Retail</v>
          </cell>
        </row>
        <row r="314">
          <cell r="A314" t="str">
            <v>FinCap Fund I Ky</v>
          </cell>
          <cell r="B314" t="str">
            <v>Non-Retail</v>
          </cell>
        </row>
        <row r="315">
          <cell r="A315" t="str">
            <v>FinCap Fund II Ky</v>
          </cell>
          <cell r="B315" t="str">
            <v>Non-Retail</v>
          </cell>
        </row>
        <row r="316">
          <cell r="A316" t="str">
            <v>Finlandia 2050 Sijoitusrahasto</v>
          </cell>
          <cell r="B316" t="str">
            <v>Retail</v>
          </cell>
        </row>
        <row r="317">
          <cell r="A317" t="str">
            <v>Finlandia Korkostrategia Sijoitusrahasto</v>
          </cell>
          <cell r="B317" t="str">
            <v>Retail</v>
          </cell>
        </row>
        <row r="318">
          <cell r="A318" t="str">
            <v>Finlandia Korkotuotto Sijoitusrahasto</v>
          </cell>
          <cell r="B318" t="str">
            <v>Retail</v>
          </cell>
        </row>
        <row r="319">
          <cell r="A319" t="str">
            <v>Finlandia Laatuyhtiöt Sijoitusrahasto</v>
          </cell>
          <cell r="B319" t="str">
            <v>Retail</v>
          </cell>
        </row>
        <row r="320">
          <cell r="A320" t="str">
            <v>Finnish Impact Film Fund Feeder Ky</v>
          </cell>
          <cell r="B320" t="str">
            <v>Non-Retail</v>
          </cell>
        </row>
        <row r="321">
          <cell r="A321" t="str">
            <v>Finnish Impact Film Fund Ky</v>
          </cell>
          <cell r="B321" t="str">
            <v>Non-Retail</v>
          </cell>
        </row>
        <row r="322">
          <cell r="A322" t="str">
            <v>Folmer Equity Fund I Ky</v>
          </cell>
          <cell r="B322" t="str">
            <v>Non-Retail</v>
          </cell>
        </row>
        <row r="323">
          <cell r="A323" t="str">
            <v>Folmer Equity Fund II Ky</v>
          </cell>
          <cell r="B323" t="str">
            <v>Non-Retail</v>
          </cell>
        </row>
        <row r="324">
          <cell r="A324" t="str">
            <v>Fondita European Micro Cap Placeringsfond</v>
          </cell>
          <cell r="B324" t="str">
            <v>Retail</v>
          </cell>
        </row>
        <row r="325">
          <cell r="A325" t="str">
            <v>Fondita European Small Cap Placeringsfond</v>
          </cell>
          <cell r="B325" t="str">
            <v>Retail</v>
          </cell>
        </row>
        <row r="326">
          <cell r="A326" t="str">
            <v>Fondita Finland Micro Cap Placeringsfond</v>
          </cell>
          <cell r="B326" t="str">
            <v>Retail</v>
          </cell>
        </row>
        <row r="327">
          <cell r="A327" t="str">
            <v>Fondita Global Megatrends Placeringsfond</v>
          </cell>
          <cell r="B327" t="str">
            <v>Retail</v>
          </cell>
        </row>
        <row r="328">
          <cell r="A328" t="str">
            <v>Fondita Healthcare Placeringsfond</v>
          </cell>
          <cell r="B328" t="str">
            <v>Retail</v>
          </cell>
        </row>
        <row r="329">
          <cell r="A329" t="str">
            <v>Fondita Nordic Micro Cap Placeringsfond</v>
          </cell>
          <cell r="B329" t="str">
            <v>Retail</v>
          </cell>
        </row>
        <row r="330">
          <cell r="A330" t="str">
            <v>Fondita Nordic Small Cap Placeringsfond</v>
          </cell>
          <cell r="B330" t="str">
            <v>Retail</v>
          </cell>
        </row>
        <row r="331">
          <cell r="A331" t="str">
            <v>Fondita Sustainable Europe Placeringsfond</v>
          </cell>
          <cell r="B331" t="str">
            <v>Retail</v>
          </cell>
        </row>
        <row r="332">
          <cell r="A332" t="str">
            <v>Forea Osakestrategia- Erikoissijoitusrahasto</v>
          </cell>
          <cell r="B332" t="str">
            <v>Retail</v>
          </cell>
        </row>
        <row r="333">
          <cell r="A333" t="str">
            <v>FOV Ventures Fund I Ky</v>
          </cell>
          <cell r="B333" t="str">
            <v>Non-Retail</v>
          </cell>
        </row>
        <row r="334">
          <cell r="A334" t="str">
            <v>Fundu Fund Ky</v>
          </cell>
          <cell r="B334" t="str">
            <v>Non-Retail</v>
          </cell>
        </row>
        <row r="335">
          <cell r="A335" t="str">
            <v>Gorilla Capital Fund 2017 Ky</v>
          </cell>
          <cell r="B335" t="str">
            <v>Retail</v>
          </cell>
        </row>
        <row r="336">
          <cell r="A336" t="str">
            <v>Gorilla Capital Fund III Ky</v>
          </cell>
          <cell r="B336" t="str">
            <v>Non-Retail</v>
          </cell>
        </row>
        <row r="337">
          <cell r="A337" t="str">
            <v>Gorilla Kiihdytys 2012 Ky</v>
          </cell>
          <cell r="B337" t="str">
            <v>Non-Retail</v>
          </cell>
        </row>
        <row r="338">
          <cell r="A338" t="str">
            <v>GOS Private Debt I Ky</v>
          </cell>
          <cell r="B338" t="str">
            <v>Non-Retail</v>
          </cell>
        </row>
        <row r="339">
          <cell r="A339" t="str">
            <v>Greencode I Ky</v>
          </cell>
          <cell r="B339" t="str">
            <v>Non-Retail</v>
          </cell>
        </row>
        <row r="340">
          <cell r="A340" t="str">
            <v>Grid.vc I Ky</v>
          </cell>
          <cell r="B340" t="str">
            <v>Retail</v>
          </cell>
        </row>
        <row r="341">
          <cell r="A341" t="str">
            <v>GRIT HSS Longview Specialplaceringsfond</v>
          </cell>
          <cell r="B341" t="str">
            <v>Non-Retail</v>
          </cell>
        </row>
        <row r="342">
          <cell r="A342" t="str">
            <v>GRIT SLS Erikoissijoitusrahasto</v>
          </cell>
          <cell r="B342" t="str">
            <v>Non-Retail</v>
          </cell>
        </row>
        <row r="343">
          <cell r="A343" t="str">
            <v>IC Housing Feeder V Ky</v>
          </cell>
          <cell r="B343" t="str">
            <v>Retail</v>
          </cell>
        </row>
        <row r="344">
          <cell r="A344" t="str">
            <v>IC Housing Feeder VI Ky</v>
          </cell>
          <cell r="B344" t="str">
            <v>Retail</v>
          </cell>
        </row>
        <row r="345">
          <cell r="A345" t="str">
            <v>IC Residential Property Feeder I Ky</v>
          </cell>
          <cell r="B345" t="str">
            <v>Retail</v>
          </cell>
        </row>
        <row r="346">
          <cell r="A346" t="str">
            <v>Icebreaker Fund I Ky</v>
          </cell>
          <cell r="B346" t="str">
            <v>Retail</v>
          </cell>
        </row>
        <row r="347">
          <cell r="A347" t="str">
            <v>Icebreaker Fund II Ky</v>
          </cell>
          <cell r="B347" t="str">
            <v>Retail</v>
          </cell>
        </row>
        <row r="348">
          <cell r="A348" t="str">
            <v>Icebreaker Opportunity Fund I Ky</v>
          </cell>
          <cell r="B348" t="str">
            <v>Non-Retail</v>
          </cell>
        </row>
        <row r="349">
          <cell r="A349" t="str">
            <v>ICECAPITAL Housing Fund V Ky</v>
          </cell>
          <cell r="B349" t="str">
            <v>Retail</v>
          </cell>
        </row>
        <row r="350">
          <cell r="A350" t="str">
            <v>ICECAPITAL Housing Fund VI Ky</v>
          </cell>
          <cell r="B350" t="str">
            <v>Retail</v>
          </cell>
        </row>
        <row r="351">
          <cell r="A351" t="str">
            <v>ICECAPITAL Residential Property Fund I Ky</v>
          </cell>
          <cell r="B351" t="str">
            <v>Retail</v>
          </cell>
        </row>
        <row r="352">
          <cell r="A352" t="str">
            <v>ICECAPITAL Residential Property Fund II Ky</v>
          </cell>
          <cell r="B352" t="str">
            <v>Non-Retail</v>
          </cell>
        </row>
        <row r="353">
          <cell r="A353" t="str">
            <v>Illusian Ventures I Ky</v>
          </cell>
          <cell r="B353" t="str">
            <v>Non-Retail</v>
          </cell>
        </row>
        <row r="354">
          <cell r="A354" t="str">
            <v>Innovestor Kasvurahasto I Ky</v>
          </cell>
          <cell r="B354" t="str">
            <v>Non-Retail</v>
          </cell>
        </row>
        <row r="355">
          <cell r="A355" t="str">
            <v>Innovestor Kasvurahasto II Ky</v>
          </cell>
          <cell r="B355" t="str">
            <v>Non-Retail</v>
          </cell>
        </row>
        <row r="356">
          <cell r="A356" t="str">
            <v>Innovestor Kasvurahasto III Ky</v>
          </cell>
          <cell r="B356" t="str">
            <v>Retail</v>
          </cell>
        </row>
        <row r="357">
          <cell r="A357" t="str">
            <v>Innovestor Life Science Fund Ky</v>
          </cell>
          <cell r="B357" t="str">
            <v>Retail</v>
          </cell>
        </row>
        <row r="358">
          <cell r="A358" t="str">
            <v>Innovestor Life Science Private Fund Ky</v>
          </cell>
          <cell r="B358" t="str">
            <v>Retail</v>
          </cell>
        </row>
        <row r="359">
          <cell r="A359" t="str">
            <v>Innovestor Technology Fund Ky</v>
          </cell>
          <cell r="B359" t="str">
            <v>Retail</v>
          </cell>
        </row>
        <row r="360">
          <cell r="A360" t="str">
            <v>Intera Fund III Ky</v>
          </cell>
          <cell r="B360" t="str">
            <v>Non-Retail</v>
          </cell>
        </row>
        <row r="361">
          <cell r="A361" t="str">
            <v>Intera Fund IV Ky</v>
          </cell>
          <cell r="B361" t="str">
            <v>Retail</v>
          </cell>
        </row>
        <row r="362">
          <cell r="A362" t="str">
            <v>Inventure Fund II Ky</v>
          </cell>
          <cell r="B362" t="str">
            <v>Non-Retail</v>
          </cell>
        </row>
        <row r="363">
          <cell r="A363" t="str">
            <v>Inventure Fund III Ky</v>
          </cell>
          <cell r="B363" t="str">
            <v>Non-Retail</v>
          </cell>
        </row>
        <row r="364">
          <cell r="A364" t="str">
            <v>Inventure Fund IV Ky</v>
          </cell>
          <cell r="B364" t="str">
            <v>Retail</v>
          </cell>
        </row>
        <row r="365">
          <cell r="A365" t="str">
            <v>Inventure Fund Ky</v>
          </cell>
          <cell r="B365" t="str">
            <v>Non-Retail</v>
          </cell>
        </row>
        <row r="366">
          <cell r="A366" t="str">
            <v>Inventure Technology IV Ky</v>
          </cell>
          <cell r="B366" t="str">
            <v>Retail</v>
          </cell>
        </row>
        <row r="367">
          <cell r="A367" t="str">
            <v>IPR. VC Fund I Ky</v>
          </cell>
          <cell r="B367" t="str">
            <v>Non-Retail</v>
          </cell>
        </row>
        <row r="368">
          <cell r="A368" t="str">
            <v>IPR.VC Fund II Feeder Ky</v>
          </cell>
          <cell r="B368" t="str">
            <v>Retail</v>
          </cell>
        </row>
        <row r="369">
          <cell r="A369" t="str">
            <v>IPR.VC Fund II Ky</v>
          </cell>
          <cell r="B369" t="str">
            <v>Retail</v>
          </cell>
        </row>
        <row r="370">
          <cell r="A370" t="str">
            <v>IPR.VC Fund III Feeder Ky</v>
          </cell>
          <cell r="B370" t="str">
            <v>Retail</v>
          </cell>
        </row>
        <row r="371">
          <cell r="A371" t="str">
            <v>IPR.VC Fund III Ky</v>
          </cell>
          <cell r="B371" t="str">
            <v>Non-Retail</v>
          </cell>
        </row>
        <row r="372">
          <cell r="A372" t="str">
            <v>Juuri Rahasto I Ky</v>
          </cell>
          <cell r="B372" t="str">
            <v>Non-Retail</v>
          </cell>
        </row>
        <row r="373">
          <cell r="A373" t="str">
            <v>Juuri Rahasto II Ky</v>
          </cell>
          <cell r="B373" t="str">
            <v>Non-Retail</v>
          </cell>
        </row>
        <row r="374">
          <cell r="A374" t="str">
            <v>Kanssasijoitusrahasto I Ky</v>
          </cell>
          <cell r="B374" t="str">
            <v>Non-Retail</v>
          </cell>
        </row>
        <row r="375">
          <cell r="A375" t="str">
            <v>Kasvattajarahasto Ky</v>
          </cell>
          <cell r="B375" t="str">
            <v>Non-Retail</v>
          </cell>
        </row>
        <row r="376">
          <cell r="A376" t="str">
            <v>Kasvurahasto II:n Piensijoittajarahasto Ky</v>
          </cell>
          <cell r="B376" t="str">
            <v>Non-Retail</v>
          </cell>
        </row>
        <row r="377">
          <cell r="A377" t="str">
            <v>Kasvurahastojen Rahasto II Ky</v>
          </cell>
          <cell r="B377" t="str">
            <v>Non-Retail</v>
          </cell>
        </row>
        <row r="378">
          <cell r="A378" t="str">
            <v>Kasvurahastojen Rahasto III Ky</v>
          </cell>
          <cell r="B378" t="str">
            <v>Non-Retail</v>
          </cell>
        </row>
        <row r="379">
          <cell r="A379" t="str">
            <v>Kasvurahastojen Rahasto IV Ky</v>
          </cell>
          <cell r="B379" t="str">
            <v>Non-Retail</v>
          </cell>
        </row>
        <row r="380">
          <cell r="A380" t="str">
            <v>Kasvurahastojen Rahasto Ky</v>
          </cell>
          <cell r="B380" t="str">
            <v>Non-Retail</v>
          </cell>
        </row>
        <row r="381">
          <cell r="A381" t="str">
            <v>Kasvurahastojen Rahasto V Ky</v>
          </cell>
          <cell r="B381" t="str">
            <v>Non-Retail</v>
          </cell>
        </row>
        <row r="382">
          <cell r="A382" t="str">
            <v>Korkia Aurinkoenergia Holding Ky</v>
          </cell>
          <cell r="B382" t="str">
            <v>Non-Retail</v>
          </cell>
        </row>
        <row r="383">
          <cell r="A383" t="str">
            <v>Korkia Aurinkoenergiarahasto Ky</v>
          </cell>
          <cell r="B383" t="str">
            <v>Non-Retail</v>
          </cell>
        </row>
        <row r="384">
          <cell r="A384" t="str">
            <v>Korkia REI Feeder Ky</v>
          </cell>
          <cell r="B384" t="str">
            <v>Retail</v>
          </cell>
        </row>
        <row r="385">
          <cell r="A385" t="str">
            <v>Korkia REI HNWI Feeder Ky</v>
          </cell>
          <cell r="B385" t="str">
            <v>Retail</v>
          </cell>
        </row>
        <row r="386">
          <cell r="A386" t="str">
            <v>Korkia Renewables &amp;  Energy Infrastructure Ky</v>
          </cell>
          <cell r="B386" t="str">
            <v>Retail</v>
          </cell>
        </row>
        <row r="387">
          <cell r="A387" t="str">
            <v>Korkia Uusiutuva Energia Holding Ky</v>
          </cell>
          <cell r="B387" t="str">
            <v>Retail</v>
          </cell>
        </row>
        <row r="388">
          <cell r="A388" t="str">
            <v>Korkia Uusiutuva Energia Holding PB Ky</v>
          </cell>
          <cell r="B388" t="str">
            <v>Retail</v>
          </cell>
        </row>
        <row r="389">
          <cell r="A389" t="str">
            <v>Korkia Uusiutuva Energia Ky</v>
          </cell>
          <cell r="B389" t="str">
            <v>Retail</v>
          </cell>
        </row>
        <row r="390">
          <cell r="A390" t="str">
            <v>Korona Fund III Ky</v>
          </cell>
          <cell r="B390" t="str">
            <v>Non-Retail</v>
          </cell>
        </row>
        <row r="391">
          <cell r="A391" t="str">
            <v>Korona Fund III SR Ky</v>
          </cell>
          <cell r="B391" t="str">
            <v>Non-Retail</v>
          </cell>
        </row>
        <row r="392">
          <cell r="A392" t="str">
            <v>Korona Fund IV Ky</v>
          </cell>
          <cell r="B392" t="str">
            <v>Retail</v>
          </cell>
        </row>
        <row r="393">
          <cell r="A393" t="str">
            <v>Kvanted Fund 1 Ky</v>
          </cell>
          <cell r="B393" t="str">
            <v>Non-Retail</v>
          </cell>
        </row>
        <row r="394">
          <cell r="A394" t="str">
            <v>Lifeline Ventures Fund I Ky</v>
          </cell>
          <cell r="B394" t="str">
            <v>Non-Retail</v>
          </cell>
        </row>
        <row r="395">
          <cell r="A395" t="str">
            <v>Lifeline Ventures Fund II Ky</v>
          </cell>
          <cell r="B395" t="str">
            <v>Non-Retail</v>
          </cell>
        </row>
        <row r="396">
          <cell r="A396" t="str">
            <v>Lifeline Ventures Fund III Ky</v>
          </cell>
          <cell r="B396" t="str">
            <v>Non-Retail</v>
          </cell>
        </row>
        <row r="397">
          <cell r="A397" t="str">
            <v>Lifeline Ventures Fund IV Ky</v>
          </cell>
          <cell r="B397" t="str">
            <v>Non-Retail</v>
          </cell>
        </row>
        <row r="398">
          <cell r="A398" t="str">
            <v>Lifeline Ventures Fund V Feeder Ky</v>
          </cell>
          <cell r="B398" t="str">
            <v>Non-Retail</v>
          </cell>
        </row>
        <row r="399">
          <cell r="A399" t="str">
            <v>Lifeline Ventures Fund V Ky</v>
          </cell>
          <cell r="B399" t="str">
            <v>Non-Retail</v>
          </cell>
        </row>
        <row r="400">
          <cell r="A400" t="str">
            <v>Luotsi Asuntorahasto Feeder 1 Ky</v>
          </cell>
          <cell r="B400" t="str">
            <v>Retail</v>
          </cell>
        </row>
        <row r="401">
          <cell r="A401" t="str">
            <v>Luotsi Asuntorahasto Ky</v>
          </cell>
          <cell r="B401" t="str">
            <v>Retail</v>
          </cell>
        </row>
        <row r="402">
          <cell r="A402" t="str">
            <v>LähiTapiola Asuntorahasto Prime Feeder Oy</v>
          </cell>
          <cell r="B402" t="str">
            <v>Non-Retail</v>
          </cell>
        </row>
        <row r="403">
          <cell r="A403" t="str">
            <v>LähiTapiola Asuntorahasto Prime Ky</v>
          </cell>
          <cell r="B403" t="str">
            <v>Non-Retail</v>
          </cell>
        </row>
        <row r="404">
          <cell r="A404" t="str">
            <v>LähiTapiola Asuntosijoitus Suomi Feeder II Oy</v>
          </cell>
          <cell r="B404" t="str">
            <v>Non-Retail</v>
          </cell>
        </row>
        <row r="405">
          <cell r="A405" t="str">
            <v>LähiTapiola Asuntosijoitus Suomi Feeder III Oy</v>
          </cell>
          <cell r="B405" t="str">
            <v>Retail</v>
          </cell>
        </row>
        <row r="406">
          <cell r="A406" t="str">
            <v>LähiTapiola Asuntosijoitus Suomi Feeder Oy</v>
          </cell>
          <cell r="B406" t="str">
            <v>Non-Retail</v>
          </cell>
        </row>
        <row r="407">
          <cell r="A407" t="str">
            <v>LähiTapiola Asuntosijoitus Suomi Ky</v>
          </cell>
          <cell r="B407" t="str">
            <v>Non-Retail</v>
          </cell>
        </row>
        <row r="408">
          <cell r="A408" t="str">
            <v>LähiTapiola Keskustakiinteistöt Ky</v>
          </cell>
          <cell r="B408" t="str">
            <v>Non-Retail</v>
          </cell>
        </row>
        <row r="409">
          <cell r="A409" t="str">
            <v>LähiTapiola KR PK2 Ky</v>
          </cell>
          <cell r="B409" t="str">
            <v>Non-Retail</v>
          </cell>
        </row>
        <row r="410">
          <cell r="A410" t="str">
            <v>LähiTapiola Pääomasijoitus IV Feeder Ky</v>
          </cell>
          <cell r="B410" t="str">
            <v>Retail</v>
          </cell>
        </row>
        <row r="411">
          <cell r="A411" t="str">
            <v>LähiTapiola Pääomasijoitus IV Ky</v>
          </cell>
          <cell r="B411" t="str">
            <v>Non-Retail</v>
          </cell>
        </row>
        <row r="412">
          <cell r="A412" t="str">
            <v>LähiTapiola Pääomasijoitus V Feeder Ky</v>
          </cell>
          <cell r="B412" t="str">
            <v>Retail</v>
          </cell>
        </row>
        <row r="413">
          <cell r="A413" t="str">
            <v>LähiTapiola Pääomasijoitus V Ky</v>
          </cell>
          <cell r="B413" t="str">
            <v>Retail</v>
          </cell>
        </row>
        <row r="414">
          <cell r="A414" t="str">
            <v>LähiTapiola Velkasijoitus II Feeder Ky</v>
          </cell>
          <cell r="B414" t="str">
            <v>Retail</v>
          </cell>
        </row>
        <row r="415">
          <cell r="A415" t="str">
            <v>LähiTapiola Velkasijoitus II Ky</v>
          </cell>
          <cell r="B415" t="str">
            <v>Retail</v>
          </cell>
        </row>
        <row r="416">
          <cell r="A416" t="str">
            <v>LähiTapiola Velkasijoitus III Feeder Ky</v>
          </cell>
          <cell r="B416" t="str">
            <v>Retail</v>
          </cell>
        </row>
        <row r="417">
          <cell r="A417" t="str">
            <v>LähiTapiola Velkasijoitus III Ky</v>
          </cell>
          <cell r="B417" t="str">
            <v>Retail</v>
          </cell>
        </row>
        <row r="418">
          <cell r="A418" t="str">
            <v>LähiTapiola Yhteiskuntakiinteistöt Suomi Ky</v>
          </cell>
          <cell r="B418" t="str">
            <v>Non-Retail</v>
          </cell>
        </row>
        <row r="419">
          <cell r="A419" t="str">
            <v>Länsi-Suomen Pääomarahasto Oy</v>
          </cell>
          <cell r="B419" t="str">
            <v>Non-Retail</v>
          </cell>
        </row>
        <row r="420">
          <cell r="A420" t="str">
            <v>MAKI.VC FUND I Ky</v>
          </cell>
          <cell r="B420" t="str">
            <v>Non-Retail</v>
          </cell>
        </row>
        <row r="421">
          <cell r="A421" t="str">
            <v>MAKI.VC Fund II Ky</v>
          </cell>
          <cell r="B421" t="str">
            <v>Retail</v>
          </cell>
        </row>
        <row r="422">
          <cell r="A422" t="str">
            <v>MAKI.VC FUND III Feeder Ky</v>
          </cell>
          <cell r="B422" t="str">
            <v>Non-Retail</v>
          </cell>
        </row>
        <row r="423">
          <cell r="A423" t="str">
            <v>MAKI.VC FUND III Ky</v>
          </cell>
          <cell r="B423" t="str">
            <v>Non-Retail</v>
          </cell>
        </row>
        <row r="424">
          <cell r="A424" t="str">
            <v>MAM Growth Equity II Ky</v>
          </cell>
          <cell r="B424" t="str">
            <v>Retail</v>
          </cell>
        </row>
        <row r="425">
          <cell r="A425" t="str">
            <v>Matkailurahasto Nordia Oy</v>
          </cell>
          <cell r="B425" t="str">
            <v>Non-Retail</v>
          </cell>
        </row>
        <row r="426">
          <cell r="A426" t="str">
            <v>MB Equity Fund IV Ky</v>
          </cell>
          <cell r="B426" t="str">
            <v>Non-Retail</v>
          </cell>
        </row>
        <row r="427">
          <cell r="A427" t="str">
            <v>MB Equity Fund V Ky</v>
          </cell>
          <cell r="B427" t="str">
            <v>Non-Retail</v>
          </cell>
        </row>
        <row r="428">
          <cell r="A428" t="str">
            <v>MB Equity Fund VI Ky</v>
          </cell>
          <cell r="B428" t="str">
            <v>Retail</v>
          </cell>
        </row>
        <row r="429">
          <cell r="A429" t="str">
            <v>Midinvest Fund II Ky</v>
          </cell>
          <cell r="B429" t="str">
            <v>Non-Retail</v>
          </cell>
        </row>
        <row r="430">
          <cell r="A430" t="str">
            <v>Midinvest Oy</v>
          </cell>
          <cell r="B430" t="str">
            <v>Non-Retail</v>
          </cell>
        </row>
        <row r="431">
          <cell r="A431" t="str">
            <v>Myrhattan Kehitys Ky</v>
          </cell>
          <cell r="B431" t="str">
            <v>Non-Retail</v>
          </cell>
        </row>
        <row r="432">
          <cell r="A432" t="str">
            <v>NegaWatt Energiatehokkuusrahasto 2 Ky</v>
          </cell>
          <cell r="B432" t="str">
            <v>Non-Retail</v>
          </cell>
        </row>
        <row r="433">
          <cell r="A433" t="str">
            <v>Nest Capital 2015 Fund Ky</v>
          </cell>
          <cell r="B433" t="str">
            <v>Non-Retail</v>
          </cell>
        </row>
        <row r="434">
          <cell r="A434" t="str">
            <v>Nest Capital Endowment III Ky</v>
          </cell>
          <cell r="B434" t="str">
            <v>Non-Retail</v>
          </cell>
        </row>
        <row r="435">
          <cell r="A435" t="str">
            <v>Nest Capital Endowment Ky</v>
          </cell>
          <cell r="B435" t="str">
            <v>Non-Retail</v>
          </cell>
        </row>
        <row r="436">
          <cell r="A436" t="str">
            <v>Nest Capital Fund III Ky</v>
          </cell>
          <cell r="B436" t="str">
            <v>Retail</v>
          </cell>
        </row>
        <row r="437">
          <cell r="A437" t="str">
            <v>Nexit III Ky</v>
          </cell>
          <cell r="B437" t="str">
            <v>Non-Retail</v>
          </cell>
        </row>
        <row r="438">
          <cell r="A438" t="str">
            <v>NFT.VC Fund I Ky</v>
          </cell>
          <cell r="B438" t="str">
            <v>Non-Retail</v>
          </cell>
        </row>
        <row r="439">
          <cell r="A439" t="str">
            <v>Nordia Kasvu Ky</v>
          </cell>
          <cell r="B439" t="str">
            <v>Non-Retail</v>
          </cell>
        </row>
        <row r="440">
          <cell r="A440" t="str">
            <v>North Karelia Growth Fund Ky</v>
          </cell>
          <cell r="B440" t="str">
            <v>Non-Retail</v>
          </cell>
        </row>
        <row r="441">
          <cell r="A441" t="str">
            <v>North Savo Startup Fund Ky</v>
          </cell>
          <cell r="B441" t="str">
            <v>Retail</v>
          </cell>
        </row>
        <row r="442">
          <cell r="A442" t="str">
            <v>Northern Startup Fund I Ky</v>
          </cell>
          <cell r="B442" t="str">
            <v>Non-Retail</v>
          </cell>
        </row>
        <row r="443">
          <cell r="A443" t="str">
            <v>Northern Startup Fund II Ky</v>
          </cell>
          <cell r="B443" t="str">
            <v>Non-Retail</v>
          </cell>
        </row>
        <row r="444">
          <cell r="A444" t="str">
            <v>Northern Startup Fund III Ky</v>
          </cell>
          <cell r="B444" t="str">
            <v>Non-Retail</v>
          </cell>
        </row>
        <row r="445">
          <cell r="A445" t="str">
            <v>NSI Feeder I Ky</v>
          </cell>
          <cell r="B445" t="str">
            <v>Non-Retail</v>
          </cell>
        </row>
        <row r="446">
          <cell r="A446" t="str">
            <v>NSI Nordic Science I Ky</v>
          </cell>
          <cell r="B446" t="str">
            <v>Non-Retail</v>
          </cell>
        </row>
        <row r="447">
          <cell r="A447" t="str">
            <v>Obsido Kiinteistörahasto I Ky</v>
          </cell>
          <cell r="B447" t="str">
            <v>Non-Retail</v>
          </cell>
        </row>
        <row r="448">
          <cell r="A448" t="str">
            <v>Obsido Omakotitalotontti I Ky vaihtoehtorahasto</v>
          </cell>
          <cell r="B448" t="str">
            <v>Non-Retail</v>
          </cell>
        </row>
        <row r="449">
          <cell r="A449" t="str">
            <v>Obsido Rebalanced 50 Sijoitusrahasto</v>
          </cell>
          <cell r="B449" t="str">
            <v>Retail</v>
          </cell>
        </row>
        <row r="450">
          <cell r="A450" t="str">
            <v>Obsido Rebalanced 85 Sijoitusrahasto</v>
          </cell>
          <cell r="B450" t="str">
            <v>Retail</v>
          </cell>
        </row>
        <row r="451">
          <cell r="A451" t="str">
            <v>Obsido Vuokrarahasto I Ky (AIF)</v>
          </cell>
          <cell r="B451" t="str">
            <v>Non-Retail</v>
          </cell>
        </row>
        <row r="452">
          <cell r="A452" t="str">
            <v>Oivat Kaupunkikodit II Ky</v>
          </cell>
          <cell r="B452" t="str">
            <v>Non-Retail</v>
          </cell>
        </row>
        <row r="453">
          <cell r="A453" t="str">
            <v>Oivat Kaupunkikodit Ky</v>
          </cell>
          <cell r="B453" t="str">
            <v>Non-Retail</v>
          </cell>
        </row>
        <row r="454">
          <cell r="A454" t="str">
            <v>OP Finnfund Global Impact Fund I Ky</v>
          </cell>
          <cell r="B454" t="str">
            <v>Retail</v>
          </cell>
        </row>
        <row r="455">
          <cell r="A455" t="str">
            <v>OP Pension Private Equity Funds Ky</v>
          </cell>
          <cell r="B455" t="str">
            <v>Non-Retail</v>
          </cell>
        </row>
        <row r="456">
          <cell r="A456" t="str">
            <v>OP Suomi Infra Ky</v>
          </cell>
          <cell r="B456" t="str">
            <v>Non-Retail</v>
          </cell>
        </row>
        <row r="457">
          <cell r="A457" t="str">
            <v>OP Toimitilakiinteistö Ky</v>
          </cell>
          <cell r="B457" t="str">
            <v>Non-Retail</v>
          </cell>
        </row>
        <row r="458">
          <cell r="A458" t="str">
            <v>OP Toimitilakiinteistö Syöttörahasto I Ky</v>
          </cell>
          <cell r="B458" t="str">
            <v>Non-Retail</v>
          </cell>
        </row>
        <row r="459">
          <cell r="A459" t="str">
            <v>OP Tonttirahasto Ky</v>
          </cell>
          <cell r="B459" t="str">
            <v>Non-Retail</v>
          </cell>
        </row>
        <row r="460">
          <cell r="A460" t="str">
            <v>OP-Aasia Indeksi -sijoitusrahasto</v>
          </cell>
          <cell r="B460" t="str">
            <v>Retail</v>
          </cell>
        </row>
        <row r="461">
          <cell r="A461" t="str">
            <v>OP-Alternative Credit -erikoissijoitusrahasto</v>
          </cell>
          <cell r="B461" t="str">
            <v>Non-Retail</v>
          </cell>
        </row>
        <row r="462">
          <cell r="A462" t="str">
            <v>OP-Alternative Portfolio -erikoissijoitusrahasto</v>
          </cell>
          <cell r="B462" t="str">
            <v>Retail</v>
          </cell>
        </row>
        <row r="463">
          <cell r="A463" t="str">
            <v>OP-Amerikka Arvoyhtiöt -sijoitusrahasto</v>
          </cell>
          <cell r="B463" t="str">
            <v>Retail</v>
          </cell>
        </row>
        <row r="464">
          <cell r="A464" t="str">
            <v>OP-Amerikka Indeksi -sijoitusrahasto</v>
          </cell>
          <cell r="B464" t="str">
            <v>Retail</v>
          </cell>
        </row>
        <row r="465">
          <cell r="A465" t="str">
            <v>OP-Amerikka Pienyhtiöt -sijoitusrahasto</v>
          </cell>
          <cell r="B465" t="str">
            <v>Retail</v>
          </cell>
        </row>
        <row r="466">
          <cell r="A466" t="str">
            <v>OP-EMD Hard Currency Corporate IG -sijoitusrahasto</v>
          </cell>
          <cell r="B466" t="str">
            <v>Retail</v>
          </cell>
        </row>
        <row r="467">
          <cell r="A467" t="str">
            <v>OP-EMD Hard Currency Sovereign -sijoitusrahasto</v>
          </cell>
          <cell r="B467" t="str">
            <v>Retail</v>
          </cell>
        </row>
        <row r="468">
          <cell r="A468" t="str">
            <v>OP-EMD Local Currency -erikoissijoitusrahasto</v>
          </cell>
          <cell r="B468" t="str">
            <v>Retail</v>
          </cell>
        </row>
        <row r="469">
          <cell r="A469" t="str">
            <v>Open Ocean Fund 2015 Ky</v>
          </cell>
          <cell r="B469" t="str">
            <v>Non-Retail</v>
          </cell>
        </row>
        <row r="470">
          <cell r="A470" t="str">
            <v>Open Ocean Fund 2020 Ky</v>
          </cell>
          <cell r="B470" t="str">
            <v>Retail</v>
          </cell>
        </row>
        <row r="471">
          <cell r="A471" t="str">
            <v>Open Ocean Fund Three Ky</v>
          </cell>
          <cell r="B471" t="str">
            <v>Non-Retail</v>
          </cell>
        </row>
        <row r="472">
          <cell r="A472" t="str">
            <v>Open Ocean Fund Two Ky</v>
          </cell>
          <cell r="B472" t="str">
            <v>Non-Retail</v>
          </cell>
        </row>
        <row r="473">
          <cell r="A473" t="str">
            <v>Open Ocean Opportunity Fund I Ky</v>
          </cell>
          <cell r="B473" t="str">
            <v>Non-Retail</v>
          </cell>
        </row>
        <row r="474">
          <cell r="A474" t="str">
            <v>OP-Euro -sijoitusrahasto</v>
          </cell>
          <cell r="B474" t="str">
            <v>Retail</v>
          </cell>
        </row>
        <row r="475">
          <cell r="A475" t="str">
            <v>OP-Eurooppa Arvoyhtiöt-sijoitusrahasto</v>
          </cell>
          <cell r="B475" t="str">
            <v>Retail</v>
          </cell>
        </row>
        <row r="476">
          <cell r="A476" t="str">
            <v>OP-Eurooppa Indeksi -sijoitusrahasto</v>
          </cell>
          <cell r="B476" t="str">
            <v>Retail</v>
          </cell>
        </row>
        <row r="477">
          <cell r="A477" t="str">
            <v>OP-Eurooppa Osinkoyhtiöt -sijoitusrahasto</v>
          </cell>
          <cell r="B477" t="str">
            <v>Retail</v>
          </cell>
        </row>
        <row r="478">
          <cell r="A478" t="str">
            <v>OP-Eurooppa Pienyhtiöt -sijoitusrahasto</v>
          </cell>
          <cell r="B478" t="str">
            <v>Retail</v>
          </cell>
        </row>
        <row r="479">
          <cell r="A479" t="str">
            <v>OP-High Yield Amerikka -sijoitusrahasto</v>
          </cell>
          <cell r="B479" t="str">
            <v>Retail</v>
          </cell>
        </row>
        <row r="480">
          <cell r="A480" t="str">
            <v>OP-High Yield -sijoitusrahasto</v>
          </cell>
          <cell r="B480" t="str">
            <v>Retail</v>
          </cell>
        </row>
        <row r="481">
          <cell r="A481" t="str">
            <v>OP-Ilmasto -sijoitusrahasto</v>
          </cell>
          <cell r="B481" t="str">
            <v>Retail</v>
          </cell>
        </row>
        <row r="482">
          <cell r="A482" t="str">
            <v>OP-Intia-sijoitusrahasto</v>
          </cell>
          <cell r="B482" t="str">
            <v>Retail</v>
          </cell>
        </row>
        <row r="483">
          <cell r="A483" t="str">
            <v>OP-Japani -sijoitusrahasto</v>
          </cell>
          <cell r="B483" t="str">
            <v>Retail</v>
          </cell>
        </row>
        <row r="484">
          <cell r="A484" t="str">
            <v>OP-Japanin Tähdet –sijoitusrahasto</v>
          </cell>
          <cell r="B484" t="str">
            <v>Retail</v>
          </cell>
        </row>
        <row r="485">
          <cell r="A485" t="str">
            <v>OP-Kehittyvä Aasia -sijoitusrahasto</v>
          </cell>
          <cell r="B485" t="str">
            <v>Retail</v>
          </cell>
        </row>
        <row r="486">
          <cell r="A486" t="str">
            <v>OP-Kehittyvät Osakemarkkinat -sijoitusrahasto</v>
          </cell>
          <cell r="B486" t="str">
            <v>Retail</v>
          </cell>
        </row>
        <row r="487">
          <cell r="A487" t="str">
            <v>OP-Kestävä Hyvinvointi -sijoitusrahasto</v>
          </cell>
          <cell r="B487" t="str">
            <v>Retail</v>
          </cell>
        </row>
        <row r="488">
          <cell r="A488" t="str">
            <v>OP-Kestävä Maailma -sijoitusrahasto</v>
          </cell>
          <cell r="B488" t="str">
            <v>Retail</v>
          </cell>
        </row>
        <row r="489">
          <cell r="A489" t="str">
            <v>OP-Kiina -sijoitusrahasto</v>
          </cell>
          <cell r="B489" t="str">
            <v>Retail</v>
          </cell>
        </row>
        <row r="490">
          <cell r="A490" t="str">
            <v>OP-Korkosalkku -sijoitusrahasto</v>
          </cell>
          <cell r="B490" t="str">
            <v>Retail</v>
          </cell>
        </row>
        <row r="491">
          <cell r="A491" t="str">
            <v>OP-Korkotuotto -sijoitusrahasto</v>
          </cell>
          <cell r="B491" t="str">
            <v>Retail</v>
          </cell>
        </row>
        <row r="492">
          <cell r="A492" t="str">
            <v>OP-Maailma Indeksi -sijoitusrahasto</v>
          </cell>
          <cell r="B492" t="str">
            <v>Retail</v>
          </cell>
        </row>
        <row r="493">
          <cell r="A493" t="str">
            <v>OP-Maailma -sijoitusrahasto</v>
          </cell>
          <cell r="B493" t="str">
            <v>Retail</v>
          </cell>
        </row>
        <row r="494">
          <cell r="A494" t="str">
            <v>OP-Maltillinen -sijoitusrahasto</v>
          </cell>
          <cell r="B494" t="str">
            <v>Retail</v>
          </cell>
        </row>
        <row r="495">
          <cell r="A495" t="str">
            <v>OP-Metsänomistaja -erikoissijoitusrahasto</v>
          </cell>
          <cell r="B495" t="str">
            <v>Retail</v>
          </cell>
        </row>
        <row r="496">
          <cell r="A496" t="str">
            <v>OP-Obligaatio Prima -sijoitusrahasto</v>
          </cell>
          <cell r="B496" t="str">
            <v>Retail</v>
          </cell>
        </row>
        <row r="497">
          <cell r="A497" t="str">
            <v>OP-Obligaatio Tuotto -sijoitusrahasto</v>
          </cell>
          <cell r="B497" t="str">
            <v>Retail</v>
          </cell>
        </row>
        <row r="498">
          <cell r="A498" t="str">
            <v>OP-Palvelukiinteistöt -erikoissijoitusrahasto</v>
          </cell>
          <cell r="B498" t="str">
            <v>Retail</v>
          </cell>
        </row>
        <row r="499">
          <cell r="A499" t="str">
            <v>OP-Pohjoismaat Indeksi -sijoitusrahasto</v>
          </cell>
          <cell r="B499" t="str">
            <v>Retail</v>
          </cell>
        </row>
        <row r="500">
          <cell r="A500" t="str">
            <v>OP-Private Equity -erikoissijoitussijoitusrahasto</v>
          </cell>
          <cell r="B500" t="str">
            <v>Retail</v>
          </cell>
        </row>
        <row r="501">
          <cell r="A501" t="str">
            <v>OP-Private Korkostrategia -erikoissijoitusrahasto</v>
          </cell>
          <cell r="B501" t="str">
            <v>Retail</v>
          </cell>
        </row>
        <row r="502">
          <cell r="A502" t="str">
            <v>OP-Private Osakestrategia -erikoissijoitusrahasto</v>
          </cell>
          <cell r="B502" t="str">
            <v>Retail</v>
          </cell>
        </row>
        <row r="503">
          <cell r="A503" t="str">
            <v>OP-Private Strategia 25 -erikoissijoitusrahasto</v>
          </cell>
          <cell r="B503" t="str">
            <v>Retail</v>
          </cell>
        </row>
        <row r="504">
          <cell r="A504" t="str">
            <v>OP-Private Strategia 50 -erikoissijoitusrahasto</v>
          </cell>
          <cell r="B504" t="str">
            <v>Retail</v>
          </cell>
        </row>
        <row r="505">
          <cell r="A505" t="str">
            <v>OP-Private Strategia 75 -erikoissijoitusrahasto</v>
          </cell>
          <cell r="B505" t="str">
            <v>Retail</v>
          </cell>
        </row>
        <row r="506">
          <cell r="A506" t="str">
            <v>OP-Puhdas Vesi -sijoitusrahasto</v>
          </cell>
          <cell r="B506" t="str">
            <v>Retail</v>
          </cell>
        </row>
        <row r="507">
          <cell r="A507" t="str">
            <v>OP-Reaalikorko -sijoitusrahasto</v>
          </cell>
          <cell r="B507" t="str">
            <v>Retail</v>
          </cell>
        </row>
        <row r="508">
          <cell r="A508" t="str">
            <v>OP-Reaaliomaisuusyhtiöt -sijoitusrahasto</v>
          </cell>
          <cell r="B508" t="str">
            <v>Retail</v>
          </cell>
        </row>
        <row r="509">
          <cell r="A509" t="str">
            <v>OP-Rohkea -sijoitusrahasto</v>
          </cell>
          <cell r="B509" t="str">
            <v>Retail</v>
          </cell>
        </row>
        <row r="510">
          <cell r="A510" t="str">
            <v>OP-Suomi Indeksi -sijoitusrahasto</v>
          </cell>
          <cell r="B510" t="str">
            <v>Retail</v>
          </cell>
        </row>
        <row r="511">
          <cell r="A511" t="str">
            <v>OP-Suomi Infra -erikoissijoitusrahasto</v>
          </cell>
          <cell r="B511" t="str">
            <v>Non-Retail</v>
          </cell>
        </row>
        <row r="512">
          <cell r="A512" t="str">
            <v>OP-Suomi Pienyhtiöt -sijoitusrahasto</v>
          </cell>
          <cell r="B512" t="str">
            <v>Retail</v>
          </cell>
        </row>
        <row r="513">
          <cell r="A513" t="str">
            <v>OP-Suomi -sijoitusrahasto</v>
          </cell>
          <cell r="B513" t="str">
            <v>Retail</v>
          </cell>
        </row>
        <row r="514">
          <cell r="A514" t="str">
            <v>OP-Taktinen Salkku -sijoitusrahasto</v>
          </cell>
          <cell r="B514" t="str">
            <v>Retail</v>
          </cell>
        </row>
        <row r="515">
          <cell r="A515" t="str">
            <v>OP-Tavoite 2 -sijoitusrahasto</v>
          </cell>
          <cell r="B515" t="str">
            <v>Retail</v>
          </cell>
        </row>
        <row r="516">
          <cell r="A516" t="str">
            <v>OP-Tavoite 3 -sijoitusrahasto</v>
          </cell>
          <cell r="B516" t="str">
            <v>Retail</v>
          </cell>
        </row>
        <row r="517">
          <cell r="A517" t="str">
            <v>OP-Tavoite 4 -sijoitusrahasto</v>
          </cell>
          <cell r="B517" t="str">
            <v>Retail</v>
          </cell>
        </row>
        <row r="518">
          <cell r="A518" t="str">
            <v>OP-Varovainen -sijoitusrahasto</v>
          </cell>
          <cell r="B518" t="str">
            <v>Retail</v>
          </cell>
        </row>
        <row r="519">
          <cell r="A519" t="str">
            <v>OP-Vaurastuva Keskiluokka -sijoitusrahasto</v>
          </cell>
          <cell r="B519" t="str">
            <v>Retail</v>
          </cell>
        </row>
        <row r="520">
          <cell r="A520" t="str">
            <v>OP-Venäjä -sijoitusrahasto</v>
          </cell>
          <cell r="B520" t="str">
            <v>Retail</v>
          </cell>
        </row>
        <row r="521">
          <cell r="A521" t="str">
            <v>OP-Vuokratuotto -erikoissijoitusrahasto</v>
          </cell>
          <cell r="B521" t="str">
            <v>Retail</v>
          </cell>
        </row>
        <row r="522">
          <cell r="A522" t="str">
            <v>OP-Vähähiilinen Maailma -sijoitusrahasto</v>
          </cell>
          <cell r="B522" t="str">
            <v>Retail</v>
          </cell>
        </row>
        <row r="523">
          <cell r="A523" t="str">
            <v>OP-Yrityslaina Amerikka -sijoitusrahasto</v>
          </cell>
          <cell r="B523" t="str">
            <v>Retail</v>
          </cell>
        </row>
        <row r="524">
          <cell r="A524" t="str">
            <v>OP-Yrityslaina -sijoitusrahasto</v>
          </cell>
          <cell r="B524" t="str">
            <v>Retail</v>
          </cell>
        </row>
        <row r="525">
          <cell r="A525" t="str">
            <v>Placeringsfond Nordea Defensiv</v>
          </cell>
          <cell r="B525" t="str">
            <v>Retail</v>
          </cell>
        </row>
        <row r="526">
          <cell r="A526" t="str">
            <v>Placeringsfonden Aktia Aktieportfölj</v>
          </cell>
          <cell r="B526" t="str">
            <v>Retail</v>
          </cell>
        </row>
        <row r="527">
          <cell r="A527" t="str">
            <v>Placeringsfonden Aktia America</v>
          </cell>
          <cell r="B527" t="str">
            <v>Retail</v>
          </cell>
        </row>
        <row r="528">
          <cell r="A528" t="str">
            <v>Placeringsfonden Aktia Capital</v>
          </cell>
          <cell r="B528" t="str">
            <v>Retail</v>
          </cell>
        </row>
        <row r="529">
          <cell r="A529" t="str">
            <v>Placeringsfonden Aktia Corporate Bond+</v>
          </cell>
          <cell r="B529" t="str">
            <v>Retail</v>
          </cell>
        </row>
        <row r="530">
          <cell r="A530" t="str">
            <v>Placeringsfonden Aktia Emerging Market Bond+</v>
          </cell>
          <cell r="B530" t="str">
            <v>Retail</v>
          </cell>
        </row>
        <row r="531">
          <cell r="A531" t="str">
            <v>Placeringsfonden Aktia Emerging Market Corporate Bond+</v>
          </cell>
          <cell r="B531" t="str">
            <v>Retail</v>
          </cell>
        </row>
        <row r="532">
          <cell r="A532" t="str">
            <v>Placeringsfonden Aktia Emerging Market Equity Select</v>
          </cell>
          <cell r="B532" t="str">
            <v>Retail</v>
          </cell>
        </row>
        <row r="533">
          <cell r="A533" t="str">
            <v>Placeringsfonden Aktia Emerging Market Local Currency Bond+</v>
          </cell>
          <cell r="B533" t="str">
            <v>Retail</v>
          </cell>
        </row>
        <row r="534">
          <cell r="A534" t="str">
            <v>Placeringsfonden Aktia Emerging Market Local Currency Frontier Bond+</v>
          </cell>
          <cell r="B534" t="str">
            <v>Retail</v>
          </cell>
        </row>
        <row r="535">
          <cell r="A535" t="str">
            <v>Placeringsfonden Aktia Europa</v>
          </cell>
          <cell r="B535" t="str">
            <v>Retail</v>
          </cell>
        </row>
        <row r="536">
          <cell r="A536" t="str">
            <v>Placeringsfonden Aktia Europe Small Cap</v>
          </cell>
          <cell r="B536" t="str">
            <v>Retail</v>
          </cell>
        </row>
        <row r="537">
          <cell r="A537" t="str">
            <v>Placeringsfonden Aktia European High Yield Bond+</v>
          </cell>
          <cell r="B537" t="str">
            <v>Retail</v>
          </cell>
        </row>
        <row r="538">
          <cell r="A538" t="str">
            <v>Placeringsfonden Aktia Förvaltningsportfölj 25</v>
          </cell>
          <cell r="B538" t="str">
            <v>Retail</v>
          </cell>
        </row>
        <row r="539">
          <cell r="A539" t="str">
            <v>Placeringsfonden Aktia Förvaltningsportfölj 50</v>
          </cell>
          <cell r="B539" t="str">
            <v>Retail</v>
          </cell>
        </row>
        <row r="540">
          <cell r="A540" t="str">
            <v>Placeringsfonden Aktia Förvaltningsportfölj 75</v>
          </cell>
          <cell r="B540" t="str">
            <v>Retail</v>
          </cell>
        </row>
        <row r="541">
          <cell r="A541" t="str">
            <v>Placeringsfonden Aktia Global</v>
          </cell>
          <cell r="B541" t="str">
            <v>Retail</v>
          </cell>
        </row>
        <row r="542">
          <cell r="A542" t="str">
            <v>Placeringsfonden Aktia Kort Företagsränta+</v>
          </cell>
          <cell r="B542" t="str">
            <v>Retail</v>
          </cell>
        </row>
        <row r="543">
          <cell r="A543" t="str">
            <v>Placeringsfonden Aktia Nordic</v>
          </cell>
          <cell r="B543" t="str">
            <v>Retail</v>
          </cell>
        </row>
        <row r="544">
          <cell r="A544" t="str">
            <v>Placeringsfonden Aktia Nordic Micro Cap</v>
          </cell>
          <cell r="B544" t="str">
            <v>Retail</v>
          </cell>
        </row>
        <row r="545">
          <cell r="A545" t="str">
            <v>Placeringsfonden Aktia Nordic Small Cap</v>
          </cell>
          <cell r="B545" t="str">
            <v>Retail</v>
          </cell>
        </row>
        <row r="546">
          <cell r="A546" t="str">
            <v>Placeringsfonden Aktia Ränteportfölj</v>
          </cell>
          <cell r="B546" t="str">
            <v>Retail</v>
          </cell>
        </row>
        <row r="547">
          <cell r="A547" t="str">
            <v>Placeringsfonden Aktia Secura</v>
          </cell>
          <cell r="B547" t="str">
            <v>Retail</v>
          </cell>
        </row>
        <row r="548">
          <cell r="A548" t="str">
            <v>Placeringsfonden Aktia Solida</v>
          </cell>
          <cell r="B548" t="str">
            <v>Retail</v>
          </cell>
        </row>
        <row r="549">
          <cell r="A549" t="str">
            <v>Placeringsfonden Aktia Sustainable Government Bond</v>
          </cell>
          <cell r="B549" t="str">
            <v>Retail</v>
          </cell>
        </row>
        <row r="550">
          <cell r="A550" t="str">
            <v>Placeringsfonden POP Europa</v>
          </cell>
          <cell r="B550" t="str">
            <v>Retail</v>
          </cell>
        </row>
        <row r="551">
          <cell r="A551" t="str">
            <v>Placeringsfonden POP Finland</v>
          </cell>
          <cell r="B551" t="str">
            <v>Retail</v>
          </cell>
        </row>
        <row r="552">
          <cell r="A552" t="str">
            <v>Placeringsfonden POP Global</v>
          </cell>
          <cell r="B552" t="str">
            <v>Retail</v>
          </cell>
        </row>
        <row r="553">
          <cell r="A553" t="str">
            <v>Placeringsfonden POP Nordic</v>
          </cell>
          <cell r="B553" t="str">
            <v>Retail</v>
          </cell>
        </row>
        <row r="554">
          <cell r="A554" t="str">
            <v>Placeringsfonden POP Optimal</v>
          </cell>
          <cell r="B554" t="str">
            <v>Retail</v>
          </cell>
        </row>
        <row r="555">
          <cell r="A555" t="str">
            <v>Placeringsfonden POP Ränteportfölj</v>
          </cell>
          <cell r="B555" t="str">
            <v>Retail</v>
          </cell>
        </row>
        <row r="556">
          <cell r="A556" t="str">
            <v>Placeringsfonden POP Stabil</v>
          </cell>
          <cell r="B556" t="str">
            <v>Retail</v>
          </cell>
        </row>
        <row r="557">
          <cell r="A557" t="str">
            <v>Power Fund II Ky</v>
          </cell>
          <cell r="B557" t="str">
            <v>Non-Retail</v>
          </cell>
        </row>
        <row r="558">
          <cell r="A558" t="str">
            <v>Power Fund III Ky</v>
          </cell>
          <cell r="B558" t="str">
            <v>Non-Retail</v>
          </cell>
        </row>
        <row r="559">
          <cell r="A559" t="str">
            <v>Premico Asuntorahasto II Ky</v>
          </cell>
          <cell r="B559" t="str">
            <v>Retail</v>
          </cell>
        </row>
        <row r="560">
          <cell r="A560" t="str">
            <v>Premico Asuntorahasto II Laina Ky</v>
          </cell>
          <cell r="B560" t="str">
            <v>Retail</v>
          </cell>
        </row>
        <row r="561">
          <cell r="A561" t="str">
            <v>Premico Asuntorahasto Ky</v>
          </cell>
          <cell r="B561" t="str">
            <v>Non-Retail</v>
          </cell>
        </row>
        <row r="562">
          <cell r="A562" t="str">
            <v>Premico Asuntorahasto Laina I Ky</v>
          </cell>
          <cell r="B562" t="str">
            <v>Non-Retail</v>
          </cell>
        </row>
        <row r="563">
          <cell r="A563" t="str">
            <v>PYN Elite Erikoissijoitusrahasto</v>
          </cell>
          <cell r="B563" t="str">
            <v>Retail</v>
          </cell>
        </row>
        <row r="564">
          <cell r="A564" t="str">
            <v>Pääkaupunkiseudun Tonttirahasto Ky</v>
          </cell>
          <cell r="B564" t="str">
            <v>Non-Retail</v>
          </cell>
        </row>
        <row r="565">
          <cell r="A565" t="str">
            <v>R2 Crystal -erikoissijoitusrahasto</v>
          </cell>
          <cell r="B565" t="str">
            <v>Retail</v>
          </cell>
        </row>
        <row r="566">
          <cell r="A566" t="str">
            <v>Real Estate Debt and Secondaries Ky</v>
          </cell>
          <cell r="B566" t="str">
            <v>Non-Retail</v>
          </cell>
        </row>
        <row r="567">
          <cell r="A567" t="str">
            <v>Real Estate Fund Finland III Ky</v>
          </cell>
          <cell r="B567" t="str">
            <v>Non-Retail</v>
          </cell>
        </row>
        <row r="568">
          <cell r="A568" t="str">
            <v>Real Estate Fund of Funds II Ky</v>
          </cell>
          <cell r="B568" t="str">
            <v>Non-Retail</v>
          </cell>
        </row>
        <row r="569">
          <cell r="A569" t="str">
            <v>Real Estate Fund of Funds V Ky</v>
          </cell>
          <cell r="B569" t="str">
            <v>Non-Retail</v>
          </cell>
        </row>
        <row r="570">
          <cell r="A570" t="str">
            <v>Redeye Nordic Hidden Champions Erikoissijoitusrahasto</v>
          </cell>
          <cell r="B570" t="str">
            <v>Retail</v>
          </cell>
        </row>
        <row r="571">
          <cell r="A571" t="str">
            <v>Robin Capital Fund I Ky</v>
          </cell>
          <cell r="B571" t="str">
            <v>Non-Retail</v>
          </cell>
        </row>
        <row r="572">
          <cell r="A572" t="str">
            <v>Royal Majestics Fashion &amp; Design Fund I Ky</v>
          </cell>
          <cell r="B572" t="str">
            <v>Non-Retail</v>
          </cell>
        </row>
        <row r="573">
          <cell r="A573" t="str">
            <v>Saari I Ky</v>
          </cell>
          <cell r="B573" t="str">
            <v>Non-Retail</v>
          </cell>
        </row>
        <row r="574">
          <cell r="A574" t="str">
            <v>Saari II Ky</v>
          </cell>
          <cell r="B574" t="str">
            <v>Non-Retail</v>
          </cell>
        </row>
        <row r="575">
          <cell r="A575" t="str">
            <v>Samla Asunnot Ky</v>
          </cell>
          <cell r="B575" t="str">
            <v>Non-Retail</v>
          </cell>
        </row>
        <row r="576">
          <cell r="A576" t="str">
            <v>Samla Hotels Ky</v>
          </cell>
          <cell r="B576" t="str">
            <v>Retail</v>
          </cell>
        </row>
        <row r="577">
          <cell r="A577" t="str">
            <v>Samla Toimitilat II Ky</v>
          </cell>
          <cell r="B577" t="str">
            <v>Retail</v>
          </cell>
        </row>
        <row r="578">
          <cell r="A578" t="str">
            <v>Samla Toimitilat Ky</v>
          </cell>
          <cell r="B578" t="str">
            <v>Non-Retail</v>
          </cell>
        </row>
        <row r="579">
          <cell r="A579" t="str">
            <v>Selected Mezzanine Funds I Ky</v>
          </cell>
          <cell r="B579" t="str">
            <v>Non-Retail</v>
          </cell>
        </row>
        <row r="580">
          <cell r="A580" t="str">
            <v>Selected Mezzanine Investment I Ky</v>
          </cell>
          <cell r="B580" t="str">
            <v>Non-Retail</v>
          </cell>
        </row>
        <row r="581">
          <cell r="A581" t="str">
            <v>Selected Private Equity Funds I Ky</v>
          </cell>
          <cell r="B581" t="str">
            <v>Non-Retail</v>
          </cell>
        </row>
        <row r="582">
          <cell r="A582" t="str">
            <v>Selected Private Equity Funds II Ky</v>
          </cell>
          <cell r="B582" t="str">
            <v>Non-Retail</v>
          </cell>
        </row>
        <row r="583">
          <cell r="A583" t="str">
            <v>Selected Private Equity Investment II Ky</v>
          </cell>
          <cell r="B583" t="str">
            <v>Non-Retail</v>
          </cell>
        </row>
        <row r="584">
          <cell r="A584" t="str">
            <v>Seligson &amp; Co OMX Helsinki 25 pörssinoteerattu rahasto UCITS ETF</v>
          </cell>
          <cell r="B584" t="str">
            <v>Retail</v>
          </cell>
        </row>
        <row r="585">
          <cell r="A585" t="str">
            <v>Sentica Buyout IV Co-Investment Ky</v>
          </cell>
          <cell r="B585" t="str">
            <v>Non-Retail</v>
          </cell>
        </row>
        <row r="586">
          <cell r="A586" t="str">
            <v>Sentica Buyout IV Feeder Fund Ky</v>
          </cell>
          <cell r="B586" t="str">
            <v>Non-Retail</v>
          </cell>
        </row>
        <row r="587">
          <cell r="A587" t="str">
            <v>Sentica Buyout IV Ky</v>
          </cell>
          <cell r="B587" t="str">
            <v>Non-Retail</v>
          </cell>
        </row>
        <row r="588">
          <cell r="A588" t="str">
            <v>Sentica Buyout V Co-Investment Ky</v>
          </cell>
          <cell r="B588" t="str">
            <v>Non-Retail</v>
          </cell>
        </row>
        <row r="589">
          <cell r="A589" t="str">
            <v>Sentica Buyout V Feeder Fund Ky</v>
          </cell>
          <cell r="B589" t="str">
            <v>Non-Retail</v>
          </cell>
        </row>
        <row r="590">
          <cell r="A590" t="str">
            <v>Sentica Buyout V Ky</v>
          </cell>
          <cell r="B590" t="str">
            <v>Non-Retail</v>
          </cell>
        </row>
        <row r="591">
          <cell r="A591" t="str">
            <v>Sentica Kasvurahasto II Ky</v>
          </cell>
          <cell r="B591" t="str">
            <v>Non-Retail</v>
          </cell>
        </row>
        <row r="592">
          <cell r="A592" t="str">
            <v>Sijoitusrahasto AJ Evli Value Hedge</v>
          </cell>
          <cell r="B592" t="str">
            <v>Retail</v>
          </cell>
        </row>
        <row r="593">
          <cell r="A593" t="str">
            <v>Sijoitusrahasto Aktia Arvo Rein</v>
          </cell>
          <cell r="B593" t="str">
            <v>Retail</v>
          </cell>
        </row>
        <row r="594">
          <cell r="A594" t="str">
            <v>Sijoitusrahasto Aktia Euroopan Kassakoneet</v>
          </cell>
          <cell r="B594" t="str">
            <v>Retail</v>
          </cell>
        </row>
        <row r="595">
          <cell r="A595" t="str">
            <v>Sijoitusrahasto Aktia Nordic High Yield</v>
          </cell>
          <cell r="B595" t="str">
            <v>Retail</v>
          </cell>
        </row>
        <row r="596">
          <cell r="A596" t="str">
            <v>Sijoitusrahasto Aktia Passiivi Eurooppa</v>
          </cell>
          <cell r="B596" t="str">
            <v>Retail</v>
          </cell>
        </row>
        <row r="597">
          <cell r="A597" t="str">
            <v>Sijoitusrahasto Aktia Passiivi Japani</v>
          </cell>
          <cell r="B597" t="str">
            <v>Retail</v>
          </cell>
        </row>
        <row r="598">
          <cell r="A598" t="str">
            <v>Sijoitusrahasto Aktia Passiivi Kehittyvät Markkinat</v>
          </cell>
          <cell r="B598" t="str">
            <v>Retail</v>
          </cell>
        </row>
        <row r="599">
          <cell r="A599" t="str">
            <v>Sijoitusrahasto Aktia Passiivi USA</v>
          </cell>
          <cell r="B599" t="str">
            <v>Retail</v>
          </cell>
        </row>
        <row r="600">
          <cell r="A600" t="str">
            <v>Sijoitusrahasto Alexandria Kehittyvät Markkinat Osinko</v>
          </cell>
          <cell r="B600" t="str">
            <v>Retail</v>
          </cell>
        </row>
        <row r="601">
          <cell r="A601" t="str">
            <v>Sijoitusrahasto Alexandria Maailma Osake</v>
          </cell>
          <cell r="B601" t="str">
            <v>Retail</v>
          </cell>
        </row>
        <row r="602">
          <cell r="A602" t="str">
            <v>Sijoitusrahasto Alexandria Maltillinen</v>
          </cell>
          <cell r="B602" t="str">
            <v>Retail</v>
          </cell>
        </row>
        <row r="603">
          <cell r="A603" t="str">
            <v>Sijoitusrahasto Alexandria Tasapainoinen</v>
          </cell>
          <cell r="B603" t="str">
            <v>Retail</v>
          </cell>
        </row>
        <row r="604">
          <cell r="A604" t="str">
            <v>Sijoitusrahasto Alexandria Tuottohakuinen</v>
          </cell>
          <cell r="B604" t="str">
            <v>Retail</v>
          </cell>
        </row>
        <row r="605">
          <cell r="A605" t="str">
            <v>Sijoitusrahasto Danske Invest China</v>
          </cell>
          <cell r="B605" t="str">
            <v>Retail</v>
          </cell>
        </row>
        <row r="606">
          <cell r="A606" t="str">
            <v>Sijoitusrahasto Danske Invest ESG Osake</v>
          </cell>
          <cell r="B606" t="str">
            <v>Retail</v>
          </cell>
        </row>
        <row r="607">
          <cell r="A607" t="str">
            <v>Sijoitusrahasto Danske Invest Euro Government Bond Index</v>
          </cell>
          <cell r="B607" t="str">
            <v>Retail</v>
          </cell>
        </row>
        <row r="608">
          <cell r="A608" t="str">
            <v>Sijoitusrahasto Danske Invest Euro High Yield</v>
          </cell>
          <cell r="B608" t="str">
            <v>Retail</v>
          </cell>
        </row>
        <row r="609">
          <cell r="A609" t="str">
            <v>Sijoitusrahasto Danske Invest Euro Yrityslaina</v>
          </cell>
          <cell r="B609" t="str">
            <v>Retail</v>
          </cell>
        </row>
        <row r="610">
          <cell r="A610" t="str">
            <v>Sijoitusrahasto Danske Invest Euroopan Pienyhtiöt</v>
          </cell>
          <cell r="B610" t="str">
            <v>Retail</v>
          </cell>
        </row>
        <row r="611">
          <cell r="A611" t="str">
            <v>Sijoitusrahasto Danske Invest Eurooppa Osake</v>
          </cell>
          <cell r="B611" t="str">
            <v>Retail</v>
          </cell>
        </row>
        <row r="612">
          <cell r="A612" t="str">
            <v>Sijoitusrahasto Danske Invest Eurooppa Osinko</v>
          </cell>
          <cell r="B612" t="str">
            <v>Retail</v>
          </cell>
        </row>
        <row r="613">
          <cell r="A613" t="str">
            <v>Sijoitusrahasto Danske Invest India</v>
          </cell>
          <cell r="B613" t="str">
            <v>Retail</v>
          </cell>
        </row>
        <row r="614">
          <cell r="A614" t="str">
            <v>Sijoitusrahasto Danske Invest Itä-Eurooppa Konvergenssi</v>
          </cell>
          <cell r="B614" t="str">
            <v>Retail</v>
          </cell>
        </row>
        <row r="615">
          <cell r="A615" t="str">
            <v>Sijoitusrahasto Danske Invest Japani Osake</v>
          </cell>
          <cell r="B615" t="str">
            <v>Retail</v>
          </cell>
        </row>
        <row r="616">
          <cell r="A616" t="str">
            <v>Sijoitusrahasto Danske Invest Kehittyvät Markkinat Kestävä Tavoite</v>
          </cell>
          <cell r="B616" t="str">
            <v>Retail</v>
          </cell>
        </row>
        <row r="617">
          <cell r="A617" t="str">
            <v>Sijoitusrahasto Danske Invest Kompassi 25</v>
          </cell>
          <cell r="B617" t="str">
            <v>Retail</v>
          </cell>
        </row>
        <row r="618">
          <cell r="A618" t="str">
            <v>Sijoitusrahasto Danske Invest Kompassi 50</v>
          </cell>
          <cell r="B618" t="str">
            <v>Retail</v>
          </cell>
        </row>
        <row r="619">
          <cell r="A619" t="str">
            <v>Sijoitusrahasto Danske Invest Kompassi 75</v>
          </cell>
          <cell r="B619" t="str">
            <v>Retail</v>
          </cell>
        </row>
        <row r="620">
          <cell r="A620" t="str">
            <v>Sijoitusrahasto Danske Invest Kompassi Korko</v>
          </cell>
          <cell r="B620" t="str">
            <v>Retail</v>
          </cell>
        </row>
        <row r="621">
          <cell r="A621" t="str">
            <v>Sijoitusrahasto Danske Invest Kompassi Osake</v>
          </cell>
          <cell r="B621" t="str">
            <v>Retail</v>
          </cell>
        </row>
        <row r="622">
          <cell r="A622" t="str">
            <v>Sijoitusrahasto Danske Invest Korko</v>
          </cell>
          <cell r="B622" t="str">
            <v>Retail</v>
          </cell>
        </row>
        <row r="623">
          <cell r="A623" t="str">
            <v>Sijoitusrahasto Danske Invest MediLife</v>
          </cell>
          <cell r="B623" t="str">
            <v>Retail</v>
          </cell>
        </row>
        <row r="624">
          <cell r="A624" t="str">
            <v>Sijoitusrahasto Danske Invest Obligaatio</v>
          </cell>
          <cell r="B624" t="str">
            <v>Retail</v>
          </cell>
        </row>
        <row r="625">
          <cell r="A625" t="str">
            <v>Sijoitusrahasto Danske Invest Pohjoisen Yrityslainat Plus</v>
          </cell>
          <cell r="B625" t="str">
            <v>Retail</v>
          </cell>
        </row>
        <row r="626">
          <cell r="A626" t="str">
            <v>Sijoitusrahasto Danske Invest Russia</v>
          </cell>
          <cell r="B626" t="str">
            <v>Retail</v>
          </cell>
        </row>
        <row r="627">
          <cell r="A627" t="str">
            <v>Sijoitusrahasto Danske Invest Suomi Osake</v>
          </cell>
          <cell r="B627" t="str">
            <v>Retail</v>
          </cell>
        </row>
        <row r="628">
          <cell r="A628" t="str">
            <v>Sijoitusrahasto Danske Invest Tavoite 2030</v>
          </cell>
          <cell r="B628" t="str">
            <v>Retail</v>
          </cell>
        </row>
        <row r="629">
          <cell r="A629" t="str">
            <v>Sijoitusrahasto Danske Invest Tavoite 2040</v>
          </cell>
          <cell r="B629" t="str">
            <v>Retail</v>
          </cell>
        </row>
        <row r="630">
          <cell r="A630" t="str">
            <v>Sijoitusrahasto Danske Invest Teknologia Indeksi</v>
          </cell>
          <cell r="B630" t="str">
            <v>Retail</v>
          </cell>
        </row>
        <row r="631">
          <cell r="A631" t="str">
            <v>Sijoitusrahasto Danske Invest USA Indeksi</v>
          </cell>
          <cell r="B631" t="str">
            <v>Retail</v>
          </cell>
        </row>
        <row r="632">
          <cell r="A632" t="str">
            <v>Sijoitusrahasto Danske Invest Yhteisökorko</v>
          </cell>
          <cell r="B632" t="str">
            <v>Retail</v>
          </cell>
        </row>
        <row r="633">
          <cell r="A633" t="str">
            <v>Sijoitusrahasto Danske Invest Yhteisökorko Plus</v>
          </cell>
          <cell r="B633" t="str">
            <v>Retail</v>
          </cell>
        </row>
        <row r="634">
          <cell r="A634" t="str">
            <v>Sijoitusrahasto eQ Euro Investment Grade</v>
          </cell>
          <cell r="B634" t="str">
            <v>Retail</v>
          </cell>
        </row>
        <row r="635">
          <cell r="A635" t="str">
            <v>Sijoitusrahasto eQ Euro Valtionobligaatio</v>
          </cell>
          <cell r="B635" t="str">
            <v>Retail</v>
          </cell>
        </row>
        <row r="636">
          <cell r="A636" t="str">
            <v>Sijoitusrahasto eQ Eurooppa Osinko</v>
          </cell>
          <cell r="B636" t="str">
            <v>Retail</v>
          </cell>
        </row>
        <row r="637">
          <cell r="A637" t="str">
            <v>Sijoitusrahasto eQ Eurooppa Pienyhtiö</v>
          </cell>
          <cell r="B637" t="str">
            <v>Retail</v>
          </cell>
        </row>
        <row r="638">
          <cell r="A638" t="str">
            <v>Sijoitusrahasto eQ High Yield</v>
          </cell>
          <cell r="B638" t="str">
            <v>Retail</v>
          </cell>
        </row>
        <row r="639">
          <cell r="A639" t="str">
            <v>Sijoitusrahasto eQ Kehittyvät Markkinat Osinko</v>
          </cell>
          <cell r="B639" t="str">
            <v>Retail</v>
          </cell>
        </row>
        <row r="640">
          <cell r="A640" t="str">
            <v>Sijoitusrahasto eQ Kehittyvät Markkinat Yrityslaina</v>
          </cell>
          <cell r="B640" t="str">
            <v>Retail</v>
          </cell>
        </row>
        <row r="641">
          <cell r="A641" t="str">
            <v>Sijoitusrahasto eQ Lyhyt Korko</v>
          </cell>
          <cell r="B641" t="str">
            <v>Retail</v>
          </cell>
        </row>
        <row r="642">
          <cell r="A642" t="str">
            <v>Sijoitusrahasto eQ Maailma</v>
          </cell>
          <cell r="B642" t="str">
            <v>Retail</v>
          </cell>
        </row>
        <row r="643">
          <cell r="A643" t="str">
            <v>Sijoitusrahasto eQ Pohjoismaat Pienyhtiö</v>
          </cell>
          <cell r="B643" t="str">
            <v>Retail</v>
          </cell>
        </row>
        <row r="644">
          <cell r="A644" t="str">
            <v>Sijoitusrahasto eQ Sininen Planeetta</v>
          </cell>
          <cell r="B644" t="str">
            <v>Retail</v>
          </cell>
        </row>
        <row r="645">
          <cell r="A645" t="str">
            <v>Sijoitusrahasto eQ Suomi</v>
          </cell>
          <cell r="B645" t="str">
            <v>Retail</v>
          </cell>
        </row>
        <row r="646">
          <cell r="A646" t="str">
            <v>Sijoitusrahasto eQ Vaihtuva Korko</v>
          </cell>
          <cell r="B646" t="str">
            <v>Retail</v>
          </cell>
        </row>
        <row r="647">
          <cell r="A647" t="str">
            <v>Sijoitusrahasto Evli Emerging Frontier</v>
          </cell>
          <cell r="B647" t="str">
            <v>Retail</v>
          </cell>
        </row>
        <row r="648">
          <cell r="A648" t="str">
            <v>Sijoitusrahasto Evli Eurooppa</v>
          </cell>
          <cell r="B648" t="str">
            <v>Retail</v>
          </cell>
        </row>
        <row r="649">
          <cell r="A649" t="str">
            <v>Sijoitusrahasto Evli Eurooppa Kasvu</v>
          </cell>
          <cell r="B649" t="str">
            <v>Retail</v>
          </cell>
        </row>
        <row r="650">
          <cell r="A650" t="str">
            <v>Sijoitusrahasto Evli GEM</v>
          </cell>
          <cell r="B650" t="str">
            <v>Retail</v>
          </cell>
        </row>
        <row r="651">
          <cell r="A651" t="str">
            <v>Sijoitusrahasto Evli Globaali Korko</v>
          </cell>
          <cell r="B651" t="str">
            <v>Retail</v>
          </cell>
        </row>
        <row r="652">
          <cell r="A652" t="str">
            <v>Sijoitusrahasto Evli Green Corporate Bond</v>
          </cell>
          <cell r="B652" t="str">
            <v>Retail</v>
          </cell>
        </row>
        <row r="653">
          <cell r="A653" t="str">
            <v>Sijoitusrahasto Evli Hannibal</v>
          </cell>
          <cell r="B653" t="str">
            <v>Retail</v>
          </cell>
        </row>
        <row r="654">
          <cell r="A654" t="str">
            <v>Sijoitusrahasto Evli High Yield Yrityslaina</v>
          </cell>
          <cell r="B654" t="str">
            <v>Retail</v>
          </cell>
        </row>
        <row r="655">
          <cell r="A655" t="str">
            <v>Sijoitusrahasto Evli Impact Equity</v>
          </cell>
          <cell r="B655" t="str">
            <v>Retail</v>
          </cell>
        </row>
        <row r="656">
          <cell r="A656" t="str">
            <v>Sijoitusrahasto Evli Investment Grade Yrityslaina</v>
          </cell>
          <cell r="B656" t="str">
            <v>Retail</v>
          </cell>
        </row>
        <row r="657">
          <cell r="A657" t="str">
            <v>Sijoitusrahasto Evli Japani</v>
          </cell>
          <cell r="B657" t="str">
            <v>Retail</v>
          </cell>
        </row>
        <row r="658">
          <cell r="A658" t="str">
            <v>Sijoitusrahasto Evli Kehittyvät Markkinat Yrityslaina</v>
          </cell>
          <cell r="B658" t="str">
            <v>Retail</v>
          </cell>
        </row>
        <row r="659">
          <cell r="A659" t="str">
            <v>Sijoitusrahasto Evli Likvidi</v>
          </cell>
          <cell r="B659" t="str">
            <v>Retail</v>
          </cell>
        </row>
        <row r="660">
          <cell r="A660" t="str">
            <v>Sijoitusrahasto Evli Lyhyt Yrityslaina</v>
          </cell>
          <cell r="B660" t="str">
            <v>Retail</v>
          </cell>
        </row>
        <row r="661">
          <cell r="A661" t="str">
            <v>Sijoitusrahasto Evli Maailma</v>
          </cell>
          <cell r="B661" t="str">
            <v>Retail</v>
          </cell>
        </row>
        <row r="662">
          <cell r="A662" t="str">
            <v>Sijoitusrahasto Evli Maailma X</v>
          </cell>
          <cell r="B662" t="str">
            <v>Retail</v>
          </cell>
        </row>
        <row r="663">
          <cell r="A663" t="str">
            <v>Sijoitusrahasto Evli Nordic 2025 Target Maturity</v>
          </cell>
          <cell r="B663" t="str">
            <v>Retail</v>
          </cell>
        </row>
        <row r="664">
          <cell r="A664" t="str">
            <v>Sijoitusrahasto Evli Optimaalivarainhoito</v>
          </cell>
          <cell r="B664" t="str">
            <v>Retail</v>
          </cell>
        </row>
        <row r="665">
          <cell r="A665" t="str">
            <v>Sijoitusrahasto Evli Osake</v>
          </cell>
          <cell r="B665" t="str">
            <v>Retail</v>
          </cell>
        </row>
        <row r="666">
          <cell r="A666" t="str">
            <v>Sijoitusrahasto Evli Osakefaktori Eurooppa</v>
          </cell>
          <cell r="B666" t="str">
            <v>Retail</v>
          </cell>
        </row>
        <row r="667">
          <cell r="A667" t="str">
            <v>Sijoitusrahasto Evli Osakefaktori Maailma</v>
          </cell>
          <cell r="B667" t="str">
            <v>Retail</v>
          </cell>
        </row>
        <row r="668">
          <cell r="A668" t="str">
            <v>Sijoitusrahasto Evli Osakefaktori USA</v>
          </cell>
          <cell r="B668" t="str">
            <v>Retail</v>
          </cell>
        </row>
        <row r="669">
          <cell r="A669" t="str">
            <v>Sijoitusrahasto Evli Pohjois-Amerikka</v>
          </cell>
          <cell r="B669" t="str">
            <v>Retail</v>
          </cell>
        </row>
        <row r="670">
          <cell r="A670" t="str">
            <v>Sijoitusrahasto Evli Pohjoismaat</v>
          </cell>
          <cell r="B670" t="str">
            <v>Retail</v>
          </cell>
        </row>
        <row r="671">
          <cell r="A671" t="str">
            <v>Sijoitusrahasto Evli Pohjoismaat Pienyhtiöt</v>
          </cell>
          <cell r="B671" t="str">
            <v>Retail</v>
          </cell>
        </row>
        <row r="672">
          <cell r="A672" t="str">
            <v>Sijoitusrahasto Evli Pohjoismaat Yrityslaina</v>
          </cell>
          <cell r="B672" t="str">
            <v>Retail</v>
          </cell>
        </row>
        <row r="673">
          <cell r="A673" t="str">
            <v>Sijoitusrahasto Evli Ruotsi Osakeindeksi</v>
          </cell>
          <cell r="B673" t="str">
            <v>Retail</v>
          </cell>
        </row>
        <row r="674">
          <cell r="A674" t="str">
            <v>Sijoitusrahasto Evli Ruotsi Pienyhtiöt</v>
          </cell>
          <cell r="B674" t="str">
            <v>Retail</v>
          </cell>
        </row>
        <row r="675">
          <cell r="A675" t="str">
            <v>Sijoitusrahasto Evli Suomi Mix</v>
          </cell>
          <cell r="B675" t="str">
            <v>Retail</v>
          </cell>
        </row>
        <row r="676">
          <cell r="A676" t="str">
            <v>Sijoitusrahasto Evli Suomi Pienyhtiöt</v>
          </cell>
          <cell r="B676" t="str">
            <v>Retail</v>
          </cell>
        </row>
        <row r="677">
          <cell r="A677" t="str">
            <v>Sijoitusrahasto Evli Suomi Select</v>
          </cell>
          <cell r="B677" t="str">
            <v>Retail</v>
          </cell>
        </row>
        <row r="678">
          <cell r="A678" t="str">
            <v>Sijoitusrahasto Evli USA Kasvu</v>
          </cell>
          <cell r="B678" t="str">
            <v>Retail</v>
          </cell>
        </row>
        <row r="679">
          <cell r="A679" t="str">
            <v>Sijoitusrahasto Evli Valtionobligaatio</v>
          </cell>
          <cell r="B679" t="str">
            <v>Retail</v>
          </cell>
        </row>
        <row r="680">
          <cell r="A680" t="str">
            <v>Sijoitusrahasto Evli Varainhoito 30</v>
          </cell>
          <cell r="B680" t="str">
            <v>Retail</v>
          </cell>
        </row>
        <row r="681">
          <cell r="A681" t="str">
            <v>Sijoitusrahasto Evli Varainhoito 50</v>
          </cell>
          <cell r="B681" t="str">
            <v>Retail</v>
          </cell>
        </row>
        <row r="682">
          <cell r="A682" t="str">
            <v>Sijoitusrahasto Evli Yrityslaina</v>
          </cell>
          <cell r="B682" t="str">
            <v>Retail</v>
          </cell>
        </row>
        <row r="683">
          <cell r="A683" t="str">
            <v>Sijoitusrahasto Fourton ESG Dynasty</v>
          </cell>
          <cell r="B683" t="str">
            <v>Retail</v>
          </cell>
        </row>
        <row r="684">
          <cell r="A684" t="str">
            <v>Sijoitusrahasto FOURTON Fiesta</v>
          </cell>
          <cell r="B684" t="str">
            <v>Retail</v>
          </cell>
        </row>
        <row r="685">
          <cell r="A685" t="str">
            <v>Sijoitusrahasto Fourton Komodo Indonesia</v>
          </cell>
          <cell r="B685" t="str">
            <v>Retail</v>
          </cell>
        </row>
        <row r="686">
          <cell r="A686" t="str">
            <v>Sijoitusrahasto Fourton Silkkitie Aasia</v>
          </cell>
          <cell r="B686" t="str">
            <v>Retail</v>
          </cell>
        </row>
        <row r="687">
          <cell r="A687" t="str">
            <v>Sijoitusrahasto FOURTON Tempo</v>
          </cell>
          <cell r="B687" t="str">
            <v>Retail</v>
          </cell>
        </row>
        <row r="688">
          <cell r="A688" t="str">
            <v>Sijoitusrahasto Investors Nordic Small Cap</v>
          </cell>
          <cell r="B688" t="str">
            <v>Retail</v>
          </cell>
        </row>
        <row r="689">
          <cell r="A689" t="str">
            <v>Sijoitusrahasto lnvestors Global Aristocrats</v>
          </cell>
          <cell r="B689" t="str">
            <v>Retail</v>
          </cell>
        </row>
        <row r="690">
          <cell r="A690" t="str">
            <v>Sijoitusrahasto LähiTapiola 2025 ESG</v>
          </cell>
          <cell r="B690" t="str">
            <v>Retail</v>
          </cell>
        </row>
        <row r="691">
          <cell r="A691" t="str">
            <v>Sijoitusrahasto LähiTapiola 2035 ESG</v>
          </cell>
          <cell r="B691" t="str">
            <v>Retail</v>
          </cell>
        </row>
        <row r="692">
          <cell r="A692" t="str">
            <v>Sijoitusrahasto LähiTapiola 2045 ESG</v>
          </cell>
          <cell r="B692" t="str">
            <v>Retail</v>
          </cell>
        </row>
        <row r="693">
          <cell r="A693" t="str">
            <v>Sijoitusrahasto LähiTapiola Eurooppa High Yield ESG</v>
          </cell>
          <cell r="B693" t="str">
            <v>Retail</v>
          </cell>
        </row>
        <row r="694">
          <cell r="A694" t="str">
            <v>Sijoitusrahasto LähiTapiola Eurooppa Ilmastoindeksi</v>
          </cell>
          <cell r="B694" t="str">
            <v>Retail</v>
          </cell>
        </row>
        <row r="695">
          <cell r="A695" t="str">
            <v>Sijoitusrahasto LähiTapiola Eurooppa Keskisuuret ESG</v>
          </cell>
          <cell r="B695" t="str">
            <v>Retail</v>
          </cell>
        </row>
        <row r="696">
          <cell r="A696" t="str">
            <v>Sijoitusrahasto LähiTapiola High Yield</v>
          </cell>
          <cell r="B696" t="str">
            <v>Retail</v>
          </cell>
        </row>
        <row r="697">
          <cell r="A697" t="str">
            <v>Sijoitusrahasto LähiTapiola Hyvinvointi ESG</v>
          </cell>
          <cell r="B697" t="str">
            <v>Retail</v>
          </cell>
        </row>
        <row r="698">
          <cell r="A698" t="str">
            <v>Sijoitusrahasto LähiTapiola Kasvu ESG</v>
          </cell>
          <cell r="B698" t="str">
            <v>Retail</v>
          </cell>
        </row>
        <row r="699">
          <cell r="A699" t="str">
            <v>Sijoitusrahasto LähiTapiola Kehittynyt Aasia ESG</v>
          </cell>
          <cell r="B699" t="str">
            <v>Retail</v>
          </cell>
        </row>
        <row r="700">
          <cell r="A700" t="str">
            <v>Sijoitusrahasto LähiTapiola Kehittyvät Korkomarkkinat</v>
          </cell>
          <cell r="B700" t="str">
            <v>Retail</v>
          </cell>
        </row>
        <row r="701">
          <cell r="A701" t="str">
            <v>Sijoitusrahasto LähiTapiola Kehittyvät Markkinat</v>
          </cell>
          <cell r="B701" t="str">
            <v>Retail</v>
          </cell>
        </row>
        <row r="702">
          <cell r="A702" t="str">
            <v>Sijoitusrahasto LähiTapiola Kestävä Vaikuttajakorko</v>
          </cell>
          <cell r="B702" t="str">
            <v>Retail</v>
          </cell>
        </row>
        <row r="703">
          <cell r="A703" t="str">
            <v>Sijoitusrahasto LähiTapiola Kestävä Ympäristö</v>
          </cell>
          <cell r="B703" t="str">
            <v>Retail</v>
          </cell>
        </row>
        <row r="704">
          <cell r="A704" t="str">
            <v>Sijoitusrahasto LähiTapiola Korko 100</v>
          </cell>
          <cell r="B704" t="str">
            <v>Retail</v>
          </cell>
        </row>
        <row r="705">
          <cell r="A705" t="str">
            <v>Sijoitusrahasto LähiTapiola Korkomaailma</v>
          </cell>
          <cell r="B705" t="str">
            <v>Retail</v>
          </cell>
        </row>
        <row r="706">
          <cell r="A706" t="str">
            <v>Sijoitusrahasto LähiTapiola Kuluttaja ESG</v>
          </cell>
          <cell r="B706" t="str">
            <v>Retail</v>
          </cell>
        </row>
        <row r="707">
          <cell r="A707" t="str">
            <v>Sijoitusrahasto LähiTapiola Lyhytkorko ESG</v>
          </cell>
          <cell r="B707" t="str">
            <v>Retail</v>
          </cell>
        </row>
        <row r="708">
          <cell r="A708" t="str">
            <v>Sijoitusrahasto LähiTapiola Maailma 20</v>
          </cell>
          <cell r="B708" t="str">
            <v>Retail</v>
          </cell>
        </row>
        <row r="709">
          <cell r="A709" t="str">
            <v>Sijoitusrahasto LähiTapiola Maailma 50</v>
          </cell>
          <cell r="B709" t="str">
            <v>Retail</v>
          </cell>
        </row>
        <row r="710">
          <cell r="A710" t="str">
            <v>Sijoitusrahasto LähiTapiola Maailma 80</v>
          </cell>
          <cell r="B710" t="str">
            <v>Retail</v>
          </cell>
        </row>
        <row r="711">
          <cell r="A711" t="str">
            <v>Sijoitusrahasto LähiTapiola Osake 100</v>
          </cell>
          <cell r="B711" t="str">
            <v>Retail</v>
          </cell>
        </row>
        <row r="712">
          <cell r="A712" t="str">
            <v>Sijoitusrahasto LähiTapiola Pitkäkorko ESG</v>
          </cell>
          <cell r="B712" t="str">
            <v>Retail</v>
          </cell>
        </row>
        <row r="713">
          <cell r="A713" t="str">
            <v>Sijoitusrahasto LähiTapiola Pohjoinen Yrityskorko ESG</v>
          </cell>
          <cell r="B713" t="str">
            <v>Retail</v>
          </cell>
        </row>
        <row r="714">
          <cell r="A714" t="str">
            <v>Sijoitusrahasto LähiTapiola Pohjoismaat ESG</v>
          </cell>
          <cell r="B714" t="str">
            <v>Retail</v>
          </cell>
        </row>
        <row r="715">
          <cell r="A715" t="str">
            <v>Sijoitusrahasto LähiTapiola Reaalikorko ESG</v>
          </cell>
          <cell r="B715" t="str">
            <v>Retail</v>
          </cell>
        </row>
        <row r="716">
          <cell r="A716" t="str">
            <v>Sijoitusrahasto LähiTapiola Suoja</v>
          </cell>
          <cell r="B716" t="str">
            <v>Retail</v>
          </cell>
        </row>
        <row r="717">
          <cell r="A717" t="str">
            <v>Sijoitusrahasto LähiTapiola Tähtivarainhoito 50</v>
          </cell>
          <cell r="B717" t="str">
            <v>Retail</v>
          </cell>
        </row>
        <row r="718">
          <cell r="A718" t="str">
            <v>Sijoitusrahasto LähiTapiola Tähtivarainhoito 75</v>
          </cell>
          <cell r="B718" t="str">
            <v>Retail</v>
          </cell>
        </row>
        <row r="719">
          <cell r="A719" t="str">
            <v>Sijoitusrahasto LähiTapiola USA Ilmastoindeksi</v>
          </cell>
          <cell r="B719" t="str">
            <v>Retail</v>
          </cell>
        </row>
        <row r="720">
          <cell r="A720" t="str">
            <v>Sijoitusrahasto LähiTapiola USA Keskisuuret ESG</v>
          </cell>
          <cell r="B720" t="str">
            <v>Retail</v>
          </cell>
        </row>
        <row r="721">
          <cell r="A721" t="str">
            <v>Sijoitusrahasto LähiTapiola Yhteisö Eurooppa ESG</v>
          </cell>
          <cell r="B721" t="str">
            <v>Retail</v>
          </cell>
        </row>
        <row r="722">
          <cell r="A722" t="str">
            <v>Sijoitusrahasto LähiTapiola Yhteisö Pitkäkorko ESG</v>
          </cell>
          <cell r="B722" t="str">
            <v>Retail</v>
          </cell>
        </row>
        <row r="723">
          <cell r="A723" t="str">
            <v>Sijoitusrahasto LähiTapiola Yhteisö USA ESG</v>
          </cell>
          <cell r="B723" t="str">
            <v>Retail</v>
          </cell>
        </row>
        <row r="724">
          <cell r="A724" t="str">
            <v>Sijoitusrahasto LähiTapiola Yhteisö Yrityskorko ESG</v>
          </cell>
          <cell r="B724" t="str">
            <v>Retail</v>
          </cell>
        </row>
        <row r="725">
          <cell r="A725" t="str">
            <v>Sijoitusrahasto LähiTapiola Yrityskorko ESG</v>
          </cell>
          <cell r="B725" t="str">
            <v>Retail</v>
          </cell>
        </row>
        <row r="726">
          <cell r="A726" t="str">
            <v>Sijoitusrahasto Nora Five (EUR)</v>
          </cell>
          <cell r="B726" t="str">
            <v>Retail</v>
          </cell>
        </row>
        <row r="727">
          <cell r="A727" t="str">
            <v>Sijoitusrahasto Nora Five (SEK)</v>
          </cell>
          <cell r="B727" t="str">
            <v>Retail</v>
          </cell>
        </row>
        <row r="728">
          <cell r="A728" t="str">
            <v>Sijoitusrahasto Nora Five Master</v>
          </cell>
          <cell r="B728" t="str">
            <v>Retail</v>
          </cell>
        </row>
        <row r="729">
          <cell r="A729" t="str">
            <v>Sijoitusrahasto Nora Four (EUR)</v>
          </cell>
          <cell r="B729" t="str">
            <v>Retail</v>
          </cell>
        </row>
        <row r="730">
          <cell r="A730" t="str">
            <v>Sijoitusrahasto Nora Four (NOK)</v>
          </cell>
          <cell r="B730" t="str">
            <v>Retail</v>
          </cell>
        </row>
        <row r="731">
          <cell r="A731" t="str">
            <v>Sijoitusrahasto Nora Four (SEK)</v>
          </cell>
          <cell r="B731" t="str">
            <v>Retail</v>
          </cell>
        </row>
        <row r="732">
          <cell r="A732" t="str">
            <v>Sijoitusrahasto Nora Four Master</v>
          </cell>
          <cell r="B732" t="str">
            <v>Retail</v>
          </cell>
        </row>
        <row r="733">
          <cell r="A733" t="str">
            <v>Sijoitusrahasto Nora Three (EUR)</v>
          </cell>
          <cell r="B733" t="str">
            <v>Retail</v>
          </cell>
        </row>
        <row r="734">
          <cell r="A734" t="str">
            <v>Sijoitusrahasto Nora Three (NOK)</v>
          </cell>
          <cell r="B734" t="str">
            <v>Retail</v>
          </cell>
        </row>
        <row r="735">
          <cell r="A735" t="str">
            <v>Sijoitusrahasto Nora Three (SEK)</v>
          </cell>
          <cell r="B735" t="str">
            <v>Retail</v>
          </cell>
        </row>
        <row r="736">
          <cell r="A736" t="str">
            <v>Sijoitusrahasto Nora Three Master</v>
          </cell>
          <cell r="B736" t="str">
            <v>Retail</v>
          </cell>
        </row>
        <row r="737">
          <cell r="A737" t="str">
            <v>Sijoitusrahasto Nora Two (EUR)</v>
          </cell>
          <cell r="B737" t="str">
            <v>Retail</v>
          </cell>
        </row>
        <row r="738">
          <cell r="A738" t="str">
            <v>Sijoitusrahasto Nora Two (NOK)</v>
          </cell>
          <cell r="B738" t="str">
            <v>Retail</v>
          </cell>
        </row>
        <row r="739">
          <cell r="A739" t="str">
            <v>Sijoitusrahasto Nora Two (SEK)</v>
          </cell>
          <cell r="B739" t="str">
            <v>Retail</v>
          </cell>
        </row>
        <row r="740">
          <cell r="A740" t="str">
            <v>Sijoitusrahasto Nora Two Master</v>
          </cell>
          <cell r="B740" t="str">
            <v>Retail</v>
          </cell>
        </row>
        <row r="741">
          <cell r="A741" t="str">
            <v>Sijoitusrahasto Nordea Aasialaiset Tähdet</v>
          </cell>
          <cell r="B741" t="str">
            <v>Retail</v>
          </cell>
        </row>
        <row r="742">
          <cell r="A742" t="str">
            <v>Sijoitusrahasto Nordea Allokeringsfond</v>
          </cell>
          <cell r="B742" t="str">
            <v>Retail</v>
          </cell>
        </row>
        <row r="743">
          <cell r="A743" t="str">
            <v>Sijoitusrahasto Nordea Bærekraftige Obligasjoner Global</v>
          </cell>
          <cell r="B743" t="str">
            <v>Retail</v>
          </cell>
        </row>
        <row r="744">
          <cell r="A744" t="str">
            <v>Sijoitusrahasto Nordea Corporate Bond</v>
          </cell>
          <cell r="B744" t="str">
            <v>Retail</v>
          </cell>
        </row>
        <row r="745">
          <cell r="A745" t="str">
            <v>Sijoitusrahasto Nordea Discretionary Corporate Credit</v>
          </cell>
          <cell r="B745" t="str">
            <v>Retail</v>
          </cell>
        </row>
        <row r="746">
          <cell r="A746" t="str">
            <v>Sijoitusrahasto Nordea Discretionary Global Equity</v>
          </cell>
          <cell r="B746" t="str">
            <v>Retail</v>
          </cell>
        </row>
        <row r="747">
          <cell r="A747" t="str">
            <v>Sijoitusrahasto Nordea Discretionary Swedish Equity</v>
          </cell>
          <cell r="B747" t="str">
            <v>Retail</v>
          </cell>
        </row>
        <row r="748">
          <cell r="A748" t="str">
            <v>Sijoitusrahasto Nordea Equity Opportunities</v>
          </cell>
          <cell r="B748" t="str">
            <v>Retail</v>
          </cell>
        </row>
        <row r="749">
          <cell r="A749" t="str">
            <v>Sijoitusrahasto Nordea Euro Midi Korko</v>
          </cell>
          <cell r="B749" t="str">
            <v>Retail</v>
          </cell>
        </row>
        <row r="750">
          <cell r="A750" t="str">
            <v>Sijoitusrahasto Nordea Euro Obligaatio</v>
          </cell>
          <cell r="B750" t="str">
            <v>Retail</v>
          </cell>
        </row>
        <row r="751">
          <cell r="A751" t="str">
            <v>Sijoitusrahasto Nordea Euro Yrityslaina Plus</v>
          </cell>
          <cell r="B751" t="str">
            <v>Retail</v>
          </cell>
        </row>
        <row r="752">
          <cell r="A752" t="str">
            <v>Sijoitusrahasto Nordea Euroopan Pienet Yhtiöt</v>
          </cell>
          <cell r="B752" t="str">
            <v>Retail</v>
          </cell>
        </row>
        <row r="753">
          <cell r="A753" t="str">
            <v>Sijoitusrahasto Nordea Eurooppa Passiivinen</v>
          </cell>
          <cell r="B753" t="str">
            <v>Retail</v>
          </cell>
        </row>
        <row r="754">
          <cell r="A754" t="str">
            <v>Sijoitusrahasto Nordea Eurooppalaiset Tähdet</v>
          </cell>
          <cell r="B754" t="str">
            <v>Retail</v>
          </cell>
        </row>
        <row r="755">
          <cell r="A755" t="str">
            <v>Sijoitusrahasto Nordea Focus Korko</v>
          </cell>
          <cell r="B755" t="str">
            <v>Retail</v>
          </cell>
        </row>
        <row r="756">
          <cell r="A756" t="str">
            <v>Sijoitusrahasto Nordea Global Enhanced</v>
          </cell>
          <cell r="B756" t="str">
            <v>Retail</v>
          </cell>
        </row>
        <row r="757">
          <cell r="A757" t="str">
            <v>Sijoitusrahasto Nordea Global Equity Allocation</v>
          </cell>
          <cell r="B757" t="str">
            <v>Retail</v>
          </cell>
        </row>
        <row r="758">
          <cell r="A758" t="str">
            <v>Sijoitusrahasto Nordea Hållbarhetsfond Obligationer Global</v>
          </cell>
          <cell r="B758" t="str">
            <v>Retail</v>
          </cell>
        </row>
        <row r="759">
          <cell r="A759" t="str">
            <v>Sijoitusrahasto Nordea Innovation Stars</v>
          </cell>
          <cell r="B759" t="str">
            <v>Retail</v>
          </cell>
        </row>
        <row r="760">
          <cell r="A760" t="str">
            <v>Sijoitusrahasto Nordea Institutionella Småbolagsfonden Sverige</v>
          </cell>
          <cell r="B760" t="str">
            <v>Retail</v>
          </cell>
        </row>
        <row r="761">
          <cell r="A761" t="str">
            <v>Sijoitusrahasto Nordea Intia</v>
          </cell>
          <cell r="B761" t="str">
            <v>Retail</v>
          </cell>
        </row>
        <row r="762">
          <cell r="A762" t="str">
            <v>Sijoitusrahasto Nordea Itä-Eurooppa</v>
          </cell>
          <cell r="B762" t="str">
            <v>Retail</v>
          </cell>
        </row>
        <row r="763">
          <cell r="A763" t="str">
            <v>Sijoitusrahasto Nordea Japani</v>
          </cell>
          <cell r="B763" t="str">
            <v>Retail</v>
          </cell>
        </row>
        <row r="764">
          <cell r="A764" t="str">
            <v>Sijoitusrahasto Nordea Kehittyvä Eurooppa</v>
          </cell>
          <cell r="B764" t="str">
            <v>Retail</v>
          </cell>
        </row>
        <row r="765">
          <cell r="A765" t="str">
            <v>Sijoitusrahasto Nordea Kehittyvät Korkomarkkinat</v>
          </cell>
          <cell r="B765" t="str">
            <v>Retail</v>
          </cell>
        </row>
        <row r="766">
          <cell r="A766" t="str">
            <v>Sijoitusrahasto Nordea Kehittyvät Osakemarkkinat</v>
          </cell>
          <cell r="B766" t="str">
            <v>Retail</v>
          </cell>
        </row>
        <row r="767">
          <cell r="A767" t="str">
            <v>Sijoitusrahasto Nordea Kiina</v>
          </cell>
          <cell r="B767" t="str">
            <v>Retail</v>
          </cell>
        </row>
        <row r="768">
          <cell r="A768" t="str">
            <v>Sijoitusrahasto Nordea Korko</v>
          </cell>
          <cell r="B768" t="str">
            <v>Retail</v>
          </cell>
        </row>
        <row r="769">
          <cell r="A769" t="str">
            <v>Sijoitusrahasto Nordea Korko Varovainen</v>
          </cell>
          <cell r="B769" t="str">
            <v>Retail</v>
          </cell>
        </row>
        <row r="770">
          <cell r="A770" t="str">
            <v>Sijoitusrahasto Nordea Korkotuotto</v>
          </cell>
          <cell r="B770" t="str">
            <v>Retail</v>
          </cell>
        </row>
        <row r="771">
          <cell r="A771" t="str">
            <v>Sijoitusrahasto Nordea Maailma</v>
          </cell>
          <cell r="B771" t="str">
            <v>Retail</v>
          </cell>
        </row>
        <row r="772">
          <cell r="A772" t="str">
            <v>Sijoitusrahasto Nordea Maailma Osinko</v>
          </cell>
          <cell r="B772" t="str">
            <v>Retail</v>
          </cell>
        </row>
        <row r="773">
          <cell r="A773" t="str">
            <v>Sijoitusrahasto Nordea Maailma Passiivinen</v>
          </cell>
          <cell r="B773" t="str">
            <v>Retail</v>
          </cell>
        </row>
        <row r="774">
          <cell r="A774" t="str">
            <v>Sijoitusrahasto Nordea Nordic Covered Bond</v>
          </cell>
          <cell r="B774" t="str">
            <v>Retail</v>
          </cell>
        </row>
        <row r="775">
          <cell r="A775" t="str">
            <v>Sijoitusrahasto Nordea Nordic Small Cap</v>
          </cell>
          <cell r="B775" t="str">
            <v>Retail</v>
          </cell>
        </row>
        <row r="776">
          <cell r="A776" t="str">
            <v>Sijoitusrahasto Nordea North American Enhanced</v>
          </cell>
          <cell r="B776" t="str">
            <v>Retail</v>
          </cell>
        </row>
        <row r="777">
          <cell r="A777" t="str">
            <v>Sijoitusrahasto Nordea Norwegian Stars</v>
          </cell>
          <cell r="B777" t="str">
            <v>Retail</v>
          </cell>
        </row>
        <row r="778">
          <cell r="A778" t="str">
            <v>Sijoitusrahasto Nordea Pohjois-Amerikka Osinko</v>
          </cell>
          <cell r="B778" t="str">
            <v>Retail</v>
          </cell>
        </row>
        <row r="779">
          <cell r="A779" t="str">
            <v>Sijoitusrahasto Nordea Pohjoismaat</v>
          </cell>
          <cell r="B779" t="str">
            <v>Retail</v>
          </cell>
        </row>
        <row r="780">
          <cell r="A780" t="str">
            <v>Sijoitusrahasto Nordea Premium Varainhoito Kasvu</v>
          </cell>
          <cell r="B780" t="str">
            <v>Retail</v>
          </cell>
        </row>
        <row r="781">
          <cell r="A781" t="str">
            <v>Sijoitusrahasto Nordea Premium Varainhoito Maltti</v>
          </cell>
          <cell r="B781" t="str">
            <v>Retail</v>
          </cell>
        </row>
        <row r="782">
          <cell r="A782" t="str">
            <v>Sijoitusrahasto Nordea Premium Varainhoito Tasapaino</v>
          </cell>
          <cell r="B782" t="str">
            <v>Retail</v>
          </cell>
        </row>
        <row r="783">
          <cell r="A783" t="str">
            <v>Sijoitusrahasto Nordea Premium Varainhoito Varovainen</v>
          </cell>
          <cell r="B783" t="str">
            <v>Retail</v>
          </cell>
        </row>
        <row r="784">
          <cell r="A784" t="str">
            <v>Sijoitusrahasto Nordea Private Banking FRN</v>
          </cell>
          <cell r="B784" t="str">
            <v>Retail</v>
          </cell>
        </row>
        <row r="785">
          <cell r="A785" t="str">
            <v>Sijoitusrahasto Nordea Private Banking Kort Obligasjon Pluss</v>
          </cell>
          <cell r="B785" t="str">
            <v>Retail</v>
          </cell>
        </row>
        <row r="786">
          <cell r="A786" t="str">
            <v>Sijoitusrahasto Nordea Private Banking Obligasjon</v>
          </cell>
          <cell r="B786" t="str">
            <v>Retail</v>
          </cell>
        </row>
        <row r="787">
          <cell r="A787" t="str">
            <v>Sijoitusrahasto Nordea Pro Euro Obligaatio</v>
          </cell>
          <cell r="B787" t="str">
            <v>Retail</v>
          </cell>
        </row>
        <row r="788">
          <cell r="A788" t="str">
            <v>Sijoitusrahasto Nordea Pro Stable Return</v>
          </cell>
          <cell r="B788" t="str">
            <v>Retail</v>
          </cell>
        </row>
        <row r="789">
          <cell r="A789" t="str">
            <v>Sijoitusrahasto Nordea Pro Suomi</v>
          </cell>
          <cell r="B789" t="str">
            <v>Retail</v>
          </cell>
        </row>
        <row r="790">
          <cell r="A790" t="str">
            <v>Sijoitusrahasto Nordea SEK Instituutiokorko</v>
          </cell>
          <cell r="B790" t="str">
            <v>Retail</v>
          </cell>
        </row>
        <row r="791">
          <cell r="A791" t="str">
            <v>Sijoitusrahasto Nordea Stratega 90</v>
          </cell>
          <cell r="B791" t="str">
            <v>Retail</v>
          </cell>
        </row>
        <row r="792">
          <cell r="A792" t="str">
            <v>Sijoitusrahasto Nordea Stratega Korko</v>
          </cell>
          <cell r="B792" t="str">
            <v>Retail</v>
          </cell>
        </row>
        <row r="793">
          <cell r="A793" t="str">
            <v>Sijoitusrahasto Nordea Suomalaiset Tähdet</v>
          </cell>
          <cell r="B793" t="str">
            <v>Retail</v>
          </cell>
        </row>
        <row r="794">
          <cell r="A794" t="str">
            <v>Sijoitusrahasto Nordea Suomi Passiivinen</v>
          </cell>
          <cell r="B794" t="str">
            <v>Retail</v>
          </cell>
        </row>
        <row r="795">
          <cell r="A795" t="str">
            <v>Sijoitusrahasto Nordea SVE Reaalikorko</v>
          </cell>
          <cell r="B795" t="str">
            <v>Retail</v>
          </cell>
        </row>
        <row r="796">
          <cell r="A796" t="str">
            <v>Sijoitusrahasto Nordea Swedish Ideas Equity Fund</v>
          </cell>
          <cell r="B796" t="str">
            <v>Retail</v>
          </cell>
        </row>
        <row r="797">
          <cell r="A797" t="str">
            <v>Sijoitusrahasto Nordea Säästö 15</v>
          </cell>
          <cell r="B797" t="str">
            <v>Retail</v>
          </cell>
        </row>
        <row r="798">
          <cell r="A798" t="str">
            <v>Sijoitusrahasto Nordea Säästö 30</v>
          </cell>
          <cell r="B798" t="str">
            <v>Retail</v>
          </cell>
        </row>
        <row r="799">
          <cell r="A799" t="str">
            <v>Sijoitusrahasto Nordea Säästö 50</v>
          </cell>
          <cell r="B799" t="str">
            <v>Retail</v>
          </cell>
        </row>
        <row r="800">
          <cell r="A800" t="str">
            <v>Sijoitusrahasto Nordea Säästö 75</v>
          </cell>
          <cell r="B800" t="str">
            <v>Retail</v>
          </cell>
        </row>
        <row r="801">
          <cell r="A801" t="str">
            <v>Sijoitusrahasto Nordea Säästö Korko</v>
          </cell>
          <cell r="B801" t="str">
            <v>Retail</v>
          </cell>
        </row>
        <row r="802">
          <cell r="A802" t="str">
            <v>Sijoitusrahasto Nordea Tactical Asset Allocation</v>
          </cell>
          <cell r="B802" t="str">
            <v>Retail</v>
          </cell>
        </row>
        <row r="803">
          <cell r="A803" t="str">
            <v>Sijoitusrahasto Nordea Vakaa Tuotto</v>
          </cell>
          <cell r="B803" t="str">
            <v>Retail</v>
          </cell>
        </row>
        <row r="804">
          <cell r="A804" t="str">
            <v>Sijoitusrahasto Nordea Vastuullinen Valinta Erittäin Tuottohakuinen</v>
          </cell>
          <cell r="B804" t="str">
            <v>Retail</v>
          </cell>
        </row>
        <row r="805">
          <cell r="A805" t="str">
            <v>Sijoitusrahasto Nordea Vastuullinen Valinta Kasvu</v>
          </cell>
          <cell r="B805" t="str">
            <v>Retail</v>
          </cell>
        </row>
        <row r="806">
          <cell r="A806" t="str">
            <v>Sijoitusrahasto Nordea Vastuullinen Valinta Kasvu (NOK)</v>
          </cell>
          <cell r="B806" t="str">
            <v>Retail</v>
          </cell>
        </row>
        <row r="807">
          <cell r="A807" t="str">
            <v>Sijoitusrahasto Nordea Vastuullinen Valinta Kasvu (SEK)</v>
          </cell>
          <cell r="B807" t="str">
            <v>Retail</v>
          </cell>
        </row>
        <row r="808">
          <cell r="A808" t="str">
            <v>Sijoitusrahasto Nordea Vastuullinen Valinta Maltti</v>
          </cell>
          <cell r="B808" t="str">
            <v>Retail</v>
          </cell>
        </row>
        <row r="809">
          <cell r="A809" t="str">
            <v>Sijoitusrahasto Nordea Vastuullinen Valinta Maltti (NOK)</v>
          </cell>
          <cell r="B809" t="str">
            <v>Retail</v>
          </cell>
        </row>
        <row r="810">
          <cell r="A810" t="str">
            <v>Sijoitusrahasto Nordea Vastuullinen Valinta Maltti (SEK)</v>
          </cell>
          <cell r="B810" t="str">
            <v>Retail</v>
          </cell>
        </row>
        <row r="811">
          <cell r="A811" t="str">
            <v>Sijoitusrahasto Nordea Vastuullinen Valinta Tasapaino</v>
          </cell>
          <cell r="B811" t="str">
            <v>Retail</v>
          </cell>
        </row>
        <row r="812">
          <cell r="A812" t="str">
            <v>Sijoitusrahasto Nordea Vastuullinen Valinta Tasapaino (NOK)</v>
          </cell>
          <cell r="B812" t="str">
            <v>Retail</v>
          </cell>
        </row>
        <row r="813">
          <cell r="A813" t="str">
            <v>Sijoitusrahasto Nordea Vastuullinen Valinta Tasapaino (SEK)</v>
          </cell>
          <cell r="B813" t="str">
            <v>Retail</v>
          </cell>
        </row>
        <row r="814">
          <cell r="A814" t="str">
            <v>Sijoitusrahasto Nordea Vastuullinen Valinta Tuottohakuinen (NOK)</v>
          </cell>
          <cell r="B814" t="str">
            <v>Retail</v>
          </cell>
        </row>
        <row r="815">
          <cell r="A815" t="str">
            <v>Sijoitusrahasto Nordea Vastuullinen Valinta Tuottohakuinen (SEK)</v>
          </cell>
          <cell r="B815" t="str">
            <v>Retail</v>
          </cell>
        </row>
        <row r="816">
          <cell r="A816" t="str">
            <v>Sijoitusrahasto Nordea Vastuulliset Korot Maailma</v>
          </cell>
          <cell r="B816" t="str">
            <v>Retail</v>
          </cell>
        </row>
        <row r="817">
          <cell r="A817" t="str">
            <v>Sijoitusrahasto Nordea Vastuulliset Osakkeet Maailma</v>
          </cell>
          <cell r="B817" t="str">
            <v>Retail</v>
          </cell>
        </row>
        <row r="818">
          <cell r="A818" t="str">
            <v>Sijoitusrahasto Nordea Venäjä</v>
          </cell>
          <cell r="B818" t="str">
            <v>Retail</v>
          </cell>
        </row>
        <row r="819">
          <cell r="A819" t="str">
            <v>Sijoitusrahasto Nordea World Passive</v>
          </cell>
          <cell r="B819" t="str">
            <v>Retail</v>
          </cell>
        </row>
        <row r="820">
          <cell r="A820" t="str">
            <v>Sijoitusrahasto Nordea Yrityslaina Plus</v>
          </cell>
          <cell r="B820" t="str">
            <v>Retail</v>
          </cell>
        </row>
        <row r="821">
          <cell r="A821" t="str">
            <v>Sijoitusrahasto POP Tarmo</v>
          </cell>
          <cell r="B821" t="str">
            <v>Retail</v>
          </cell>
        </row>
        <row r="822">
          <cell r="A822" t="str">
            <v>Sijoitusrahasto Russian Prosperity Fund Euro</v>
          </cell>
          <cell r="B822" t="str">
            <v>Retail</v>
          </cell>
        </row>
        <row r="823">
          <cell r="A823" t="str">
            <v>Sijoitusrahasto Seligson &amp; Co Aasia Indeksirahasto</v>
          </cell>
          <cell r="B823" t="str">
            <v>Retail</v>
          </cell>
        </row>
        <row r="824">
          <cell r="A824" t="str">
            <v>Sijoitusrahasto Seligson &amp; Co Euro Corporate Bond</v>
          </cell>
          <cell r="B824" t="str">
            <v>Retail</v>
          </cell>
        </row>
        <row r="825">
          <cell r="A825" t="str">
            <v>Sijoitusrahasto Seligson &amp; Co Euro-obligaatio</v>
          </cell>
          <cell r="B825" t="str">
            <v>Retail</v>
          </cell>
        </row>
        <row r="826">
          <cell r="A826" t="str">
            <v>Sijoitusrahasto Seligson &amp; Co Eurooppa Indeksirahasto</v>
          </cell>
          <cell r="B826" t="str">
            <v>Retail</v>
          </cell>
        </row>
        <row r="827">
          <cell r="A827" t="str">
            <v>Sijoitusrahasto Seligson &amp; Co Global Top 25 Brands</v>
          </cell>
          <cell r="B827" t="str">
            <v>Retail</v>
          </cell>
        </row>
        <row r="828">
          <cell r="A828" t="str">
            <v>Sijoitusrahasto Seligson &amp; Co Global Top 25 Pharmaceuticals</v>
          </cell>
          <cell r="B828" t="str">
            <v>Retail</v>
          </cell>
        </row>
        <row r="829">
          <cell r="A829" t="str">
            <v>Sijoitusrahasto Seligson &amp; Co Perheyhtiöt</v>
          </cell>
          <cell r="B829" t="str">
            <v>Retail</v>
          </cell>
        </row>
        <row r="830">
          <cell r="A830" t="str">
            <v>Sijoitusrahasto Seligson &amp; Co Pharos</v>
          </cell>
          <cell r="B830" t="str">
            <v>Retail</v>
          </cell>
        </row>
        <row r="831">
          <cell r="A831" t="str">
            <v>Sijoitusrahasto Seligson &amp; Co Phoebus</v>
          </cell>
          <cell r="B831" t="str">
            <v>Retail</v>
          </cell>
        </row>
        <row r="832">
          <cell r="A832" t="str">
            <v>Sijoitusrahasto Seligson &amp; Co Pohjois-Amerikka Indeksirahasto</v>
          </cell>
          <cell r="B832" t="str">
            <v>Retail</v>
          </cell>
        </row>
        <row r="833">
          <cell r="A833" t="str">
            <v>Sijoitusrahasto Seligson &amp; Co Suomi Indeksirahasto</v>
          </cell>
          <cell r="B833" t="str">
            <v>Retail</v>
          </cell>
        </row>
        <row r="834">
          <cell r="A834" t="str">
            <v>Sijoitusrahasto Seligson &amp; Co Tropico LatAm</v>
          </cell>
          <cell r="B834" t="str">
            <v>Retail</v>
          </cell>
        </row>
        <row r="835">
          <cell r="A835" t="str">
            <v>Sijoitusrahasto Titanium Kasvuosinko ESG</v>
          </cell>
          <cell r="B835" t="str">
            <v>Retail</v>
          </cell>
        </row>
        <row r="836">
          <cell r="A836" t="str">
            <v>Sijoitusrahasto Titanium Kehittyvät Markkinat Kasvuosinko ESG</v>
          </cell>
          <cell r="B836" t="str">
            <v>Retail</v>
          </cell>
        </row>
        <row r="837">
          <cell r="A837" t="str">
            <v>Sijoitusrahasto Titanium Korko</v>
          </cell>
          <cell r="B837" t="str">
            <v>Retail</v>
          </cell>
        </row>
        <row r="838">
          <cell r="A838" t="str">
            <v>Sijoitusrahasto UB Aasia REIT Plus</v>
          </cell>
          <cell r="B838" t="str">
            <v>Retail</v>
          </cell>
        </row>
        <row r="839">
          <cell r="A839" t="str">
            <v>Sijoitusrahasto UB Amerikka</v>
          </cell>
          <cell r="B839" t="str">
            <v>Retail</v>
          </cell>
        </row>
        <row r="840">
          <cell r="A840" t="str">
            <v>Sijoitusrahasto UB EM Infra</v>
          </cell>
          <cell r="B840" t="str">
            <v>Retail</v>
          </cell>
        </row>
        <row r="841">
          <cell r="A841" t="str">
            <v>Sijoitusrahasto UB Eurooppa AI</v>
          </cell>
          <cell r="B841" t="str">
            <v>Retail</v>
          </cell>
        </row>
        <row r="842">
          <cell r="A842" t="str">
            <v>Sijoitusrahasto UB Eurooppa REIT</v>
          </cell>
          <cell r="B842" t="str">
            <v>Retail</v>
          </cell>
        </row>
        <row r="843">
          <cell r="A843" t="str">
            <v>Sijoitusrahasto UB Global REIT</v>
          </cell>
          <cell r="B843" t="str">
            <v>Retail</v>
          </cell>
        </row>
        <row r="844">
          <cell r="A844" t="str">
            <v>Sijoitusrahasto UB Infra</v>
          </cell>
          <cell r="B844" t="str">
            <v>Retail</v>
          </cell>
        </row>
        <row r="845">
          <cell r="A845" t="str">
            <v>Sijoitusrahasto UB Korko Plus</v>
          </cell>
          <cell r="B845" t="str">
            <v>Retail</v>
          </cell>
        </row>
        <row r="846">
          <cell r="A846" t="str">
            <v>Sijoitusrahasto UB Lyhyt Korko</v>
          </cell>
          <cell r="B846" t="str">
            <v>Retail</v>
          </cell>
        </row>
        <row r="847">
          <cell r="A847" t="str">
            <v>Sijoitusrahasto UB Pohjois-Amerikka REIT</v>
          </cell>
          <cell r="B847" t="str">
            <v>Retail</v>
          </cell>
        </row>
        <row r="848">
          <cell r="A848" t="str">
            <v>Sijoitusrahasto UB Suomi</v>
          </cell>
          <cell r="B848" t="str">
            <v>Retail</v>
          </cell>
        </row>
        <row r="849">
          <cell r="A849" t="str">
            <v>Sijoitusrahasto VISIO Allocator</v>
          </cell>
          <cell r="B849" t="str">
            <v>Retail</v>
          </cell>
        </row>
        <row r="850">
          <cell r="A850" t="str">
            <v>Sijoitusrahasto Visio Compounder</v>
          </cell>
          <cell r="B850" t="str">
            <v>Retail</v>
          </cell>
        </row>
        <row r="851">
          <cell r="A851" t="str">
            <v>Sijoitusrahasto Zenito Silver and Gold</v>
          </cell>
          <cell r="B851" t="str">
            <v>Retail</v>
          </cell>
        </row>
        <row r="852">
          <cell r="A852" t="str">
            <v>Sijoitusrahasto Zenito UK Value Fund</v>
          </cell>
          <cell r="B852" t="str">
            <v>Retail</v>
          </cell>
        </row>
        <row r="853">
          <cell r="A853" t="str">
            <v>South Savo Growth Fund Ky</v>
          </cell>
          <cell r="B853" t="str">
            <v>Non-Retail</v>
          </cell>
        </row>
        <row r="854">
          <cell r="A854" t="str">
            <v>S-Pankki Asunto Erikoissijoitusrahasto</v>
          </cell>
          <cell r="B854" t="str">
            <v>Retail</v>
          </cell>
        </row>
        <row r="855">
          <cell r="A855" t="str">
            <v>S-Pankki Euro Valtionlaina Korko Sijoitusrahasto</v>
          </cell>
          <cell r="B855" t="str">
            <v>Retail</v>
          </cell>
        </row>
        <row r="856">
          <cell r="A856" t="str">
            <v>S-Pankki Eurooppa Osake Sijoitusrahasto</v>
          </cell>
          <cell r="B856" t="str">
            <v>Retail</v>
          </cell>
        </row>
        <row r="857">
          <cell r="A857" t="str">
            <v>S-Pankki Fenno Osake Sijoitusrahasto</v>
          </cell>
          <cell r="B857" t="str">
            <v>Retail</v>
          </cell>
        </row>
        <row r="858">
          <cell r="A858" t="str">
            <v>S-Pankki Fossiiliton Eurooppa ESG Osake Sijoitusrahasto</v>
          </cell>
          <cell r="B858" t="str">
            <v>Retail</v>
          </cell>
        </row>
        <row r="859">
          <cell r="A859" t="str">
            <v>S-Pankki Global Private Assets Erikoissijoitusrahasto</v>
          </cell>
          <cell r="B859" t="str">
            <v>Retail</v>
          </cell>
        </row>
        <row r="860">
          <cell r="A860" t="str">
            <v>S-Pankki High Yield Eurooppa ESG Korko Sijoitusrahasto</v>
          </cell>
          <cell r="B860" t="str">
            <v>Retail</v>
          </cell>
        </row>
        <row r="861">
          <cell r="A861" t="str">
            <v>S-Pankki Ilmastotavoite Maailma Osake Sijoitusrahasto</v>
          </cell>
          <cell r="B861" t="str">
            <v>Retail</v>
          </cell>
        </row>
        <row r="862">
          <cell r="A862" t="str">
            <v>S-Pankki Kasvavat Taloudet Osake Sijoitusrahasto</v>
          </cell>
          <cell r="B862" t="str">
            <v>Retail</v>
          </cell>
        </row>
        <row r="863">
          <cell r="A863" t="str">
            <v>S-Pankki Kehittyvät Markkinat ESG Osake Sijoitusrahasto</v>
          </cell>
          <cell r="B863" t="str">
            <v>Retail</v>
          </cell>
        </row>
        <row r="864">
          <cell r="A864" t="str">
            <v>S-Pankki Kehittyvät Markkinat Korko Sijoitusrahasto</v>
          </cell>
          <cell r="B864" t="str">
            <v>Retail</v>
          </cell>
        </row>
        <row r="865">
          <cell r="A865" t="str">
            <v>S-Pankki Kiinteistövarainhoito Erikoissijoitusrahasto</v>
          </cell>
          <cell r="B865" t="str">
            <v>Retail</v>
          </cell>
        </row>
        <row r="866">
          <cell r="A866" t="str">
            <v>S-Pankki Korkovarainhoito Erikoissijoitusrahasto</v>
          </cell>
          <cell r="B866" t="str">
            <v>Retail</v>
          </cell>
        </row>
        <row r="867">
          <cell r="A867" t="str">
            <v>S-Pankki Lyhyt Korko Sijoitusrahasto</v>
          </cell>
          <cell r="B867" t="str">
            <v>Retail</v>
          </cell>
        </row>
        <row r="868">
          <cell r="A868" t="str">
            <v>S-Pankki Metsä Erikoissijoitusrahasto</v>
          </cell>
          <cell r="B868" t="str">
            <v>Retail</v>
          </cell>
        </row>
        <row r="869">
          <cell r="A869" t="str">
            <v>S-Pankki Passiivinen Eurooppa ESG Osake Sijoitusrahasto</v>
          </cell>
          <cell r="B869" t="str">
            <v>Retail</v>
          </cell>
        </row>
        <row r="870">
          <cell r="A870" t="str">
            <v>S-Pankki Passiivinen USA ESG Osake Sijoitusrahasto</v>
          </cell>
          <cell r="B870" t="str">
            <v>Retail</v>
          </cell>
        </row>
        <row r="871">
          <cell r="A871" t="str">
            <v>S-Pankki Toimitila Erikoissijoitusrahasto</v>
          </cell>
          <cell r="B871" t="str">
            <v>Retail</v>
          </cell>
        </row>
        <row r="872">
          <cell r="A872" t="str">
            <v>S-Pankki Tontti Erikoissijoitusrahasto</v>
          </cell>
          <cell r="B872" t="str">
            <v>Retail</v>
          </cell>
        </row>
        <row r="873">
          <cell r="A873" t="str">
            <v>S-Pankki USA Osake Sijoitusrahasto</v>
          </cell>
          <cell r="B873" t="str">
            <v>Retail</v>
          </cell>
        </row>
        <row r="874">
          <cell r="A874" t="str">
            <v>S-Pankki Uudistava Maatalous Erikoissijoitusrahasto</v>
          </cell>
          <cell r="B874" t="str">
            <v>Retail</v>
          </cell>
        </row>
        <row r="875">
          <cell r="A875" t="str">
            <v>S-Pankki Vaikuttavuus I Holding Ky</v>
          </cell>
          <cell r="B875" t="str">
            <v>Retail</v>
          </cell>
        </row>
        <row r="876">
          <cell r="A876" t="str">
            <v>S-Pankki Vaikuttavuus I Ky</v>
          </cell>
          <cell r="B876" t="str">
            <v>Retail</v>
          </cell>
        </row>
        <row r="877">
          <cell r="A877" t="str">
            <v>S-Pankki Varainhoito 100 Sijoitusrahasto</v>
          </cell>
          <cell r="B877" t="str">
            <v>Retail</v>
          </cell>
        </row>
        <row r="878">
          <cell r="A878" t="str">
            <v>S-Pankki Varainhoito 30 Sijoitusrahasto</v>
          </cell>
          <cell r="B878" t="str">
            <v>Retail</v>
          </cell>
        </row>
        <row r="879">
          <cell r="A879" t="str">
            <v>S-Pankki Varainhoito 50 Sijoitusrahasto</v>
          </cell>
          <cell r="B879" t="str">
            <v>Retail</v>
          </cell>
        </row>
        <row r="880">
          <cell r="A880" t="str">
            <v>S-Pankki Varainhoito 70 Sijoitusrahasto</v>
          </cell>
          <cell r="B880" t="str">
            <v>Retail</v>
          </cell>
        </row>
        <row r="881">
          <cell r="A881" t="str">
            <v>S-Pankki Varainhoito Säästäjä 10 Sijoitusrahasto</v>
          </cell>
          <cell r="B881" t="str">
            <v>Retail</v>
          </cell>
        </row>
        <row r="882">
          <cell r="A882" t="str">
            <v>S-Pankki Varainhoito Säästäjä 100 Sijoitusrahasto</v>
          </cell>
          <cell r="B882" t="str">
            <v>Retail</v>
          </cell>
        </row>
        <row r="883">
          <cell r="A883" t="str">
            <v>S-Pankki Yrityslaina ESG Korko Sijoitusrahasto</v>
          </cell>
          <cell r="B883" t="str">
            <v>Retail</v>
          </cell>
        </row>
        <row r="884">
          <cell r="A884" t="str">
            <v>Specialplaceringsfond Estlander &amp; Partners Portfolio Enhancing Fund AI</v>
          </cell>
          <cell r="B884" t="str">
            <v>Non-Retail</v>
          </cell>
        </row>
        <row r="885">
          <cell r="A885" t="str">
            <v>Specialplaceringsfonden Aktia Affärsfastigheter</v>
          </cell>
          <cell r="B885" t="str">
            <v>Retail</v>
          </cell>
        </row>
        <row r="886">
          <cell r="A886" t="str">
            <v>Specialplaceringsfonden Aktia Opportunistic Credit I</v>
          </cell>
          <cell r="B886" t="str">
            <v>Non-Retail</v>
          </cell>
        </row>
        <row r="887">
          <cell r="A887" t="str">
            <v>Specialplaceringsfonden Aktia SLS</v>
          </cell>
          <cell r="B887" t="str">
            <v>Non-Retail</v>
          </cell>
        </row>
        <row r="888">
          <cell r="A888" t="str">
            <v>Specialplaceringsgfonden Aktia Trade Finance</v>
          </cell>
          <cell r="B888" t="str">
            <v>Non-Retail</v>
          </cell>
        </row>
        <row r="889">
          <cell r="A889" t="str">
            <v>Sponsor Fund IV Ky</v>
          </cell>
          <cell r="B889" t="str">
            <v>Non-Retail</v>
          </cell>
        </row>
        <row r="890">
          <cell r="A890" t="str">
            <v>Sponsor Fund V Ky</v>
          </cell>
          <cell r="B890" t="str">
            <v>Non-Retail</v>
          </cell>
        </row>
        <row r="891">
          <cell r="A891" t="str">
            <v>Start Up -Rahasto Joensuu Ky</v>
          </cell>
          <cell r="B891" t="str">
            <v>Retail</v>
          </cell>
        </row>
        <row r="892">
          <cell r="A892" t="str">
            <v>Superhero Opportunity Fund 2022 Ky</v>
          </cell>
          <cell r="B892" t="str">
            <v>Retail</v>
          </cell>
        </row>
        <row r="893">
          <cell r="A893" t="str">
            <v>Superhero Venture Fund 2015 Ky</v>
          </cell>
          <cell r="B893" t="str">
            <v>Non-Retail</v>
          </cell>
        </row>
        <row r="894">
          <cell r="A894" t="str">
            <v>Superhero Venture Fund 2020 Feeder Ky</v>
          </cell>
          <cell r="B894" t="str">
            <v>Retail</v>
          </cell>
        </row>
        <row r="895">
          <cell r="A895" t="str">
            <v>Superhero Venture Fund 2020 Ky</v>
          </cell>
          <cell r="B895" t="str">
            <v>Retail</v>
          </cell>
        </row>
        <row r="896">
          <cell r="A896" t="str">
            <v>Systematic alpha I Ky</v>
          </cell>
          <cell r="B896" t="str">
            <v>Non-Retail</v>
          </cell>
        </row>
        <row r="897">
          <cell r="A897" t="str">
            <v>Säästöpankki Aasia –erikoissijoitusrahasto</v>
          </cell>
          <cell r="B897" t="str">
            <v>Retail</v>
          </cell>
        </row>
        <row r="898">
          <cell r="A898" t="str">
            <v>Säästöpankki Amerikka -sijoitusrahasto</v>
          </cell>
          <cell r="B898" t="str">
            <v>Retail</v>
          </cell>
        </row>
        <row r="899">
          <cell r="A899" t="str">
            <v>Säästöpankki Eurooppa -sijoitusrahasto</v>
          </cell>
          <cell r="B899" t="str">
            <v>Retail</v>
          </cell>
        </row>
        <row r="900">
          <cell r="A900" t="str">
            <v>Säästöpankki High Yield -sijoitusrahasto</v>
          </cell>
          <cell r="B900" t="str">
            <v>Retail</v>
          </cell>
        </row>
        <row r="901">
          <cell r="A901" t="str">
            <v>Säästöpankki Itämeri -sijoitusrahasto</v>
          </cell>
          <cell r="B901" t="str">
            <v>Retail</v>
          </cell>
        </row>
        <row r="902">
          <cell r="A902" t="str">
            <v>Säästöpankki Kantti -sijoitusrahasto</v>
          </cell>
          <cell r="B902" t="str">
            <v>Retail</v>
          </cell>
        </row>
        <row r="903">
          <cell r="A903" t="str">
            <v>Säästöpankki Kehittyvät Korkomarkkinat –erikoissijoitusrahasto</v>
          </cell>
          <cell r="B903" t="str">
            <v>Retail</v>
          </cell>
        </row>
        <row r="904">
          <cell r="A904" t="str">
            <v>Säästöpankki Kehittyvät Markkinat -sijoitusrahasto</v>
          </cell>
          <cell r="B904" t="str">
            <v>Retail</v>
          </cell>
        </row>
        <row r="905">
          <cell r="A905" t="str">
            <v>Säästöpankki Kiinteistö –erikoissijoitusrahasto</v>
          </cell>
          <cell r="B905" t="str">
            <v>Retail</v>
          </cell>
        </row>
        <row r="906">
          <cell r="A906" t="str">
            <v>Säästöpankki Kiinteistöosake Eurooppa -sijoitusrahasto</v>
          </cell>
          <cell r="B906" t="str">
            <v>Retail</v>
          </cell>
        </row>
        <row r="907">
          <cell r="A907" t="str">
            <v>Säästöpankki Korko Plus -sijoitusrahasto</v>
          </cell>
          <cell r="B907" t="str">
            <v>Retail</v>
          </cell>
        </row>
        <row r="908">
          <cell r="A908" t="str">
            <v>Säästöpankki Korkopainoinen erikoissijoitusrahasto</v>
          </cell>
          <cell r="B908" t="str">
            <v>Retail</v>
          </cell>
        </row>
        <row r="909">
          <cell r="A909" t="str">
            <v>Säästöpankki Korkosalkku –sijoitusrahasto</v>
          </cell>
          <cell r="B909" t="str">
            <v>Retail</v>
          </cell>
        </row>
        <row r="910">
          <cell r="A910" t="str">
            <v>Säästöpankki Kotimaa -sijoitusrahasto</v>
          </cell>
          <cell r="B910" t="str">
            <v>Retail</v>
          </cell>
        </row>
        <row r="911">
          <cell r="A911" t="str">
            <v>Säästöpankki Lyhytkorko -sijoitusrahasto</v>
          </cell>
          <cell r="B911" t="str">
            <v>Retail</v>
          </cell>
        </row>
        <row r="912">
          <cell r="A912" t="str">
            <v>Säästöpankki Maltti -sijoitusrahasto</v>
          </cell>
          <cell r="B912" t="str">
            <v>Retail</v>
          </cell>
        </row>
        <row r="913">
          <cell r="A913" t="str">
            <v>Säästöpankki Osake Maailma -sijoitusrahasto</v>
          </cell>
          <cell r="B913" t="str">
            <v>Retail</v>
          </cell>
        </row>
        <row r="914">
          <cell r="A914" t="str">
            <v>Säästöpankki Osakepainoinen erikoissijoitusrahasto</v>
          </cell>
          <cell r="B914" t="str">
            <v>Retail</v>
          </cell>
        </row>
        <row r="915">
          <cell r="A915" t="str">
            <v>Säästöpankki Pienyhtiöt -sijoitusrahasto</v>
          </cell>
          <cell r="B915" t="str">
            <v>Retail</v>
          </cell>
        </row>
        <row r="916">
          <cell r="A916" t="str">
            <v>Säästöpankki Pitkäkorko -sijoitusrahasto</v>
          </cell>
          <cell r="B916" t="str">
            <v>Retail</v>
          </cell>
        </row>
        <row r="917">
          <cell r="A917" t="str">
            <v>Säästöpankki Ryhti -sijoitusrahasto</v>
          </cell>
          <cell r="B917" t="str">
            <v>Retail</v>
          </cell>
        </row>
        <row r="918">
          <cell r="A918" t="str">
            <v>Säästöpankki Tasapainoinen erikoissijoitusrahasto</v>
          </cell>
          <cell r="B918" t="str">
            <v>Retail</v>
          </cell>
        </row>
        <row r="919">
          <cell r="A919" t="str">
            <v>Säästöpankki Tuottohakuinen erikoissijoitusrahasto</v>
          </cell>
          <cell r="B919" t="str">
            <v>Retail</v>
          </cell>
        </row>
        <row r="920">
          <cell r="A920" t="str">
            <v>Säästöpankki Ympäristö -erikoissijoitusrahasto</v>
          </cell>
          <cell r="B920" t="str">
            <v>Retail</v>
          </cell>
        </row>
        <row r="921">
          <cell r="A921" t="str">
            <v>Säästöpankki Yrityslaina -sijoitusrahasto</v>
          </cell>
          <cell r="B921" t="str">
            <v>Retail</v>
          </cell>
        </row>
        <row r="922">
          <cell r="A922" t="str">
            <v>Taaleri Afrikka Rahasto I Ky</v>
          </cell>
          <cell r="B922" t="str">
            <v>Non-Retail</v>
          </cell>
        </row>
        <row r="923">
          <cell r="A923" t="str">
            <v>Taaleri Afrikka Rahasto II Ky</v>
          </cell>
          <cell r="B923" t="str">
            <v>Retail</v>
          </cell>
        </row>
        <row r="924">
          <cell r="A924" t="str">
            <v>Taaleri Afrikka Rahasto II Omistajat Ky</v>
          </cell>
          <cell r="B924" t="str">
            <v>Retail</v>
          </cell>
        </row>
        <row r="925">
          <cell r="A925" t="str">
            <v>Taaleri Afrikka Rahasto II Sijoittajat Ky</v>
          </cell>
          <cell r="B925" t="str">
            <v>Retail</v>
          </cell>
        </row>
        <row r="926">
          <cell r="A926" t="str">
            <v>Taaleri Afrikka Rahasto II Syöttörahasto Ky</v>
          </cell>
          <cell r="B926" t="str">
            <v>Retail</v>
          </cell>
        </row>
        <row r="927">
          <cell r="A927" t="str">
            <v>Taaleri Afrikka Rahaston Syöttörahasto Ky</v>
          </cell>
          <cell r="B927" t="str">
            <v>Non-Retail</v>
          </cell>
        </row>
        <row r="928">
          <cell r="A928" t="str">
            <v>Taaleri Asuntorahasto VIII Ky</v>
          </cell>
          <cell r="B928" t="str">
            <v>Retail</v>
          </cell>
        </row>
        <row r="929">
          <cell r="A929" t="str">
            <v>Taaleri Aurinkotuuli II Ky</v>
          </cell>
          <cell r="B929" t="str">
            <v>Retail</v>
          </cell>
        </row>
        <row r="930">
          <cell r="A930" t="str">
            <v>Taaleri Aurinkotuuli II Rahoittajat Ky</v>
          </cell>
          <cell r="B930" t="str">
            <v>Retail</v>
          </cell>
        </row>
        <row r="931">
          <cell r="A931" t="str">
            <v>Taaleri Aurinkotuuli II Sijoittajat Ky</v>
          </cell>
          <cell r="B931" t="str">
            <v>Retail</v>
          </cell>
        </row>
        <row r="932">
          <cell r="A932" t="str">
            <v>Taaleri Aurinkotuuli Ky</v>
          </cell>
          <cell r="B932" t="str">
            <v>Retail</v>
          </cell>
        </row>
        <row r="933">
          <cell r="A933" t="str">
            <v>Taaleri Aurinkotuuli Omistajat B Ky</v>
          </cell>
          <cell r="B933" t="str">
            <v>Retail</v>
          </cell>
        </row>
        <row r="934">
          <cell r="A934" t="str">
            <v>Taaleri Aurinkotuuli Omistajat Ky</v>
          </cell>
          <cell r="B934" t="str">
            <v>Retail</v>
          </cell>
        </row>
        <row r="935">
          <cell r="A935" t="str">
            <v>Taaleri Aurinkotuuli Rahoittajat Ky</v>
          </cell>
          <cell r="B935" t="str">
            <v>Retail</v>
          </cell>
        </row>
        <row r="936">
          <cell r="A936" t="str">
            <v>Taaleri Aurinkotuuli Sijoittajat Ky</v>
          </cell>
          <cell r="B936" t="str">
            <v>Retail</v>
          </cell>
        </row>
        <row r="937">
          <cell r="A937" t="str">
            <v>Taaleri Bioindustry Fund I Ky</v>
          </cell>
          <cell r="B937" t="str">
            <v>Retail</v>
          </cell>
        </row>
        <row r="938">
          <cell r="A938" t="str">
            <v>Taaleri Kasvurahastot I Ky</v>
          </cell>
          <cell r="B938" t="str">
            <v>Retail</v>
          </cell>
        </row>
        <row r="939">
          <cell r="A939" t="str">
            <v>Taaleri Kasvurahastot I Rahoittajat Ky</v>
          </cell>
          <cell r="B939" t="str">
            <v>Retail</v>
          </cell>
        </row>
        <row r="940">
          <cell r="A940" t="str">
            <v>Taaleri Kasvurahastot I Sijoittajat Ky</v>
          </cell>
          <cell r="B940" t="str">
            <v>Retail</v>
          </cell>
        </row>
        <row r="941">
          <cell r="A941" t="str">
            <v>Taaleri Kiertotalous Ky</v>
          </cell>
          <cell r="B941" t="str">
            <v>Retail</v>
          </cell>
        </row>
        <row r="942">
          <cell r="A942" t="str">
            <v>Taaleri Kiertotalous Omistajat Ky</v>
          </cell>
          <cell r="B942" t="str">
            <v>Retail</v>
          </cell>
        </row>
        <row r="943">
          <cell r="A943" t="str">
            <v>Taaleri Kiertotalous Sijoittajat Ky</v>
          </cell>
          <cell r="B943" t="str">
            <v>Retail</v>
          </cell>
        </row>
        <row r="944">
          <cell r="A944" t="str">
            <v>Taaleri Kiinteistökehitys A-Sarja Ky</v>
          </cell>
          <cell r="B944" t="str">
            <v>Retail</v>
          </cell>
        </row>
        <row r="945">
          <cell r="A945" t="str">
            <v>Taaleri Kiinteistökehitys B-Sarja Ky</v>
          </cell>
          <cell r="B945" t="str">
            <v>Retail</v>
          </cell>
        </row>
        <row r="946">
          <cell r="A946" t="str">
            <v>Taaleri Kiinteistökehitys C-Sarja Ky</v>
          </cell>
          <cell r="B946" t="str">
            <v>Retail</v>
          </cell>
        </row>
        <row r="947">
          <cell r="A947" t="str">
            <v>Taaleri Kiinteistökehitysrahasto Ky</v>
          </cell>
          <cell r="B947" t="str">
            <v>Retail</v>
          </cell>
        </row>
        <row r="948">
          <cell r="A948" t="str">
            <v>Taaleri Metsärahasto III Syöttörahasto Ky</v>
          </cell>
          <cell r="B948" t="str">
            <v>Retail</v>
          </cell>
        </row>
        <row r="949">
          <cell r="A949" t="str">
            <v>Taaleri SolarWind III Ky</v>
          </cell>
          <cell r="B949" t="str">
            <v>Retail</v>
          </cell>
        </row>
        <row r="950">
          <cell r="A950" t="str">
            <v>Taaleri Tallikiinteistöt Henkilökunta Ky</v>
          </cell>
          <cell r="B950" t="str">
            <v>Non-Retail</v>
          </cell>
        </row>
        <row r="951">
          <cell r="A951" t="str">
            <v>Taaleri Tallikiinteistöt Ky</v>
          </cell>
          <cell r="B951" t="str">
            <v>Non-Retail</v>
          </cell>
        </row>
        <row r="952">
          <cell r="A952" t="str">
            <v>Taaleri Tallikiinteistöt Omistajat Ky</v>
          </cell>
          <cell r="B952" t="str">
            <v>Non-Retail</v>
          </cell>
        </row>
        <row r="953">
          <cell r="A953" t="str">
            <v>Taaleri Tallikiinteistöt Rahoittajat Ky</v>
          </cell>
          <cell r="B953" t="str">
            <v>Non-Retail</v>
          </cell>
        </row>
        <row r="954">
          <cell r="A954" t="str">
            <v>Taaleri Tallikiinteistöt Sijoittajat Ky</v>
          </cell>
          <cell r="B954" t="str">
            <v>Non-Retail</v>
          </cell>
        </row>
        <row r="955">
          <cell r="A955" t="str">
            <v>Taaleri Tonttirahasto II Ky</v>
          </cell>
          <cell r="B955" t="str">
            <v>Retail</v>
          </cell>
        </row>
        <row r="956">
          <cell r="A956" t="str">
            <v>Taaleri Tonttirahasto II Omistajat Ky</v>
          </cell>
          <cell r="B956" t="str">
            <v>Retail</v>
          </cell>
        </row>
        <row r="957">
          <cell r="A957" t="str">
            <v>Taaleri Tonttirahasto II Sijoittajat Ky</v>
          </cell>
          <cell r="B957" t="str">
            <v>Retail</v>
          </cell>
        </row>
        <row r="958">
          <cell r="A958" t="str">
            <v>Taaleri Tonttirahasto II Syöttörahasto Ky</v>
          </cell>
          <cell r="B958" t="str">
            <v>Retail</v>
          </cell>
        </row>
        <row r="959">
          <cell r="A959" t="str">
            <v>Taaleri Tonttirahasto Ky</v>
          </cell>
          <cell r="B959" t="str">
            <v>Retail</v>
          </cell>
        </row>
        <row r="960">
          <cell r="A960" t="str">
            <v>Taaleri Tonttirahaston Syöttörahasto Ky</v>
          </cell>
          <cell r="B960" t="str">
            <v>Retail</v>
          </cell>
        </row>
        <row r="961">
          <cell r="A961" t="str">
            <v>Taaleri Tuulirahasto IV Henkilökunta Ky</v>
          </cell>
          <cell r="B961" t="str">
            <v>Retail</v>
          </cell>
        </row>
        <row r="962">
          <cell r="A962" t="str">
            <v>Taaleri Tuulirahasto IV Ky</v>
          </cell>
          <cell r="B962" t="str">
            <v>Retail</v>
          </cell>
        </row>
        <row r="963">
          <cell r="A963" t="str">
            <v>Taaleri Tuulirahasto IV Omistajat Ky</v>
          </cell>
          <cell r="B963" t="str">
            <v>Retail</v>
          </cell>
        </row>
        <row r="964">
          <cell r="A964" t="str">
            <v>Taaleri Tuulirahasto IV Rahoittajat Ky</v>
          </cell>
          <cell r="B964" t="str">
            <v>Retail</v>
          </cell>
        </row>
        <row r="965">
          <cell r="A965" t="str">
            <v>Taaleri Tuulirahasto IV Sijoittajat Ky</v>
          </cell>
          <cell r="B965" t="str">
            <v>Retail</v>
          </cell>
        </row>
        <row r="966">
          <cell r="A966" t="str">
            <v>Taaleri Tuulitehdas II Ky</v>
          </cell>
          <cell r="B966" t="str">
            <v>Non-Retail</v>
          </cell>
        </row>
        <row r="967">
          <cell r="A967" t="str">
            <v>Taaleri Tuulitehdas III Ky</v>
          </cell>
          <cell r="B967" t="str">
            <v>Retail</v>
          </cell>
        </row>
        <row r="968">
          <cell r="A968" t="str">
            <v>Taaleri Tuulitehdas III Sijoittajat Ky</v>
          </cell>
          <cell r="B968" t="str">
            <v>Retail</v>
          </cell>
        </row>
        <row r="969">
          <cell r="A969" t="str">
            <v>Taaleri Tuulitehdas III Syöttörahasto Ky</v>
          </cell>
          <cell r="B969" t="str">
            <v>Retail</v>
          </cell>
        </row>
        <row r="970">
          <cell r="A970" t="str">
            <v>Taaleri Velkarahastot I Ky</v>
          </cell>
          <cell r="B970" t="str">
            <v>Non-Retail</v>
          </cell>
        </row>
        <row r="971">
          <cell r="A971" t="str">
            <v>Taaleri Velkarahastot I Rahoittajat Ky</v>
          </cell>
          <cell r="B971" t="str">
            <v>Non-Retail</v>
          </cell>
        </row>
        <row r="972">
          <cell r="A972" t="str">
            <v>Taaleri Velkarahastot I Sijoittajat Ky</v>
          </cell>
          <cell r="B972" t="str">
            <v>Non-Retail</v>
          </cell>
        </row>
        <row r="973">
          <cell r="A973" t="str">
            <v>Taaleri Vuokrakoti Ky</v>
          </cell>
          <cell r="B973" t="str">
            <v>Retail</v>
          </cell>
        </row>
        <row r="974">
          <cell r="A974" t="str">
            <v>Taaleri Vuokrakoti Syöttörahasto Ky</v>
          </cell>
          <cell r="B974" t="str">
            <v>Retail</v>
          </cell>
        </row>
        <row r="975">
          <cell r="A975" t="str">
            <v>Taaleritehtaan Oaktree Syöttörahasto Ky</v>
          </cell>
          <cell r="B975" t="str">
            <v>Non-Retail</v>
          </cell>
        </row>
        <row r="976">
          <cell r="A976" t="str">
            <v>Taaleritehtaan Rauman Asuntorahasto IV Ky</v>
          </cell>
          <cell r="B976" t="str">
            <v>Non-Retail</v>
          </cell>
        </row>
        <row r="977">
          <cell r="A977" t="str">
            <v>Taaleritehtaan Tuulitehdas II Syöttörahasto II Ky</v>
          </cell>
          <cell r="B977" t="str">
            <v>Non-Retail</v>
          </cell>
        </row>
        <row r="978">
          <cell r="A978" t="str">
            <v>Taaleritehtaan Tuulitehdas II Syöttörahasto Ky</v>
          </cell>
          <cell r="B978" t="str">
            <v>Non-Retail</v>
          </cell>
        </row>
        <row r="979">
          <cell r="A979" t="str">
            <v>Tapiola KR I Ky</v>
          </cell>
          <cell r="B979" t="str">
            <v>Non-Retail</v>
          </cell>
        </row>
        <row r="980">
          <cell r="A980" t="str">
            <v>Tapiola KR III Feeder Oy</v>
          </cell>
          <cell r="B980" t="str">
            <v>Non-Retail</v>
          </cell>
        </row>
        <row r="981">
          <cell r="A981" t="str">
            <v>Tapiola KR IV Ky</v>
          </cell>
          <cell r="B981" t="str">
            <v>Non-Retail</v>
          </cell>
        </row>
        <row r="982">
          <cell r="A982" t="str">
            <v>TB VC Solutions eQ II Ky</v>
          </cell>
          <cell r="B982" t="str">
            <v>Non-Retail</v>
          </cell>
        </row>
        <row r="983">
          <cell r="A983" t="str">
            <v>TB VC Solutions eQ Ky</v>
          </cell>
          <cell r="B983" t="str">
            <v>Non-Retail</v>
          </cell>
        </row>
        <row r="984">
          <cell r="A984" t="str">
            <v>Terrieri Kiinteistöt Ky</v>
          </cell>
          <cell r="B984" t="str">
            <v>Non-Retail</v>
          </cell>
        </row>
        <row r="985">
          <cell r="A985" t="str">
            <v>Terwarahasto 1 Ky</v>
          </cell>
          <cell r="B985" t="str">
            <v>Non-Retail</v>
          </cell>
        </row>
        <row r="986">
          <cell r="A986" t="str">
            <v>TK Kehitys Ky</v>
          </cell>
          <cell r="B986" t="str">
            <v>Non-Retail</v>
          </cell>
        </row>
        <row r="987">
          <cell r="A987" t="str">
            <v>TKPM Asuntorahasto I Ky</v>
          </cell>
          <cell r="B987" t="str">
            <v>Non-Retail</v>
          </cell>
        </row>
        <row r="988">
          <cell r="A988" t="str">
            <v>TKPM Satukuja Kehitys Ky</v>
          </cell>
          <cell r="B988" t="str">
            <v>Non-Retail</v>
          </cell>
        </row>
        <row r="989">
          <cell r="A989" t="str">
            <v>Tuohex Kiinteistörahasto I Ky</v>
          </cell>
          <cell r="B989" t="str">
            <v>Retail</v>
          </cell>
        </row>
        <row r="990">
          <cell r="A990" t="str">
            <v>UB Forest Industry Green Growth Feeder Fund I Ky</v>
          </cell>
          <cell r="B990" t="str">
            <v>Non-Retail</v>
          </cell>
        </row>
        <row r="991">
          <cell r="A991" t="str">
            <v>UB Forest Industry Green Growth Fund I Ky</v>
          </cell>
          <cell r="B991" t="str">
            <v>Non-Retail</v>
          </cell>
        </row>
        <row r="992">
          <cell r="A992" t="str">
            <v>UB Nordic Forest Fund II Ky</v>
          </cell>
          <cell r="B992" t="str">
            <v>Non-Retail</v>
          </cell>
        </row>
        <row r="993">
          <cell r="A993" t="str">
            <v>UB Nordic Forest Fund III Ky</v>
          </cell>
          <cell r="B993" t="str">
            <v>Non-Retail</v>
          </cell>
        </row>
        <row r="994">
          <cell r="A994" t="str">
            <v>UB Nordic Forest Fund III Syöttörahasto II Ky</v>
          </cell>
          <cell r="B994" t="str">
            <v>Non-Retail</v>
          </cell>
        </row>
        <row r="995">
          <cell r="A995" t="str">
            <v>UB Nordic Forest Fund III Syöttörahasto III Ky</v>
          </cell>
          <cell r="B995" t="str">
            <v>Non-Retail</v>
          </cell>
        </row>
        <row r="996">
          <cell r="A996" t="str">
            <v>UB Nordic Forest Fund III Syöttörahasto IV Ky</v>
          </cell>
          <cell r="B996" t="str">
            <v>Non-Retail</v>
          </cell>
        </row>
        <row r="997">
          <cell r="A997" t="str">
            <v>UB Nordic Forest Fund III Syöttörahasto Ky</v>
          </cell>
          <cell r="B997" t="str">
            <v>Non-Retail</v>
          </cell>
        </row>
        <row r="998">
          <cell r="A998" t="str">
            <v>UB Nordic Forest Fund III Syöttörahasto V Ky</v>
          </cell>
          <cell r="B998" t="str">
            <v>Non-Retail</v>
          </cell>
        </row>
        <row r="999">
          <cell r="A999" t="str">
            <v>UB Nordic Forest Fund IV Ky</v>
          </cell>
          <cell r="B999" t="str">
            <v>Non-Retail</v>
          </cell>
        </row>
        <row r="1000">
          <cell r="A1000" t="str">
            <v>UB Yritysrahoitusrahasto I Feeder Ky</v>
          </cell>
          <cell r="B1000" t="str">
            <v>Non-Retail</v>
          </cell>
        </row>
        <row r="1001">
          <cell r="A1001" t="str">
            <v>UB Yritysrahoitusrahasto I Ky</v>
          </cell>
          <cell r="B1001" t="str">
            <v>Non-Retail</v>
          </cell>
        </row>
        <row r="1002">
          <cell r="A1002" t="str">
            <v>USA Asunnot 2 Oy</v>
          </cell>
          <cell r="B1002" t="str">
            <v>Non-Retail</v>
          </cell>
        </row>
        <row r="1003">
          <cell r="A1003" t="str">
            <v>USA Asunnot I Oy</v>
          </cell>
          <cell r="B1003" t="str">
            <v>Non-Retail</v>
          </cell>
        </row>
        <row r="1004">
          <cell r="A1004" t="str">
            <v>Vaaka Partners Buyout Fund II Ky</v>
          </cell>
          <cell r="B1004" t="str">
            <v>Non-Retail</v>
          </cell>
        </row>
        <row r="1005">
          <cell r="A1005" t="str">
            <v>Vaaka Partners Buyout Fund III Feeder Ky</v>
          </cell>
          <cell r="B1005" t="str">
            <v>Non-Retail</v>
          </cell>
        </row>
        <row r="1006">
          <cell r="A1006" t="str">
            <v>Vaaka Partners Buyout Fund III Ky</v>
          </cell>
          <cell r="B1006" t="str">
            <v>Non-Retail</v>
          </cell>
        </row>
        <row r="1007">
          <cell r="A1007" t="str">
            <v>Vaaka Partners Buyout Fund IV Feeder Ky</v>
          </cell>
          <cell r="B1007" t="str">
            <v>Retail</v>
          </cell>
        </row>
        <row r="1008">
          <cell r="A1008" t="str">
            <v>Vaaka Partners Buyout Fund IV Ky</v>
          </cell>
          <cell r="B1008" t="str">
            <v>Retail</v>
          </cell>
        </row>
        <row r="1009">
          <cell r="A1009" t="str">
            <v>WasaGroup Fund II Ky</v>
          </cell>
          <cell r="B1009" t="str">
            <v>Non-Retail</v>
          </cell>
        </row>
        <row r="1010">
          <cell r="A1010" t="str">
            <v>WasaGroup Fund III Ky</v>
          </cell>
          <cell r="B1010" t="str">
            <v>Non-Retail</v>
          </cell>
        </row>
        <row r="1011">
          <cell r="A1011" t="str">
            <v>Wave I Ky</v>
          </cell>
          <cell r="B1011" t="str">
            <v>Non-Retail</v>
          </cell>
        </row>
        <row r="1012">
          <cell r="A1012" t="str">
            <v>Wave II Ky</v>
          </cell>
          <cell r="B1012" t="str">
            <v>Non-Retail</v>
          </cell>
        </row>
        <row r="1013">
          <cell r="A1013" t="str">
            <v>Vendep Capital Fund II Feeder Ky</v>
          </cell>
          <cell r="B1013" t="str">
            <v>Non-Retail</v>
          </cell>
        </row>
        <row r="1014">
          <cell r="A1014" t="str">
            <v>Vendep Capital Fund II Ky</v>
          </cell>
          <cell r="B1014" t="str">
            <v>Non-Retail</v>
          </cell>
        </row>
        <row r="1015">
          <cell r="A1015" t="str">
            <v>Vendep Capital Fund III Feeder Ky</v>
          </cell>
          <cell r="B1015" t="str">
            <v>Retail</v>
          </cell>
        </row>
        <row r="1016">
          <cell r="A1016" t="str">
            <v>Vendep Capital Fund III Ky</v>
          </cell>
          <cell r="B1016" t="str">
            <v>Retail</v>
          </cell>
        </row>
        <row r="1017">
          <cell r="A1017" t="str">
            <v>Vendep Startup Rahasto I Ky</v>
          </cell>
          <cell r="B1017" t="str">
            <v>Non-Retail</v>
          </cell>
        </row>
        <row r="1018">
          <cell r="A1018" t="str">
            <v>Verso Fund II Ky</v>
          </cell>
          <cell r="B1018" t="str">
            <v>Non-Retail</v>
          </cell>
        </row>
        <row r="1019">
          <cell r="A1019" t="str">
            <v>Verso Fund III Ky</v>
          </cell>
          <cell r="B1019" t="str">
            <v>Non-Retail</v>
          </cell>
        </row>
        <row r="1020">
          <cell r="A1020" t="str">
            <v>Verso Spin-off Fund I Ky</v>
          </cell>
          <cell r="B1020" t="str">
            <v>Non-Retail</v>
          </cell>
        </row>
        <row r="1021">
          <cell r="A1021" t="str">
            <v>WIP Nordic Equity Sijoitusrahasto</v>
          </cell>
          <cell r="B1021" t="str">
            <v>Retail</v>
          </cell>
        </row>
        <row r="1022">
          <cell r="A1022" t="str">
            <v>WIP Technology Fund Erikoissijoitusrahasto</v>
          </cell>
          <cell r="B1022" t="str">
            <v>Retail</v>
          </cell>
        </row>
        <row r="1023">
          <cell r="A1023" t="str">
            <v>WIP Water Fund Erikoissijoitusrahasto</v>
          </cell>
          <cell r="B1023" t="str">
            <v>Retail</v>
          </cell>
        </row>
        <row r="1024">
          <cell r="A1024" t="str">
            <v>Virta Sijoituspooli I Ky</v>
          </cell>
          <cell r="B1024" t="str">
            <v>Retail</v>
          </cell>
        </row>
        <row r="1025">
          <cell r="A1025" t="str">
            <v>Virta Sijoituspooli II Ky</v>
          </cell>
          <cell r="B1025" t="str">
            <v>Retail</v>
          </cell>
        </row>
        <row r="1026">
          <cell r="A1026" t="str">
            <v>VisionPlus Fund I Ky</v>
          </cell>
          <cell r="B1026" t="str">
            <v>Non-Retail</v>
          </cell>
        </row>
        <row r="1027">
          <cell r="A1027" t="str">
            <v>Voima Ventures Fund II Ky</v>
          </cell>
          <cell r="B1027" t="str">
            <v>Non-Retail</v>
          </cell>
        </row>
        <row r="1028">
          <cell r="A1028" t="str">
            <v>Voima Ventures Fund III Feeder Ky</v>
          </cell>
          <cell r="B1028" t="str">
            <v>Non-Retail</v>
          </cell>
        </row>
        <row r="1029">
          <cell r="A1029" t="str">
            <v>Voima Ventures Fund III Ky</v>
          </cell>
          <cell r="B1029" t="str">
            <v>Non-Retail</v>
          </cell>
        </row>
        <row r="1030">
          <cell r="A1030" t="str">
            <v>Voland Technology Growth Fund I Feeder Ky</v>
          </cell>
          <cell r="B1030" t="str">
            <v>Retail</v>
          </cell>
        </row>
        <row r="1031">
          <cell r="A1031" t="str">
            <v>Voland Technology Growth Fund I Ky</v>
          </cell>
          <cell r="B1031" t="str">
            <v>Retail</v>
          </cell>
        </row>
        <row r="1032">
          <cell r="A1032" t="str">
            <v>VTT Ventures Oy</v>
          </cell>
          <cell r="B1032" t="str">
            <v>Non-Retail</v>
          </cell>
        </row>
        <row r="1033">
          <cell r="A1033" t="str">
            <v>Ylä-Savon Pääomarahasto Oy</v>
          </cell>
          <cell r="B1033" t="str">
            <v>Non-Retail</v>
          </cell>
        </row>
        <row r="1034">
          <cell r="A1034" t="str">
            <v>Ålandsbanken Bostadsfond Specialplaceringsfond</v>
          </cell>
          <cell r="B1034" t="str">
            <v>Retail</v>
          </cell>
        </row>
        <row r="1035">
          <cell r="A1035" t="str">
            <v>Ålandsbanken Euro Bond Placeringsfonden</v>
          </cell>
          <cell r="B1035" t="str">
            <v>Retail</v>
          </cell>
        </row>
        <row r="1036">
          <cell r="A1036" t="str">
            <v>Ålandsbanken Euro High Yield Placeringsfond</v>
          </cell>
          <cell r="B1036" t="str">
            <v>Retail</v>
          </cell>
        </row>
        <row r="1037">
          <cell r="A1037" t="str">
            <v>Ålandsbanken Europa Aktie Placeringsfond</v>
          </cell>
          <cell r="B1037" t="str">
            <v>Retail</v>
          </cell>
        </row>
        <row r="1038">
          <cell r="A1038" t="str">
            <v>Ålandsbanken Green Bond ESG Placeringsfond</v>
          </cell>
          <cell r="B1038" t="str">
            <v>Retail</v>
          </cell>
        </row>
        <row r="1039">
          <cell r="A1039" t="str">
            <v>Ålandsbanken Havsvind I Kb</v>
          </cell>
          <cell r="B1039" t="str">
            <v>Non-Retail</v>
          </cell>
        </row>
        <row r="1040">
          <cell r="A1040" t="str">
            <v>Ålandsbanken Havsvind I Matarfond Kb</v>
          </cell>
          <cell r="B1040" t="str">
            <v>Non-Retail</v>
          </cell>
        </row>
        <row r="1041">
          <cell r="A1041" t="str">
            <v>Ålandsbanken Kapitalförvaltning Placeringsfond</v>
          </cell>
          <cell r="B1041" t="str">
            <v>Retail</v>
          </cell>
        </row>
        <row r="1042">
          <cell r="A1042" t="str">
            <v>Ålandsbanken Kort Företagsränta Placeringsfond</v>
          </cell>
          <cell r="B1042" t="str">
            <v>Retail</v>
          </cell>
        </row>
        <row r="1043">
          <cell r="A1043" t="str">
            <v>Ålandsbanken Lunastustontti I Ky</v>
          </cell>
          <cell r="B1043" t="str">
            <v>Non-Retail</v>
          </cell>
        </row>
        <row r="1044">
          <cell r="A1044" t="str">
            <v>Ålandsbanken Maailma Osake Sijoitusrahasto</v>
          </cell>
          <cell r="B1044" t="str">
            <v>Retail</v>
          </cell>
        </row>
        <row r="1045">
          <cell r="A1045" t="str">
            <v>Ålandsbanken Norden Aktie Placeringsfond</v>
          </cell>
          <cell r="B1045" t="str">
            <v>Retail</v>
          </cell>
        </row>
        <row r="1046">
          <cell r="A1046" t="str">
            <v>Ålandsbanken Nordiska Småbolag Placeringsfond</v>
          </cell>
          <cell r="B1046" t="str">
            <v>Retail</v>
          </cell>
        </row>
        <row r="1047">
          <cell r="A1047" t="str">
            <v>Ålandsbanken Tomtfond Specialplaceringsfond</v>
          </cell>
          <cell r="B1047" t="str">
            <v>Retail</v>
          </cell>
        </row>
        <row r="1048">
          <cell r="A1048" t="str">
            <v>Ålandsbanken Vindkraft Specialplaceringsfond</v>
          </cell>
          <cell r="B1048" t="str">
            <v>Retail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9.2024"/>
    </sheetNames>
    <sheetDataSet>
      <sheetData sheetId="0">
        <row r="1">
          <cell r="B1" t="str">
            <v/>
          </cell>
          <cell r="H1" t="str">
            <v/>
          </cell>
        </row>
        <row r="2">
          <cell r="B2" t="str">
            <v>Tilanne / Situation / Situation: 30.09.2024</v>
          </cell>
          <cell r="H2" t="str">
            <v/>
          </cell>
        </row>
        <row r="3">
          <cell r="B3" t="str">
            <v>Päivitetty / Uppdaterad / Updated: 30.09.2024</v>
          </cell>
          <cell r="H3" t="str">
            <v/>
          </cell>
        </row>
        <row r="4">
          <cell r="B4" t="str">
            <v/>
          </cell>
          <cell r="H4" t="str">
            <v/>
          </cell>
        </row>
        <row r="5">
          <cell r="B5" t="str">
            <v/>
          </cell>
          <cell r="H5" t="str">
            <v/>
          </cell>
        </row>
        <row r="6">
          <cell r="B6" t="str">
            <v>Sijoitusrahastotunnus</v>
          </cell>
          <cell r="H6" t="str">
            <v>Hallinnointiyhtiö</v>
          </cell>
        </row>
        <row r="7">
          <cell r="B7" t="str">
            <v>Fondens ID-kod</v>
          </cell>
          <cell r="H7" t="str">
            <v>Förvaltningsbolag</v>
          </cell>
        </row>
        <row r="8">
          <cell r="B8" t="str">
            <v>Investment fund identifier</v>
          </cell>
          <cell r="H8" t="str">
            <v>Management company</v>
          </cell>
        </row>
        <row r="9">
          <cell r="B9" t="str">
            <v/>
          </cell>
          <cell r="H9" t="str">
            <v/>
          </cell>
        </row>
        <row r="10">
          <cell r="B10" t="str">
            <v/>
          </cell>
          <cell r="H10" t="str">
            <v/>
          </cell>
        </row>
        <row r="11">
          <cell r="B11" t="str">
            <v>Sijoitusrahastot (UCITS)</v>
          </cell>
          <cell r="H11" t="str">
            <v/>
          </cell>
        </row>
        <row r="12">
          <cell r="B12" t="str">
            <v>Investeringsfonder (UCITS)</v>
          </cell>
          <cell r="H12" t="str">
            <v/>
          </cell>
        </row>
        <row r="13">
          <cell r="B13" t="str">
            <v>Investment funds (UCITS)</v>
          </cell>
          <cell r="H13" t="str">
            <v/>
          </cell>
        </row>
        <row r="14">
          <cell r="B14" t="str">
            <v/>
          </cell>
          <cell r="H14" t="str">
            <v/>
          </cell>
        </row>
        <row r="15">
          <cell r="B15" t="str">
            <v>06716026#001</v>
          </cell>
          <cell r="H15" t="str">
            <v>Danske Invest Rahastoyhtiö Oy</v>
          </cell>
        </row>
        <row r="16">
          <cell r="B16" t="str">
            <v>06716026#002</v>
          </cell>
          <cell r="H16" t="str">
            <v>Danske Invest Rahastoyhtiö Oy</v>
          </cell>
        </row>
        <row r="17">
          <cell r="B17" t="str">
            <v>06716026#003</v>
          </cell>
          <cell r="H17" t="str">
            <v>Danske Invest Rahastoyhtiö Oy</v>
          </cell>
        </row>
        <row r="18">
          <cell r="B18" t="str">
            <v>06716026#004</v>
          </cell>
          <cell r="H18" t="str">
            <v>Danske Invest Rahastoyhtiö Oy</v>
          </cell>
        </row>
        <row r="19">
          <cell r="B19" t="str">
            <v>06716026#007</v>
          </cell>
          <cell r="H19" t="str">
            <v>Danske Invest Rahastoyhtiö Oy</v>
          </cell>
        </row>
        <row r="20">
          <cell r="B20" t="str">
            <v>06716026#008</v>
          </cell>
          <cell r="H20" t="str">
            <v>Danske Invest Rahastoyhtiö Oy</v>
          </cell>
        </row>
        <row r="21">
          <cell r="B21" t="str">
            <v>06716026#009</v>
          </cell>
          <cell r="H21" t="str">
            <v>Danske Invest Rahastoyhtiö Oy</v>
          </cell>
        </row>
        <row r="22">
          <cell r="B22" t="str">
            <v>06716026#010</v>
          </cell>
          <cell r="H22" t="str">
            <v>Danske Invest Rahastoyhtiö Oy</v>
          </cell>
        </row>
        <row r="23">
          <cell r="B23" t="str">
            <v>06716026#011</v>
          </cell>
          <cell r="H23" t="str">
            <v>Danske Invest Rahastoyhtiö Oy</v>
          </cell>
        </row>
        <row r="24">
          <cell r="B24" t="str">
            <v>06716026#017</v>
          </cell>
          <cell r="H24" t="str">
            <v>Danske Invest Rahastoyhtiö Oy</v>
          </cell>
        </row>
        <row r="25">
          <cell r="B25" t="str">
            <v>06716026#018</v>
          </cell>
          <cell r="H25" t="str">
            <v>Danske Invest Rahastoyhtiö Oy</v>
          </cell>
        </row>
        <row r="26">
          <cell r="B26" t="str">
            <v>06716026#019</v>
          </cell>
          <cell r="H26" t="str">
            <v>Danske Invest Rahastoyhtiö Oy</v>
          </cell>
        </row>
        <row r="27">
          <cell r="B27" t="str">
            <v>06716026#022</v>
          </cell>
          <cell r="H27" t="str">
            <v>Danske Invest Rahastoyhtiö Oy</v>
          </cell>
        </row>
        <row r="28">
          <cell r="B28" t="str">
            <v>06716026#024</v>
          </cell>
          <cell r="H28" t="str">
            <v>Danske Invest Rahastoyhtiö Oy</v>
          </cell>
        </row>
        <row r="29">
          <cell r="B29" t="str">
            <v>06716026#025</v>
          </cell>
          <cell r="H29" t="str">
            <v>Danske Invest Rahastoyhtiö Oy</v>
          </cell>
        </row>
        <row r="30">
          <cell r="B30" t="str">
            <v>06716026#038</v>
          </cell>
          <cell r="H30" t="str">
            <v>Danske Invest Rahastoyhtiö Oy</v>
          </cell>
        </row>
        <row r="31">
          <cell r="B31" t="str">
            <v>06716026#040</v>
          </cell>
          <cell r="H31" t="str">
            <v>Danske Invest Rahastoyhtiö Oy</v>
          </cell>
        </row>
        <row r="32">
          <cell r="B32" t="str">
            <v>06716026#041</v>
          </cell>
          <cell r="H32" t="str">
            <v>Danske Invest Rahastoyhtiö Oy</v>
          </cell>
        </row>
        <row r="33">
          <cell r="B33" t="str">
            <v>06716026#053</v>
          </cell>
          <cell r="H33" t="str">
            <v>Danske Invest Rahastoyhtiö Oy</v>
          </cell>
        </row>
        <row r="34">
          <cell r="B34" t="str">
            <v>06716026#058</v>
          </cell>
          <cell r="H34" t="str">
            <v>Danske Invest Rahastoyhtiö Oy</v>
          </cell>
        </row>
        <row r="35">
          <cell r="B35" t="str">
            <v>06716026#072</v>
          </cell>
          <cell r="H35" t="str">
            <v>Danske Invest Rahastoyhtiö Oy</v>
          </cell>
        </row>
        <row r="36">
          <cell r="B36" t="str">
            <v>06716026#073</v>
          </cell>
          <cell r="H36" t="str">
            <v>Danske Invest Rahastoyhtiö Oy</v>
          </cell>
        </row>
        <row r="37">
          <cell r="B37" t="str">
            <v>06716026#076</v>
          </cell>
          <cell r="H37" t="str">
            <v>Danske Invest Rahastoyhtiö Oy</v>
          </cell>
        </row>
        <row r="38">
          <cell r="B38" t="str">
            <v>06716026#082</v>
          </cell>
          <cell r="H38" t="str">
            <v>Danske Invest Rahastoyhtiö Oy</v>
          </cell>
        </row>
        <row r="39">
          <cell r="B39" t="str">
            <v>06716026#084</v>
          </cell>
          <cell r="H39" t="str">
            <v>Danske Invest Rahastoyhtiö Oy</v>
          </cell>
        </row>
        <row r="40">
          <cell r="B40" t="str">
            <v>06716026#088</v>
          </cell>
          <cell r="H40" t="str">
            <v>Danske Invest Rahastoyhtiö Oy</v>
          </cell>
        </row>
        <row r="41">
          <cell r="B41" t="str">
            <v>06716026#091</v>
          </cell>
          <cell r="H41" t="str">
            <v>Danske Invest Rahastoyhtiö Oy</v>
          </cell>
        </row>
        <row r="42">
          <cell r="B42" t="str">
            <v>06716026#093</v>
          </cell>
          <cell r="H42" t="str">
            <v>Danske Invest Rahastoyhtiö Oy</v>
          </cell>
        </row>
        <row r="43">
          <cell r="B43" t="str">
            <v>06716026#094</v>
          </cell>
          <cell r="H43" t="str">
            <v>Danske Invest Rahastoyhtiö Oy</v>
          </cell>
        </row>
        <row r="44">
          <cell r="B44" t="str">
            <v>07360527#002</v>
          </cell>
          <cell r="H44" t="str">
            <v>eQ Rahastoyhtiö Oy</v>
          </cell>
        </row>
        <row r="45">
          <cell r="B45" t="str">
            <v>07360527#007</v>
          </cell>
          <cell r="H45" t="str">
            <v>eQ Rahastoyhtiö Oy</v>
          </cell>
        </row>
        <row r="46">
          <cell r="B46" t="str">
            <v>07360527#015</v>
          </cell>
          <cell r="H46" t="str">
            <v>eQ Rahastoyhtiö Oy</v>
          </cell>
        </row>
        <row r="47">
          <cell r="B47" t="str">
            <v>07360527#021</v>
          </cell>
          <cell r="H47" t="str">
            <v>eQ Rahastoyhtiö Oy</v>
          </cell>
        </row>
        <row r="48">
          <cell r="B48" t="str">
            <v>07360527#026</v>
          </cell>
          <cell r="H48" t="str">
            <v>eQ Rahastoyhtiö Oy</v>
          </cell>
        </row>
        <row r="49">
          <cell r="B49" t="str">
            <v>07360527#035</v>
          </cell>
          <cell r="H49" t="str">
            <v>eQ Rahastoyhtiö Oy</v>
          </cell>
        </row>
        <row r="50">
          <cell r="B50" t="str">
            <v>07360527#036</v>
          </cell>
          <cell r="H50" t="str">
            <v>eQ Rahastoyhtiö Oy</v>
          </cell>
        </row>
        <row r="51">
          <cell r="B51" t="str">
            <v>07360527#039</v>
          </cell>
          <cell r="H51" t="str">
            <v>eQ Rahastoyhtiö Oy</v>
          </cell>
        </row>
        <row r="52">
          <cell r="B52" t="str">
            <v>07360527#053</v>
          </cell>
          <cell r="H52" t="str">
            <v>eQ Rahastoyhtiö Oy</v>
          </cell>
        </row>
        <row r="53">
          <cell r="B53" t="str">
            <v>07360527#055</v>
          </cell>
          <cell r="H53" t="str">
            <v>eQ Rahastoyhtiö Oy</v>
          </cell>
        </row>
        <row r="54">
          <cell r="B54" t="str">
            <v>07360527#056</v>
          </cell>
          <cell r="H54" t="str">
            <v>eQ Rahastoyhtiö Oy</v>
          </cell>
        </row>
        <row r="55">
          <cell r="B55" t="str">
            <v>07360527#109</v>
          </cell>
          <cell r="H55" t="str">
            <v>eQ Rahastoyhtiö Oy</v>
          </cell>
        </row>
        <row r="56">
          <cell r="B56" t="str">
            <v>07360527#110</v>
          </cell>
          <cell r="H56" t="str">
            <v>eQ Rahastoyhtiö Oy</v>
          </cell>
        </row>
        <row r="57">
          <cell r="B57" t="str">
            <v>07360527#140</v>
          </cell>
          <cell r="H57" t="str">
            <v>eQ Rahastoyhtiö Oy</v>
          </cell>
        </row>
        <row r="58">
          <cell r="B58" t="str">
            <v>07439622#005</v>
          </cell>
          <cell r="H58" t="str">
            <v>OP-Rahastoyhtiö Oy</v>
          </cell>
        </row>
        <row r="59">
          <cell r="B59" t="str">
            <v>07439622#010</v>
          </cell>
          <cell r="H59" t="str">
            <v>OP-Rahastoyhtiö Oy</v>
          </cell>
        </row>
        <row r="60">
          <cell r="B60" t="str">
            <v>07439622#011</v>
          </cell>
          <cell r="H60" t="str">
            <v>OP-Rahastoyhtiö Oy</v>
          </cell>
        </row>
        <row r="61">
          <cell r="B61" t="str">
            <v>07439622#016</v>
          </cell>
          <cell r="H61" t="str">
            <v>OP-Rahastoyhtiö Oy</v>
          </cell>
        </row>
        <row r="62">
          <cell r="B62" t="str">
            <v>07439622#017</v>
          </cell>
          <cell r="H62" t="str">
            <v>OP-Rahastoyhtiö Oy</v>
          </cell>
        </row>
        <row r="63">
          <cell r="B63" t="str">
            <v>07439622#018</v>
          </cell>
          <cell r="H63" t="str">
            <v>OP-Rahastoyhtiö Oy</v>
          </cell>
        </row>
        <row r="64">
          <cell r="B64" t="str">
            <v>07439622#020</v>
          </cell>
          <cell r="H64" t="str">
            <v>OP-Rahastoyhtiö Oy</v>
          </cell>
        </row>
        <row r="65">
          <cell r="B65" t="str">
            <v>07439622#022</v>
          </cell>
          <cell r="H65" t="str">
            <v>OP-Rahastoyhtiö Oy</v>
          </cell>
        </row>
        <row r="66">
          <cell r="B66" t="str">
            <v>07439622#026</v>
          </cell>
          <cell r="H66" t="str">
            <v>OP-Rahastoyhtiö Oy</v>
          </cell>
        </row>
        <row r="67">
          <cell r="B67" t="str">
            <v>07439622#027</v>
          </cell>
          <cell r="H67" t="str">
            <v>OP-Rahastoyhtiö Oy</v>
          </cell>
        </row>
        <row r="68">
          <cell r="B68" t="str">
            <v>07439622#030</v>
          </cell>
          <cell r="H68" t="str">
            <v>OP-Rahastoyhtiö Oy</v>
          </cell>
        </row>
        <row r="69">
          <cell r="B69" t="str">
            <v>07439622#032</v>
          </cell>
          <cell r="H69" t="str">
            <v>OP-Rahastoyhtiö Oy</v>
          </cell>
        </row>
        <row r="70">
          <cell r="B70" t="str">
            <v>07439622#036</v>
          </cell>
          <cell r="H70" t="str">
            <v>OP-Rahastoyhtiö Oy</v>
          </cell>
        </row>
        <row r="71">
          <cell r="B71" t="str">
            <v>07439622#038</v>
          </cell>
          <cell r="H71" t="str">
            <v>OP-Rahastoyhtiö Oy</v>
          </cell>
        </row>
        <row r="72">
          <cell r="B72" t="str">
            <v>07439622#039</v>
          </cell>
          <cell r="H72" t="str">
            <v>OP-Rahastoyhtiö Oy</v>
          </cell>
        </row>
        <row r="73">
          <cell r="B73" t="str">
            <v>07439622#045</v>
          </cell>
          <cell r="H73" t="str">
            <v>OP-Rahastoyhtiö Oy</v>
          </cell>
        </row>
        <row r="74">
          <cell r="B74" t="str">
            <v>07439622#048</v>
          </cell>
          <cell r="H74" t="str">
            <v>OP-Rahastoyhtiö Oy</v>
          </cell>
        </row>
        <row r="75">
          <cell r="B75" t="str">
            <v>07439622#063</v>
          </cell>
          <cell r="H75" t="str">
            <v>OP-Rahastoyhtiö Oy</v>
          </cell>
        </row>
        <row r="76">
          <cell r="B76" t="str">
            <v>07439622#067</v>
          </cell>
          <cell r="H76" t="str">
            <v>OP-Rahastoyhtiö Oy</v>
          </cell>
        </row>
        <row r="77">
          <cell r="B77" t="str">
            <v>07439622#071</v>
          </cell>
          <cell r="H77" t="str">
            <v>OP-Rahastoyhtiö Oy</v>
          </cell>
        </row>
        <row r="78">
          <cell r="B78" t="str">
            <v>07439622#080</v>
          </cell>
          <cell r="H78" t="str">
            <v>OP-Rahastoyhtiö Oy</v>
          </cell>
        </row>
        <row r="79">
          <cell r="B79" t="str">
            <v>07439622#087</v>
          </cell>
          <cell r="H79" t="str">
            <v>OP-Rahastoyhtiö Oy</v>
          </cell>
        </row>
        <row r="80">
          <cell r="B80" t="str">
            <v>07439622#088</v>
          </cell>
          <cell r="H80" t="str">
            <v>OP-Rahastoyhtiö Oy</v>
          </cell>
        </row>
        <row r="81">
          <cell r="B81" t="str">
            <v>07439622#094</v>
          </cell>
          <cell r="H81" t="str">
            <v>OP-Rahastoyhtiö Oy</v>
          </cell>
        </row>
        <row r="82">
          <cell r="B82" t="str">
            <v>07439622#095</v>
          </cell>
          <cell r="H82" t="str">
            <v>OP-Rahastoyhtiö Oy</v>
          </cell>
        </row>
        <row r="83">
          <cell r="B83" t="str">
            <v>07439622#096</v>
          </cell>
          <cell r="H83" t="str">
            <v>OP-Rahastoyhtiö Oy</v>
          </cell>
        </row>
        <row r="84">
          <cell r="B84" t="str">
            <v>07439622#100</v>
          </cell>
          <cell r="H84" t="str">
            <v>OP-Rahastoyhtiö Oy</v>
          </cell>
        </row>
        <row r="85">
          <cell r="B85" t="str">
            <v>07439622#103</v>
          </cell>
          <cell r="H85" t="str">
            <v>OP-Rahastoyhtiö Oy</v>
          </cell>
        </row>
        <row r="86">
          <cell r="B86" t="str">
            <v>07439622#104</v>
          </cell>
          <cell r="H86" t="str">
            <v>OP-Rahastoyhtiö Oy</v>
          </cell>
        </row>
        <row r="87">
          <cell r="B87" t="str">
            <v>07439622#106</v>
          </cell>
          <cell r="H87" t="str">
            <v>OP-Rahastoyhtiö Oy</v>
          </cell>
        </row>
        <row r="88">
          <cell r="B88" t="str">
            <v>07439622#107</v>
          </cell>
          <cell r="H88" t="str">
            <v>OP-Rahastoyhtiö Oy</v>
          </cell>
        </row>
        <row r="89">
          <cell r="B89" t="str">
            <v>07439622#109</v>
          </cell>
          <cell r="H89" t="str">
            <v>OP-Rahastoyhtiö Oy</v>
          </cell>
        </row>
        <row r="90">
          <cell r="B90" t="str">
            <v>07439622#120</v>
          </cell>
          <cell r="H90" t="str">
            <v>OP-Rahastoyhtiö Oy</v>
          </cell>
        </row>
        <row r="91">
          <cell r="B91" t="str">
            <v>07439622#122</v>
          </cell>
          <cell r="H91" t="str">
            <v>OP-Rahastoyhtiö Oy</v>
          </cell>
        </row>
        <row r="92">
          <cell r="B92" t="str">
            <v>07439622#123</v>
          </cell>
          <cell r="H92" t="str">
            <v>OP-Rahastoyhtiö Oy</v>
          </cell>
        </row>
        <row r="93">
          <cell r="B93" t="str">
            <v>07439622#126</v>
          </cell>
          <cell r="H93" t="str">
            <v>OP-Rahastoyhtiö Oy</v>
          </cell>
        </row>
        <row r="94">
          <cell r="B94" t="str">
            <v>07439622#129</v>
          </cell>
          <cell r="H94" t="str">
            <v>OP-Rahastoyhtiö Oy</v>
          </cell>
        </row>
        <row r="95">
          <cell r="B95" t="str">
            <v>07439622#134</v>
          </cell>
          <cell r="H95" t="str">
            <v>OP-Rahastoyhtiö Oy</v>
          </cell>
        </row>
        <row r="96">
          <cell r="B96" t="str">
            <v>07439622#136</v>
          </cell>
          <cell r="H96" t="str">
            <v>OP-Rahastoyhtiö Oy</v>
          </cell>
        </row>
        <row r="97">
          <cell r="B97" t="str">
            <v>07439622#137</v>
          </cell>
          <cell r="H97" t="str">
            <v>OP-Rahastoyhtiö Oy</v>
          </cell>
        </row>
        <row r="98">
          <cell r="B98" t="str">
            <v>07439622#138</v>
          </cell>
          <cell r="H98" t="str">
            <v>OP-Rahastoyhtiö Oy</v>
          </cell>
        </row>
        <row r="99">
          <cell r="B99" t="str">
            <v>07439622#144</v>
          </cell>
          <cell r="H99" t="str">
            <v>OP-Rahastoyhtiö Oy</v>
          </cell>
        </row>
        <row r="100">
          <cell r="B100" t="str">
            <v>07439622#151</v>
          </cell>
          <cell r="H100" t="str">
            <v>OP-Rahastoyhtiö Oy</v>
          </cell>
        </row>
        <row r="101">
          <cell r="B101" t="str">
            <v>07439622#153</v>
          </cell>
          <cell r="H101" t="str">
            <v>OP-Rahastoyhtiö Oy</v>
          </cell>
        </row>
        <row r="102">
          <cell r="B102" t="str">
            <v>07446590#004</v>
          </cell>
          <cell r="H102" t="str">
            <v>Evli-Rahastoyhtiö Oy</v>
          </cell>
        </row>
        <row r="103">
          <cell r="B103" t="str">
            <v>07446590#006</v>
          </cell>
          <cell r="H103" t="str">
            <v>Evli-Rahastoyhtiö Oy</v>
          </cell>
        </row>
        <row r="104">
          <cell r="B104" t="str">
            <v>07446590#010</v>
          </cell>
          <cell r="H104" t="str">
            <v>Evli-Rahastoyhtiö Oy</v>
          </cell>
        </row>
        <row r="105">
          <cell r="B105" t="str">
            <v>07446590#011</v>
          </cell>
          <cell r="H105" t="str">
            <v>Evli-Rahastoyhtiö Oy</v>
          </cell>
        </row>
        <row r="106">
          <cell r="B106" t="str">
            <v>07446590#013</v>
          </cell>
          <cell r="H106" t="str">
            <v>Evli-Rahastoyhtiö Oy</v>
          </cell>
        </row>
        <row r="107">
          <cell r="B107" t="str">
            <v>07446590#016</v>
          </cell>
          <cell r="H107" t="str">
            <v>Evli-Rahastoyhtiö Oy</v>
          </cell>
        </row>
        <row r="108">
          <cell r="B108" t="str">
            <v>07446590#018</v>
          </cell>
          <cell r="H108" t="str">
            <v>Evli-Rahastoyhtiö Oy</v>
          </cell>
        </row>
        <row r="109">
          <cell r="B109" t="str">
            <v>07446590#020</v>
          </cell>
          <cell r="H109" t="str">
            <v>Evli-Rahastoyhtiö Oy</v>
          </cell>
        </row>
        <row r="110">
          <cell r="B110" t="str">
            <v>07446590#023</v>
          </cell>
          <cell r="H110" t="str">
            <v>Evli-Rahastoyhtiö Oy</v>
          </cell>
        </row>
        <row r="111">
          <cell r="B111" t="str">
            <v>07446590#025</v>
          </cell>
          <cell r="H111" t="str">
            <v>Evli-Rahastoyhtiö Oy</v>
          </cell>
        </row>
        <row r="112">
          <cell r="B112" t="str">
            <v>07446590#026</v>
          </cell>
          <cell r="H112" t="str">
            <v>Evli-Rahastoyhtiö Oy</v>
          </cell>
        </row>
        <row r="113">
          <cell r="B113" t="str">
            <v>07446590#031</v>
          </cell>
          <cell r="H113" t="str">
            <v>Evli-Rahastoyhtiö Oy</v>
          </cell>
        </row>
        <row r="114">
          <cell r="B114" t="str">
            <v>07446590#037</v>
          </cell>
          <cell r="H114" t="str">
            <v>Evli-Rahastoyhtiö Oy</v>
          </cell>
        </row>
        <row r="115">
          <cell r="B115" t="str">
            <v>07446590#042</v>
          </cell>
          <cell r="H115" t="str">
            <v>Evli-Rahastoyhtiö Oy</v>
          </cell>
        </row>
        <row r="116">
          <cell r="B116" t="str">
            <v>07446590#045</v>
          </cell>
          <cell r="H116" t="str">
            <v>Evli-Rahastoyhtiö Oy</v>
          </cell>
        </row>
        <row r="117">
          <cell r="B117" t="str">
            <v>07446590#054</v>
          </cell>
          <cell r="H117" t="str">
            <v>Evli-Rahastoyhtiö Oy</v>
          </cell>
        </row>
        <row r="118">
          <cell r="B118" t="str">
            <v>07446590#059</v>
          </cell>
          <cell r="H118" t="str">
            <v>Evli-Rahastoyhtiö Oy</v>
          </cell>
        </row>
        <row r="119">
          <cell r="B119" t="str">
            <v>07446590#060</v>
          </cell>
          <cell r="H119" t="str">
            <v>Evli-Rahastoyhtiö Oy</v>
          </cell>
        </row>
        <row r="120">
          <cell r="B120" t="str">
            <v>07446590#064</v>
          </cell>
          <cell r="H120" t="str">
            <v>Evli-Rahastoyhtiö Oy</v>
          </cell>
        </row>
        <row r="121">
          <cell r="B121" t="str">
            <v>07446590#065</v>
          </cell>
          <cell r="H121" t="str">
            <v>Evli-Rahastoyhtiö Oy</v>
          </cell>
        </row>
        <row r="122">
          <cell r="B122" t="str">
            <v>07446590#066</v>
          </cell>
          <cell r="H122" t="str">
            <v>Evli-Rahastoyhtiö Oy</v>
          </cell>
        </row>
        <row r="123">
          <cell r="B123" t="str">
            <v>07446590#073</v>
          </cell>
          <cell r="H123" t="str">
            <v>Evli-Rahastoyhtiö Oy</v>
          </cell>
        </row>
        <row r="124">
          <cell r="B124" t="str">
            <v>07446590#074</v>
          </cell>
          <cell r="H124" t="str">
            <v>Evli-Rahastoyhtiö Oy</v>
          </cell>
        </row>
        <row r="125">
          <cell r="B125" t="str">
            <v>07446590#076</v>
          </cell>
          <cell r="H125" t="str">
            <v>Evli-Rahastoyhtiö Oy</v>
          </cell>
        </row>
        <row r="126">
          <cell r="B126" t="str">
            <v>07446590#090</v>
          </cell>
          <cell r="H126" t="str">
            <v>Evli-Rahastoyhtiö Oy</v>
          </cell>
        </row>
        <row r="127">
          <cell r="B127" t="str">
            <v>07446590#103</v>
          </cell>
          <cell r="H127" t="str">
            <v>Evli-Rahastoyhtiö Oy</v>
          </cell>
        </row>
        <row r="128">
          <cell r="B128" t="str">
            <v>07446590#104</v>
          </cell>
          <cell r="H128" t="str">
            <v>Evli-Rahastoyhtiö Oy</v>
          </cell>
        </row>
        <row r="129">
          <cell r="B129" t="str">
            <v>07446590#105</v>
          </cell>
          <cell r="H129" t="str">
            <v>Evli-Rahastoyhtiö Oy</v>
          </cell>
        </row>
        <row r="130">
          <cell r="B130" t="str">
            <v>07446590#119</v>
          </cell>
          <cell r="H130" t="str">
            <v>Evli-Rahastoyhtiö Oy</v>
          </cell>
        </row>
        <row r="131">
          <cell r="B131" t="str">
            <v>07446590#120</v>
          </cell>
          <cell r="H131" t="str">
            <v>Evli-Rahastoyhtiö Oy</v>
          </cell>
        </row>
        <row r="132">
          <cell r="B132" t="str">
            <v>07446590#121</v>
          </cell>
          <cell r="H132" t="str">
            <v>Evli-Rahastoyhtiö Oy</v>
          </cell>
        </row>
        <row r="133">
          <cell r="B133" t="str">
            <v>07446590#125</v>
          </cell>
          <cell r="H133" t="str">
            <v>Evli-Rahastoyhtiö Oy</v>
          </cell>
        </row>
        <row r="134">
          <cell r="B134" t="str">
            <v>07446590#126</v>
          </cell>
          <cell r="H134" t="str">
            <v>Evli-Rahastoyhtiö Oy</v>
          </cell>
        </row>
        <row r="135">
          <cell r="B135" t="str">
            <v>07446590#127</v>
          </cell>
          <cell r="H135" t="str">
            <v>Evli-Rahastoyhtiö Oy</v>
          </cell>
        </row>
        <row r="136">
          <cell r="B136" t="str">
            <v>07446590#130</v>
          </cell>
          <cell r="H136" t="str">
            <v>Evli-Rahastoyhtiö Oy</v>
          </cell>
        </row>
        <row r="137">
          <cell r="B137" t="str">
            <v>07446590#133</v>
          </cell>
          <cell r="H137" t="str">
            <v>Evli-Rahastoyhtiö Oy</v>
          </cell>
        </row>
        <row r="138">
          <cell r="B138" t="str">
            <v>07446590#176</v>
          </cell>
          <cell r="H138" t="str">
            <v>Evli-Rahastoyhtiö Oy</v>
          </cell>
        </row>
        <row r="139">
          <cell r="B139" t="str">
            <v>07446590#177</v>
          </cell>
          <cell r="H139" t="str">
            <v>Evli-Rahastoyhtiö Oy</v>
          </cell>
        </row>
        <row r="140">
          <cell r="B140" t="str">
            <v>08996885#001</v>
          </cell>
          <cell r="H140" t="str">
            <v>Fondbolaget Fondita Ab</v>
          </cell>
        </row>
        <row r="141">
          <cell r="B141" t="str">
            <v>08996885#002</v>
          </cell>
          <cell r="H141" t="str">
            <v>Fondbolaget Fondita Ab</v>
          </cell>
        </row>
        <row r="142">
          <cell r="B142" t="str">
            <v>08996885#003</v>
          </cell>
          <cell r="H142" t="str">
            <v>Fondbolaget Fondita Ab</v>
          </cell>
        </row>
        <row r="143">
          <cell r="B143" t="str">
            <v>08996885#004</v>
          </cell>
          <cell r="H143" t="str">
            <v>Fondbolaget Fondita Ab</v>
          </cell>
        </row>
        <row r="144">
          <cell r="B144" t="str">
            <v>08996885#005</v>
          </cell>
          <cell r="H144" t="str">
            <v>Fondbolaget Fondita Ab</v>
          </cell>
        </row>
        <row r="145">
          <cell r="B145" t="str">
            <v>08996885#006</v>
          </cell>
          <cell r="H145" t="str">
            <v>Fondbolaget Fondita Ab</v>
          </cell>
        </row>
        <row r="146">
          <cell r="B146" t="str">
            <v>08996885#007</v>
          </cell>
          <cell r="H146" t="str">
            <v>Fondbolaget Fondita Ab</v>
          </cell>
        </row>
        <row r="147">
          <cell r="B147" t="str">
            <v>08996885#008</v>
          </cell>
          <cell r="H147" t="str">
            <v>Fondbolaget Fondita Ab</v>
          </cell>
        </row>
        <row r="148">
          <cell r="B148" t="str">
            <v>09791339#001</v>
          </cell>
          <cell r="H148" t="str">
            <v>S-Pankki Rahastoyhtiö Oy</v>
          </cell>
        </row>
        <row r="149">
          <cell r="B149" t="str">
            <v>09791339#002</v>
          </cell>
          <cell r="H149" t="str">
            <v>S-Pankki Rahastoyhtiö Oy</v>
          </cell>
        </row>
        <row r="150">
          <cell r="B150" t="str">
            <v>09791339#004</v>
          </cell>
          <cell r="H150" t="str">
            <v>S-Pankki Rahastoyhtiö Oy</v>
          </cell>
        </row>
        <row r="151">
          <cell r="B151" t="str">
            <v>09791339#005</v>
          </cell>
          <cell r="H151" t="str">
            <v>S-Pankki Rahastoyhtiö Oy</v>
          </cell>
        </row>
        <row r="152">
          <cell r="B152" t="str">
            <v>09791339#008</v>
          </cell>
          <cell r="H152" t="str">
            <v>S-Pankki Rahastoyhtiö Oy</v>
          </cell>
        </row>
        <row r="153">
          <cell r="B153" t="str">
            <v>09791339#009</v>
          </cell>
          <cell r="H153" t="str">
            <v>S-Pankki Rahastoyhtiö Oy</v>
          </cell>
        </row>
        <row r="154">
          <cell r="B154" t="str">
            <v>09791339#011</v>
          </cell>
          <cell r="H154" t="str">
            <v>S-Pankki Rahastoyhtiö Oy</v>
          </cell>
        </row>
        <row r="155">
          <cell r="B155" t="str">
            <v>09791339#018</v>
          </cell>
          <cell r="H155" t="str">
            <v>S-Pankki Rahastoyhtiö Oy</v>
          </cell>
        </row>
        <row r="156">
          <cell r="B156" t="str">
            <v>09791339#025</v>
          </cell>
          <cell r="H156" t="str">
            <v>S-Pankki Rahastoyhtiö Oy</v>
          </cell>
        </row>
        <row r="157">
          <cell r="B157" t="str">
            <v>09791339#026</v>
          </cell>
          <cell r="H157" t="str">
            <v>S-Pankki Rahastoyhtiö Oy</v>
          </cell>
        </row>
        <row r="158">
          <cell r="B158" t="str">
            <v>09791339#027</v>
          </cell>
          <cell r="H158" t="str">
            <v>S-Pankki Rahastoyhtiö Oy</v>
          </cell>
        </row>
        <row r="159">
          <cell r="B159" t="str">
            <v>09791339#033</v>
          </cell>
          <cell r="H159" t="str">
            <v>S-Pankki Rahastoyhtiö Oy</v>
          </cell>
        </row>
        <row r="160">
          <cell r="B160" t="str">
            <v>09791339#035</v>
          </cell>
          <cell r="H160" t="str">
            <v>S-Pankki Rahastoyhtiö Oy</v>
          </cell>
        </row>
        <row r="161">
          <cell r="B161" t="str">
            <v>09791339#037</v>
          </cell>
          <cell r="H161" t="str">
            <v>S-Pankki Rahastoyhtiö Oy</v>
          </cell>
        </row>
        <row r="162">
          <cell r="B162" t="str">
            <v>09791339#042</v>
          </cell>
          <cell r="H162" t="str">
            <v>S-Pankki Rahastoyhtiö Oy</v>
          </cell>
        </row>
        <row r="163">
          <cell r="B163" t="str">
            <v>09791339#080</v>
          </cell>
          <cell r="H163" t="str">
            <v>S-Pankki Rahastoyhtiö Oy</v>
          </cell>
        </row>
        <row r="164">
          <cell r="B164" t="str">
            <v>09791339#081</v>
          </cell>
          <cell r="H164" t="str">
            <v>S-Pankki Rahastoyhtiö Oy</v>
          </cell>
        </row>
        <row r="165">
          <cell r="B165" t="str">
            <v>09791339#085</v>
          </cell>
          <cell r="H165" t="str">
            <v>S-Pankki Rahastoyhtiö Oy</v>
          </cell>
        </row>
        <row r="166">
          <cell r="B166" t="str">
            <v>09791339#088</v>
          </cell>
          <cell r="H166" t="str">
            <v>S-Pankki Rahastoyhtiö Oy</v>
          </cell>
        </row>
        <row r="167">
          <cell r="B167" t="str">
            <v>09791339#089</v>
          </cell>
          <cell r="H167" t="str">
            <v>S-Pankki Rahastoyhtiö Oy</v>
          </cell>
        </row>
        <row r="168">
          <cell r="B168" t="str">
            <v>10932901#003</v>
          </cell>
          <cell r="H168" t="str">
            <v>Seligson &amp; Co Rahastoyhtiö Oyj</v>
          </cell>
        </row>
        <row r="169">
          <cell r="B169" t="str">
            <v>10932901#004</v>
          </cell>
          <cell r="H169" t="str">
            <v>Seligson &amp; Co Rahastoyhtiö Oyj</v>
          </cell>
        </row>
        <row r="170">
          <cell r="B170" t="str">
            <v>10932901#007</v>
          </cell>
          <cell r="H170" t="str">
            <v>Seligson &amp; Co Rahastoyhtiö Oyj</v>
          </cell>
        </row>
        <row r="171">
          <cell r="B171" t="str">
            <v>10932901#009</v>
          </cell>
          <cell r="H171" t="str">
            <v>Seligson &amp; Co Rahastoyhtiö Oyj</v>
          </cell>
        </row>
        <row r="172">
          <cell r="B172" t="str">
            <v>10932901#012</v>
          </cell>
          <cell r="H172" t="str">
            <v>Seligson &amp; Co Rahastoyhtiö Oyj</v>
          </cell>
        </row>
        <row r="173">
          <cell r="B173" t="str">
            <v>10932901#013</v>
          </cell>
          <cell r="H173" t="str">
            <v>Seligson &amp; Co Rahastoyhtiö Oyj</v>
          </cell>
        </row>
        <row r="174">
          <cell r="B174" t="str">
            <v>10932901#014</v>
          </cell>
          <cell r="H174" t="str">
            <v>Seligson &amp; Co Rahastoyhtiö Oyj</v>
          </cell>
        </row>
        <row r="175">
          <cell r="B175" t="str">
            <v>10932901#016</v>
          </cell>
          <cell r="H175" t="str">
            <v>Seligson &amp; Co Rahastoyhtiö Oyj</v>
          </cell>
        </row>
        <row r="176">
          <cell r="B176" t="str">
            <v>10932901#017</v>
          </cell>
          <cell r="H176" t="str">
            <v>Seligson &amp; Co Rahastoyhtiö Oyj</v>
          </cell>
        </row>
        <row r="177">
          <cell r="B177" t="str">
            <v>10932901#027</v>
          </cell>
          <cell r="H177" t="str">
            <v>Seligson &amp; Co Rahastoyhtiö Oyj</v>
          </cell>
        </row>
        <row r="178">
          <cell r="B178" t="str">
            <v>10932901#028</v>
          </cell>
          <cell r="H178" t="str">
            <v>Seligson &amp; Co Rahastoyhtiö Oyj</v>
          </cell>
        </row>
        <row r="179">
          <cell r="B179" t="str">
            <v>10932901#029</v>
          </cell>
          <cell r="H179" t="str">
            <v>Seligson &amp; Co Rahastoyhtiö Oyj</v>
          </cell>
        </row>
        <row r="180">
          <cell r="B180" t="str">
            <v>10932901#031</v>
          </cell>
          <cell r="H180" t="str">
            <v>Seligson &amp; Co Rahastoyhtiö Oyj</v>
          </cell>
        </row>
        <row r="181">
          <cell r="B181" t="str">
            <v>10932901#032</v>
          </cell>
          <cell r="H181" t="str">
            <v>Seligson &amp; Co Rahastoyhtiö Oyj</v>
          </cell>
        </row>
        <row r="182">
          <cell r="B182" t="str">
            <v>10932901#033</v>
          </cell>
          <cell r="H182" t="str">
            <v>Seligson &amp; Co Rahastoyhtiö Oyj</v>
          </cell>
        </row>
        <row r="183">
          <cell r="B183" t="str">
            <v>10932901#034</v>
          </cell>
          <cell r="H183" t="str">
            <v>Seligson &amp; Co Rahastoyhtiö Oyj</v>
          </cell>
        </row>
        <row r="184">
          <cell r="B184" t="str">
            <v>10932901#035</v>
          </cell>
          <cell r="H184" t="str">
            <v>Seligson &amp; Co Rahastoyhtiö Oyj</v>
          </cell>
        </row>
        <row r="185">
          <cell r="B185" t="str">
            <v>10932901#036</v>
          </cell>
          <cell r="H185" t="str">
            <v>Seligson &amp; Co Rahastoyhtiö Oyj</v>
          </cell>
        </row>
        <row r="186">
          <cell r="B186" t="str">
            <v>10932901#037</v>
          </cell>
          <cell r="H186" t="str">
            <v>Seligson &amp; Co Rahastoyhtiö Oyj</v>
          </cell>
        </row>
        <row r="187">
          <cell r="B187" t="str">
            <v>10932901#038</v>
          </cell>
          <cell r="H187" t="str">
            <v>Seligson &amp; Co Rahastoyhtiö Oyj</v>
          </cell>
        </row>
        <row r="188">
          <cell r="B188" t="str">
            <v>10932901#039</v>
          </cell>
          <cell r="H188" t="str">
            <v>Seligson &amp; Co Rahastoyhtiö Oyj</v>
          </cell>
        </row>
        <row r="189">
          <cell r="B189" t="str">
            <v>10932901#040</v>
          </cell>
          <cell r="H189" t="str">
            <v>Seligson &amp; Co Rahastoyhtiö Oyj</v>
          </cell>
        </row>
        <row r="190">
          <cell r="B190" t="str">
            <v>10932901#041</v>
          </cell>
          <cell r="H190" t="str">
            <v>Seligson &amp; Co Rahastoyhtiö Oyj</v>
          </cell>
        </row>
        <row r="191">
          <cell r="B191" t="str">
            <v>10932901#043</v>
          </cell>
          <cell r="H191" t="str">
            <v>Seligson &amp; Co Rahastoyhtiö Oyj</v>
          </cell>
        </row>
        <row r="192">
          <cell r="B192" t="str">
            <v>10932901#044</v>
          </cell>
          <cell r="H192" t="str">
            <v>Seligson &amp; Co Rahastoyhtiö Oyj</v>
          </cell>
        </row>
        <row r="193">
          <cell r="B193" t="str">
            <v>10932901#045</v>
          </cell>
          <cell r="H193" t="str">
            <v>Seligson &amp; Co Rahastoyhtiö Oyj</v>
          </cell>
        </row>
        <row r="194">
          <cell r="B194" t="str">
            <v>10932901#046</v>
          </cell>
          <cell r="H194" t="str">
            <v>Seligson &amp; Co Rahastoyhtiö Oyj</v>
          </cell>
        </row>
        <row r="195">
          <cell r="B195" t="str">
            <v>10932901#047</v>
          </cell>
          <cell r="H195" t="str">
            <v>Seligson &amp; Co Rahastoyhtiö Oyj</v>
          </cell>
        </row>
        <row r="196">
          <cell r="B196" t="str">
            <v>10932901#048</v>
          </cell>
          <cell r="H196" t="str">
            <v>Seligson &amp; Co Rahastoyhtiö Oyj</v>
          </cell>
        </row>
        <row r="197">
          <cell r="B197" t="str">
            <v>10932901#049</v>
          </cell>
          <cell r="H197" t="str">
            <v>Seligson &amp; Co Rahastoyhtiö Oyj</v>
          </cell>
        </row>
        <row r="198">
          <cell r="B198" t="str">
            <v>10932901#050</v>
          </cell>
          <cell r="H198" t="str">
            <v>Seligson &amp; Co Rahastoyhtiö Oyj</v>
          </cell>
        </row>
        <row r="199">
          <cell r="B199" t="str">
            <v>10932901#051</v>
          </cell>
          <cell r="H199" t="str">
            <v>Seligson &amp; Co Rahastoyhtiö Oyj</v>
          </cell>
        </row>
        <row r="200">
          <cell r="B200" t="str">
            <v>10932901#052</v>
          </cell>
          <cell r="H200" t="str">
            <v>Seligson &amp; Co Rahastoyhtiö Oyj</v>
          </cell>
        </row>
        <row r="201">
          <cell r="B201" t="str">
            <v>10932901#053</v>
          </cell>
          <cell r="H201" t="str">
            <v>Seligson &amp; Co Rahastoyhtiö Oyj</v>
          </cell>
        </row>
        <row r="202">
          <cell r="B202" t="str">
            <v>10932901#054</v>
          </cell>
          <cell r="H202" t="str">
            <v>Seligson &amp; Co Rahastoyhtiö Oyj</v>
          </cell>
        </row>
        <row r="203">
          <cell r="B203" t="str">
            <v>10932901#055</v>
          </cell>
          <cell r="H203" t="str">
            <v>Seligson &amp; Co Rahastoyhtiö Oyj</v>
          </cell>
        </row>
        <row r="204">
          <cell r="B204" t="str">
            <v>10932901#056</v>
          </cell>
          <cell r="H204" t="str">
            <v>Seligson &amp; Co Rahastoyhtiö Oyj</v>
          </cell>
        </row>
        <row r="205">
          <cell r="B205" t="str">
            <v>10932901#057</v>
          </cell>
          <cell r="H205" t="str">
            <v>Seligson &amp; Co Rahastoyhtiö Oyj</v>
          </cell>
        </row>
        <row r="206">
          <cell r="B206" t="str">
            <v>10932901#058</v>
          </cell>
          <cell r="H206" t="str">
            <v>Seligson &amp; Co Rahastoyhtiö Oyj</v>
          </cell>
        </row>
        <row r="207">
          <cell r="B207" t="str">
            <v>10932901#059</v>
          </cell>
          <cell r="H207" t="str">
            <v>Seligson &amp; Co Rahastoyhtiö Oyj</v>
          </cell>
        </row>
        <row r="208">
          <cell r="B208" t="str">
            <v>10932901#060</v>
          </cell>
          <cell r="H208" t="str">
            <v>Seligson &amp; Co Rahastoyhtiö Oyj</v>
          </cell>
        </row>
        <row r="209">
          <cell r="B209" t="str">
            <v>10932901#061</v>
          </cell>
          <cell r="H209" t="str">
            <v>Seligson &amp; Co Rahastoyhtiö Oyj</v>
          </cell>
        </row>
        <row r="210">
          <cell r="B210" t="str">
            <v>10932901#062</v>
          </cell>
          <cell r="H210" t="str">
            <v>Seligson &amp; Co Rahastoyhtiö Oyj</v>
          </cell>
        </row>
        <row r="211">
          <cell r="B211" t="str">
            <v>10932901#067</v>
          </cell>
          <cell r="H211" t="str">
            <v>Seligson &amp; Co Rahastoyhtiö Oyj</v>
          </cell>
        </row>
        <row r="212">
          <cell r="B212" t="str">
            <v>10932901#068</v>
          </cell>
          <cell r="H212" t="str">
            <v>Seligson &amp; Co Rahastoyhtiö Oyj</v>
          </cell>
        </row>
        <row r="213">
          <cell r="B213" t="str">
            <v>10932901#069</v>
          </cell>
          <cell r="H213" t="str">
            <v>Seligson &amp; Co Rahastoyhtiö Oyj</v>
          </cell>
        </row>
        <row r="214">
          <cell r="B214" t="str">
            <v>10932901#070</v>
          </cell>
          <cell r="H214" t="str">
            <v>Seligson &amp; Co Rahastoyhtiö Oyj</v>
          </cell>
        </row>
        <row r="215">
          <cell r="B215" t="str">
            <v>10932901#071</v>
          </cell>
          <cell r="H215" t="str">
            <v>Seligson &amp; Co Rahastoyhtiö Oyj</v>
          </cell>
        </row>
        <row r="216">
          <cell r="B216" t="str">
            <v>10932901#072</v>
          </cell>
          <cell r="H216" t="str">
            <v>Seligson &amp; Co Rahastoyhtiö Oyj</v>
          </cell>
        </row>
        <row r="217">
          <cell r="B217" t="str">
            <v>10932901#073</v>
          </cell>
          <cell r="H217" t="str">
            <v>Seligson &amp; Co Rahastoyhtiö Oyj</v>
          </cell>
        </row>
        <row r="218">
          <cell r="B218" t="str">
            <v>10932901#074</v>
          </cell>
          <cell r="H218" t="str">
            <v>Seligson &amp; Co Rahastoyhtiö Oyj</v>
          </cell>
        </row>
        <row r="219">
          <cell r="B219" t="str">
            <v>14713626#001</v>
          </cell>
          <cell r="H219" t="str">
            <v>Ålandsbanken Fondbolag Ab</v>
          </cell>
        </row>
        <row r="220">
          <cell r="B220" t="str">
            <v>14713626#005</v>
          </cell>
          <cell r="H220" t="str">
            <v>Ålandsbanken Fondbolag Ab</v>
          </cell>
        </row>
        <row r="221">
          <cell r="B221" t="str">
            <v>14713626#008</v>
          </cell>
          <cell r="H221" t="str">
            <v>Ålandsbanken Fondbolag Ab</v>
          </cell>
        </row>
        <row r="222">
          <cell r="B222" t="str">
            <v>14713626#010</v>
          </cell>
          <cell r="H222" t="str">
            <v>Ålandsbanken Fondbolag Ab</v>
          </cell>
        </row>
        <row r="223">
          <cell r="B223" t="str">
            <v>14713626#012</v>
          </cell>
          <cell r="H223" t="str">
            <v>Ålandsbanken Fondbolag Ab</v>
          </cell>
        </row>
        <row r="224">
          <cell r="B224" t="str">
            <v>14713626#025</v>
          </cell>
          <cell r="H224" t="str">
            <v>Ålandsbanken Fondbolag Ab</v>
          </cell>
        </row>
        <row r="225">
          <cell r="B225" t="str">
            <v>14713626#042</v>
          </cell>
          <cell r="H225" t="str">
            <v>Ålandsbanken Fondbolag Ab</v>
          </cell>
        </row>
        <row r="226">
          <cell r="B226" t="str">
            <v>14713626#045</v>
          </cell>
          <cell r="H226" t="str">
            <v>Ålandsbanken Fondbolag Ab</v>
          </cell>
        </row>
        <row r="227">
          <cell r="B227" t="str">
            <v>14713626#046</v>
          </cell>
          <cell r="H227" t="str">
            <v>Ålandsbanken Fondbolag Ab</v>
          </cell>
        </row>
        <row r="228">
          <cell r="B228" t="str">
            <v>16039364#001</v>
          </cell>
          <cell r="H228" t="str">
            <v>Alexandria Rahastoyhtiö Oy</v>
          </cell>
        </row>
        <row r="229">
          <cell r="B229" t="str">
            <v>16039364#002</v>
          </cell>
          <cell r="H229" t="str">
            <v>Alexandria Rahastoyhtiö Oy</v>
          </cell>
        </row>
        <row r="230">
          <cell r="B230" t="str">
            <v>16039364#003</v>
          </cell>
          <cell r="H230" t="str">
            <v>Alexandria Rahastoyhtiö Oy</v>
          </cell>
        </row>
        <row r="231">
          <cell r="B231" t="str">
            <v>16039364#004</v>
          </cell>
          <cell r="H231" t="str">
            <v>Alexandria Rahastoyhtiö Oy</v>
          </cell>
        </row>
        <row r="232">
          <cell r="B232" t="str">
            <v>16039364#005</v>
          </cell>
          <cell r="H232" t="str">
            <v>Alexandria Rahastoyhtiö Oy</v>
          </cell>
        </row>
        <row r="233">
          <cell r="B233" t="str">
            <v>16039364#012</v>
          </cell>
          <cell r="H233" t="str">
            <v>Alexandria Rahastoyhtiö Oy</v>
          </cell>
        </row>
        <row r="234">
          <cell r="B234" t="str">
            <v>17377859#001</v>
          </cell>
          <cell r="H234" t="str">
            <v>Nordea Funds Oy</v>
          </cell>
        </row>
        <row r="235">
          <cell r="B235" t="str">
            <v>17377859#004</v>
          </cell>
          <cell r="H235" t="str">
            <v>Nordea Funds Oy</v>
          </cell>
        </row>
        <row r="236">
          <cell r="B236" t="str">
            <v>17377859#007</v>
          </cell>
          <cell r="H236" t="str">
            <v>Nordea Funds Oy</v>
          </cell>
        </row>
        <row r="237">
          <cell r="B237" t="str">
            <v>17377859#009</v>
          </cell>
          <cell r="H237" t="str">
            <v>Nordea Funds Oy</v>
          </cell>
        </row>
        <row r="238">
          <cell r="B238" t="str">
            <v>17377859#011</v>
          </cell>
          <cell r="H238" t="str">
            <v>Nordea Funds Oy</v>
          </cell>
        </row>
        <row r="239">
          <cell r="B239" t="str">
            <v>17377859#012</v>
          </cell>
          <cell r="H239" t="str">
            <v>Nordea Funds Oy</v>
          </cell>
        </row>
        <row r="240">
          <cell r="B240" t="str">
            <v>17377859#013</v>
          </cell>
          <cell r="H240" t="str">
            <v>Nordea Funds Oy</v>
          </cell>
        </row>
        <row r="241">
          <cell r="B241" t="str">
            <v>17377859#015</v>
          </cell>
          <cell r="H241" t="str">
            <v>Nordea Funds Oy</v>
          </cell>
        </row>
        <row r="242">
          <cell r="B242" t="str">
            <v>17377859#021</v>
          </cell>
          <cell r="H242" t="str">
            <v>Nordea Funds Oy</v>
          </cell>
        </row>
        <row r="243">
          <cell r="B243" t="str">
            <v>17377859#022</v>
          </cell>
          <cell r="H243" t="str">
            <v>Nordea Funds Oy</v>
          </cell>
        </row>
        <row r="244">
          <cell r="B244" t="str">
            <v>17377859#023</v>
          </cell>
          <cell r="H244" t="str">
            <v>Nordea Funds Oy</v>
          </cell>
        </row>
        <row r="245">
          <cell r="B245" t="str">
            <v>17377859#026</v>
          </cell>
          <cell r="H245" t="str">
            <v>Nordea Funds Oy</v>
          </cell>
        </row>
        <row r="246">
          <cell r="B246" t="str">
            <v>17377859#029</v>
          </cell>
          <cell r="H246" t="str">
            <v>Nordea Funds Oy</v>
          </cell>
        </row>
        <row r="247">
          <cell r="B247" t="str">
            <v>17377859#031</v>
          </cell>
          <cell r="H247" t="str">
            <v>Nordea Funds Oy</v>
          </cell>
        </row>
        <row r="248">
          <cell r="B248" t="str">
            <v>17377859#036</v>
          </cell>
          <cell r="H248" t="str">
            <v>Nordea Funds Oy</v>
          </cell>
        </row>
        <row r="249">
          <cell r="B249" t="str">
            <v>17377859#041</v>
          </cell>
          <cell r="H249" t="str">
            <v>Nordea Funds Oy</v>
          </cell>
        </row>
        <row r="250">
          <cell r="B250" t="str">
            <v>17377859#045</v>
          </cell>
          <cell r="H250" t="str">
            <v>Nordea Funds Oy</v>
          </cell>
        </row>
        <row r="251">
          <cell r="B251" t="str">
            <v>17377859#046</v>
          </cell>
          <cell r="H251" t="str">
            <v>Nordea Funds Oy</v>
          </cell>
        </row>
        <row r="252">
          <cell r="B252" t="str">
            <v>17377859#047</v>
          </cell>
          <cell r="H252" t="str">
            <v>Nordea Funds Oy</v>
          </cell>
        </row>
        <row r="253">
          <cell r="B253" t="str">
            <v>17377859#048</v>
          </cell>
          <cell r="H253" t="str">
            <v>Nordea Funds Oy</v>
          </cell>
        </row>
        <row r="254">
          <cell r="B254" t="str">
            <v>17377859#049</v>
          </cell>
          <cell r="H254" t="str">
            <v>Nordea Funds Oy</v>
          </cell>
        </row>
        <row r="255">
          <cell r="B255" t="str">
            <v>17377859#051</v>
          </cell>
          <cell r="H255" t="str">
            <v>Nordea Funds Oy</v>
          </cell>
        </row>
        <row r="256">
          <cell r="B256" t="str">
            <v>17377859#053</v>
          </cell>
          <cell r="H256" t="str">
            <v>Nordea Funds Oy</v>
          </cell>
        </row>
        <row r="257">
          <cell r="B257" t="str">
            <v>17377859#054</v>
          </cell>
          <cell r="H257" t="str">
            <v>Nordea Funds Oy</v>
          </cell>
        </row>
        <row r="258">
          <cell r="B258" t="str">
            <v>17377859#058</v>
          </cell>
          <cell r="H258" t="str">
            <v>Nordea Funds Oy</v>
          </cell>
        </row>
        <row r="259">
          <cell r="B259" t="str">
            <v>17377859#059</v>
          </cell>
          <cell r="H259" t="str">
            <v>Nordea Funds Oy</v>
          </cell>
        </row>
        <row r="260">
          <cell r="B260" t="str">
            <v>17377859#062</v>
          </cell>
          <cell r="H260" t="str">
            <v>Nordea Funds Oy</v>
          </cell>
        </row>
        <row r="261">
          <cell r="B261" t="str">
            <v>17377859#063</v>
          </cell>
          <cell r="H261" t="str">
            <v>Nordea Funds Oy</v>
          </cell>
        </row>
        <row r="262">
          <cell r="B262" t="str">
            <v>17377859#064</v>
          </cell>
          <cell r="H262" t="str">
            <v>Nordea Funds Oy</v>
          </cell>
        </row>
        <row r="263">
          <cell r="B263" t="str">
            <v>17377859#068</v>
          </cell>
          <cell r="H263" t="str">
            <v>Nordea Funds Oy</v>
          </cell>
        </row>
        <row r="264">
          <cell r="B264" t="str">
            <v>17377859#080</v>
          </cell>
          <cell r="H264" t="str">
            <v>Nordea Funds Oy</v>
          </cell>
        </row>
        <row r="265">
          <cell r="B265" t="str">
            <v>17377859#081</v>
          </cell>
          <cell r="H265" t="str">
            <v>Nordea Funds Oy</v>
          </cell>
        </row>
        <row r="266">
          <cell r="B266" t="str">
            <v>17377859#083</v>
          </cell>
          <cell r="H266" t="str">
            <v>Nordea Funds Oy</v>
          </cell>
        </row>
        <row r="267">
          <cell r="B267" t="str">
            <v>17377859#084</v>
          </cell>
          <cell r="H267" t="str">
            <v>Nordea Funds Oy</v>
          </cell>
        </row>
        <row r="268">
          <cell r="B268" t="str">
            <v>17377859#085</v>
          </cell>
          <cell r="H268" t="str">
            <v>Nordea Funds Oy</v>
          </cell>
        </row>
        <row r="269">
          <cell r="B269" t="str">
            <v>17377859#086</v>
          </cell>
          <cell r="H269" t="str">
            <v>Nordea Funds Oy</v>
          </cell>
        </row>
        <row r="270">
          <cell r="B270" t="str">
            <v>17377859#087</v>
          </cell>
          <cell r="H270" t="str">
            <v>Nordea Funds Oy</v>
          </cell>
        </row>
        <row r="271">
          <cell r="B271" t="str">
            <v>17377859#088</v>
          </cell>
          <cell r="H271" t="str">
            <v>Nordea Funds Oy</v>
          </cell>
        </row>
        <row r="272">
          <cell r="B272" t="str">
            <v>17377859#094</v>
          </cell>
          <cell r="H272" t="str">
            <v>Nordea Funds Oy</v>
          </cell>
        </row>
        <row r="273">
          <cell r="B273" t="str">
            <v>17377859#095</v>
          </cell>
          <cell r="H273" t="str">
            <v>Nordea Funds Oy</v>
          </cell>
        </row>
        <row r="274">
          <cell r="B274" t="str">
            <v>17377859#097</v>
          </cell>
          <cell r="H274" t="str">
            <v>Nordea Funds Oy</v>
          </cell>
        </row>
        <row r="275">
          <cell r="B275" t="str">
            <v>17377859#103</v>
          </cell>
          <cell r="H275" t="str">
            <v>Nordea Funds Oy</v>
          </cell>
        </row>
        <row r="276">
          <cell r="B276" t="str">
            <v>17377859#104</v>
          </cell>
          <cell r="H276" t="str">
            <v>Nordea Funds Oy</v>
          </cell>
        </row>
        <row r="277">
          <cell r="B277" t="str">
            <v>17377859#105</v>
          </cell>
          <cell r="H277" t="str">
            <v>Nordea Funds Oy</v>
          </cell>
        </row>
        <row r="278">
          <cell r="B278" t="str">
            <v>17377859#106</v>
          </cell>
          <cell r="H278" t="str">
            <v>Nordea Funds Oy</v>
          </cell>
        </row>
        <row r="279">
          <cell r="B279" t="str">
            <v>17377859#108</v>
          </cell>
          <cell r="H279" t="str">
            <v>Nordea Funds Oy</v>
          </cell>
        </row>
        <row r="280">
          <cell r="B280" t="str">
            <v>17377859#200</v>
          </cell>
          <cell r="H280" t="str">
            <v>Nordea Funds Oy</v>
          </cell>
        </row>
        <row r="281">
          <cell r="B281" t="str">
            <v>17377859#201</v>
          </cell>
          <cell r="H281" t="str">
            <v>Nordea Funds Oy</v>
          </cell>
        </row>
        <row r="282">
          <cell r="B282" t="str">
            <v>17377859#202</v>
          </cell>
          <cell r="H282" t="str">
            <v>Nordea Funds Oy</v>
          </cell>
        </row>
        <row r="283">
          <cell r="B283" t="str">
            <v>17377859#204</v>
          </cell>
          <cell r="H283" t="str">
            <v>Nordea Funds Oy</v>
          </cell>
        </row>
        <row r="284">
          <cell r="B284" t="str">
            <v>17377859#205</v>
          </cell>
          <cell r="H284" t="str">
            <v>Nordea Funds Oy</v>
          </cell>
        </row>
        <row r="285">
          <cell r="B285" t="str">
            <v>17377859#206</v>
          </cell>
          <cell r="H285" t="str">
            <v>Nordea Funds Oy</v>
          </cell>
        </row>
        <row r="286">
          <cell r="B286" t="str">
            <v>17377859#207</v>
          </cell>
          <cell r="H286" t="str">
            <v>Nordea Funds Oy</v>
          </cell>
        </row>
        <row r="287">
          <cell r="B287" t="str">
            <v>17377859#208</v>
          </cell>
          <cell r="H287" t="str">
            <v>Nordea Funds Oy</v>
          </cell>
        </row>
        <row r="288">
          <cell r="B288" t="str">
            <v>17377859#209</v>
          </cell>
          <cell r="H288" t="str">
            <v>Nordea Funds Oy</v>
          </cell>
        </row>
        <row r="289">
          <cell r="B289" t="str">
            <v>17377859#210</v>
          </cell>
          <cell r="H289" t="str">
            <v>Nordea Funds Oy</v>
          </cell>
        </row>
        <row r="290">
          <cell r="B290" t="str">
            <v>17377859#211</v>
          </cell>
          <cell r="H290" t="str">
            <v>Nordea Funds Oy</v>
          </cell>
        </row>
        <row r="291">
          <cell r="B291" t="str">
            <v>17377859#212</v>
          </cell>
          <cell r="H291" t="str">
            <v>Nordea Funds Oy</v>
          </cell>
        </row>
        <row r="292">
          <cell r="B292" t="str">
            <v>17377859#213</v>
          </cell>
          <cell r="H292" t="str">
            <v>Nordea Funds Oy</v>
          </cell>
        </row>
        <row r="293">
          <cell r="B293" t="str">
            <v>17377859#215</v>
          </cell>
          <cell r="H293" t="str">
            <v>Nordea Funds Oy</v>
          </cell>
        </row>
        <row r="294">
          <cell r="B294" t="str">
            <v>17377859#216</v>
          </cell>
          <cell r="H294" t="str">
            <v>Nordea Funds Oy</v>
          </cell>
        </row>
        <row r="295">
          <cell r="B295" t="str">
            <v>17377859#217</v>
          </cell>
          <cell r="H295" t="str">
            <v>Nordea Funds Oy</v>
          </cell>
        </row>
        <row r="296">
          <cell r="B296" t="str">
            <v>17377859#218</v>
          </cell>
          <cell r="H296" t="str">
            <v>Nordea Funds Oy</v>
          </cell>
        </row>
        <row r="297">
          <cell r="B297" t="str">
            <v>17377859#221</v>
          </cell>
          <cell r="H297" t="str">
            <v>Nordea Funds Oy</v>
          </cell>
        </row>
        <row r="298">
          <cell r="B298" t="str">
            <v>17377859#222</v>
          </cell>
          <cell r="H298" t="str">
            <v>Nordea Funds Oy</v>
          </cell>
        </row>
        <row r="299">
          <cell r="B299" t="str">
            <v>17377859#223</v>
          </cell>
          <cell r="H299" t="str">
            <v>Nordea Funds Oy</v>
          </cell>
        </row>
        <row r="300">
          <cell r="B300" t="str">
            <v>17377859#226</v>
          </cell>
          <cell r="H300" t="str">
            <v>Nordea Funds Oy</v>
          </cell>
        </row>
        <row r="301">
          <cell r="B301" t="str">
            <v>17377859#227</v>
          </cell>
          <cell r="H301" t="str">
            <v>Nordea Funds Oy</v>
          </cell>
        </row>
        <row r="302">
          <cell r="B302" t="str">
            <v>17377859#230</v>
          </cell>
          <cell r="H302" t="str">
            <v>Nordea Funds Oy</v>
          </cell>
        </row>
        <row r="303">
          <cell r="B303" t="str">
            <v>17377859#231</v>
          </cell>
          <cell r="H303" t="str">
            <v>Nordea Funds Oy</v>
          </cell>
        </row>
        <row r="304">
          <cell r="B304" t="str">
            <v>17377859#232</v>
          </cell>
          <cell r="H304" t="str">
            <v>Nordea Funds Oy</v>
          </cell>
        </row>
        <row r="305">
          <cell r="B305" t="str">
            <v>17377859#233</v>
          </cell>
          <cell r="H305" t="str">
            <v>Nordea Funds Oy</v>
          </cell>
        </row>
        <row r="306">
          <cell r="B306" t="str">
            <v>17377859#234</v>
          </cell>
          <cell r="H306" t="str">
            <v>Nordea Funds Oy</v>
          </cell>
        </row>
        <row r="307">
          <cell r="B307" t="str">
            <v>17377859#235</v>
          </cell>
          <cell r="H307" t="str">
            <v>Nordea Funds Oy</v>
          </cell>
        </row>
        <row r="308">
          <cell r="B308" t="str">
            <v>17377859#236</v>
          </cell>
          <cell r="H308" t="str">
            <v>Nordea Funds Oy</v>
          </cell>
        </row>
        <row r="309">
          <cell r="B309" t="str">
            <v>17377859#237</v>
          </cell>
          <cell r="H309" t="str">
            <v>Nordea Funds Oy</v>
          </cell>
        </row>
        <row r="310">
          <cell r="B310" t="str">
            <v>17377859#238</v>
          </cell>
          <cell r="H310" t="str">
            <v>Nordea Funds Oy</v>
          </cell>
        </row>
        <row r="311">
          <cell r="B311" t="str">
            <v>17377859#241</v>
          </cell>
          <cell r="H311" t="str">
            <v>Nordea Funds Oy</v>
          </cell>
        </row>
        <row r="312">
          <cell r="B312" t="str">
            <v>17377859#242</v>
          </cell>
          <cell r="H312" t="str">
            <v>Nordea Funds Oy</v>
          </cell>
        </row>
        <row r="313">
          <cell r="B313" t="str">
            <v>17377859#243</v>
          </cell>
          <cell r="H313" t="str">
            <v>Nordea Funds Oy</v>
          </cell>
        </row>
        <row r="314">
          <cell r="B314" t="str">
            <v>17377859#244</v>
          </cell>
          <cell r="H314" t="str">
            <v>Nordea Funds Oy</v>
          </cell>
        </row>
        <row r="315">
          <cell r="B315" t="str">
            <v>17377859#245</v>
          </cell>
          <cell r="H315" t="str">
            <v>Nordea Funds Oy</v>
          </cell>
        </row>
        <row r="316">
          <cell r="B316" t="str">
            <v>17377859#246</v>
          </cell>
          <cell r="H316" t="str">
            <v>Nordea Funds Oy</v>
          </cell>
        </row>
        <row r="317">
          <cell r="B317" t="str">
            <v>17377859#247</v>
          </cell>
          <cell r="H317" t="str">
            <v>Nordea Funds Oy</v>
          </cell>
        </row>
        <row r="318">
          <cell r="B318" t="str">
            <v>17377859#248</v>
          </cell>
          <cell r="H318" t="str">
            <v>Nordea Funds Oy</v>
          </cell>
        </row>
        <row r="319">
          <cell r="B319" t="str">
            <v>17377859#250</v>
          </cell>
          <cell r="H319" t="str">
            <v>Nordea Funds Oy</v>
          </cell>
        </row>
        <row r="320">
          <cell r="B320" t="str">
            <v>17377859#251</v>
          </cell>
          <cell r="H320" t="str">
            <v>Nordea Funds Oy</v>
          </cell>
        </row>
        <row r="321">
          <cell r="B321" t="str">
            <v>17377859#253</v>
          </cell>
          <cell r="H321" t="str">
            <v>Nordea Funds Oy</v>
          </cell>
        </row>
        <row r="322">
          <cell r="B322" t="str">
            <v>17377859#254</v>
          </cell>
          <cell r="H322" t="str">
            <v>Nordea Funds Oy</v>
          </cell>
        </row>
        <row r="323">
          <cell r="B323" t="str">
            <v>17377859#255</v>
          </cell>
          <cell r="H323" t="str">
            <v>Nordea Funds Oy</v>
          </cell>
        </row>
        <row r="324">
          <cell r="B324" t="str">
            <v>17377859#256</v>
          </cell>
          <cell r="H324" t="str">
            <v>Nordea Funds Oy</v>
          </cell>
        </row>
        <row r="325">
          <cell r="B325" t="str">
            <v>17377859#257</v>
          </cell>
          <cell r="H325" t="str">
            <v>Nordea Funds Oy</v>
          </cell>
        </row>
        <row r="326">
          <cell r="B326" t="str">
            <v>17377859#258</v>
          </cell>
          <cell r="H326" t="str">
            <v>Nordea Funds Oy</v>
          </cell>
        </row>
        <row r="327">
          <cell r="B327" t="str">
            <v>17377859#259</v>
          </cell>
          <cell r="H327" t="str">
            <v>Nordea Funds Oy</v>
          </cell>
        </row>
        <row r="328">
          <cell r="B328" t="str">
            <v>17377859#260</v>
          </cell>
          <cell r="H328" t="str">
            <v>Nordea Funds Oy</v>
          </cell>
        </row>
        <row r="329">
          <cell r="B329" t="str">
            <v>17377859#261</v>
          </cell>
          <cell r="H329" t="str">
            <v>Nordea Funds Oy</v>
          </cell>
        </row>
        <row r="330">
          <cell r="B330" t="str">
            <v>17377859#262</v>
          </cell>
          <cell r="H330" t="str">
            <v>Nordea Funds Oy</v>
          </cell>
        </row>
        <row r="331">
          <cell r="B331" t="str">
            <v>17377859#263</v>
          </cell>
          <cell r="H331" t="str">
            <v>Nordea Funds Oy</v>
          </cell>
        </row>
        <row r="332">
          <cell r="B332" t="str">
            <v>17377859#264</v>
          </cell>
          <cell r="H332" t="str">
            <v>Nordea Funds Oy</v>
          </cell>
        </row>
        <row r="333">
          <cell r="B333" t="str">
            <v>17377859#265</v>
          </cell>
          <cell r="H333" t="str">
            <v>Nordea Funds Oy</v>
          </cell>
        </row>
        <row r="334">
          <cell r="B334" t="str">
            <v>17377859#266</v>
          </cell>
          <cell r="H334" t="str">
            <v>Nordea Funds Oy</v>
          </cell>
        </row>
        <row r="335">
          <cell r="B335" t="str">
            <v>17377859#267</v>
          </cell>
          <cell r="H335" t="str">
            <v>Nordea Funds Oy</v>
          </cell>
        </row>
        <row r="336">
          <cell r="B336" t="str">
            <v>17377859#268</v>
          </cell>
          <cell r="H336" t="str">
            <v>Nordea Funds Oy</v>
          </cell>
        </row>
        <row r="337">
          <cell r="B337" t="str">
            <v>17377859#269</v>
          </cell>
          <cell r="H337" t="str">
            <v>Nordea Funds Oy</v>
          </cell>
        </row>
        <row r="338">
          <cell r="B338" t="str">
            <v>17377859#270</v>
          </cell>
          <cell r="H338" t="str">
            <v>Nordea Funds Oy</v>
          </cell>
        </row>
        <row r="339">
          <cell r="B339" t="str">
            <v>17377859#271</v>
          </cell>
          <cell r="H339" t="str">
            <v>Nordea Funds Oy</v>
          </cell>
        </row>
        <row r="340">
          <cell r="B340" t="str">
            <v>17377859#272</v>
          </cell>
          <cell r="H340" t="str">
            <v>Nordea Funds Oy</v>
          </cell>
        </row>
        <row r="341">
          <cell r="B341" t="str">
            <v>17377859#273</v>
          </cell>
          <cell r="H341" t="str">
            <v>Nordea Funds Oy</v>
          </cell>
        </row>
        <row r="342">
          <cell r="B342" t="str">
            <v>17377859#274</v>
          </cell>
          <cell r="H342" t="str">
            <v>Nordea Funds Oy</v>
          </cell>
        </row>
        <row r="343">
          <cell r="B343" t="str">
            <v>17377859#275</v>
          </cell>
          <cell r="H343" t="str">
            <v>Nordea Funds Oy</v>
          </cell>
        </row>
        <row r="344">
          <cell r="B344" t="str">
            <v>17377859#276</v>
          </cell>
          <cell r="H344" t="str">
            <v>Nordea Funds Oy</v>
          </cell>
        </row>
        <row r="345">
          <cell r="B345" t="str">
            <v>17377859#277</v>
          </cell>
          <cell r="H345" t="str">
            <v>Nordea Funds Oy</v>
          </cell>
        </row>
        <row r="346">
          <cell r="B346" t="str">
            <v>17377859#278</v>
          </cell>
          <cell r="H346" t="str">
            <v>Nordea Funds Oy</v>
          </cell>
        </row>
        <row r="347">
          <cell r="B347" t="str">
            <v>17956316#001</v>
          </cell>
          <cell r="H347" t="str">
            <v>Sp-Rahastoyhtiö Oy</v>
          </cell>
        </row>
        <row r="348">
          <cell r="B348" t="str">
            <v>17956316#002</v>
          </cell>
          <cell r="H348" t="str">
            <v>Sp-Rahastoyhtiö Oy</v>
          </cell>
        </row>
        <row r="349">
          <cell r="B349" t="str">
            <v>17956316#003</v>
          </cell>
          <cell r="H349" t="str">
            <v>Sp-Rahastoyhtiö Oy</v>
          </cell>
        </row>
        <row r="350">
          <cell r="B350" t="str">
            <v>17956316#004</v>
          </cell>
          <cell r="H350" t="str">
            <v>Sp-Rahastoyhtiö Oy</v>
          </cell>
        </row>
        <row r="351">
          <cell r="B351" t="str">
            <v>17956316#006</v>
          </cell>
          <cell r="H351" t="str">
            <v>Sp-Rahastoyhtiö Oy</v>
          </cell>
        </row>
        <row r="352">
          <cell r="B352" t="str">
            <v>17956316#007</v>
          </cell>
          <cell r="H352" t="str">
            <v>Sp-Rahastoyhtiö Oy</v>
          </cell>
        </row>
        <row r="353">
          <cell r="B353" t="str">
            <v>17956316#008</v>
          </cell>
          <cell r="H353" t="str">
            <v>Sp-Rahastoyhtiö Oy</v>
          </cell>
        </row>
        <row r="354">
          <cell r="B354" t="str">
            <v>17956316#009</v>
          </cell>
          <cell r="H354" t="str">
            <v>Sp-Rahastoyhtiö Oy</v>
          </cell>
        </row>
        <row r="355">
          <cell r="B355" t="str">
            <v>17956316#010</v>
          </cell>
          <cell r="H355" t="str">
            <v>Sp-Rahastoyhtiö Oy</v>
          </cell>
        </row>
        <row r="356">
          <cell r="B356" t="str">
            <v>17956316#012</v>
          </cell>
          <cell r="H356" t="str">
            <v>Sp-Rahastoyhtiö Oy</v>
          </cell>
        </row>
        <row r="357">
          <cell r="B357" t="str">
            <v>17956316#013</v>
          </cell>
          <cell r="H357" t="str">
            <v>Sp-Rahastoyhtiö Oy</v>
          </cell>
        </row>
        <row r="358">
          <cell r="B358" t="str">
            <v>17956316#014</v>
          </cell>
          <cell r="H358" t="str">
            <v>Sp-Rahastoyhtiö Oy</v>
          </cell>
        </row>
        <row r="359">
          <cell r="B359" t="str">
            <v>17956316#015</v>
          </cell>
          <cell r="H359" t="str">
            <v>Sp-Rahastoyhtiö Oy</v>
          </cell>
        </row>
        <row r="360">
          <cell r="B360" t="str">
            <v>17956316#018</v>
          </cell>
          <cell r="H360" t="str">
            <v>Sp-Rahastoyhtiö Oy</v>
          </cell>
        </row>
        <row r="361">
          <cell r="B361" t="str">
            <v>17956316#022</v>
          </cell>
          <cell r="H361" t="str">
            <v>Sp-Rahastoyhtiö Oy</v>
          </cell>
        </row>
        <row r="362">
          <cell r="B362" t="str">
            <v>17956316#028</v>
          </cell>
          <cell r="H362" t="str">
            <v>Sp-Rahastoyhtiö Oy</v>
          </cell>
        </row>
        <row r="363">
          <cell r="B363" t="str">
            <v>17956316#029</v>
          </cell>
          <cell r="H363" t="str">
            <v>Sp-Rahastoyhtiö Oy</v>
          </cell>
        </row>
        <row r="364">
          <cell r="B364" t="str">
            <v>17956316#030</v>
          </cell>
          <cell r="H364" t="str">
            <v>Sp-Rahastoyhtiö Oy</v>
          </cell>
        </row>
        <row r="365">
          <cell r="B365" t="str">
            <v>17956316#031</v>
          </cell>
          <cell r="H365" t="str">
            <v>Sp-Rahastoyhtiö Oy</v>
          </cell>
        </row>
        <row r="366">
          <cell r="B366" t="str">
            <v>17956316#032</v>
          </cell>
          <cell r="H366" t="str">
            <v>Sp-Rahastoyhtiö Oy</v>
          </cell>
        </row>
        <row r="367">
          <cell r="B367" t="str">
            <v>17956316#033</v>
          </cell>
          <cell r="H367" t="str">
            <v>Sp-Rahastoyhtiö Oy</v>
          </cell>
        </row>
        <row r="368">
          <cell r="B368" t="str">
            <v>17956316#034</v>
          </cell>
          <cell r="H368" t="str">
            <v>Sp-Rahastoyhtiö Oy</v>
          </cell>
        </row>
        <row r="369">
          <cell r="B369" t="str">
            <v>17956316#035</v>
          </cell>
          <cell r="H369" t="str">
            <v>Sp-Rahastoyhtiö Oy</v>
          </cell>
        </row>
        <row r="370">
          <cell r="B370" t="str">
            <v>17956316#036</v>
          </cell>
          <cell r="H370" t="str">
            <v>Sp-Rahastoyhtiö Oy</v>
          </cell>
        </row>
        <row r="371">
          <cell r="B371" t="str">
            <v>17956316#038</v>
          </cell>
          <cell r="H371" t="str">
            <v>Sp-Rahastoyhtiö Oy</v>
          </cell>
        </row>
        <row r="372">
          <cell r="B372" t="str">
            <v>18300220#027</v>
          </cell>
          <cell r="H372" t="str">
            <v>GRIT Rahastoyhtiö Oy</v>
          </cell>
        </row>
        <row r="373">
          <cell r="B373" t="str">
            <v>18300220#040</v>
          </cell>
          <cell r="H373" t="str">
            <v>GRIT Rahastoyhtiö Oy</v>
          </cell>
        </row>
        <row r="374">
          <cell r="B374" t="str">
            <v>18300220#041</v>
          </cell>
          <cell r="H374" t="str">
            <v>GRIT Rahastoyhtiö Oy</v>
          </cell>
        </row>
        <row r="375">
          <cell r="B375" t="str">
            <v>20628401#024</v>
          </cell>
          <cell r="H375" t="str">
            <v>Aktia Rahastoyhtiö Oy</v>
          </cell>
        </row>
        <row r="376">
          <cell r="B376" t="str">
            <v>20628401#035</v>
          </cell>
          <cell r="H376" t="str">
            <v>Aktia Rahastoyhtiö Oy</v>
          </cell>
        </row>
        <row r="377">
          <cell r="B377" t="str">
            <v>20628401#036</v>
          </cell>
          <cell r="H377" t="str">
            <v>Aktia Rahastoyhtiö Oy</v>
          </cell>
        </row>
        <row r="378">
          <cell r="B378" t="str">
            <v>20628401#059</v>
          </cell>
          <cell r="H378" t="str">
            <v>Aktia Rahastoyhtiö Oy</v>
          </cell>
        </row>
        <row r="379">
          <cell r="B379" t="str">
            <v>20628401#060</v>
          </cell>
          <cell r="H379" t="str">
            <v>Aktia Rahastoyhtiö Oy</v>
          </cell>
        </row>
        <row r="380">
          <cell r="B380" t="str">
            <v>20628401#061</v>
          </cell>
          <cell r="H380" t="str">
            <v>Aktia Rahastoyhtiö Oy</v>
          </cell>
        </row>
        <row r="381">
          <cell r="B381" t="str">
            <v>20628401#062</v>
          </cell>
          <cell r="H381" t="str">
            <v>Aktia Rahastoyhtiö Oy</v>
          </cell>
        </row>
        <row r="382">
          <cell r="B382" t="str">
            <v>20628401#063</v>
          </cell>
          <cell r="H382" t="str">
            <v>Aktia Rahastoyhtiö Oy</v>
          </cell>
        </row>
        <row r="383">
          <cell r="B383" t="str">
            <v>20628401#064</v>
          </cell>
          <cell r="H383" t="str">
            <v>Aktia Rahastoyhtiö Oy</v>
          </cell>
        </row>
        <row r="384">
          <cell r="B384" t="str">
            <v>20628401#065</v>
          </cell>
          <cell r="H384" t="str">
            <v>Aktia Rahastoyhtiö Oy</v>
          </cell>
        </row>
        <row r="385">
          <cell r="B385" t="str">
            <v>20628401#066</v>
          </cell>
          <cell r="H385" t="str">
            <v>Aktia Rahastoyhtiö Oy</v>
          </cell>
        </row>
        <row r="386">
          <cell r="B386" t="str">
            <v>20628401#067</v>
          </cell>
          <cell r="H386" t="str">
            <v>Aktia Rahastoyhtiö Oy</v>
          </cell>
        </row>
        <row r="387">
          <cell r="B387" t="str">
            <v>20628401#068</v>
          </cell>
          <cell r="H387" t="str">
            <v>Aktia Rahastoyhtiö Oy</v>
          </cell>
        </row>
        <row r="388">
          <cell r="B388" t="str">
            <v>20628401#069</v>
          </cell>
          <cell r="H388" t="str">
            <v>Aktia Rahastoyhtiö Oy</v>
          </cell>
        </row>
        <row r="389">
          <cell r="B389" t="str">
            <v>20628401#070</v>
          </cell>
          <cell r="H389" t="str">
            <v>Aktia Rahastoyhtiö Oy</v>
          </cell>
        </row>
        <row r="390">
          <cell r="B390" t="str">
            <v>20628401#071</v>
          </cell>
          <cell r="H390" t="str">
            <v>Aktia Rahastoyhtiö Oy</v>
          </cell>
        </row>
        <row r="391">
          <cell r="B391" t="str">
            <v>20628401#072</v>
          </cell>
          <cell r="H391" t="str">
            <v>Aktia Rahastoyhtiö Oy</v>
          </cell>
        </row>
        <row r="392">
          <cell r="B392" t="str">
            <v>20628401#073</v>
          </cell>
          <cell r="H392" t="str">
            <v>Aktia Rahastoyhtiö Oy</v>
          </cell>
        </row>
        <row r="393">
          <cell r="B393" t="str">
            <v>20628401#074</v>
          </cell>
          <cell r="H393" t="str">
            <v>Aktia Rahastoyhtiö Oy</v>
          </cell>
        </row>
        <row r="394">
          <cell r="B394" t="str">
            <v>20628401#075</v>
          </cell>
          <cell r="H394" t="str">
            <v>Aktia Rahastoyhtiö Oy</v>
          </cell>
        </row>
        <row r="395">
          <cell r="B395" t="str">
            <v>20628401#077</v>
          </cell>
          <cell r="H395" t="str">
            <v>Aktia Rahastoyhtiö Oy</v>
          </cell>
        </row>
        <row r="396">
          <cell r="B396" t="str">
            <v>20628401#079</v>
          </cell>
          <cell r="H396" t="str">
            <v>Aktia Rahastoyhtiö Oy</v>
          </cell>
        </row>
        <row r="397">
          <cell r="B397" t="str">
            <v>20628401#080</v>
          </cell>
          <cell r="H397" t="str">
            <v>Aktia Rahastoyhtiö Oy</v>
          </cell>
        </row>
        <row r="398">
          <cell r="B398" t="str">
            <v>20628401#082</v>
          </cell>
          <cell r="H398" t="str">
            <v>Aktia Rahastoyhtiö Oy</v>
          </cell>
        </row>
        <row r="399">
          <cell r="B399" t="str">
            <v>20628401#084</v>
          </cell>
          <cell r="H399" t="str">
            <v>Aktia Rahastoyhtiö Oy</v>
          </cell>
        </row>
        <row r="400">
          <cell r="B400" t="str">
            <v>20628401#085</v>
          </cell>
          <cell r="H400" t="str">
            <v>Aktia Rahastoyhtiö Oy</v>
          </cell>
        </row>
        <row r="401">
          <cell r="B401" t="str">
            <v>20628401#086</v>
          </cell>
          <cell r="H401" t="str">
            <v>Aktia Rahastoyhtiö Oy</v>
          </cell>
        </row>
        <row r="402">
          <cell r="B402" t="str">
            <v>20628401#111</v>
          </cell>
          <cell r="H402" t="str">
            <v>Aktia Rahastoyhtiö Oy</v>
          </cell>
        </row>
        <row r="403">
          <cell r="B403" t="str">
            <v>20628401#112</v>
          </cell>
          <cell r="H403" t="str">
            <v>Aktia Rahastoyhtiö Oy</v>
          </cell>
        </row>
        <row r="404">
          <cell r="B404" t="str">
            <v>20628401#113</v>
          </cell>
          <cell r="H404" t="str">
            <v>Aktia Rahastoyhtiö Oy</v>
          </cell>
        </row>
        <row r="405">
          <cell r="B405" t="str">
            <v>20628401#114</v>
          </cell>
          <cell r="H405" t="str">
            <v>Aktia Rahastoyhtiö Oy</v>
          </cell>
        </row>
        <row r="406">
          <cell r="B406" t="str">
            <v>21181015#012</v>
          </cell>
          <cell r="H406" t="str">
            <v>UB Rahastoyhtiö Oy</v>
          </cell>
        </row>
        <row r="407">
          <cell r="B407" t="str">
            <v>21181015#013</v>
          </cell>
          <cell r="H407" t="str">
            <v>UB Rahastoyhtiö Oy</v>
          </cell>
        </row>
        <row r="408">
          <cell r="B408" t="str">
            <v>21181015#014</v>
          </cell>
          <cell r="H408" t="str">
            <v>UB Rahastoyhtiö Oy</v>
          </cell>
        </row>
        <row r="409">
          <cell r="B409" t="str">
            <v>21181015#015</v>
          </cell>
          <cell r="H409" t="str">
            <v>UB Rahastoyhtiö Oy</v>
          </cell>
        </row>
        <row r="410">
          <cell r="B410" t="str">
            <v>21181015#017</v>
          </cell>
          <cell r="H410" t="str">
            <v>UB Rahastoyhtiö Oy</v>
          </cell>
        </row>
        <row r="411">
          <cell r="B411" t="str">
            <v>21181015#018</v>
          </cell>
          <cell r="H411" t="str">
            <v>UB Rahastoyhtiö Oy</v>
          </cell>
        </row>
        <row r="412">
          <cell r="B412" t="str">
            <v>21181015#019</v>
          </cell>
          <cell r="H412" t="str">
            <v>UB Rahastoyhtiö Oy</v>
          </cell>
        </row>
        <row r="413">
          <cell r="B413" t="str">
            <v>21181015#022</v>
          </cell>
          <cell r="H413" t="str">
            <v>UB Rahastoyhtiö Oy</v>
          </cell>
        </row>
        <row r="414">
          <cell r="B414" t="str">
            <v>21181015#024</v>
          </cell>
          <cell r="H414" t="str">
            <v>UB Rahastoyhtiö Oy</v>
          </cell>
        </row>
        <row r="415">
          <cell r="B415" t="str">
            <v>21181015#045</v>
          </cell>
          <cell r="H415" t="str">
            <v>UB Rahastoyhtiö Oy</v>
          </cell>
        </row>
        <row r="416">
          <cell r="B416" t="str">
            <v>21181015#049</v>
          </cell>
          <cell r="H416" t="str">
            <v>UB Rahastoyhtiö Oy</v>
          </cell>
        </row>
        <row r="417">
          <cell r="B417" t="str">
            <v>22888047#005</v>
          </cell>
          <cell r="H417" t="str">
            <v>Titanium Rahastoyhtiö Oy</v>
          </cell>
        </row>
        <row r="418">
          <cell r="B418" t="str">
            <v>22888047#008</v>
          </cell>
          <cell r="H418" t="str">
            <v>Titanium Rahastoyhtiö Oy</v>
          </cell>
        </row>
        <row r="419">
          <cell r="B419" t="str">
            <v>22888047#009</v>
          </cell>
          <cell r="H419" t="str">
            <v>Titanium Rahastoyhtiö Oy</v>
          </cell>
        </row>
        <row r="420">
          <cell r="B420" t="str">
            <v>22954454#002</v>
          </cell>
          <cell r="H420" t="str">
            <v>Investors House Rahastot Oy</v>
          </cell>
        </row>
        <row r="421">
          <cell r="B421" t="str">
            <v>22954454#005</v>
          </cell>
          <cell r="H421" t="str">
            <v>Investors House Rahastot Oy</v>
          </cell>
        </row>
        <row r="422">
          <cell r="B422" t="str">
            <v>23245609#015</v>
          </cell>
          <cell r="H422" t="str">
            <v>Finlandia Rahastoyhtiö Oy</v>
          </cell>
        </row>
        <row r="423">
          <cell r="B423" t="str">
            <v>23245609#016</v>
          </cell>
          <cell r="H423" t="str">
            <v>Finlandia Rahastoyhtiö Oy</v>
          </cell>
        </row>
        <row r="424">
          <cell r="B424" t="str">
            <v>23245609#017</v>
          </cell>
          <cell r="H424" t="str">
            <v>Finlandia Rahastoyhtiö Oy</v>
          </cell>
        </row>
        <row r="425">
          <cell r="B425" t="str">
            <v>23245609#021</v>
          </cell>
          <cell r="H425" t="str">
            <v>Finlandia Rahastoyhtiö Oy</v>
          </cell>
        </row>
        <row r="426">
          <cell r="B426" t="str">
            <v>28233658#001</v>
          </cell>
          <cell r="H426" t="str">
            <v>Obsido Rahastoyhtiö Oy</v>
          </cell>
        </row>
        <row r="427">
          <cell r="B427" t="str">
            <v>31417319#001</v>
          </cell>
          <cell r="H427" t="str">
            <v>Fourton Oy</v>
          </cell>
        </row>
        <row r="428">
          <cell r="B428" t="str">
            <v>31417319#004</v>
          </cell>
          <cell r="H428" t="str">
            <v>Fourton Oy</v>
          </cell>
        </row>
        <row r="429">
          <cell r="B429" t="str">
            <v>31417319#005</v>
          </cell>
          <cell r="H429" t="str">
            <v>Fourton Oy</v>
          </cell>
        </row>
        <row r="430">
          <cell r="B430" t="str">
            <v>31417319#006</v>
          </cell>
          <cell r="H430" t="str">
            <v>Fourton Oy</v>
          </cell>
        </row>
        <row r="431">
          <cell r="B431" t="str">
            <v/>
          </cell>
          <cell r="H431" t="str">
            <v/>
          </cell>
        </row>
        <row r="432">
          <cell r="B432" t="str">
            <v>Erikoissijoitusrahastot (Non-UCITS)</v>
          </cell>
          <cell r="H432" t="str">
            <v/>
          </cell>
        </row>
        <row r="433">
          <cell r="B433" t="str">
            <v>Specialplaceringsfonder (Non-UCITS)</v>
          </cell>
          <cell r="H433" t="str">
            <v/>
          </cell>
        </row>
        <row r="434">
          <cell r="B434" t="str">
            <v>Special investment funds (Non-UCITS)</v>
          </cell>
          <cell r="H434" t="str">
            <v/>
          </cell>
        </row>
        <row r="435">
          <cell r="B435" t="str">
            <v/>
          </cell>
          <cell r="H435" t="str">
            <v/>
          </cell>
        </row>
        <row r="436">
          <cell r="B436" t="str">
            <v>06652755#001</v>
          </cell>
          <cell r="H436" t="str">
            <v>PYN Fund Management Oy</v>
          </cell>
        </row>
        <row r="437">
          <cell r="B437" t="str">
            <v>06716026#016</v>
          </cell>
          <cell r="H437" t="str">
            <v>Danske Invest Rahastoyhtiö Oy</v>
          </cell>
        </row>
        <row r="438">
          <cell r="B438" t="str">
            <v>07360527#040</v>
          </cell>
          <cell r="H438" t="str">
            <v>eQ Rahastoyhtiö Oy</v>
          </cell>
        </row>
        <row r="439">
          <cell r="B439" t="str">
            <v>07360527#044</v>
          </cell>
          <cell r="H439" t="str">
            <v>eQ Rahastoyhtiö Oy</v>
          </cell>
        </row>
        <row r="440">
          <cell r="B440" t="str">
            <v>07360527#046</v>
          </cell>
          <cell r="H440" t="str">
            <v>eQ Rahastoyhtiö Oy</v>
          </cell>
        </row>
        <row r="441">
          <cell r="B441" t="str">
            <v>07360527#047</v>
          </cell>
          <cell r="H441" t="str">
            <v>eQ Rahastoyhtiö Oy</v>
          </cell>
        </row>
        <row r="442">
          <cell r="B442" t="str">
            <v>07360527#048</v>
          </cell>
          <cell r="H442" t="str">
            <v>eQ Rahastoyhtiö Oy</v>
          </cell>
        </row>
        <row r="443">
          <cell r="B443" t="str">
            <v>07360527#051</v>
          </cell>
          <cell r="H443" t="str">
            <v>eQ Rahastoyhtiö Oy</v>
          </cell>
        </row>
        <row r="444">
          <cell r="B444" t="str">
            <v>07360527#052</v>
          </cell>
          <cell r="H444" t="str">
            <v>eQ Rahastoyhtiö Oy</v>
          </cell>
        </row>
        <row r="445">
          <cell r="B445" t="str">
            <v>07360527#060</v>
          </cell>
          <cell r="H445" t="str">
            <v>eQ Rahastoyhtiö Oy</v>
          </cell>
        </row>
        <row r="446">
          <cell r="B446" t="str">
            <v>07360527#070</v>
          </cell>
          <cell r="H446" t="str">
            <v>eQ Rahastoyhtiö Oy</v>
          </cell>
        </row>
        <row r="447">
          <cell r="B447" t="str">
            <v>07360527#081</v>
          </cell>
          <cell r="H447" t="str">
            <v>eQ Rahastoyhtiö Oy</v>
          </cell>
        </row>
        <row r="448">
          <cell r="B448" t="str">
            <v>07360527#082</v>
          </cell>
          <cell r="H448" t="str">
            <v>eQ Rahastoyhtiö Oy</v>
          </cell>
        </row>
        <row r="449">
          <cell r="B449" t="str">
            <v>07360527#083</v>
          </cell>
          <cell r="H449" t="str">
            <v>eQ Rahastoyhtiö Oy</v>
          </cell>
        </row>
        <row r="450">
          <cell r="B450" t="str">
            <v>07360527#085</v>
          </cell>
          <cell r="H450" t="str">
            <v>eQ Rahastoyhtiö Oy</v>
          </cell>
        </row>
        <row r="451">
          <cell r="B451" t="str">
            <v>07360527#086</v>
          </cell>
          <cell r="H451" t="str">
            <v>eQ Rahastoyhtiö Oy</v>
          </cell>
        </row>
        <row r="452">
          <cell r="B452" t="str">
            <v>07360527#088</v>
          </cell>
          <cell r="H452" t="str">
            <v>eQ Rahastoyhtiö Oy</v>
          </cell>
        </row>
        <row r="453">
          <cell r="B453" t="str">
            <v>07360527#089</v>
          </cell>
          <cell r="H453" t="str">
            <v>eQ Rahastoyhtiö Oy</v>
          </cell>
        </row>
        <row r="454">
          <cell r="B454" t="str">
            <v>07360527#090</v>
          </cell>
          <cell r="H454" t="str">
            <v>eQ Rahastoyhtiö Oy</v>
          </cell>
        </row>
        <row r="455">
          <cell r="B455" t="str">
            <v>07360527#092</v>
          </cell>
          <cell r="H455" t="str">
            <v>eQ Rahastoyhtiö Oy</v>
          </cell>
        </row>
        <row r="456">
          <cell r="B456" t="str">
            <v>07360527#094</v>
          </cell>
          <cell r="H456" t="str">
            <v>eQ Rahastoyhtiö Oy</v>
          </cell>
        </row>
        <row r="457">
          <cell r="B457" t="str">
            <v>07360527#095</v>
          </cell>
          <cell r="H457" t="str">
            <v>eQ Rahastoyhtiö Oy</v>
          </cell>
        </row>
        <row r="458">
          <cell r="B458" t="str">
            <v>07360527#096</v>
          </cell>
          <cell r="H458" t="str">
            <v>eQ Rahastoyhtiö Oy</v>
          </cell>
        </row>
        <row r="459">
          <cell r="B459" t="str">
            <v>07360527#097</v>
          </cell>
          <cell r="H459" t="str">
            <v>eQ Rahastoyhtiö Oy</v>
          </cell>
        </row>
        <row r="460">
          <cell r="B460" t="str">
            <v>07360527#098</v>
          </cell>
          <cell r="H460" t="str">
            <v>eQ Rahastoyhtiö Oy</v>
          </cell>
        </row>
        <row r="461">
          <cell r="B461" t="str">
            <v>07360527#099</v>
          </cell>
          <cell r="H461" t="str">
            <v>eQ Rahastoyhtiö Oy</v>
          </cell>
        </row>
        <row r="462">
          <cell r="B462" t="str">
            <v>07360527#101</v>
          </cell>
          <cell r="H462" t="str">
            <v>eQ Rahastoyhtiö Oy</v>
          </cell>
        </row>
        <row r="463">
          <cell r="B463" t="str">
            <v>07360527#102</v>
          </cell>
          <cell r="H463" t="str">
            <v>eQ Rahastoyhtiö Oy</v>
          </cell>
        </row>
        <row r="464">
          <cell r="B464" t="str">
            <v>07360527#104</v>
          </cell>
          <cell r="H464" t="str">
            <v>eQ Rahastoyhtiö Oy</v>
          </cell>
        </row>
        <row r="465">
          <cell r="B465" t="str">
            <v>07360527#105</v>
          </cell>
          <cell r="H465" t="str">
            <v>eQ Rahastoyhtiö Oy</v>
          </cell>
        </row>
        <row r="466">
          <cell r="B466" t="str">
            <v>07360527#106</v>
          </cell>
          <cell r="H466" t="str">
            <v>eQ Rahastoyhtiö Oy</v>
          </cell>
        </row>
        <row r="467">
          <cell r="B467" t="str">
            <v>07360527#108</v>
          </cell>
          <cell r="H467" t="str">
            <v>eQ Rahastoyhtiö Oy</v>
          </cell>
        </row>
        <row r="468">
          <cell r="B468" t="str">
            <v>07360527#111</v>
          </cell>
          <cell r="H468" t="str">
            <v>eQ Rahastoyhtiö Oy</v>
          </cell>
        </row>
        <row r="469">
          <cell r="B469" t="str">
            <v>07360527#112</v>
          </cell>
          <cell r="H469" t="str">
            <v>eQ Rahastoyhtiö Oy</v>
          </cell>
        </row>
        <row r="470">
          <cell r="B470" t="str">
            <v>07360527#114</v>
          </cell>
          <cell r="H470" t="str">
            <v>eQ Rahastoyhtiö Oy</v>
          </cell>
        </row>
        <row r="471">
          <cell r="B471" t="str">
            <v>07360527#115</v>
          </cell>
          <cell r="H471" t="str">
            <v>eQ Rahastoyhtiö Oy</v>
          </cell>
        </row>
        <row r="472">
          <cell r="B472" t="str">
            <v>07360527#117</v>
          </cell>
          <cell r="H472" t="str">
            <v>eQ Rahastoyhtiö Oy</v>
          </cell>
        </row>
        <row r="473">
          <cell r="B473" t="str">
            <v>07360527#118</v>
          </cell>
          <cell r="H473" t="str">
            <v>eQ Rahastoyhtiö Oy</v>
          </cell>
        </row>
        <row r="474">
          <cell r="B474" t="str">
            <v>07360527#119</v>
          </cell>
          <cell r="H474" t="str">
            <v>eQ Rahastoyhtiö Oy</v>
          </cell>
        </row>
        <row r="475">
          <cell r="B475" t="str">
            <v>07360527#120</v>
          </cell>
          <cell r="H475" t="str">
            <v>eQ Rahastoyhtiö Oy</v>
          </cell>
        </row>
        <row r="476">
          <cell r="B476" t="str">
            <v>07360527#121</v>
          </cell>
          <cell r="H476" t="str">
            <v>eQ Rahastoyhtiö Oy</v>
          </cell>
        </row>
        <row r="477">
          <cell r="B477" t="str">
            <v>07360527#123</v>
          </cell>
          <cell r="H477" t="str">
            <v>eQ Rahastoyhtiö Oy</v>
          </cell>
        </row>
        <row r="478">
          <cell r="B478" t="str">
            <v>07360527#125</v>
          </cell>
          <cell r="H478" t="str">
            <v>eQ Rahastoyhtiö Oy</v>
          </cell>
        </row>
        <row r="479">
          <cell r="B479" t="str">
            <v>07360527#127</v>
          </cell>
          <cell r="H479" t="str">
            <v>eQ Rahastoyhtiö Oy</v>
          </cell>
        </row>
        <row r="480">
          <cell r="B480" t="str">
            <v>07360527#128</v>
          </cell>
          <cell r="H480" t="str">
            <v>eQ Rahastoyhtiö Oy</v>
          </cell>
        </row>
        <row r="481">
          <cell r="B481" t="str">
            <v>07360527#130</v>
          </cell>
          <cell r="H481" t="str">
            <v>eQ Rahastoyhtiö Oy</v>
          </cell>
        </row>
        <row r="482">
          <cell r="B482" t="str">
            <v>07360527#131</v>
          </cell>
          <cell r="H482" t="str">
            <v>eQ Rahastoyhtiö Oy</v>
          </cell>
        </row>
        <row r="483">
          <cell r="B483" t="str">
            <v>07360527#132</v>
          </cell>
          <cell r="H483" t="str">
            <v>eQ Rahastoyhtiö Oy</v>
          </cell>
        </row>
        <row r="484">
          <cell r="B484" t="str">
            <v>07360527#134</v>
          </cell>
          <cell r="H484" t="str">
            <v>eQ Rahastoyhtiö Oy</v>
          </cell>
        </row>
        <row r="485">
          <cell r="B485" t="str">
            <v>07360527#135</v>
          </cell>
          <cell r="H485" t="str">
            <v>eQ Rahastoyhtiö Oy</v>
          </cell>
        </row>
        <row r="486">
          <cell r="B486" t="str">
            <v>07360527#136</v>
          </cell>
          <cell r="H486" t="str">
            <v>eQ Rahastoyhtiö Oy</v>
          </cell>
        </row>
        <row r="487">
          <cell r="B487" t="str">
            <v>07360527#138</v>
          </cell>
          <cell r="H487" t="str">
            <v>eQ Rahastoyhtiö Oy</v>
          </cell>
        </row>
        <row r="488">
          <cell r="B488" t="str">
            <v>07360527#141</v>
          </cell>
          <cell r="H488" t="str">
            <v>eQ Rahastoyhtiö Oy</v>
          </cell>
        </row>
        <row r="489">
          <cell r="B489" t="str">
            <v>07360527#143</v>
          </cell>
          <cell r="H489" t="str">
            <v>eQ Rahastoyhtiö Oy</v>
          </cell>
        </row>
        <row r="490">
          <cell r="B490" t="str">
            <v>07439622#105</v>
          </cell>
          <cell r="H490" t="str">
            <v>OP-Rahastoyhtiö Oy</v>
          </cell>
        </row>
        <row r="491">
          <cell r="B491" t="str">
            <v>07439622#113</v>
          </cell>
          <cell r="H491" t="str">
            <v>OP-Rahastoyhtiö Oy</v>
          </cell>
        </row>
        <row r="492">
          <cell r="B492" t="str">
            <v>07439622#114</v>
          </cell>
          <cell r="H492" t="str">
            <v>OP-Rahastoyhtiö Oy</v>
          </cell>
        </row>
        <row r="493">
          <cell r="B493" t="str">
            <v>07439622#115</v>
          </cell>
          <cell r="H493" t="str">
            <v>OP-Rahastoyhtiö Oy</v>
          </cell>
        </row>
        <row r="494">
          <cell r="B494" t="str">
            <v>07439622#116</v>
          </cell>
          <cell r="H494" t="str">
            <v>OP-Rahastoyhtiö Oy</v>
          </cell>
        </row>
        <row r="495">
          <cell r="B495" t="str">
            <v>07439622#117</v>
          </cell>
          <cell r="H495" t="str">
            <v>OP-Rahastoyhtiö Oy</v>
          </cell>
        </row>
        <row r="496">
          <cell r="B496" t="str">
            <v>07439622#118</v>
          </cell>
          <cell r="H496" t="str">
            <v>OP-Rahastoyhtiö Oy</v>
          </cell>
        </row>
        <row r="497">
          <cell r="B497" t="str">
            <v>07439622#130</v>
          </cell>
          <cell r="H497" t="str">
            <v>OP-Rahastoyhtiö Oy</v>
          </cell>
        </row>
        <row r="498">
          <cell r="B498" t="str">
            <v>07439622#132</v>
          </cell>
          <cell r="H498" t="str">
            <v>OP-Rahastoyhtiö Oy</v>
          </cell>
        </row>
        <row r="499">
          <cell r="B499" t="str">
            <v>07439622#145</v>
          </cell>
          <cell r="H499" t="str">
            <v>OP-Rahastoyhtiö Oy</v>
          </cell>
        </row>
        <row r="500">
          <cell r="B500" t="str">
            <v>07439622#147</v>
          </cell>
          <cell r="H500" t="str">
            <v>OP-Rahastoyhtiö Oy</v>
          </cell>
        </row>
        <row r="501">
          <cell r="B501" t="str">
            <v>07439622#149</v>
          </cell>
          <cell r="H501" t="str">
            <v>OP-Rahastoyhtiö Oy</v>
          </cell>
        </row>
        <row r="502">
          <cell r="B502" t="str">
            <v>07439622#150</v>
          </cell>
          <cell r="H502" t="str">
            <v>OP-Rahastoyhtiö Oy</v>
          </cell>
        </row>
        <row r="503">
          <cell r="B503" t="str">
            <v>07439622#152</v>
          </cell>
          <cell r="H503" t="str">
            <v>OP-Rahastoyhtiö Oy</v>
          </cell>
        </row>
        <row r="504">
          <cell r="B504" t="str">
            <v>07446590#077</v>
          </cell>
          <cell r="H504" t="str">
            <v>Evli-Rahastoyhtiö Oy</v>
          </cell>
        </row>
        <row r="505">
          <cell r="B505" t="str">
            <v>07446590#083</v>
          </cell>
          <cell r="H505" t="str">
            <v>Evli-Rahastoyhtiö Oy</v>
          </cell>
        </row>
        <row r="506">
          <cell r="B506" t="str">
            <v>07446590#088</v>
          </cell>
          <cell r="H506" t="str">
            <v>Evli-Rahastoyhtiö Oy</v>
          </cell>
        </row>
        <row r="507">
          <cell r="B507" t="str">
            <v>07446590#108</v>
          </cell>
          <cell r="H507" t="str">
            <v>Evli-Rahastoyhtiö Oy</v>
          </cell>
        </row>
        <row r="508">
          <cell r="B508" t="str">
            <v>07446590#134</v>
          </cell>
          <cell r="H508" t="str">
            <v>Evli-Rahastoyhtiö Oy</v>
          </cell>
        </row>
        <row r="509">
          <cell r="B509" t="str">
            <v>07446590#141</v>
          </cell>
          <cell r="H509" t="str">
            <v>Evli-Rahastoyhtiö Oy</v>
          </cell>
        </row>
        <row r="510">
          <cell r="B510" t="str">
            <v>07446590#144</v>
          </cell>
          <cell r="H510" t="str">
            <v>Evli-Rahastoyhtiö Oy</v>
          </cell>
        </row>
        <row r="511">
          <cell r="B511" t="str">
            <v>07446590#145</v>
          </cell>
          <cell r="H511" t="str">
            <v>Evli-Rahastoyhtiö Oy</v>
          </cell>
        </row>
        <row r="512">
          <cell r="B512" t="str">
            <v>07446590#161</v>
          </cell>
          <cell r="H512" t="str">
            <v>Evli-Rahastoyhtiö Oy</v>
          </cell>
        </row>
        <row r="513">
          <cell r="B513" t="str">
            <v>07446590#179</v>
          </cell>
          <cell r="H513" t="str">
            <v>Evli-Rahastoyhtiö Oy</v>
          </cell>
        </row>
        <row r="514">
          <cell r="B514" t="str">
            <v>07446590#180</v>
          </cell>
          <cell r="H514" t="str">
            <v>Evli-Rahastoyhtiö Oy</v>
          </cell>
        </row>
        <row r="515">
          <cell r="B515" t="str">
            <v>09791339#034</v>
          </cell>
          <cell r="H515" t="str">
            <v>S-Pankki Rahastoyhtiö Oy</v>
          </cell>
        </row>
        <row r="516">
          <cell r="B516" t="str">
            <v>09791339#074</v>
          </cell>
          <cell r="H516" t="str">
            <v>S-Pankki Rahastoyhtiö Oy</v>
          </cell>
        </row>
        <row r="517">
          <cell r="B517" t="str">
            <v>09791339#077</v>
          </cell>
          <cell r="H517" t="str">
            <v>S-Pankki Rahastoyhtiö Oy</v>
          </cell>
        </row>
        <row r="518">
          <cell r="B518" t="str">
            <v>09791339#091</v>
          </cell>
          <cell r="H518" t="str">
            <v>S-Pankki Rahastoyhtiö Oy</v>
          </cell>
        </row>
        <row r="519">
          <cell r="B519" t="str">
            <v>09791339#092</v>
          </cell>
          <cell r="H519" t="str">
            <v>S-Pankki Rahastoyhtiö Oy</v>
          </cell>
        </row>
        <row r="520">
          <cell r="B520" t="str">
            <v>09791339#093</v>
          </cell>
          <cell r="H520" t="str">
            <v>S-Pankki Rahastoyhtiö Oy</v>
          </cell>
        </row>
        <row r="521">
          <cell r="B521" t="str">
            <v>09791339#094</v>
          </cell>
          <cell r="H521" t="str">
            <v>S-Pankki Rahastoyhtiö Oy</v>
          </cell>
        </row>
        <row r="522">
          <cell r="B522" t="str">
            <v>09791339#095</v>
          </cell>
          <cell r="H522" t="str">
            <v>S-Pankki Rahastoyhtiö Oy</v>
          </cell>
        </row>
        <row r="523">
          <cell r="B523" t="str">
            <v>09791339#112</v>
          </cell>
          <cell r="H523" t="str">
            <v>S-Pankki Rahastoyhtiö Oy</v>
          </cell>
        </row>
        <row r="524">
          <cell r="B524" t="str">
            <v>14713626#023</v>
          </cell>
          <cell r="H524" t="str">
            <v>Ålandsbanken Fondbolag Ab</v>
          </cell>
        </row>
        <row r="525">
          <cell r="B525" t="str">
            <v>14713626#030</v>
          </cell>
          <cell r="H525" t="str">
            <v>Ålandsbanken Fondbolag Ab</v>
          </cell>
        </row>
        <row r="526">
          <cell r="B526" t="str">
            <v>14713626#047</v>
          </cell>
          <cell r="H526" t="str">
            <v>Ålandsbanken Fondbolag Ab</v>
          </cell>
        </row>
        <row r="527">
          <cell r="B527" t="str">
            <v>16039364#006</v>
          </cell>
          <cell r="H527" t="str">
            <v>Alexandria Rahastoyhtiö Oy</v>
          </cell>
        </row>
        <row r="528">
          <cell r="B528" t="str">
            <v>16039364#007</v>
          </cell>
          <cell r="H528" t="str">
            <v>Alexandria Rahastoyhtiö Oy</v>
          </cell>
        </row>
        <row r="529">
          <cell r="B529" t="str">
            <v>16039364#008</v>
          </cell>
          <cell r="H529" t="str">
            <v>Alexandria Rahastoyhtiö Oy</v>
          </cell>
        </row>
        <row r="530">
          <cell r="B530" t="str">
            <v>16039364#010</v>
          </cell>
          <cell r="H530" t="str">
            <v>Alexandria Rahastoyhtiö Oy</v>
          </cell>
        </row>
        <row r="531">
          <cell r="B531" t="str">
            <v>16039364#011</v>
          </cell>
          <cell r="H531" t="str">
            <v>Alexandria Rahastoyhtiö Oy</v>
          </cell>
        </row>
        <row r="532">
          <cell r="B532" t="str">
            <v>16039364#013</v>
          </cell>
          <cell r="H532" t="str">
            <v>Alexandria Rahastoyhtiö Oy</v>
          </cell>
        </row>
        <row r="533">
          <cell r="B533" t="str">
            <v>16172050#018</v>
          </cell>
          <cell r="H533" t="str">
            <v>LähiTapiola Vaihtoehtorahastot Oy</v>
          </cell>
        </row>
        <row r="534">
          <cell r="B534" t="str">
            <v>17377859#096</v>
          </cell>
          <cell r="H534" t="str">
            <v>Nordea Funds Oy</v>
          </cell>
        </row>
        <row r="535">
          <cell r="B535" t="str">
            <v>17377859#198</v>
          </cell>
          <cell r="H535" t="str">
            <v>Nordea Funds Oy</v>
          </cell>
        </row>
        <row r="536">
          <cell r="B536" t="str">
            <v>17377859#252</v>
          </cell>
          <cell r="H536" t="str">
            <v>Nordea Funds Oy</v>
          </cell>
        </row>
        <row r="537">
          <cell r="B537" t="str">
            <v>17956316#019</v>
          </cell>
          <cell r="H537" t="str">
            <v>Sp-Rahastoyhtiö Oy</v>
          </cell>
        </row>
        <row r="538">
          <cell r="B538" t="str">
            <v>17956316#023</v>
          </cell>
          <cell r="H538" t="str">
            <v>Sp-Rahastoyhtiö Oy</v>
          </cell>
        </row>
        <row r="539">
          <cell r="B539" t="str">
            <v>17956316#024</v>
          </cell>
          <cell r="H539" t="str">
            <v>Sp-Rahastoyhtiö Oy</v>
          </cell>
        </row>
        <row r="540">
          <cell r="B540" t="str">
            <v>17956316#025</v>
          </cell>
          <cell r="H540" t="str">
            <v>Sp-Rahastoyhtiö Oy</v>
          </cell>
        </row>
        <row r="541">
          <cell r="B541" t="str">
            <v>17956316#026</v>
          </cell>
          <cell r="H541" t="str">
            <v>Sp-Rahastoyhtiö Oy</v>
          </cell>
        </row>
        <row r="542">
          <cell r="B542" t="str">
            <v>17956316#027</v>
          </cell>
          <cell r="H542" t="str">
            <v>Sp-Rahastoyhtiö Oy</v>
          </cell>
        </row>
        <row r="543">
          <cell r="B543" t="str">
            <v>17956316#037</v>
          </cell>
          <cell r="H543" t="str">
            <v>Sp-Rahastoyhtiö Oy</v>
          </cell>
        </row>
        <row r="544">
          <cell r="B544" t="str">
            <v>18300220#005</v>
          </cell>
          <cell r="H544" t="str">
            <v>GRIT Rahastoyhtiö Oy</v>
          </cell>
        </row>
        <row r="545">
          <cell r="B545" t="str">
            <v>18300220#010</v>
          </cell>
          <cell r="H545" t="str">
            <v>GRIT Rahastoyhtiö Oy</v>
          </cell>
        </row>
        <row r="546">
          <cell r="B546" t="str">
            <v>18300220#012</v>
          </cell>
          <cell r="H546" t="str">
            <v>GRIT Rahastoyhtiö Oy</v>
          </cell>
        </row>
        <row r="547">
          <cell r="B547" t="str">
            <v>18300220#013</v>
          </cell>
          <cell r="H547" t="str">
            <v>GRIT Rahastoyhtiö Oy</v>
          </cell>
        </row>
        <row r="548">
          <cell r="B548" t="str">
            <v>18300220#016</v>
          </cell>
          <cell r="H548" t="str">
            <v>GRIT Rahastoyhtiö Oy</v>
          </cell>
        </row>
        <row r="549">
          <cell r="B549" t="str">
            <v>18300220#023</v>
          </cell>
          <cell r="H549" t="str">
            <v>GRIT Rahastoyhtiö Oy</v>
          </cell>
        </row>
        <row r="550">
          <cell r="B550" t="str">
            <v>18300220#024</v>
          </cell>
          <cell r="H550" t="str">
            <v>GRIT Rahastoyhtiö Oy</v>
          </cell>
        </row>
        <row r="551">
          <cell r="B551" t="str">
            <v>18300220#026</v>
          </cell>
          <cell r="H551" t="str">
            <v>GRIT Rahastoyhtiö Oy</v>
          </cell>
        </row>
        <row r="552">
          <cell r="B552" t="str">
            <v>18300220#028</v>
          </cell>
          <cell r="H552" t="str">
            <v>GRIT Rahastoyhtiö Oy</v>
          </cell>
        </row>
        <row r="553">
          <cell r="B553" t="str">
            <v>18300220#029</v>
          </cell>
          <cell r="H553" t="str">
            <v>GRIT Rahastoyhtiö Oy</v>
          </cell>
        </row>
        <row r="554">
          <cell r="B554" t="str">
            <v>18300220#031</v>
          </cell>
          <cell r="H554" t="str">
            <v>GRIT Rahastoyhtiö Oy</v>
          </cell>
        </row>
        <row r="555">
          <cell r="B555" t="str">
            <v>18300220#032</v>
          </cell>
          <cell r="H555" t="str">
            <v>GRIT Rahastoyhtiö Oy</v>
          </cell>
        </row>
        <row r="556">
          <cell r="B556" t="str">
            <v>18300220#034</v>
          </cell>
          <cell r="H556" t="str">
            <v>GRIT Rahastoyhtiö Oy</v>
          </cell>
        </row>
        <row r="557">
          <cell r="B557" t="str">
            <v>18300220#035</v>
          </cell>
          <cell r="H557" t="str">
            <v>GRIT Rahastoyhtiö Oy</v>
          </cell>
        </row>
        <row r="558">
          <cell r="B558" t="str">
            <v>18300220#038</v>
          </cell>
          <cell r="H558" t="str">
            <v>GRIT Rahastoyhtiö Oy</v>
          </cell>
        </row>
        <row r="559">
          <cell r="B559" t="str">
            <v>18300220#039</v>
          </cell>
          <cell r="H559" t="str">
            <v>GRIT Rahastoyhtiö Oy</v>
          </cell>
        </row>
        <row r="560">
          <cell r="B560" t="str">
            <v>18300220#042</v>
          </cell>
          <cell r="H560" t="str">
            <v>GRIT Rahastoyhtiö Oy</v>
          </cell>
        </row>
        <row r="561">
          <cell r="B561" t="str">
            <v>18300220#043</v>
          </cell>
          <cell r="H561" t="str">
            <v>GRIT Rahastoyhtiö Oy</v>
          </cell>
        </row>
        <row r="562">
          <cell r="B562" t="str">
            <v>18300220#044</v>
          </cell>
          <cell r="H562" t="str">
            <v>GRIT Rahastoyhtiö Oy</v>
          </cell>
        </row>
        <row r="563">
          <cell r="B563" t="str">
            <v>18300220#045</v>
          </cell>
          <cell r="H563" t="str">
            <v>GRIT Rahastoyhtiö Oy</v>
          </cell>
        </row>
        <row r="564">
          <cell r="B564" t="str">
            <v>19880781#006</v>
          </cell>
          <cell r="H564" t="str">
            <v>Dasos Capital Oy</v>
          </cell>
        </row>
        <row r="565">
          <cell r="B565" t="str">
            <v>20628401#023</v>
          </cell>
          <cell r="H565" t="str">
            <v>Aktia Rahastoyhtiö Oy</v>
          </cell>
        </row>
        <row r="566">
          <cell r="B566" t="str">
            <v>20628401#027</v>
          </cell>
          <cell r="H566" t="str">
            <v>Aktia Rahastoyhtiö Oy</v>
          </cell>
        </row>
        <row r="567">
          <cell r="B567" t="str">
            <v>20628401#028</v>
          </cell>
          <cell r="H567" t="str">
            <v>Aktia Rahastoyhtiö Oy</v>
          </cell>
        </row>
        <row r="568">
          <cell r="B568" t="str">
            <v>20628401#029</v>
          </cell>
          <cell r="H568" t="str">
            <v>Aktia Rahastoyhtiö Oy</v>
          </cell>
        </row>
        <row r="569">
          <cell r="B569" t="str">
            <v>20628401#030</v>
          </cell>
          <cell r="H569" t="str">
            <v>Aktia Rahastoyhtiö Oy</v>
          </cell>
        </row>
        <row r="570">
          <cell r="B570" t="str">
            <v>20628401#038</v>
          </cell>
          <cell r="H570" t="str">
            <v>Aktia Rahastoyhtiö Oy</v>
          </cell>
        </row>
        <row r="571">
          <cell r="B571" t="str">
            <v>20628401#039</v>
          </cell>
          <cell r="H571" t="str">
            <v>Aktia Rahastoyhtiö Oy</v>
          </cell>
        </row>
        <row r="572">
          <cell r="B572" t="str">
            <v>20628401#040</v>
          </cell>
          <cell r="H572" t="str">
            <v>Aktia Rahastoyhtiö Oy</v>
          </cell>
        </row>
        <row r="573">
          <cell r="B573" t="str">
            <v>20628401#044</v>
          </cell>
          <cell r="H573" t="str">
            <v>Aktia Rahastoyhtiö Oy</v>
          </cell>
        </row>
        <row r="574">
          <cell r="B574" t="str">
            <v>20628401#081</v>
          </cell>
          <cell r="H574" t="str">
            <v>Aktia Rahastoyhtiö Oy</v>
          </cell>
        </row>
        <row r="575">
          <cell r="B575" t="str">
            <v>20628401#083</v>
          </cell>
          <cell r="H575" t="str">
            <v>Aktia Rahastoyhtiö Oy</v>
          </cell>
        </row>
        <row r="576">
          <cell r="B576" t="str">
            <v>20628401#087</v>
          </cell>
          <cell r="H576" t="str">
            <v>Aktia Rahastoyhtiö Oy</v>
          </cell>
        </row>
        <row r="577">
          <cell r="B577" t="str">
            <v>21181015#004</v>
          </cell>
          <cell r="H577" t="str">
            <v>UB Rahastoyhtiö Oy</v>
          </cell>
        </row>
        <row r="578">
          <cell r="B578" t="str">
            <v>21181015#023</v>
          </cell>
          <cell r="H578" t="str">
            <v>UB Rahastoyhtiö Oy</v>
          </cell>
        </row>
        <row r="579">
          <cell r="B579" t="str">
            <v>21181015#026</v>
          </cell>
          <cell r="H579" t="str">
            <v>UB Rahastoyhtiö Oy</v>
          </cell>
        </row>
        <row r="580">
          <cell r="B580" t="str">
            <v>21181015#033</v>
          </cell>
          <cell r="H580" t="str">
            <v>UB Rahastoyhtiö Oy</v>
          </cell>
        </row>
        <row r="581">
          <cell r="B581" t="str">
            <v>21181015#034</v>
          </cell>
          <cell r="H581" t="str">
            <v>UB Rahastoyhtiö Oy</v>
          </cell>
        </row>
        <row r="582">
          <cell r="B582" t="str">
            <v>21181015#043</v>
          </cell>
          <cell r="H582" t="str">
            <v>UB Rahastoyhtiö Oy</v>
          </cell>
        </row>
        <row r="583">
          <cell r="B583" t="str">
            <v>21181015#047</v>
          </cell>
          <cell r="H583" t="str">
            <v>UB Rahastoyhtiö Oy</v>
          </cell>
        </row>
        <row r="584">
          <cell r="B584" t="str">
            <v>21181015#048</v>
          </cell>
          <cell r="H584" t="str">
            <v>UB Rahastoyhtiö Oy</v>
          </cell>
        </row>
        <row r="585">
          <cell r="B585" t="str">
            <v>21181015#052</v>
          </cell>
          <cell r="H585" t="str">
            <v>UB Rahastoyhtiö Oy</v>
          </cell>
        </row>
        <row r="586">
          <cell r="B586" t="str">
            <v>21181015#054</v>
          </cell>
          <cell r="H586" t="str">
            <v>UB Rahastoyhtiö Oy</v>
          </cell>
        </row>
        <row r="587">
          <cell r="B587" t="str">
            <v>21181015#055</v>
          </cell>
          <cell r="H587" t="str">
            <v>UB Rahastoyhtiö Oy</v>
          </cell>
        </row>
        <row r="588">
          <cell r="B588" t="str">
            <v>21543362#001</v>
          </cell>
          <cell r="H588" t="str">
            <v>Helsinki Capital Partners Oy</v>
          </cell>
        </row>
        <row r="589">
          <cell r="B589" t="str">
            <v>21543362#002</v>
          </cell>
          <cell r="H589" t="str">
            <v>Helsinki Capital Partners Oy</v>
          </cell>
        </row>
        <row r="590">
          <cell r="B590" t="str">
            <v>21543362#003</v>
          </cell>
          <cell r="H590" t="str">
            <v>Helsinki Capital Partners Oy</v>
          </cell>
        </row>
        <row r="591">
          <cell r="B591" t="str">
            <v>21543362#004</v>
          </cell>
          <cell r="H591" t="str">
            <v>Helsinki Capital Partners Oy</v>
          </cell>
        </row>
        <row r="592">
          <cell r="B592" t="str">
            <v>22888047#002</v>
          </cell>
          <cell r="H592" t="str">
            <v>Titanium Rahastoyhtiö Oy</v>
          </cell>
        </row>
        <row r="593">
          <cell r="B593" t="str">
            <v>22888047#004</v>
          </cell>
          <cell r="H593" t="str">
            <v>Titanium Rahastoyhtiö Oy</v>
          </cell>
        </row>
        <row r="594">
          <cell r="B594" t="str">
            <v>22888047#006</v>
          </cell>
          <cell r="H594" t="str">
            <v>Titanium Rahastoyhtiö Oy</v>
          </cell>
        </row>
        <row r="595">
          <cell r="B595" t="str">
            <v>22888047#007</v>
          </cell>
          <cell r="H595" t="str">
            <v>Titanium Rahastoyhtiö Oy</v>
          </cell>
        </row>
        <row r="596">
          <cell r="B596" t="str">
            <v>23245609#018</v>
          </cell>
          <cell r="H596" t="str">
            <v>Finlandia Rahastoyhtiö Oy</v>
          </cell>
        </row>
        <row r="597">
          <cell r="B597" t="str">
            <v>23245609#019</v>
          </cell>
          <cell r="H597" t="str">
            <v>Finlandia Rahastoyhtiö Oy</v>
          </cell>
        </row>
        <row r="598">
          <cell r="B598" t="str">
            <v>23245609#020</v>
          </cell>
          <cell r="H598" t="str">
            <v>Finlandia Rahastoyhtiö Oy</v>
          </cell>
        </row>
        <row r="599">
          <cell r="B599" t="str">
            <v>28125497#001</v>
          </cell>
          <cell r="H599" t="str">
            <v>Mandatum AM AIFM Oy</v>
          </cell>
        </row>
        <row r="600">
          <cell r="B600" t="str">
            <v>28233658#007</v>
          </cell>
          <cell r="H600" t="str">
            <v>Obsido Rahastoyhtiö Oy</v>
          </cell>
        </row>
        <row r="601">
          <cell r="B601" t="str">
            <v>28233658#008</v>
          </cell>
          <cell r="H601" t="str">
            <v>Obsido Rahastoyhtiö Oy</v>
          </cell>
        </row>
        <row r="602">
          <cell r="B602" t="str">
            <v>29064614#005</v>
          </cell>
          <cell r="H602" t="str">
            <v>CapMan AIFM Oy</v>
          </cell>
        </row>
        <row r="603">
          <cell r="B603" t="str">
            <v>29064614#018</v>
          </cell>
          <cell r="H603" t="str">
            <v>CapMan AIFM Oy</v>
          </cell>
        </row>
        <row r="604">
          <cell r="B604" t="str">
            <v>29064614#022</v>
          </cell>
          <cell r="H604" t="str">
            <v>CapMan AIFM Oy</v>
          </cell>
        </row>
        <row r="605">
          <cell r="B605" t="str">
            <v>29064614#025</v>
          </cell>
          <cell r="H605" t="str">
            <v>CapMan AIFM Oy</v>
          </cell>
        </row>
        <row r="606">
          <cell r="B606" t="str">
            <v>29064614#026</v>
          </cell>
          <cell r="H606" t="str">
            <v>CapMan AIFM Oy</v>
          </cell>
        </row>
        <row r="607">
          <cell r="B607" t="str">
            <v>29064614#029</v>
          </cell>
          <cell r="H607" t="str">
            <v>CapMan AIFM Oy</v>
          </cell>
        </row>
        <row r="608">
          <cell r="B608" t="str">
            <v>29064614#031</v>
          </cell>
          <cell r="H608" t="str">
            <v>CapMan AIFM Oy</v>
          </cell>
        </row>
        <row r="609">
          <cell r="B609" t="str">
            <v>32844961#001</v>
          </cell>
          <cell r="H609" t="str">
            <v>Proprius Partners Oy</v>
          </cell>
        </row>
        <row r="610">
          <cell r="B610" t="str">
            <v>32844961#002</v>
          </cell>
          <cell r="H610" t="str">
            <v>Proprius Partners Oy</v>
          </cell>
        </row>
        <row r="611">
          <cell r="B611" t="str">
            <v>32844961#003</v>
          </cell>
          <cell r="H611" t="str">
            <v>Proprius Partners Oy</v>
          </cell>
        </row>
        <row r="612">
          <cell r="B612" t="str">
            <v>32844961#004</v>
          </cell>
          <cell r="H612" t="str">
            <v>Proprius Partners Oy</v>
          </cell>
        </row>
        <row r="613">
          <cell r="B613" t="str">
            <v/>
          </cell>
          <cell r="H613" t="str">
            <v/>
          </cell>
        </row>
        <row r="614">
          <cell r="B614" t="str">
            <v/>
          </cell>
          <cell r="H614" t="str">
            <v/>
          </cell>
        </row>
        <row r="615">
          <cell r="B615" t="str">
            <v>Suljetut pääoma- ja kiinteistörahastot (Non-UCITS)</v>
          </cell>
          <cell r="H615" t="str">
            <v/>
          </cell>
        </row>
        <row r="616">
          <cell r="B616" t="str">
            <v>Sluten kapital- och fastighetsfonder (Non-UCITS)</v>
          </cell>
          <cell r="H616" t="str">
            <v/>
          </cell>
        </row>
        <row r="617">
          <cell r="B617" t="str">
            <v>Closed-end private equity and real estate funds (Non-UCITS)</v>
          </cell>
          <cell r="H617" t="str">
            <v/>
          </cell>
        </row>
        <row r="618">
          <cell r="B618" t="str">
            <v/>
          </cell>
          <cell r="H618" t="str">
            <v/>
          </cell>
        </row>
        <row r="619">
          <cell r="B619" t="str">
            <v>01120872#001</v>
          </cell>
          <cell r="H619" t="str">
            <v>Access Capital Advisors Finland Oy</v>
          </cell>
        </row>
        <row r="620">
          <cell r="B620" t="str">
            <v>01120872#002</v>
          </cell>
          <cell r="H620" t="str">
            <v>Access Capital Advisors Finland Oy</v>
          </cell>
        </row>
        <row r="621">
          <cell r="B621" t="str">
            <v>01120872#003</v>
          </cell>
          <cell r="H621" t="str">
            <v>Access Capital Advisors Finland Oy</v>
          </cell>
        </row>
        <row r="622">
          <cell r="B622" t="str">
            <v>01120872#004</v>
          </cell>
          <cell r="H622" t="str">
            <v>Access Capital Advisors Finland Oy</v>
          </cell>
        </row>
        <row r="623">
          <cell r="B623" t="str">
            <v>01120872#005</v>
          </cell>
          <cell r="H623" t="str">
            <v>Access Capital Advisors Finland Oy</v>
          </cell>
        </row>
        <row r="624">
          <cell r="B624" t="str">
            <v>01120872#006</v>
          </cell>
          <cell r="H624" t="str">
            <v>Access Capital Advisors Finland Oy</v>
          </cell>
        </row>
        <row r="625">
          <cell r="B625" t="str">
            <v>01120872#007</v>
          </cell>
          <cell r="H625" t="str">
            <v>Access Capital Advisors Finland Oy</v>
          </cell>
        </row>
        <row r="626">
          <cell r="B626" t="str">
            <v>01120872#008</v>
          </cell>
          <cell r="H626" t="str">
            <v>Access Capital Advisors Finland Oy</v>
          </cell>
        </row>
        <row r="627">
          <cell r="B627" t="str">
            <v>05991018#002</v>
          </cell>
          <cell r="H627" t="str">
            <v>OP Kiinteistösijoitus Oy</v>
          </cell>
        </row>
        <row r="628">
          <cell r="B628" t="str">
            <v>05991018#003</v>
          </cell>
          <cell r="H628" t="str">
            <v>OP Kiinteistösijoitus Oy</v>
          </cell>
        </row>
        <row r="629">
          <cell r="B629" t="str">
            <v>05991018#004</v>
          </cell>
          <cell r="H629" t="str">
            <v>OP Kiinteistösijoitus Oy</v>
          </cell>
        </row>
        <row r="630">
          <cell r="B630" t="str">
            <v>05991018#005</v>
          </cell>
          <cell r="H630" t="str">
            <v>OP Kiinteistösijoitus Oy</v>
          </cell>
        </row>
        <row r="631">
          <cell r="B631" t="str">
            <v>05991018#009</v>
          </cell>
          <cell r="H631" t="str">
            <v>OP Kiinteistösijoitus Oy</v>
          </cell>
        </row>
        <row r="632">
          <cell r="B632" t="str">
            <v>05991018#010</v>
          </cell>
          <cell r="H632" t="str">
            <v>OP Kiinteistösijoitus Oy</v>
          </cell>
        </row>
        <row r="633">
          <cell r="B633" t="str">
            <v>05991018#011</v>
          </cell>
          <cell r="H633" t="str">
            <v>OP Kiinteistösijoitus Oy</v>
          </cell>
        </row>
        <row r="634">
          <cell r="B634" t="str">
            <v>07360527#061</v>
          </cell>
          <cell r="H634" t="str">
            <v>eQ Rahastoyhtiö Oy</v>
          </cell>
        </row>
        <row r="635">
          <cell r="B635" t="str">
            <v>07360527#062</v>
          </cell>
          <cell r="H635" t="str">
            <v>eQ Rahastoyhtiö Oy</v>
          </cell>
        </row>
        <row r="636">
          <cell r="B636" t="str">
            <v>07360527#063</v>
          </cell>
          <cell r="H636" t="str">
            <v>eQ Rahastoyhtiö Oy</v>
          </cell>
        </row>
        <row r="637">
          <cell r="B637" t="str">
            <v>07360527#067</v>
          </cell>
          <cell r="H637" t="str">
            <v>eQ Rahastoyhtiö Oy</v>
          </cell>
        </row>
        <row r="638">
          <cell r="B638" t="str">
            <v>07360527#068</v>
          </cell>
          <cell r="H638" t="str">
            <v>eQ Rahastoyhtiö Oy</v>
          </cell>
        </row>
        <row r="639">
          <cell r="B639" t="str">
            <v>07360527#071</v>
          </cell>
          <cell r="H639" t="str">
            <v>eQ Rahastoyhtiö Oy</v>
          </cell>
        </row>
        <row r="640">
          <cell r="B640" t="str">
            <v>07360527#074</v>
          </cell>
          <cell r="H640" t="str">
            <v>eQ Rahastoyhtiö Oy</v>
          </cell>
        </row>
        <row r="641">
          <cell r="B641" t="str">
            <v>07360527#076</v>
          </cell>
          <cell r="H641" t="str">
            <v>eQ Rahastoyhtiö Oy</v>
          </cell>
        </row>
        <row r="642">
          <cell r="B642" t="str">
            <v>07360527#077</v>
          </cell>
          <cell r="H642" t="str">
            <v>eQ Rahastoyhtiö Oy</v>
          </cell>
        </row>
        <row r="643">
          <cell r="B643" t="str">
            <v>07360527#078</v>
          </cell>
          <cell r="H643" t="str">
            <v>eQ Rahastoyhtiö Oy</v>
          </cell>
        </row>
        <row r="644">
          <cell r="B644" t="str">
            <v>07360527#079</v>
          </cell>
          <cell r="H644" t="str">
            <v>eQ Rahastoyhtiö Oy</v>
          </cell>
        </row>
        <row r="645">
          <cell r="B645" t="str">
            <v>07360527#087</v>
          </cell>
          <cell r="H645" t="str">
            <v>eQ Rahastoyhtiö Oy</v>
          </cell>
        </row>
        <row r="646">
          <cell r="B646" t="str">
            <v>07360527#091</v>
          </cell>
          <cell r="H646" t="str">
            <v>eQ Rahastoyhtiö Oy</v>
          </cell>
        </row>
        <row r="647">
          <cell r="B647" t="str">
            <v>07360527#093</v>
          </cell>
          <cell r="H647" t="str">
            <v>eQ Rahastoyhtiö Oy</v>
          </cell>
        </row>
        <row r="648">
          <cell r="B648" t="str">
            <v>07360527#100</v>
          </cell>
          <cell r="H648" t="str">
            <v>eQ Rahastoyhtiö Oy</v>
          </cell>
        </row>
        <row r="649">
          <cell r="B649" t="str">
            <v>07360527#107</v>
          </cell>
          <cell r="H649" t="str">
            <v>eQ Rahastoyhtiö Oy</v>
          </cell>
        </row>
        <row r="650">
          <cell r="B650" t="str">
            <v>07360527#113</v>
          </cell>
          <cell r="H650" t="str">
            <v>eQ Rahastoyhtiö Oy</v>
          </cell>
        </row>
        <row r="651">
          <cell r="B651" t="str">
            <v>07360527#116</v>
          </cell>
          <cell r="H651" t="str">
            <v>eQ Rahastoyhtiö Oy</v>
          </cell>
        </row>
        <row r="652">
          <cell r="B652" t="str">
            <v>07360527#124</v>
          </cell>
          <cell r="H652" t="str">
            <v>eQ Rahastoyhtiö Oy</v>
          </cell>
        </row>
        <row r="653">
          <cell r="B653" t="str">
            <v>07360527#126</v>
          </cell>
          <cell r="H653" t="str">
            <v>eQ Rahastoyhtiö Oy</v>
          </cell>
        </row>
        <row r="654">
          <cell r="B654" t="str">
            <v>07360527#129</v>
          </cell>
          <cell r="H654" t="str">
            <v>eQ Rahastoyhtiö Oy</v>
          </cell>
        </row>
        <row r="655">
          <cell r="B655" t="str">
            <v>07360527#133</v>
          </cell>
          <cell r="H655" t="str">
            <v>eQ Rahastoyhtiö Oy</v>
          </cell>
        </row>
        <row r="656">
          <cell r="B656" t="str">
            <v>07360527#137</v>
          </cell>
          <cell r="H656" t="str">
            <v>eQ Rahastoyhtiö Oy</v>
          </cell>
        </row>
        <row r="657">
          <cell r="B657" t="str">
            <v>07360527#139</v>
          </cell>
          <cell r="H657" t="str">
            <v>eQ Rahastoyhtiö Oy</v>
          </cell>
        </row>
        <row r="658">
          <cell r="B658" t="str">
            <v>07360527#142</v>
          </cell>
          <cell r="H658" t="str">
            <v>eQ Rahastoyhtiö Oy</v>
          </cell>
        </row>
        <row r="659">
          <cell r="B659" t="str">
            <v>07439622#139</v>
          </cell>
          <cell r="H659" t="str">
            <v>OP-Rahastoyhtiö Oy</v>
          </cell>
        </row>
        <row r="660">
          <cell r="B660" t="str">
            <v>07439622#146</v>
          </cell>
          <cell r="H660" t="str">
            <v>OP-Rahastoyhtiö Oy</v>
          </cell>
        </row>
        <row r="661">
          <cell r="B661" t="str">
            <v>07446590#081</v>
          </cell>
          <cell r="H661" t="str">
            <v>Evli-Rahastoyhtiö Oy</v>
          </cell>
        </row>
        <row r="662">
          <cell r="B662" t="str">
            <v>07446590#082</v>
          </cell>
          <cell r="H662" t="str">
            <v>Evli-Rahastoyhtiö Oy</v>
          </cell>
        </row>
        <row r="663">
          <cell r="B663" t="str">
            <v>07446590#084</v>
          </cell>
          <cell r="H663" t="str">
            <v>Evli-Rahastoyhtiö Oy</v>
          </cell>
        </row>
        <row r="664">
          <cell r="B664" t="str">
            <v>07446590#085</v>
          </cell>
          <cell r="H664" t="str">
            <v>Evli-Rahastoyhtiö Oy</v>
          </cell>
        </row>
        <row r="665">
          <cell r="B665" t="str">
            <v>07446590#086</v>
          </cell>
          <cell r="H665" t="str">
            <v>Evli-Rahastoyhtiö Oy</v>
          </cell>
        </row>
        <row r="666">
          <cell r="B666" t="str">
            <v>07446590#087</v>
          </cell>
          <cell r="H666" t="str">
            <v>Evli-Rahastoyhtiö Oy</v>
          </cell>
        </row>
        <row r="667">
          <cell r="B667" t="str">
            <v>07446590#089</v>
          </cell>
          <cell r="H667" t="str">
            <v>Evli-Rahastoyhtiö Oy</v>
          </cell>
        </row>
        <row r="668">
          <cell r="B668" t="str">
            <v>07446590#091</v>
          </cell>
          <cell r="H668" t="str">
            <v>Evli-Rahastoyhtiö Oy</v>
          </cell>
        </row>
        <row r="669">
          <cell r="B669" t="str">
            <v>07446590#093</v>
          </cell>
          <cell r="H669" t="str">
            <v>Evli-Rahastoyhtiö Oy</v>
          </cell>
        </row>
        <row r="670">
          <cell r="B670" t="str">
            <v>07446590#094</v>
          </cell>
          <cell r="H670" t="str">
            <v>Evli-Rahastoyhtiö Oy</v>
          </cell>
        </row>
        <row r="671">
          <cell r="B671" t="str">
            <v>07446590#095</v>
          </cell>
          <cell r="H671" t="str">
            <v>Evli-Rahastoyhtiö Oy</v>
          </cell>
        </row>
        <row r="672">
          <cell r="B672" t="str">
            <v>07446590#096</v>
          </cell>
          <cell r="H672" t="str">
            <v>Evli-Rahastoyhtiö Oy</v>
          </cell>
        </row>
        <row r="673">
          <cell r="B673" t="str">
            <v>07446590#097</v>
          </cell>
          <cell r="H673" t="str">
            <v>Evli-Rahastoyhtiö Oy</v>
          </cell>
        </row>
        <row r="674">
          <cell r="B674" t="str">
            <v>07446590#098</v>
          </cell>
          <cell r="H674" t="str">
            <v>Evli-Rahastoyhtiö Oy</v>
          </cell>
        </row>
        <row r="675">
          <cell r="B675" t="str">
            <v>07446590#099</v>
          </cell>
          <cell r="H675" t="str">
            <v>Evli-Rahastoyhtiö Oy</v>
          </cell>
        </row>
        <row r="676">
          <cell r="B676" t="str">
            <v>07446590#100</v>
          </cell>
          <cell r="H676" t="str">
            <v>Evli-Rahastoyhtiö Oy</v>
          </cell>
        </row>
        <row r="677">
          <cell r="B677" t="str">
            <v>07446590#101</v>
          </cell>
          <cell r="H677" t="str">
            <v>Evli-Rahastoyhtiö Oy</v>
          </cell>
        </row>
        <row r="678">
          <cell r="B678" t="str">
            <v>07446590#102</v>
          </cell>
          <cell r="H678" t="str">
            <v>Evli-Rahastoyhtiö Oy</v>
          </cell>
        </row>
        <row r="679">
          <cell r="B679" t="str">
            <v>07446590#106</v>
          </cell>
          <cell r="H679" t="str">
            <v>Evli-Rahastoyhtiö Oy</v>
          </cell>
        </row>
        <row r="680">
          <cell r="B680" t="str">
            <v>07446590#107</v>
          </cell>
          <cell r="H680" t="str">
            <v>Evli-Rahastoyhtiö Oy</v>
          </cell>
        </row>
        <row r="681">
          <cell r="B681" t="str">
            <v>07446590#110</v>
          </cell>
          <cell r="H681" t="str">
            <v>Evli-Rahastoyhtiö Oy</v>
          </cell>
        </row>
        <row r="682">
          <cell r="B682" t="str">
            <v>07446590#111</v>
          </cell>
          <cell r="H682" t="str">
            <v>Evli-Rahastoyhtiö Oy</v>
          </cell>
        </row>
        <row r="683">
          <cell r="B683" t="str">
            <v>07446590#112</v>
          </cell>
          <cell r="H683" t="str">
            <v>Evli-Rahastoyhtiö Oy</v>
          </cell>
        </row>
        <row r="684">
          <cell r="B684" t="str">
            <v>07446590#113</v>
          </cell>
          <cell r="H684" t="str">
            <v>Evli-Rahastoyhtiö Oy</v>
          </cell>
        </row>
        <row r="685">
          <cell r="B685" t="str">
            <v>07446590#114</v>
          </cell>
          <cell r="H685" t="str">
            <v>Evli-Rahastoyhtiö Oy</v>
          </cell>
        </row>
        <row r="686">
          <cell r="B686" t="str">
            <v>07446590#115</v>
          </cell>
          <cell r="H686" t="str">
            <v>Evli-Rahastoyhtiö Oy</v>
          </cell>
        </row>
        <row r="687">
          <cell r="B687" t="str">
            <v>07446590#116</v>
          </cell>
          <cell r="H687" t="str">
            <v>Evli-Rahastoyhtiö Oy</v>
          </cell>
        </row>
        <row r="688">
          <cell r="B688" t="str">
            <v>07446590#117</v>
          </cell>
          <cell r="H688" t="str">
            <v>Evli-Rahastoyhtiö Oy</v>
          </cell>
        </row>
        <row r="689">
          <cell r="B689" t="str">
            <v>07446590#122</v>
          </cell>
          <cell r="H689" t="str">
            <v>Evli-Rahastoyhtiö Oy</v>
          </cell>
        </row>
        <row r="690">
          <cell r="B690" t="str">
            <v>07446590#123</v>
          </cell>
          <cell r="H690" t="str">
            <v>Evli-Rahastoyhtiö Oy</v>
          </cell>
        </row>
        <row r="691">
          <cell r="B691" t="str">
            <v>07446590#137</v>
          </cell>
          <cell r="H691" t="str">
            <v>Evli-Rahastoyhtiö Oy</v>
          </cell>
        </row>
        <row r="692">
          <cell r="B692" t="str">
            <v>07446590#139</v>
          </cell>
          <cell r="H692" t="str">
            <v>Evli-Rahastoyhtiö Oy</v>
          </cell>
        </row>
        <row r="693">
          <cell r="B693" t="str">
            <v>07446590#140</v>
          </cell>
          <cell r="H693" t="str">
            <v>Evli-Rahastoyhtiö Oy</v>
          </cell>
        </row>
        <row r="694">
          <cell r="B694" t="str">
            <v>07446590#142</v>
          </cell>
          <cell r="H694" t="str">
            <v>Evli-Rahastoyhtiö Oy</v>
          </cell>
        </row>
        <row r="695">
          <cell r="B695" t="str">
            <v>07446590#143</v>
          </cell>
          <cell r="H695" t="str">
            <v>Evli-Rahastoyhtiö Oy</v>
          </cell>
        </row>
        <row r="696">
          <cell r="B696" t="str">
            <v>07446590#146</v>
          </cell>
          <cell r="H696" t="str">
            <v>Evli-Rahastoyhtiö Oy</v>
          </cell>
        </row>
        <row r="697">
          <cell r="B697" t="str">
            <v>07446590#147</v>
          </cell>
          <cell r="H697" t="str">
            <v>Evli-Rahastoyhtiö Oy</v>
          </cell>
        </row>
        <row r="698">
          <cell r="B698" t="str">
            <v>07446590#148</v>
          </cell>
          <cell r="H698" t="str">
            <v>Evli-Rahastoyhtiö Oy</v>
          </cell>
        </row>
        <row r="699">
          <cell r="B699" t="str">
            <v>07446590#149</v>
          </cell>
          <cell r="H699" t="str">
            <v>Evli-Rahastoyhtiö Oy</v>
          </cell>
        </row>
        <row r="700">
          <cell r="B700" t="str">
            <v>07446590#151</v>
          </cell>
          <cell r="H700" t="str">
            <v>Evli-Rahastoyhtiö Oy</v>
          </cell>
        </row>
        <row r="701">
          <cell r="B701" t="str">
            <v>07446590#152</v>
          </cell>
          <cell r="H701" t="str">
            <v>Evli-Rahastoyhtiö Oy</v>
          </cell>
        </row>
        <row r="702">
          <cell r="B702" t="str">
            <v>07446590#153</v>
          </cell>
          <cell r="H702" t="str">
            <v>Evli-Rahastoyhtiö Oy</v>
          </cell>
        </row>
        <row r="703">
          <cell r="B703" t="str">
            <v>07446590#154</v>
          </cell>
          <cell r="H703" t="str">
            <v>Evli-Rahastoyhtiö Oy</v>
          </cell>
        </row>
        <row r="704">
          <cell r="B704" t="str">
            <v>07446590#155</v>
          </cell>
          <cell r="H704" t="str">
            <v>Evli-Rahastoyhtiö Oy</v>
          </cell>
        </row>
        <row r="705">
          <cell r="B705" t="str">
            <v>07446590#156</v>
          </cell>
          <cell r="H705" t="str">
            <v>Evli-Rahastoyhtiö Oy</v>
          </cell>
        </row>
        <row r="706">
          <cell r="B706" t="str">
            <v>07446590#157</v>
          </cell>
          <cell r="H706" t="str">
            <v>Evli-Rahastoyhtiö Oy</v>
          </cell>
        </row>
        <row r="707">
          <cell r="B707" t="str">
            <v>07446590#158</v>
          </cell>
          <cell r="H707" t="str">
            <v>Evli-Rahastoyhtiö Oy</v>
          </cell>
        </row>
        <row r="708">
          <cell r="B708" t="str">
            <v>07446590#159</v>
          </cell>
          <cell r="H708" t="str">
            <v>Evli-Rahastoyhtiö Oy</v>
          </cell>
        </row>
        <row r="709">
          <cell r="B709" t="str">
            <v>07446590#160</v>
          </cell>
          <cell r="H709" t="str">
            <v>Evli-Rahastoyhtiö Oy</v>
          </cell>
        </row>
        <row r="710">
          <cell r="B710" t="str">
            <v>07446590#162</v>
          </cell>
          <cell r="H710" t="str">
            <v>Evli-Rahastoyhtiö Oy</v>
          </cell>
        </row>
        <row r="711">
          <cell r="B711" t="str">
            <v>07446590#163</v>
          </cell>
          <cell r="H711" t="str">
            <v>Evli-Rahastoyhtiö Oy</v>
          </cell>
        </row>
        <row r="712">
          <cell r="B712" t="str">
            <v>07446590#164</v>
          </cell>
          <cell r="H712" t="str">
            <v>Evli-Rahastoyhtiö Oy</v>
          </cell>
        </row>
        <row r="713">
          <cell r="B713" t="str">
            <v>07446590#165</v>
          </cell>
          <cell r="H713" t="str">
            <v>Evli-Rahastoyhtiö Oy</v>
          </cell>
        </row>
        <row r="714">
          <cell r="B714" t="str">
            <v>07446590#166</v>
          </cell>
          <cell r="H714" t="str">
            <v>Evli-Rahastoyhtiö Oy</v>
          </cell>
        </row>
        <row r="715">
          <cell r="B715" t="str">
            <v>07446590#167</v>
          </cell>
          <cell r="H715" t="str">
            <v>Evli-Rahastoyhtiö Oy</v>
          </cell>
        </row>
        <row r="716">
          <cell r="B716" t="str">
            <v>07446590#168</v>
          </cell>
          <cell r="H716" t="str">
            <v>Evli-Rahastoyhtiö Oy</v>
          </cell>
        </row>
        <row r="717">
          <cell r="B717" t="str">
            <v>07446590#169</v>
          </cell>
          <cell r="H717" t="str">
            <v>Evli-Rahastoyhtiö Oy</v>
          </cell>
        </row>
        <row r="718">
          <cell r="B718" t="str">
            <v>07446590#170</v>
          </cell>
          <cell r="H718" t="str">
            <v>Evli-Rahastoyhtiö Oy</v>
          </cell>
        </row>
        <row r="719">
          <cell r="B719" t="str">
            <v>07446590#171</v>
          </cell>
          <cell r="H719" t="str">
            <v>Evli-Rahastoyhtiö Oy</v>
          </cell>
        </row>
        <row r="720">
          <cell r="B720" t="str">
            <v>07446590#172</v>
          </cell>
          <cell r="H720" t="str">
            <v>Evli-Rahastoyhtiö Oy</v>
          </cell>
        </row>
        <row r="721">
          <cell r="B721" t="str">
            <v>07446590#173</v>
          </cell>
          <cell r="H721" t="str">
            <v>Evli-Rahastoyhtiö Oy</v>
          </cell>
        </row>
        <row r="722">
          <cell r="B722" t="str">
            <v>07446590#174</v>
          </cell>
          <cell r="H722" t="str">
            <v>Evli-Rahastoyhtiö Oy</v>
          </cell>
        </row>
        <row r="723">
          <cell r="B723" t="str">
            <v>07446590#175</v>
          </cell>
          <cell r="H723" t="str">
            <v>Evli-Rahastoyhtiö Oy</v>
          </cell>
        </row>
        <row r="724">
          <cell r="B724" t="str">
            <v>07446590#181</v>
          </cell>
          <cell r="H724" t="str">
            <v>Evli-Rahastoyhtiö Oy</v>
          </cell>
        </row>
        <row r="725">
          <cell r="B725" t="str">
            <v>07446590#182</v>
          </cell>
          <cell r="H725" t="str">
            <v>Evli-Rahastoyhtiö Oy</v>
          </cell>
        </row>
        <row r="726">
          <cell r="B726" t="str">
            <v>07490276#012</v>
          </cell>
          <cell r="H726" t="str">
            <v>CapMan Capital Management Oy</v>
          </cell>
        </row>
        <row r="727">
          <cell r="B727" t="str">
            <v>07612464#001</v>
          </cell>
          <cell r="H727" t="str">
            <v>Sponsor Capital Oy</v>
          </cell>
        </row>
        <row r="728">
          <cell r="B728" t="str">
            <v>07612464#003</v>
          </cell>
          <cell r="H728" t="str">
            <v>Sponsor Capital Oy</v>
          </cell>
        </row>
        <row r="729">
          <cell r="B729" t="str">
            <v>07612464#004</v>
          </cell>
          <cell r="H729" t="str">
            <v>Sponsor Capital Oy</v>
          </cell>
        </row>
        <row r="730">
          <cell r="B730" t="str">
            <v>08668558#001</v>
          </cell>
          <cell r="H730" t="str">
            <v>Nordia Management Oy</v>
          </cell>
        </row>
        <row r="731">
          <cell r="B731" t="str">
            <v>08668558#002</v>
          </cell>
          <cell r="H731" t="str">
            <v>Nordia Management Oy</v>
          </cell>
        </row>
        <row r="732">
          <cell r="B732" t="str">
            <v>08668558#003</v>
          </cell>
          <cell r="H732" t="str">
            <v>Nordia Management Oy</v>
          </cell>
        </row>
        <row r="733">
          <cell r="B733" t="str">
            <v>08718295#003</v>
          </cell>
          <cell r="H733" t="str">
            <v>Aboa Venture Management Oy</v>
          </cell>
        </row>
        <row r="734">
          <cell r="B734" t="str">
            <v>08718295#004</v>
          </cell>
          <cell r="H734" t="str">
            <v>Aboa Venture Management Oy</v>
          </cell>
        </row>
        <row r="735">
          <cell r="B735" t="str">
            <v>09791339#096</v>
          </cell>
          <cell r="H735" t="str">
            <v>S-Pankki Rahastoyhtiö Oy</v>
          </cell>
        </row>
        <row r="736">
          <cell r="B736" t="str">
            <v>09791339#097</v>
          </cell>
          <cell r="H736" t="str">
            <v>S-Pankki Rahastoyhtiö Oy</v>
          </cell>
        </row>
        <row r="737">
          <cell r="B737" t="str">
            <v>09791339#098</v>
          </cell>
          <cell r="H737" t="str">
            <v>S-Pankki Rahastoyhtiö Oy</v>
          </cell>
        </row>
        <row r="738">
          <cell r="B738" t="str">
            <v>09791339#099</v>
          </cell>
          <cell r="H738" t="str">
            <v>S-Pankki Rahastoyhtiö Oy</v>
          </cell>
        </row>
        <row r="739">
          <cell r="B739" t="str">
            <v>09791339#100</v>
          </cell>
          <cell r="H739" t="str">
            <v>S-Pankki Rahastoyhtiö Oy</v>
          </cell>
        </row>
        <row r="740">
          <cell r="B740" t="str">
            <v>09791339#101</v>
          </cell>
          <cell r="H740" t="str">
            <v>S-Pankki Rahastoyhtiö Oy</v>
          </cell>
        </row>
        <row r="741">
          <cell r="B741" t="str">
            <v>09791339#102</v>
          </cell>
          <cell r="H741" t="str">
            <v>S-Pankki Rahastoyhtiö Oy</v>
          </cell>
        </row>
        <row r="742">
          <cell r="B742" t="str">
            <v>09791339#103</v>
          </cell>
          <cell r="H742" t="str">
            <v>S-Pankki Rahastoyhtiö Oy</v>
          </cell>
        </row>
        <row r="743">
          <cell r="B743" t="str">
            <v>09791339#104</v>
          </cell>
          <cell r="H743" t="str">
            <v>S-Pankki Rahastoyhtiö Oy</v>
          </cell>
        </row>
        <row r="744">
          <cell r="B744" t="str">
            <v>09791339#105</v>
          </cell>
          <cell r="H744" t="str">
            <v>S-Pankki Rahastoyhtiö Oy</v>
          </cell>
        </row>
        <row r="745">
          <cell r="B745" t="str">
            <v>09791339#106</v>
          </cell>
          <cell r="H745" t="str">
            <v>S-Pankki Rahastoyhtiö Oy</v>
          </cell>
        </row>
        <row r="746">
          <cell r="B746" t="str">
            <v>09791339#107</v>
          </cell>
          <cell r="H746" t="str">
            <v>S-Pankki Rahastoyhtiö Oy</v>
          </cell>
        </row>
        <row r="747">
          <cell r="B747" t="str">
            <v>09791339#108</v>
          </cell>
          <cell r="H747" t="str">
            <v>S-Pankki Rahastoyhtiö Oy</v>
          </cell>
        </row>
        <row r="748">
          <cell r="B748" t="str">
            <v>09791339#109</v>
          </cell>
          <cell r="H748" t="str">
            <v>S-Pankki Rahastoyhtiö Oy</v>
          </cell>
        </row>
        <row r="749">
          <cell r="B749" t="str">
            <v>09791339#110</v>
          </cell>
          <cell r="H749" t="str">
            <v>S-Pankki Rahastoyhtiö Oy</v>
          </cell>
        </row>
        <row r="750">
          <cell r="B750" t="str">
            <v>14713626#040</v>
          </cell>
          <cell r="H750" t="str">
            <v>Ålandsbanken Fondbolag Ab</v>
          </cell>
        </row>
        <row r="751">
          <cell r="B751" t="str">
            <v>14713626#050</v>
          </cell>
          <cell r="H751" t="str">
            <v>Ålandsbanken Fondbolag Ab</v>
          </cell>
        </row>
        <row r="752">
          <cell r="B752" t="str">
            <v>14713626#051</v>
          </cell>
          <cell r="H752" t="str">
            <v>Ålandsbanken Fondbolag Ab</v>
          </cell>
        </row>
        <row r="753">
          <cell r="B753" t="str">
            <v>15793816#002</v>
          </cell>
          <cell r="H753" t="str">
            <v>Nexit Ventures Oy</v>
          </cell>
        </row>
        <row r="754">
          <cell r="B754" t="str">
            <v>16172050#001</v>
          </cell>
          <cell r="H754" t="str">
            <v>LähiTapiola Vaihtoehtorahastot Oy</v>
          </cell>
        </row>
        <row r="755">
          <cell r="B755" t="str">
            <v>16172050#003</v>
          </cell>
          <cell r="H755" t="str">
            <v>LähiTapiola Vaihtoehtorahastot Oy</v>
          </cell>
        </row>
        <row r="756">
          <cell r="B756" t="str">
            <v>16172050#004</v>
          </cell>
          <cell r="H756" t="str">
            <v>LähiTapiola Vaihtoehtorahastot Oy</v>
          </cell>
        </row>
        <row r="757">
          <cell r="B757" t="str">
            <v>16172050#010</v>
          </cell>
          <cell r="H757" t="str">
            <v>LähiTapiola Vaihtoehtorahastot Oy</v>
          </cell>
        </row>
        <row r="758">
          <cell r="B758" t="str">
            <v>16172050#011</v>
          </cell>
          <cell r="H758" t="str">
            <v>LähiTapiola Vaihtoehtorahastot Oy</v>
          </cell>
        </row>
        <row r="759">
          <cell r="B759" t="str">
            <v>16172050#012</v>
          </cell>
          <cell r="H759" t="str">
            <v>LähiTapiola Vaihtoehtorahastot Oy</v>
          </cell>
        </row>
        <row r="760">
          <cell r="B760" t="str">
            <v>16172050#019</v>
          </cell>
          <cell r="H760" t="str">
            <v>LähiTapiola Vaihtoehtorahastot Oy</v>
          </cell>
        </row>
        <row r="761">
          <cell r="B761" t="str">
            <v>16172050#020</v>
          </cell>
          <cell r="H761" t="str">
            <v>LähiTapiola Vaihtoehtorahastot Oy</v>
          </cell>
        </row>
        <row r="762">
          <cell r="B762" t="str">
            <v>16172050#021</v>
          </cell>
          <cell r="H762" t="str">
            <v>LähiTapiola Vaihtoehtorahastot Oy</v>
          </cell>
        </row>
        <row r="763">
          <cell r="B763" t="str">
            <v>16172050#022</v>
          </cell>
          <cell r="H763" t="str">
            <v>LähiTapiola Vaihtoehtorahastot Oy</v>
          </cell>
        </row>
        <row r="764">
          <cell r="B764" t="str">
            <v>16172050#023</v>
          </cell>
          <cell r="H764" t="str">
            <v>LähiTapiola Vaihtoehtorahastot Oy</v>
          </cell>
        </row>
        <row r="765">
          <cell r="B765" t="str">
            <v>16172050#024</v>
          </cell>
          <cell r="H765" t="str">
            <v>LähiTapiola Vaihtoehtorahastot Oy</v>
          </cell>
        </row>
        <row r="766">
          <cell r="B766" t="str">
            <v>16172050#030</v>
          </cell>
          <cell r="H766" t="str">
            <v>LähiTapiola Vaihtoehtorahastot Oy</v>
          </cell>
        </row>
        <row r="767">
          <cell r="B767" t="str">
            <v>16172050#031</v>
          </cell>
          <cell r="H767" t="str">
            <v>LähiTapiola Vaihtoehtorahastot Oy</v>
          </cell>
        </row>
        <row r="768">
          <cell r="B768" t="str">
            <v>16172050#032</v>
          </cell>
          <cell r="H768" t="str">
            <v>LähiTapiola Vaihtoehtorahastot Oy</v>
          </cell>
        </row>
        <row r="769">
          <cell r="B769" t="str">
            <v>16172050#033</v>
          </cell>
          <cell r="H769" t="str">
            <v>LähiTapiola Vaihtoehtorahastot Oy</v>
          </cell>
        </row>
        <row r="770">
          <cell r="B770" t="str">
            <v>16172050#034</v>
          </cell>
          <cell r="H770" t="str">
            <v>LähiTapiola Vaihtoehtorahastot Oy</v>
          </cell>
        </row>
        <row r="771">
          <cell r="B771" t="str">
            <v>16172050#035</v>
          </cell>
          <cell r="H771" t="str">
            <v>LähiTapiola Vaihtoehtorahastot Oy</v>
          </cell>
        </row>
        <row r="772">
          <cell r="B772" t="str">
            <v>16172050#036</v>
          </cell>
          <cell r="H772" t="str">
            <v>LähiTapiola Vaihtoehtorahastot Oy</v>
          </cell>
        </row>
        <row r="773">
          <cell r="B773" t="str">
            <v>16172050#037</v>
          </cell>
          <cell r="H773" t="str">
            <v>LähiTapiola Vaihtoehtorahastot Oy</v>
          </cell>
        </row>
        <row r="774">
          <cell r="B774" t="str">
            <v>16447843#001</v>
          </cell>
          <cell r="H774" t="str">
            <v>Midinvest Management Oy</v>
          </cell>
        </row>
        <row r="775">
          <cell r="B775" t="str">
            <v>16447843#007</v>
          </cell>
          <cell r="H775" t="str">
            <v>Midinvest Management Oy</v>
          </cell>
        </row>
        <row r="776">
          <cell r="B776" t="str">
            <v>17900152#002</v>
          </cell>
          <cell r="H776" t="str">
            <v>VNT Management Oy</v>
          </cell>
        </row>
        <row r="777">
          <cell r="B777" t="str">
            <v>17900152#003</v>
          </cell>
          <cell r="H777" t="str">
            <v>VNT Management Oy</v>
          </cell>
        </row>
        <row r="778">
          <cell r="B778" t="str">
            <v>18212730#001</v>
          </cell>
          <cell r="H778" t="str">
            <v>Taitokaari Property Management Oy</v>
          </cell>
        </row>
        <row r="779">
          <cell r="B779" t="str">
            <v>18212730#002</v>
          </cell>
          <cell r="H779" t="str">
            <v>Taitokaari Property Management Oy</v>
          </cell>
        </row>
        <row r="780">
          <cell r="B780" t="str">
            <v>18212730#003</v>
          </cell>
          <cell r="H780" t="str">
            <v>Taitokaari Property Management Oy</v>
          </cell>
        </row>
        <row r="781">
          <cell r="B781" t="str">
            <v>18212730#004</v>
          </cell>
          <cell r="H781" t="str">
            <v>Taitokaari Property Management Oy</v>
          </cell>
        </row>
        <row r="782">
          <cell r="B782" t="str">
            <v>19011500#001</v>
          </cell>
          <cell r="H782" t="str">
            <v>CapMan Classic GP Oy</v>
          </cell>
        </row>
        <row r="783">
          <cell r="B783" t="str">
            <v>19011500#002</v>
          </cell>
          <cell r="H783" t="str">
            <v>CapMan Classic GP Oy</v>
          </cell>
        </row>
        <row r="784">
          <cell r="B784" t="str">
            <v>19011500#003</v>
          </cell>
          <cell r="H784" t="str">
            <v>CapMan Classic GP Oy</v>
          </cell>
        </row>
        <row r="785">
          <cell r="B785" t="str">
            <v>19011500#007</v>
          </cell>
          <cell r="H785" t="str">
            <v>CapMan Classic GP Oy</v>
          </cell>
        </row>
        <row r="786">
          <cell r="B786" t="str">
            <v>19076208#001</v>
          </cell>
          <cell r="H786" t="str">
            <v>Sentica Partners Oy</v>
          </cell>
        </row>
        <row r="787">
          <cell r="B787" t="str">
            <v>19076208#004</v>
          </cell>
          <cell r="H787" t="str">
            <v>Sentica Partners Oy</v>
          </cell>
        </row>
        <row r="788">
          <cell r="B788" t="str">
            <v>19076208#005</v>
          </cell>
          <cell r="H788" t="str">
            <v>Sentica Partners Oy</v>
          </cell>
        </row>
        <row r="789">
          <cell r="B789" t="str">
            <v>19076208#008</v>
          </cell>
          <cell r="H789" t="str">
            <v>Sentica Partners Oy</v>
          </cell>
        </row>
        <row r="790">
          <cell r="B790" t="str">
            <v>19076208#009</v>
          </cell>
          <cell r="H790" t="str">
            <v>Sentica Partners Oy</v>
          </cell>
        </row>
        <row r="791">
          <cell r="B791" t="str">
            <v>19076208#010</v>
          </cell>
          <cell r="H791" t="str">
            <v>Sentica Partners Oy</v>
          </cell>
        </row>
        <row r="792">
          <cell r="B792" t="str">
            <v>19076208#011</v>
          </cell>
          <cell r="H792" t="str">
            <v>Sentica Partners Oy</v>
          </cell>
        </row>
        <row r="793">
          <cell r="B793" t="str">
            <v>19076208#012</v>
          </cell>
          <cell r="H793" t="str">
            <v>Sentica Partners Oy</v>
          </cell>
        </row>
        <row r="794">
          <cell r="B794" t="str">
            <v>19076208#013</v>
          </cell>
          <cell r="H794" t="str">
            <v>Sentica Partners Oy</v>
          </cell>
        </row>
        <row r="795">
          <cell r="B795" t="str">
            <v>19790751#002</v>
          </cell>
          <cell r="H795" t="str">
            <v>Onventure Oy</v>
          </cell>
        </row>
        <row r="796">
          <cell r="B796" t="str">
            <v>19790751#003</v>
          </cell>
          <cell r="H796" t="str">
            <v>Onventure Oy</v>
          </cell>
        </row>
        <row r="797">
          <cell r="B797" t="str">
            <v>19790751#004</v>
          </cell>
          <cell r="H797" t="str">
            <v>Onventure Oy</v>
          </cell>
        </row>
        <row r="798">
          <cell r="B798" t="str">
            <v>19790751#005</v>
          </cell>
          <cell r="H798" t="str">
            <v>Onventure Oy</v>
          </cell>
        </row>
        <row r="799">
          <cell r="B799" t="str">
            <v>19790751#006</v>
          </cell>
          <cell r="H799" t="str">
            <v>Onventure Oy</v>
          </cell>
        </row>
        <row r="800">
          <cell r="B800" t="str">
            <v>19880781#005</v>
          </cell>
          <cell r="H800" t="str">
            <v>Dasos Capital Oy</v>
          </cell>
        </row>
        <row r="801">
          <cell r="B801" t="str">
            <v>20377374#003</v>
          </cell>
          <cell r="H801" t="str">
            <v>Korona Invest Oy</v>
          </cell>
        </row>
        <row r="802">
          <cell r="B802" t="str">
            <v>20377374#004</v>
          </cell>
          <cell r="H802" t="str">
            <v>Korona Invest Oy</v>
          </cell>
        </row>
        <row r="803">
          <cell r="B803" t="str">
            <v>20377374#005</v>
          </cell>
          <cell r="H803" t="str">
            <v>Korona Invest Oy</v>
          </cell>
        </row>
        <row r="804">
          <cell r="B804" t="str">
            <v>20628401#045</v>
          </cell>
          <cell r="H804" t="str">
            <v>Aktia Rahastoyhtiö Oy</v>
          </cell>
        </row>
        <row r="805">
          <cell r="B805" t="str">
            <v>20628401#046</v>
          </cell>
          <cell r="H805" t="str">
            <v>Aktia Rahastoyhtiö Oy</v>
          </cell>
        </row>
        <row r="806">
          <cell r="B806" t="str">
            <v>20628401#047</v>
          </cell>
          <cell r="H806" t="str">
            <v>Aktia Rahastoyhtiö Oy</v>
          </cell>
        </row>
        <row r="807">
          <cell r="B807" t="str">
            <v>20628401#048</v>
          </cell>
          <cell r="H807" t="str">
            <v>Aktia Rahastoyhtiö Oy</v>
          </cell>
        </row>
        <row r="808">
          <cell r="B808" t="str">
            <v>20628401#049</v>
          </cell>
          <cell r="H808" t="str">
            <v>Aktia Rahastoyhtiö Oy</v>
          </cell>
        </row>
        <row r="809">
          <cell r="B809" t="str">
            <v>20628401#053</v>
          </cell>
          <cell r="H809" t="str">
            <v>Aktia Rahastoyhtiö Oy</v>
          </cell>
        </row>
        <row r="810">
          <cell r="B810" t="str">
            <v>20628401#054</v>
          </cell>
          <cell r="H810" t="str">
            <v>Aktia Rahastoyhtiö Oy</v>
          </cell>
        </row>
        <row r="811">
          <cell r="B811" t="str">
            <v>20628401#055</v>
          </cell>
          <cell r="H811" t="str">
            <v>Aktia Rahastoyhtiö Oy</v>
          </cell>
        </row>
        <row r="812">
          <cell r="B812" t="str">
            <v>20628401#056</v>
          </cell>
          <cell r="H812" t="str">
            <v>Aktia Rahastoyhtiö Oy</v>
          </cell>
        </row>
        <row r="813">
          <cell r="B813" t="str">
            <v>20628401#057</v>
          </cell>
          <cell r="H813" t="str">
            <v>Aktia Rahastoyhtiö Oy</v>
          </cell>
        </row>
        <row r="814">
          <cell r="B814" t="str">
            <v>20628401#103</v>
          </cell>
          <cell r="H814" t="str">
            <v>Aktia Rahastoyhtiö Oy</v>
          </cell>
        </row>
        <row r="815">
          <cell r="B815" t="str">
            <v>20628401#104</v>
          </cell>
          <cell r="H815" t="str">
            <v>Aktia Rahastoyhtiö Oy</v>
          </cell>
        </row>
        <row r="816">
          <cell r="B816" t="str">
            <v>20628401#105</v>
          </cell>
          <cell r="H816" t="str">
            <v>Aktia Rahastoyhtiö Oy</v>
          </cell>
        </row>
        <row r="817">
          <cell r="B817" t="str">
            <v>20628401#106</v>
          </cell>
          <cell r="H817" t="str">
            <v>Aktia Rahastoyhtiö Oy</v>
          </cell>
        </row>
        <row r="818">
          <cell r="B818" t="str">
            <v>20628401#107</v>
          </cell>
          <cell r="H818" t="str">
            <v>Aktia Rahastoyhtiö Oy</v>
          </cell>
        </row>
        <row r="819">
          <cell r="B819" t="str">
            <v>20628401#110</v>
          </cell>
          <cell r="H819" t="str">
            <v>Aktia Rahastoyhtiö Oy</v>
          </cell>
        </row>
        <row r="820">
          <cell r="B820" t="str">
            <v>20628401#116</v>
          </cell>
          <cell r="H820" t="str">
            <v>Aktia Rahastoyhtiö Oy</v>
          </cell>
        </row>
        <row r="821">
          <cell r="B821" t="str">
            <v>20628401#117</v>
          </cell>
          <cell r="H821" t="str">
            <v>Aktia Rahastoyhtiö Oy</v>
          </cell>
        </row>
        <row r="822">
          <cell r="B822" t="str">
            <v>20628401#118</v>
          </cell>
          <cell r="H822" t="str">
            <v>Aktia Rahastoyhtiö Oy</v>
          </cell>
        </row>
        <row r="823">
          <cell r="B823" t="str">
            <v>20628401#119</v>
          </cell>
          <cell r="H823" t="str">
            <v>Aktia Rahastoyhtiö Oy</v>
          </cell>
        </row>
        <row r="824">
          <cell r="B824" t="str">
            <v>20628401#120</v>
          </cell>
          <cell r="H824" t="str">
            <v>Aktia Rahastoyhtiö Oy</v>
          </cell>
        </row>
        <row r="825">
          <cell r="B825" t="str">
            <v>20741519#001</v>
          </cell>
          <cell r="H825" t="str">
            <v>LähiTapiola Kiinteistövarainhoito Oy</v>
          </cell>
        </row>
        <row r="826">
          <cell r="B826" t="str">
            <v>20741519#002</v>
          </cell>
          <cell r="H826" t="str">
            <v>LähiTapiola Kiinteistövarainhoito Oy</v>
          </cell>
        </row>
        <row r="827">
          <cell r="B827" t="str">
            <v>20741519#004</v>
          </cell>
          <cell r="H827" t="str">
            <v>LähiTapiola Kiinteistövarainhoito Oy</v>
          </cell>
        </row>
        <row r="828">
          <cell r="B828" t="str">
            <v>21181015#025</v>
          </cell>
          <cell r="H828" t="str">
            <v>UB Rahastoyhtiö Oy</v>
          </cell>
        </row>
        <row r="829">
          <cell r="B829" t="str">
            <v>21181015#035</v>
          </cell>
          <cell r="H829" t="str">
            <v>UB Rahastoyhtiö Oy</v>
          </cell>
        </row>
        <row r="830">
          <cell r="B830" t="str">
            <v>21181015#036</v>
          </cell>
          <cell r="H830" t="str">
            <v>UB Rahastoyhtiö Oy</v>
          </cell>
        </row>
        <row r="831">
          <cell r="B831" t="str">
            <v>21181015#037</v>
          </cell>
          <cell r="H831" t="str">
            <v>UB Rahastoyhtiö Oy</v>
          </cell>
        </row>
        <row r="832">
          <cell r="B832" t="str">
            <v>21181015#040</v>
          </cell>
          <cell r="H832" t="str">
            <v>UB Rahastoyhtiö Oy</v>
          </cell>
        </row>
        <row r="833">
          <cell r="B833" t="str">
            <v>21181015#041</v>
          </cell>
          <cell r="H833" t="str">
            <v>UB Rahastoyhtiö Oy</v>
          </cell>
        </row>
        <row r="834">
          <cell r="B834" t="str">
            <v>21181015#044</v>
          </cell>
          <cell r="H834" t="str">
            <v>UB Rahastoyhtiö Oy</v>
          </cell>
        </row>
        <row r="835">
          <cell r="B835" t="str">
            <v>21181015#046</v>
          </cell>
          <cell r="H835" t="str">
            <v>UB Rahastoyhtiö Oy</v>
          </cell>
        </row>
        <row r="836">
          <cell r="B836" t="str">
            <v>21181015#050</v>
          </cell>
          <cell r="H836" t="str">
            <v>UB Rahastoyhtiö Oy</v>
          </cell>
        </row>
        <row r="837">
          <cell r="B837" t="str">
            <v>21181015#051</v>
          </cell>
          <cell r="H837" t="str">
            <v>UB Rahastoyhtiö Oy</v>
          </cell>
        </row>
        <row r="838">
          <cell r="B838" t="str">
            <v>21181015#053</v>
          </cell>
          <cell r="H838" t="str">
            <v>UB Rahastoyhtiö Oy</v>
          </cell>
        </row>
        <row r="839">
          <cell r="B839" t="str">
            <v>21181015#056</v>
          </cell>
          <cell r="H839" t="str">
            <v>UB Rahastoyhtiö Oy</v>
          </cell>
        </row>
        <row r="840">
          <cell r="B840" t="str">
            <v>21181015#057</v>
          </cell>
          <cell r="H840" t="str">
            <v>UB Rahastoyhtiö Oy</v>
          </cell>
        </row>
        <row r="841">
          <cell r="B841" t="str">
            <v>21283126#020</v>
          </cell>
          <cell r="H841" t="str">
            <v>Vaaka Partners Oy</v>
          </cell>
        </row>
        <row r="842">
          <cell r="B842" t="str">
            <v>21283126#021</v>
          </cell>
          <cell r="H842" t="str">
            <v>Vaaka Partners Oy</v>
          </cell>
        </row>
        <row r="843">
          <cell r="B843" t="str">
            <v>21283126#022</v>
          </cell>
          <cell r="H843" t="str">
            <v>Vaaka Partners Oy</v>
          </cell>
        </row>
        <row r="844">
          <cell r="B844" t="str">
            <v>21283126#023</v>
          </cell>
          <cell r="H844" t="str">
            <v>Vaaka Partners Oy</v>
          </cell>
        </row>
        <row r="845">
          <cell r="B845" t="str">
            <v>21283126#024</v>
          </cell>
          <cell r="H845" t="str">
            <v>Vaaka Partners Oy</v>
          </cell>
        </row>
        <row r="846">
          <cell r="B846" t="str">
            <v>21520937#001</v>
          </cell>
          <cell r="H846" t="str">
            <v>Folmer Management Oy</v>
          </cell>
        </row>
        <row r="847">
          <cell r="B847" t="str">
            <v>21520937#002</v>
          </cell>
          <cell r="H847" t="str">
            <v>Folmer Management Oy</v>
          </cell>
        </row>
        <row r="848">
          <cell r="B848" t="str">
            <v>21520937#003</v>
          </cell>
          <cell r="H848" t="str">
            <v>Folmer Management Oy</v>
          </cell>
        </row>
        <row r="849">
          <cell r="B849" t="str">
            <v>21539603#001</v>
          </cell>
          <cell r="H849" t="str">
            <v>Avara Rahastot Oy</v>
          </cell>
        </row>
        <row r="850">
          <cell r="B850" t="str">
            <v>21539603#002</v>
          </cell>
          <cell r="H850" t="str">
            <v>Avara Rahastot Oy</v>
          </cell>
        </row>
        <row r="851">
          <cell r="B851" t="str">
            <v>21539603#003</v>
          </cell>
          <cell r="H851" t="str">
            <v>Avara Rahastot Oy</v>
          </cell>
        </row>
        <row r="852">
          <cell r="B852" t="str">
            <v>21539603#004</v>
          </cell>
          <cell r="H852" t="str">
            <v>Avara Rahastot Oy</v>
          </cell>
        </row>
        <row r="853">
          <cell r="B853" t="str">
            <v>21539603#005</v>
          </cell>
          <cell r="H853" t="str">
            <v>Avara Rahastot Oy</v>
          </cell>
        </row>
        <row r="854">
          <cell r="B854" t="str">
            <v>21539603#006</v>
          </cell>
          <cell r="H854" t="str">
            <v>Avara Rahastot Oy</v>
          </cell>
        </row>
        <row r="855">
          <cell r="B855" t="str">
            <v>21539603#007</v>
          </cell>
          <cell r="H855" t="str">
            <v>Avara Rahastot Oy</v>
          </cell>
        </row>
        <row r="856">
          <cell r="B856" t="str">
            <v>22032150#001</v>
          </cell>
          <cell r="H856" t="str">
            <v>ICECAPITAL REAM Oy</v>
          </cell>
        </row>
        <row r="857">
          <cell r="B857" t="str">
            <v>22032150#002</v>
          </cell>
          <cell r="H857" t="str">
            <v>ICECAPITAL REAM Oy</v>
          </cell>
        </row>
        <row r="858">
          <cell r="B858" t="str">
            <v>22032150#013</v>
          </cell>
          <cell r="H858" t="str">
            <v>ICECAPITAL REAM Oy</v>
          </cell>
        </row>
        <row r="859">
          <cell r="B859" t="str">
            <v>22032150#014</v>
          </cell>
          <cell r="H859" t="str">
            <v>ICECAPITAL REAM Oy</v>
          </cell>
        </row>
        <row r="860">
          <cell r="B860" t="str">
            <v>22032150#015</v>
          </cell>
          <cell r="H860" t="str">
            <v>ICECAPITAL REAM Oy</v>
          </cell>
        </row>
        <row r="861">
          <cell r="B861" t="str">
            <v>22032150#016</v>
          </cell>
          <cell r="H861" t="str">
            <v>ICECAPITAL REAM Oy</v>
          </cell>
        </row>
        <row r="862">
          <cell r="B862" t="str">
            <v>22032150#017</v>
          </cell>
          <cell r="H862" t="str">
            <v>ICECAPITAL REAM Oy</v>
          </cell>
        </row>
        <row r="863">
          <cell r="B863" t="str">
            <v>22245500#001</v>
          </cell>
          <cell r="H863" t="str">
            <v>Tesi Fund Management Oy</v>
          </cell>
        </row>
        <row r="864">
          <cell r="B864" t="str">
            <v>22245500#002</v>
          </cell>
          <cell r="H864" t="str">
            <v>Tesi Fund Management Oy</v>
          </cell>
        </row>
        <row r="865">
          <cell r="B865" t="str">
            <v>22245500#003</v>
          </cell>
          <cell r="H865" t="str">
            <v>Tesi Fund Management Oy</v>
          </cell>
        </row>
        <row r="866">
          <cell r="B866" t="str">
            <v>22245500#004</v>
          </cell>
          <cell r="H866" t="str">
            <v>Tesi Fund Management Oy</v>
          </cell>
        </row>
        <row r="867">
          <cell r="B867" t="str">
            <v>22245500#005</v>
          </cell>
          <cell r="H867" t="str">
            <v>Tesi Fund Management Oy</v>
          </cell>
        </row>
        <row r="868">
          <cell r="B868" t="str">
            <v>22307951#001</v>
          </cell>
          <cell r="H868" t="str">
            <v>Essedel Capital Partners Oy</v>
          </cell>
        </row>
        <row r="869">
          <cell r="B869" t="str">
            <v>22380761#004</v>
          </cell>
          <cell r="H869" t="str">
            <v>Canelco Management Oy</v>
          </cell>
        </row>
        <row r="870">
          <cell r="B870" t="str">
            <v>22380761#007</v>
          </cell>
          <cell r="H870" t="str">
            <v>Canelco Management Oy</v>
          </cell>
        </row>
        <row r="871">
          <cell r="B871" t="str">
            <v>22643277#001</v>
          </cell>
          <cell r="H871" t="str">
            <v>Taaleri Pääomarahastot Oy</v>
          </cell>
        </row>
        <row r="872">
          <cell r="B872" t="str">
            <v>22643277#007</v>
          </cell>
          <cell r="H872" t="str">
            <v>Taaleri Pääomarahastot Oy</v>
          </cell>
        </row>
        <row r="873">
          <cell r="B873" t="str">
            <v>22643277#009</v>
          </cell>
          <cell r="H873" t="str">
            <v>Taaleri Pääomarahastot Oy</v>
          </cell>
        </row>
        <row r="874">
          <cell r="B874" t="str">
            <v>22643277#013</v>
          </cell>
          <cell r="H874" t="str">
            <v>Taaleri Pääomarahastot Oy</v>
          </cell>
        </row>
        <row r="875">
          <cell r="B875" t="str">
            <v>22643277#015</v>
          </cell>
          <cell r="H875" t="str">
            <v>Taaleri Pääomarahastot Oy</v>
          </cell>
        </row>
        <row r="876">
          <cell r="B876" t="str">
            <v>22643277#017</v>
          </cell>
          <cell r="H876" t="str">
            <v>Taaleri Pääomarahastot Oy</v>
          </cell>
        </row>
        <row r="877">
          <cell r="B877" t="str">
            <v>22643277#021</v>
          </cell>
          <cell r="H877" t="str">
            <v>Taaleri Pääomarahastot Oy</v>
          </cell>
        </row>
        <row r="878">
          <cell r="B878" t="str">
            <v>22643277#022</v>
          </cell>
          <cell r="H878" t="str">
            <v>Taaleri Pääomarahastot Oy</v>
          </cell>
        </row>
        <row r="879">
          <cell r="B879" t="str">
            <v>22643277#023</v>
          </cell>
          <cell r="H879" t="str">
            <v>Taaleri Pääomarahastot Oy</v>
          </cell>
        </row>
        <row r="880">
          <cell r="B880" t="str">
            <v>22643277#024</v>
          </cell>
          <cell r="H880" t="str">
            <v>Taaleri Pääomarahastot Oy</v>
          </cell>
        </row>
        <row r="881">
          <cell r="B881" t="str">
            <v>22643277#025</v>
          </cell>
          <cell r="H881" t="str">
            <v>Taaleri Pääomarahastot Oy</v>
          </cell>
        </row>
        <row r="882">
          <cell r="B882" t="str">
            <v>22643277#026</v>
          </cell>
          <cell r="H882" t="str">
            <v>Taaleri Pääomarahastot Oy</v>
          </cell>
        </row>
        <row r="883">
          <cell r="B883" t="str">
            <v>22643277#027</v>
          </cell>
          <cell r="H883" t="str">
            <v>Taaleri Pääomarahastot Oy</v>
          </cell>
        </row>
        <row r="884">
          <cell r="B884" t="str">
            <v>22643277#028</v>
          </cell>
          <cell r="H884" t="str">
            <v>Taaleri Pääomarahastot Oy</v>
          </cell>
        </row>
        <row r="885">
          <cell r="B885" t="str">
            <v>22643277#029</v>
          </cell>
          <cell r="H885" t="str">
            <v>Taaleri Pääomarahastot Oy</v>
          </cell>
        </row>
        <row r="886">
          <cell r="B886" t="str">
            <v>22643277#030</v>
          </cell>
          <cell r="H886" t="str">
            <v>Taaleri Pääomarahastot Oy</v>
          </cell>
        </row>
        <row r="887">
          <cell r="B887" t="str">
            <v>22643277#032</v>
          </cell>
          <cell r="H887" t="str">
            <v>Taaleri Pääomarahastot Oy</v>
          </cell>
        </row>
        <row r="888">
          <cell r="B888" t="str">
            <v>22643277#034</v>
          </cell>
          <cell r="H888" t="str">
            <v>Taaleri Pääomarahastot Oy</v>
          </cell>
        </row>
        <row r="889">
          <cell r="B889" t="str">
            <v>22643277#035</v>
          </cell>
          <cell r="H889" t="str">
            <v>Taaleri Pääomarahastot Oy</v>
          </cell>
        </row>
        <row r="890">
          <cell r="B890" t="str">
            <v>22643277#036</v>
          </cell>
          <cell r="H890" t="str">
            <v>Taaleri Pääomarahastot Oy</v>
          </cell>
        </row>
        <row r="891">
          <cell r="B891" t="str">
            <v>22643277#037</v>
          </cell>
          <cell r="H891" t="str">
            <v>Taaleri Pääomarahastot Oy</v>
          </cell>
        </row>
        <row r="892">
          <cell r="B892" t="str">
            <v>22643277#038</v>
          </cell>
          <cell r="H892" t="str">
            <v>Taaleri Pääomarahastot Oy</v>
          </cell>
        </row>
        <row r="893">
          <cell r="B893" t="str">
            <v>22643277#039</v>
          </cell>
          <cell r="H893" t="str">
            <v>Taaleri Pääomarahastot Oy</v>
          </cell>
        </row>
        <row r="894">
          <cell r="B894" t="str">
            <v>22643277#040</v>
          </cell>
          <cell r="H894" t="str">
            <v>Taaleri Pääomarahastot Oy</v>
          </cell>
        </row>
        <row r="895">
          <cell r="B895" t="str">
            <v>22643277#042</v>
          </cell>
          <cell r="H895" t="str">
            <v>Taaleri Pääomarahastot Oy</v>
          </cell>
        </row>
        <row r="896">
          <cell r="B896" t="str">
            <v>22643277#043</v>
          </cell>
          <cell r="H896" t="str">
            <v>Taaleri Pääomarahastot Oy</v>
          </cell>
        </row>
        <row r="897">
          <cell r="B897" t="str">
            <v>22643277#044</v>
          </cell>
          <cell r="H897" t="str">
            <v>Taaleri Pääomarahastot Oy</v>
          </cell>
        </row>
        <row r="898">
          <cell r="B898" t="str">
            <v>22643277#045</v>
          </cell>
          <cell r="H898" t="str">
            <v>Taaleri Pääomarahastot Oy</v>
          </cell>
        </row>
        <row r="899">
          <cell r="B899" t="str">
            <v>22643277#046</v>
          </cell>
          <cell r="H899" t="str">
            <v>Taaleri Pääomarahastot Oy</v>
          </cell>
        </row>
        <row r="900">
          <cell r="B900" t="str">
            <v>22643277#047</v>
          </cell>
          <cell r="H900" t="str">
            <v>Taaleri Pääomarahastot Oy</v>
          </cell>
        </row>
        <row r="901">
          <cell r="B901" t="str">
            <v>22643277#048</v>
          </cell>
          <cell r="H901" t="str">
            <v>Taaleri Pääomarahastot Oy</v>
          </cell>
        </row>
        <row r="902">
          <cell r="B902" t="str">
            <v>22643277#049</v>
          </cell>
          <cell r="H902" t="str">
            <v>Taaleri Pääomarahastot Oy</v>
          </cell>
        </row>
        <row r="903">
          <cell r="B903" t="str">
            <v>22643277#054</v>
          </cell>
          <cell r="H903" t="str">
            <v>Taaleri Pääomarahastot Oy</v>
          </cell>
        </row>
        <row r="904">
          <cell r="B904" t="str">
            <v>22643277#055</v>
          </cell>
          <cell r="H904" t="str">
            <v>Taaleri Pääomarahastot Oy</v>
          </cell>
        </row>
        <row r="905">
          <cell r="B905" t="str">
            <v>22643277#056</v>
          </cell>
          <cell r="H905" t="str">
            <v>Taaleri Pääomarahastot Oy</v>
          </cell>
        </row>
        <row r="906">
          <cell r="B906" t="str">
            <v>22643277#057</v>
          </cell>
          <cell r="H906" t="str">
            <v>Taaleri Pääomarahastot Oy</v>
          </cell>
        </row>
        <row r="907">
          <cell r="B907" t="str">
            <v>22643277#058</v>
          </cell>
          <cell r="H907" t="str">
            <v>Taaleri Pääomarahastot Oy</v>
          </cell>
        </row>
        <row r="908">
          <cell r="B908" t="str">
            <v>22643277#059</v>
          </cell>
          <cell r="H908" t="str">
            <v>Taaleri Pääomarahastot Oy</v>
          </cell>
        </row>
        <row r="909">
          <cell r="B909" t="str">
            <v>22643277#060</v>
          </cell>
          <cell r="H909" t="str">
            <v>Taaleri Pääomarahastot Oy</v>
          </cell>
        </row>
        <row r="910">
          <cell r="B910" t="str">
            <v>22643277#061</v>
          </cell>
          <cell r="H910" t="str">
            <v>Taaleri Pääomarahastot Oy</v>
          </cell>
        </row>
        <row r="911">
          <cell r="B911" t="str">
            <v>22643277#062</v>
          </cell>
          <cell r="H911" t="str">
            <v>Taaleri Pääomarahastot Oy</v>
          </cell>
        </row>
        <row r="912">
          <cell r="B912" t="str">
            <v>22643277#063</v>
          </cell>
          <cell r="H912" t="str">
            <v>Taaleri Pääomarahastot Oy</v>
          </cell>
        </row>
        <row r="913">
          <cell r="B913" t="str">
            <v>22643277#064</v>
          </cell>
          <cell r="H913" t="str">
            <v>Taaleri Pääomarahastot Oy</v>
          </cell>
        </row>
        <row r="914">
          <cell r="B914" t="str">
            <v>22643277#065</v>
          </cell>
          <cell r="H914" t="str">
            <v>Taaleri Pääomarahastot Oy</v>
          </cell>
        </row>
        <row r="915">
          <cell r="B915" t="str">
            <v>22643277#066</v>
          </cell>
          <cell r="H915" t="str">
            <v>Taaleri Pääomarahastot Oy</v>
          </cell>
        </row>
        <row r="916">
          <cell r="B916" t="str">
            <v>22643277#072</v>
          </cell>
          <cell r="H916" t="str">
            <v>Taaleri Pääomarahastot Oy</v>
          </cell>
        </row>
        <row r="917">
          <cell r="B917" t="str">
            <v>22643277#073</v>
          </cell>
          <cell r="H917" t="str">
            <v>Taaleri Pääomarahastot Oy</v>
          </cell>
        </row>
        <row r="918">
          <cell r="B918" t="str">
            <v>22643277#074</v>
          </cell>
          <cell r="H918" t="str">
            <v>Taaleri Pääomarahastot Oy</v>
          </cell>
        </row>
        <row r="919">
          <cell r="B919" t="str">
            <v>22643277#075</v>
          </cell>
          <cell r="H919" t="str">
            <v>Taaleri Pääomarahastot Oy</v>
          </cell>
        </row>
        <row r="920">
          <cell r="B920" t="str">
            <v>22643277#076</v>
          </cell>
          <cell r="H920" t="str">
            <v>Taaleri Pääomarahastot Oy</v>
          </cell>
        </row>
        <row r="921">
          <cell r="B921" t="str">
            <v>22643277#077</v>
          </cell>
          <cell r="H921" t="str">
            <v>Taaleri Pääomarahastot Oy</v>
          </cell>
        </row>
        <row r="922">
          <cell r="B922" t="str">
            <v>22643277#079</v>
          </cell>
          <cell r="H922" t="str">
            <v>Taaleri Pääomarahastot Oy</v>
          </cell>
        </row>
        <row r="923">
          <cell r="B923" t="str">
            <v>22643277#080</v>
          </cell>
          <cell r="H923" t="str">
            <v>Taaleri Pääomarahastot Oy</v>
          </cell>
        </row>
        <row r="924">
          <cell r="B924" t="str">
            <v>22643277#081</v>
          </cell>
          <cell r="H924" t="str">
            <v>Taaleri Pääomarahastot Oy</v>
          </cell>
        </row>
        <row r="925">
          <cell r="B925" t="str">
            <v>22886797#002</v>
          </cell>
          <cell r="H925" t="str">
            <v>Nordic Game Fund Management Oy</v>
          </cell>
        </row>
        <row r="926">
          <cell r="B926" t="str">
            <v>22934349#001</v>
          </cell>
          <cell r="H926" t="str">
            <v>Open Ocean Capital Oy</v>
          </cell>
        </row>
        <row r="927">
          <cell r="B927" t="str">
            <v>22934349#002</v>
          </cell>
          <cell r="H927" t="str">
            <v>Open Ocean Capital Oy</v>
          </cell>
        </row>
        <row r="928">
          <cell r="B928" t="str">
            <v>23027732#001</v>
          </cell>
          <cell r="H928" t="str">
            <v>Conor Venture Partners Oy</v>
          </cell>
        </row>
        <row r="929">
          <cell r="B929" t="str">
            <v>23027732#004</v>
          </cell>
          <cell r="H929" t="str">
            <v>Conor Venture Partners Oy</v>
          </cell>
        </row>
        <row r="930">
          <cell r="B930" t="str">
            <v>23027732#005</v>
          </cell>
          <cell r="H930" t="str">
            <v>Conor Venture Partners Oy</v>
          </cell>
        </row>
        <row r="931">
          <cell r="B931" t="str">
            <v>23066336#005</v>
          </cell>
          <cell r="H931" t="str">
            <v>Armada Credit Partners Oy</v>
          </cell>
        </row>
        <row r="932">
          <cell r="B932" t="str">
            <v>23066336#006</v>
          </cell>
          <cell r="H932" t="str">
            <v>Armada Credit Partners Oy</v>
          </cell>
        </row>
        <row r="933">
          <cell r="B933" t="str">
            <v>23066336#007</v>
          </cell>
          <cell r="H933" t="str">
            <v>Armada Credit Partners Oy</v>
          </cell>
        </row>
        <row r="934">
          <cell r="B934" t="str">
            <v>23380405#001</v>
          </cell>
          <cell r="H934" t="str">
            <v>Royal Majestics Helsinki Oy</v>
          </cell>
        </row>
        <row r="935">
          <cell r="B935" t="str">
            <v>24137685#001</v>
          </cell>
          <cell r="H935" t="str">
            <v>Confido Kiinteistöhallinta Oy</v>
          </cell>
        </row>
        <row r="936">
          <cell r="B936" t="str">
            <v>24137685#002</v>
          </cell>
          <cell r="H936" t="str">
            <v>Confido Kiinteistöhallinta Oy</v>
          </cell>
        </row>
        <row r="937">
          <cell r="B937" t="str">
            <v>24137685#003</v>
          </cell>
          <cell r="H937" t="str">
            <v>Confido Kiinteistöhallinta Oy</v>
          </cell>
        </row>
        <row r="938">
          <cell r="B938" t="str">
            <v>24169855#001</v>
          </cell>
          <cell r="H938" t="str">
            <v>Certior Capital Oy</v>
          </cell>
        </row>
        <row r="939">
          <cell r="B939" t="str">
            <v>24169855#002</v>
          </cell>
          <cell r="H939" t="str">
            <v>Certior Capital Oy</v>
          </cell>
        </row>
        <row r="940">
          <cell r="B940" t="str">
            <v>24169855#003</v>
          </cell>
          <cell r="H940" t="str">
            <v>Certior Capital Oy</v>
          </cell>
        </row>
        <row r="941">
          <cell r="B941" t="str">
            <v>24169855#004</v>
          </cell>
          <cell r="H941" t="str">
            <v>Certior Capital Oy</v>
          </cell>
        </row>
        <row r="942">
          <cell r="B942" t="str">
            <v>24169855#006</v>
          </cell>
          <cell r="H942" t="str">
            <v>Certior Capital Oy</v>
          </cell>
        </row>
        <row r="943">
          <cell r="B943" t="str">
            <v>24169855#007</v>
          </cell>
          <cell r="H943" t="str">
            <v>Certior Capital Oy</v>
          </cell>
        </row>
        <row r="944">
          <cell r="B944" t="str">
            <v>24169855#008</v>
          </cell>
          <cell r="H944" t="str">
            <v>Certior Capital Oy</v>
          </cell>
        </row>
        <row r="945">
          <cell r="B945" t="str">
            <v>24478471#001</v>
          </cell>
          <cell r="H945" t="str">
            <v>Gorilla Ventures Oy</v>
          </cell>
        </row>
        <row r="946">
          <cell r="B946" t="str">
            <v>24597710#001</v>
          </cell>
          <cell r="H946" t="str">
            <v>Hamilton &amp; Cooper Properties Oy</v>
          </cell>
        </row>
        <row r="947">
          <cell r="B947" t="str">
            <v>24597710#002</v>
          </cell>
          <cell r="H947" t="str">
            <v>Hamilton &amp; Cooper Properties Oy</v>
          </cell>
        </row>
        <row r="948">
          <cell r="B948" t="str">
            <v>24631421#001</v>
          </cell>
          <cell r="H948" t="str">
            <v>VisionPlus Oyj</v>
          </cell>
        </row>
        <row r="949">
          <cell r="B949" t="str">
            <v>24641398#001</v>
          </cell>
          <cell r="H949" t="str">
            <v>Lifeline Ventures Fund Management Oy</v>
          </cell>
        </row>
        <row r="950">
          <cell r="B950" t="str">
            <v>24641398#002</v>
          </cell>
          <cell r="H950" t="str">
            <v>Lifeline Ventures Fund Management Oy</v>
          </cell>
        </row>
        <row r="951">
          <cell r="B951" t="str">
            <v>24641398#003</v>
          </cell>
          <cell r="H951" t="str">
            <v>Lifeline Ventures Fund Management Oy</v>
          </cell>
        </row>
        <row r="952">
          <cell r="B952" t="str">
            <v>24764259#001</v>
          </cell>
          <cell r="H952" t="str">
            <v>Butterfly Ventures Oy</v>
          </cell>
        </row>
        <row r="953">
          <cell r="B953" t="str">
            <v>24764259#002</v>
          </cell>
          <cell r="H953" t="str">
            <v>Butterfly Ventures Oy</v>
          </cell>
        </row>
        <row r="954">
          <cell r="B954" t="str">
            <v>24764259#003</v>
          </cell>
          <cell r="H954" t="str">
            <v>Butterfly Ventures Oy</v>
          </cell>
        </row>
        <row r="955">
          <cell r="B955" t="str">
            <v>24764259#004</v>
          </cell>
          <cell r="H955" t="str">
            <v>Butterfly Ventures Oy</v>
          </cell>
        </row>
        <row r="956">
          <cell r="B956" t="str">
            <v>24764259#005</v>
          </cell>
          <cell r="H956" t="str">
            <v>Butterfly Ventures Oy</v>
          </cell>
        </row>
        <row r="957">
          <cell r="B957" t="str">
            <v>24764259#006</v>
          </cell>
          <cell r="H957" t="str">
            <v>Butterfly Ventures Oy</v>
          </cell>
        </row>
        <row r="958">
          <cell r="B958" t="str">
            <v>24764259#007</v>
          </cell>
          <cell r="H958" t="str">
            <v>Butterfly Ventures Oy</v>
          </cell>
        </row>
        <row r="959">
          <cell r="B959" t="str">
            <v>24776970#001</v>
          </cell>
          <cell r="H959" t="str">
            <v>Verso Capital Oy</v>
          </cell>
        </row>
        <row r="960">
          <cell r="B960" t="str">
            <v>24776970#002</v>
          </cell>
          <cell r="H960" t="str">
            <v>Verso Capital Oy</v>
          </cell>
        </row>
        <row r="961">
          <cell r="B961" t="str">
            <v>24776970#003</v>
          </cell>
          <cell r="H961" t="str">
            <v>Verso Capital Oy</v>
          </cell>
        </row>
        <row r="962">
          <cell r="B962" t="str">
            <v>24872719#001</v>
          </cell>
          <cell r="H962" t="str">
            <v>Bocap SME Advisors Oy</v>
          </cell>
        </row>
        <row r="963">
          <cell r="B963" t="str">
            <v>25287175#001</v>
          </cell>
          <cell r="H963" t="str">
            <v>Yrityskiihdyttämö East Wings Oy</v>
          </cell>
        </row>
        <row r="964">
          <cell r="B964" t="str">
            <v>25416942#002</v>
          </cell>
          <cell r="H964" t="str">
            <v>WasaGroup Funds Oy</v>
          </cell>
        </row>
        <row r="965">
          <cell r="B965" t="str">
            <v>25416942#003</v>
          </cell>
          <cell r="H965" t="str">
            <v>WasaGroup Funds Oy</v>
          </cell>
        </row>
        <row r="966">
          <cell r="B966" t="str">
            <v>25487003#001</v>
          </cell>
          <cell r="H966" t="str">
            <v>CapMan Buyout X GP Oy</v>
          </cell>
        </row>
        <row r="967">
          <cell r="B967" t="str">
            <v>25487062#001</v>
          </cell>
          <cell r="H967" t="str">
            <v>CapMan Endowment GP Oy</v>
          </cell>
        </row>
        <row r="968">
          <cell r="B968" t="str">
            <v>25487062#002</v>
          </cell>
          <cell r="H968" t="str">
            <v>CapMan Endowment GP Oy</v>
          </cell>
        </row>
        <row r="969">
          <cell r="B969" t="str">
            <v>25487062#003</v>
          </cell>
          <cell r="H969" t="str">
            <v>CapMan Endowment GP Oy</v>
          </cell>
        </row>
        <row r="970">
          <cell r="B970" t="str">
            <v>25755274#002</v>
          </cell>
          <cell r="H970" t="str">
            <v>NegaWatt Energia Oy</v>
          </cell>
        </row>
        <row r="971">
          <cell r="B971" t="str">
            <v>25997361#005</v>
          </cell>
          <cell r="H971" t="str">
            <v>Korkia Capital Oy</v>
          </cell>
        </row>
        <row r="972">
          <cell r="B972" t="str">
            <v>25997361#006</v>
          </cell>
          <cell r="H972" t="str">
            <v>Korkia Capital Oy</v>
          </cell>
        </row>
        <row r="973">
          <cell r="B973" t="str">
            <v>25997361#010</v>
          </cell>
          <cell r="H973" t="str">
            <v>Korkia Capital Oy</v>
          </cell>
        </row>
        <row r="974">
          <cell r="B974" t="str">
            <v>25997361#011</v>
          </cell>
          <cell r="H974" t="str">
            <v>Korkia Capital Oy</v>
          </cell>
        </row>
        <row r="975">
          <cell r="B975" t="str">
            <v>25997361#012</v>
          </cell>
          <cell r="H975" t="str">
            <v>Korkia Capital Oy</v>
          </cell>
        </row>
        <row r="976">
          <cell r="B976" t="str">
            <v>25997361#013</v>
          </cell>
          <cell r="H976" t="str">
            <v>Korkia Capital Oy</v>
          </cell>
        </row>
        <row r="977">
          <cell r="B977" t="str">
            <v>25997361#014</v>
          </cell>
          <cell r="H977" t="str">
            <v>Korkia Capital Oy</v>
          </cell>
        </row>
        <row r="978">
          <cell r="B978" t="str">
            <v>25997361#015</v>
          </cell>
          <cell r="H978" t="str">
            <v>Korkia Capital Oy</v>
          </cell>
        </row>
        <row r="979">
          <cell r="B979" t="str">
            <v>26188179#001</v>
          </cell>
          <cell r="H979" t="str">
            <v>Aurora Studios Oy</v>
          </cell>
        </row>
        <row r="980">
          <cell r="B980" t="str">
            <v>26188179#002</v>
          </cell>
          <cell r="H980" t="str">
            <v>Aurora Studios Oy</v>
          </cell>
        </row>
        <row r="981">
          <cell r="B981" t="str">
            <v>26194405#001</v>
          </cell>
          <cell r="H981" t="str">
            <v>DevCo Partners Oy</v>
          </cell>
        </row>
        <row r="982">
          <cell r="B982" t="str">
            <v>26194405#002</v>
          </cell>
          <cell r="H982" t="str">
            <v>DevCo Partners Oy</v>
          </cell>
        </row>
        <row r="983">
          <cell r="B983" t="str">
            <v>26194405#003</v>
          </cell>
          <cell r="H983" t="str">
            <v>DevCo Partners Oy</v>
          </cell>
        </row>
        <row r="984">
          <cell r="B984" t="str">
            <v>26194405#004</v>
          </cell>
          <cell r="H984" t="str">
            <v>DevCo Partners Oy</v>
          </cell>
        </row>
        <row r="985">
          <cell r="B985" t="str">
            <v>26391679#001</v>
          </cell>
          <cell r="H985" t="str">
            <v>Juuri Partners Oy</v>
          </cell>
        </row>
        <row r="986">
          <cell r="B986" t="str">
            <v>26391679#002</v>
          </cell>
          <cell r="H986" t="str">
            <v>Juuri Partners Oy</v>
          </cell>
        </row>
        <row r="987">
          <cell r="B987" t="str">
            <v>26391679#003</v>
          </cell>
          <cell r="H987" t="str">
            <v>Juuri Partners Oy</v>
          </cell>
        </row>
        <row r="988">
          <cell r="B988" t="str">
            <v>26630385#001</v>
          </cell>
          <cell r="H988" t="str">
            <v>IPR.VC Management Oy</v>
          </cell>
        </row>
        <row r="989">
          <cell r="B989" t="str">
            <v>26630385#002</v>
          </cell>
          <cell r="H989" t="str">
            <v>IPR.VC Management Oy</v>
          </cell>
        </row>
        <row r="990">
          <cell r="B990" t="str">
            <v>26630385#003</v>
          </cell>
          <cell r="H990" t="str">
            <v>IPR.VC Management Oy</v>
          </cell>
        </row>
        <row r="991">
          <cell r="B991" t="str">
            <v>26630385#004</v>
          </cell>
          <cell r="H991" t="str">
            <v>IPR.VC Management Oy</v>
          </cell>
        </row>
        <row r="992">
          <cell r="B992" t="str">
            <v>26630385#005</v>
          </cell>
          <cell r="H992" t="str">
            <v>IPR.VC Management Oy</v>
          </cell>
        </row>
        <row r="993">
          <cell r="B993" t="str">
            <v>26638993#001</v>
          </cell>
          <cell r="H993" t="str">
            <v>Open Ocean Partners Oy</v>
          </cell>
        </row>
        <row r="994">
          <cell r="B994" t="str">
            <v>26638993#004</v>
          </cell>
          <cell r="H994" t="str">
            <v>Open Ocean Partners Oy</v>
          </cell>
        </row>
        <row r="995">
          <cell r="B995" t="str">
            <v>26773685#001</v>
          </cell>
          <cell r="H995" t="str">
            <v>Confido Cataluna Oy</v>
          </cell>
        </row>
        <row r="996">
          <cell r="B996" t="str">
            <v>26794734#001</v>
          </cell>
          <cell r="H996" t="str">
            <v>Nest Capital 2015 GP Oy</v>
          </cell>
        </row>
        <row r="997">
          <cell r="B997" t="str">
            <v>26840569#001</v>
          </cell>
          <cell r="H997" t="str">
            <v>Courage Ventures Management Oy</v>
          </cell>
        </row>
        <row r="998">
          <cell r="B998" t="str">
            <v>26840569#002</v>
          </cell>
          <cell r="H998" t="str">
            <v>Courage Ventures Management Oy</v>
          </cell>
        </row>
        <row r="999">
          <cell r="B999" t="str">
            <v>26842943#001</v>
          </cell>
          <cell r="H999" t="str">
            <v>Samla Capital Oy</v>
          </cell>
        </row>
        <row r="1000">
          <cell r="B1000" t="str">
            <v>26842943#003</v>
          </cell>
          <cell r="H1000" t="str">
            <v>Samla Capital Oy</v>
          </cell>
        </row>
        <row r="1001">
          <cell r="B1001" t="str">
            <v>26842943#004</v>
          </cell>
          <cell r="H1001" t="str">
            <v>Samla Capital Oy</v>
          </cell>
        </row>
        <row r="1002">
          <cell r="B1002" t="str">
            <v>26842943#005</v>
          </cell>
          <cell r="H1002" t="str">
            <v>Samla Capital Oy</v>
          </cell>
        </row>
        <row r="1003">
          <cell r="B1003" t="str">
            <v>26879068#001</v>
          </cell>
          <cell r="H1003" t="str">
            <v>GreenMorrow Oy</v>
          </cell>
        </row>
        <row r="1004">
          <cell r="B1004" t="str">
            <v>26963091#001</v>
          </cell>
          <cell r="H1004" t="str">
            <v>Superhero Capital Oy</v>
          </cell>
        </row>
        <row r="1005">
          <cell r="B1005" t="str">
            <v>26963091#002</v>
          </cell>
          <cell r="H1005" t="str">
            <v>Superhero Capital Oy</v>
          </cell>
        </row>
        <row r="1006">
          <cell r="B1006" t="str">
            <v>26963091#003</v>
          </cell>
          <cell r="H1006" t="str">
            <v>Superhero Capital Oy</v>
          </cell>
        </row>
        <row r="1007">
          <cell r="B1007" t="str">
            <v>26963091#004</v>
          </cell>
          <cell r="H1007" t="str">
            <v>Superhero Capital Oy</v>
          </cell>
        </row>
        <row r="1008">
          <cell r="B1008" t="str">
            <v>26963091#005</v>
          </cell>
          <cell r="H1008" t="str">
            <v>Superhero Capital Oy</v>
          </cell>
        </row>
        <row r="1009">
          <cell r="B1009" t="str">
            <v>26963091#006</v>
          </cell>
          <cell r="H1009" t="str">
            <v>Superhero Capital Oy</v>
          </cell>
        </row>
        <row r="1010">
          <cell r="B1010" t="str">
            <v>26997152#001</v>
          </cell>
          <cell r="H1010" t="str">
            <v>MB Partners V Oy</v>
          </cell>
        </row>
        <row r="1011">
          <cell r="B1011" t="str">
            <v>27000385#001</v>
          </cell>
          <cell r="H1011" t="str">
            <v>Premico Asuntorahaston hallinnointiyhtiö Oy</v>
          </cell>
        </row>
        <row r="1012">
          <cell r="B1012" t="str">
            <v>27000385#002</v>
          </cell>
          <cell r="H1012" t="str">
            <v>Premico Asuntorahaston hallinnointiyhtiö Oy</v>
          </cell>
        </row>
        <row r="1013">
          <cell r="B1013" t="str">
            <v>27097164#001</v>
          </cell>
          <cell r="H1013" t="str">
            <v>Innovestor Ventures Oy</v>
          </cell>
        </row>
        <row r="1014">
          <cell r="B1014" t="str">
            <v>27097164#003</v>
          </cell>
          <cell r="H1014" t="str">
            <v>Innovestor Ventures Oy</v>
          </cell>
        </row>
        <row r="1015">
          <cell r="B1015" t="str">
            <v>27097164#004</v>
          </cell>
          <cell r="H1015" t="str">
            <v>Innovestor Ventures Oy</v>
          </cell>
        </row>
        <row r="1016">
          <cell r="B1016" t="str">
            <v>27097164#007</v>
          </cell>
          <cell r="H1016" t="str">
            <v>Innovestor Ventures Oy</v>
          </cell>
        </row>
        <row r="1017">
          <cell r="B1017" t="str">
            <v>27097164#008</v>
          </cell>
          <cell r="H1017" t="str">
            <v>Innovestor Ventures Oy</v>
          </cell>
        </row>
        <row r="1018">
          <cell r="B1018" t="str">
            <v>27252961#001</v>
          </cell>
          <cell r="H1018" t="str">
            <v>Vendep Capital Oy</v>
          </cell>
        </row>
        <row r="1019">
          <cell r="B1019" t="str">
            <v>27252961#002</v>
          </cell>
          <cell r="H1019" t="str">
            <v>Vendep Capital Oy</v>
          </cell>
        </row>
        <row r="1020">
          <cell r="B1020" t="str">
            <v>27252961#003</v>
          </cell>
          <cell r="H1020" t="str">
            <v>Vendep Capital Oy</v>
          </cell>
        </row>
        <row r="1021">
          <cell r="B1021" t="str">
            <v>27252961#004</v>
          </cell>
          <cell r="H1021" t="str">
            <v>Vendep Capital Oy</v>
          </cell>
        </row>
        <row r="1022">
          <cell r="B1022" t="str">
            <v>27252961#005</v>
          </cell>
          <cell r="H1022" t="str">
            <v>Vendep Capital Oy</v>
          </cell>
        </row>
        <row r="1023">
          <cell r="B1023" t="str">
            <v>27268664#001</v>
          </cell>
          <cell r="H1023" t="str">
            <v>Saari Partners Oy</v>
          </cell>
        </row>
        <row r="1024">
          <cell r="B1024" t="str">
            <v>27268664#002</v>
          </cell>
          <cell r="H1024" t="str">
            <v>Saari Partners Oy</v>
          </cell>
        </row>
        <row r="1025">
          <cell r="B1025" t="str">
            <v>27526045#001</v>
          </cell>
          <cell r="H1025" t="str">
            <v>FinCap Kiinteistörahastot Oy</v>
          </cell>
        </row>
        <row r="1026">
          <cell r="B1026" t="str">
            <v>27526045#003</v>
          </cell>
          <cell r="H1026" t="str">
            <v>FinCap Kiinteistörahastot Oy</v>
          </cell>
        </row>
        <row r="1027">
          <cell r="B1027" t="str">
            <v>27605923#001</v>
          </cell>
          <cell r="H1027" t="str">
            <v>Icebreaker Fund Management Oy</v>
          </cell>
        </row>
        <row r="1028">
          <cell r="B1028" t="str">
            <v>27605923#002</v>
          </cell>
          <cell r="H1028" t="str">
            <v>Icebreaker Fund Management Oy</v>
          </cell>
        </row>
        <row r="1029">
          <cell r="B1029" t="str">
            <v>27605923#003</v>
          </cell>
          <cell r="H1029" t="str">
            <v>Icebreaker Fund Management Oy</v>
          </cell>
        </row>
        <row r="1030">
          <cell r="B1030" t="str">
            <v>27610685#001</v>
          </cell>
          <cell r="H1030" t="str">
            <v>Bocap Private Equity Oy</v>
          </cell>
        </row>
        <row r="1031">
          <cell r="B1031" t="str">
            <v>27610685#002</v>
          </cell>
          <cell r="H1031" t="str">
            <v>Bocap Private Equity Oy</v>
          </cell>
        </row>
        <row r="1032">
          <cell r="B1032" t="str">
            <v>27633406#001</v>
          </cell>
          <cell r="H1032" t="str">
            <v>Grid.vc Oy</v>
          </cell>
        </row>
        <row r="1033">
          <cell r="B1033" t="str">
            <v>27838225#001</v>
          </cell>
          <cell r="H1033" t="str">
            <v>Wave Ventures Oy</v>
          </cell>
        </row>
        <row r="1034">
          <cell r="B1034" t="str">
            <v>27838225#002</v>
          </cell>
          <cell r="H1034" t="str">
            <v>Wave Ventures Oy</v>
          </cell>
        </row>
        <row r="1035">
          <cell r="B1035" t="str">
            <v>27838225#003</v>
          </cell>
          <cell r="H1035" t="str">
            <v>Wave Ventures Oy</v>
          </cell>
        </row>
        <row r="1036">
          <cell r="B1036" t="str">
            <v>28125497#003</v>
          </cell>
          <cell r="H1036" t="str">
            <v>Mandatum AM AIFM Oy</v>
          </cell>
        </row>
        <row r="1037">
          <cell r="B1037" t="str">
            <v>28233658#002</v>
          </cell>
          <cell r="H1037" t="str">
            <v>Obsido Rahastoyhtiö Oy</v>
          </cell>
        </row>
        <row r="1038">
          <cell r="B1038" t="str">
            <v>28233658#006</v>
          </cell>
          <cell r="H1038" t="str">
            <v>Obsido Rahastoyhtiö Oy</v>
          </cell>
        </row>
        <row r="1039">
          <cell r="B1039" t="str">
            <v>28233658#009</v>
          </cell>
          <cell r="H1039" t="str">
            <v>Obsido Rahastoyhtiö Oy</v>
          </cell>
        </row>
        <row r="1040">
          <cell r="B1040" t="str">
            <v>28268172#001</v>
          </cell>
          <cell r="H1040" t="str">
            <v>FundSi Oy</v>
          </cell>
        </row>
        <row r="1041">
          <cell r="B1041" t="str">
            <v>28279074#001</v>
          </cell>
          <cell r="H1041" t="str">
            <v>Gorilla Capital Management Oy</v>
          </cell>
        </row>
        <row r="1042">
          <cell r="B1042" t="str">
            <v>28279074#002</v>
          </cell>
          <cell r="H1042" t="str">
            <v>Gorilla Capital Management Oy</v>
          </cell>
        </row>
        <row r="1043">
          <cell r="B1043" t="str">
            <v>28332453#003</v>
          </cell>
          <cell r="H1043" t="str">
            <v>Taaleri Energia Funds Management Oy</v>
          </cell>
        </row>
        <row r="1044">
          <cell r="B1044" t="str">
            <v>28332453#004</v>
          </cell>
          <cell r="H1044" t="str">
            <v>Taaleri Energia Funds Management Oy</v>
          </cell>
        </row>
        <row r="1045">
          <cell r="B1045" t="str">
            <v>28332453#005</v>
          </cell>
          <cell r="H1045" t="str">
            <v>Taaleri Energia Funds Management Oy</v>
          </cell>
        </row>
        <row r="1046">
          <cell r="B1046" t="str">
            <v>28332453#007</v>
          </cell>
          <cell r="H1046" t="str">
            <v>Taaleri Energia Funds Management Oy</v>
          </cell>
        </row>
        <row r="1047">
          <cell r="B1047" t="str">
            <v>28369715#001</v>
          </cell>
          <cell r="H1047" t="str">
            <v>MAKI Ventures Oy</v>
          </cell>
        </row>
        <row r="1048">
          <cell r="B1048" t="str">
            <v>28369715#002</v>
          </cell>
          <cell r="H1048" t="str">
            <v>MAKI Ventures Oy</v>
          </cell>
        </row>
        <row r="1049">
          <cell r="B1049" t="str">
            <v>28369715#003</v>
          </cell>
          <cell r="H1049" t="str">
            <v>MAKI Ventures Oy</v>
          </cell>
        </row>
        <row r="1050">
          <cell r="B1050" t="str">
            <v>28369715#004</v>
          </cell>
          <cell r="H1050" t="str">
            <v>MAKI Ventures Oy</v>
          </cell>
        </row>
        <row r="1051">
          <cell r="B1051" t="str">
            <v>28462311#001</v>
          </cell>
          <cell r="H1051" t="str">
            <v>Conor TF III Manager Oy</v>
          </cell>
        </row>
        <row r="1052">
          <cell r="B1052" t="str">
            <v>28570689#001</v>
          </cell>
          <cell r="H1052" t="str">
            <v>Luotsi Capital Oy</v>
          </cell>
        </row>
        <row r="1053">
          <cell r="B1053" t="str">
            <v>28570689#002</v>
          </cell>
          <cell r="H1053" t="str">
            <v>Luotsi Capital Oy</v>
          </cell>
        </row>
        <row r="1054">
          <cell r="B1054" t="str">
            <v>28570689#003</v>
          </cell>
          <cell r="H1054" t="str">
            <v>Luotsi Capital Oy</v>
          </cell>
        </row>
        <row r="1055">
          <cell r="B1055" t="str">
            <v>28570689#004</v>
          </cell>
          <cell r="H1055" t="str">
            <v>Luotsi Capital Oy</v>
          </cell>
        </row>
        <row r="1056">
          <cell r="B1056" t="str">
            <v>28619307#001</v>
          </cell>
          <cell r="H1056" t="str">
            <v>Redstone Nordics Oy</v>
          </cell>
        </row>
        <row r="1057">
          <cell r="B1057" t="str">
            <v>28619307#002</v>
          </cell>
          <cell r="H1057" t="str">
            <v>Redstone Nordics Oy</v>
          </cell>
        </row>
        <row r="1058">
          <cell r="B1058" t="str">
            <v>28619307#003</v>
          </cell>
          <cell r="H1058" t="str">
            <v>Redstone Nordics Oy</v>
          </cell>
        </row>
        <row r="1059">
          <cell r="B1059" t="str">
            <v>28665274#001</v>
          </cell>
          <cell r="H1059" t="str">
            <v>EduImpact Venture Capital Oy</v>
          </cell>
        </row>
        <row r="1060">
          <cell r="B1060" t="str">
            <v>28665274#002</v>
          </cell>
          <cell r="H1060" t="str">
            <v>EduImpact Venture Capital Oy</v>
          </cell>
        </row>
        <row r="1061">
          <cell r="B1061" t="str">
            <v>28665274#003</v>
          </cell>
          <cell r="H1061" t="str">
            <v>EduImpact Venture Capital Oy</v>
          </cell>
        </row>
        <row r="1062">
          <cell r="B1062" t="str">
            <v>28665274#004</v>
          </cell>
          <cell r="H1062" t="str">
            <v>EduImpact Venture Capital Oy</v>
          </cell>
        </row>
        <row r="1063">
          <cell r="B1063" t="str">
            <v>28754218#001</v>
          </cell>
          <cell r="H1063" t="str">
            <v>Evolver Equity Ab</v>
          </cell>
        </row>
        <row r="1064">
          <cell r="B1064" t="str">
            <v>28754218#002</v>
          </cell>
          <cell r="H1064" t="str">
            <v>Evolver Equity Ab</v>
          </cell>
        </row>
        <row r="1065">
          <cell r="B1065" t="str">
            <v>29026204#002</v>
          </cell>
          <cell r="H1065" t="str">
            <v>GOS Yritysrahoitus Oy</v>
          </cell>
        </row>
        <row r="1066">
          <cell r="B1066" t="str">
            <v>29063769#001</v>
          </cell>
          <cell r="H1066" t="str">
            <v>Systematic alpha Oy</v>
          </cell>
        </row>
        <row r="1067">
          <cell r="B1067" t="str">
            <v>29064614#003</v>
          </cell>
          <cell r="H1067" t="str">
            <v>CapMan AIFM Oy</v>
          </cell>
        </row>
        <row r="1068">
          <cell r="B1068" t="str">
            <v>29064614#006</v>
          </cell>
          <cell r="H1068" t="str">
            <v>CapMan AIFM Oy</v>
          </cell>
        </row>
        <row r="1069">
          <cell r="B1069" t="str">
            <v>29064614#008</v>
          </cell>
          <cell r="H1069" t="str">
            <v>CapMan AIFM Oy</v>
          </cell>
        </row>
        <row r="1070">
          <cell r="B1070" t="str">
            <v>29064614#009</v>
          </cell>
          <cell r="H1070" t="str">
            <v>CapMan AIFM Oy</v>
          </cell>
        </row>
        <row r="1071">
          <cell r="B1071" t="str">
            <v>29064614#011</v>
          </cell>
          <cell r="H1071" t="str">
            <v>CapMan AIFM Oy</v>
          </cell>
        </row>
        <row r="1072">
          <cell r="B1072" t="str">
            <v>29064614#012</v>
          </cell>
          <cell r="H1072" t="str">
            <v>CapMan AIFM Oy</v>
          </cell>
        </row>
        <row r="1073">
          <cell r="B1073" t="str">
            <v>29064614#014</v>
          </cell>
          <cell r="H1073" t="str">
            <v>CapMan AIFM Oy</v>
          </cell>
        </row>
        <row r="1074">
          <cell r="B1074" t="str">
            <v>29064614#015</v>
          </cell>
          <cell r="H1074" t="str">
            <v>CapMan AIFM Oy</v>
          </cell>
        </row>
        <row r="1075">
          <cell r="B1075" t="str">
            <v>29064614#016</v>
          </cell>
          <cell r="H1075" t="str">
            <v>CapMan AIFM Oy</v>
          </cell>
        </row>
        <row r="1076">
          <cell r="B1076" t="str">
            <v>29064614#019</v>
          </cell>
          <cell r="H1076" t="str">
            <v>CapMan AIFM Oy</v>
          </cell>
        </row>
        <row r="1077">
          <cell r="B1077" t="str">
            <v>29064614#030</v>
          </cell>
          <cell r="H1077" t="str">
            <v>CapMan AIFM Oy</v>
          </cell>
        </row>
        <row r="1078">
          <cell r="B1078" t="str">
            <v>29112428#001</v>
          </cell>
          <cell r="H1078" t="str">
            <v>Vauraus AIFM Oy</v>
          </cell>
        </row>
        <row r="1079">
          <cell r="B1079" t="str">
            <v>29157108#001</v>
          </cell>
          <cell r="H1079" t="str">
            <v>Voima Ventures Oy</v>
          </cell>
        </row>
        <row r="1080">
          <cell r="B1080" t="str">
            <v>29157108#002</v>
          </cell>
          <cell r="H1080" t="str">
            <v>Voima Ventures Oy</v>
          </cell>
        </row>
        <row r="1081">
          <cell r="B1081" t="str">
            <v>29157108#003</v>
          </cell>
          <cell r="H1081" t="str">
            <v>Voima Ventures Oy</v>
          </cell>
        </row>
        <row r="1082">
          <cell r="B1082" t="str">
            <v>29157108#004</v>
          </cell>
          <cell r="H1082" t="str">
            <v>Voima Ventures Oy</v>
          </cell>
        </row>
        <row r="1083">
          <cell r="B1083" t="str">
            <v>29208526#001</v>
          </cell>
          <cell r="H1083" t="str">
            <v>Robin Capital Management Oy</v>
          </cell>
        </row>
        <row r="1084">
          <cell r="B1084" t="str">
            <v>29245124#001</v>
          </cell>
          <cell r="H1084" t="str">
            <v>Joensuun Startup Kehitys Oy</v>
          </cell>
        </row>
        <row r="1085">
          <cell r="B1085" t="str">
            <v>29245212#001</v>
          </cell>
          <cell r="H1085" t="str">
            <v>Nordic Food Tech Venture Capital Oy</v>
          </cell>
        </row>
        <row r="1086">
          <cell r="B1086" t="str">
            <v>29245212#002</v>
          </cell>
          <cell r="H1086" t="str">
            <v>Nordic Food Tech Venture Capital Oy</v>
          </cell>
        </row>
        <row r="1087">
          <cell r="B1087" t="str">
            <v>29897173#001</v>
          </cell>
          <cell r="H1087" t="str">
            <v>LLV Fund Management Oy</v>
          </cell>
        </row>
        <row r="1088">
          <cell r="B1088" t="str">
            <v>29897173#002</v>
          </cell>
          <cell r="H1088" t="str">
            <v>LLV Fund Management Oy</v>
          </cell>
        </row>
        <row r="1089">
          <cell r="B1089" t="str">
            <v>29897173#003</v>
          </cell>
          <cell r="H1089" t="str">
            <v>LLV Fund Management Oy</v>
          </cell>
        </row>
        <row r="1090">
          <cell r="B1090" t="str">
            <v>30134149#001</v>
          </cell>
          <cell r="H1090" t="str">
            <v>Premico Pääomarahastot Oy</v>
          </cell>
        </row>
        <row r="1091">
          <cell r="B1091" t="str">
            <v>30134149#002</v>
          </cell>
          <cell r="H1091" t="str">
            <v>Premico Pääomarahastot Oy</v>
          </cell>
        </row>
        <row r="1092">
          <cell r="B1092" t="str">
            <v>30193325#001</v>
          </cell>
          <cell r="H1092" t="str">
            <v>Nostetta Ventures Oy</v>
          </cell>
        </row>
        <row r="1093">
          <cell r="B1093" t="str">
            <v>30980441#001</v>
          </cell>
          <cell r="H1093" t="str">
            <v>Open Ocean Ventures Oy</v>
          </cell>
        </row>
        <row r="1094">
          <cell r="B1094" t="str">
            <v>30992004#001</v>
          </cell>
          <cell r="H1094" t="str">
            <v>Landmark Real Assets Oy</v>
          </cell>
        </row>
        <row r="1095">
          <cell r="B1095" t="str">
            <v>30999185#001</v>
          </cell>
          <cell r="H1095" t="str">
            <v>SARKA Varainhoito Oy</v>
          </cell>
        </row>
        <row r="1096">
          <cell r="B1096" t="str">
            <v>31225771#001</v>
          </cell>
          <cell r="H1096" t="str">
            <v>BOA Capital Oy</v>
          </cell>
        </row>
        <row r="1097">
          <cell r="B1097" t="str">
            <v>31225771#002</v>
          </cell>
          <cell r="H1097" t="str">
            <v>BOA Capital Oy</v>
          </cell>
        </row>
        <row r="1098">
          <cell r="B1098" t="str">
            <v>31225771#003</v>
          </cell>
          <cell r="H1098" t="str">
            <v>BOA Capital Oy</v>
          </cell>
        </row>
        <row r="1099">
          <cell r="B1099" t="str">
            <v>31255065#001</v>
          </cell>
          <cell r="H1099" t="str">
            <v>Nordic Science Investments Oy</v>
          </cell>
        </row>
        <row r="1100">
          <cell r="B1100" t="str">
            <v>31255065#002</v>
          </cell>
          <cell r="H1100" t="str">
            <v>Nordic Science Investments Oy</v>
          </cell>
        </row>
        <row r="1101">
          <cell r="B1101" t="str">
            <v>31336148#001</v>
          </cell>
          <cell r="H1101" t="str">
            <v>YKS Management Oy</v>
          </cell>
        </row>
        <row r="1102">
          <cell r="B1102" t="str">
            <v>31436042#001</v>
          </cell>
          <cell r="H1102" t="str">
            <v>Tuohex Capital Oy</v>
          </cell>
        </row>
        <row r="1103">
          <cell r="B1103" t="str">
            <v>31605811#001</v>
          </cell>
          <cell r="H1103" t="str">
            <v>StartMore Operative Oy</v>
          </cell>
        </row>
        <row r="1104">
          <cell r="B1104" t="str">
            <v>31737232#003</v>
          </cell>
          <cell r="H1104" t="str">
            <v>Intera Partners Oy</v>
          </cell>
        </row>
        <row r="1105">
          <cell r="B1105" t="str">
            <v>31737232#004</v>
          </cell>
          <cell r="H1105" t="str">
            <v>Intera Partners Oy</v>
          </cell>
        </row>
        <row r="1106">
          <cell r="B1106" t="str">
            <v>31777146#001</v>
          </cell>
          <cell r="H1106" t="str">
            <v>FOV Fund Management Oy</v>
          </cell>
        </row>
        <row r="1107">
          <cell r="B1107" t="str">
            <v>31779686#003</v>
          </cell>
          <cell r="H1107" t="str">
            <v>DEAS Fund Management DK A/S</v>
          </cell>
        </row>
        <row r="1108">
          <cell r="B1108" t="str">
            <v>31779686#004</v>
          </cell>
          <cell r="H1108" t="str">
            <v>DEAS Fund Management DK A/S</v>
          </cell>
        </row>
        <row r="1109">
          <cell r="B1109" t="str">
            <v>31779686#005</v>
          </cell>
          <cell r="H1109" t="str">
            <v>DEAS Fund Management DK A/S</v>
          </cell>
        </row>
        <row r="1110">
          <cell r="B1110" t="str">
            <v>31779686#006</v>
          </cell>
          <cell r="H1110" t="str">
            <v>DEAS Fund Management DK A/S</v>
          </cell>
        </row>
        <row r="1111">
          <cell r="B1111" t="str">
            <v>31779686#007</v>
          </cell>
          <cell r="H1111" t="str">
            <v>DEAS Fund Management DK A/S</v>
          </cell>
        </row>
        <row r="1112">
          <cell r="B1112" t="str">
            <v>31782818#001</v>
          </cell>
          <cell r="H1112" t="str">
            <v>MB Partners Oy</v>
          </cell>
        </row>
        <row r="1113">
          <cell r="B1113" t="str">
            <v>32140454#001</v>
          </cell>
          <cell r="H1113" t="str">
            <v>Virta Equity Oy</v>
          </cell>
        </row>
        <row r="1114">
          <cell r="B1114" t="str">
            <v>32140454#002</v>
          </cell>
          <cell r="H1114" t="str">
            <v>Virta Equity Oy</v>
          </cell>
        </row>
        <row r="1115">
          <cell r="B1115" t="str">
            <v>32214134#001</v>
          </cell>
          <cell r="H1115" t="str">
            <v>Innovestor Life Science Oy</v>
          </cell>
        </row>
        <row r="1116">
          <cell r="B1116" t="str">
            <v>32214134#002</v>
          </cell>
          <cell r="H1116" t="str">
            <v>Innovestor Life Science Oy</v>
          </cell>
        </row>
        <row r="1117">
          <cell r="B1117" t="str">
            <v>32251293#001</v>
          </cell>
          <cell r="H1117" t="str">
            <v>Voland Partners Oy</v>
          </cell>
        </row>
        <row r="1118">
          <cell r="B1118" t="str">
            <v>32251293#002</v>
          </cell>
          <cell r="H1118" t="str">
            <v>Voland Partners Oy</v>
          </cell>
        </row>
        <row r="1119">
          <cell r="B1119" t="str">
            <v>32503964#001</v>
          </cell>
          <cell r="H1119" t="str">
            <v>Findea Capital Oy</v>
          </cell>
        </row>
        <row r="1120">
          <cell r="B1120" t="str">
            <v>32503964#002</v>
          </cell>
          <cell r="H1120" t="str">
            <v>Findea Capital Oy</v>
          </cell>
        </row>
        <row r="1121">
          <cell r="B1121" t="str">
            <v>32592442#001</v>
          </cell>
          <cell r="H1121" t="str">
            <v>Ethos Capital Oy</v>
          </cell>
        </row>
        <row r="1122">
          <cell r="B1122" t="str">
            <v>32592442#002</v>
          </cell>
          <cell r="H1122" t="str">
            <v>Ethos Capital Oy</v>
          </cell>
        </row>
        <row r="1123">
          <cell r="B1123" t="str">
            <v>32660863#001</v>
          </cell>
          <cell r="H1123" t="str">
            <v>Equilibrium Funds Oy</v>
          </cell>
        </row>
        <row r="1124">
          <cell r="B1124" t="str">
            <v>32965173#001</v>
          </cell>
          <cell r="H1124" t="str">
            <v>Cactos Fleet Management Finland Oy</v>
          </cell>
        </row>
        <row r="1125">
          <cell r="B1125" t="str">
            <v>33004534#001</v>
          </cell>
          <cell r="H1125" t="str">
            <v>Failup Ventures Management Oy</v>
          </cell>
        </row>
        <row r="1126">
          <cell r="B1126" t="str">
            <v>33038347#001</v>
          </cell>
          <cell r="H1126" t="str">
            <v>Illusian Capital Oy</v>
          </cell>
        </row>
        <row r="1127">
          <cell r="B1127" t="str">
            <v>33038347#002</v>
          </cell>
          <cell r="H1127" t="str">
            <v>Illusian Capital Oy</v>
          </cell>
        </row>
        <row r="1128">
          <cell r="B1128" t="str">
            <v>33185814#001</v>
          </cell>
          <cell r="H1128" t="str">
            <v>OpenOcean Oy</v>
          </cell>
        </row>
        <row r="1129">
          <cell r="B1129" t="str">
            <v>33188687#001</v>
          </cell>
          <cell r="H1129" t="str">
            <v>Greencode Ventures Oy</v>
          </cell>
        </row>
        <row r="1130">
          <cell r="B1130" t="str">
            <v>33296602#001</v>
          </cell>
          <cell r="H1130" t="str">
            <v>Botnia Ventures Oy Ab</v>
          </cell>
        </row>
        <row r="1131">
          <cell r="B1131" t="str">
            <v>33382607#001</v>
          </cell>
          <cell r="H1131" t="str">
            <v>Kvanted Oy</v>
          </cell>
        </row>
        <row r="1132">
          <cell r="B1132" t="str">
            <v>33390084#001</v>
          </cell>
          <cell r="H1132" t="str">
            <v>Revon Ventures Oy</v>
          </cell>
        </row>
        <row r="1133">
          <cell r="B1133" t="str">
            <v>33542455#001</v>
          </cell>
          <cell r="H1133" t="str">
            <v>Leo Capital Europe Oy</v>
          </cell>
        </row>
        <row r="1134">
          <cell r="B1134" t="str">
            <v>33917579#001</v>
          </cell>
          <cell r="H1134" t="str">
            <v>fundco oy</v>
          </cell>
        </row>
        <row r="1135">
          <cell r="B1135" t="str">
            <v>33917579#002</v>
          </cell>
          <cell r="H1135" t="str">
            <v>fundco oy</v>
          </cell>
        </row>
        <row r="1136">
          <cell r="B1136" t="str">
            <v>33917579#003</v>
          </cell>
          <cell r="H1136" t="str">
            <v>fundco oy</v>
          </cell>
        </row>
        <row r="1137">
          <cell r="B1137" t="str">
            <v>33917579#004</v>
          </cell>
          <cell r="H1137" t="str">
            <v>fundco oy</v>
          </cell>
        </row>
        <row r="1138">
          <cell r="B1138" t="str">
            <v>34145929#001</v>
          </cell>
          <cell r="H1138" t="str">
            <v>Cloudberry VC Oy</v>
          </cell>
        </row>
        <row r="1139">
          <cell r="B1139" t="str">
            <v/>
          </cell>
          <cell r="H1139" t="str">
            <v/>
          </cell>
        </row>
        <row r="1140">
          <cell r="B1140" t="str">
            <v/>
          </cell>
          <cell r="H1140" t="str">
            <v/>
          </cell>
        </row>
        <row r="1141">
          <cell r="B1141" t="str">
            <v>Rahamarkkinarahastot luetaan rahalaitosektoriin (MFI)</v>
          </cell>
          <cell r="H1141" t="str">
            <v/>
          </cell>
        </row>
        <row r="1142">
          <cell r="B1142" t="str">
            <v>Penningmarknadsfonder klassificeras som monetära finansinstitut (MFI)</v>
          </cell>
          <cell r="H1142" t="str">
            <v/>
          </cell>
        </row>
        <row r="1143">
          <cell r="B1143" t="str">
            <v>Money market funds are included in the MFI sector</v>
          </cell>
          <cell r="H1143" t="str">
            <v/>
          </cell>
        </row>
        <row r="1144">
          <cell r="B1144" t="str">
            <v/>
          </cell>
          <cell r="H1144" t="str">
            <v/>
          </cell>
        </row>
        <row r="1145">
          <cell r="B1145" t="str">
            <v>10932901#018</v>
          </cell>
          <cell r="H1145" t="str">
            <v>Seligson &amp; Co Rahastoyhtiö Oyj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.03.2024"/>
    </sheetNames>
    <sheetDataSet>
      <sheetData sheetId="0">
        <row r="1">
          <cell r="B1" t="str">
            <v/>
          </cell>
          <cell r="H1" t="str">
            <v/>
          </cell>
        </row>
        <row r="2">
          <cell r="B2" t="str">
            <v>Tilanne / Situation / Situation: 31.03.2024</v>
          </cell>
          <cell r="H2" t="str">
            <v/>
          </cell>
        </row>
        <row r="3">
          <cell r="B3" t="str">
            <v>Päivitetty / Uppdaterad / Updated: 31.03.2024</v>
          </cell>
          <cell r="H3" t="str">
            <v/>
          </cell>
        </row>
        <row r="4">
          <cell r="B4" t="str">
            <v/>
          </cell>
          <cell r="H4" t="str">
            <v/>
          </cell>
        </row>
        <row r="5">
          <cell r="B5" t="str">
            <v/>
          </cell>
          <cell r="H5" t="str">
            <v/>
          </cell>
        </row>
        <row r="6">
          <cell r="B6" t="str">
            <v>Sijoitusrahastotunnus</v>
          </cell>
          <cell r="H6" t="str">
            <v>Hallinnointiyhtiö</v>
          </cell>
        </row>
        <row r="7">
          <cell r="B7" t="str">
            <v>Fondens ID-kod</v>
          </cell>
          <cell r="H7" t="str">
            <v>Förvaltningsbolag</v>
          </cell>
        </row>
        <row r="8">
          <cell r="B8" t="str">
            <v>Investment fund identifier</v>
          </cell>
          <cell r="H8" t="str">
            <v>Management company</v>
          </cell>
        </row>
        <row r="9">
          <cell r="B9" t="str">
            <v/>
          </cell>
          <cell r="H9" t="str">
            <v/>
          </cell>
        </row>
        <row r="10">
          <cell r="B10" t="str">
            <v/>
          </cell>
          <cell r="H10" t="str">
            <v/>
          </cell>
        </row>
        <row r="11">
          <cell r="B11" t="str">
            <v>Sijoitusrahastot (UCITS)</v>
          </cell>
          <cell r="H11" t="str">
            <v/>
          </cell>
        </row>
        <row r="12">
          <cell r="B12" t="str">
            <v>Investeringsfonder (UCITS)</v>
          </cell>
          <cell r="H12" t="str">
            <v/>
          </cell>
        </row>
        <row r="13">
          <cell r="B13" t="str">
            <v>Investment funds (UCITS)</v>
          </cell>
          <cell r="H13" t="str">
            <v/>
          </cell>
        </row>
        <row r="14">
          <cell r="B14" t="str">
            <v/>
          </cell>
          <cell r="H14" t="str">
            <v/>
          </cell>
        </row>
        <row r="15">
          <cell r="B15" t="str">
            <v>06716026#001</v>
          </cell>
          <cell r="H15" t="str">
            <v>Danske Invest Rahastoyhtiö Oy</v>
          </cell>
        </row>
        <row r="16">
          <cell r="B16" t="str">
            <v>06716026#002</v>
          </cell>
          <cell r="H16" t="str">
            <v>Danske Invest Rahastoyhtiö Oy</v>
          </cell>
        </row>
        <row r="17">
          <cell r="B17" t="str">
            <v>06716026#003</v>
          </cell>
          <cell r="H17" t="str">
            <v>Danske Invest Rahastoyhtiö Oy</v>
          </cell>
        </row>
        <row r="18">
          <cell r="B18" t="str">
            <v>06716026#004</v>
          </cell>
          <cell r="H18" t="str">
            <v>Danske Invest Rahastoyhtiö Oy</v>
          </cell>
        </row>
        <row r="19">
          <cell r="B19" t="str">
            <v>06716026#007</v>
          </cell>
          <cell r="H19" t="str">
            <v>Danske Invest Rahastoyhtiö Oy</v>
          </cell>
        </row>
        <row r="20">
          <cell r="B20" t="str">
            <v>06716026#008</v>
          </cell>
          <cell r="H20" t="str">
            <v>Danske Invest Rahastoyhtiö Oy</v>
          </cell>
        </row>
        <row r="21">
          <cell r="B21" t="str">
            <v>06716026#009</v>
          </cell>
          <cell r="H21" t="str">
            <v>Danske Invest Rahastoyhtiö Oy</v>
          </cell>
        </row>
        <row r="22">
          <cell r="B22" t="str">
            <v>06716026#010</v>
          </cell>
          <cell r="H22" t="str">
            <v>Danske Invest Rahastoyhtiö Oy</v>
          </cell>
        </row>
        <row r="23">
          <cell r="B23" t="str">
            <v>06716026#011</v>
          </cell>
          <cell r="H23" t="str">
            <v>Danske Invest Rahastoyhtiö Oy</v>
          </cell>
        </row>
        <row r="24">
          <cell r="B24" t="str">
            <v>06716026#017</v>
          </cell>
          <cell r="H24" t="str">
            <v>Danske Invest Rahastoyhtiö Oy</v>
          </cell>
        </row>
        <row r="25">
          <cell r="B25" t="str">
            <v>06716026#018</v>
          </cell>
          <cell r="H25" t="str">
            <v>Danske Invest Rahastoyhtiö Oy</v>
          </cell>
        </row>
        <row r="26">
          <cell r="B26" t="str">
            <v>06716026#019</v>
          </cell>
          <cell r="H26" t="str">
            <v>Danske Invest Rahastoyhtiö Oy</v>
          </cell>
        </row>
        <row r="27">
          <cell r="B27" t="str">
            <v>06716026#022</v>
          </cell>
          <cell r="H27" t="str">
            <v>Danske Invest Rahastoyhtiö Oy</v>
          </cell>
        </row>
        <row r="28">
          <cell r="B28" t="str">
            <v>06716026#024</v>
          </cell>
          <cell r="H28" t="str">
            <v>Danske Invest Rahastoyhtiö Oy</v>
          </cell>
        </row>
        <row r="29">
          <cell r="B29" t="str">
            <v>06716026#025</v>
          </cell>
          <cell r="H29" t="str">
            <v>Danske Invest Rahastoyhtiö Oy</v>
          </cell>
        </row>
        <row r="30">
          <cell r="B30" t="str">
            <v>06716026#038</v>
          </cell>
          <cell r="H30" t="str">
            <v>Danske Invest Rahastoyhtiö Oy</v>
          </cell>
        </row>
        <row r="31">
          <cell r="B31" t="str">
            <v>06716026#040</v>
          </cell>
          <cell r="H31" t="str">
            <v>Danske Invest Rahastoyhtiö Oy</v>
          </cell>
        </row>
        <row r="32">
          <cell r="B32" t="str">
            <v>06716026#041</v>
          </cell>
          <cell r="H32" t="str">
            <v>Danske Invest Rahastoyhtiö Oy</v>
          </cell>
        </row>
        <row r="33">
          <cell r="B33" t="str">
            <v>06716026#053</v>
          </cell>
          <cell r="H33" t="str">
            <v>Danske Invest Rahastoyhtiö Oy</v>
          </cell>
        </row>
        <row r="34">
          <cell r="B34" t="str">
            <v>06716026#058</v>
          </cell>
          <cell r="H34" t="str">
            <v>Danske Invest Rahastoyhtiö Oy</v>
          </cell>
        </row>
        <row r="35">
          <cell r="B35" t="str">
            <v>06716026#072</v>
          </cell>
          <cell r="H35" t="str">
            <v>Danske Invest Rahastoyhtiö Oy</v>
          </cell>
        </row>
        <row r="36">
          <cell r="B36" t="str">
            <v>06716026#073</v>
          </cell>
          <cell r="H36" t="str">
            <v>Danske Invest Rahastoyhtiö Oy</v>
          </cell>
        </row>
        <row r="37">
          <cell r="B37" t="str">
            <v>06716026#076</v>
          </cell>
          <cell r="H37" t="str">
            <v>Danske Invest Rahastoyhtiö Oy</v>
          </cell>
        </row>
        <row r="38">
          <cell r="B38" t="str">
            <v>06716026#082</v>
          </cell>
          <cell r="H38" t="str">
            <v>Danske Invest Rahastoyhtiö Oy</v>
          </cell>
        </row>
        <row r="39">
          <cell r="B39" t="str">
            <v>06716026#084</v>
          </cell>
          <cell r="H39" t="str">
            <v>Danske Invest Rahastoyhtiö Oy</v>
          </cell>
        </row>
        <row r="40">
          <cell r="B40" t="str">
            <v>06716026#088</v>
          </cell>
          <cell r="H40" t="str">
            <v>Danske Invest Rahastoyhtiö Oy</v>
          </cell>
        </row>
        <row r="41">
          <cell r="B41" t="str">
            <v>06716026#091</v>
          </cell>
          <cell r="H41" t="str">
            <v>Danske Invest Rahastoyhtiö Oy</v>
          </cell>
        </row>
        <row r="42">
          <cell r="B42" t="str">
            <v>06716026#093</v>
          </cell>
          <cell r="H42" t="str">
            <v>Danske Invest Rahastoyhtiö Oy</v>
          </cell>
        </row>
        <row r="43">
          <cell r="B43" t="str">
            <v>06716026#094</v>
          </cell>
          <cell r="H43" t="str">
            <v>Danske Invest Rahastoyhtiö Oy</v>
          </cell>
        </row>
        <row r="44">
          <cell r="B44" t="str">
            <v>07360527#002</v>
          </cell>
          <cell r="H44" t="str">
            <v>eQ Rahastoyhtiö Oy</v>
          </cell>
        </row>
        <row r="45">
          <cell r="B45" t="str">
            <v>07360527#007</v>
          </cell>
          <cell r="H45" t="str">
            <v>eQ Rahastoyhtiö Oy</v>
          </cell>
        </row>
        <row r="46">
          <cell r="B46" t="str">
            <v>07360527#015</v>
          </cell>
          <cell r="H46" t="str">
            <v>eQ Rahastoyhtiö Oy</v>
          </cell>
        </row>
        <row r="47">
          <cell r="B47" t="str">
            <v>07360527#021</v>
          </cell>
          <cell r="H47" t="str">
            <v>eQ Rahastoyhtiö Oy</v>
          </cell>
        </row>
        <row r="48">
          <cell r="B48" t="str">
            <v>07360527#026</v>
          </cell>
          <cell r="H48" t="str">
            <v>eQ Rahastoyhtiö Oy</v>
          </cell>
        </row>
        <row r="49">
          <cell r="B49" t="str">
            <v>07360527#035</v>
          </cell>
          <cell r="H49" t="str">
            <v>eQ Rahastoyhtiö Oy</v>
          </cell>
        </row>
        <row r="50">
          <cell r="B50" t="str">
            <v>07360527#036</v>
          </cell>
          <cell r="H50" t="str">
            <v>eQ Rahastoyhtiö Oy</v>
          </cell>
        </row>
        <row r="51">
          <cell r="B51" t="str">
            <v>07360527#039</v>
          </cell>
          <cell r="H51" t="str">
            <v>eQ Rahastoyhtiö Oy</v>
          </cell>
        </row>
        <row r="52">
          <cell r="B52" t="str">
            <v>07360527#053</v>
          </cell>
          <cell r="H52" t="str">
            <v>eQ Rahastoyhtiö Oy</v>
          </cell>
        </row>
        <row r="53">
          <cell r="B53" t="str">
            <v>07360527#055</v>
          </cell>
          <cell r="H53" t="str">
            <v>eQ Rahastoyhtiö Oy</v>
          </cell>
        </row>
        <row r="54">
          <cell r="B54" t="str">
            <v>07360527#056</v>
          </cell>
          <cell r="H54" t="str">
            <v>eQ Rahastoyhtiö Oy</v>
          </cell>
        </row>
        <row r="55">
          <cell r="B55" t="str">
            <v>07360527#109</v>
          </cell>
          <cell r="H55" t="str">
            <v>eQ Rahastoyhtiö Oy</v>
          </cell>
        </row>
        <row r="56">
          <cell r="B56" t="str">
            <v>07360527#110</v>
          </cell>
          <cell r="H56" t="str">
            <v>eQ Rahastoyhtiö Oy</v>
          </cell>
        </row>
        <row r="57">
          <cell r="B57" t="str">
            <v>07360527#140</v>
          </cell>
          <cell r="H57" t="str">
            <v>eQ Rahastoyhtiö Oy</v>
          </cell>
        </row>
        <row r="58">
          <cell r="B58" t="str">
            <v>07439622#005</v>
          </cell>
          <cell r="H58" t="str">
            <v>OP-Rahastoyhtiö Oy</v>
          </cell>
        </row>
        <row r="59">
          <cell r="B59" t="str">
            <v>07439622#010</v>
          </cell>
          <cell r="H59" t="str">
            <v>OP-Rahastoyhtiö Oy</v>
          </cell>
        </row>
        <row r="60">
          <cell r="B60" t="str">
            <v>07439622#011</v>
          </cell>
          <cell r="H60" t="str">
            <v>OP-Rahastoyhtiö Oy</v>
          </cell>
        </row>
        <row r="61">
          <cell r="B61" t="str">
            <v>07439622#016</v>
          </cell>
          <cell r="H61" t="str">
            <v>OP-Rahastoyhtiö Oy</v>
          </cell>
        </row>
        <row r="62">
          <cell r="B62" t="str">
            <v>07439622#017</v>
          </cell>
          <cell r="H62" t="str">
            <v>OP-Rahastoyhtiö Oy</v>
          </cell>
        </row>
        <row r="63">
          <cell r="B63" t="str">
            <v>07439622#018</v>
          </cell>
          <cell r="H63" t="str">
            <v>OP-Rahastoyhtiö Oy</v>
          </cell>
        </row>
        <row r="64">
          <cell r="B64" t="str">
            <v>07439622#020</v>
          </cell>
          <cell r="H64" t="str">
            <v>OP-Rahastoyhtiö Oy</v>
          </cell>
        </row>
        <row r="65">
          <cell r="B65" t="str">
            <v>07439622#022</v>
          </cell>
          <cell r="H65" t="str">
            <v>OP-Rahastoyhtiö Oy</v>
          </cell>
        </row>
        <row r="66">
          <cell r="B66" t="str">
            <v>07439622#026</v>
          </cell>
          <cell r="H66" t="str">
            <v>OP-Rahastoyhtiö Oy</v>
          </cell>
        </row>
        <row r="67">
          <cell r="B67" t="str">
            <v>07439622#027</v>
          </cell>
          <cell r="H67" t="str">
            <v>OP-Rahastoyhtiö Oy</v>
          </cell>
        </row>
        <row r="68">
          <cell r="B68" t="str">
            <v>07439622#030</v>
          </cell>
          <cell r="H68" t="str">
            <v>OP-Rahastoyhtiö Oy</v>
          </cell>
        </row>
        <row r="69">
          <cell r="B69" t="str">
            <v>07439622#032</v>
          </cell>
          <cell r="H69" t="str">
            <v>OP-Rahastoyhtiö Oy</v>
          </cell>
        </row>
        <row r="70">
          <cell r="B70" t="str">
            <v>07439622#036</v>
          </cell>
          <cell r="H70" t="str">
            <v>OP-Rahastoyhtiö Oy</v>
          </cell>
        </row>
        <row r="71">
          <cell r="B71" t="str">
            <v>07439622#038</v>
          </cell>
          <cell r="H71" t="str">
            <v>OP-Rahastoyhtiö Oy</v>
          </cell>
        </row>
        <row r="72">
          <cell r="B72" t="str">
            <v>07439622#039</v>
          </cell>
          <cell r="H72" t="str">
            <v>OP-Rahastoyhtiö Oy</v>
          </cell>
        </row>
        <row r="73">
          <cell r="B73" t="str">
            <v>07439622#045</v>
          </cell>
          <cell r="H73" t="str">
            <v>OP-Rahastoyhtiö Oy</v>
          </cell>
        </row>
        <row r="74">
          <cell r="B74" t="str">
            <v>07439622#048</v>
          </cell>
          <cell r="H74" t="str">
            <v>OP-Rahastoyhtiö Oy</v>
          </cell>
        </row>
        <row r="75">
          <cell r="B75" t="str">
            <v>07439622#063</v>
          </cell>
          <cell r="H75" t="str">
            <v>OP-Rahastoyhtiö Oy</v>
          </cell>
        </row>
        <row r="76">
          <cell r="B76" t="str">
            <v>07439622#067</v>
          </cell>
          <cell r="H76" t="str">
            <v>OP-Rahastoyhtiö Oy</v>
          </cell>
        </row>
        <row r="77">
          <cell r="B77" t="str">
            <v>07439622#071</v>
          </cell>
          <cell r="H77" t="str">
            <v>OP-Rahastoyhtiö Oy</v>
          </cell>
        </row>
        <row r="78">
          <cell r="B78" t="str">
            <v>07439622#076</v>
          </cell>
          <cell r="H78" t="str">
            <v>OP-Rahastoyhtiö Oy</v>
          </cell>
        </row>
        <row r="79">
          <cell r="B79" t="str">
            <v>07439622#080</v>
          </cell>
          <cell r="H79" t="str">
            <v>OP-Rahastoyhtiö Oy</v>
          </cell>
        </row>
        <row r="80">
          <cell r="B80" t="str">
            <v>07439622#087</v>
          </cell>
          <cell r="H80" t="str">
            <v>OP-Rahastoyhtiö Oy</v>
          </cell>
        </row>
        <row r="81">
          <cell r="B81" t="str">
            <v>07439622#088</v>
          </cell>
          <cell r="H81" t="str">
            <v>OP-Rahastoyhtiö Oy</v>
          </cell>
        </row>
        <row r="82">
          <cell r="B82" t="str">
            <v>07439622#094</v>
          </cell>
          <cell r="H82" t="str">
            <v>OP-Rahastoyhtiö Oy</v>
          </cell>
        </row>
        <row r="83">
          <cell r="B83" t="str">
            <v>07439622#095</v>
          </cell>
          <cell r="H83" t="str">
            <v>OP-Rahastoyhtiö Oy</v>
          </cell>
        </row>
        <row r="84">
          <cell r="B84" t="str">
            <v>07439622#096</v>
          </cell>
          <cell r="H84" t="str">
            <v>OP-Rahastoyhtiö Oy</v>
          </cell>
        </row>
        <row r="85">
          <cell r="B85" t="str">
            <v>07439622#097</v>
          </cell>
          <cell r="H85" t="str">
            <v>OP-Rahastoyhtiö Oy</v>
          </cell>
        </row>
        <row r="86">
          <cell r="B86" t="str">
            <v>07439622#100</v>
          </cell>
          <cell r="H86" t="str">
            <v>OP-Rahastoyhtiö Oy</v>
          </cell>
        </row>
        <row r="87">
          <cell r="B87" t="str">
            <v>07439622#103</v>
          </cell>
          <cell r="H87" t="str">
            <v>OP-Rahastoyhtiö Oy</v>
          </cell>
        </row>
        <row r="88">
          <cell r="B88" t="str">
            <v>07439622#104</v>
          </cell>
          <cell r="H88" t="str">
            <v>OP-Rahastoyhtiö Oy</v>
          </cell>
        </row>
        <row r="89">
          <cell r="B89" t="str">
            <v>07439622#106</v>
          </cell>
          <cell r="H89" t="str">
            <v>OP-Rahastoyhtiö Oy</v>
          </cell>
        </row>
        <row r="90">
          <cell r="B90" t="str">
            <v>07439622#107</v>
          </cell>
          <cell r="H90" t="str">
            <v>OP-Rahastoyhtiö Oy</v>
          </cell>
        </row>
        <row r="91">
          <cell r="B91" t="str">
            <v>07439622#109</v>
          </cell>
          <cell r="H91" t="str">
            <v>OP-Rahastoyhtiö Oy</v>
          </cell>
        </row>
        <row r="92">
          <cell r="B92" t="str">
            <v>07439622#120</v>
          </cell>
          <cell r="H92" t="str">
            <v>OP-Rahastoyhtiö Oy</v>
          </cell>
        </row>
        <row r="93">
          <cell r="B93" t="str">
            <v>07439622#122</v>
          </cell>
          <cell r="H93" t="str">
            <v>OP-Rahastoyhtiö Oy</v>
          </cell>
        </row>
        <row r="94">
          <cell r="B94" t="str">
            <v>07439622#123</v>
          </cell>
          <cell r="H94" t="str">
            <v>OP-Rahastoyhtiö Oy</v>
          </cell>
        </row>
        <row r="95">
          <cell r="B95" t="str">
            <v>07439622#126</v>
          </cell>
          <cell r="H95" t="str">
            <v>OP-Rahastoyhtiö Oy</v>
          </cell>
        </row>
        <row r="96">
          <cell r="B96" t="str">
            <v>07439622#127</v>
          </cell>
          <cell r="H96" t="str">
            <v>OP-Rahastoyhtiö Oy</v>
          </cell>
        </row>
        <row r="97">
          <cell r="B97" t="str">
            <v>07439622#129</v>
          </cell>
          <cell r="H97" t="str">
            <v>OP-Rahastoyhtiö Oy</v>
          </cell>
        </row>
        <row r="98">
          <cell r="B98" t="str">
            <v>07439622#131</v>
          </cell>
          <cell r="H98" t="str">
            <v>OP-Rahastoyhtiö Oy</v>
          </cell>
        </row>
        <row r="99">
          <cell r="B99" t="str">
            <v>07439622#134</v>
          </cell>
          <cell r="H99" t="str">
            <v>OP-Rahastoyhtiö Oy</v>
          </cell>
        </row>
        <row r="100">
          <cell r="B100" t="str">
            <v>07439622#136</v>
          </cell>
          <cell r="H100" t="str">
            <v>OP-Rahastoyhtiö Oy</v>
          </cell>
        </row>
        <row r="101">
          <cell r="B101" t="str">
            <v>07439622#137</v>
          </cell>
          <cell r="H101" t="str">
            <v>OP-Rahastoyhtiö Oy</v>
          </cell>
        </row>
        <row r="102">
          <cell r="B102" t="str">
            <v>07439622#138</v>
          </cell>
          <cell r="H102" t="str">
            <v>OP-Rahastoyhtiö Oy</v>
          </cell>
        </row>
        <row r="103">
          <cell r="B103" t="str">
            <v>07439622#144</v>
          </cell>
          <cell r="H103" t="str">
            <v>OP-Rahastoyhtiö Oy</v>
          </cell>
        </row>
        <row r="104">
          <cell r="B104" t="str">
            <v>07439622#151</v>
          </cell>
          <cell r="H104" t="str">
            <v>OP-Rahastoyhtiö Oy</v>
          </cell>
        </row>
        <row r="105">
          <cell r="B105" t="str">
            <v>07446590#004</v>
          </cell>
          <cell r="H105" t="str">
            <v>Evli-Rahastoyhtiö Oy</v>
          </cell>
        </row>
        <row r="106">
          <cell r="B106" t="str">
            <v>07446590#006</v>
          </cell>
          <cell r="H106" t="str">
            <v>Evli-Rahastoyhtiö Oy</v>
          </cell>
        </row>
        <row r="107">
          <cell r="B107" t="str">
            <v>07446590#010</v>
          </cell>
          <cell r="H107" t="str">
            <v>Evli-Rahastoyhtiö Oy</v>
          </cell>
        </row>
        <row r="108">
          <cell r="B108" t="str">
            <v>07446590#011</v>
          </cell>
          <cell r="H108" t="str">
            <v>Evli-Rahastoyhtiö Oy</v>
          </cell>
        </row>
        <row r="109">
          <cell r="B109" t="str">
            <v>07446590#013</v>
          </cell>
          <cell r="H109" t="str">
            <v>Evli-Rahastoyhtiö Oy</v>
          </cell>
        </row>
        <row r="110">
          <cell r="B110" t="str">
            <v>07446590#016</v>
          </cell>
          <cell r="H110" t="str">
            <v>Evli-Rahastoyhtiö Oy</v>
          </cell>
        </row>
        <row r="111">
          <cell r="B111" t="str">
            <v>07446590#018</v>
          </cell>
          <cell r="H111" t="str">
            <v>Evli-Rahastoyhtiö Oy</v>
          </cell>
        </row>
        <row r="112">
          <cell r="B112" t="str">
            <v>07446590#020</v>
          </cell>
          <cell r="H112" t="str">
            <v>Evli-Rahastoyhtiö Oy</v>
          </cell>
        </row>
        <row r="113">
          <cell r="B113" t="str">
            <v>07446590#023</v>
          </cell>
          <cell r="H113" t="str">
            <v>Evli-Rahastoyhtiö Oy</v>
          </cell>
        </row>
        <row r="114">
          <cell r="B114" t="str">
            <v>07446590#025</v>
          </cell>
          <cell r="H114" t="str">
            <v>Evli-Rahastoyhtiö Oy</v>
          </cell>
        </row>
        <row r="115">
          <cell r="B115" t="str">
            <v>07446590#026</v>
          </cell>
          <cell r="H115" t="str">
            <v>Evli-Rahastoyhtiö Oy</v>
          </cell>
        </row>
        <row r="116">
          <cell r="B116" t="str">
            <v>07446590#031</v>
          </cell>
          <cell r="H116" t="str">
            <v>Evli-Rahastoyhtiö Oy</v>
          </cell>
        </row>
        <row r="117">
          <cell r="B117" t="str">
            <v>07446590#037</v>
          </cell>
          <cell r="H117" t="str">
            <v>Evli-Rahastoyhtiö Oy</v>
          </cell>
        </row>
        <row r="118">
          <cell r="B118" t="str">
            <v>07446590#042</v>
          </cell>
          <cell r="H118" t="str">
            <v>Evli-Rahastoyhtiö Oy</v>
          </cell>
        </row>
        <row r="119">
          <cell r="B119" t="str">
            <v>07446590#045</v>
          </cell>
          <cell r="H119" t="str">
            <v>Evli-Rahastoyhtiö Oy</v>
          </cell>
        </row>
        <row r="120">
          <cell r="B120" t="str">
            <v>07446590#054</v>
          </cell>
          <cell r="H120" t="str">
            <v>Evli-Rahastoyhtiö Oy</v>
          </cell>
        </row>
        <row r="121">
          <cell r="B121" t="str">
            <v>07446590#059</v>
          </cell>
          <cell r="H121" t="str">
            <v>Evli-Rahastoyhtiö Oy</v>
          </cell>
        </row>
        <row r="122">
          <cell r="B122" t="str">
            <v>07446590#060</v>
          </cell>
          <cell r="H122" t="str">
            <v>Evli-Rahastoyhtiö Oy</v>
          </cell>
        </row>
        <row r="123">
          <cell r="B123" t="str">
            <v>07446590#064</v>
          </cell>
          <cell r="H123" t="str">
            <v>Evli-Rahastoyhtiö Oy</v>
          </cell>
        </row>
        <row r="124">
          <cell r="B124" t="str">
            <v>07446590#065</v>
          </cell>
          <cell r="H124" t="str">
            <v>Evli-Rahastoyhtiö Oy</v>
          </cell>
        </row>
        <row r="125">
          <cell r="B125" t="str">
            <v>07446590#066</v>
          </cell>
          <cell r="H125" t="str">
            <v>Evli-Rahastoyhtiö Oy</v>
          </cell>
        </row>
        <row r="126">
          <cell r="B126" t="str">
            <v>07446590#073</v>
          </cell>
          <cell r="H126" t="str">
            <v>Evli-Rahastoyhtiö Oy</v>
          </cell>
        </row>
        <row r="127">
          <cell r="B127" t="str">
            <v>07446590#074</v>
          </cell>
          <cell r="H127" t="str">
            <v>Evli-Rahastoyhtiö Oy</v>
          </cell>
        </row>
        <row r="128">
          <cell r="B128" t="str">
            <v>07446590#076</v>
          </cell>
          <cell r="H128" t="str">
            <v>Evli-Rahastoyhtiö Oy</v>
          </cell>
        </row>
        <row r="129">
          <cell r="B129" t="str">
            <v>07446590#090</v>
          </cell>
          <cell r="H129" t="str">
            <v>Evli-Rahastoyhtiö Oy</v>
          </cell>
        </row>
        <row r="130">
          <cell r="B130" t="str">
            <v>07446590#103</v>
          </cell>
          <cell r="H130" t="str">
            <v>Evli-Rahastoyhtiö Oy</v>
          </cell>
        </row>
        <row r="131">
          <cell r="B131" t="str">
            <v>07446590#104</v>
          </cell>
          <cell r="H131" t="str">
            <v>Evli-Rahastoyhtiö Oy</v>
          </cell>
        </row>
        <row r="132">
          <cell r="B132" t="str">
            <v>07446590#105</v>
          </cell>
          <cell r="H132" t="str">
            <v>Evli-Rahastoyhtiö Oy</v>
          </cell>
        </row>
        <row r="133">
          <cell r="B133" t="str">
            <v>07446590#119</v>
          </cell>
          <cell r="H133" t="str">
            <v>Evli-Rahastoyhtiö Oy</v>
          </cell>
        </row>
        <row r="134">
          <cell r="B134" t="str">
            <v>07446590#120</v>
          </cell>
          <cell r="H134" t="str">
            <v>Evli-Rahastoyhtiö Oy</v>
          </cell>
        </row>
        <row r="135">
          <cell r="B135" t="str">
            <v>07446590#121</v>
          </cell>
          <cell r="H135" t="str">
            <v>Evli-Rahastoyhtiö Oy</v>
          </cell>
        </row>
        <row r="136">
          <cell r="B136" t="str">
            <v>07446590#124</v>
          </cell>
          <cell r="H136" t="str">
            <v>Evli-Rahastoyhtiö Oy</v>
          </cell>
        </row>
        <row r="137">
          <cell r="B137" t="str">
            <v>07446590#125</v>
          </cell>
          <cell r="H137" t="str">
            <v>Evli-Rahastoyhtiö Oy</v>
          </cell>
        </row>
        <row r="138">
          <cell r="B138" t="str">
            <v>07446590#126</v>
          </cell>
          <cell r="H138" t="str">
            <v>Evli-Rahastoyhtiö Oy</v>
          </cell>
        </row>
        <row r="139">
          <cell r="B139" t="str">
            <v>07446590#127</v>
          </cell>
          <cell r="H139" t="str">
            <v>Evli-Rahastoyhtiö Oy</v>
          </cell>
        </row>
        <row r="140">
          <cell r="B140" t="str">
            <v>07446590#130</v>
          </cell>
          <cell r="H140" t="str">
            <v>Evli-Rahastoyhtiö Oy</v>
          </cell>
        </row>
        <row r="141">
          <cell r="B141" t="str">
            <v>07446590#133</v>
          </cell>
          <cell r="H141" t="str">
            <v>Evli-Rahastoyhtiö Oy</v>
          </cell>
        </row>
        <row r="142">
          <cell r="B142" t="str">
            <v>07446590#176</v>
          </cell>
          <cell r="H142" t="str">
            <v>Evli-Rahastoyhtiö Oy</v>
          </cell>
        </row>
        <row r="143">
          <cell r="B143" t="str">
            <v>07446590#177</v>
          </cell>
          <cell r="H143" t="str">
            <v>Evli-Rahastoyhtiö Oy</v>
          </cell>
        </row>
        <row r="144">
          <cell r="B144" t="str">
            <v>08996885#001</v>
          </cell>
          <cell r="H144" t="str">
            <v>Fondbolaget Fondita Ab</v>
          </cell>
        </row>
        <row r="145">
          <cell r="B145" t="str">
            <v>08996885#002</v>
          </cell>
          <cell r="H145" t="str">
            <v>Fondbolaget Fondita Ab</v>
          </cell>
        </row>
        <row r="146">
          <cell r="B146" t="str">
            <v>08996885#003</v>
          </cell>
          <cell r="H146" t="str">
            <v>Fondbolaget Fondita Ab</v>
          </cell>
        </row>
        <row r="147">
          <cell r="B147" t="str">
            <v>08996885#004</v>
          </cell>
          <cell r="H147" t="str">
            <v>Fondbolaget Fondita Ab</v>
          </cell>
        </row>
        <row r="148">
          <cell r="B148" t="str">
            <v>08996885#005</v>
          </cell>
          <cell r="H148" t="str">
            <v>Fondbolaget Fondita Ab</v>
          </cell>
        </row>
        <row r="149">
          <cell r="B149" t="str">
            <v>08996885#006</v>
          </cell>
          <cell r="H149" t="str">
            <v>Fondbolaget Fondita Ab</v>
          </cell>
        </row>
        <row r="150">
          <cell r="B150" t="str">
            <v>08996885#007</v>
          </cell>
          <cell r="H150" t="str">
            <v>Fondbolaget Fondita Ab</v>
          </cell>
        </row>
        <row r="151">
          <cell r="B151" t="str">
            <v>08996885#008</v>
          </cell>
          <cell r="H151" t="str">
            <v>Fondbolaget Fondita Ab</v>
          </cell>
        </row>
        <row r="152">
          <cell r="B152" t="str">
            <v>09791339#001</v>
          </cell>
          <cell r="H152" t="str">
            <v>S-Pankki Rahastoyhtiö Oy</v>
          </cell>
        </row>
        <row r="153">
          <cell r="B153" t="str">
            <v>09791339#002</v>
          </cell>
          <cell r="H153" t="str">
            <v>S-Pankki Rahastoyhtiö Oy</v>
          </cell>
        </row>
        <row r="154">
          <cell r="B154" t="str">
            <v>09791339#004</v>
          </cell>
          <cell r="H154" t="str">
            <v>S-Pankki Rahastoyhtiö Oy</v>
          </cell>
        </row>
        <row r="155">
          <cell r="B155" t="str">
            <v>09791339#005</v>
          </cell>
          <cell r="H155" t="str">
            <v>S-Pankki Rahastoyhtiö Oy</v>
          </cell>
        </row>
        <row r="156">
          <cell r="B156" t="str">
            <v>09791339#008</v>
          </cell>
          <cell r="H156" t="str">
            <v>S-Pankki Rahastoyhtiö Oy</v>
          </cell>
        </row>
        <row r="157">
          <cell r="B157" t="str">
            <v>09791339#009</v>
          </cell>
          <cell r="H157" t="str">
            <v>S-Pankki Rahastoyhtiö Oy</v>
          </cell>
        </row>
        <row r="158">
          <cell r="B158" t="str">
            <v>09791339#011</v>
          </cell>
          <cell r="H158" t="str">
            <v>S-Pankki Rahastoyhtiö Oy</v>
          </cell>
        </row>
        <row r="159">
          <cell r="B159" t="str">
            <v>09791339#018</v>
          </cell>
          <cell r="H159" t="str">
            <v>S-Pankki Rahastoyhtiö Oy</v>
          </cell>
        </row>
        <row r="160">
          <cell r="B160" t="str">
            <v>09791339#025</v>
          </cell>
          <cell r="H160" t="str">
            <v>S-Pankki Rahastoyhtiö Oy</v>
          </cell>
        </row>
        <row r="161">
          <cell r="B161" t="str">
            <v>09791339#026</v>
          </cell>
          <cell r="H161" t="str">
            <v>S-Pankki Rahastoyhtiö Oy</v>
          </cell>
        </row>
        <row r="162">
          <cell r="B162" t="str">
            <v>09791339#027</v>
          </cell>
          <cell r="H162" t="str">
            <v>S-Pankki Rahastoyhtiö Oy</v>
          </cell>
        </row>
        <row r="163">
          <cell r="B163" t="str">
            <v>09791339#033</v>
          </cell>
          <cell r="H163" t="str">
            <v>S-Pankki Rahastoyhtiö Oy</v>
          </cell>
        </row>
        <row r="164">
          <cell r="B164" t="str">
            <v>09791339#035</v>
          </cell>
          <cell r="H164" t="str">
            <v>S-Pankki Rahastoyhtiö Oy</v>
          </cell>
        </row>
        <row r="165">
          <cell r="B165" t="str">
            <v>09791339#037</v>
          </cell>
          <cell r="H165" t="str">
            <v>S-Pankki Rahastoyhtiö Oy</v>
          </cell>
        </row>
        <row r="166">
          <cell r="B166" t="str">
            <v>09791339#042</v>
          </cell>
          <cell r="H166" t="str">
            <v>S-Pankki Rahastoyhtiö Oy</v>
          </cell>
        </row>
        <row r="167">
          <cell r="B167" t="str">
            <v>09791339#080</v>
          </cell>
          <cell r="H167" t="str">
            <v>S-Pankki Rahastoyhtiö Oy</v>
          </cell>
        </row>
        <row r="168">
          <cell r="B168" t="str">
            <v>09791339#081</v>
          </cell>
          <cell r="H168" t="str">
            <v>S-Pankki Rahastoyhtiö Oy</v>
          </cell>
        </row>
        <row r="169">
          <cell r="B169" t="str">
            <v>09791339#085</v>
          </cell>
          <cell r="H169" t="str">
            <v>S-Pankki Rahastoyhtiö Oy</v>
          </cell>
        </row>
        <row r="170">
          <cell r="B170" t="str">
            <v>09791339#088</v>
          </cell>
          <cell r="H170" t="str">
            <v>S-Pankki Rahastoyhtiö Oy</v>
          </cell>
        </row>
        <row r="171">
          <cell r="B171" t="str">
            <v>09791339#089</v>
          </cell>
          <cell r="H171" t="str">
            <v>S-Pankki Rahastoyhtiö Oy</v>
          </cell>
        </row>
        <row r="172">
          <cell r="B172" t="str">
            <v>10932901#003</v>
          </cell>
          <cell r="H172" t="str">
            <v>Seligson &amp; Co Rahastoyhtiö Oyj</v>
          </cell>
        </row>
        <row r="173">
          <cell r="B173" t="str">
            <v>10932901#004</v>
          </cell>
          <cell r="H173" t="str">
            <v>Seligson &amp; Co Rahastoyhtiö Oyj</v>
          </cell>
        </row>
        <row r="174">
          <cell r="B174" t="str">
            <v>10932901#007</v>
          </cell>
          <cell r="H174" t="str">
            <v>Seligson &amp; Co Rahastoyhtiö Oyj</v>
          </cell>
        </row>
        <row r="175">
          <cell r="B175" t="str">
            <v>10932901#009</v>
          </cell>
          <cell r="H175" t="str">
            <v>Seligson &amp; Co Rahastoyhtiö Oyj</v>
          </cell>
        </row>
        <row r="176">
          <cell r="B176" t="str">
            <v>10932901#012</v>
          </cell>
          <cell r="H176" t="str">
            <v>Seligson &amp; Co Rahastoyhtiö Oyj</v>
          </cell>
        </row>
        <row r="177">
          <cell r="B177" t="str">
            <v>10932901#013</v>
          </cell>
          <cell r="H177" t="str">
            <v>Seligson &amp; Co Rahastoyhtiö Oyj</v>
          </cell>
        </row>
        <row r="178">
          <cell r="B178" t="str">
            <v>10932901#014</v>
          </cell>
          <cell r="H178" t="str">
            <v>Seligson &amp; Co Rahastoyhtiö Oyj</v>
          </cell>
        </row>
        <row r="179">
          <cell r="B179" t="str">
            <v>10932901#016</v>
          </cell>
          <cell r="H179" t="str">
            <v>Seligson &amp; Co Rahastoyhtiö Oyj</v>
          </cell>
        </row>
        <row r="180">
          <cell r="B180" t="str">
            <v>10932901#017</v>
          </cell>
          <cell r="H180" t="str">
            <v>Seligson &amp; Co Rahastoyhtiö Oyj</v>
          </cell>
        </row>
        <row r="181">
          <cell r="B181" t="str">
            <v>10932901#027</v>
          </cell>
          <cell r="H181" t="str">
            <v>Seligson &amp; Co Rahastoyhtiö Oyj</v>
          </cell>
        </row>
        <row r="182">
          <cell r="B182" t="str">
            <v>10932901#028</v>
          </cell>
          <cell r="H182" t="str">
            <v>Seligson &amp; Co Rahastoyhtiö Oyj</v>
          </cell>
        </row>
        <row r="183">
          <cell r="B183" t="str">
            <v>10932901#029</v>
          </cell>
          <cell r="H183" t="str">
            <v>Seligson &amp; Co Rahastoyhtiö Oyj</v>
          </cell>
        </row>
        <row r="184">
          <cell r="B184" t="str">
            <v>10932901#031</v>
          </cell>
          <cell r="H184" t="str">
            <v>Seligson &amp; Co Rahastoyhtiö Oyj</v>
          </cell>
        </row>
        <row r="185">
          <cell r="B185" t="str">
            <v>10932901#032</v>
          </cell>
          <cell r="H185" t="str">
            <v>Seligson &amp; Co Rahastoyhtiö Oyj</v>
          </cell>
        </row>
        <row r="186">
          <cell r="B186" t="str">
            <v>10932901#033</v>
          </cell>
          <cell r="H186" t="str">
            <v>Seligson &amp; Co Rahastoyhtiö Oyj</v>
          </cell>
        </row>
        <row r="187">
          <cell r="B187" t="str">
            <v>10932901#034</v>
          </cell>
          <cell r="H187" t="str">
            <v>Seligson &amp; Co Rahastoyhtiö Oyj</v>
          </cell>
        </row>
        <row r="188">
          <cell r="B188" t="str">
            <v>10932901#035</v>
          </cell>
          <cell r="H188" t="str">
            <v>Seligson &amp; Co Rahastoyhtiö Oyj</v>
          </cell>
        </row>
        <row r="189">
          <cell r="B189" t="str">
            <v>10932901#036</v>
          </cell>
          <cell r="H189" t="str">
            <v>Seligson &amp; Co Rahastoyhtiö Oyj</v>
          </cell>
        </row>
        <row r="190">
          <cell r="B190" t="str">
            <v>10932901#037</v>
          </cell>
          <cell r="H190" t="str">
            <v>Seligson &amp; Co Rahastoyhtiö Oyj</v>
          </cell>
        </row>
        <row r="191">
          <cell r="B191" t="str">
            <v>10932901#038</v>
          </cell>
          <cell r="H191" t="str">
            <v>Seligson &amp; Co Rahastoyhtiö Oyj</v>
          </cell>
        </row>
        <row r="192">
          <cell r="B192" t="str">
            <v>10932901#039</v>
          </cell>
          <cell r="H192" t="str">
            <v>Seligson &amp; Co Rahastoyhtiö Oyj</v>
          </cell>
        </row>
        <row r="193">
          <cell r="B193" t="str">
            <v>10932901#040</v>
          </cell>
          <cell r="H193" t="str">
            <v>Seligson &amp; Co Rahastoyhtiö Oyj</v>
          </cell>
        </row>
        <row r="194">
          <cell r="B194" t="str">
            <v>10932901#041</v>
          </cell>
          <cell r="H194" t="str">
            <v>Seligson &amp; Co Rahastoyhtiö Oyj</v>
          </cell>
        </row>
        <row r="195">
          <cell r="B195" t="str">
            <v>10932901#042</v>
          </cell>
          <cell r="H195" t="str">
            <v>Seligson &amp; Co Rahastoyhtiö Oyj</v>
          </cell>
        </row>
        <row r="196">
          <cell r="B196" t="str">
            <v>10932901#043</v>
          </cell>
          <cell r="H196" t="str">
            <v>Seligson &amp; Co Rahastoyhtiö Oyj</v>
          </cell>
        </row>
        <row r="197">
          <cell r="B197" t="str">
            <v>10932901#044</v>
          </cell>
          <cell r="H197" t="str">
            <v>Seligson &amp; Co Rahastoyhtiö Oyj</v>
          </cell>
        </row>
        <row r="198">
          <cell r="B198" t="str">
            <v>10932901#045</v>
          </cell>
          <cell r="H198" t="str">
            <v>Seligson &amp; Co Rahastoyhtiö Oyj</v>
          </cell>
        </row>
        <row r="199">
          <cell r="B199" t="str">
            <v>10932901#046</v>
          </cell>
          <cell r="H199" t="str">
            <v>Seligson &amp; Co Rahastoyhtiö Oyj</v>
          </cell>
        </row>
        <row r="200">
          <cell r="B200" t="str">
            <v>10932901#047</v>
          </cell>
          <cell r="H200" t="str">
            <v>Seligson &amp; Co Rahastoyhtiö Oyj</v>
          </cell>
        </row>
        <row r="201">
          <cell r="B201" t="str">
            <v>10932901#048</v>
          </cell>
          <cell r="H201" t="str">
            <v>Seligson &amp; Co Rahastoyhtiö Oyj</v>
          </cell>
        </row>
        <row r="202">
          <cell r="B202" t="str">
            <v>10932901#049</v>
          </cell>
          <cell r="H202" t="str">
            <v>Seligson &amp; Co Rahastoyhtiö Oyj</v>
          </cell>
        </row>
        <row r="203">
          <cell r="B203" t="str">
            <v>10932901#050</v>
          </cell>
          <cell r="H203" t="str">
            <v>Seligson &amp; Co Rahastoyhtiö Oyj</v>
          </cell>
        </row>
        <row r="204">
          <cell r="B204" t="str">
            <v>10932901#051</v>
          </cell>
          <cell r="H204" t="str">
            <v>Seligson &amp; Co Rahastoyhtiö Oyj</v>
          </cell>
        </row>
        <row r="205">
          <cell r="B205" t="str">
            <v>10932901#052</v>
          </cell>
          <cell r="H205" t="str">
            <v>Seligson &amp; Co Rahastoyhtiö Oyj</v>
          </cell>
        </row>
        <row r="206">
          <cell r="B206" t="str">
            <v>10932901#053</v>
          </cell>
          <cell r="H206" t="str">
            <v>Seligson &amp; Co Rahastoyhtiö Oyj</v>
          </cell>
        </row>
        <row r="207">
          <cell r="B207" t="str">
            <v>10932901#054</v>
          </cell>
          <cell r="H207" t="str">
            <v>Seligson &amp; Co Rahastoyhtiö Oyj</v>
          </cell>
        </row>
        <row r="208">
          <cell r="B208" t="str">
            <v>10932901#055</v>
          </cell>
          <cell r="H208" t="str">
            <v>Seligson &amp; Co Rahastoyhtiö Oyj</v>
          </cell>
        </row>
        <row r="209">
          <cell r="B209" t="str">
            <v>10932901#056</v>
          </cell>
          <cell r="H209" t="str">
            <v>Seligson &amp; Co Rahastoyhtiö Oyj</v>
          </cell>
        </row>
        <row r="210">
          <cell r="B210" t="str">
            <v>10932901#057</v>
          </cell>
          <cell r="H210" t="str">
            <v>Seligson &amp; Co Rahastoyhtiö Oyj</v>
          </cell>
        </row>
        <row r="211">
          <cell r="B211" t="str">
            <v>10932901#058</v>
          </cell>
          <cell r="H211" t="str">
            <v>Seligson &amp; Co Rahastoyhtiö Oyj</v>
          </cell>
        </row>
        <row r="212">
          <cell r="B212" t="str">
            <v>10932901#059</v>
          </cell>
          <cell r="H212" t="str">
            <v>Seligson &amp; Co Rahastoyhtiö Oyj</v>
          </cell>
        </row>
        <row r="213">
          <cell r="B213" t="str">
            <v>10932901#060</v>
          </cell>
          <cell r="H213" t="str">
            <v>Seligson &amp; Co Rahastoyhtiö Oyj</v>
          </cell>
        </row>
        <row r="214">
          <cell r="B214" t="str">
            <v>10932901#061</v>
          </cell>
          <cell r="H214" t="str">
            <v>Seligson &amp; Co Rahastoyhtiö Oyj</v>
          </cell>
        </row>
        <row r="215">
          <cell r="B215" t="str">
            <v>10932901#062</v>
          </cell>
          <cell r="H215" t="str">
            <v>Seligson &amp; Co Rahastoyhtiö Oyj</v>
          </cell>
        </row>
        <row r="216">
          <cell r="B216" t="str">
            <v>10932901#067</v>
          </cell>
          <cell r="H216" t="str">
            <v>Seligson &amp; Co Rahastoyhtiö Oyj</v>
          </cell>
        </row>
        <row r="217">
          <cell r="B217" t="str">
            <v>10932901#068</v>
          </cell>
          <cell r="H217" t="str">
            <v>Seligson &amp; Co Rahastoyhtiö Oyj</v>
          </cell>
        </row>
        <row r="218">
          <cell r="B218" t="str">
            <v>10932901#069</v>
          </cell>
          <cell r="H218" t="str">
            <v>Seligson &amp; Co Rahastoyhtiö Oyj</v>
          </cell>
        </row>
        <row r="219">
          <cell r="B219" t="str">
            <v>10932901#070</v>
          </cell>
          <cell r="H219" t="str">
            <v>Seligson &amp; Co Rahastoyhtiö Oyj</v>
          </cell>
        </row>
        <row r="220">
          <cell r="B220" t="str">
            <v>10932901#071</v>
          </cell>
          <cell r="H220" t="str">
            <v>Seligson &amp; Co Rahastoyhtiö Oyj</v>
          </cell>
        </row>
        <row r="221">
          <cell r="B221" t="str">
            <v>10932901#072</v>
          </cell>
          <cell r="H221" t="str">
            <v>Seligson &amp; Co Rahastoyhtiö Oyj</v>
          </cell>
        </row>
        <row r="222">
          <cell r="B222" t="str">
            <v>14713626#001</v>
          </cell>
          <cell r="H222" t="str">
            <v>Ålandsbanken Fondbolag Ab</v>
          </cell>
        </row>
        <row r="223">
          <cell r="B223" t="str">
            <v>14713626#005</v>
          </cell>
          <cell r="H223" t="str">
            <v>Ålandsbanken Fondbolag Ab</v>
          </cell>
        </row>
        <row r="224">
          <cell r="B224" t="str">
            <v>14713626#008</v>
          </cell>
          <cell r="H224" t="str">
            <v>Ålandsbanken Fondbolag Ab</v>
          </cell>
        </row>
        <row r="225">
          <cell r="B225" t="str">
            <v>14713626#010</v>
          </cell>
          <cell r="H225" t="str">
            <v>Ålandsbanken Fondbolag Ab</v>
          </cell>
        </row>
        <row r="226">
          <cell r="B226" t="str">
            <v>14713626#012</v>
          </cell>
          <cell r="H226" t="str">
            <v>Ålandsbanken Fondbolag Ab</v>
          </cell>
        </row>
        <row r="227">
          <cell r="B227" t="str">
            <v>14713626#025</v>
          </cell>
          <cell r="H227" t="str">
            <v>Ålandsbanken Fondbolag Ab</v>
          </cell>
        </row>
        <row r="228">
          <cell r="B228" t="str">
            <v>14713626#042</v>
          </cell>
          <cell r="H228" t="str">
            <v>Ålandsbanken Fondbolag Ab</v>
          </cell>
        </row>
        <row r="229">
          <cell r="B229" t="str">
            <v>14713626#045</v>
          </cell>
          <cell r="H229" t="str">
            <v>Ålandsbanken Fondbolag Ab</v>
          </cell>
        </row>
        <row r="230">
          <cell r="B230" t="str">
            <v>14713626#046</v>
          </cell>
          <cell r="H230" t="str">
            <v>Ålandsbanken Fondbolag Ab</v>
          </cell>
        </row>
        <row r="231">
          <cell r="B231" t="str">
            <v>16039364#001</v>
          </cell>
          <cell r="H231" t="str">
            <v>Alexandria Rahastoyhtiö Oy</v>
          </cell>
        </row>
        <row r="232">
          <cell r="B232" t="str">
            <v>16039364#002</v>
          </cell>
          <cell r="H232" t="str">
            <v>Alexandria Rahastoyhtiö Oy</v>
          </cell>
        </row>
        <row r="233">
          <cell r="B233" t="str">
            <v>16039364#003</v>
          </cell>
          <cell r="H233" t="str">
            <v>Alexandria Rahastoyhtiö Oy</v>
          </cell>
        </row>
        <row r="234">
          <cell r="B234" t="str">
            <v>16039364#004</v>
          </cell>
          <cell r="H234" t="str">
            <v>Alexandria Rahastoyhtiö Oy</v>
          </cell>
        </row>
        <row r="235">
          <cell r="B235" t="str">
            <v>16039364#005</v>
          </cell>
          <cell r="H235" t="str">
            <v>Alexandria Rahastoyhtiö Oy</v>
          </cell>
        </row>
        <row r="236">
          <cell r="B236" t="str">
            <v>16039364#012</v>
          </cell>
          <cell r="H236" t="str">
            <v>Alexandria Rahastoyhtiö Oy</v>
          </cell>
        </row>
        <row r="237">
          <cell r="B237" t="str">
            <v>17377859#001</v>
          </cell>
          <cell r="H237" t="str">
            <v>Nordea Funds Oy</v>
          </cell>
        </row>
        <row r="238">
          <cell r="B238" t="str">
            <v>17377859#004</v>
          </cell>
          <cell r="H238" t="str">
            <v>Nordea Funds Oy</v>
          </cell>
        </row>
        <row r="239">
          <cell r="B239" t="str">
            <v>17377859#007</v>
          </cell>
          <cell r="H239" t="str">
            <v>Nordea Funds Oy</v>
          </cell>
        </row>
        <row r="240">
          <cell r="B240" t="str">
            <v>17377859#009</v>
          </cell>
          <cell r="H240" t="str">
            <v>Nordea Funds Oy</v>
          </cell>
        </row>
        <row r="241">
          <cell r="B241" t="str">
            <v>17377859#011</v>
          </cell>
          <cell r="H241" t="str">
            <v>Nordea Funds Oy</v>
          </cell>
        </row>
        <row r="242">
          <cell r="B242" t="str">
            <v>17377859#012</v>
          </cell>
          <cell r="H242" t="str">
            <v>Nordea Funds Oy</v>
          </cell>
        </row>
        <row r="243">
          <cell r="B243" t="str">
            <v>17377859#013</v>
          </cell>
          <cell r="H243" t="str">
            <v>Nordea Funds Oy</v>
          </cell>
        </row>
        <row r="244">
          <cell r="B244" t="str">
            <v>17377859#015</v>
          </cell>
          <cell r="H244" t="str">
            <v>Nordea Funds Oy</v>
          </cell>
        </row>
        <row r="245">
          <cell r="B245" t="str">
            <v>17377859#021</v>
          </cell>
          <cell r="H245" t="str">
            <v>Nordea Funds Oy</v>
          </cell>
        </row>
        <row r="246">
          <cell r="B246" t="str">
            <v>17377859#022</v>
          </cell>
          <cell r="H246" t="str">
            <v>Nordea Funds Oy</v>
          </cell>
        </row>
        <row r="247">
          <cell r="B247" t="str">
            <v>17377859#023</v>
          </cell>
          <cell r="H247" t="str">
            <v>Nordea Funds Oy</v>
          </cell>
        </row>
        <row r="248">
          <cell r="B248" t="str">
            <v>17377859#026</v>
          </cell>
          <cell r="H248" t="str">
            <v>Nordea Funds Oy</v>
          </cell>
        </row>
        <row r="249">
          <cell r="B249" t="str">
            <v>17377859#029</v>
          </cell>
          <cell r="H249" t="str">
            <v>Nordea Funds Oy</v>
          </cell>
        </row>
        <row r="250">
          <cell r="B250" t="str">
            <v>17377859#031</v>
          </cell>
          <cell r="H250" t="str">
            <v>Nordea Funds Oy</v>
          </cell>
        </row>
        <row r="251">
          <cell r="B251" t="str">
            <v>17377859#036</v>
          </cell>
          <cell r="H251" t="str">
            <v>Nordea Funds Oy</v>
          </cell>
        </row>
        <row r="252">
          <cell r="B252" t="str">
            <v>17377859#038</v>
          </cell>
          <cell r="H252" t="str">
            <v>Nordea Funds Oy</v>
          </cell>
        </row>
        <row r="253">
          <cell r="B253" t="str">
            <v>17377859#041</v>
          </cell>
          <cell r="H253" t="str">
            <v>Nordea Funds Oy</v>
          </cell>
        </row>
        <row r="254">
          <cell r="B254" t="str">
            <v>17377859#045</v>
          </cell>
          <cell r="H254" t="str">
            <v>Nordea Funds Oy</v>
          </cell>
        </row>
        <row r="255">
          <cell r="B255" t="str">
            <v>17377859#046</v>
          </cell>
          <cell r="H255" t="str">
            <v>Nordea Funds Oy</v>
          </cell>
        </row>
        <row r="256">
          <cell r="B256" t="str">
            <v>17377859#047</v>
          </cell>
          <cell r="H256" t="str">
            <v>Nordea Funds Oy</v>
          </cell>
        </row>
        <row r="257">
          <cell r="B257" t="str">
            <v>17377859#048</v>
          </cell>
          <cell r="H257" t="str">
            <v>Nordea Funds Oy</v>
          </cell>
        </row>
        <row r="258">
          <cell r="B258" t="str">
            <v>17377859#049</v>
          </cell>
          <cell r="H258" t="str">
            <v>Nordea Funds Oy</v>
          </cell>
        </row>
        <row r="259">
          <cell r="B259" t="str">
            <v>17377859#051</v>
          </cell>
          <cell r="H259" t="str">
            <v>Nordea Funds Oy</v>
          </cell>
        </row>
        <row r="260">
          <cell r="B260" t="str">
            <v>17377859#053</v>
          </cell>
          <cell r="H260" t="str">
            <v>Nordea Funds Oy</v>
          </cell>
        </row>
        <row r="261">
          <cell r="B261" t="str">
            <v>17377859#054</v>
          </cell>
          <cell r="H261" t="str">
            <v>Nordea Funds Oy</v>
          </cell>
        </row>
        <row r="262">
          <cell r="B262" t="str">
            <v>17377859#058</v>
          </cell>
          <cell r="H262" t="str">
            <v>Nordea Funds Oy</v>
          </cell>
        </row>
        <row r="263">
          <cell r="B263" t="str">
            <v>17377859#059</v>
          </cell>
          <cell r="H263" t="str">
            <v>Nordea Funds Oy</v>
          </cell>
        </row>
        <row r="264">
          <cell r="B264" t="str">
            <v>17377859#062</v>
          </cell>
          <cell r="H264" t="str">
            <v>Nordea Funds Oy</v>
          </cell>
        </row>
        <row r="265">
          <cell r="B265" t="str">
            <v>17377859#063</v>
          </cell>
          <cell r="H265" t="str">
            <v>Nordea Funds Oy</v>
          </cell>
        </row>
        <row r="266">
          <cell r="B266" t="str">
            <v>17377859#064</v>
          </cell>
          <cell r="H266" t="str">
            <v>Nordea Funds Oy</v>
          </cell>
        </row>
        <row r="267">
          <cell r="B267" t="str">
            <v>17377859#068</v>
          </cell>
          <cell r="H267" t="str">
            <v>Nordea Funds Oy</v>
          </cell>
        </row>
        <row r="268">
          <cell r="B268" t="str">
            <v>17377859#080</v>
          </cell>
          <cell r="H268" t="str">
            <v>Nordea Funds Oy</v>
          </cell>
        </row>
        <row r="269">
          <cell r="B269" t="str">
            <v>17377859#081</v>
          </cell>
          <cell r="H269" t="str">
            <v>Nordea Funds Oy</v>
          </cell>
        </row>
        <row r="270">
          <cell r="B270" t="str">
            <v>17377859#083</v>
          </cell>
          <cell r="H270" t="str">
            <v>Nordea Funds Oy</v>
          </cell>
        </row>
        <row r="271">
          <cell r="B271" t="str">
            <v>17377859#084</v>
          </cell>
          <cell r="H271" t="str">
            <v>Nordea Funds Oy</v>
          </cell>
        </row>
        <row r="272">
          <cell r="B272" t="str">
            <v>17377859#085</v>
          </cell>
          <cell r="H272" t="str">
            <v>Nordea Funds Oy</v>
          </cell>
        </row>
        <row r="273">
          <cell r="B273" t="str">
            <v>17377859#086</v>
          </cell>
          <cell r="H273" t="str">
            <v>Nordea Funds Oy</v>
          </cell>
        </row>
        <row r="274">
          <cell r="B274" t="str">
            <v>17377859#087</v>
          </cell>
          <cell r="H274" t="str">
            <v>Nordea Funds Oy</v>
          </cell>
        </row>
        <row r="275">
          <cell r="B275" t="str">
            <v>17377859#088</v>
          </cell>
          <cell r="H275" t="str">
            <v>Nordea Funds Oy</v>
          </cell>
        </row>
        <row r="276">
          <cell r="B276" t="str">
            <v>17377859#094</v>
          </cell>
          <cell r="H276" t="str">
            <v>Nordea Funds Oy</v>
          </cell>
        </row>
        <row r="277">
          <cell r="B277" t="str">
            <v>17377859#095</v>
          </cell>
          <cell r="H277" t="str">
            <v>Nordea Funds Oy</v>
          </cell>
        </row>
        <row r="278">
          <cell r="B278" t="str">
            <v>17377859#097</v>
          </cell>
          <cell r="H278" t="str">
            <v>Nordea Funds Oy</v>
          </cell>
        </row>
        <row r="279">
          <cell r="B279" t="str">
            <v>17377859#098</v>
          </cell>
          <cell r="H279" t="str">
            <v>Nordea Funds Oy</v>
          </cell>
        </row>
        <row r="280">
          <cell r="B280" t="str">
            <v>17377859#099</v>
          </cell>
          <cell r="H280" t="str">
            <v>Nordea Funds Oy</v>
          </cell>
        </row>
        <row r="281">
          <cell r="B281" t="str">
            <v>17377859#100</v>
          </cell>
          <cell r="H281" t="str">
            <v>Nordea Funds Oy</v>
          </cell>
        </row>
        <row r="282">
          <cell r="B282" t="str">
            <v>17377859#103</v>
          </cell>
          <cell r="H282" t="str">
            <v>Nordea Funds Oy</v>
          </cell>
        </row>
        <row r="283">
          <cell r="B283" t="str">
            <v>17377859#104</v>
          </cell>
          <cell r="H283" t="str">
            <v>Nordea Funds Oy</v>
          </cell>
        </row>
        <row r="284">
          <cell r="B284" t="str">
            <v>17377859#105</v>
          </cell>
          <cell r="H284" t="str">
            <v>Nordea Funds Oy</v>
          </cell>
        </row>
        <row r="285">
          <cell r="B285" t="str">
            <v>17377859#106</v>
          </cell>
          <cell r="H285" t="str">
            <v>Nordea Funds Oy</v>
          </cell>
        </row>
        <row r="286">
          <cell r="B286" t="str">
            <v>17377859#108</v>
          </cell>
          <cell r="H286" t="str">
            <v>Nordea Funds Oy</v>
          </cell>
        </row>
        <row r="287">
          <cell r="B287" t="str">
            <v>17377859#200</v>
          </cell>
          <cell r="H287" t="str">
            <v>Nordea Funds Oy</v>
          </cell>
        </row>
        <row r="288">
          <cell r="B288" t="str">
            <v>17377859#201</v>
          </cell>
          <cell r="H288" t="str">
            <v>Nordea Funds Oy</v>
          </cell>
        </row>
        <row r="289">
          <cell r="B289" t="str">
            <v>17377859#202</v>
          </cell>
          <cell r="H289" t="str">
            <v>Nordea Funds Oy</v>
          </cell>
        </row>
        <row r="290">
          <cell r="B290" t="str">
            <v>17377859#204</v>
          </cell>
          <cell r="H290" t="str">
            <v>Nordea Funds Oy</v>
          </cell>
        </row>
        <row r="291">
          <cell r="B291" t="str">
            <v>17377859#205</v>
          </cell>
          <cell r="H291" t="str">
            <v>Nordea Funds Oy</v>
          </cell>
        </row>
        <row r="292">
          <cell r="B292" t="str">
            <v>17377859#206</v>
          </cell>
          <cell r="H292" t="str">
            <v>Nordea Funds Oy</v>
          </cell>
        </row>
        <row r="293">
          <cell r="B293" t="str">
            <v>17377859#207</v>
          </cell>
          <cell r="H293" t="str">
            <v>Nordea Funds Oy</v>
          </cell>
        </row>
        <row r="294">
          <cell r="B294" t="str">
            <v>17377859#208</v>
          </cell>
          <cell r="H294" t="str">
            <v>Nordea Funds Oy</v>
          </cell>
        </row>
        <row r="295">
          <cell r="B295" t="str">
            <v>17377859#209</v>
          </cell>
          <cell r="H295" t="str">
            <v>Nordea Funds Oy</v>
          </cell>
        </row>
        <row r="296">
          <cell r="B296" t="str">
            <v>17377859#210</v>
          </cell>
          <cell r="H296" t="str">
            <v>Nordea Funds Oy</v>
          </cell>
        </row>
        <row r="297">
          <cell r="B297" t="str">
            <v>17377859#211</v>
          </cell>
          <cell r="H297" t="str">
            <v>Nordea Funds Oy</v>
          </cell>
        </row>
        <row r="298">
          <cell r="B298" t="str">
            <v>17377859#212</v>
          </cell>
          <cell r="H298" t="str">
            <v>Nordea Funds Oy</v>
          </cell>
        </row>
        <row r="299">
          <cell r="B299" t="str">
            <v>17377859#213</v>
          </cell>
          <cell r="H299" t="str">
            <v>Nordea Funds Oy</v>
          </cell>
        </row>
        <row r="300">
          <cell r="B300" t="str">
            <v>17377859#215</v>
          </cell>
          <cell r="H300" t="str">
            <v>Nordea Funds Oy</v>
          </cell>
        </row>
        <row r="301">
          <cell r="B301" t="str">
            <v>17377859#216</v>
          </cell>
          <cell r="H301" t="str">
            <v>Nordea Funds Oy</v>
          </cell>
        </row>
        <row r="302">
          <cell r="B302" t="str">
            <v>17377859#217</v>
          </cell>
          <cell r="H302" t="str">
            <v>Nordea Funds Oy</v>
          </cell>
        </row>
        <row r="303">
          <cell r="B303" t="str">
            <v>17377859#218</v>
          </cell>
          <cell r="H303" t="str">
            <v>Nordea Funds Oy</v>
          </cell>
        </row>
        <row r="304">
          <cell r="B304" t="str">
            <v>17377859#220</v>
          </cell>
          <cell r="H304" t="str">
            <v>Nordea Funds Oy</v>
          </cell>
        </row>
        <row r="305">
          <cell r="B305" t="str">
            <v>17377859#221</v>
          </cell>
          <cell r="H305" t="str">
            <v>Nordea Funds Oy</v>
          </cell>
        </row>
        <row r="306">
          <cell r="B306" t="str">
            <v>17377859#222</v>
          </cell>
          <cell r="H306" t="str">
            <v>Nordea Funds Oy</v>
          </cell>
        </row>
        <row r="307">
          <cell r="B307" t="str">
            <v>17377859#223</v>
          </cell>
          <cell r="H307" t="str">
            <v>Nordea Funds Oy</v>
          </cell>
        </row>
        <row r="308">
          <cell r="B308" t="str">
            <v>17377859#225</v>
          </cell>
          <cell r="H308" t="str">
            <v>Nordea Funds Oy</v>
          </cell>
        </row>
        <row r="309">
          <cell r="B309" t="str">
            <v>17377859#226</v>
          </cell>
          <cell r="H309" t="str">
            <v>Nordea Funds Oy</v>
          </cell>
        </row>
        <row r="310">
          <cell r="B310" t="str">
            <v>17377859#227</v>
          </cell>
          <cell r="H310" t="str">
            <v>Nordea Funds Oy</v>
          </cell>
        </row>
        <row r="311">
          <cell r="B311" t="str">
            <v>17377859#230</v>
          </cell>
          <cell r="H311" t="str">
            <v>Nordea Funds Oy</v>
          </cell>
        </row>
        <row r="312">
          <cell r="B312" t="str">
            <v>17377859#231</v>
          </cell>
          <cell r="H312" t="str">
            <v>Nordea Funds Oy</v>
          </cell>
        </row>
        <row r="313">
          <cell r="B313" t="str">
            <v>17377859#232</v>
          </cell>
          <cell r="H313" t="str">
            <v>Nordea Funds Oy</v>
          </cell>
        </row>
        <row r="314">
          <cell r="B314" t="str">
            <v>17377859#233</v>
          </cell>
          <cell r="H314" t="str">
            <v>Nordea Funds Oy</v>
          </cell>
        </row>
        <row r="315">
          <cell r="B315" t="str">
            <v>17377859#234</v>
          </cell>
          <cell r="H315" t="str">
            <v>Nordea Funds Oy</v>
          </cell>
        </row>
        <row r="316">
          <cell r="B316" t="str">
            <v>17377859#235</v>
          </cell>
          <cell r="H316" t="str">
            <v>Nordea Funds Oy</v>
          </cell>
        </row>
        <row r="317">
          <cell r="B317" t="str">
            <v>17377859#236</v>
          </cell>
          <cell r="H317" t="str">
            <v>Nordea Funds Oy</v>
          </cell>
        </row>
        <row r="318">
          <cell r="B318" t="str">
            <v>17377859#237</v>
          </cell>
          <cell r="H318" t="str">
            <v>Nordea Funds Oy</v>
          </cell>
        </row>
        <row r="319">
          <cell r="B319" t="str">
            <v>17377859#238</v>
          </cell>
          <cell r="H319" t="str">
            <v>Nordea Funds Oy</v>
          </cell>
        </row>
        <row r="320">
          <cell r="B320" t="str">
            <v>17377859#241</v>
          </cell>
          <cell r="H320" t="str">
            <v>Nordea Funds Oy</v>
          </cell>
        </row>
        <row r="321">
          <cell r="B321" t="str">
            <v>17377859#242</v>
          </cell>
          <cell r="H321" t="str">
            <v>Nordea Funds Oy</v>
          </cell>
        </row>
        <row r="322">
          <cell r="B322" t="str">
            <v>17377859#243</v>
          </cell>
          <cell r="H322" t="str">
            <v>Nordea Funds Oy</v>
          </cell>
        </row>
        <row r="323">
          <cell r="B323" t="str">
            <v>17377859#244</v>
          </cell>
          <cell r="H323" t="str">
            <v>Nordea Funds Oy</v>
          </cell>
        </row>
        <row r="324">
          <cell r="B324" t="str">
            <v>17377859#245</v>
          </cell>
          <cell r="H324" t="str">
            <v>Nordea Funds Oy</v>
          </cell>
        </row>
        <row r="325">
          <cell r="B325" t="str">
            <v>17377859#246</v>
          </cell>
          <cell r="H325" t="str">
            <v>Nordea Funds Oy</v>
          </cell>
        </row>
        <row r="326">
          <cell r="B326" t="str">
            <v>17377859#247</v>
          </cell>
          <cell r="H326" t="str">
            <v>Nordea Funds Oy</v>
          </cell>
        </row>
        <row r="327">
          <cell r="B327" t="str">
            <v>17377859#248</v>
          </cell>
          <cell r="H327" t="str">
            <v>Nordea Funds Oy</v>
          </cell>
        </row>
        <row r="328">
          <cell r="B328" t="str">
            <v>17377859#250</v>
          </cell>
          <cell r="H328" t="str">
            <v>Nordea Funds Oy</v>
          </cell>
        </row>
        <row r="329">
          <cell r="B329" t="str">
            <v>17377859#251</v>
          </cell>
          <cell r="H329" t="str">
            <v>Nordea Funds Oy</v>
          </cell>
        </row>
        <row r="330">
          <cell r="B330" t="str">
            <v>17377859#253</v>
          </cell>
          <cell r="H330" t="str">
            <v>Nordea Funds Oy</v>
          </cell>
        </row>
        <row r="331">
          <cell r="B331" t="str">
            <v>17377859#254</v>
          </cell>
          <cell r="H331" t="str">
            <v>Nordea Funds Oy</v>
          </cell>
        </row>
        <row r="332">
          <cell r="B332" t="str">
            <v>17377859#255</v>
          </cell>
          <cell r="H332" t="str">
            <v>Nordea Funds Oy</v>
          </cell>
        </row>
        <row r="333">
          <cell r="B333" t="str">
            <v>17377859#256</v>
          </cell>
          <cell r="H333" t="str">
            <v>Nordea Funds Oy</v>
          </cell>
        </row>
        <row r="334">
          <cell r="B334" t="str">
            <v>17377859#257</v>
          </cell>
          <cell r="H334" t="str">
            <v>Nordea Funds Oy</v>
          </cell>
        </row>
        <row r="335">
          <cell r="B335" t="str">
            <v>17377859#258</v>
          </cell>
          <cell r="H335" t="str">
            <v>Nordea Funds Oy</v>
          </cell>
        </row>
        <row r="336">
          <cell r="B336" t="str">
            <v>17377859#259</v>
          </cell>
          <cell r="H336" t="str">
            <v>Nordea Funds Oy</v>
          </cell>
        </row>
        <row r="337">
          <cell r="B337" t="str">
            <v>17956316#001</v>
          </cell>
          <cell r="H337" t="str">
            <v>Sp-Rahastoyhtiö Oy</v>
          </cell>
        </row>
        <row r="338">
          <cell r="B338" t="str">
            <v>17956316#002</v>
          </cell>
          <cell r="H338" t="str">
            <v>Sp-Rahastoyhtiö Oy</v>
          </cell>
        </row>
        <row r="339">
          <cell r="B339" t="str">
            <v>17956316#003</v>
          </cell>
          <cell r="H339" t="str">
            <v>Sp-Rahastoyhtiö Oy</v>
          </cell>
        </row>
        <row r="340">
          <cell r="B340" t="str">
            <v>17956316#004</v>
          </cell>
          <cell r="H340" t="str">
            <v>Sp-Rahastoyhtiö Oy</v>
          </cell>
        </row>
        <row r="341">
          <cell r="B341" t="str">
            <v>17956316#006</v>
          </cell>
          <cell r="H341" t="str">
            <v>Sp-Rahastoyhtiö Oy</v>
          </cell>
        </row>
        <row r="342">
          <cell r="B342" t="str">
            <v>17956316#007</v>
          </cell>
          <cell r="H342" t="str">
            <v>Sp-Rahastoyhtiö Oy</v>
          </cell>
        </row>
        <row r="343">
          <cell r="B343" t="str">
            <v>17956316#008</v>
          </cell>
          <cell r="H343" t="str">
            <v>Sp-Rahastoyhtiö Oy</v>
          </cell>
        </row>
        <row r="344">
          <cell r="B344" t="str">
            <v>17956316#009</v>
          </cell>
          <cell r="H344" t="str">
            <v>Sp-Rahastoyhtiö Oy</v>
          </cell>
        </row>
        <row r="345">
          <cell r="B345" t="str">
            <v>17956316#010</v>
          </cell>
          <cell r="H345" t="str">
            <v>Sp-Rahastoyhtiö Oy</v>
          </cell>
        </row>
        <row r="346">
          <cell r="B346" t="str">
            <v>17956316#012</v>
          </cell>
          <cell r="H346" t="str">
            <v>Sp-Rahastoyhtiö Oy</v>
          </cell>
        </row>
        <row r="347">
          <cell r="B347" t="str">
            <v>17956316#014</v>
          </cell>
          <cell r="H347" t="str">
            <v>Sp-Rahastoyhtiö Oy</v>
          </cell>
        </row>
        <row r="348">
          <cell r="B348" t="str">
            <v>17956316#015</v>
          </cell>
          <cell r="H348" t="str">
            <v>Sp-Rahastoyhtiö Oy</v>
          </cell>
        </row>
        <row r="349">
          <cell r="B349" t="str">
            <v>17956316#018</v>
          </cell>
          <cell r="H349" t="str">
            <v>Sp-Rahastoyhtiö Oy</v>
          </cell>
        </row>
        <row r="350">
          <cell r="B350" t="str">
            <v>17956316#022</v>
          </cell>
          <cell r="H350" t="str">
            <v>Sp-Rahastoyhtiö Oy</v>
          </cell>
        </row>
        <row r="351">
          <cell r="B351" t="str">
            <v>17956316#028</v>
          </cell>
          <cell r="H351" t="str">
            <v>Sp-Rahastoyhtiö Oy</v>
          </cell>
        </row>
        <row r="352">
          <cell r="B352" t="str">
            <v>17956316#029</v>
          </cell>
          <cell r="H352" t="str">
            <v>Sp-Rahastoyhtiö Oy</v>
          </cell>
        </row>
        <row r="353">
          <cell r="B353" t="str">
            <v>17956316#030</v>
          </cell>
          <cell r="H353" t="str">
            <v>Sp-Rahastoyhtiö Oy</v>
          </cell>
        </row>
        <row r="354">
          <cell r="B354" t="str">
            <v>17956316#031</v>
          </cell>
          <cell r="H354" t="str">
            <v>Sp-Rahastoyhtiö Oy</v>
          </cell>
        </row>
        <row r="355">
          <cell r="B355" t="str">
            <v>17956316#032</v>
          </cell>
          <cell r="H355" t="str">
            <v>Sp-Rahastoyhtiö Oy</v>
          </cell>
        </row>
        <row r="356">
          <cell r="B356" t="str">
            <v>17956316#033</v>
          </cell>
          <cell r="H356" t="str">
            <v>Sp-Rahastoyhtiö Oy</v>
          </cell>
        </row>
        <row r="357">
          <cell r="B357" t="str">
            <v>17956316#034</v>
          </cell>
          <cell r="H357" t="str">
            <v>Sp-Rahastoyhtiö Oy</v>
          </cell>
        </row>
        <row r="358">
          <cell r="B358" t="str">
            <v>17956316#035</v>
          </cell>
          <cell r="H358" t="str">
            <v>Sp-Rahastoyhtiö Oy</v>
          </cell>
        </row>
        <row r="359">
          <cell r="B359" t="str">
            <v>17956316#036</v>
          </cell>
          <cell r="H359" t="str">
            <v>Sp-Rahastoyhtiö Oy</v>
          </cell>
        </row>
        <row r="360">
          <cell r="B360" t="str">
            <v>17956316#038</v>
          </cell>
          <cell r="H360" t="str">
            <v>Sp-Rahastoyhtiö Oy</v>
          </cell>
        </row>
        <row r="361">
          <cell r="B361" t="str">
            <v>18300220#027</v>
          </cell>
          <cell r="H361" t="str">
            <v>GRIT Rahastoyhtiö Oy</v>
          </cell>
        </row>
        <row r="362">
          <cell r="B362" t="str">
            <v>18300220#040</v>
          </cell>
          <cell r="H362" t="str">
            <v>GRIT Rahastoyhtiö Oy</v>
          </cell>
        </row>
        <row r="363">
          <cell r="B363" t="str">
            <v>18300220#041</v>
          </cell>
          <cell r="H363" t="str">
            <v>GRIT Rahastoyhtiö Oy</v>
          </cell>
        </row>
        <row r="364">
          <cell r="B364" t="str">
            <v>20628401#024</v>
          </cell>
          <cell r="H364" t="str">
            <v>Aktia Rahastoyhtiö Oy</v>
          </cell>
        </row>
        <row r="365">
          <cell r="B365" t="str">
            <v>20628401#035</v>
          </cell>
          <cell r="H365" t="str">
            <v>Aktia Rahastoyhtiö Oy</v>
          </cell>
        </row>
        <row r="366">
          <cell r="B366" t="str">
            <v>20628401#036</v>
          </cell>
          <cell r="H366" t="str">
            <v>Aktia Rahastoyhtiö Oy</v>
          </cell>
        </row>
        <row r="367">
          <cell r="B367" t="str">
            <v>20628401#059</v>
          </cell>
          <cell r="H367" t="str">
            <v>Aktia Rahastoyhtiö Oy</v>
          </cell>
        </row>
        <row r="368">
          <cell r="B368" t="str">
            <v>20628401#060</v>
          </cell>
          <cell r="H368" t="str">
            <v>Aktia Rahastoyhtiö Oy</v>
          </cell>
        </row>
        <row r="369">
          <cell r="B369" t="str">
            <v>20628401#061</v>
          </cell>
          <cell r="H369" t="str">
            <v>Aktia Rahastoyhtiö Oy</v>
          </cell>
        </row>
        <row r="370">
          <cell r="B370" t="str">
            <v>20628401#062</v>
          </cell>
          <cell r="H370" t="str">
            <v>Aktia Rahastoyhtiö Oy</v>
          </cell>
        </row>
        <row r="371">
          <cell r="B371" t="str">
            <v>20628401#063</v>
          </cell>
          <cell r="H371" t="str">
            <v>Aktia Rahastoyhtiö Oy</v>
          </cell>
        </row>
        <row r="372">
          <cell r="B372" t="str">
            <v>20628401#064</v>
          </cell>
          <cell r="H372" t="str">
            <v>Aktia Rahastoyhtiö Oy</v>
          </cell>
        </row>
        <row r="373">
          <cell r="B373" t="str">
            <v>20628401#065</v>
          </cell>
          <cell r="H373" t="str">
            <v>Aktia Rahastoyhtiö Oy</v>
          </cell>
        </row>
        <row r="374">
          <cell r="B374" t="str">
            <v>20628401#066</v>
          </cell>
          <cell r="H374" t="str">
            <v>Aktia Rahastoyhtiö Oy</v>
          </cell>
        </row>
        <row r="375">
          <cell r="B375" t="str">
            <v>20628401#067</v>
          </cell>
          <cell r="H375" t="str">
            <v>Aktia Rahastoyhtiö Oy</v>
          </cell>
        </row>
        <row r="376">
          <cell r="B376" t="str">
            <v>20628401#068</v>
          </cell>
          <cell r="H376" t="str">
            <v>Aktia Rahastoyhtiö Oy</v>
          </cell>
        </row>
        <row r="377">
          <cell r="B377" t="str">
            <v>20628401#069</v>
          </cell>
          <cell r="H377" t="str">
            <v>Aktia Rahastoyhtiö Oy</v>
          </cell>
        </row>
        <row r="378">
          <cell r="B378" t="str">
            <v>20628401#070</v>
          </cell>
          <cell r="H378" t="str">
            <v>Aktia Rahastoyhtiö Oy</v>
          </cell>
        </row>
        <row r="379">
          <cell r="B379" t="str">
            <v>20628401#071</v>
          </cell>
          <cell r="H379" t="str">
            <v>Aktia Rahastoyhtiö Oy</v>
          </cell>
        </row>
        <row r="380">
          <cell r="B380" t="str">
            <v>20628401#072</v>
          </cell>
          <cell r="H380" t="str">
            <v>Aktia Rahastoyhtiö Oy</v>
          </cell>
        </row>
        <row r="381">
          <cell r="B381" t="str">
            <v>20628401#073</v>
          </cell>
          <cell r="H381" t="str">
            <v>Aktia Rahastoyhtiö Oy</v>
          </cell>
        </row>
        <row r="382">
          <cell r="B382" t="str">
            <v>20628401#074</v>
          </cell>
          <cell r="H382" t="str">
            <v>Aktia Rahastoyhtiö Oy</v>
          </cell>
        </row>
        <row r="383">
          <cell r="B383" t="str">
            <v>20628401#075</v>
          </cell>
          <cell r="H383" t="str">
            <v>Aktia Rahastoyhtiö Oy</v>
          </cell>
        </row>
        <row r="384">
          <cell r="B384" t="str">
            <v>20628401#077</v>
          </cell>
          <cell r="H384" t="str">
            <v>Aktia Rahastoyhtiö Oy</v>
          </cell>
        </row>
        <row r="385">
          <cell r="B385" t="str">
            <v>20628401#079</v>
          </cell>
          <cell r="H385" t="str">
            <v>Aktia Rahastoyhtiö Oy</v>
          </cell>
        </row>
        <row r="386">
          <cell r="B386" t="str">
            <v>20628401#080</v>
          </cell>
          <cell r="H386" t="str">
            <v>Aktia Rahastoyhtiö Oy</v>
          </cell>
        </row>
        <row r="387">
          <cell r="B387" t="str">
            <v>20628401#082</v>
          </cell>
          <cell r="H387" t="str">
            <v>Aktia Rahastoyhtiö Oy</v>
          </cell>
        </row>
        <row r="388">
          <cell r="B388" t="str">
            <v>20628401#084</v>
          </cell>
          <cell r="H388" t="str">
            <v>Aktia Rahastoyhtiö Oy</v>
          </cell>
        </row>
        <row r="389">
          <cell r="B389" t="str">
            <v>20628401#085</v>
          </cell>
          <cell r="H389" t="str">
            <v>Aktia Rahastoyhtiö Oy</v>
          </cell>
        </row>
        <row r="390">
          <cell r="B390" t="str">
            <v>20628401#086</v>
          </cell>
          <cell r="H390" t="str">
            <v>Aktia Rahastoyhtiö Oy</v>
          </cell>
        </row>
        <row r="391">
          <cell r="B391" t="str">
            <v>20628401#111</v>
          </cell>
          <cell r="H391" t="str">
            <v>Aktia Rahastoyhtiö Oy</v>
          </cell>
        </row>
        <row r="392">
          <cell r="B392" t="str">
            <v>20628401#112</v>
          </cell>
          <cell r="H392" t="str">
            <v>Aktia Rahastoyhtiö Oy</v>
          </cell>
        </row>
        <row r="393">
          <cell r="B393" t="str">
            <v>20628401#113</v>
          </cell>
          <cell r="H393" t="str">
            <v>Aktia Rahastoyhtiö Oy</v>
          </cell>
        </row>
        <row r="394">
          <cell r="B394" t="str">
            <v>20628401#114</v>
          </cell>
          <cell r="H394" t="str">
            <v>Aktia Rahastoyhtiö Oy</v>
          </cell>
        </row>
        <row r="395">
          <cell r="B395" t="str">
            <v>21181015#012</v>
          </cell>
          <cell r="H395" t="str">
            <v>UB Rahastoyhtiö Oy</v>
          </cell>
        </row>
        <row r="396">
          <cell r="B396" t="str">
            <v>21181015#013</v>
          </cell>
          <cell r="H396" t="str">
            <v>UB Rahastoyhtiö Oy</v>
          </cell>
        </row>
        <row r="397">
          <cell r="B397" t="str">
            <v>21181015#014</v>
          </cell>
          <cell r="H397" t="str">
            <v>UB Rahastoyhtiö Oy</v>
          </cell>
        </row>
        <row r="398">
          <cell r="B398" t="str">
            <v>21181015#015</v>
          </cell>
          <cell r="H398" t="str">
            <v>UB Rahastoyhtiö Oy</v>
          </cell>
        </row>
        <row r="399">
          <cell r="B399" t="str">
            <v>21181015#017</v>
          </cell>
          <cell r="H399" t="str">
            <v>UB Rahastoyhtiö Oy</v>
          </cell>
        </row>
        <row r="400">
          <cell r="B400" t="str">
            <v>21181015#018</v>
          </cell>
          <cell r="H400" t="str">
            <v>UB Rahastoyhtiö Oy</v>
          </cell>
        </row>
        <row r="401">
          <cell r="B401" t="str">
            <v>21181015#019</v>
          </cell>
          <cell r="H401" t="str">
            <v>UB Rahastoyhtiö Oy</v>
          </cell>
        </row>
        <row r="402">
          <cell r="B402" t="str">
            <v>21181015#022</v>
          </cell>
          <cell r="H402" t="str">
            <v>UB Rahastoyhtiö Oy</v>
          </cell>
        </row>
        <row r="403">
          <cell r="B403" t="str">
            <v>21181015#024</v>
          </cell>
          <cell r="H403" t="str">
            <v>UB Rahastoyhtiö Oy</v>
          </cell>
        </row>
        <row r="404">
          <cell r="B404" t="str">
            <v>21181015#045</v>
          </cell>
          <cell r="H404" t="str">
            <v>UB Rahastoyhtiö Oy</v>
          </cell>
        </row>
        <row r="405">
          <cell r="B405" t="str">
            <v>21181015#049</v>
          </cell>
          <cell r="H405" t="str">
            <v>UB Rahastoyhtiö Oy</v>
          </cell>
        </row>
        <row r="406">
          <cell r="B406" t="str">
            <v>22888047#005</v>
          </cell>
          <cell r="H406" t="str">
            <v>Titanium Rahastoyhtiö Oy</v>
          </cell>
        </row>
        <row r="407">
          <cell r="B407" t="str">
            <v>22888047#008</v>
          </cell>
          <cell r="H407" t="str">
            <v>Titanium Rahastoyhtiö Oy</v>
          </cell>
        </row>
        <row r="408">
          <cell r="B408" t="str">
            <v>22888047#009</v>
          </cell>
          <cell r="H408" t="str">
            <v>Titanium Rahastoyhtiö Oy</v>
          </cell>
        </row>
        <row r="409">
          <cell r="B409" t="str">
            <v>22954454#002</v>
          </cell>
          <cell r="H409" t="str">
            <v>Investors House Rahastot Oy</v>
          </cell>
        </row>
        <row r="410">
          <cell r="B410" t="str">
            <v>22954454#005</v>
          </cell>
          <cell r="H410" t="str">
            <v>Investors House Rahastot Oy</v>
          </cell>
        </row>
        <row r="411">
          <cell r="B411" t="str">
            <v>23245609#015</v>
          </cell>
          <cell r="H411" t="str">
            <v>Finlandia Rahastoyhtiö Oy</v>
          </cell>
        </row>
        <row r="412">
          <cell r="B412" t="str">
            <v>23245609#016</v>
          </cell>
          <cell r="H412" t="str">
            <v>Finlandia Rahastoyhtiö Oy</v>
          </cell>
        </row>
        <row r="413">
          <cell r="B413" t="str">
            <v>23245609#017</v>
          </cell>
          <cell r="H413" t="str">
            <v>Finlandia Rahastoyhtiö Oy</v>
          </cell>
        </row>
        <row r="414">
          <cell r="B414" t="str">
            <v>23245609#021</v>
          </cell>
          <cell r="H414" t="str">
            <v>Finlandia Rahastoyhtiö Oy</v>
          </cell>
        </row>
        <row r="415">
          <cell r="B415" t="str">
            <v>28233658#001</v>
          </cell>
          <cell r="H415" t="str">
            <v>Obsido Rahastoyhtiö Oy</v>
          </cell>
        </row>
        <row r="416">
          <cell r="B416" t="str">
            <v>31417319#001</v>
          </cell>
          <cell r="H416" t="str">
            <v>Fourton Oy</v>
          </cell>
        </row>
        <row r="417">
          <cell r="B417" t="str">
            <v>31417319#003</v>
          </cell>
          <cell r="H417" t="str">
            <v>Fourton Oy</v>
          </cell>
        </row>
        <row r="418">
          <cell r="B418" t="str">
            <v>31417319#004</v>
          </cell>
          <cell r="H418" t="str">
            <v>Fourton Oy</v>
          </cell>
        </row>
        <row r="419">
          <cell r="B419" t="str">
            <v>31417319#005</v>
          </cell>
          <cell r="H419" t="str">
            <v>Fourton Oy</v>
          </cell>
        </row>
        <row r="420">
          <cell r="B420" t="str">
            <v>31417319#006</v>
          </cell>
          <cell r="H420" t="str">
            <v>Fourton Oy</v>
          </cell>
        </row>
        <row r="421">
          <cell r="B421" t="str">
            <v/>
          </cell>
          <cell r="H421" t="str">
            <v/>
          </cell>
        </row>
        <row r="422">
          <cell r="B422" t="str">
            <v>Erikoissijoitusrahastot (Non-UCITS)</v>
          </cell>
          <cell r="H422" t="str">
            <v/>
          </cell>
        </row>
        <row r="423">
          <cell r="B423" t="str">
            <v>Specialplaceringsfonder (Non-UCITS)</v>
          </cell>
          <cell r="H423" t="str">
            <v/>
          </cell>
        </row>
        <row r="424">
          <cell r="B424" t="str">
            <v>Special investment funds (Non-UCITS)</v>
          </cell>
          <cell r="H424" t="str">
            <v/>
          </cell>
        </row>
        <row r="425">
          <cell r="B425" t="str">
            <v/>
          </cell>
          <cell r="H425" t="str">
            <v/>
          </cell>
        </row>
        <row r="426">
          <cell r="B426" t="str">
            <v>06652755#001</v>
          </cell>
          <cell r="H426" t="str">
            <v>PYN Fund Management Oy</v>
          </cell>
        </row>
        <row r="427">
          <cell r="B427" t="str">
            <v>06716026#016</v>
          </cell>
          <cell r="H427" t="str">
            <v>Danske Invest Rahastoyhtiö Oy</v>
          </cell>
        </row>
        <row r="428">
          <cell r="B428" t="str">
            <v>07360527#040</v>
          </cell>
          <cell r="H428" t="str">
            <v>eQ Rahastoyhtiö Oy</v>
          </cell>
        </row>
        <row r="429">
          <cell r="B429" t="str">
            <v>07360527#044</v>
          </cell>
          <cell r="H429" t="str">
            <v>eQ Rahastoyhtiö Oy</v>
          </cell>
        </row>
        <row r="430">
          <cell r="B430" t="str">
            <v>07360527#046</v>
          </cell>
          <cell r="H430" t="str">
            <v>eQ Rahastoyhtiö Oy</v>
          </cell>
        </row>
        <row r="431">
          <cell r="B431" t="str">
            <v>07360527#047</v>
          </cell>
          <cell r="H431" t="str">
            <v>eQ Rahastoyhtiö Oy</v>
          </cell>
        </row>
        <row r="432">
          <cell r="B432" t="str">
            <v>07360527#048</v>
          </cell>
          <cell r="H432" t="str">
            <v>eQ Rahastoyhtiö Oy</v>
          </cell>
        </row>
        <row r="433">
          <cell r="B433" t="str">
            <v>07360527#051</v>
          </cell>
          <cell r="H433" t="str">
            <v>eQ Rahastoyhtiö Oy</v>
          </cell>
        </row>
        <row r="434">
          <cell r="B434" t="str">
            <v>07360527#052</v>
          </cell>
          <cell r="H434" t="str">
            <v>eQ Rahastoyhtiö Oy</v>
          </cell>
        </row>
        <row r="435">
          <cell r="B435" t="str">
            <v>07360527#060</v>
          </cell>
          <cell r="H435" t="str">
            <v>eQ Rahastoyhtiö Oy</v>
          </cell>
        </row>
        <row r="436">
          <cell r="B436" t="str">
            <v>07360527#070</v>
          </cell>
          <cell r="H436" t="str">
            <v>eQ Rahastoyhtiö Oy</v>
          </cell>
        </row>
        <row r="437">
          <cell r="B437" t="str">
            <v>07360527#081</v>
          </cell>
          <cell r="H437" t="str">
            <v>eQ Rahastoyhtiö Oy</v>
          </cell>
        </row>
        <row r="438">
          <cell r="B438" t="str">
            <v>07360527#082</v>
          </cell>
          <cell r="H438" t="str">
            <v>eQ Rahastoyhtiö Oy</v>
          </cell>
        </row>
        <row r="439">
          <cell r="B439" t="str">
            <v>07360527#083</v>
          </cell>
          <cell r="H439" t="str">
            <v>eQ Rahastoyhtiö Oy</v>
          </cell>
        </row>
        <row r="440">
          <cell r="B440" t="str">
            <v>07360527#085</v>
          </cell>
          <cell r="H440" t="str">
            <v>eQ Rahastoyhtiö Oy</v>
          </cell>
        </row>
        <row r="441">
          <cell r="B441" t="str">
            <v>07360527#086</v>
          </cell>
          <cell r="H441" t="str">
            <v>eQ Rahastoyhtiö Oy</v>
          </cell>
        </row>
        <row r="442">
          <cell r="B442" t="str">
            <v>07360527#088</v>
          </cell>
          <cell r="H442" t="str">
            <v>eQ Rahastoyhtiö Oy</v>
          </cell>
        </row>
        <row r="443">
          <cell r="B443" t="str">
            <v>07360527#089</v>
          </cell>
          <cell r="H443" t="str">
            <v>eQ Rahastoyhtiö Oy</v>
          </cell>
        </row>
        <row r="444">
          <cell r="B444" t="str">
            <v>07360527#090</v>
          </cell>
          <cell r="H444" t="str">
            <v>eQ Rahastoyhtiö Oy</v>
          </cell>
        </row>
        <row r="445">
          <cell r="B445" t="str">
            <v>07360527#092</v>
          </cell>
          <cell r="H445" t="str">
            <v>eQ Rahastoyhtiö Oy</v>
          </cell>
        </row>
        <row r="446">
          <cell r="B446" t="str">
            <v>07360527#094</v>
          </cell>
          <cell r="H446" t="str">
            <v>eQ Rahastoyhtiö Oy</v>
          </cell>
        </row>
        <row r="447">
          <cell r="B447" t="str">
            <v>07360527#095</v>
          </cell>
          <cell r="H447" t="str">
            <v>eQ Rahastoyhtiö Oy</v>
          </cell>
        </row>
        <row r="448">
          <cell r="B448" t="str">
            <v>07360527#096</v>
          </cell>
          <cell r="H448" t="str">
            <v>eQ Rahastoyhtiö Oy</v>
          </cell>
        </row>
        <row r="449">
          <cell r="B449" t="str">
            <v>07360527#097</v>
          </cell>
          <cell r="H449" t="str">
            <v>eQ Rahastoyhtiö Oy</v>
          </cell>
        </row>
        <row r="450">
          <cell r="B450" t="str">
            <v>07360527#098</v>
          </cell>
          <cell r="H450" t="str">
            <v>eQ Rahastoyhtiö Oy</v>
          </cell>
        </row>
        <row r="451">
          <cell r="B451" t="str">
            <v>07360527#099</v>
          </cell>
          <cell r="H451" t="str">
            <v>eQ Rahastoyhtiö Oy</v>
          </cell>
        </row>
        <row r="452">
          <cell r="B452" t="str">
            <v>07360527#101</v>
          </cell>
          <cell r="H452" t="str">
            <v>eQ Rahastoyhtiö Oy</v>
          </cell>
        </row>
        <row r="453">
          <cell r="B453" t="str">
            <v>07360527#102</v>
          </cell>
          <cell r="H453" t="str">
            <v>eQ Rahastoyhtiö Oy</v>
          </cell>
        </row>
        <row r="454">
          <cell r="B454" t="str">
            <v>07360527#104</v>
          </cell>
          <cell r="H454" t="str">
            <v>eQ Rahastoyhtiö Oy</v>
          </cell>
        </row>
        <row r="455">
          <cell r="B455" t="str">
            <v>07360527#105</v>
          </cell>
          <cell r="H455" t="str">
            <v>eQ Rahastoyhtiö Oy</v>
          </cell>
        </row>
        <row r="456">
          <cell r="B456" t="str">
            <v>07360527#106</v>
          </cell>
          <cell r="H456" t="str">
            <v>eQ Rahastoyhtiö Oy</v>
          </cell>
        </row>
        <row r="457">
          <cell r="B457" t="str">
            <v>07360527#108</v>
          </cell>
          <cell r="H457" t="str">
            <v>eQ Rahastoyhtiö Oy</v>
          </cell>
        </row>
        <row r="458">
          <cell r="B458" t="str">
            <v>07360527#111</v>
          </cell>
          <cell r="H458" t="str">
            <v>eQ Rahastoyhtiö Oy</v>
          </cell>
        </row>
        <row r="459">
          <cell r="B459" t="str">
            <v>07360527#112</v>
          </cell>
          <cell r="H459" t="str">
            <v>eQ Rahastoyhtiö Oy</v>
          </cell>
        </row>
        <row r="460">
          <cell r="B460" t="str">
            <v>07360527#114</v>
          </cell>
          <cell r="H460" t="str">
            <v>eQ Rahastoyhtiö Oy</v>
          </cell>
        </row>
        <row r="461">
          <cell r="B461" t="str">
            <v>07360527#115</v>
          </cell>
          <cell r="H461" t="str">
            <v>eQ Rahastoyhtiö Oy</v>
          </cell>
        </row>
        <row r="462">
          <cell r="B462" t="str">
            <v>07360527#117</v>
          </cell>
          <cell r="H462" t="str">
            <v>eQ Rahastoyhtiö Oy</v>
          </cell>
        </row>
        <row r="463">
          <cell r="B463" t="str">
            <v>07360527#118</v>
          </cell>
          <cell r="H463" t="str">
            <v>eQ Rahastoyhtiö Oy</v>
          </cell>
        </row>
        <row r="464">
          <cell r="B464" t="str">
            <v>07360527#119</v>
          </cell>
          <cell r="H464" t="str">
            <v>eQ Rahastoyhtiö Oy</v>
          </cell>
        </row>
        <row r="465">
          <cell r="B465" t="str">
            <v>07360527#120</v>
          </cell>
          <cell r="H465" t="str">
            <v>eQ Rahastoyhtiö Oy</v>
          </cell>
        </row>
        <row r="466">
          <cell r="B466" t="str">
            <v>07360527#121</v>
          </cell>
          <cell r="H466" t="str">
            <v>eQ Rahastoyhtiö Oy</v>
          </cell>
        </row>
        <row r="467">
          <cell r="B467" t="str">
            <v>07360527#123</v>
          </cell>
          <cell r="H467" t="str">
            <v>eQ Rahastoyhtiö Oy</v>
          </cell>
        </row>
        <row r="468">
          <cell r="B468" t="str">
            <v>07360527#125</v>
          </cell>
          <cell r="H468" t="str">
            <v>eQ Rahastoyhtiö Oy</v>
          </cell>
        </row>
        <row r="469">
          <cell r="B469" t="str">
            <v>07360527#127</v>
          </cell>
          <cell r="H469" t="str">
            <v>eQ Rahastoyhtiö Oy</v>
          </cell>
        </row>
        <row r="470">
          <cell r="B470" t="str">
            <v>07360527#128</v>
          </cell>
          <cell r="H470" t="str">
            <v>eQ Rahastoyhtiö Oy</v>
          </cell>
        </row>
        <row r="471">
          <cell r="B471" t="str">
            <v>07360527#130</v>
          </cell>
          <cell r="H471" t="str">
            <v>eQ Rahastoyhtiö Oy</v>
          </cell>
        </row>
        <row r="472">
          <cell r="B472" t="str">
            <v>07360527#131</v>
          </cell>
          <cell r="H472" t="str">
            <v>eQ Rahastoyhtiö Oy</v>
          </cell>
        </row>
        <row r="473">
          <cell r="B473" t="str">
            <v>07360527#132</v>
          </cell>
          <cell r="H473" t="str">
            <v>eQ Rahastoyhtiö Oy</v>
          </cell>
        </row>
        <row r="474">
          <cell r="B474" t="str">
            <v>07360527#134</v>
          </cell>
          <cell r="H474" t="str">
            <v>eQ Rahastoyhtiö Oy</v>
          </cell>
        </row>
        <row r="475">
          <cell r="B475" t="str">
            <v>07360527#135</v>
          </cell>
          <cell r="H475" t="str">
            <v>eQ Rahastoyhtiö Oy</v>
          </cell>
        </row>
        <row r="476">
          <cell r="B476" t="str">
            <v>07360527#136</v>
          </cell>
          <cell r="H476" t="str">
            <v>eQ Rahastoyhtiö Oy</v>
          </cell>
        </row>
        <row r="477">
          <cell r="B477" t="str">
            <v>07360527#138</v>
          </cell>
          <cell r="H477" t="str">
            <v>eQ Rahastoyhtiö Oy</v>
          </cell>
        </row>
        <row r="478">
          <cell r="B478" t="str">
            <v>07360527#141</v>
          </cell>
          <cell r="H478" t="str">
            <v>eQ Rahastoyhtiö Oy</v>
          </cell>
        </row>
        <row r="479">
          <cell r="B479" t="str">
            <v>07439622#091</v>
          </cell>
          <cell r="H479" t="str">
            <v>OP-Rahastoyhtiö Oy</v>
          </cell>
        </row>
        <row r="480">
          <cell r="B480" t="str">
            <v>07439622#105</v>
          </cell>
          <cell r="H480" t="str">
            <v>OP-Rahastoyhtiö Oy</v>
          </cell>
        </row>
        <row r="481">
          <cell r="B481" t="str">
            <v>07439622#113</v>
          </cell>
          <cell r="H481" t="str">
            <v>OP-Rahastoyhtiö Oy</v>
          </cell>
        </row>
        <row r="482">
          <cell r="B482" t="str">
            <v>07439622#114</v>
          </cell>
          <cell r="H482" t="str">
            <v>OP-Rahastoyhtiö Oy</v>
          </cell>
        </row>
        <row r="483">
          <cell r="B483" t="str">
            <v>07439622#115</v>
          </cell>
          <cell r="H483" t="str">
            <v>OP-Rahastoyhtiö Oy</v>
          </cell>
        </row>
        <row r="484">
          <cell r="B484" t="str">
            <v>07439622#116</v>
          </cell>
          <cell r="H484" t="str">
            <v>OP-Rahastoyhtiö Oy</v>
          </cell>
        </row>
        <row r="485">
          <cell r="B485" t="str">
            <v>07439622#117</v>
          </cell>
          <cell r="H485" t="str">
            <v>OP-Rahastoyhtiö Oy</v>
          </cell>
        </row>
        <row r="486">
          <cell r="B486" t="str">
            <v>07439622#118</v>
          </cell>
          <cell r="H486" t="str">
            <v>OP-Rahastoyhtiö Oy</v>
          </cell>
        </row>
        <row r="487">
          <cell r="B487" t="str">
            <v>07439622#130</v>
          </cell>
          <cell r="H487" t="str">
            <v>OP-Rahastoyhtiö Oy</v>
          </cell>
        </row>
        <row r="488">
          <cell r="B488" t="str">
            <v>07439622#132</v>
          </cell>
          <cell r="H488" t="str">
            <v>OP-Rahastoyhtiö Oy</v>
          </cell>
        </row>
        <row r="489">
          <cell r="B489" t="str">
            <v>07439622#145</v>
          </cell>
          <cell r="H489" t="str">
            <v>OP-Rahastoyhtiö Oy</v>
          </cell>
        </row>
        <row r="490">
          <cell r="B490" t="str">
            <v>07439622#147</v>
          </cell>
          <cell r="H490" t="str">
            <v>OP-Rahastoyhtiö Oy</v>
          </cell>
        </row>
        <row r="491">
          <cell r="B491" t="str">
            <v>07439622#149</v>
          </cell>
          <cell r="H491" t="str">
            <v>OP-Rahastoyhtiö Oy</v>
          </cell>
        </row>
        <row r="492">
          <cell r="B492" t="str">
            <v>07439622#150</v>
          </cell>
          <cell r="H492" t="str">
            <v>OP-Rahastoyhtiö Oy</v>
          </cell>
        </row>
        <row r="493">
          <cell r="B493" t="str">
            <v>07439622#152</v>
          </cell>
          <cell r="H493" t="str">
            <v>OP-Rahastoyhtiö Oy</v>
          </cell>
        </row>
        <row r="494">
          <cell r="B494" t="str">
            <v>07446590#077</v>
          </cell>
          <cell r="H494" t="str">
            <v>Evli-Rahastoyhtiö Oy</v>
          </cell>
        </row>
        <row r="495">
          <cell r="B495" t="str">
            <v>07446590#083</v>
          </cell>
          <cell r="H495" t="str">
            <v>Evli-Rahastoyhtiö Oy</v>
          </cell>
        </row>
        <row r="496">
          <cell r="B496" t="str">
            <v>07446590#088</v>
          </cell>
          <cell r="H496" t="str">
            <v>Evli-Rahastoyhtiö Oy</v>
          </cell>
        </row>
        <row r="497">
          <cell r="B497" t="str">
            <v>07446590#108</v>
          </cell>
          <cell r="H497" t="str">
            <v>Evli-Rahastoyhtiö Oy</v>
          </cell>
        </row>
        <row r="498">
          <cell r="B498" t="str">
            <v>07446590#134</v>
          </cell>
          <cell r="H498" t="str">
            <v>Evli-Rahastoyhtiö Oy</v>
          </cell>
        </row>
        <row r="499">
          <cell r="B499" t="str">
            <v>07446590#141</v>
          </cell>
          <cell r="H499" t="str">
            <v>Evli-Rahastoyhtiö Oy</v>
          </cell>
        </row>
        <row r="500">
          <cell r="B500" t="str">
            <v>07446590#144</v>
          </cell>
          <cell r="H500" t="str">
            <v>Evli-Rahastoyhtiö Oy</v>
          </cell>
        </row>
        <row r="501">
          <cell r="B501" t="str">
            <v>07446590#145</v>
          </cell>
          <cell r="H501" t="str">
            <v>Evli-Rahastoyhtiö Oy</v>
          </cell>
        </row>
        <row r="502">
          <cell r="B502" t="str">
            <v>07446590#161</v>
          </cell>
          <cell r="H502" t="str">
            <v>Evli-Rahastoyhtiö Oy</v>
          </cell>
        </row>
        <row r="503">
          <cell r="B503" t="str">
            <v>09791339#034</v>
          </cell>
          <cell r="H503" t="str">
            <v>S-Pankki Rahastoyhtiö Oy</v>
          </cell>
        </row>
        <row r="504">
          <cell r="B504" t="str">
            <v>09791339#074</v>
          </cell>
          <cell r="H504" t="str">
            <v>S-Pankki Rahastoyhtiö Oy</v>
          </cell>
        </row>
        <row r="505">
          <cell r="B505" t="str">
            <v>09791339#077</v>
          </cell>
          <cell r="H505" t="str">
            <v>S-Pankki Rahastoyhtiö Oy</v>
          </cell>
        </row>
        <row r="506">
          <cell r="B506" t="str">
            <v>09791339#091</v>
          </cell>
          <cell r="H506" t="str">
            <v>S-Pankki Rahastoyhtiö Oy</v>
          </cell>
        </row>
        <row r="507">
          <cell r="B507" t="str">
            <v>09791339#092</v>
          </cell>
          <cell r="H507" t="str">
            <v>S-Pankki Rahastoyhtiö Oy</v>
          </cell>
        </row>
        <row r="508">
          <cell r="B508" t="str">
            <v>09791339#093</v>
          </cell>
          <cell r="H508" t="str">
            <v>S-Pankki Rahastoyhtiö Oy</v>
          </cell>
        </row>
        <row r="509">
          <cell r="B509" t="str">
            <v>09791339#094</v>
          </cell>
          <cell r="H509" t="str">
            <v>S-Pankki Rahastoyhtiö Oy</v>
          </cell>
        </row>
        <row r="510">
          <cell r="B510" t="str">
            <v>09791339#095</v>
          </cell>
          <cell r="H510" t="str">
            <v>S-Pankki Rahastoyhtiö Oy</v>
          </cell>
        </row>
        <row r="511">
          <cell r="B511" t="str">
            <v>09791339#112</v>
          </cell>
          <cell r="H511" t="str">
            <v>S-Pankki Rahastoyhtiö Oy</v>
          </cell>
        </row>
        <row r="512">
          <cell r="B512" t="str">
            <v>14713626#023</v>
          </cell>
          <cell r="H512" t="str">
            <v>Ålandsbanken Fondbolag Ab</v>
          </cell>
        </row>
        <row r="513">
          <cell r="B513" t="str">
            <v>14713626#030</v>
          </cell>
          <cell r="H513" t="str">
            <v>Ålandsbanken Fondbolag Ab</v>
          </cell>
        </row>
        <row r="514">
          <cell r="B514" t="str">
            <v>14713626#047</v>
          </cell>
          <cell r="H514" t="str">
            <v>Ålandsbanken Fondbolag Ab</v>
          </cell>
        </row>
        <row r="515">
          <cell r="B515" t="str">
            <v>16039364#006</v>
          </cell>
          <cell r="H515" t="str">
            <v>Alexandria Rahastoyhtiö Oy</v>
          </cell>
        </row>
        <row r="516">
          <cell r="B516" t="str">
            <v>16039364#007</v>
          </cell>
          <cell r="H516" t="str">
            <v>Alexandria Rahastoyhtiö Oy</v>
          </cell>
        </row>
        <row r="517">
          <cell r="B517" t="str">
            <v>16039364#008</v>
          </cell>
          <cell r="H517" t="str">
            <v>Alexandria Rahastoyhtiö Oy</v>
          </cell>
        </row>
        <row r="518">
          <cell r="B518" t="str">
            <v>16039364#010</v>
          </cell>
          <cell r="H518" t="str">
            <v>Alexandria Rahastoyhtiö Oy</v>
          </cell>
        </row>
        <row r="519">
          <cell r="B519" t="str">
            <v>16039364#011</v>
          </cell>
          <cell r="H519" t="str">
            <v>Alexandria Rahastoyhtiö Oy</v>
          </cell>
        </row>
        <row r="520">
          <cell r="B520" t="str">
            <v>16172050#018</v>
          </cell>
          <cell r="H520" t="str">
            <v>LähiTapiola Oy</v>
          </cell>
        </row>
        <row r="521">
          <cell r="B521" t="str">
            <v>17377859#096</v>
          </cell>
          <cell r="H521" t="str">
            <v>Nordea Funds Oy</v>
          </cell>
        </row>
        <row r="522">
          <cell r="B522" t="str">
            <v>17377859#198</v>
          </cell>
          <cell r="H522" t="str">
            <v>Nordea Funds Oy</v>
          </cell>
        </row>
        <row r="523">
          <cell r="B523" t="str">
            <v>17377859#252</v>
          </cell>
          <cell r="H523" t="str">
            <v>Nordea Funds Oy</v>
          </cell>
        </row>
        <row r="524">
          <cell r="B524" t="str">
            <v>17956316#013</v>
          </cell>
          <cell r="H524" t="str">
            <v>Sp-Rahastoyhtiö Oy</v>
          </cell>
        </row>
        <row r="525">
          <cell r="B525" t="str">
            <v>17956316#019</v>
          </cell>
          <cell r="H525" t="str">
            <v>Sp-Rahastoyhtiö Oy</v>
          </cell>
        </row>
        <row r="526">
          <cell r="B526" t="str">
            <v>17956316#023</v>
          </cell>
          <cell r="H526" t="str">
            <v>Sp-Rahastoyhtiö Oy</v>
          </cell>
        </row>
        <row r="527">
          <cell r="B527" t="str">
            <v>17956316#024</v>
          </cell>
          <cell r="H527" t="str">
            <v>Sp-Rahastoyhtiö Oy</v>
          </cell>
        </row>
        <row r="528">
          <cell r="B528" t="str">
            <v>17956316#025</v>
          </cell>
          <cell r="H528" t="str">
            <v>Sp-Rahastoyhtiö Oy</v>
          </cell>
        </row>
        <row r="529">
          <cell r="B529" t="str">
            <v>17956316#026</v>
          </cell>
          <cell r="H529" t="str">
            <v>Sp-Rahastoyhtiö Oy</v>
          </cell>
        </row>
        <row r="530">
          <cell r="B530" t="str">
            <v>17956316#027</v>
          </cell>
          <cell r="H530" t="str">
            <v>Sp-Rahastoyhtiö Oy</v>
          </cell>
        </row>
        <row r="531">
          <cell r="B531" t="str">
            <v>17956316#037</v>
          </cell>
          <cell r="H531" t="str">
            <v>Sp-Rahastoyhtiö Oy</v>
          </cell>
        </row>
        <row r="532">
          <cell r="B532" t="str">
            <v>18300220#005</v>
          </cell>
          <cell r="H532" t="str">
            <v>GRIT Rahastoyhtiö Oy</v>
          </cell>
        </row>
        <row r="533">
          <cell r="B533" t="str">
            <v>18300220#010</v>
          </cell>
          <cell r="H533" t="str">
            <v>GRIT Rahastoyhtiö Oy</v>
          </cell>
        </row>
        <row r="534">
          <cell r="B534" t="str">
            <v>18300220#012</v>
          </cell>
          <cell r="H534" t="str">
            <v>GRIT Rahastoyhtiö Oy</v>
          </cell>
        </row>
        <row r="535">
          <cell r="B535" t="str">
            <v>18300220#013</v>
          </cell>
          <cell r="H535" t="str">
            <v>GRIT Rahastoyhtiö Oy</v>
          </cell>
        </row>
        <row r="536">
          <cell r="B536" t="str">
            <v>18300220#016</v>
          </cell>
          <cell r="H536" t="str">
            <v>GRIT Rahastoyhtiö Oy</v>
          </cell>
        </row>
        <row r="537">
          <cell r="B537" t="str">
            <v>18300220#024</v>
          </cell>
          <cell r="H537" t="str">
            <v>GRIT Rahastoyhtiö Oy</v>
          </cell>
        </row>
        <row r="538">
          <cell r="B538" t="str">
            <v>18300220#026</v>
          </cell>
          <cell r="H538" t="str">
            <v>GRIT Rahastoyhtiö Oy</v>
          </cell>
        </row>
        <row r="539">
          <cell r="B539" t="str">
            <v>18300220#028</v>
          </cell>
          <cell r="H539" t="str">
            <v>GRIT Rahastoyhtiö Oy</v>
          </cell>
        </row>
        <row r="540">
          <cell r="B540" t="str">
            <v>18300220#029</v>
          </cell>
          <cell r="H540" t="str">
            <v>GRIT Rahastoyhtiö Oy</v>
          </cell>
        </row>
        <row r="541">
          <cell r="B541" t="str">
            <v>18300220#031</v>
          </cell>
          <cell r="H541" t="str">
            <v>GRIT Rahastoyhtiö Oy</v>
          </cell>
        </row>
        <row r="542">
          <cell r="B542" t="str">
            <v>18300220#032</v>
          </cell>
          <cell r="H542" t="str">
            <v>GRIT Rahastoyhtiö Oy</v>
          </cell>
        </row>
        <row r="543">
          <cell r="B543" t="str">
            <v>18300220#033</v>
          </cell>
          <cell r="H543" t="str">
            <v>GRIT Rahastoyhtiö Oy</v>
          </cell>
        </row>
        <row r="544">
          <cell r="B544" t="str">
            <v>18300220#034</v>
          </cell>
          <cell r="H544" t="str">
            <v>GRIT Rahastoyhtiö Oy</v>
          </cell>
        </row>
        <row r="545">
          <cell r="B545" t="str">
            <v>18300220#035</v>
          </cell>
          <cell r="H545" t="str">
            <v>GRIT Rahastoyhtiö Oy</v>
          </cell>
        </row>
        <row r="546">
          <cell r="B546" t="str">
            <v>18300220#038</v>
          </cell>
          <cell r="H546" t="str">
            <v>GRIT Rahastoyhtiö Oy</v>
          </cell>
        </row>
        <row r="547">
          <cell r="B547" t="str">
            <v>18300220#039</v>
          </cell>
          <cell r="H547" t="str">
            <v>GRIT Rahastoyhtiö Oy</v>
          </cell>
        </row>
        <row r="548">
          <cell r="B548" t="str">
            <v>18300220#042</v>
          </cell>
          <cell r="H548" t="str">
            <v>GRIT Rahastoyhtiö Oy</v>
          </cell>
        </row>
        <row r="549">
          <cell r="B549" t="str">
            <v>18300220#043</v>
          </cell>
          <cell r="H549" t="str">
            <v>GRIT Rahastoyhtiö Oy</v>
          </cell>
        </row>
        <row r="550">
          <cell r="B550" t="str">
            <v>19880781#006</v>
          </cell>
          <cell r="H550" t="str">
            <v>Dasos Capital Oy</v>
          </cell>
        </row>
        <row r="551">
          <cell r="B551" t="str">
            <v>20628401#016</v>
          </cell>
          <cell r="H551" t="str">
            <v>Aktia Rahastoyhtiö Oy</v>
          </cell>
        </row>
        <row r="552">
          <cell r="B552" t="str">
            <v>20628401#023</v>
          </cell>
          <cell r="H552" t="str">
            <v>Aktia Rahastoyhtiö Oy</v>
          </cell>
        </row>
        <row r="553">
          <cell r="B553" t="str">
            <v>20628401#027</v>
          </cell>
          <cell r="H553" t="str">
            <v>Aktia Rahastoyhtiö Oy</v>
          </cell>
        </row>
        <row r="554">
          <cell r="B554" t="str">
            <v>20628401#028</v>
          </cell>
          <cell r="H554" t="str">
            <v>Aktia Rahastoyhtiö Oy</v>
          </cell>
        </row>
        <row r="555">
          <cell r="B555" t="str">
            <v>20628401#029</v>
          </cell>
          <cell r="H555" t="str">
            <v>Aktia Rahastoyhtiö Oy</v>
          </cell>
        </row>
        <row r="556">
          <cell r="B556" t="str">
            <v>20628401#030</v>
          </cell>
          <cell r="H556" t="str">
            <v>Aktia Rahastoyhtiö Oy</v>
          </cell>
        </row>
        <row r="557">
          <cell r="B557" t="str">
            <v>20628401#038</v>
          </cell>
          <cell r="H557" t="str">
            <v>Aktia Rahastoyhtiö Oy</v>
          </cell>
        </row>
        <row r="558">
          <cell r="B558" t="str">
            <v>20628401#039</v>
          </cell>
          <cell r="H558" t="str">
            <v>Aktia Rahastoyhtiö Oy</v>
          </cell>
        </row>
        <row r="559">
          <cell r="B559" t="str">
            <v>20628401#040</v>
          </cell>
          <cell r="H559" t="str">
            <v>Aktia Rahastoyhtiö Oy</v>
          </cell>
        </row>
        <row r="560">
          <cell r="B560" t="str">
            <v>20628401#044</v>
          </cell>
          <cell r="H560" t="str">
            <v>Aktia Rahastoyhtiö Oy</v>
          </cell>
        </row>
        <row r="561">
          <cell r="B561" t="str">
            <v>20628401#076</v>
          </cell>
          <cell r="H561" t="str">
            <v>Aktia Rahastoyhtiö Oy</v>
          </cell>
        </row>
        <row r="562">
          <cell r="B562" t="str">
            <v>20628401#081</v>
          </cell>
          <cell r="H562" t="str">
            <v>Aktia Rahastoyhtiö Oy</v>
          </cell>
        </row>
        <row r="563">
          <cell r="B563" t="str">
            <v>20628401#083</v>
          </cell>
          <cell r="H563" t="str">
            <v>Aktia Rahastoyhtiö Oy</v>
          </cell>
        </row>
        <row r="564">
          <cell r="B564" t="str">
            <v>20628401#087</v>
          </cell>
          <cell r="H564" t="str">
            <v>Aktia Rahastoyhtiö Oy</v>
          </cell>
        </row>
        <row r="565">
          <cell r="B565" t="str">
            <v>21181015#004</v>
          </cell>
          <cell r="H565" t="str">
            <v>UB Rahastoyhtiö Oy</v>
          </cell>
        </row>
        <row r="566">
          <cell r="B566" t="str">
            <v>21181015#023</v>
          </cell>
          <cell r="H566" t="str">
            <v>UB Rahastoyhtiö Oy</v>
          </cell>
        </row>
        <row r="567">
          <cell r="B567" t="str">
            <v>21181015#026</v>
          </cell>
          <cell r="H567" t="str">
            <v>UB Rahastoyhtiö Oy</v>
          </cell>
        </row>
        <row r="568">
          <cell r="B568" t="str">
            <v>21181015#033</v>
          </cell>
          <cell r="H568" t="str">
            <v>UB Rahastoyhtiö Oy</v>
          </cell>
        </row>
        <row r="569">
          <cell r="B569" t="str">
            <v>21181015#034</v>
          </cell>
          <cell r="H569" t="str">
            <v>UB Rahastoyhtiö Oy</v>
          </cell>
        </row>
        <row r="570">
          <cell r="B570" t="str">
            <v>21181015#043</v>
          </cell>
          <cell r="H570" t="str">
            <v>UB Rahastoyhtiö Oy</v>
          </cell>
        </row>
        <row r="571">
          <cell r="B571" t="str">
            <v>21181015#047</v>
          </cell>
          <cell r="H571" t="str">
            <v>UB Rahastoyhtiö Oy</v>
          </cell>
        </row>
        <row r="572">
          <cell r="B572" t="str">
            <v>21181015#048</v>
          </cell>
          <cell r="H572" t="str">
            <v>UB Rahastoyhtiö Oy</v>
          </cell>
        </row>
        <row r="573">
          <cell r="B573" t="str">
            <v>21181015#052</v>
          </cell>
          <cell r="H573" t="str">
            <v>UB Rahastoyhtiö Oy</v>
          </cell>
        </row>
        <row r="574">
          <cell r="B574" t="str">
            <v>21181015#054</v>
          </cell>
          <cell r="H574" t="str">
            <v>UB Rahastoyhtiö Oy</v>
          </cell>
        </row>
        <row r="575">
          <cell r="B575" t="str">
            <v>21181015#055</v>
          </cell>
          <cell r="H575" t="str">
            <v>UB Rahastoyhtiö Oy</v>
          </cell>
        </row>
        <row r="576">
          <cell r="B576" t="str">
            <v>21543362#001</v>
          </cell>
          <cell r="H576" t="str">
            <v>Helsinki Capital Partners Oy</v>
          </cell>
        </row>
        <row r="577">
          <cell r="B577" t="str">
            <v>21543362#002</v>
          </cell>
          <cell r="H577" t="str">
            <v>Helsinki Capital Partners Oy</v>
          </cell>
        </row>
        <row r="578">
          <cell r="B578" t="str">
            <v>21543362#003</v>
          </cell>
          <cell r="H578" t="str">
            <v>Helsinki Capital Partners Oy</v>
          </cell>
        </row>
        <row r="579">
          <cell r="B579" t="str">
            <v>21543362#004</v>
          </cell>
          <cell r="H579" t="str">
            <v>Helsinki Capital Partners Oy</v>
          </cell>
        </row>
        <row r="580">
          <cell r="B580" t="str">
            <v>22888047#002</v>
          </cell>
          <cell r="H580" t="str">
            <v>Titanium Rahastoyhtiö Oy</v>
          </cell>
        </row>
        <row r="581">
          <cell r="B581" t="str">
            <v>22888047#004</v>
          </cell>
          <cell r="H581" t="str">
            <v>Titanium Rahastoyhtiö Oy</v>
          </cell>
        </row>
        <row r="582">
          <cell r="B582" t="str">
            <v>22888047#006</v>
          </cell>
          <cell r="H582" t="str">
            <v>Titanium Rahastoyhtiö Oy</v>
          </cell>
        </row>
        <row r="583">
          <cell r="B583" t="str">
            <v>22888047#007</v>
          </cell>
          <cell r="H583" t="str">
            <v>Titanium Rahastoyhtiö Oy</v>
          </cell>
        </row>
        <row r="584">
          <cell r="B584" t="str">
            <v>22954454#008</v>
          </cell>
          <cell r="H584" t="str">
            <v>Investors House Rahastot Oy</v>
          </cell>
        </row>
        <row r="585">
          <cell r="B585" t="str">
            <v>23245609#018</v>
          </cell>
          <cell r="H585" t="str">
            <v>Finlandia Rahastoyhtiö Oy</v>
          </cell>
        </row>
        <row r="586">
          <cell r="B586" t="str">
            <v>23245609#019</v>
          </cell>
          <cell r="H586" t="str">
            <v>Finlandia Rahastoyhtiö Oy</v>
          </cell>
        </row>
        <row r="587">
          <cell r="B587" t="str">
            <v>23245609#020</v>
          </cell>
          <cell r="H587" t="str">
            <v>Finlandia Rahastoyhtiö Oy</v>
          </cell>
        </row>
        <row r="588">
          <cell r="B588" t="str">
            <v>28125497#001</v>
          </cell>
          <cell r="H588" t="str">
            <v>Mandatum AM AIFM Oy</v>
          </cell>
        </row>
        <row r="589">
          <cell r="B589" t="str">
            <v>28233658#007</v>
          </cell>
          <cell r="H589" t="str">
            <v>Obsido Rahastoyhtiö Oy</v>
          </cell>
        </row>
        <row r="590">
          <cell r="B590" t="str">
            <v>28233658#008</v>
          </cell>
          <cell r="H590" t="str">
            <v>Obsido Rahastoyhtiö Oy</v>
          </cell>
        </row>
        <row r="591">
          <cell r="B591" t="str">
            <v>29064614#005</v>
          </cell>
          <cell r="H591" t="str">
            <v>CapMan Oy</v>
          </cell>
        </row>
        <row r="592">
          <cell r="B592" t="str">
            <v>29064614#018</v>
          </cell>
          <cell r="H592" t="str">
            <v>CapMan Oy</v>
          </cell>
        </row>
        <row r="593">
          <cell r="B593" t="str">
            <v>29064614#022</v>
          </cell>
          <cell r="H593" t="str">
            <v>CapMan Oy</v>
          </cell>
        </row>
        <row r="594">
          <cell r="B594" t="str">
            <v>29064614#025</v>
          </cell>
          <cell r="H594" t="str">
            <v>CapMan Oy</v>
          </cell>
        </row>
        <row r="595">
          <cell r="B595" t="str">
            <v>29064614#026</v>
          </cell>
          <cell r="H595" t="str">
            <v>CapMan Oy</v>
          </cell>
        </row>
        <row r="596">
          <cell r="B596" t="str">
            <v>29064614#029</v>
          </cell>
          <cell r="H596" t="str">
            <v>CapMan Oy</v>
          </cell>
        </row>
        <row r="597">
          <cell r="B597" t="str">
            <v>29064614#031</v>
          </cell>
          <cell r="H597" t="str">
            <v>CapMan Oy</v>
          </cell>
        </row>
        <row r="598">
          <cell r="B598" t="str">
            <v>32844961#001</v>
          </cell>
          <cell r="H598" t="str">
            <v>Proprius Partners Oy</v>
          </cell>
        </row>
        <row r="599">
          <cell r="B599" t="str">
            <v>32844961#002</v>
          </cell>
          <cell r="H599" t="str">
            <v>Proprius Partners Oy</v>
          </cell>
        </row>
        <row r="600">
          <cell r="B600" t="str">
            <v>32844961#003</v>
          </cell>
          <cell r="H600" t="str">
            <v>Proprius Partners Oy</v>
          </cell>
        </row>
        <row r="601">
          <cell r="B601" t="str">
            <v>32844961#004</v>
          </cell>
          <cell r="H601" t="str">
            <v>Proprius Partners Oy</v>
          </cell>
        </row>
        <row r="602">
          <cell r="B602" t="str">
            <v/>
          </cell>
          <cell r="H602" t="str">
            <v/>
          </cell>
        </row>
        <row r="603">
          <cell r="B603" t="str">
            <v/>
          </cell>
          <cell r="H603" t="str">
            <v/>
          </cell>
        </row>
        <row r="604">
          <cell r="B604" t="str">
            <v>Suljetut pääoma- ja kiinteistörahastot (Non-UCITS)</v>
          </cell>
          <cell r="H604" t="str">
            <v/>
          </cell>
        </row>
        <row r="605">
          <cell r="B605" t="str">
            <v>Sluten kapital- och fastighetsfonder (Non-UCITS)</v>
          </cell>
          <cell r="H605" t="str">
            <v/>
          </cell>
        </row>
        <row r="606">
          <cell r="B606" t="str">
            <v>Closed-end private equity and real estate funds (Non-UCITS)</v>
          </cell>
          <cell r="H606" t="str">
            <v/>
          </cell>
        </row>
        <row r="607">
          <cell r="B607" t="str">
            <v/>
          </cell>
          <cell r="H607" t="str">
            <v/>
          </cell>
        </row>
        <row r="608">
          <cell r="B608" t="str">
            <v>01120872#001</v>
          </cell>
          <cell r="H608" t="str">
            <v>Access Capital Advisors Finland Oy</v>
          </cell>
        </row>
        <row r="609">
          <cell r="B609" t="str">
            <v>01120872#002</v>
          </cell>
          <cell r="H609" t="str">
            <v>Access Capital Advisors Finland Oy</v>
          </cell>
        </row>
        <row r="610">
          <cell r="B610" t="str">
            <v>01120872#003</v>
          </cell>
          <cell r="H610" t="str">
            <v>Access Capital Advisors Finland Oy</v>
          </cell>
        </row>
        <row r="611">
          <cell r="B611" t="str">
            <v>01120872#004</v>
          </cell>
          <cell r="H611" t="str">
            <v>Access Capital Advisors Finland Oy</v>
          </cell>
        </row>
        <row r="612">
          <cell r="B612" t="str">
            <v>01120872#005</v>
          </cell>
          <cell r="H612" t="str">
            <v>Access Capital Advisors Finland Oy</v>
          </cell>
        </row>
        <row r="613">
          <cell r="B613" t="str">
            <v>01120872#006</v>
          </cell>
          <cell r="H613" t="str">
            <v>Access Capital Advisors Finland Oy</v>
          </cell>
        </row>
        <row r="614">
          <cell r="B614" t="str">
            <v>01120872#007</v>
          </cell>
          <cell r="H614" t="str">
            <v>Access Capital Advisors Finland Oy</v>
          </cell>
        </row>
        <row r="615">
          <cell r="B615" t="str">
            <v>01120872#008</v>
          </cell>
          <cell r="H615" t="str">
            <v>Access Capital Advisors Finland Oy</v>
          </cell>
        </row>
        <row r="616">
          <cell r="B616" t="str">
            <v>05991018#002</v>
          </cell>
          <cell r="H616" t="str">
            <v>OP Rahastoyhtiö Oy</v>
          </cell>
        </row>
        <row r="617">
          <cell r="B617" t="str">
            <v>05991018#003</v>
          </cell>
          <cell r="H617" t="str">
            <v>OP Rahastoyhtiö Oy</v>
          </cell>
        </row>
        <row r="618">
          <cell r="B618" t="str">
            <v>05991018#004</v>
          </cell>
          <cell r="H618" t="str">
            <v>OP Rahastoyhtiö Oy</v>
          </cell>
        </row>
        <row r="619">
          <cell r="B619" t="str">
            <v>05991018#005</v>
          </cell>
          <cell r="H619" t="str">
            <v>OP Rahastoyhtiö Oy</v>
          </cell>
        </row>
        <row r="620">
          <cell r="B620" t="str">
            <v>05991018#009</v>
          </cell>
          <cell r="H620" t="str">
            <v>OP Rahastoyhtiö Oy</v>
          </cell>
        </row>
        <row r="621">
          <cell r="B621" t="str">
            <v>05991018#010</v>
          </cell>
          <cell r="H621" t="str">
            <v>OP Rahastoyhtiö Oy</v>
          </cell>
        </row>
        <row r="622">
          <cell r="B622" t="str">
            <v>05991018#011</v>
          </cell>
          <cell r="H622" t="str">
            <v>OP Rahastoyhtiö Oy</v>
          </cell>
        </row>
        <row r="623">
          <cell r="B623" t="str">
            <v>07360527#061</v>
          </cell>
          <cell r="H623" t="str">
            <v>eQ Rahastoyhtiö Oy</v>
          </cell>
        </row>
        <row r="624">
          <cell r="B624" t="str">
            <v>07360527#062</v>
          </cell>
          <cell r="H624" t="str">
            <v>eQ Rahastoyhtiö Oy</v>
          </cell>
        </row>
        <row r="625">
          <cell r="B625" t="str">
            <v>07360527#063</v>
          </cell>
          <cell r="H625" t="str">
            <v>eQ Rahastoyhtiö Oy</v>
          </cell>
        </row>
        <row r="626">
          <cell r="B626" t="str">
            <v>07360527#067</v>
          </cell>
          <cell r="H626" t="str">
            <v>eQ Rahastoyhtiö Oy</v>
          </cell>
        </row>
        <row r="627">
          <cell r="B627" t="str">
            <v>07360527#068</v>
          </cell>
          <cell r="H627" t="str">
            <v>eQ Rahastoyhtiö Oy</v>
          </cell>
        </row>
        <row r="628">
          <cell r="B628" t="str">
            <v>07360527#071</v>
          </cell>
          <cell r="H628" t="str">
            <v>eQ Rahastoyhtiö Oy</v>
          </cell>
        </row>
        <row r="629">
          <cell r="B629" t="str">
            <v>07360527#074</v>
          </cell>
          <cell r="H629" t="str">
            <v>eQ Rahastoyhtiö Oy</v>
          </cell>
        </row>
        <row r="630">
          <cell r="B630" t="str">
            <v>07360527#075</v>
          </cell>
          <cell r="H630" t="str">
            <v>eQ Rahastoyhtiö Oy</v>
          </cell>
        </row>
        <row r="631">
          <cell r="B631" t="str">
            <v>07360527#076</v>
          </cell>
          <cell r="H631" t="str">
            <v>eQ Rahastoyhtiö Oy</v>
          </cell>
        </row>
        <row r="632">
          <cell r="B632" t="str">
            <v>07360527#077</v>
          </cell>
          <cell r="H632" t="str">
            <v>eQ Rahastoyhtiö Oy</v>
          </cell>
        </row>
        <row r="633">
          <cell r="B633" t="str">
            <v>07360527#078</v>
          </cell>
          <cell r="H633" t="str">
            <v>eQ Rahastoyhtiö Oy</v>
          </cell>
        </row>
        <row r="634">
          <cell r="B634" t="str">
            <v>07360527#079</v>
          </cell>
          <cell r="H634" t="str">
            <v>eQ Rahastoyhtiö Oy</v>
          </cell>
        </row>
        <row r="635">
          <cell r="B635" t="str">
            <v>07360527#087</v>
          </cell>
          <cell r="H635" t="str">
            <v>eQ Rahastoyhtiö Oy</v>
          </cell>
        </row>
        <row r="636">
          <cell r="B636" t="str">
            <v>07360527#091</v>
          </cell>
          <cell r="H636" t="str">
            <v>eQ Rahastoyhtiö Oy</v>
          </cell>
        </row>
        <row r="637">
          <cell r="B637" t="str">
            <v>07360527#093</v>
          </cell>
          <cell r="H637" t="str">
            <v>eQ Rahastoyhtiö Oy</v>
          </cell>
        </row>
        <row r="638">
          <cell r="B638" t="str">
            <v>07360527#100</v>
          </cell>
          <cell r="H638" t="str">
            <v>eQ Rahastoyhtiö Oy</v>
          </cell>
        </row>
        <row r="639">
          <cell r="B639" t="str">
            <v>07360527#107</v>
          </cell>
          <cell r="H639" t="str">
            <v>eQ Rahastoyhtiö Oy</v>
          </cell>
        </row>
        <row r="640">
          <cell r="B640" t="str">
            <v>07360527#113</v>
          </cell>
          <cell r="H640" t="str">
            <v>eQ Rahastoyhtiö Oy</v>
          </cell>
        </row>
        <row r="641">
          <cell r="B641" t="str">
            <v>07360527#116</v>
          </cell>
          <cell r="H641" t="str">
            <v>eQ Rahastoyhtiö Oy</v>
          </cell>
        </row>
        <row r="642">
          <cell r="B642" t="str">
            <v>07360527#124</v>
          </cell>
          <cell r="H642" t="str">
            <v>eQ Rahastoyhtiö Oy</v>
          </cell>
        </row>
        <row r="643">
          <cell r="B643" t="str">
            <v>07360527#126</v>
          </cell>
          <cell r="H643" t="str">
            <v>eQ Rahastoyhtiö Oy</v>
          </cell>
        </row>
        <row r="644">
          <cell r="B644" t="str">
            <v>07360527#129</v>
          </cell>
          <cell r="H644" t="str">
            <v>eQ Rahastoyhtiö Oy</v>
          </cell>
        </row>
        <row r="645">
          <cell r="B645" t="str">
            <v>07360527#133</v>
          </cell>
          <cell r="H645" t="str">
            <v>eQ Rahastoyhtiö Oy</v>
          </cell>
        </row>
        <row r="646">
          <cell r="B646" t="str">
            <v>07360527#137</v>
          </cell>
          <cell r="H646" t="str">
            <v>eQ Rahastoyhtiö Oy</v>
          </cell>
        </row>
        <row r="647">
          <cell r="B647" t="str">
            <v>07360527#139</v>
          </cell>
          <cell r="H647" t="str">
            <v>eQ Rahastoyhtiö Oy</v>
          </cell>
        </row>
        <row r="648">
          <cell r="B648" t="str">
            <v>07439622#139</v>
          </cell>
          <cell r="H648" t="str">
            <v>OP-Rahastoyhtiö Oy</v>
          </cell>
        </row>
        <row r="649">
          <cell r="B649" t="str">
            <v>07439622#146</v>
          </cell>
          <cell r="H649" t="str">
            <v>OP-Rahastoyhtiö Oy</v>
          </cell>
        </row>
        <row r="650">
          <cell r="B650" t="str">
            <v>07446590#081</v>
          </cell>
          <cell r="H650" t="str">
            <v>Evli-Rahastoyhtiö Oy</v>
          </cell>
        </row>
        <row r="651">
          <cell r="B651" t="str">
            <v>07446590#082</v>
          </cell>
          <cell r="H651" t="str">
            <v>Evli-Rahastoyhtiö Oy</v>
          </cell>
        </row>
        <row r="652">
          <cell r="B652" t="str">
            <v>07446590#084</v>
          </cell>
          <cell r="H652" t="str">
            <v>Evli-Rahastoyhtiö Oy</v>
          </cell>
        </row>
        <row r="653">
          <cell r="B653" t="str">
            <v>07446590#085</v>
          </cell>
          <cell r="H653" t="str">
            <v>Evli-Rahastoyhtiö Oy</v>
          </cell>
        </row>
        <row r="654">
          <cell r="B654" t="str">
            <v>07446590#086</v>
          </cell>
          <cell r="H654" t="str">
            <v>Evli-Rahastoyhtiö Oy</v>
          </cell>
        </row>
        <row r="655">
          <cell r="B655" t="str">
            <v>07446590#087</v>
          </cell>
          <cell r="H655" t="str">
            <v>Evli-Rahastoyhtiö Oy</v>
          </cell>
        </row>
        <row r="656">
          <cell r="B656" t="str">
            <v>07446590#089</v>
          </cell>
          <cell r="H656" t="str">
            <v>Evli-Rahastoyhtiö Oy</v>
          </cell>
        </row>
        <row r="657">
          <cell r="B657" t="str">
            <v>07446590#091</v>
          </cell>
          <cell r="H657" t="str">
            <v>Evli-Rahastoyhtiö Oy</v>
          </cell>
        </row>
        <row r="658">
          <cell r="B658" t="str">
            <v>07446590#093</v>
          </cell>
          <cell r="H658" t="str">
            <v>Evli-Rahastoyhtiö Oy</v>
          </cell>
        </row>
        <row r="659">
          <cell r="B659" t="str">
            <v>07446590#094</v>
          </cell>
          <cell r="H659" t="str">
            <v>Evli-Rahastoyhtiö Oy</v>
          </cell>
        </row>
        <row r="660">
          <cell r="B660" t="str">
            <v>07446590#095</v>
          </cell>
          <cell r="H660" t="str">
            <v>Evli-Rahastoyhtiö Oy</v>
          </cell>
        </row>
        <row r="661">
          <cell r="B661" t="str">
            <v>07446590#096</v>
          </cell>
          <cell r="H661" t="str">
            <v>Evli-Rahastoyhtiö Oy</v>
          </cell>
        </row>
        <row r="662">
          <cell r="B662" t="str">
            <v>07446590#097</v>
          </cell>
          <cell r="H662" t="str">
            <v>Evli-Rahastoyhtiö Oy</v>
          </cell>
        </row>
        <row r="663">
          <cell r="B663" t="str">
            <v>07446590#098</v>
          </cell>
          <cell r="H663" t="str">
            <v>Evli-Rahastoyhtiö Oy</v>
          </cell>
        </row>
        <row r="664">
          <cell r="B664" t="str">
            <v>07446590#099</v>
          </cell>
          <cell r="H664" t="str">
            <v>Evli-Rahastoyhtiö Oy</v>
          </cell>
        </row>
        <row r="665">
          <cell r="B665" t="str">
            <v>07446590#100</v>
          </cell>
          <cell r="H665" t="str">
            <v>Evli-Rahastoyhtiö Oy</v>
          </cell>
        </row>
        <row r="666">
          <cell r="B666" t="str">
            <v>07446590#101</v>
          </cell>
          <cell r="H666" t="str">
            <v>Evli-Rahastoyhtiö Oy</v>
          </cell>
        </row>
        <row r="667">
          <cell r="B667" t="str">
            <v>07446590#102</v>
          </cell>
          <cell r="H667" t="str">
            <v>Evli-Rahastoyhtiö Oy</v>
          </cell>
        </row>
        <row r="668">
          <cell r="B668" t="str">
            <v>07446590#106</v>
          </cell>
          <cell r="H668" t="str">
            <v>Evli-Rahastoyhtiö Oy</v>
          </cell>
        </row>
        <row r="669">
          <cell r="B669" t="str">
            <v>07446590#107</v>
          </cell>
          <cell r="H669" t="str">
            <v>Evli-Rahastoyhtiö Oy</v>
          </cell>
        </row>
        <row r="670">
          <cell r="B670" t="str">
            <v>07446590#110</v>
          </cell>
          <cell r="H670" t="str">
            <v>Evli-Rahastoyhtiö Oy</v>
          </cell>
        </row>
        <row r="671">
          <cell r="B671" t="str">
            <v>07446590#111</v>
          </cell>
          <cell r="H671" t="str">
            <v>Evli-Rahastoyhtiö Oy</v>
          </cell>
        </row>
        <row r="672">
          <cell r="B672" t="str">
            <v>07446590#112</v>
          </cell>
          <cell r="H672" t="str">
            <v>Evli-Rahastoyhtiö Oy</v>
          </cell>
        </row>
        <row r="673">
          <cell r="B673" t="str">
            <v>07446590#113</v>
          </cell>
          <cell r="H673" t="str">
            <v>Evli-Rahastoyhtiö Oy</v>
          </cell>
        </row>
        <row r="674">
          <cell r="B674" t="str">
            <v>07446590#114</v>
          </cell>
          <cell r="H674" t="str">
            <v>Evli-Rahastoyhtiö Oy</v>
          </cell>
        </row>
        <row r="675">
          <cell r="B675" t="str">
            <v>07446590#115</v>
          </cell>
          <cell r="H675" t="str">
            <v>Evli-Rahastoyhtiö Oy</v>
          </cell>
        </row>
        <row r="676">
          <cell r="B676" t="str">
            <v>07446590#116</v>
          </cell>
          <cell r="H676" t="str">
            <v>Evli-Rahastoyhtiö Oy</v>
          </cell>
        </row>
        <row r="677">
          <cell r="B677" t="str">
            <v>07446590#117</v>
          </cell>
          <cell r="H677" t="str">
            <v>Evli-Rahastoyhtiö Oy</v>
          </cell>
        </row>
        <row r="678">
          <cell r="B678" t="str">
            <v>07446590#122</v>
          </cell>
          <cell r="H678" t="str">
            <v>Evli-Rahastoyhtiö Oy</v>
          </cell>
        </row>
        <row r="679">
          <cell r="B679" t="str">
            <v>07446590#123</v>
          </cell>
          <cell r="H679" t="str">
            <v>Evli-Rahastoyhtiö Oy</v>
          </cell>
        </row>
        <row r="680">
          <cell r="B680" t="str">
            <v>07446590#137</v>
          </cell>
          <cell r="H680" t="str">
            <v>Evli-Rahastoyhtiö Oy</v>
          </cell>
        </row>
        <row r="681">
          <cell r="B681" t="str">
            <v>07446590#139</v>
          </cell>
          <cell r="H681" t="str">
            <v>Evli-Rahastoyhtiö Oy</v>
          </cell>
        </row>
        <row r="682">
          <cell r="B682" t="str">
            <v>07446590#140</v>
          </cell>
          <cell r="H682" t="str">
            <v>Evli-Rahastoyhtiö Oy</v>
          </cell>
        </row>
        <row r="683">
          <cell r="B683" t="str">
            <v>07446590#142</v>
          </cell>
          <cell r="H683" t="str">
            <v>Evli-Rahastoyhtiö Oy</v>
          </cell>
        </row>
        <row r="684">
          <cell r="B684" t="str">
            <v>07446590#143</v>
          </cell>
          <cell r="H684" t="str">
            <v>Evli-Rahastoyhtiö Oy</v>
          </cell>
        </row>
        <row r="685">
          <cell r="B685" t="str">
            <v>07446590#146</v>
          </cell>
          <cell r="H685" t="str">
            <v>Evli-Rahastoyhtiö Oy</v>
          </cell>
        </row>
        <row r="686">
          <cell r="B686" t="str">
            <v>07446590#147</v>
          </cell>
          <cell r="H686" t="str">
            <v>Evli-Rahastoyhtiö Oy</v>
          </cell>
        </row>
        <row r="687">
          <cell r="B687" t="str">
            <v>07446590#148</v>
          </cell>
          <cell r="H687" t="str">
            <v>Evli-Rahastoyhtiö Oy</v>
          </cell>
        </row>
        <row r="688">
          <cell r="B688" t="str">
            <v>07446590#149</v>
          </cell>
          <cell r="H688" t="str">
            <v>Evli-Rahastoyhtiö Oy</v>
          </cell>
        </row>
        <row r="689">
          <cell r="B689" t="str">
            <v>07446590#151</v>
          </cell>
          <cell r="H689" t="str">
            <v>Evli-Rahastoyhtiö Oy</v>
          </cell>
        </row>
        <row r="690">
          <cell r="B690" t="str">
            <v>07446590#152</v>
          </cell>
          <cell r="H690" t="str">
            <v>Evli-Rahastoyhtiö Oy</v>
          </cell>
        </row>
        <row r="691">
          <cell r="B691" t="str">
            <v>07446590#153</v>
          </cell>
          <cell r="H691" t="str">
            <v>Evli-Rahastoyhtiö Oy</v>
          </cell>
        </row>
        <row r="692">
          <cell r="B692" t="str">
            <v>07446590#154</v>
          </cell>
          <cell r="H692" t="str">
            <v>Evli-Rahastoyhtiö Oy</v>
          </cell>
        </row>
        <row r="693">
          <cell r="B693" t="str">
            <v>07446590#155</v>
          </cell>
          <cell r="H693" t="str">
            <v>Evli-Rahastoyhtiö Oy</v>
          </cell>
        </row>
        <row r="694">
          <cell r="B694" t="str">
            <v>07446590#156</v>
          </cell>
          <cell r="H694" t="str">
            <v>Evli-Rahastoyhtiö Oy</v>
          </cell>
        </row>
        <row r="695">
          <cell r="B695" t="str">
            <v>07446590#157</v>
          </cell>
          <cell r="H695" t="str">
            <v>Evli-Rahastoyhtiö Oy</v>
          </cell>
        </row>
        <row r="696">
          <cell r="B696" t="str">
            <v>07446590#158</v>
          </cell>
          <cell r="H696" t="str">
            <v>Evli-Rahastoyhtiö Oy</v>
          </cell>
        </row>
        <row r="697">
          <cell r="B697" t="str">
            <v>07446590#159</v>
          </cell>
          <cell r="H697" t="str">
            <v>Evli-Rahastoyhtiö Oy</v>
          </cell>
        </row>
        <row r="698">
          <cell r="B698" t="str">
            <v>07446590#160</v>
          </cell>
          <cell r="H698" t="str">
            <v>Evli-Rahastoyhtiö Oy</v>
          </cell>
        </row>
        <row r="699">
          <cell r="B699" t="str">
            <v>07446590#162</v>
          </cell>
          <cell r="H699" t="str">
            <v>Evli-Rahastoyhtiö Oy</v>
          </cell>
        </row>
        <row r="700">
          <cell r="B700" t="str">
            <v>07446590#163</v>
          </cell>
          <cell r="H700" t="str">
            <v>Evli-Rahastoyhtiö Oy</v>
          </cell>
        </row>
        <row r="701">
          <cell r="B701" t="str">
            <v>07446590#164</v>
          </cell>
          <cell r="H701" t="str">
            <v>Evli-Rahastoyhtiö Oy</v>
          </cell>
        </row>
        <row r="702">
          <cell r="B702" t="str">
            <v>07446590#165</v>
          </cell>
          <cell r="H702" t="str">
            <v>Evli-Rahastoyhtiö Oy</v>
          </cell>
        </row>
        <row r="703">
          <cell r="B703" t="str">
            <v>07446590#166</v>
          </cell>
          <cell r="H703" t="str">
            <v>Evli-Rahastoyhtiö Oy</v>
          </cell>
        </row>
        <row r="704">
          <cell r="B704" t="str">
            <v>07446590#167</v>
          </cell>
          <cell r="H704" t="str">
            <v>Evli-Rahastoyhtiö Oy</v>
          </cell>
        </row>
        <row r="705">
          <cell r="B705" t="str">
            <v>07446590#168</v>
          </cell>
          <cell r="H705" t="str">
            <v>Evli-Rahastoyhtiö Oy</v>
          </cell>
        </row>
        <row r="706">
          <cell r="B706" t="str">
            <v>07446590#169</v>
          </cell>
          <cell r="H706" t="str">
            <v>Evli-Rahastoyhtiö Oy</v>
          </cell>
        </row>
        <row r="707">
          <cell r="B707" t="str">
            <v>07446590#170</v>
          </cell>
          <cell r="H707" t="str">
            <v>Evli-Rahastoyhtiö Oy</v>
          </cell>
        </row>
        <row r="708">
          <cell r="B708" t="str">
            <v>07446590#171</v>
          </cell>
          <cell r="H708" t="str">
            <v>Evli-Rahastoyhtiö Oy</v>
          </cell>
        </row>
        <row r="709">
          <cell r="B709" t="str">
            <v>07446590#172</v>
          </cell>
          <cell r="H709" t="str">
            <v>Evli-Rahastoyhtiö Oy</v>
          </cell>
        </row>
        <row r="710">
          <cell r="B710" t="str">
            <v>07446590#173</v>
          </cell>
          <cell r="H710" t="str">
            <v>Evli-Rahastoyhtiö Oy</v>
          </cell>
        </row>
        <row r="711">
          <cell r="B711" t="str">
            <v>07446590#174</v>
          </cell>
          <cell r="H711" t="str">
            <v>Evli-Rahastoyhtiö Oy</v>
          </cell>
        </row>
        <row r="712">
          <cell r="B712" t="str">
            <v>07446590#175</v>
          </cell>
          <cell r="H712" t="str">
            <v>Evli-Rahastoyhtiö Oy</v>
          </cell>
        </row>
        <row r="713">
          <cell r="B713" t="str">
            <v>07490276#012</v>
          </cell>
          <cell r="H713" t="str">
            <v>CapMan Oy</v>
          </cell>
        </row>
        <row r="714">
          <cell r="B714" t="str">
            <v>07612464#001</v>
          </cell>
          <cell r="H714" t="str">
            <v>Sponsor Capital Oy</v>
          </cell>
        </row>
        <row r="715">
          <cell r="B715" t="str">
            <v>07612464#003</v>
          </cell>
          <cell r="H715" t="str">
            <v>Sponsor Capital Oy</v>
          </cell>
        </row>
        <row r="716">
          <cell r="B716" t="str">
            <v>08668558#001</v>
          </cell>
          <cell r="H716" t="str">
            <v>Nordia Management Oy</v>
          </cell>
        </row>
        <row r="717">
          <cell r="B717" t="str">
            <v>08668558#002</v>
          </cell>
          <cell r="H717" t="str">
            <v>Nordia Management Oy</v>
          </cell>
        </row>
        <row r="718">
          <cell r="B718" t="str">
            <v>08718295#003</v>
          </cell>
          <cell r="H718" t="str">
            <v>Aboa Venture Management Oy</v>
          </cell>
        </row>
        <row r="719">
          <cell r="B719" t="str">
            <v>08718295#004</v>
          </cell>
          <cell r="H719" t="str">
            <v>Aboa Venture Management Oy</v>
          </cell>
        </row>
        <row r="720">
          <cell r="B720" t="str">
            <v>09791339#096</v>
          </cell>
          <cell r="H720" t="str">
            <v>S-Pankki Rahastoyhtiö Oy</v>
          </cell>
        </row>
        <row r="721">
          <cell r="B721" t="str">
            <v>09791339#097</v>
          </cell>
          <cell r="H721" t="str">
            <v>S-Pankki Rahastoyhtiö Oy</v>
          </cell>
        </row>
        <row r="722">
          <cell r="B722" t="str">
            <v>09791339#098</v>
          </cell>
          <cell r="H722" t="str">
            <v>S-Pankki Rahastoyhtiö Oy</v>
          </cell>
        </row>
        <row r="723">
          <cell r="B723" t="str">
            <v>09791339#099</v>
          </cell>
          <cell r="H723" t="str">
            <v>S-Pankki Rahastoyhtiö Oy</v>
          </cell>
        </row>
        <row r="724">
          <cell r="B724" t="str">
            <v>09791339#100</v>
          </cell>
          <cell r="H724" t="str">
            <v>S-Pankki Rahastoyhtiö Oy</v>
          </cell>
        </row>
        <row r="725">
          <cell r="B725" t="str">
            <v>09791339#101</v>
          </cell>
          <cell r="H725" t="str">
            <v>S-Pankki Rahastoyhtiö Oy</v>
          </cell>
        </row>
        <row r="726">
          <cell r="B726" t="str">
            <v>09791339#102</v>
          </cell>
          <cell r="H726" t="str">
            <v>S-Pankki Rahastoyhtiö Oy</v>
          </cell>
        </row>
        <row r="727">
          <cell r="B727" t="str">
            <v>09791339#103</v>
          </cell>
          <cell r="H727" t="str">
            <v>S-Pankki Rahastoyhtiö Oy</v>
          </cell>
        </row>
        <row r="728">
          <cell r="B728" t="str">
            <v>09791339#104</v>
          </cell>
          <cell r="H728" t="str">
            <v>S-Pankki Rahastoyhtiö Oy</v>
          </cell>
        </row>
        <row r="729">
          <cell r="B729" t="str">
            <v>09791339#105</v>
          </cell>
          <cell r="H729" t="str">
            <v>S-Pankki Rahastoyhtiö Oy</v>
          </cell>
        </row>
        <row r="730">
          <cell r="B730" t="str">
            <v>09791339#106</v>
          </cell>
          <cell r="H730" t="str">
            <v>S-Pankki Rahastoyhtiö Oy</v>
          </cell>
        </row>
        <row r="731">
          <cell r="B731" t="str">
            <v>09791339#107</v>
          </cell>
          <cell r="H731" t="str">
            <v>S-Pankki Rahastoyhtiö Oy</v>
          </cell>
        </row>
        <row r="732">
          <cell r="B732" t="str">
            <v>09791339#108</v>
          </cell>
          <cell r="H732" t="str">
            <v>S-Pankki Rahastoyhtiö Oy</v>
          </cell>
        </row>
        <row r="733">
          <cell r="B733" t="str">
            <v>09791339#109</v>
          </cell>
          <cell r="H733" t="str">
            <v>S-Pankki Rahastoyhtiö Oy</v>
          </cell>
        </row>
        <row r="734">
          <cell r="B734" t="str">
            <v>09791339#110</v>
          </cell>
          <cell r="H734" t="str">
            <v>S-Pankki Rahastoyhtiö Oy</v>
          </cell>
        </row>
        <row r="735">
          <cell r="B735" t="str">
            <v>14713626#040</v>
          </cell>
          <cell r="H735" t="str">
            <v>Ålandsbanken Fondbolag Ab</v>
          </cell>
        </row>
        <row r="736">
          <cell r="B736" t="str">
            <v>14713626#050</v>
          </cell>
          <cell r="H736" t="str">
            <v>Ålandsbanken Fondbolag Ab</v>
          </cell>
        </row>
        <row r="737">
          <cell r="B737" t="str">
            <v>14713626#051</v>
          </cell>
          <cell r="H737" t="str">
            <v>Ålandsbanken Fondbolag Ab</v>
          </cell>
        </row>
        <row r="738">
          <cell r="B738" t="str">
            <v>15793816#002</v>
          </cell>
          <cell r="H738" t="str">
            <v>Nexit Ventures Oy</v>
          </cell>
        </row>
        <row r="739">
          <cell r="B739" t="str">
            <v>16172050#001</v>
          </cell>
          <cell r="H739" t="str">
            <v>LähiTapiola Oy</v>
          </cell>
        </row>
        <row r="740">
          <cell r="B740" t="str">
            <v>16172050#003</v>
          </cell>
          <cell r="H740" t="str">
            <v>LähiTapiola Oy</v>
          </cell>
        </row>
        <row r="741">
          <cell r="B741" t="str">
            <v>16172050#004</v>
          </cell>
          <cell r="H741" t="str">
            <v>LähiTapiola Oy</v>
          </cell>
        </row>
        <row r="742">
          <cell r="B742" t="str">
            <v>16172050#010</v>
          </cell>
          <cell r="H742" t="str">
            <v>LähiTapiola Oy</v>
          </cell>
        </row>
        <row r="743">
          <cell r="B743" t="str">
            <v>16172050#011</v>
          </cell>
          <cell r="H743" t="str">
            <v>LähiTapiola Oy</v>
          </cell>
        </row>
        <row r="744">
          <cell r="B744" t="str">
            <v>16172050#012</v>
          </cell>
          <cell r="H744" t="str">
            <v>LähiTapiola Oy</v>
          </cell>
        </row>
        <row r="745">
          <cell r="B745" t="str">
            <v>16172050#019</v>
          </cell>
          <cell r="H745" t="str">
            <v>LähiTapiola Oy</v>
          </cell>
        </row>
        <row r="746">
          <cell r="B746" t="str">
            <v>16172050#020</v>
          </cell>
          <cell r="H746" t="str">
            <v>LähiTapiola Oy</v>
          </cell>
        </row>
        <row r="747">
          <cell r="B747" t="str">
            <v>16172050#021</v>
          </cell>
          <cell r="H747" t="str">
            <v>LähiTapiola Oy</v>
          </cell>
        </row>
        <row r="748">
          <cell r="B748" t="str">
            <v>16172050#022</v>
          </cell>
          <cell r="H748" t="str">
            <v>LähiTapiola Oy</v>
          </cell>
        </row>
        <row r="749">
          <cell r="B749" t="str">
            <v>16172050#023</v>
          </cell>
          <cell r="H749" t="str">
            <v>LähiTapiola Oy</v>
          </cell>
        </row>
        <row r="750">
          <cell r="B750" t="str">
            <v>16172050#024</v>
          </cell>
          <cell r="H750" t="str">
            <v>LähiTapiola Oy</v>
          </cell>
        </row>
        <row r="751">
          <cell r="B751" t="str">
            <v>16172050#030</v>
          </cell>
          <cell r="H751" t="str">
            <v>LähiTapiola Oy</v>
          </cell>
        </row>
        <row r="752">
          <cell r="B752" t="str">
            <v>16172050#031</v>
          </cell>
          <cell r="H752" t="str">
            <v>LähiTapiola Oy</v>
          </cell>
        </row>
        <row r="753">
          <cell r="B753" t="str">
            <v>16172050#032</v>
          </cell>
          <cell r="H753" t="str">
            <v>LähiTapiola Oy</v>
          </cell>
        </row>
        <row r="754">
          <cell r="B754" t="str">
            <v>16172050#033</v>
          </cell>
          <cell r="H754" t="str">
            <v>LähiTapiola Oy</v>
          </cell>
        </row>
        <row r="755">
          <cell r="B755" t="str">
            <v>16172050#034</v>
          </cell>
          <cell r="H755" t="str">
            <v>LähiTapiola Oy</v>
          </cell>
        </row>
        <row r="756">
          <cell r="B756" t="str">
            <v>16172050#035</v>
          </cell>
          <cell r="H756" t="str">
            <v>LähiTapiola Oy</v>
          </cell>
        </row>
        <row r="757">
          <cell r="B757" t="str">
            <v>16172050#036</v>
          </cell>
          <cell r="H757" t="str">
            <v>LähiTapiola Oy</v>
          </cell>
        </row>
        <row r="758">
          <cell r="B758" t="str">
            <v>16172050#037</v>
          </cell>
          <cell r="H758" t="str">
            <v>LähiTapiola Oy</v>
          </cell>
        </row>
        <row r="759">
          <cell r="B759" t="str">
            <v>16447843#001</v>
          </cell>
          <cell r="H759" t="str">
            <v>Midinvest Management Oy</v>
          </cell>
        </row>
        <row r="760">
          <cell r="B760" t="str">
            <v>16447843#007</v>
          </cell>
          <cell r="H760" t="str">
            <v>Midinvest Management Oy</v>
          </cell>
        </row>
        <row r="761">
          <cell r="B761" t="str">
            <v>17900152#002</v>
          </cell>
          <cell r="H761" t="str">
            <v>VNT Management Oy</v>
          </cell>
        </row>
        <row r="762">
          <cell r="B762" t="str">
            <v>17900152#003</v>
          </cell>
          <cell r="H762" t="str">
            <v>VNT Management Oy</v>
          </cell>
        </row>
        <row r="763">
          <cell r="B763" t="str">
            <v>18212730#001</v>
          </cell>
          <cell r="H763" t="str">
            <v>Taitokaari Property Management Oy</v>
          </cell>
        </row>
        <row r="764">
          <cell r="B764" t="str">
            <v>18212730#002</v>
          </cell>
          <cell r="H764" t="str">
            <v>Taitokaari Property Management Oy</v>
          </cell>
        </row>
        <row r="765">
          <cell r="B765" t="str">
            <v>18212730#003</v>
          </cell>
          <cell r="H765" t="str">
            <v>Taitokaari Property Management Oy</v>
          </cell>
        </row>
        <row r="766">
          <cell r="B766" t="str">
            <v>18212730#004</v>
          </cell>
          <cell r="H766" t="str">
            <v>Taitokaari Property Management Oy</v>
          </cell>
        </row>
        <row r="767">
          <cell r="B767" t="str">
            <v>19011500#001</v>
          </cell>
          <cell r="H767" t="str">
            <v>CapMan Oy</v>
          </cell>
        </row>
        <row r="768">
          <cell r="B768" t="str">
            <v>19011500#002</v>
          </cell>
          <cell r="H768" t="str">
            <v>CapMan Oy</v>
          </cell>
        </row>
        <row r="769">
          <cell r="B769" t="str">
            <v>19011500#003</v>
          </cell>
          <cell r="H769" t="str">
            <v>CapMan Oy</v>
          </cell>
        </row>
        <row r="770">
          <cell r="B770" t="str">
            <v>19011500#004</v>
          </cell>
          <cell r="H770" t="str">
            <v>CapMan Oy</v>
          </cell>
        </row>
        <row r="771">
          <cell r="B771" t="str">
            <v>19011500#005</v>
          </cell>
          <cell r="H771" t="str">
            <v>CapMan Oy</v>
          </cell>
        </row>
        <row r="772">
          <cell r="B772" t="str">
            <v>19011500#007</v>
          </cell>
          <cell r="H772" t="str">
            <v>CapMan Oy</v>
          </cell>
        </row>
        <row r="773">
          <cell r="B773" t="str">
            <v>19076208#001</v>
          </cell>
          <cell r="H773" t="str">
            <v>Sentica Partners Oy</v>
          </cell>
        </row>
        <row r="774">
          <cell r="B774" t="str">
            <v>19076208#004</v>
          </cell>
          <cell r="H774" t="str">
            <v>Sentica Partners Oy</v>
          </cell>
        </row>
        <row r="775">
          <cell r="B775" t="str">
            <v>19076208#005</v>
          </cell>
          <cell r="H775" t="str">
            <v>Sentica Partners Oy</v>
          </cell>
        </row>
        <row r="776">
          <cell r="B776" t="str">
            <v>19076208#008</v>
          </cell>
          <cell r="H776" t="str">
            <v>Sentica Partners Oy</v>
          </cell>
        </row>
        <row r="777">
          <cell r="B777" t="str">
            <v>19076208#009</v>
          </cell>
          <cell r="H777" t="str">
            <v>Sentica Partners Oy</v>
          </cell>
        </row>
        <row r="778">
          <cell r="B778" t="str">
            <v>19076208#010</v>
          </cell>
          <cell r="H778" t="str">
            <v>Sentica Partners Oy</v>
          </cell>
        </row>
        <row r="779">
          <cell r="B779" t="str">
            <v>19076208#011</v>
          </cell>
          <cell r="H779" t="str">
            <v>Sentica Partners Oy</v>
          </cell>
        </row>
        <row r="780">
          <cell r="B780" t="str">
            <v>19076208#012</v>
          </cell>
          <cell r="H780" t="str">
            <v>Sentica Partners Oy</v>
          </cell>
        </row>
        <row r="781">
          <cell r="B781" t="str">
            <v>19076208#013</v>
          </cell>
          <cell r="H781" t="str">
            <v>Sentica Partners Oy</v>
          </cell>
        </row>
        <row r="782">
          <cell r="B782" t="str">
            <v>19790751#002</v>
          </cell>
          <cell r="H782" t="str">
            <v>Onventure Oy</v>
          </cell>
        </row>
        <row r="783">
          <cell r="B783" t="str">
            <v>19790751#003</v>
          </cell>
          <cell r="H783" t="str">
            <v>Onventure Oy</v>
          </cell>
        </row>
        <row r="784">
          <cell r="B784" t="str">
            <v>19790751#004</v>
          </cell>
          <cell r="H784" t="str">
            <v>Onventure Oy</v>
          </cell>
        </row>
        <row r="785">
          <cell r="B785" t="str">
            <v>19790751#005</v>
          </cell>
          <cell r="H785" t="str">
            <v>Onventure Oy</v>
          </cell>
        </row>
        <row r="786">
          <cell r="B786" t="str">
            <v>19790751#006</v>
          </cell>
          <cell r="H786" t="str">
            <v>Onventure Oy</v>
          </cell>
        </row>
        <row r="787">
          <cell r="B787" t="str">
            <v>19880781#005</v>
          </cell>
          <cell r="H787" t="str">
            <v>Dasos Capital Oy</v>
          </cell>
        </row>
        <row r="788">
          <cell r="B788" t="str">
            <v>20377374#003</v>
          </cell>
          <cell r="H788" t="str">
            <v>Korona Invest Oy</v>
          </cell>
        </row>
        <row r="789">
          <cell r="B789" t="str">
            <v>20377374#004</v>
          </cell>
          <cell r="H789" t="str">
            <v>Korona Invest Oy</v>
          </cell>
        </row>
        <row r="790">
          <cell r="B790" t="str">
            <v>20377374#005</v>
          </cell>
          <cell r="H790" t="str">
            <v>Korona Invest Oy</v>
          </cell>
        </row>
        <row r="791">
          <cell r="B791" t="str">
            <v>20628401#045</v>
          </cell>
          <cell r="H791" t="str">
            <v>Aktia Rahastoyhtiö Oy</v>
          </cell>
        </row>
        <row r="792">
          <cell r="B792" t="str">
            <v>20628401#046</v>
          </cell>
          <cell r="H792" t="str">
            <v>Aktia Rahastoyhtiö Oy</v>
          </cell>
        </row>
        <row r="793">
          <cell r="B793" t="str">
            <v>20628401#047</v>
          </cell>
          <cell r="H793" t="str">
            <v>Aktia Rahastoyhtiö Oy</v>
          </cell>
        </row>
        <row r="794">
          <cell r="B794" t="str">
            <v>20628401#048</v>
          </cell>
          <cell r="H794" t="str">
            <v>Aktia Rahastoyhtiö Oy</v>
          </cell>
        </row>
        <row r="795">
          <cell r="B795" t="str">
            <v>20628401#049</v>
          </cell>
          <cell r="H795" t="str">
            <v>Aktia Rahastoyhtiö Oy</v>
          </cell>
        </row>
        <row r="796">
          <cell r="B796" t="str">
            <v>20628401#053</v>
          </cell>
          <cell r="H796" t="str">
            <v>Aktia Rahastoyhtiö Oy</v>
          </cell>
        </row>
        <row r="797">
          <cell r="B797" t="str">
            <v>20628401#054</v>
          </cell>
          <cell r="H797" t="str">
            <v>Aktia Rahastoyhtiö Oy</v>
          </cell>
        </row>
        <row r="798">
          <cell r="B798" t="str">
            <v>20628401#055</v>
          </cell>
          <cell r="H798" t="str">
            <v>Aktia Rahastoyhtiö Oy</v>
          </cell>
        </row>
        <row r="799">
          <cell r="B799" t="str">
            <v>20628401#056</v>
          </cell>
          <cell r="H799" t="str">
            <v>Aktia Rahastoyhtiö Oy</v>
          </cell>
        </row>
        <row r="800">
          <cell r="B800" t="str">
            <v>20628401#057</v>
          </cell>
          <cell r="H800" t="str">
            <v>Aktia Rahastoyhtiö Oy</v>
          </cell>
        </row>
        <row r="801">
          <cell r="B801" t="str">
            <v>20628401#103</v>
          </cell>
          <cell r="H801" t="str">
            <v>Aktia Rahastoyhtiö Oy</v>
          </cell>
        </row>
        <row r="802">
          <cell r="B802" t="str">
            <v>20628401#104</v>
          </cell>
          <cell r="H802" t="str">
            <v>Aktia Rahastoyhtiö Oy</v>
          </cell>
        </row>
        <row r="803">
          <cell r="B803" t="str">
            <v>20628401#105</v>
          </cell>
          <cell r="H803" t="str">
            <v>Aktia Rahastoyhtiö Oy</v>
          </cell>
        </row>
        <row r="804">
          <cell r="B804" t="str">
            <v>20628401#106</v>
          </cell>
          <cell r="H804" t="str">
            <v>Aktia Rahastoyhtiö Oy</v>
          </cell>
        </row>
        <row r="805">
          <cell r="B805" t="str">
            <v>20628401#107</v>
          </cell>
          <cell r="H805" t="str">
            <v>Aktia Rahastoyhtiö Oy</v>
          </cell>
        </row>
        <row r="806">
          <cell r="B806" t="str">
            <v>20628401#110</v>
          </cell>
          <cell r="H806" t="str">
            <v>Aktia Rahastoyhtiö Oy</v>
          </cell>
        </row>
        <row r="807">
          <cell r="B807" t="str">
            <v>20628401#116</v>
          </cell>
          <cell r="H807" t="str">
            <v>Aktia Rahastoyhtiö Oy</v>
          </cell>
        </row>
        <row r="808">
          <cell r="B808" t="str">
            <v>20628401#117</v>
          </cell>
          <cell r="H808" t="str">
            <v>Aktia Rahastoyhtiö Oy</v>
          </cell>
        </row>
        <row r="809">
          <cell r="B809" t="str">
            <v>20628401#118</v>
          </cell>
          <cell r="H809" t="str">
            <v>Aktia Rahastoyhtiö Oy</v>
          </cell>
        </row>
        <row r="810">
          <cell r="B810" t="str">
            <v>20628401#119</v>
          </cell>
          <cell r="H810" t="str">
            <v>Aktia Rahastoyhtiö Oy</v>
          </cell>
        </row>
        <row r="811">
          <cell r="B811" t="str">
            <v>20628401#120</v>
          </cell>
          <cell r="H811" t="str">
            <v>Aktia Rahastoyhtiö Oy</v>
          </cell>
        </row>
        <row r="812">
          <cell r="B812" t="str">
            <v>20741519#001</v>
          </cell>
          <cell r="H812" t="str">
            <v>LähiTapiola Oy</v>
          </cell>
        </row>
        <row r="813">
          <cell r="B813" t="str">
            <v>20741519#002</v>
          </cell>
          <cell r="H813" t="str">
            <v>LähiTapiola Oy</v>
          </cell>
        </row>
        <row r="814">
          <cell r="B814" t="str">
            <v>20741519#004</v>
          </cell>
          <cell r="H814" t="str">
            <v>LähiTapiola Oy</v>
          </cell>
        </row>
        <row r="815">
          <cell r="B815" t="str">
            <v>21181015#025</v>
          </cell>
          <cell r="H815" t="str">
            <v>UB Rahastoyhtiö Oy</v>
          </cell>
        </row>
        <row r="816">
          <cell r="B816" t="str">
            <v>21181015#035</v>
          </cell>
          <cell r="H816" t="str">
            <v>UB Rahastoyhtiö Oy</v>
          </cell>
        </row>
        <row r="817">
          <cell r="B817" t="str">
            <v>21181015#036</v>
          </cell>
          <cell r="H817" t="str">
            <v>UB Rahastoyhtiö Oy</v>
          </cell>
        </row>
        <row r="818">
          <cell r="B818" t="str">
            <v>21181015#037</v>
          </cell>
          <cell r="H818" t="str">
            <v>UB Rahastoyhtiö Oy</v>
          </cell>
        </row>
        <row r="819">
          <cell r="B819" t="str">
            <v>21181015#039</v>
          </cell>
          <cell r="H819" t="str">
            <v>UB Rahastoyhtiö Oy</v>
          </cell>
        </row>
        <row r="820">
          <cell r="B820" t="str">
            <v>21181015#040</v>
          </cell>
          <cell r="H820" t="str">
            <v>UB Rahastoyhtiö Oy</v>
          </cell>
        </row>
        <row r="821">
          <cell r="B821" t="str">
            <v>21181015#041</v>
          </cell>
          <cell r="H821" t="str">
            <v>UB Rahastoyhtiö Oy</v>
          </cell>
        </row>
        <row r="822">
          <cell r="B822" t="str">
            <v>21181015#044</v>
          </cell>
          <cell r="H822" t="str">
            <v>UB Rahastoyhtiö Oy</v>
          </cell>
        </row>
        <row r="823">
          <cell r="B823" t="str">
            <v>21181015#046</v>
          </cell>
          <cell r="H823" t="str">
            <v>UB Rahastoyhtiö Oy</v>
          </cell>
        </row>
        <row r="824">
          <cell r="B824" t="str">
            <v>21181015#050</v>
          </cell>
          <cell r="H824" t="str">
            <v>UB Rahastoyhtiö Oy</v>
          </cell>
        </row>
        <row r="825">
          <cell r="B825" t="str">
            <v>21181015#051</v>
          </cell>
          <cell r="H825" t="str">
            <v>UB Rahastoyhtiö Oy</v>
          </cell>
        </row>
        <row r="826">
          <cell r="B826" t="str">
            <v>21181015#053</v>
          </cell>
          <cell r="H826" t="str">
            <v>UB Rahastoyhtiö Oy</v>
          </cell>
        </row>
        <row r="827">
          <cell r="B827" t="str">
            <v>21228450#001</v>
          </cell>
          <cell r="H827" t="str">
            <v>MB Partners II Oy</v>
          </cell>
        </row>
        <row r="828">
          <cell r="B828" t="str">
            <v>21283126#020</v>
          </cell>
          <cell r="H828" t="str">
            <v>Vaaka Partners Oy</v>
          </cell>
        </row>
        <row r="829">
          <cell r="B829" t="str">
            <v>21283126#021</v>
          </cell>
          <cell r="H829" t="str">
            <v>Vaaka Partners Oy</v>
          </cell>
        </row>
        <row r="830">
          <cell r="B830" t="str">
            <v>21283126#022</v>
          </cell>
          <cell r="H830" t="str">
            <v>Vaaka Partners Oy</v>
          </cell>
        </row>
        <row r="831">
          <cell r="B831" t="str">
            <v>21283126#023</v>
          </cell>
          <cell r="H831" t="str">
            <v>Vaaka Partners Oy</v>
          </cell>
        </row>
        <row r="832">
          <cell r="B832" t="str">
            <v>21283126#024</v>
          </cell>
          <cell r="H832" t="str">
            <v>Vaaka Partners Oy</v>
          </cell>
        </row>
        <row r="833">
          <cell r="B833" t="str">
            <v>21520937#001</v>
          </cell>
          <cell r="H833" t="str">
            <v>Folmer Management Oy</v>
          </cell>
        </row>
        <row r="834">
          <cell r="B834" t="str">
            <v>21520937#002</v>
          </cell>
          <cell r="H834" t="str">
            <v>Folmer Management Oy</v>
          </cell>
        </row>
        <row r="835">
          <cell r="B835" t="str">
            <v>21520937#003</v>
          </cell>
          <cell r="H835" t="str">
            <v>Folmer Management Oy</v>
          </cell>
        </row>
        <row r="836">
          <cell r="B836" t="str">
            <v>21539603#001</v>
          </cell>
          <cell r="H836" t="str">
            <v>Avara Rahastot Oy</v>
          </cell>
        </row>
        <row r="837">
          <cell r="B837" t="str">
            <v>21539603#002</v>
          </cell>
          <cell r="H837" t="str">
            <v>Avara Rahastot Oy</v>
          </cell>
        </row>
        <row r="838">
          <cell r="B838" t="str">
            <v>21539603#003</v>
          </cell>
          <cell r="H838" t="str">
            <v>Avara Rahastot Oy</v>
          </cell>
        </row>
        <row r="839">
          <cell r="B839" t="str">
            <v>21539603#004</v>
          </cell>
          <cell r="H839" t="str">
            <v>Avara Rahastot Oy</v>
          </cell>
        </row>
        <row r="840">
          <cell r="B840" t="str">
            <v>21539603#005</v>
          </cell>
          <cell r="H840" t="str">
            <v>Avara Rahastot Oy</v>
          </cell>
        </row>
        <row r="841">
          <cell r="B841" t="str">
            <v>21539603#006</v>
          </cell>
          <cell r="H841" t="str">
            <v>Avara Rahastot Oy</v>
          </cell>
        </row>
        <row r="842">
          <cell r="B842" t="str">
            <v>21539603#007</v>
          </cell>
          <cell r="H842" t="str">
            <v>Avara Rahastot Oy</v>
          </cell>
        </row>
        <row r="843">
          <cell r="B843" t="str">
            <v>22032150#001</v>
          </cell>
          <cell r="H843" t="str">
            <v>ICECAPITAL REAM Oy</v>
          </cell>
        </row>
        <row r="844">
          <cell r="B844" t="str">
            <v>22032150#002</v>
          </cell>
          <cell r="H844" t="str">
            <v>ICECAPITAL REAM Oy</v>
          </cell>
        </row>
        <row r="845">
          <cell r="B845" t="str">
            <v>22032150#013</v>
          </cell>
          <cell r="H845" t="str">
            <v>ICECAPITAL REAM Oy</v>
          </cell>
        </row>
        <row r="846">
          <cell r="B846" t="str">
            <v>22032150#014</v>
          </cell>
          <cell r="H846" t="str">
            <v>ICECAPITAL REAM Oy</v>
          </cell>
        </row>
        <row r="847">
          <cell r="B847" t="str">
            <v>22032150#015</v>
          </cell>
          <cell r="H847" t="str">
            <v>ICECAPITAL REAM Oy</v>
          </cell>
        </row>
        <row r="848">
          <cell r="B848" t="str">
            <v>22032150#016</v>
          </cell>
          <cell r="H848" t="str">
            <v>ICECAPITAL REAM Oy</v>
          </cell>
        </row>
        <row r="849">
          <cell r="B849" t="str">
            <v>22032150#017</v>
          </cell>
          <cell r="H849" t="str">
            <v>ICECAPITAL REAM Oy</v>
          </cell>
        </row>
        <row r="850">
          <cell r="B850" t="str">
            <v>22245500#001</v>
          </cell>
          <cell r="H850" t="str">
            <v>Tesi Fund Management Oy</v>
          </cell>
        </row>
        <row r="851">
          <cell r="B851" t="str">
            <v>22245500#002</v>
          </cell>
          <cell r="H851" t="str">
            <v>Tesi Fund Management Oy</v>
          </cell>
        </row>
        <row r="852">
          <cell r="B852" t="str">
            <v>22245500#003</v>
          </cell>
          <cell r="H852" t="str">
            <v>Tesi Fund Management Oy</v>
          </cell>
        </row>
        <row r="853">
          <cell r="B853" t="str">
            <v>22245500#004</v>
          </cell>
          <cell r="H853" t="str">
            <v>Tesi Fund Management Oy</v>
          </cell>
        </row>
        <row r="854">
          <cell r="B854" t="str">
            <v>22245500#005</v>
          </cell>
          <cell r="H854" t="str">
            <v>Tesi Fund Management Oy</v>
          </cell>
        </row>
        <row r="855">
          <cell r="B855" t="str">
            <v>22307951#001</v>
          </cell>
          <cell r="H855" t="str">
            <v>Essedel Capital Partners Oy</v>
          </cell>
        </row>
        <row r="856">
          <cell r="B856" t="str">
            <v>22380761#004</v>
          </cell>
          <cell r="H856" t="str">
            <v>Canelco Management Oy</v>
          </cell>
        </row>
        <row r="857">
          <cell r="B857" t="str">
            <v>22380761#007</v>
          </cell>
          <cell r="H857" t="str">
            <v>Canelco Management Oy</v>
          </cell>
        </row>
        <row r="858">
          <cell r="B858" t="str">
            <v>22643277#001</v>
          </cell>
          <cell r="H858" t="str">
            <v>Taaleri Oy</v>
          </cell>
        </row>
        <row r="859">
          <cell r="B859" t="str">
            <v>22643277#007</v>
          </cell>
          <cell r="H859" t="str">
            <v>Taaleri Oy</v>
          </cell>
        </row>
        <row r="860">
          <cell r="B860" t="str">
            <v>22643277#009</v>
          </cell>
          <cell r="H860" t="str">
            <v>Taaleri Oy</v>
          </cell>
        </row>
        <row r="861">
          <cell r="B861" t="str">
            <v>22643277#013</v>
          </cell>
          <cell r="H861" t="str">
            <v>Taaleri Oy</v>
          </cell>
        </row>
        <row r="862">
          <cell r="B862" t="str">
            <v>22643277#015</v>
          </cell>
          <cell r="H862" t="str">
            <v>Taaleri Oy</v>
          </cell>
        </row>
        <row r="863">
          <cell r="B863" t="str">
            <v>22643277#017</v>
          </cell>
          <cell r="H863" t="str">
            <v>Taaleri Oy</v>
          </cell>
        </row>
        <row r="864">
          <cell r="B864" t="str">
            <v>22643277#021</v>
          </cell>
          <cell r="H864" t="str">
            <v>Taaleri Oy</v>
          </cell>
        </row>
        <row r="865">
          <cell r="B865" t="str">
            <v>22643277#022</v>
          </cell>
          <cell r="H865" t="str">
            <v>Taaleri Oy</v>
          </cell>
        </row>
        <row r="866">
          <cell r="B866" t="str">
            <v>22643277#023</v>
          </cell>
          <cell r="H866" t="str">
            <v>Taaleri Oy</v>
          </cell>
        </row>
        <row r="867">
          <cell r="B867" t="str">
            <v>22643277#024</v>
          </cell>
          <cell r="H867" t="str">
            <v>Taaleri Oy</v>
          </cell>
        </row>
        <row r="868">
          <cell r="B868" t="str">
            <v>22643277#025</v>
          </cell>
          <cell r="H868" t="str">
            <v>Taaleri Oy</v>
          </cell>
        </row>
        <row r="869">
          <cell r="B869" t="str">
            <v>22643277#026</v>
          </cell>
          <cell r="H869" t="str">
            <v>Taaleri Oy</v>
          </cell>
        </row>
        <row r="870">
          <cell r="B870" t="str">
            <v>22643277#027</v>
          </cell>
          <cell r="H870" t="str">
            <v>Taaleri Oy</v>
          </cell>
        </row>
        <row r="871">
          <cell r="B871" t="str">
            <v>22643277#028</v>
          </cell>
          <cell r="H871" t="str">
            <v>Taaleri Oy</v>
          </cell>
        </row>
        <row r="872">
          <cell r="B872" t="str">
            <v>22643277#029</v>
          </cell>
          <cell r="H872" t="str">
            <v>Taaleri Oy</v>
          </cell>
        </row>
        <row r="873">
          <cell r="B873" t="str">
            <v>22643277#030</v>
          </cell>
          <cell r="H873" t="str">
            <v>Taaleri Oy</v>
          </cell>
        </row>
        <row r="874">
          <cell r="B874" t="str">
            <v>22643277#032</v>
          </cell>
          <cell r="H874" t="str">
            <v>Taaleri Oy</v>
          </cell>
        </row>
        <row r="875">
          <cell r="B875" t="str">
            <v>22643277#034</v>
          </cell>
          <cell r="H875" t="str">
            <v>Taaleri Oy</v>
          </cell>
        </row>
        <row r="876">
          <cell r="B876" t="str">
            <v>22643277#035</v>
          </cell>
          <cell r="H876" t="str">
            <v>Taaleri Oy</v>
          </cell>
        </row>
        <row r="877">
          <cell r="B877" t="str">
            <v>22643277#036</v>
          </cell>
          <cell r="H877" t="str">
            <v>Taaleri Oy</v>
          </cell>
        </row>
        <row r="878">
          <cell r="B878" t="str">
            <v>22643277#037</v>
          </cell>
          <cell r="H878" t="str">
            <v>Taaleri Oy</v>
          </cell>
        </row>
        <row r="879">
          <cell r="B879" t="str">
            <v>22643277#038</v>
          </cell>
          <cell r="H879" t="str">
            <v>Taaleri Oy</v>
          </cell>
        </row>
        <row r="880">
          <cell r="B880" t="str">
            <v>22643277#039</v>
          </cell>
          <cell r="H880" t="str">
            <v>Taaleri Oy</v>
          </cell>
        </row>
        <row r="881">
          <cell r="B881" t="str">
            <v>22643277#040</v>
          </cell>
          <cell r="H881" t="str">
            <v>Taaleri Oy</v>
          </cell>
        </row>
        <row r="882">
          <cell r="B882" t="str">
            <v>22643277#042</v>
          </cell>
          <cell r="H882" t="str">
            <v>Taaleri Oy</v>
          </cell>
        </row>
        <row r="883">
          <cell r="B883" t="str">
            <v>22643277#043</v>
          </cell>
          <cell r="H883" t="str">
            <v>Taaleri Oy</v>
          </cell>
        </row>
        <row r="884">
          <cell r="B884" t="str">
            <v>22643277#044</v>
          </cell>
          <cell r="H884" t="str">
            <v>Taaleri Oy</v>
          </cell>
        </row>
        <row r="885">
          <cell r="B885" t="str">
            <v>22643277#045</v>
          </cell>
          <cell r="H885" t="str">
            <v>Taaleri Oy</v>
          </cell>
        </row>
        <row r="886">
          <cell r="B886" t="str">
            <v>22643277#046</v>
          </cell>
          <cell r="H886" t="str">
            <v>Taaleri Oy</v>
          </cell>
        </row>
        <row r="887">
          <cell r="B887" t="str">
            <v>22643277#047</v>
          </cell>
          <cell r="H887" t="str">
            <v>Taaleri Oy</v>
          </cell>
        </row>
        <row r="888">
          <cell r="B888" t="str">
            <v>22643277#048</v>
          </cell>
          <cell r="H888" t="str">
            <v>Taaleri Oy</v>
          </cell>
        </row>
        <row r="889">
          <cell r="B889" t="str">
            <v>22643277#049</v>
          </cell>
          <cell r="H889" t="str">
            <v>Taaleri Oy</v>
          </cell>
        </row>
        <row r="890">
          <cell r="B890" t="str">
            <v>22643277#054</v>
          </cell>
          <cell r="H890" t="str">
            <v>Taaleri Oy</v>
          </cell>
        </row>
        <row r="891">
          <cell r="B891" t="str">
            <v>22643277#055</v>
          </cell>
          <cell r="H891" t="str">
            <v>Taaleri Oy</v>
          </cell>
        </row>
        <row r="892">
          <cell r="B892" t="str">
            <v>22643277#056</v>
          </cell>
          <cell r="H892" t="str">
            <v>Taaleri Oy</v>
          </cell>
        </row>
        <row r="893">
          <cell r="B893" t="str">
            <v>22643277#057</v>
          </cell>
          <cell r="H893" t="str">
            <v>Taaleri Oy</v>
          </cell>
        </row>
        <row r="894">
          <cell r="B894" t="str">
            <v>22643277#058</v>
          </cell>
          <cell r="H894" t="str">
            <v>Taaleri Oy</v>
          </cell>
        </row>
        <row r="895">
          <cell r="B895" t="str">
            <v>22643277#059</v>
          </cell>
          <cell r="H895" t="str">
            <v>Taaleri Oy</v>
          </cell>
        </row>
        <row r="896">
          <cell r="B896" t="str">
            <v>22643277#060</v>
          </cell>
          <cell r="H896" t="str">
            <v>Taaleri Oy</v>
          </cell>
        </row>
        <row r="897">
          <cell r="B897" t="str">
            <v>22643277#061</v>
          </cell>
          <cell r="H897" t="str">
            <v>Taaleri Oy</v>
          </cell>
        </row>
        <row r="898">
          <cell r="B898" t="str">
            <v>22643277#062</v>
          </cell>
          <cell r="H898" t="str">
            <v>Taaleri Oy</v>
          </cell>
        </row>
        <row r="899">
          <cell r="B899" t="str">
            <v>22643277#063</v>
          </cell>
          <cell r="H899" t="str">
            <v>Taaleri Oy</v>
          </cell>
        </row>
        <row r="900">
          <cell r="B900" t="str">
            <v>22643277#064</v>
          </cell>
          <cell r="H900" t="str">
            <v>Taaleri Oy</v>
          </cell>
        </row>
        <row r="901">
          <cell r="B901" t="str">
            <v>22643277#065</v>
          </cell>
          <cell r="H901" t="str">
            <v>Taaleri Oy</v>
          </cell>
        </row>
        <row r="902">
          <cell r="B902" t="str">
            <v>22643277#066</v>
          </cell>
          <cell r="H902" t="str">
            <v>Taaleri Oy</v>
          </cell>
        </row>
        <row r="903">
          <cell r="B903" t="str">
            <v>22643277#072</v>
          </cell>
          <cell r="H903" t="str">
            <v>Taaleri Oy</v>
          </cell>
        </row>
        <row r="904">
          <cell r="B904" t="str">
            <v>22643277#073</v>
          </cell>
          <cell r="H904" t="str">
            <v>Taaleri Oy</v>
          </cell>
        </row>
        <row r="905">
          <cell r="B905" t="str">
            <v>22643277#074</v>
          </cell>
          <cell r="H905" t="str">
            <v>Taaleri Oy</v>
          </cell>
        </row>
        <row r="906">
          <cell r="B906" t="str">
            <v>22643277#075</v>
          </cell>
          <cell r="H906" t="str">
            <v>Taaleri Oy</v>
          </cell>
        </row>
        <row r="907">
          <cell r="B907" t="str">
            <v>22643277#076</v>
          </cell>
          <cell r="H907" t="str">
            <v>Taaleri Oy</v>
          </cell>
        </row>
        <row r="908">
          <cell r="B908" t="str">
            <v>22643277#077</v>
          </cell>
          <cell r="H908" t="str">
            <v>Taaleri Oy</v>
          </cell>
        </row>
        <row r="909">
          <cell r="B909" t="str">
            <v>22643277#079</v>
          </cell>
          <cell r="H909" t="str">
            <v>Taaleri Oy</v>
          </cell>
        </row>
        <row r="910">
          <cell r="B910" t="str">
            <v>22643277#080</v>
          </cell>
          <cell r="H910" t="str">
            <v>Taaleri Oy</v>
          </cell>
        </row>
        <row r="911">
          <cell r="B911" t="str">
            <v>22643277#081</v>
          </cell>
          <cell r="H911" t="str">
            <v>Taaleri Oy</v>
          </cell>
        </row>
        <row r="912">
          <cell r="B912" t="str">
            <v>22886797#002</v>
          </cell>
          <cell r="H912" t="str">
            <v>Nordic Game Fund Management Oy</v>
          </cell>
        </row>
        <row r="913">
          <cell r="B913" t="str">
            <v>22934349#001</v>
          </cell>
          <cell r="H913" t="str">
            <v>Open Ocean Oy</v>
          </cell>
        </row>
        <row r="914">
          <cell r="B914" t="str">
            <v>22934349#002</v>
          </cell>
          <cell r="H914" t="str">
            <v>Open Ocean Oy</v>
          </cell>
        </row>
        <row r="915">
          <cell r="B915" t="str">
            <v>23027732#001</v>
          </cell>
          <cell r="H915" t="str">
            <v>Conor Venture Partners Oy</v>
          </cell>
        </row>
        <row r="916">
          <cell r="B916" t="str">
            <v>23027732#004</v>
          </cell>
          <cell r="H916" t="str">
            <v>Conor Venture Partners Oy</v>
          </cell>
        </row>
        <row r="917">
          <cell r="B917" t="str">
            <v>23027732#005</v>
          </cell>
          <cell r="H917" t="str">
            <v>Conor Venture Partners Oy</v>
          </cell>
        </row>
        <row r="918">
          <cell r="B918" t="str">
            <v>23066336#005</v>
          </cell>
          <cell r="H918" t="str">
            <v>Armada Credit Partners Oy</v>
          </cell>
        </row>
        <row r="919">
          <cell r="B919" t="str">
            <v>23066336#006</v>
          </cell>
          <cell r="H919" t="str">
            <v>Armada Credit Partners Oy</v>
          </cell>
        </row>
        <row r="920">
          <cell r="B920" t="str">
            <v>23066336#007</v>
          </cell>
          <cell r="H920" t="str">
            <v>Armada Credit Partners Oy</v>
          </cell>
        </row>
        <row r="921">
          <cell r="B921" t="str">
            <v>23380405#001</v>
          </cell>
          <cell r="H921" t="str">
            <v>Royal Majestics Helsinki Oy</v>
          </cell>
        </row>
        <row r="922">
          <cell r="B922" t="str">
            <v>24137685#001</v>
          </cell>
          <cell r="H922" t="str">
            <v>Confido Kiinteistöhallinta Oy</v>
          </cell>
        </row>
        <row r="923">
          <cell r="B923" t="str">
            <v>24137685#002</v>
          </cell>
          <cell r="H923" t="str">
            <v>Confido Kiinteistöhallinta Oy</v>
          </cell>
        </row>
        <row r="924">
          <cell r="B924" t="str">
            <v>24137685#003</v>
          </cell>
          <cell r="H924" t="str">
            <v>Confido Kiinteistöhallinta Oy</v>
          </cell>
        </row>
        <row r="925">
          <cell r="B925" t="str">
            <v>24169855#001</v>
          </cell>
          <cell r="H925" t="str">
            <v>Certior Capital Oy</v>
          </cell>
        </row>
        <row r="926">
          <cell r="B926" t="str">
            <v>24169855#002</v>
          </cell>
          <cell r="H926" t="str">
            <v>Certior Capital Oy</v>
          </cell>
        </row>
        <row r="927">
          <cell r="B927" t="str">
            <v>24169855#003</v>
          </cell>
          <cell r="H927" t="str">
            <v>Certior Capital Oy</v>
          </cell>
        </row>
        <row r="928">
          <cell r="B928" t="str">
            <v>24169855#004</v>
          </cell>
          <cell r="H928" t="str">
            <v>Certior Capital Oy</v>
          </cell>
        </row>
        <row r="929">
          <cell r="B929" t="str">
            <v>24169855#006</v>
          </cell>
          <cell r="H929" t="str">
            <v>Certior Capital Oy</v>
          </cell>
        </row>
        <row r="930">
          <cell r="B930" t="str">
            <v>24169855#007</v>
          </cell>
          <cell r="H930" t="str">
            <v>Certior Capital Oy</v>
          </cell>
        </row>
        <row r="931">
          <cell r="B931" t="str">
            <v>24169855#008</v>
          </cell>
          <cell r="H931" t="str">
            <v>Certior Capital Oy</v>
          </cell>
        </row>
        <row r="932">
          <cell r="B932" t="str">
            <v>24478471#001</v>
          </cell>
          <cell r="H932" t="str">
            <v>Gorilla Ventures Oy</v>
          </cell>
        </row>
        <row r="933">
          <cell r="B933" t="str">
            <v>24597710#001</v>
          </cell>
          <cell r="H933" t="str">
            <v>Hamilton &amp; Cooper Properties Oy</v>
          </cell>
        </row>
        <row r="934">
          <cell r="B934" t="str">
            <v>24597710#002</v>
          </cell>
          <cell r="H934" t="str">
            <v>Hamilton &amp; Cooper Properties Oy</v>
          </cell>
        </row>
        <row r="935">
          <cell r="B935" t="str">
            <v>24631421#001</v>
          </cell>
          <cell r="H935" t="str">
            <v>VisionPlus Oyj</v>
          </cell>
        </row>
        <row r="936">
          <cell r="B936" t="str">
            <v>24641398#001</v>
          </cell>
          <cell r="H936" t="str">
            <v>Lifeline Ventures Fund Management Oy</v>
          </cell>
        </row>
        <row r="937">
          <cell r="B937" t="str">
            <v>24641398#002</v>
          </cell>
          <cell r="H937" t="str">
            <v>Lifeline Ventures Fund Management Oy</v>
          </cell>
        </row>
        <row r="938">
          <cell r="B938" t="str">
            <v>24641398#003</v>
          </cell>
          <cell r="H938" t="str">
            <v>Lifeline Ventures Fund Management Oy</v>
          </cell>
        </row>
        <row r="939">
          <cell r="B939" t="str">
            <v>24764259#001</v>
          </cell>
          <cell r="H939" t="str">
            <v>Butterfly Ventures Oy</v>
          </cell>
        </row>
        <row r="940">
          <cell r="B940" t="str">
            <v>24764259#002</v>
          </cell>
          <cell r="H940" t="str">
            <v>Butterfly Ventures Oy</v>
          </cell>
        </row>
        <row r="941">
          <cell r="B941" t="str">
            <v>24764259#003</v>
          </cell>
          <cell r="H941" t="str">
            <v>Butterfly Ventures Oy</v>
          </cell>
        </row>
        <row r="942">
          <cell r="B942" t="str">
            <v>24764259#004</v>
          </cell>
          <cell r="H942" t="str">
            <v>Butterfly Ventures Oy</v>
          </cell>
        </row>
        <row r="943">
          <cell r="B943" t="str">
            <v>24764259#005</v>
          </cell>
          <cell r="H943" t="str">
            <v>Butterfly Ventures Oy</v>
          </cell>
        </row>
        <row r="944">
          <cell r="B944" t="str">
            <v>24764259#006</v>
          </cell>
          <cell r="H944" t="str">
            <v>Butterfly Ventures Oy</v>
          </cell>
        </row>
        <row r="945">
          <cell r="B945" t="str">
            <v>24764259#007</v>
          </cell>
          <cell r="H945" t="str">
            <v>Butterfly Ventures Oy</v>
          </cell>
        </row>
        <row r="946">
          <cell r="B946" t="str">
            <v>24776970#001</v>
          </cell>
          <cell r="H946" t="str">
            <v>Verso Capital Oy</v>
          </cell>
        </row>
        <row r="947">
          <cell r="B947" t="str">
            <v>24776970#002</v>
          </cell>
          <cell r="H947" t="str">
            <v>Verso Capital Oy</v>
          </cell>
        </row>
        <row r="948">
          <cell r="B948" t="str">
            <v>24776970#003</v>
          </cell>
          <cell r="H948" t="str">
            <v>Verso Capital Oy</v>
          </cell>
        </row>
        <row r="949">
          <cell r="B949" t="str">
            <v>24872719#001</v>
          </cell>
          <cell r="H949" t="str">
            <v>Bocap SME Advisors Oy</v>
          </cell>
        </row>
        <row r="950">
          <cell r="B950" t="str">
            <v>25287175#001</v>
          </cell>
          <cell r="H950" t="str">
            <v>Yrityskiihdyttämö East Wings Oy</v>
          </cell>
        </row>
        <row r="951">
          <cell r="B951" t="str">
            <v>25416942#002</v>
          </cell>
          <cell r="H951" t="str">
            <v>WasaGroup Funds Oy</v>
          </cell>
        </row>
        <row r="952">
          <cell r="B952" t="str">
            <v>25416942#003</v>
          </cell>
          <cell r="H952" t="str">
            <v>WasaGroup Funds Oy</v>
          </cell>
        </row>
        <row r="953">
          <cell r="B953" t="str">
            <v>25487003#001</v>
          </cell>
          <cell r="H953" t="str">
            <v>CapMan Oy</v>
          </cell>
        </row>
        <row r="954">
          <cell r="B954" t="str">
            <v>25487062#001</v>
          </cell>
          <cell r="H954" t="str">
            <v>CapMan Oy</v>
          </cell>
        </row>
        <row r="955">
          <cell r="B955" t="str">
            <v>25487062#002</v>
          </cell>
          <cell r="H955" t="str">
            <v>CapMan Oy</v>
          </cell>
        </row>
        <row r="956">
          <cell r="B956" t="str">
            <v>25487062#003</v>
          </cell>
          <cell r="H956" t="str">
            <v>CapMan Oy</v>
          </cell>
        </row>
        <row r="957">
          <cell r="B957" t="str">
            <v>25755274#002</v>
          </cell>
          <cell r="H957" t="str">
            <v>NegaWatt Energia Oy</v>
          </cell>
        </row>
        <row r="958">
          <cell r="B958" t="str">
            <v>25997361#005</v>
          </cell>
          <cell r="H958" t="str">
            <v>Korkia Capital Oy</v>
          </cell>
        </row>
        <row r="959">
          <cell r="B959" t="str">
            <v>25997361#006</v>
          </cell>
          <cell r="H959" t="str">
            <v>Korkia Capital Oy</v>
          </cell>
        </row>
        <row r="960">
          <cell r="B960" t="str">
            <v>25997361#010</v>
          </cell>
          <cell r="H960" t="str">
            <v>Korkia Capital Oy</v>
          </cell>
        </row>
        <row r="961">
          <cell r="B961" t="str">
            <v>25997361#011</v>
          </cell>
          <cell r="H961" t="str">
            <v>Korkia Capital Oy</v>
          </cell>
        </row>
        <row r="962">
          <cell r="B962" t="str">
            <v>25997361#012</v>
          </cell>
          <cell r="H962" t="str">
            <v>Korkia Capital Oy</v>
          </cell>
        </row>
        <row r="963">
          <cell r="B963" t="str">
            <v>25997361#013</v>
          </cell>
          <cell r="H963" t="str">
            <v>Korkia Capital Oy</v>
          </cell>
        </row>
        <row r="964">
          <cell r="B964" t="str">
            <v>25997361#014</v>
          </cell>
          <cell r="H964" t="str">
            <v>Korkia Capital Oy</v>
          </cell>
        </row>
        <row r="965">
          <cell r="B965" t="str">
            <v>25997361#015</v>
          </cell>
          <cell r="H965" t="str">
            <v>Korkia Capital Oy</v>
          </cell>
        </row>
        <row r="966">
          <cell r="B966" t="str">
            <v>26188179#001</v>
          </cell>
          <cell r="H966" t="str">
            <v>Aurora Studios Oy</v>
          </cell>
        </row>
        <row r="967">
          <cell r="B967" t="str">
            <v>26188179#002</v>
          </cell>
          <cell r="H967" t="str">
            <v>Aurora Studios Oy</v>
          </cell>
        </row>
        <row r="968">
          <cell r="B968" t="str">
            <v>26194405#001</v>
          </cell>
          <cell r="H968" t="str">
            <v>DevCo Partners Oy</v>
          </cell>
        </row>
        <row r="969">
          <cell r="B969" t="str">
            <v>26194405#002</v>
          </cell>
          <cell r="H969" t="str">
            <v>DevCo Partners Oy</v>
          </cell>
        </row>
        <row r="970">
          <cell r="B970" t="str">
            <v>26194405#003</v>
          </cell>
          <cell r="H970" t="str">
            <v>DevCo Partners Oy</v>
          </cell>
        </row>
        <row r="971">
          <cell r="B971" t="str">
            <v>26194405#004</v>
          </cell>
          <cell r="H971" t="str">
            <v>DevCo Partners Oy</v>
          </cell>
        </row>
        <row r="972">
          <cell r="B972" t="str">
            <v>26391679#001</v>
          </cell>
          <cell r="H972" t="str">
            <v>Juuri Partners Oy</v>
          </cell>
        </row>
        <row r="973">
          <cell r="B973" t="str">
            <v>26391679#002</v>
          </cell>
          <cell r="H973" t="str">
            <v>Juuri Partners Oy</v>
          </cell>
        </row>
        <row r="974">
          <cell r="B974" t="str">
            <v>26536188#002</v>
          </cell>
          <cell r="H974" t="str">
            <v>S-Pankki Rahastoyhtiö Oy</v>
          </cell>
        </row>
        <row r="975">
          <cell r="B975" t="str">
            <v>26536188#003</v>
          </cell>
          <cell r="H975" t="str">
            <v>S-Pankki Rahastoyhtiö Oy</v>
          </cell>
        </row>
        <row r="976">
          <cell r="B976" t="str">
            <v>26630385#001</v>
          </cell>
          <cell r="H976" t="str">
            <v>IPR.VC Management Oy</v>
          </cell>
        </row>
        <row r="977">
          <cell r="B977" t="str">
            <v>26630385#002</v>
          </cell>
          <cell r="H977" t="str">
            <v>IPR.VC Management Oy</v>
          </cell>
        </row>
        <row r="978">
          <cell r="B978" t="str">
            <v>26630385#003</v>
          </cell>
          <cell r="H978" t="str">
            <v>IPR.VC Management Oy</v>
          </cell>
        </row>
        <row r="979">
          <cell r="B979" t="str">
            <v>26630385#004</v>
          </cell>
          <cell r="H979" t="str">
            <v>IPR.VC Management Oy</v>
          </cell>
        </row>
        <row r="980">
          <cell r="B980" t="str">
            <v>26630385#005</v>
          </cell>
          <cell r="H980" t="str">
            <v>IPR.VC Management Oy</v>
          </cell>
        </row>
        <row r="981">
          <cell r="B981" t="str">
            <v>26638993#001</v>
          </cell>
          <cell r="H981" t="str">
            <v>Open Ocean Oy</v>
          </cell>
        </row>
        <row r="982">
          <cell r="B982" t="str">
            <v>26638993#004</v>
          </cell>
          <cell r="H982" t="str">
            <v>Open Ocean Oy</v>
          </cell>
        </row>
        <row r="983">
          <cell r="B983" t="str">
            <v>26773685#001</v>
          </cell>
          <cell r="H983" t="str">
            <v>Confido Cataluna Oy</v>
          </cell>
        </row>
        <row r="984">
          <cell r="B984" t="str">
            <v>26794734#001</v>
          </cell>
          <cell r="H984" t="str">
            <v>Nest Capital 2015 GP Oy</v>
          </cell>
        </row>
        <row r="985">
          <cell r="B985" t="str">
            <v>26840569#001</v>
          </cell>
          <cell r="H985" t="str">
            <v>Courage Ventures Management Oy</v>
          </cell>
        </row>
        <row r="986">
          <cell r="B986" t="str">
            <v>26840569#002</v>
          </cell>
          <cell r="H986" t="str">
            <v>Courage Ventures Management Oy</v>
          </cell>
        </row>
        <row r="987">
          <cell r="B987" t="str">
            <v>26842943#001</v>
          </cell>
          <cell r="H987" t="str">
            <v>Samla Capital Oy</v>
          </cell>
        </row>
        <row r="988">
          <cell r="B988" t="str">
            <v>26842943#003</v>
          </cell>
          <cell r="H988" t="str">
            <v>Samla Capital Oy</v>
          </cell>
        </row>
        <row r="989">
          <cell r="B989" t="str">
            <v>26842943#004</v>
          </cell>
          <cell r="H989" t="str">
            <v>Samla Capital Oy</v>
          </cell>
        </row>
        <row r="990">
          <cell r="B990" t="str">
            <v>26842943#005</v>
          </cell>
          <cell r="H990" t="str">
            <v>Samla Capital Oy</v>
          </cell>
        </row>
        <row r="991">
          <cell r="B991" t="str">
            <v>26879068#001</v>
          </cell>
          <cell r="H991" t="str">
            <v>GreenMorrow Oy</v>
          </cell>
        </row>
        <row r="992">
          <cell r="B992" t="str">
            <v>26963091#001</v>
          </cell>
          <cell r="H992" t="str">
            <v>Superhero Capital Oy</v>
          </cell>
        </row>
        <row r="993">
          <cell r="B993" t="str">
            <v>26963091#002</v>
          </cell>
          <cell r="H993" t="str">
            <v>Superhero Capital Oy</v>
          </cell>
        </row>
        <row r="994">
          <cell r="B994" t="str">
            <v>26963091#003</v>
          </cell>
          <cell r="H994" t="str">
            <v>Superhero Capital Oy</v>
          </cell>
        </row>
        <row r="995">
          <cell r="B995" t="str">
            <v>26963091#004</v>
          </cell>
          <cell r="H995" t="str">
            <v>Superhero Capital Oy</v>
          </cell>
        </row>
        <row r="996">
          <cell r="B996" t="str">
            <v>26963091#005</v>
          </cell>
          <cell r="H996" t="str">
            <v>Superhero Capital Oy</v>
          </cell>
        </row>
        <row r="997">
          <cell r="B997" t="str">
            <v>26997152#001</v>
          </cell>
          <cell r="H997" t="str">
            <v>MB Partners V Oy</v>
          </cell>
        </row>
        <row r="998">
          <cell r="B998" t="str">
            <v>27000385#001</v>
          </cell>
          <cell r="H998" t="str">
            <v>Premico Asuntorahaston hallinnointiyhtiö Oy</v>
          </cell>
        </row>
        <row r="999">
          <cell r="B999" t="str">
            <v>27000385#002</v>
          </cell>
          <cell r="H999" t="str">
            <v>Premico Asuntorahaston hallinnointiyhtiö Oy</v>
          </cell>
        </row>
        <row r="1000">
          <cell r="B1000" t="str">
            <v>27097164#001</v>
          </cell>
          <cell r="H1000" t="str">
            <v>Innovestor Oy</v>
          </cell>
        </row>
        <row r="1001">
          <cell r="B1001" t="str">
            <v>27097164#003</v>
          </cell>
          <cell r="H1001" t="str">
            <v>Innovestor Oy</v>
          </cell>
        </row>
        <row r="1002">
          <cell r="B1002" t="str">
            <v>27097164#004</v>
          </cell>
          <cell r="H1002" t="str">
            <v>Innovestor Oy</v>
          </cell>
        </row>
        <row r="1003">
          <cell r="B1003" t="str">
            <v>27097164#007</v>
          </cell>
          <cell r="H1003" t="str">
            <v>Innovestor Oy</v>
          </cell>
        </row>
        <row r="1004">
          <cell r="B1004" t="str">
            <v>27097164#008</v>
          </cell>
          <cell r="H1004" t="str">
            <v>Innovestor Oy</v>
          </cell>
        </row>
        <row r="1005">
          <cell r="B1005" t="str">
            <v>27252961#001</v>
          </cell>
          <cell r="H1005" t="str">
            <v>Vendep Capital Oy</v>
          </cell>
        </row>
        <row r="1006">
          <cell r="B1006" t="str">
            <v>27252961#002</v>
          </cell>
          <cell r="H1006" t="str">
            <v>Vendep Capital Oy</v>
          </cell>
        </row>
        <row r="1007">
          <cell r="B1007" t="str">
            <v>27252961#003</v>
          </cell>
          <cell r="H1007" t="str">
            <v>Vendep Capital Oy</v>
          </cell>
        </row>
        <row r="1008">
          <cell r="B1008" t="str">
            <v>27252961#004</v>
          </cell>
          <cell r="H1008" t="str">
            <v>Vendep Capital Oy</v>
          </cell>
        </row>
        <row r="1009">
          <cell r="B1009" t="str">
            <v>27252961#005</v>
          </cell>
          <cell r="H1009" t="str">
            <v>Vendep Capital Oy</v>
          </cell>
        </row>
        <row r="1010">
          <cell r="B1010" t="str">
            <v>27268664#001</v>
          </cell>
          <cell r="H1010" t="str">
            <v>Saari Partners Oy</v>
          </cell>
        </row>
        <row r="1011">
          <cell r="B1011" t="str">
            <v>27268664#002</v>
          </cell>
          <cell r="H1011" t="str">
            <v>Saari Partners Oy</v>
          </cell>
        </row>
        <row r="1012">
          <cell r="B1012" t="str">
            <v>27526045#001</v>
          </cell>
          <cell r="H1012" t="str">
            <v>FinCap Kiinteistörahastot Oy</v>
          </cell>
        </row>
        <row r="1013">
          <cell r="B1013" t="str">
            <v>27526045#003</v>
          </cell>
          <cell r="H1013" t="str">
            <v>FinCap Kiinteistörahastot Oy</v>
          </cell>
        </row>
        <row r="1014">
          <cell r="B1014" t="str">
            <v>27605923#001</v>
          </cell>
          <cell r="H1014" t="str">
            <v>Icebreaker Fund Management Oy</v>
          </cell>
        </row>
        <row r="1015">
          <cell r="B1015" t="str">
            <v>27605923#002</v>
          </cell>
          <cell r="H1015" t="str">
            <v>Icebreaker Fund Management Oy</v>
          </cell>
        </row>
        <row r="1016">
          <cell r="B1016" t="str">
            <v>27605923#003</v>
          </cell>
          <cell r="H1016" t="str">
            <v>Icebreaker Fund Management Oy</v>
          </cell>
        </row>
        <row r="1017">
          <cell r="B1017" t="str">
            <v>27610685#001</v>
          </cell>
          <cell r="H1017" t="str">
            <v>Bocap Private Equity Oy</v>
          </cell>
        </row>
        <row r="1018">
          <cell r="B1018" t="str">
            <v>27610685#002</v>
          </cell>
          <cell r="H1018" t="str">
            <v>Bocap Private Equity Oy</v>
          </cell>
        </row>
        <row r="1019">
          <cell r="B1019" t="str">
            <v>27633406#001</v>
          </cell>
          <cell r="H1019" t="str">
            <v>Grid.vc Oy</v>
          </cell>
        </row>
        <row r="1020">
          <cell r="B1020" t="str">
            <v>27728544#001</v>
          </cell>
          <cell r="H1020" t="str">
            <v>Terwa Management Oy</v>
          </cell>
        </row>
        <row r="1021">
          <cell r="B1021" t="str">
            <v>27838225#001</v>
          </cell>
          <cell r="H1021" t="str">
            <v>Wave Ventures Oy</v>
          </cell>
        </row>
        <row r="1022">
          <cell r="B1022" t="str">
            <v>27838225#002</v>
          </cell>
          <cell r="H1022" t="str">
            <v>Wave Ventures Oy</v>
          </cell>
        </row>
        <row r="1023">
          <cell r="B1023" t="str">
            <v>28125497#003</v>
          </cell>
          <cell r="H1023" t="str">
            <v>Mandatum AM AIFM Oy</v>
          </cell>
        </row>
        <row r="1024">
          <cell r="B1024" t="str">
            <v>28233658#002</v>
          </cell>
          <cell r="H1024" t="str">
            <v>Obsido Rahastoyhtiö Oy</v>
          </cell>
        </row>
        <row r="1025">
          <cell r="B1025" t="str">
            <v>28233658#006</v>
          </cell>
          <cell r="H1025" t="str">
            <v>Obsido Rahastoyhtiö Oy</v>
          </cell>
        </row>
        <row r="1026">
          <cell r="B1026" t="str">
            <v>28233658#009</v>
          </cell>
          <cell r="H1026" t="str">
            <v>Obsido Rahastoyhtiö Oy</v>
          </cell>
        </row>
        <row r="1027">
          <cell r="B1027" t="str">
            <v>28268172#001</v>
          </cell>
          <cell r="H1027" t="str">
            <v>FundSi Oy</v>
          </cell>
        </row>
        <row r="1028">
          <cell r="B1028" t="str">
            <v>28279074#001</v>
          </cell>
          <cell r="H1028" t="str">
            <v>Gorilla Capital Management Oy</v>
          </cell>
        </row>
        <row r="1029">
          <cell r="B1029" t="str">
            <v>28279074#002</v>
          </cell>
          <cell r="H1029" t="str">
            <v>Gorilla Capital Management Oy</v>
          </cell>
        </row>
        <row r="1030">
          <cell r="B1030" t="str">
            <v>28332453#003</v>
          </cell>
          <cell r="H1030" t="str">
            <v>Taaleri Oy</v>
          </cell>
        </row>
        <row r="1031">
          <cell r="B1031" t="str">
            <v>28332453#004</v>
          </cell>
          <cell r="H1031" t="str">
            <v>Taaleri Oy</v>
          </cell>
        </row>
        <row r="1032">
          <cell r="B1032" t="str">
            <v>28332453#005</v>
          </cell>
          <cell r="H1032" t="str">
            <v>Taaleri Oy</v>
          </cell>
        </row>
        <row r="1033">
          <cell r="B1033" t="str">
            <v>28332453#007</v>
          </cell>
          <cell r="H1033" t="str">
            <v>Taaleri Oy</v>
          </cell>
        </row>
        <row r="1034">
          <cell r="B1034" t="str">
            <v>28369715#001</v>
          </cell>
          <cell r="H1034" t="str">
            <v>MAKI Ventures Oy</v>
          </cell>
        </row>
        <row r="1035">
          <cell r="B1035" t="str">
            <v>28369715#002</v>
          </cell>
          <cell r="H1035" t="str">
            <v>MAKI Ventures Oy</v>
          </cell>
        </row>
        <row r="1036">
          <cell r="B1036" t="str">
            <v>28369715#003</v>
          </cell>
          <cell r="H1036" t="str">
            <v>MAKI Ventures Oy</v>
          </cell>
        </row>
        <row r="1037">
          <cell r="B1037" t="str">
            <v>28369715#004</v>
          </cell>
          <cell r="H1037" t="str">
            <v>MAKI Ventures Oy</v>
          </cell>
        </row>
        <row r="1038">
          <cell r="B1038" t="str">
            <v>28570689#001</v>
          </cell>
          <cell r="H1038" t="str">
            <v>Luotsi Capital Oy</v>
          </cell>
        </row>
        <row r="1039">
          <cell r="B1039" t="str">
            <v>28570689#002</v>
          </cell>
          <cell r="H1039" t="str">
            <v>Luotsi Capital Oy</v>
          </cell>
        </row>
        <row r="1040">
          <cell r="B1040" t="str">
            <v>28570689#003</v>
          </cell>
          <cell r="H1040" t="str">
            <v>Luotsi Capital Oy</v>
          </cell>
        </row>
        <row r="1041">
          <cell r="B1041" t="str">
            <v>28570689#004</v>
          </cell>
          <cell r="H1041" t="str">
            <v>Luotsi Capital Oy</v>
          </cell>
        </row>
        <row r="1042">
          <cell r="B1042" t="str">
            <v>28619307#001</v>
          </cell>
          <cell r="H1042" t="str">
            <v>Redstone Nordics Oy</v>
          </cell>
        </row>
        <row r="1043">
          <cell r="B1043" t="str">
            <v>28619307#002</v>
          </cell>
          <cell r="H1043" t="str">
            <v>Redstone Nordics Oy</v>
          </cell>
        </row>
        <row r="1044">
          <cell r="B1044" t="str">
            <v>28619307#003</v>
          </cell>
          <cell r="H1044" t="str">
            <v>Redstone Nordics Oy</v>
          </cell>
        </row>
        <row r="1045">
          <cell r="B1045" t="str">
            <v>28665274#001</v>
          </cell>
          <cell r="H1045" t="str">
            <v>EduImpact Venture Capital Oy</v>
          </cell>
        </row>
        <row r="1046">
          <cell r="B1046" t="str">
            <v>28665274#002</v>
          </cell>
          <cell r="H1046" t="str">
            <v>EduImpact Venture Capital Oy</v>
          </cell>
        </row>
        <row r="1047">
          <cell r="B1047" t="str">
            <v>28665274#003</v>
          </cell>
          <cell r="H1047" t="str">
            <v>EduImpact Venture Capital Oy</v>
          </cell>
        </row>
        <row r="1048">
          <cell r="B1048" t="str">
            <v>28665274#004</v>
          </cell>
          <cell r="H1048" t="str">
            <v>EduImpact Venture Capital Oy</v>
          </cell>
        </row>
        <row r="1049">
          <cell r="B1049" t="str">
            <v>28754218#001</v>
          </cell>
          <cell r="H1049" t="str">
            <v>Evolver Equity Ab</v>
          </cell>
        </row>
        <row r="1050">
          <cell r="B1050" t="str">
            <v>28754218#002</v>
          </cell>
          <cell r="H1050" t="str">
            <v>Evolver Equity Ab</v>
          </cell>
        </row>
        <row r="1051">
          <cell r="B1051" t="str">
            <v>29026204#002</v>
          </cell>
          <cell r="H1051" t="str">
            <v>GOS Yritysrahoitus Oy</v>
          </cell>
        </row>
        <row r="1052">
          <cell r="B1052" t="str">
            <v>29063769#001</v>
          </cell>
          <cell r="H1052" t="str">
            <v>Systematic alpha Oy</v>
          </cell>
        </row>
        <row r="1053">
          <cell r="B1053" t="str">
            <v>29064614#003</v>
          </cell>
          <cell r="H1053" t="str">
            <v>CapMan Oy</v>
          </cell>
        </row>
        <row r="1054">
          <cell r="B1054" t="str">
            <v>29064614#006</v>
          </cell>
          <cell r="H1054" t="str">
            <v>CapMan Oy</v>
          </cell>
        </row>
        <row r="1055">
          <cell r="B1055" t="str">
            <v>29064614#008</v>
          </cell>
          <cell r="H1055" t="str">
            <v>CapMan Oy</v>
          </cell>
        </row>
        <row r="1056">
          <cell r="B1056" t="str">
            <v>29064614#009</v>
          </cell>
          <cell r="H1056" t="str">
            <v>CapMan Oy</v>
          </cell>
        </row>
        <row r="1057">
          <cell r="B1057" t="str">
            <v>29064614#011</v>
          </cell>
          <cell r="H1057" t="str">
            <v>CapMan Oy</v>
          </cell>
        </row>
        <row r="1058">
          <cell r="B1058" t="str">
            <v>29064614#012</v>
          </cell>
          <cell r="H1058" t="str">
            <v>CapMan Oy</v>
          </cell>
        </row>
        <row r="1059">
          <cell r="B1059" t="str">
            <v>29064614#014</v>
          </cell>
          <cell r="H1059" t="str">
            <v>CapMan Oy</v>
          </cell>
        </row>
        <row r="1060">
          <cell r="B1060" t="str">
            <v>29064614#015</v>
          </cell>
          <cell r="H1060" t="str">
            <v>CapMan Oy</v>
          </cell>
        </row>
        <row r="1061">
          <cell r="B1061" t="str">
            <v>29064614#016</v>
          </cell>
          <cell r="H1061" t="str">
            <v>CapMan Oy</v>
          </cell>
        </row>
        <row r="1062">
          <cell r="B1062" t="str">
            <v>29064614#019</v>
          </cell>
          <cell r="H1062" t="str">
            <v>CapMan Oy</v>
          </cell>
        </row>
        <row r="1063">
          <cell r="B1063" t="str">
            <v>29064614#030</v>
          </cell>
          <cell r="H1063" t="str">
            <v>CapMan Oy</v>
          </cell>
        </row>
        <row r="1064">
          <cell r="B1064" t="str">
            <v>29112428#001</v>
          </cell>
          <cell r="H1064" t="str">
            <v>Vauraus AIFM Oy</v>
          </cell>
        </row>
        <row r="1065">
          <cell r="B1065" t="str">
            <v>29157108#001</v>
          </cell>
          <cell r="H1065" t="str">
            <v>Voima Ventures Oy</v>
          </cell>
        </row>
        <row r="1066">
          <cell r="B1066" t="str">
            <v>29157108#002</v>
          </cell>
          <cell r="H1066" t="str">
            <v>Voima Ventures Oy</v>
          </cell>
        </row>
        <row r="1067">
          <cell r="B1067" t="str">
            <v>29157108#003</v>
          </cell>
          <cell r="H1067" t="str">
            <v>Voima Ventures Oy</v>
          </cell>
        </row>
        <row r="1068">
          <cell r="B1068" t="str">
            <v>29157108#004</v>
          </cell>
          <cell r="H1068" t="str">
            <v>Voima Ventures Oy</v>
          </cell>
        </row>
        <row r="1069">
          <cell r="B1069" t="str">
            <v>29208526#001</v>
          </cell>
          <cell r="H1069" t="str">
            <v>Robin Capital Management Oy</v>
          </cell>
        </row>
        <row r="1070">
          <cell r="B1070" t="str">
            <v>29245124#001</v>
          </cell>
          <cell r="H1070" t="str">
            <v>Joensuun Startup Kehitys Oy</v>
          </cell>
        </row>
        <row r="1071">
          <cell r="B1071" t="str">
            <v>29245212#001</v>
          </cell>
          <cell r="H1071" t="str">
            <v>Nordic Food Tech Venture Capital Oy</v>
          </cell>
        </row>
        <row r="1072">
          <cell r="B1072" t="str">
            <v>29245212#002</v>
          </cell>
          <cell r="H1072" t="str">
            <v>Nordic Food Tech Venture Capital Oy</v>
          </cell>
        </row>
        <row r="1073">
          <cell r="B1073" t="str">
            <v>29897173#001</v>
          </cell>
          <cell r="H1073" t="str">
            <v>LLV Fund Management Oy</v>
          </cell>
        </row>
        <row r="1074">
          <cell r="B1074" t="str">
            <v>29897173#002</v>
          </cell>
          <cell r="H1074" t="str">
            <v>LLV Fund Management Oy</v>
          </cell>
        </row>
        <row r="1075">
          <cell r="B1075" t="str">
            <v>29897173#003</v>
          </cell>
          <cell r="H1075" t="str">
            <v>LLV Fund Management Oy</v>
          </cell>
        </row>
        <row r="1076">
          <cell r="B1076" t="str">
            <v>30134149#001</v>
          </cell>
          <cell r="H1076" t="str">
            <v>Premico Pääomarahastot Oy</v>
          </cell>
        </row>
        <row r="1077">
          <cell r="B1077" t="str">
            <v>30134149#002</v>
          </cell>
          <cell r="H1077" t="str">
            <v>Premico Pääomarahastot Oy</v>
          </cell>
        </row>
        <row r="1078">
          <cell r="B1078" t="str">
            <v>30193325#001</v>
          </cell>
          <cell r="H1078" t="str">
            <v>Nostetta Ventures Oy</v>
          </cell>
        </row>
        <row r="1079">
          <cell r="B1079" t="str">
            <v>30980441#001</v>
          </cell>
          <cell r="H1079" t="str">
            <v>Open Ocean Oy</v>
          </cell>
        </row>
        <row r="1080">
          <cell r="B1080" t="str">
            <v>30992004#001</v>
          </cell>
          <cell r="H1080" t="str">
            <v>Landmark Real Assets Oy</v>
          </cell>
        </row>
        <row r="1081">
          <cell r="B1081" t="str">
            <v>30999185#001</v>
          </cell>
          <cell r="H1081" t="str">
            <v>SARKA Varainhoito Oy</v>
          </cell>
        </row>
        <row r="1082">
          <cell r="B1082" t="str">
            <v>31225771#001</v>
          </cell>
          <cell r="H1082" t="str">
            <v>BOA Capital Oy</v>
          </cell>
        </row>
        <row r="1083">
          <cell r="B1083" t="str">
            <v>31225771#003</v>
          </cell>
          <cell r="H1083" t="str">
            <v>BOA Capital Oy</v>
          </cell>
        </row>
        <row r="1084">
          <cell r="B1084" t="str">
            <v>31255065#001</v>
          </cell>
          <cell r="H1084" t="str">
            <v>Nordic Science Investments Oy</v>
          </cell>
        </row>
        <row r="1085">
          <cell r="B1085" t="str">
            <v>31255065#002</v>
          </cell>
          <cell r="H1085" t="str">
            <v>Nordic Science Investments Oy</v>
          </cell>
        </row>
        <row r="1086">
          <cell r="B1086" t="str">
            <v>31336148#001</v>
          </cell>
          <cell r="H1086" t="str">
            <v>YKS Management Oy</v>
          </cell>
        </row>
        <row r="1087">
          <cell r="B1087" t="str">
            <v>31436042#001</v>
          </cell>
          <cell r="H1087" t="str">
            <v>Tuohex Capital Oy</v>
          </cell>
        </row>
        <row r="1088">
          <cell r="B1088" t="str">
            <v>31605811#001</v>
          </cell>
          <cell r="H1088" t="str">
            <v>StartMore Operative Oy</v>
          </cell>
        </row>
        <row r="1089">
          <cell r="B1089" t="str">
            <v>31737232#003</v>
          </cell>
          <cell r="H1089" t="str">
            <v>Intera Partners Oy</v>
          </cell>
        </row>
        <row r="1090">
          <cell r="B1090" t="str">
            <v>31737232#004</v>
          </cell>
          <cell r="H1090" t="str">
            <v>Intera Partners Oy</v>
          </cell>
        </row>
        <row r="1091">
          <cell r="B1091" t="str">
            <v>31777146#001</v>
          </cell>
          <cell r="H1091" t="str">
            <v>FOV Fund Management Oy</v>
          </cell>
        </row>
        <row r="1092">
          <cell r="B1092" t="str">
            <v>31779424#001</v>
          </cell>
          <cell r="H1092" t="str">
            <v>DEAS Fund Management</v>
          </cell>
        </row>
        <row r="1093">
          <cell r="B1093" t="str">
            <v>31779686#003</v>
          </cell>
          <cell r="H1093" t="str">
            <v>DEAS Fund Management</v>
          </cell>
        </row>
        <row r="1094">
          <cell r="B1094" t="str">
            <v>31779686#004</v>
          </cell>
          <cell r="H1094" t="str">
            <v>DEAS Fund Management</v>
          </cell>
        </row>
        <row r="1095">
          <cell r="B1095" t="str">
            <v>31779686#005</v>
          </cell>
          <cell r="H1095" t="str">
            <v>DEAS Fund Management</v>
          </cell>
        </row>
        <row r="1096">
          <cell r="B1096" t="str">
            <v>31779686#006</v>
          </cell>
          <cell r="H1096" t="str">
            <v>DEAS Fund Management</v>
          </cell>
        </row>
        <row r="1097">
          <cell r="B1097" t="str">
            <v>31779686#007</v>
          </cell>
          <cell r="H1097" t="str">
            <v>DEAS Fund Management</v>
          </cell>
        </row>
        <row r="1098">
          <cell r="B1098" t="str">
            <v>31782818#001</v>
          </cell>
          <cell r="H1098" t="str">
            <v>MB Partners Oy</v>
          </cell>
        </row>
        <row r="1099">
          <cell r="B1099" t="str">
            <v>32140454#001</v>
          </cell>
          <cell r="H1099" t="str">
            <v>Virta Equity Oy</v>
          </cell>
        </row>
        <row r="1100">
          <cell r="B1100" t="str">
            <v>32140454#002</v>
          </cell>
          <cell r="H1100" t="str">
            <v>Virta Equity Oy</v>
          </cell>
        </row>
        <row r="1101">
          <cell r="B1101" t="str">
            <v>32214134#001</v>
          </cell>
          <cell r="H1101" t="str">
            <v>Innovestor Oy</v>
          </cell>
        </row>
        <row r="1102">
          <cell r="B1102" t="str">
            <v>32214134#002</v>
          </cell>
          <cell r="H1102" t="str">
            <v>Innovestor Oy</v>
          </cell>
        </row>
        <row r="1103">
          <cell r="B1103" t="str">
            <v>32251293#001</v>
          </cell>
          <cell r="H1103" t="str">
            <v>Voland Partners Oy</v>
          </cell>
        </row>
        <row r="1104">
          <cell r="B1104" t="str">
            <v>32251293#002</v>
          </cell>
          <cell r="H1104" t="str">
            <v>Voland Partners Oy</v>
          </cell>
        </row>
        <row r="1105">
          <cell r="B1105" t="str">
            <v>32503964#001</v>
          </cell>
          <cell r="H1105" t="str">
            <v>Findea Capital Oy</v>
          </cell>
        </row>
        <row r="1106">
          <cell r="B1106" t="str">
            <v>32592442#001</v>
          </cell>
          <cell r="H1106" t="str">
            <v>Ethos Capital Oy</v>
          </cell>
        </row>
        <row r="1107">
          <cell r="B1107" t="str">
            <v>32660863#001</v>
          </cell>
          <cell r="H1107" t="str">
            <v>Equilibrium Funds Oy</v>
          </cell>
        </row>
        <row r="1108">
          <cell r="B1108" t="str">
            <v>32886029#001</v>
          </cell>
          <cell r="H1108" t="str">
            <v>Kvarn Asset Management Oy</v>
          </cell>
        </row>
        <row r="1109">
          <cell r="B1109" t="str">
            <v>32965173#001</v>
          </cell>
          <cell r="H1109" t="str">
            <v>Cactos Fleet Management Finland Oy</v>
          </cell>
        </row>
        <row r="1110">
          <cell r="B1110" t="str">
            <v>33004534#001</v>
          </cell>
          <cell r="H1110" t="str">
            <v>Failup Ventures Management Oy</v>
          </cell>
        </row>
        <row r="1111">
          <cell r="B1111" t="str">
            <v>33038347#001</v>
          </cell>
          <cell r="H1111" t="str">
            <v>Napkin Capital Oy</v>
          </cell>
        </row>
        <row r="1112">
          <cell r="B1112" t="str">
            <v>33185814#001</v>
          </cell>
          <cell r="H1112" t="str">
            <v>OpenOcean Oy</v>
          </cell>
        </row>
        <row r="1113">
          <cell r="B1113" t="str">
            <v>33185814#002</v>
          </cell>
          <cell r="H1113" t="str">
            <v>OpenOcean Oy</v>
          </cell>
        </row>
        <row r="1114">
          <cell r="B1114" t="str">
            <v>33188687#001</v>
          </cell>
          <cell r="H1114" t="str">
            <v>Greencode Ventures Oy</v>
          </cell>
        </row>
        <row r="1115">
          <cell r="B1115" t="str">
            <v>33382607#001</v>
          </cell>
          <cell r="H1115" t="str">
            <v>Kvanted Oy</v>
          </cell>
        </row>
        <row r="1116">
          <cell r="B1116" t="str">
            <v>33390084#001</v>
          </cell>
          <cell r="H1116" t="str">
            <v>Revon Ventures Oy</v>
          </cell>
        </row>
        <row r="1117">
          <cell r="B1117" t="str">
            <v>33917579#001</v>
          </cell>
          <cell r="H1117" t="str">
            <v>fundco oy</v>
          </cell>
        </row>
        <row r="1118">
          <cell r="B1118" t="str">
            <v>33917579#002</v>
          </cell>
          <cell r="H1118" t="str">
            <v>fundco oy</v>
          </cell>
        </row>
        <row r="1119">
          <cell r="B1119" t="str">
            <v/>
          </cell>
          <cell r="H1119" t="str">
            <v/>
          </cell>
        </row>
        <row r="1120">
          <cell r="B1120" t="str">
            <v/>
          </cell>
          <cell r="H1120" t="str">
            <v/>
          </cell>
        </row>
        <row r="1121">
          <cell r="B1121" t="str">
            <v>Rahamarkkinarahastot luetaan rahalaitosektoriin (MFI)</v>
          </cell>
          <cell r="H1121" t="str">
            <v/>
          </cell>
        </row>
        <row r="1122">
          <cell r="B1122" t="str">
            <v>Penningmarknadsfonder klassificeras som monetära finansinstitut (MFI)</v>
          </cell>
          <cell r="H1122" t="str">
            <v/>
          </cell>
        </row>
        <row r="1123">
          <cell r="B1123" t="str">
            <v>Money market funds are included in the MFI sector</v>
          </cell>
          <cell r="H1123" t="str">
            <v/>
          </cell>
        </row>
        <row r="1124">
          <cell r="B1124" t="str">
            <v/>
          </cell>
          <cell r="H1124" t="str">
            <v/>
          </cell>
        </row>
        <row r="1125">
          <cell r="B1125" t="str">
            <v>10932901#018</v>
          </cell>
          <cell r="H1125" t="str">
            <v>Seligson &amp; Co Rahastoyhtiö Oyj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4.2025"/>
    </sheetNames>
    <sheetDataSet>
      <sheetData sheetId="0">
        <row r="1">
          <cell r="B1" t="str">
            <v/>
          </cell>
          <cell r="H1" t="str">
            <v/>
          </cell>
        </row>
        <row r="2">
          <cell r="B2" t="str">
            <v>Tilanne / Situation / Situation: 30.04.2025</v>
          </cell>
          <cell r="H2" t="str">
            <v/>
          </cell>
        </row>
        <row r="3">
          <cell r="B3" t="str">
            <v>Päivitetty / Uppdaterad / Updated: 30.04.2025</v>
          </cell>
          <cell r="H3" t="str">
            <v/>
          </cell>
        </row>
        <row r="4">
          <cell r="B4" t="str">
            <v/>
          </cell>
          <cell r="H4" t="str">
            <v/>
          </cell>
        </row>
        <row r="5">
          <cell r="B5" t="str">
            <v/>
          </cell>
          <cell r="H5" t="str">
            <v/>
          </cell>
        </row>
        <row r="6">
          <cell r="B6" t="str">
            <v>Sijoitusrahastotunnus</v>
          </cell>
          <cell r="H6" t="str">
            <v>Hallinnointiyhtiö</v>
          </cell>
        </row>
        <row r="7">
          <cell r="B7" t="str">
            <v>Fondens ID-kod</v>
          </cell>
          <cell r="H7" t="str">
            <v>Förvaltningsbolag</v>
          </cell>
        </row>
        <row r="8">
          <cell r="B8" t="str">
            <v>Investment fund identifier</v>
          </cell>
          <cell r="H8" t="str">
            <v>Management company</v>
          </cell>
        </row>
        <row r="9">
          <cell r="B9" t="str">
            <v/>
          </cell>
          <cell r="H9" t="str">
            <v/>
          </cell>
        </row>
        <row r="10">
          <cell r="B10" t="str">
            <v/>
          </cell>
          <cell r="H10" t="str">
            <v/>
          </cell>
        </row>
        <row r="11">
          <cell r="B11" t="str">
            <v>Sijoitusrahastot (UCITS)</v>
          </cell>
          <cell r="H11" t="str">
            <v/>
          </cell>
        </row>
        <row r="12">
          <cell r="B12" t="str">
            <v>Investeringsfonder (UCITS)</v>
          </cell>
          <cell r="H12" t="str">
            <v/>
          </cell>
        </row>
        <row r="13">
          <cell r="B13" t="str">
            <v>Investment funds (UCITS)</v>
          </cell>
          <cell r="H13" t="str">
            <v/>
          </cell>
        </row>
        <row r="14">
          <cell r="B14" t="str">
            <v/>
          </cell>
          <cell r="H14" t="str">
            <v/>
          </cell>
        </row>
        <row r="15">
          <cell r="B15" t="str">
            <v>06716026#001</v>
          </cell>
          <cell r="H15" t="str">
            <v>Danske Invest Rahastoyhtiö Oy</v>
          </cell>
        </row>
        <row r="16">
          <cell r="B16" t="str">
            <v>06716026#002</v>
          </cell>
          <cell r="H16" t="str">
            <v>Danske Invest Rahastoyhtiö Oy</v>
          </cell>
        </row>
        <row r="17">
          <cell r="B17" t="str">
            <v>06716026#003</v>
          </cell>
          <cell r="H17" t="str">
            <v>Danske Invest Rahastoyhtiö Oy</v>
          </cell>
        </row>
        <row r="18">
          <cell r="B18" t="str">
            <v>06716026#004</v>
          </cell>
          <cell r="H18" t="str">
            <v>Danske Invest Rahastoyhtiö Oy</v>
          </cell>
        </row>
        <row r="19">
          <cell r="B19" t="str">
            <v>06716026#007</v>
          </cell>
          <cell r="H19" t="str">
            <v>Danske Invest Rahastoyhtiö Oy</v>
          </cell>
        </row>
        <row r="20">
          <cell r="B20" t="str">
            <v>06716026#008</v>
          </cell>
          <cell r="H20" t="str">
            <v>Danske Invest Rahastoyhtiö Oy</v>
          </cell>
        </row>
        <row r="21">
          <cell r="B21" t="str">
            <v>06716026#009</v>
          </cell>
          <cell r="H21" t="str">
            <v>Danske Invest Rahastoyhtiö Oy</v>
          </cell>
        </row>
        <row r="22">
          <cell r="B22" t="str">
            <v>06716026#010</v>
          </cell>
          <cell r="H22" t="str">
            <v>Danske Invest Rahastoyhtiö Oy</v>
          </cell>
        </row>
        <row r="23">
          <cell r="B23" t="str">
            <v>06716026#011</v>
          </cell>
          <cell r="H23" t="str">
            <v>Danske Invest Rahastoyhtiö Oy</v>
          </cell>
        </row>
        <row r="24">
          <cell r="B24" t="str">
            <v>06716026#016</v>
          </cell>
          <cell r="H24" t="str">
            <v>Danske Invest Rahastoyhtiö Oy</v>
          </cell>
        </row>
        <row r="25">
          <cell r="B25" t="str">
            <v>06716026#017</v>
          </cell>
          <cell r="H25" t="str">
            <v>Danske Invest Rahastoyhtiö Oy</v>
          </cell>
        </row>
        <row r="26">
          <cell r="B26" t="str">
            <v>06716026#018</v>
          </cell>
          <cell r="H26" t="str">
            <v>Danske Invest Rahastoyhtiö Oy</v>
          </cell>
        </row>
        <row r="27">
          <cell r="B27" t="str">
            <v>06716026#019</v>
          </cell>
          <cell r="H27" t="str">
            <v>Danske Invest Rahastoyhtiö Oy</v>
          </cell>
        </row>
        <row r="28">
          <cell r="B28" t="str">
            <v>06716026#022</v>
          </cell>
          <cell r="H28" t="str">
            <v>Danske Invest Rahastoyhtiö Oy</v>
          </cell>
        </row>
        <row r="29">
          <cell r="B29" t="str">
            <v>06716026#024</v>
          </cell>
          <cell r="H29" t="str">
            <v>Danske Invest Rahastoyhtiö Oy</v>
          </cell>
        </row>
        <row r="30">
          <cell r="B30" t="str">
            <v>06716026#025</v>
          </cell>
          <cell r="H30" t="str">
            <v>Danske Invest Rahastoyhtiö Oy</v>
          </cell>
        </row>
        <row r="31">
          <cell r="B31" t="str">
            <v>06716026#038</v>
          </cell>
          <cell r="H31" t="str">
            <v>Danske Invest Rahastoyhtiö Oy</v>
          </cell>
        </row>
        <row r="32">
          <cell r="B32" t="str">
            <v>06716026#040</v>
          </cell>
          <cell r="H32" t="str">
            <v>Danske Invest Rahastoyhtiö Oy</v>
          </cell>
        </row>
        <row r="33">
          <cell r="B33" t="str">
            <v>06716026#041</v>
          </cell>
          <cell r="H33" t="str">
            <v>Danske Invest Rahastoyhtiö Oy</v>
          </cell>
        </row>
        <row r="34">
          <cell r="B34" t="str">
            <v>06716026#053</v>
          </cell>
          <cell r="H34" t="str">
            <v>Danske Invest Rahastoyhtiö Oy</v>
          </cell>
        </row>
        <row r="35">
          <cell r="B35" t="str">
            <v>06716026#058</v>
          </cell>
          <cell r="H35" t="str">
            <v>Danske Invest Rahastoyhtiö Oy</v>
          </cell>
        </row>
        <row r="36">
          <cell r="B36" t="str">
            <v>06716026#072</v>
          </cell>
          <cell r="H36" t="str">
            <v>Danske Invest Rahastoyhtiö Oy</v>
          </cell>
        </row>
        <row r="37">
          <cell r="B37" t="str">
            <v>06716026#073</v>
          </cell>
          <cell r="H37" t="str">
            <v>Danske Invest Rahastoyhtiö Oy</v>
          </cell>
        </row>
        <row r="38">
          <cell r="B38" t="str">
            <v>06716026#082</v>
          </cell>
          <cell r="H38" t="str">
            <v>Danske Invest Rahastoyhtiö Oy</v>
          </cell>
        </row>
        <row r="39">
          <cell r="B39" t="str">
            <v>06716026#084</v>
          </cell>
          <cell r="H39" t="str">
            <v>Danske Invest Rahastoyhtiö Oy</v>
          </cell>
        </row>
        <row r="40">
          <cell r="B40" t="str">
            <v>06716026#088</v>
          </cell>
          <cell r="H40" t="str">
            <v>Danske Invest Rahastoyhtiö Oy</v>
          </cell>
        </row>
        <row r="41">
          <cell r="B41" t="str">
            <v>06716026#091</v>
          </cell>
          <cell r="H41" t="str">
            <v>Danske Invest Rahastoyhtiö Oy</v>
          </cell>
        </row>
        <row r="42">
          <cell r="B42" t="str">
            <v>06716026#093</v>
          </cell>
          <cell r="H42" t="str">
            <v>Danske Invest Rahastoyhtiö Oy</v>
          </cell>
        </row>
        <row r="43">
          <cell r="B43" t="str">
            <v>07360527#002</v>
          </cell>
          <cell r="H43" t="str">
            <v>eQ Rahastoyhtiö Oy</v>
          </cell>
        </row>
        <row r="44">
          <cell r="B44" t="str">
            <v>07360527#007</v>
          </cell>
          <cell r="H44" t="str">
            <v>eQ Rahastoyhtiö Oy</v>
          </cell>
        </row>
        <row r="45">
          <cell r="B45" t="str">
            <v>07360527#015</v>
          </cell>
          <cell r="H45" t="str">
            <v>eQ Rahastoyhtiö Oy</v>
          </cell>
        </row>
        <row r="46">
          <cell r="B46" t="str">
            <v>07360527#021</v>
          </cell>
          <cell r="H46" t="str">
            <v>eQ Rahastoyhtiö Oy</v>
          </cell>
        </row>
        <row r="47">
          <cell r="B47" t="str">
            <v>07360527#026</v>
          </cell>
          <cell r="H47" t="str">
            <v>eQ Rahastoyhtiö Oy</v>
          </cell>
        </row>
        <row r="48">
          <cell r="B48" t="str">
            <v>07360527#035</v>
          </cell>
          <cell r="H48" t="str">
            <v>eQ Rahastoyhtiö Oy</v>
          </cell>
        </row>
        <row r="49">
          <cell r="B49" t="str">
            <v>07360527#036</v>
          </cell>
          <cell r="H49" t="str">
            <v>eQ Rahastoyhtiö Oy</v>
          </cell>
        </row>
        <row r="50">
          <cell r="B50" t="str">
            <v>07360527#039</v>
          </cell>
          <cell r="H50" t="str">
            <v>eQ Rahastoyhtiö Oy</v>
          </cell>
        </row>
        <row r="51">
          <cell r="B51" t="str">
            <v>07360527#053</v>
          </cell>
          <cell r="H51" t="str">
            <v>eQ Rahastoyhtiö Oy</v>
          </cell>
        </row>
        <row r="52">
          <cell r="B52" t="str">
            <v>07360527#055</v>
          </cell>
          <cell r="H52" t="str">
            <v>eQ Rahastoyhtiö Oy</v>
          </cell>
        </row>
        <row r="53">
          <cell r="B53" t="str">
            <v>07360527#056</v>
          </cell>
          <cell r="H53" t="str">
            <v>eQ Rahastoyhtiö Oy</v>
          </cell>
        </row>
        <row r="54">
          <cell r="B54" t="str">
            <v>07360527#109</v>
          </cell>
          <cell r="H54" t="str">
            <v>eQ Rahastoyhtiö Oy</v>
          </cell>
        </row>
        <row r="55">
          <cell r="B55" t="str">
            <v>07360527#110</v>
          </cell>
          <cell r="H55" t="str">
            <v>eQ Rahastoyhtiö Oy</v>
          </cell>
        </row>
        <row r="56">
          <cell r="B56" t="str">
            <v>07360527#140</v>
          </cell>
          <cell r="H56" t="str">
            <v>eQ Rahastoyhtiö Oy</v>
          </cell>
        </row>
        <row r="57">
          <cell r="B57" t="str">
            <v>07439622#005</v>
          </cell>
          <cell r="H57" t="str">
            <v>OP-Rahastoyhtiö Oy</v>
          </cell>
        </row>
        <row r="58">
          <cell r="B58" t="str">
            <v>07439622#010</v>
          </cell>
          <cell r="H58" t="str">
            <v>OP-Rahastoyhtiö Oy</v>
          </cell>
        </row>
        <row r="59">
          <cell r="B59" t="str">
            <v>07439622#011</v>
          </cell>
          <cell r="H59" t="str">
            <v>OP-Rahastoyhtiö Oy</v>
          </cell>
        </row>
        <row r="60">
          <cell r="B60" t="str">
            <v>07439622#016</v>
          </cell>
          <cell r="H60" t="str">
            <v>OP-Rahastoyhtiö Oy</v>
          </cell>
        </row>
        <row r="61">
          <cell r="B61" t="str">
            <v>07439622#017</v>
          </cell>
          <cell r="H61" t="str">
            <v>OP-Rahastoyhtiö Oy</v>
          </cell>
        </row>
        <row r="62">
          <cell r="B62" t="str">
            <v>07439622#018</v>
          </cell>
          <cell r="H62" t="str">
            <v>OP-Rahastoyhtiö Oy</v>
          </cell>
        </row>
        <row r="63">
          <cell r="B63" t="str">
            <v>07439622#020</v>
          </cell>
          <cell r="H63" t="str">
            <v>OP-Rahastoyhtiö Oy</v>
          </cell>
        </row>
        <row r="64">
          <cell r="B64" t="str">
            <v>07439622#022</v>
          </cell>
          <cell r="H64" t="str">
            <v>OP-Rahastoyhtiö Oy</v>
          </cell>
        </row>
        <row r="65">
          <cell r="B65" t="str">
            <v>07439622#026</v>
          </cell>
          <cell r="H65" t="str">
            <v>OP-Rahastoyhtiö Oy</v>
          </cell>
        </row>
        <row r="66">
          <cell r="B66" t="str">
            <v>07439622#027</v>
          </cell>
          <cell r="H66" t="str">
            <v>OP-Rahastoyhtiö Oy</v>
          </cell>
        </row>
        <row r="67">
          <cell r="B67" t="str">
            <v>07439622#030</v>
          </cell>
          <cell r="H67" t="str">
            <v>OP-Rahastoyhtiö Oy</v>
          </cell>
        </row>
        <row r="68">
          <cell r="B68" t="str">
            <v>07439622#032</v>
          </cell>
          <cell r="H68" t="str">
            <v>OP-Rahastoyhtiö Oy</v>
          </cell>
        </row>
        <row r="69">
          <cell r="B69" t="str">
            <v>07439622#036</v>
          </cell>
          <cell r="H69" t="str">
            <v>OP-Rahastoyhtiö Oy</v>
          </cell>
        </row>
        <row r="70">
          <cell r="B70" t="str">
            <v>07439622#038</v>
          </cell>
          <cell r="H70" t="str">
            <v>OP-Rahastoyhtiö Oy</v>
          </cell>
        </row>
        <row r="71">
          <cell r="B71" t="str">
            <v>07439622#039</v>
          </cell>
          <cell r="H71" t="str">
            <v>OP-Rahastoyhtiö Oy</v>
          </cell>
        </row>
        <row r="72">
          <cell r="B72" t="str">
            <v>07439622#045</v>
          </cell>
          <cell r="H72" t="str">
            <v>OP-Rahastoyhtiö Oy</v>
          </cell>
        </row>
        <row r="73">
          <cell r="B73" t="str">
            <v>07439622#048</v>
          </cell>
          <cell r="H73" t="str">
            <v>OP-Rahastoyhtiö Oy</v>
          </cell>
        </row>
        <row r="74">
          <cell r="B74" t="str">
            <v>07439622#063</v>
          </cell>
          <cell r="H74" t="str">
            <v>OP-Rahastoyhtiö Oy</v>
          </cell>
        </row>
        <row r="75">
          <cell r="B75" t="str">
            <v>07439622#067</v>
          </cell>
          <cell r="H75" t="str">
            <v>OP-Rahastoyhtiö Oy</v>
          </cell>
        </row>
        <row r="76">
          <cell r="B76" t="str">
            <v>07439622#071</v>
          </cell>
          <cell r="H76" t="str">
            <v>OP-Rahastoyhtiö Oy</v>
          </cell>
        </row>
        <row r="77">
          <cell r="B77" t="str">
            <v>07439622#080</v>
          </cell>
          <cell r="H77" t="str">
            <v>OP-Rahastoyhtiö Oy</v>
          </cell>
        </row>
        <row r="78">
          <cell r="B78" t="str">
            <v>07439622#087</v>
          </cell>
          <cell r="H78" t="str">
            <v>OP-Rahastoyhtiö Oy</v>
          </cell>
        </row>
        <row r="79">
          <cell r="B79" t="str">
            <v>07439622#088</v>
          </cell>
          <cell r="H79" t="str">
            <v>OP-Rahastoyhtiö Oy</v>
          </cell>
        </row>
        <row r="80">
          <cell r="B80" t="str">
            <v>07439622#094</v>
          </cell>
          <cell r="H80" t="str">
            <v>OP-Rahastoyhtiö Oy</v>
          </cell>
        </row>
        <row r="81">
          <cell r="B81" t="str">
            <v>07439622#095</v>
          </cell>
          <cell r="H81" t="str">
            <v>OP-Rahastoyhtiö Oy</v>
          </cell>
        </row>
        <row r="82">
          <cell r="B82" t="str">
            <v>07439622#096</v>
          </cell>
          <cell r="H82" t="str">
            <v>OP-Rahastoyhtiö Oy</v>
          </cell>
        </row>
        <row r="83">
          <cell r="B83" t="str">
            <v>07439622#100</v>
          </cell>
          <cell r="H83" t="str">
            <v>OP-Rahastoyhtiö Oy</v>
          </cell>
        </row>
        <row r="84">
          <cell r="B84" t="str">
            <v>07439622#103</v>
          </cell>
          <cell r="H84" t="str">
            <v>OP-Rahastoyhtiö Oy</v>
          </cell>
        </row>
        <row r="85">
          <cell r="B85" t="str">
            <v>07439622#104</v>
          </cell>
          <cell r="H85" t="str">
            <v>OP-Rahastoyhtiö Oy</v>
          </cell>
        </row>
        <row r="86">
          <cell r="B86" t="str">
            <v>07439622#106</v>
          </cell>
          <cell r="H86" t="str">
            <v>OP-Rahastoyhtiö Oy</v>
          </cell>
        </row>
        <row r="87">
          <cell r="B87" t="str">
            <v>07439622#107</v>
          </cell>
          <cell r="H87" t="str">
            <v>OP-Rahastoyhtiö Oy</v>
          </cell>
        </row>
        <row r="88">
          <cell r="B88" t="str">
            <v>07439622#109</v>
          </cell>
          <cell r="H88" t="str">
            <v>OP-Rahastoyhtiö Oy</v>
          </cell>
        </row>
        <row r="89">
          <cell r="B89" t="str">
            <v>07439622#120</v>
          </cell>
          <cell r="H89" t="str">
            <v>OP-Rahastoyhtiö Oy</v>
          </cell>
        </row>
        <row r="90">
          <cell r="B90" t="str">
            <v>07439622#122</v>
          </cell>
          <cell r="H90" t="str">
            <v>OP-Rahastoyhtiö Oy</v>
          </cell>
        </row>
        <row r="91">
          <cell r="B91" t="str">
            <v>07439622#123</v>
          </cell>
          <cell r="H91" t="str">
            <v>OP-Rahastoyhtiö Oy</v>
          </cell>
        </row>
        <row r="92">
          <cell r="B92" t="str">
            <v>07439622#126</v>
          </cell>
          <cell r="H92" t="str">
            <v>OP-Rahastoyhtiö Oy</v>
          </cell>
        </row>
        <row r="93">
          <cell r="B93" t="str">
            <v>07439622#129</v>
          </cell>
          <cell r="H93" t="str">
            <v>OP-Rahastoyhtiö Oy</v>
          </cell>
        </row>
        <row r="94">
          <cell r="B94" t="str">
            <v>07439622#134</v>
          </cell>
          <cell r="H94" t="str">
            <v>OP-Rahastoyhtiö Oy</v>
          </cell>
        </row>
        <row r="95">
          <cell r="B95" t="str">
            <v>07439622#136</v>
          </cell>
          <cell r="H95" t="str">
            <v>OP-Rahastoyhtiö Oy</v>
          </cell>
        </row>
        <row r="96">
          <cell r="B96" t="str">
            <v>07439622#137</v>
          </cell>
          <cell r="H96" t="str">
            <v>OP-Rahastoyhtiö Oy</v>
          </cell>
        </row>
        <row r="97">
          <cell r="B97" t="str">
            <v>07439622#138</v>
          </cell>
          <cell r="H97" t="str">
            <v>OP-Rahastoyhtiö Oy</v>
          </cell>
        </row>
        <row r="98">
          <cell r="B98" t="str">
            <v>07439622#144</v>
          </cell>
          <cell r="H98" t="str">
            <v>OP-Rahastoyhtiö Oy</v>
          </cell>
        </row>
        <row r="99">
          <cell r="B99" t="str">
            <v>07439622#151</v>
          </cell>
          <cell r="H99" t="str">
            <v>OP-Rahastoyhtiö Oy</v>
          </cell>
        </row>
        <row r="100">
          <cell r="B100" t="str">
            <v>07439622#153</v>
          </cell>
          <cell r="H100" t="str">
            <v>OP-Rahastoyhtiö Oy</v>
          </cell>
        </row>
        <row r="101">
          <cell r="B101" t="str">
            <v>07446590#004</v>
          </cell>
          <cell r="H101" t="str">
            <v>Evli-Rahastoyhtiö Oy</v>
          </cell>
        </row>
        <row r="102">
          <cell r="B102" t="str">
            <v>07446590#006</v>
          </cell>
          <cell r="H102" t="str">
            <v>Evli-Rahastoyhtiö Oy</v>
          </cell>
        </row>
        <row r="103">
          <cell r="B103" t="str">
            <v>07446590#010</v>
          </cell>
          <cell r="H103" t="str">
            <v>Evli-Rahastoyhtiö Oy</v>
          </cell>
        </row>
        <row r="104">
          <cell r="B104" t="str">
            <v>07446590#011</v>
          </cell>
          <cell r="H104" t="str">
            <v>Evli-Rahastoyhtiö Oy</v>
          </cell>
        </row>
        <row r="105">
          <cell r="B105" t="str">
            <v>07446590#013</v>
          </cell>
          <cell r="H105" t="str">
            <v>Evli-Rahastoyhtiö Oy</v>
          </cell>
        </row>
        <row r="106">
          <cell r="B106" t="str">
            <v>07446590#016</v>
          </cell>
          <cell r="H106" t="str">
            <v>Evli-Rahastoyhtiö Oy</v>
          </cell>
        </row>
        <row r="107">
          <cell r="B107" t="str">
            <v>07446590#018</v>
          </cell>
          <cell r="H107" t="str">
            <v>Evli-Rahastoyhtiö Oy</v>
          </cell>
        </row>
        <row r="108">
          <cell r="B108" t="str">
            <v>07446590#020</v>
          </cell>
          <cell r="H108" t="str">
            <v>Evli-Rahastoyhtiö Oy</v>
          </cell>
        </row>
        <row r="109">
          <cell r="B109" t="str">
            <v>07446590#023</v>
          </cell>
          <cell r="H109" t="str">
            <v>Evli-Rahastoyhtiö Oy</v>
          </cell>
        </row>
        <row r="110">
          <cell r="B110" t="str">
            <v>07446590#025</v>
          </cell>
          <cell r="H110" t="str">
            <v>Evli-Rahastoyhtiö Oy</v>
          </cell>
        </row>
        <row r="111">
          <cell r="B111" t="str">
            <v>07446590#026</v>
          </cell>
          <cell r="H111" t="str">
            <v>Evli-Rahastoyhtiö Oy</v>
          </cell>
        </row>
        <row r="112">
          <cell r="B112" t="str">
            <v>07446590#031</v>
          </cell>
          <cell r="H112" t="str">
            <v>Evli-Rahastoyhtiö Oy</v>
          </cell>
        </row>
        <row r="113">
          <cell r="B113" t="str">
            <v>07446590#037</v>
          </cell>
          <cell r="H113" t="str">
            <v>Evli-Rahastoyhtiö Oy</v>
          </cell>
        </row>
        <row r="114">
          <cell r="B114" t="str">
            <v>07446590#042</v>
          </cell>
          <cell r="H114" t="str">
            <v>Evli-Rahastoyhtiö Oy</v>
          </cell>
        </row>
        <row r="115">
          <cell r="B115" t="str">
            <v>07446590#045</v>
          </cell>
          <cell r="H115" t="str">
            <v>Evli-Rahastoyhtiö Oy</v>
          </cell>
        </row>
        <row r="116">
          <cell r="B116" t="str">
            <v>07446590#054</v>
          </cell>
          <cell r="H116" t="str">
            <v>Evli-Rahastoyhtiö Oy</v>
          </cell>
        </row>
        <row r="117">
          <cell r="B117" t="str">
            <v>07446590#059</v>
          </cell>
          <cell r="H117" t="str">
            <v>Evli-Rahastoyhtiö Oy</v>
          </cell>
        </row>
        <row r="118">
          <cell r="B118" t="str">
            <v>07446590#060</v>
          </cell>
          <cell r="H118" t="str">
            <v>Evli-Rahastoyhtiö Oy</v>
          </cell>
        </row>
        <row r="119">
          <cell r="B119" t="str">
            <v>07446590#064</v>
          </cell>
          <cell r="H119" t="str">
            <v>Evli-Rahastoyhtiö Oy</v>
          </cell>
        </row>
        <row r="120">
          <cell r="B120" t="str">
            <v>07446590#065</v>
          </cell>
          <cell r="H120" t="str">
            <v>Evli-Rahastoyhtiö Oy</v>
          </cell>
        </row>
        <row r="121">
          <cell r="B121" t="str">
            <v>07446590#066</v>
          </cell>
          <cell r="H121" t="str">
            <v>Evli-Rahastoyhtiö Oy</v>
          </cell>
        </row>
        <row r="122">
          <cell r="B122" t="str">
            <v>07446590#073</v>
          </cell>
          <cell r="H122" t="str">
            <v>Evli-Rahastoyhtiö Oy</v>
          </cell>
        </row>
        <row r="123">
          <cell r="B123" t="str">
            <v>07446590#074</v>
          </cell>
          <cell r="H123" t="str">
            <v>Evli-Rahastoyhtiö Oy</v>
          </cell>
        </row>
        <row r="124">
          <cell r="B124" t="str">
            <v>07446590#076</v>
          </cell>
          <cell r="H124" t="str">
            <v>Evli-Rahastoyhtiö Oy</v>
          </cell>
        </row>
        <row r="125">
          <cell r="B125" t="str">
            <v>07446590#090</v>
          </cell>
          <cell r="H125" t="str">
            <v>Evli-Rahastoyhtiö Oy</v>
          </cell>
        </row>
        <row r="126">
          <cell r="B126" t="str">
            <v>07446590#103</v>
          </cell>
          <cell r="H126" t="str">
            <v>Evli-Rahastoyhtiö Oy</v>
          </cell>
        </row>
        <row r="127">
          <cell r="B127" t="str">
            <v>07446590#104</v>
          </cell>
          <cell r="H127" t="str">
            <v>Evli-Rahastoyhtiö Oy</v>
          </cell>
        </row>
        <row r="128">
          <cell r="B128" t="str">
            <v>07446590#105</v>
          </cell>
          <cell r="H128" t="str">
            <v>Evli-Rahastoyhtiö Oy</v>
          </cell>
        </row>
        <row r="129">
          <cell r="B129" t="str">
            <v>07446590#119</v>
          </cell>
          <cell r="H129" t="str">
            <v>Evli-Rahastoyhtiö Oy</v>
          </cell>
        </row>
        <row r="130">
          <cell r="B130" t="str">
            <v>07446590#120</v>
          </cell>
          <cell r="H130" t="str">
            <v>Evli-Rahastoyhtiö Oy</v>
          </cell>
        </row>
        <row r="131">
          <cell r="B131" t="str">
            <v>07446590#121</v>
          </cell>
          <cell r="H131" t="str">
            <v>Evli-Rahastoyhtiö Oy</v>
          </cell>
        </row>
        <row r="132">
          <cell r="B132" t="str">
            <v>07446590#125</v>
          </cell>
          <cell r="H132" t="str">
            <v>Evli-Rahastoyhtiö Oy</v>
          </cell>
        </row>
        <row r="133">
          <cell r="B133" t="str">
            <v>07446590#126</v>
          </cell>
          <cell r="H133" t="str">
            <v>Evli-Rahastoyhtiö Oy</v>
          </cell>
        </row>
        <row r="134">
          <cell r="B134" t="str">
            <v>07446590#130</v>
          </cell>
          <cell r="H134" t="str">
            <v>Evli-Rahastoyhtiö Oy</v>
          </cell>
        </row>
        <row r="135">
          <cell r="B135" t="str">
            <v>07446590#133</v>
          </cell>
          <cell r="H135" t="str">
            <v>Evli-Rahastoyhtiö Oy</v>
          </cell>
        </row>
        <row r="136">
          <cell r="B136" t="str">
            <v>07446590#176</v>
          </cell>
          <cell r="H136" t="str">
            <v>Evli-Rahastoyhtiö Oy</v>
          </cell>
        </row>
        <row r="137">
          <cell r="B137" t="str">
            <v>07446590#177</v>
          </cell>
          <cell r="H137" t="str">
            <v>Evli-Rahastoyhtiö Oy</v>
          </cell>
        </row>
        <row r="138">
          <cell r="B138" t="str">
            <v>07446590#187</v>
          </cell>
          <cell r="H138" t="str">
            <v>Evli-Rahastoyhtiö Oy</v>
          </cell>
        </row>
        <row r="139">
          <cell r="B139" t="str">
            <v>08996885#001</v>
          </cell>
          <cell r="H139" t="str">
            <v>Fondbolaget Fondita Ab</v>
          </cell>
        </row>
        <row r="140">
          <cell r="B140" t="str">
            <v>08996885#002</v>
          </cell>
          <cell r="H140" t="str">
            <v>Fondbolaget Fondita Ab</v>
          </cell>
        </row>
        <row r="141">
          <cell r="B141" t="str">
            <v>08996885#003</v>
          </cell>
          <cell r="H141" t="str">
            <v>Fondbolaget Fondita Ab</v>
          </cell>
        </row>
        <row r="142">
          <cell r="B142" t="str">
            <v>08996885#004</v>
          </cell>
          <cell r="H142" t="str">
            <v>Fondbolaget Fondita Ab</v>
          </cell>
        </row>
        <row r="143">
          <cell r="B143" t="str">
            <v>08996885#005</v>
          </cell>
          <cell r="H143" t="str">
            <v>Fondbolaget Fondita Ab</v>
          </cell>
        </row>
        <row r="144">
          <cell r="B144" t="str">
            <v>08996885#006</v>
          </cell>
          <cell r="H144" t="str">
            <v>Fondbolaget Fondita Ab</v>
          </cell>
        </row>
        <row r="145">
          <cell r="B145" t="str">
            <v>08996885#007</v>
          </cell>
          <cell r="H145" t="str">
            <v>Fondbolaget Fondita Ab</v>
          </cell>
        </row>
        <row r="146">
          <cell r="B146" t="str">
            <v>08996885#008</v>
          </cell>
          <cell r="H146" t="str">
            <v>Fondbolaget Fondita Ab</v>
          </cell>
        </row>
        <row r="147">
          <cell r="B147" t="str">
            <v>09791339#001</v>
          </cell>
          <cell r="H147" t="str">
            <v>S-Pankki Rahastoyhtiö Oy</v>
          </cell>
        </row>
        <row r="148">
          <cell r="B148" t="str">
            <v>09791339#002</v>
          </cell>
          <cell r="H148" t="str">
            <v>S-Pankki Rahastoyhtiö Oy</v>
          </cell>
        </row>
        <row r="149">
          <cell r="B149" t="str">
            <v>09791339#004</v>
          </cell>
          <cell r="H149" t="str">
            <v>S-Pankki Rahastoyhtiö Oy</v>
          </cell>
        </row>
        <row r="150">
          <cell r="B150" t="str">
            <v>09791339#005</v>
          </cell>
          <cell r="H150" t="str">
            <v>S-Pankki Rahastoyhtiö Oy</v>
          </cell>
        </row>
        <row r="151">
          <cell r="B151" t="str">
            <v>09791339#008</v>
          </cell>
          <cell r="H151" t="str">
            <v>S-Pankki Rahastoyhtiö Oy</v>
          </cell>
        </row>
        <row r="152">
          <cell r="B152" t="str">
            <v>09791339#009</v>
          </cell>
          <cell r="H152" t="str">
            <v>S-Pankki Rahastoyhtiö Oy</v>
          </cell>
        </row>
        <row r="153">
          <cell r="B153" t="str">
            <v>09791339#011</v>
          </cell>
          <cell r="H153" t="str">
            <v>S-Pankki Rahastoyhtiö Oy</v>
          </cell>
        </row>
        <row r="154">
          <cell r="B154" t="str">
            <v>09791339#018</v>
          </cell>
          <cell r="H154" t="str">
            <v>S-Pankki Rahastoyhtiö Oy</v>
          </cell>
        </row>
        <row r="155">
          <cell r="B155" t="str">
            <v>09791339#025</v>
          </cell>
          <cell r="H155" t="str">
            <v>S-Pankki Rahastoyhtiö Oy</v>
          </cell>
        </row>
        <row r="156">
          <cell r="B156" t="str">
            <v>09791339#026</v>
          </cell>
          <cell r="H156" t="str">
            <v>S-Pankki Rahastoyhtiö Oy</v>
          </cell>
        </row>
        <row r="157">
          <cell r="B157" t="str">
            <v>09791339#027</v>
          </cell>
          <cell r="H157" t="str">
            <v>S-Pankki Rahastoyhtiö Oy</v>
          </cell>
        </row>
        <row r="158">
          <cell r="B158" t="str">
            <v>09791339#033</v>
          </cell>
          <cell r="H158" t="str">
            <v>S-Pankki Rahastoyhtiö Oy</v>
          </cell>
        </row>
        <row r="159">
          <cell r="B159" t="str">
            <v>09791339#034</v>
          </cell>
          <cell r="H159" t="str">
            <v>S-Pankki Rahastoyhtiö Oy</v>
          </cell>
        </row>
        <row r="160">
          <cell r="B160" t="str">
            <v>09791339#035</v>
          </cell>
          <cell r="H160" t="str">
            <v>S-Pankki Rahastoyhtiö Oy</v>
          </cell>
        </row>
        <row r="161">
          <cell r="B161" t="str">
            <v>09791339#037</v>
          </cell>
          <cell r="H161" t="str">
            <v>S-Pankki Rahastoyhtiö Oy</v>
          </cell>
        </row>
        <row r="162">
          <cell r="B162" t="str">
            <v>09791339#042</v>
          </cell>
          <cell r="H162" t="str">
            <v>S-Pankki Rahastoyhtiö Oy</v>
          </cell>
        </row>
        <row r="163">
          <cell r="B163" t="str">
            <v>09791339#080</v>
          </cell>
          <cell r="H163" t="str">
            <v>S-Pankki Rahastoyhtiö Oy</v>
          </cell>
        </row>
        <row r="164">
          <cell r="B164" t="str">
            <v>09791339#081</v>
          </cell>
          <cell r="H164" t="str">
            <v>S-Pankki Rahastoyhtiö Oy</v>
          </cell>
        </row>
        <row r="165">
          <cell r="B165" t="str">
            <v>09791339#085</v>
          </cell>
          <cell r="H165" t="str">
            <v>S-Pankki Rahastoyhtiö Oy</v>
          </cell>
        </row>
        <row r="166">
          <cell r="B166" t="str">
            <v>09791339#088</v>
          </cell>
          <cell r="H166" t="str">
            <v>S-Pankki Rahastoyhtiö Oy</v>
          </cell>
        </row>
        <row r="167">
          <cell r="B167" t="str">
            <v>09791339#089</v>
          </cell>
          <cell r="H167" t="str">
            <v>S-Pankki Rahastoyhtiö Oy</v>
          </cell>
        </row>
        <row r="168">
          <cell r="B168" t="str">
            <v>09791339#114</v>
          </cell>
          <cell r="H168" t="str">
            <v>S-Pankki Rahastoyhtiö Oy</v>
          </cell>
        </row>
        <row r="169">
          <cell r="B169" t="str">
            <v>10932901#003</v>
          </cell>
          <cell r="H169" t="str">
            <v>Seligson &amp; Co Rahastoyhtiö Oyj</v>
          </cell>
        </row>
        <row r="170">
          <cell r="B170" t="str">
            <v>10932901#004</v>
          </cell>
          <cell r="H170" t="str">
            <v>Seligson &amp; Co Rahastoyhtiö Oyj</v>
          </cell>
        </row>
        <row r="171">
          <cell r="B171" t="str">
            <v>10932901#007</v>
          </cell>
          <cell r="H171" t="str">
            <v>Seligson &amp; Co Rahastoyhtiö Oyj</v>
          </cell>
        </row>
        <row r="172">
          <cell r="B172" t="str">
            <v>10932901#009</v>
          </cell>
          <cell r="H172" t="str">
            <v>Seligson &amp; Co Rahastoyhtiö Oyj</v>
          </cell>
        </row>
        <row r="173">
          <cell r="B173" t="str">
            <v>10932901#012</v>
          </cell>
          <cell r="H173" t="str">
            <v>Seligson &amp; Co Rahastoyhtiö Oyj</v>
          </cell>
        </row>
        <row r="174">
          <cell r="B174" t="str">
            <v>10932901#013</v>
          </cell>
          <cell r="H174" t="str">
            <v>Seligson &amp; Co Rahastoyhtiö Oyj</v>
          </cell>
        </row>
        <row r="175">
          <cell r="B175" t="str">
            <v>10932901#014</v>
          </cell>
          <cell r="H175" t="str">
            <v>Seligson &amp; Co Rahastoyhtiö Oyj</v>
          </cell>
        </row>
        <row r="176">
          <cell r="B176" t="str">
            <v>10932901#016</v>
          </cell>
          <cell r="H176" t="str">
            <v>Seligson &amp; Co Rahastoyhtiö Oyj</v>
          </cell>
        </row>
        <row r="177">
          <cell r="B177" t="str">
            <v>10932901#017</v>
          </cell>
          <cell r="H177" t="str">
            <v>Seligson &amp; Co Rahastoyhtiö Oyj</v>
          </cell>
        </row>
        <row r="178">
          <cell r="B178" t="str">
            <v>10932901#027</v>
          </cell>
          <cell r="H178" t="str">
            <v>Seligson &amp; Co Rahastoyhtiö Oyj</v>
          </cell>
        </row>
        <row r="179">
          <cell r="B179" t="str">
            <v>10932901#028</v>
          </cell>
          <cell r="H179" t="str">
            <v>Seligson &amp; Co Rahastoyhtiö Oyj</v>
          </cell>
        </row>
        <row r="180">
          <cell r="B180" t="str">
            <v>10932901#029</v>
          </cell>
          <cell r="H180" t="str">
            <v>Seligson &amp; Co Rahastoyhtiö Oyj</v>
          </cell>
        </row>
        <row r="181">
          <cell r="B181" t="str">
            <v>10932901#031</v>
          </cell>
          <cell r="H181" t="str">
            <v>Seligson &amp; Co Rahastoyhtiö Oyj</v>
          </cell>
        </row>
        <row r="182">
          <cell r="B182" t="str">
            <v>10932901#032</v>
          </cell>
          <cell r="H182" t="str">
            <v>Seligson &amp; Co Rahastoyhtiö Oyj</v>
          </cell>
        </row>
        <row r="183">
          <cell r="B183" t="str">
            <v>10932901#033</v>
          </cell>
          <cell r="H183" t="str">
            <v>Seligson &amp; Co Rahastoyhtiö Oyj</v>
          </cell>
        </row>
        <row r="184">
          <cell r="B184" t="str">
            <v>10932901#034</v>
          </cell>
          <cell r="H184" t="str">
            <v>Seligson &amp; Co Rahastoyhtiö Oyj</v>
          </cell>
        </row>
        <row r="185">
          <cell r="B185" t="str">
            <v>10932901#035</v>
          </cell>
          <cell r="H185" t="str">
            <v>Seligson &amp; Co Rahastoyhtiö Oyj</v>
          </cell>
        </row>
        <row r="186">
          <cell r="B186" t="str">
            <v>10932901#036</v>
          </cell>
          <cell r="H186" t="str">
            <v>Seligson &amp; Co Rahastoyhtiö Oyj</v>
          </cell>
        </row>
        <row r="187">
          <cell r="B187" t="str">
            <v>10932901#037</v>
          </cell>
          <cell r="H187" t="str">
            <v>Seligson &amp; Co Rahastoyhtiö Oyj</v>
          </cell>
        </row>
        <row r="188">
          <cell r="B188" t="str">
            <v>10932901#038</v>
          </cell>
          <cell r="H188" t="str">
            <v>Seligson &amp; Co Rahastoyhtiö Oyj</v>
          </cell>
        </row>
        <row r="189">
          <cell r="B189" t="str">
            <v>10932901#039</v>
          </cell>
          <cell r="H189" t="str">
            <v>Seligson &amp; Co Rahastoyhtiö Oyj</v>
          </cell>
        </row>
        <row r="190">
          <cell r="B190" t="str">
            <v>10932901#040</v>
          </cell>
          <cell r="H190" t="str">
            <v>Seligson &amp; Co Rahastoyhtiö Oyj</v>
          </cell>
        </row>
        <row r="191">
          <cell r="B191" t="str">
            <v>10932901#041</v>
          </cell>
          <cell r="H191" t="str">
            <v>Seligson &amp; Co Rahastoyhtiö Oyj</v>
          </cell>
        </row>
        <row r="192">
          <cell r="B192" t="str">
            <v>10932901#043</v>
          </cell>
          <cell r="H192" t="str">
            <v>Seligson &amp; Co Rahastoyhtiö Oyj</v>
          </cell>
        </row>
        <row r="193">
          <cell r="B193" t="str">
            <v>10932901#044</v>
          </cell>
          <cell r="H193" t="str">
            <v>Seligson &amp; Co Rahastoyhtiö Oyj</v>
          </cell>
        </row>
        <row r="194">
          <cell r="B194" t="str">
            <v>10932901#045</v>
          </cell>
          <cell r="H194" t="str">
            <v>Seligson &amp; Co Rahastoyhtiö Oyj</v>
          </cell>
        </row>
        <row r="195">
          <cell r="B195" t="str">
            <v>10932901#046</v>
          </cell>
          <cell r="H195" t="str">
            <v>Seligson &amp; Co Rahastoyhtiö Oyj</v>
          </cell>
        </row>
        <row r="196">
          <cell r="B196" t="str">
            <v>10932901#047</v>
          </cell>
          <cell r="H196" t="str">
            <v>Seligson &amp; Co Rahastoyhtiö Oyj</v>
          </cell>
        </row>
        <row r="197">
          <cell r="B197" t="str">
            <v>10932901#048</v>
          </cell>
          <cell r="H197" t="str">
            <v>Seligson &amp; Co Rahastoyhtiö Oyj</v>
          </cell>
        </row>
        <row r="198">
          <cell r="B198" t="str">
            <v>10932901#049</v>
          </cell>
          <cell r="H198" t="str">
            <v>Seligson &amp; Co Rahastoyhtiö Oyj</v>
          </cell>
        </row>
        <row r="199">
          <cell r="B199" t="str">
            <v>10932901#050</v>
          </cell>
          <cell r="H199" t="str">
            <v>Seligson &amp; Co Rahastoyhtiö Oyj</v>
          </cell>
        </row>
        <row r="200">
          <cell r="B200" t="str">
            <v>10932901#051</v>
          </cell>
          <cell r="H200" t="str">
            <v>Seligson &amp; Co Rahastoyhtiö Oyj</v>
          </cell>
        </row>
        <row r="201">
          <cell r="B201" t="str">
            <v>10932901#052</v>
          </cell>
          <cell r="H201" t="str">
            <v>Seligson &amp; Co Rahastoyhtiö Oyj</v>
          </cell>
        </row>
        <row r="202">
          <cell r="B202" t="str">
            <v>10932901#053</v>
          </cell>
          <cell r="H202" t="str">
            <v>Seligson &amp; Co Rahastoyhtiö Oyj</v>
          </cell>
        </row>
        <row r="203">
          <cell r="B203" t="str">
            <v>10932901#054</v>
          </cell>
          <cell r="H203" t="str">
            <v>Seligson &amp; Co Rahastoyhtiö Oyj</v>
          </cell>
        </row>
        <row r="204">
          <cell r="B204" t="str">
            <v>10932901#055</v>
          </cell>
          <cell r="H204" t="str">
            <v>Seligson &amp; Co Rahastoyhtiö Oyj</v>
          </cell>
        </row>
        <row r="205">
          <cell r="B205" t="str">
            <v>10932901#056</v>
          </cell>
          <cell r="H205" t="str">
            <v>Seligson &amp; Co Rahastoyhtiö Oyj</v>
          </cell>
        </row>
        <row r="206">
          <cell r="B206" t="str">
            <v>10932901#057</v>
          </cell>
          <cell r="H206" t="str">
            <v>Seligson &amp; Co Rahastoyhtiö Oyj</v>
          </cell>
        </row>
        <row r="207">
          <cell r="B207" t="str">
            <v>10932901#058</v>
          </cell>
          <cell r="H207" t="str">
            <v>Seligson &amp; Co Rahastoyhtiö Oyj</v>
          </cell>
        </row>
        <row r="208">
          <cell r="B208" t="str">
            <v>10932901#059</v>
          </cell>
          <cell r="H208" t="str">
            <v>Seligson &amp; Co Rahastoyhtiö Oyj</v>
          </cell>
        </row>
        <row r="209">
          <cell r="B209" t="str">
            <v>10932901#060</v>
          </cell>
          <cell r="H209" t="str">
            <v>Seligson &amp; Co Rahastoyhtiö Oyj</v>
          </cell>
        </row>
        <row r="210">
          <cell r="B210" t="str">
            <v>10932901#061</v>
          </cell>
          <cell r="H210" t="str">
            <v>Seligson &amp; Co Rahastoyhtiö Oyj</v>
          </cell>
        </row>
        <row r="211">
          <cell r="B211" t="str">
            <v>10932901#062</v>
          </cell>
          <cell r="H211" t="str">
            <v>Seligson &amp; Co Rahastoyhtiö Oyj</v>
          </cell>
        </row>
        <row r="212">
          <cell r="B212" t="str">
            <v>10932901#067</v>
          </cell>
          <cell r="H212" t="str">
            <v>Seligson &amp; Co Rahastoyhtiö Oyj</v>
          </cell>
        </row>
        <row r="213">
          <cell r="B213" t="str">
            <v>10932901#068</v>
          </cell>
          <cell r="H213" t="str">
            <v>Seligson &amp; Co Rahastoyhtiö Oyj</v>
          </cell>
        </row>
        <row r="214">
          <cell r="B214" t="str">
            <v>10932901#069</v>
          </cell>
          <cell r="H214" t="str">
            <v>Seligson &amp; Co Rahastoyhtiö Oyj</v>
          </cell>
        </row>
        <row r="215">
          <cell r="B215" t="str">
            <v>10932901#070</v>
          </cell>
          <cell r="H215" t="str">
            <v>Seligson &amp; Co Rahastoyhtiö Oyj</v>
          </cell>
        </row>
        <row r="216">
          <cell r="B216" t="str">
            <v>10932901#071</v>
          </cell>
          <cell r="H216" t="str">
            <v>Seligson &amp; Co Rahastoyhtiö Oyj</v>
          </cell>
        </row>
        <row r="217">
          <cell r="B217" t="str">
            <v>10932901#072</v>
          </cell>
          <cell r="H217" t="str">
            <v>Seligson &amp; Co Rahastoyhtiö Oyj</v>
          </cell>
        </row>
        <row r="218">
          <cell r="B218" t="str">
            <v>10932901#073</v>
          </cell>
          <cell r="H218" t="str">
            <v>Seligson &amp; Co Rahastoyhtiö Oyj</v>
          </cell>
        </row>
        <row r="219">
          <cell r="B219" t="str">
            <v>10932901#074</v>
          </cell>
          <cell r="H219" t="str">
            <v>Seligson &amp; Co Rahastoyhtiö Oyj</v>
          </cell>
        </row>
        <row r="220">
          <cell r="B220" t="str">
            <v>14713626#001</v>
          </cell>
          <cell r="H220" t="str">
            <v>Ålandsbanken Fondbolag Ab</v>
          </cell>
        </row>
        <row r="221">
          <cell r="B221" t="str">
            <v>14713626#005</v>
          </cell>
          <cell r="H221" t="str">
            <v>Ålandsbanken Fondbolag Ab</v>
          </cell>
        </row>
        <row r="222">
          <cell r="B222" t="str">
            <v>14713626#008</v>
          </cell>
          <cell r="H222" t="str">
            <v>Ålandsbanken Fondbolag Ab</v>
          </cell>
        </row>
        <row r="223">
          <cell r="B223" t="str">
            <v>14713626#010</v>
          </cell>
          <cell r="H223" t="str">
            <v>Ålandsbanken Fondbolag Ab</v>
          </cell>
        </row>
        <row r="224">
          <cell r="B224" t="str">
            <v>14713626#012</v>
          </cell>
          <cell r="H224" t="str">
            <v>Ålandsbanken Fondbolag Ab</v>
          </cell>
        </row>
        <row r="225">
          <cell r="B225" t="str">
            <v>14713626#025</v>
          </cell>
          <cell r="H225" t="str">
            <v>Ålandsbanken Fondbolag Ab</v>
          </cell>
        </row>
        <row r="226">
          <cell r="B226" t="str">
            <v>14713626#042</v>
          </cell>
          <cell r="H226" t="str">
            <v>Ålandsbanken Fondbolag Ab</v>
          </cell>
        </row>
        <row r="227">
          <cell r="B227" t="str">
            <v>14713626#045</v>
          </cell>
          <cell r="H227" t="str">
            <v>Ålandsbanken Fondbolag Ab</v>
          </cell>
        </row>
        <row r="228">
          <cell r="B228" t="str">
            <v>14713626#046</v>
          </cell>
          <cell r="H228" t="str">
            <v>Ålandsbanken Fondbolag Ab</v>
          </cell>
        </row>
        <row r="229">
          <cell r="B229" t="str">
            <v>14713626#052</v>
          </cell>
          <cell r="H229" t="str">
            <v>Ålandsbanken Fondbolag Ab</v>
          </cell>
        </row>
        <row r="230">
          <cell r="B230" t="str">
            <v>14713626#053</v>
          </cell>
          <cell r="H230" t="str">
            <v>Ålandsbanken Fondbolag Ab</v>
          </cell>
        </row>
        <row r="231">
          <cell r="B231" t="str">
            <v>16039364#001</v>
          </cell>
          <cell r="H231" t="str">
            <v>Alexandria Rahastoyhtiö Oy</v>
          </cell>
        </row>
        <row r="232">
          <cell r="B232" t="str">
            <v>16039364#002</v>
          </cell>
          <cell r="H232" t="str">
            <v>Alexandria Rahastoyhtiö Oy</v>
          </cell>
        </row>
        <row r="233">
          <cell r="B233" t="str">
            <v>16039364#003</v>
          </cell>
          <cell r="H233" t="str">
            <v>Alexandria Rahastoyhtiö Oy</v>
          </cell>
        </row>
        <row r="234">
          <cell r="B234" t="str">
            <v>16039364#004</v>
          </cell>
          <cell r="H234" t="str">
            <v>Alexandria Rahastoyhtiö Oy</v>
          </cell>
        </row>
        <row r="235">
          <cell r="B235" t="str">
            <v>16039364#005</v>
          </cell>
          <cell r="H235" t="str">
            <v>Alexandria Rahastoyhtiö Oy</v>
          </cell>
        </row>
        <row r="236">
          <cell r="B236" t="str">
            <v>16039364#012</v>
          </cell>
          <cell r="H236" t="str">
            <v>Alexandria Rahastoyhtiö Oy</v>
          </cell>
        </row>
        <row r="237">
          <cell r="B237" t="str">
            <v>17377859#001</v>
          </cell>
          <cell r="H237" t="str">
            <v>Nordea Funds Oy</v>
          </cell>
        </row>
        <row r="238">
          <cell r="B238" t="str">
            <v>17377859#004</v>
          </cell>
          <cell r="H238" t="str">
            <v>Nordea Funds Oy</v>
          </cell>
        </row>
        <row r="239">
          <cell r="B239" t="str">
            <v>17377859#007</v>
          </cell>
          <cell r="H239" t="str">
            <v>Nordea Funds Oy</v>
          </cell>
        </row>
        <row r="240">
          <cell r="B240" t="str">
            <v>17377859#009</v>
          </cell>
          <cell r="H240" t="str">
            <v>Nordea Funds Oy</v>
          </cell>
        </row>
        <row r="241">
          <cell r="B241" t="str">
            <v>17377859#011</v>
          </cell>
          <cell r="H241" t="str">
            <v>Nordea Funds Oy</v>
          </cell>
        </row>
        <row r="242">
          <cell r="B242" t="str">
            <v>17377859#012</v>
          </cell>
          <cell r="H242" t="str">
            <v>Nordea Funds Oy</v>
          </cell>
        </row>
        <row r="243">
          <cell r="B243" t="str">
            <v>17377859#013</v>
          </cell>
          <cell r="H243" t="str">
            <v>Nordea Funds Oy</v>
          </cell>
        </row>
        <row r="244">
          <cell r="B244" t="str">
            <v>17377859#015</v>
          </cell>
          <cell r="H244" t="str">
            <v>Nordea Funds Oy</v>
          </cell>
        </row>
        <row r="245">
          <cell r="B245" t="str">
            <v>17377859#021</v>
          </cell>
          <cell r="H245" t="str">
            <v>Nordea Funds Oy</v>
          </cell>
        </row>
        <row r="246">
          <cell r="B246" t="str">
            <v>17377859#022</v>
          </cell>
          <cell r="H246" t="str">
            <v>Nordea Funds Oy</v>
          </cell>
        </row>
        <row r="247">
          <cell r="B247" t="str">
            <v>17377859#023</v>
          </cell>
          <cell r="H247" t="str">
            <v>Nordea Funds Oy</v>
          </cell>
        </row>
        <row r="248">
          <cell r="B248" t="str">
            <v>17377859#026</v>
          </cell>
          <cell r="H248" t="str">
            <v>Nordea Funds Oy</v>
          </cell>
        </row>
        <row r="249">
          <cell r="B249" t="str">
            <v>17377859#029</v>
          </cell>
          <cell r="H249" t="str">
            <v>Nordea Funds Oy</v>
          </cell>
        </row>
        <row r="250">
          <cell r="B250" t="str">
            <v>17377859#031</v>
          </cell>
          <cell r="H250" t="str">
            <v>Nordea Funds Oy</v>
          </cell>
        </row>
        <row r="251">
          <cell r="B251" t="str">
            <v>17377859#036</v>
          </cell>
          <cell r="H251" t="str">
            <v>Nordea Funds Oy</v>
          </cell>
        </row>
        <row r="252">
          <cell r="B252" t="str">
            <v>17377859#041</v>
          </cell>
          <cell r="H252" t="str">
            <v>Nordea Funds Oy</v>
          </cell>
        </row>
        <row r="253">
          <cell r="B253" t="str">
            <v>17377859#045</v>
          </cell>
          <cell r="H253" t="str">
            <v>Nordea Funds Oy</v>
          </cell>
        </row>
        <row r="254">
          <cell r="B254" t="str">
            <v>17377859#046</v>
          </cell>
          <cell r="H254" t="str">
            <v>Nordea Funds Oy</v>
          </cell>
        </row>
        <row r="255">
          <cell r="B255" t="str">
            <v>17377859#047</v>
          </cell>
          <cell r="H255" t="str">
            <v>Nordea Funds Oy</v>
          </cell>
        </row>
        <row r="256">
          <cell r="B256" t="str">
            <v>17377859#048</v>
          </cell>
          <cell r="H256" t="str">
            <v>Nordea Funds Oy</v>
          </cell>
        </row>
        <row r="257">
          <cell r="B257" t="str">
            <v>17377859#049</v>
          </cell>
          <cell r="H257" t="str">
            <v>Nordea Funds Oy</v>
          </cell>
        </row>
        <row r="258">
          <cell r="B258" t="str">
            <v>17377859#051</v>
          </cell>
          <cell r="H258" t="str">
            <v>Nordea Funds Oy</v>
          </cell>
        </row>
        <row r="259">
          <cell r="B259" t="str">
            <v>17377859#053</v>
          </cell>
          <cell r="H259" t="str">
            <v>Nordea Funds Oy</v>
          </cell>
        </row>
        <row r="260">
          <cell r="B260" t="str">
            <v>17377859#054</v>
          </cell>
          <cell r="H260" t="str">
            <v>Nordea Funds Oy</v>
          </cell>
        </row>
        <row r="261">
          <cell r="B261" t="str">
            <v>17377859#058</v>
          </cell>
          <cell r="H261" t="str">
            <v>Nordea Funds Oy</v>
          </cell>
        </row>
        <row r="262">
          <cell r="B262" t="str">
            <v>17377859#059</v>
          </cell>
          <cell r="H262" t="str">
            <v>Nordea Funds Oy</v>
          </cell>
        </row>
        <row r="263">
          <cell r="B263" t="str">
            <v>17377859#062</v>
          </cell>
          <cell r="H263" t="str">
            <v>Nordea Funds Oy</v>
          </cell>
        </row>
        <row r="264">
          <cell r="B264" t="str">
            <v>17377859#063</v>
          </cell>
          <cell r="H264" t="str">
            <v>Nordea Funds Oy</v>
          </cell>
        </row>
        <row r="265">
          <cell r="B265" t="str">
            <v>17377859#064</v>
          </cell>
          <cell r="H265" t="str">
            <v>Nordea Funds Oy</v>
          </cell>
        </row>
        <row r="266">
          <cell r="B266" t="str">
            <v>17377859#068</v>
          </cell>
          <cell r="H266" t="str">
            <v>Nordea Funds Oy</v>
          </cell>
        </row>
        <row r="267">
          <cell r="B267" t="str">
            <v>17377859#080</v>
          </cell>
          <cell r="H267" t="str">
            <v>Nordea Funds Oy</v>
          </cell>
        </row>
        <row r="268">
          <cell r="B268" t="str">
            <v>17377859#081</v>
          </cell>
          <cell r="H268" t="str">
            <v>Nordea Funds Oy</v>
          </cell>
        </row>
        <row r="269">
          <cell r="B269" t="str">
            <v>17377859#083</v>
          </cell>
          <cell r="H269" t="str">
            <v>Nordea Funds Oy</v>
          </cell>
        </row>
        <row r="270">
          <cell r="B270" t="str">
            <v>17377859#084</v>
          </cell>
          <cell r="H270" t="str">
            <v>Nordea Funds Oy</v>
          </cell>
        </row>
        <row r="271">
          <cell r="B271" t="str">
            <v>17377859#085</v>
          </cell>
          <cell r="H271" t="str">
            <v>Nordea Funds Oy</v>
          </cell>
        </row>
        <row r="272">
          <cell r="B272" t="str">
            <v>17377859#086</v>
          </cell>
          <cell r="H272" t="str">
            <v>Nordea Funds Oy</v>
          </cell>
        </row>
        <row r="273">
          <cell r="B273" t="str">
            <v>17377859#087</v>
          </cell>
          <cell r="H273" t="str">
            <v>Nordea Funds Oy</v>
          </cell>
        </row>
        <row r="274">
          <cell r="B274" t="str">
            <v>17377859#088</v>
          </cell>
          <cell r="H274" t="str">
            <v>Nordea Funds Oy</v>
          </cell>
        </row>
        <row r="275">
          <cell r="B275" t="str">
            <v>17377859#094</v>
          </cell>
          <cell r="H275" t="str">
            <v>Nordea Funds Oy</v>
          </cell>
        </row>
        <row r="276">
          <cell r="B276" t="str">
            <v>17377859#095</v>
          </cell>
          <cell r="H276" t="str">
            <v>Nordea Funds Oy</v>
          </cell>
        </row>
        <row r="277">
          <cell r="B277" t="str">
            <v>17377859#097</v>
          </cell>
          <cell r="H277" t="str">
            <v>Nordea Funds Oy</v>
          </cell>
        </row>
        <row r="278">
          <cell r="B278" t="str">
            <v>17377859#103</v>
          </cell>
          <cell r="H278" t="str">
            <v>Nordea Funds Oy</v>
          </cell>
        </row>
        <row r="279">
          <cell r="B279" t="str">
            <v>17377859#104</v>
          </cell>
          <cell r="H279" t="str">
            <v>Nordea Funds Oy</v>
          </cell>
        </row>
        <row r="280">
          <cell r="B280" t="str">
            <v>17377859#105</v>
          </cell>
          <cell r="H280" t="str">
            <v>Nordea Funds Oy</v>
          </cell>
        </row>
        <row r="281">
          <cell r="B281" t="str">
            <v>17377859#106</v>
          </cell>
          <cell r="H281" t="str">
            <v>Nordea Funds Oy</v>
          </cell>
        </row>
        <row r="282">
          <cell r="B282" t="str">
            <v>17377859#108</v>
          </cell>
          <cell r="H282" t="str">
            <v>Nordea Funds Oy</v>
          </cell>
        </row>
        <row r="283">
          <cell r="B283" t="str">
            <v>17377859#200</v>
          </cell>
          <cell r="H283" t="str">
            <v>Nordea Funds Oy</v>
          </cell>
        </row>
        <row r="284">
          <cell r="B284" t="str">
            <v>17377859#201</v>
          </cell>
          <cell r="H284" t="str">
            <v>Nordea Funds Oy</v>
          </cell>
        </row>
        <row r="285">
          <cell r="B285" t="str">
            <v>17377859#202</v>
          </cell>
          <cell r="H285" t="str">
            <v>Nordea Funds Oy</v>
          </cell>
        </row>
        <row r="286">
          <cell r="B286" t="str">
            <v>17377859#204</v>
          </cell>
          <cell r="H286" t="str">
            <v>Nordea Funds Oy</v>
          </cell>
        </row>
        <row r="287">
          <cell r="B287" t="str">
            <v>17377859#205</v>
          </cell>
          <cell r="H287" t="str">
            <v>Nordea Funds Oy</v>
          </cell>
        </row>
        <row r="288">
          <cell r="B288" t="str">
            <v>17377859#206</v>
          </cell>
          <cell r="H288" t="str">
            <v>Nordea Funds Oy</v>
          </cell>
        </row>
        <row r="289">
          <cell r="B289" t="str">
            <v>17377859#207</v>
          </cell>
          <cell r="H289" t="str">
            <v>Nordea Funds Oy</v>
          </cell>
        </row>
        <row r="290">
          <cell r="B290" t="str">
            <v>17377859#208</v>
          </cell>
          <cell r="H290" t="str">
            <v>Nordea Funds Oy</v>
          </cell>
        </row>
        <row r="291">
          <cell r="B291" t="str">
            <v>17377859#209</v>
          </cell>
          <cell r="H291" t="str">
            <v>Nordea Funds Oy</v>
          </cell>
        </row>
        <row r="292">
          <cell r="B292" t="str">
            <v>17377859#210</v>
          </cell>
          <cell r="H292" t="str">
            <v>Nordea Funds Oy</v>
          </cell>
        </row>
        <row r="293">
          <cell r="B293" t="str">
            <v>17377859#211</v>
          </cell>
          <cell r="H293" t="str">
            <v>Nordea Funds Oy</v>
          </cell>
        </row>
        <row r="294">
          <cell r="B294" t="str">
            <v>17377859#212</v>
          </cell>
          <cell r="H294" t="str">
            <v>Nordea Funds Oy</v>
          </cell>
        </row>
        <row r="295">
          <cell r="B295" t="str">
            <v>17377859#213</v>
          </cell>
          <cell r="H295" t="str">
            <v>Nordea Funds Oy</v>
          </cell>
        </row>
        <row r="296">
          <cell r="B296" t="str">
            <v>17377859#215</v>
          </cell>
          <cell r="H296" t="str">
            <v>Nordea Funds Oy</v>
          </cell>
        </row>
        <row r="297">
          <cell r="B297" t="str">
            <v>17377859#216</v>
          </cell>
          <cell r="H297" t="str">
            <v>Nordea Funds Oy</v>
          </cell>
        </row>
        <row r="298">
          <cell r="B298" t="str">
            <v>17377859#217</v>
          </cell>
          <cell r="H298" t="str">
            <v>Nordea Funds Oy</v>
          </cell>
        </row>
        <row r="299">
          <cell r="B299" t="str">
            <v>17377859#218</v>
          </cell>
          <cell r="H299" t="str">
            <v>Nordea Funds Oy</v>
          </cell>
        </row>
        <row r="300">
          <cell r="B300" t="str">
            <v>17377859#221</v>
          </cell>
          <cell r="H300" t="str">
            <v>Nordea Funds Oy</v>
          </cell>
        </row>
        <row r="301">
          <cell r="B301" t="str">
            <v>17377859#222</v>
          </cell>
          <cell r="H301" t="str">
            <v>Nordea Funds Oy</v>
          </cell>
        </row>
        <row r="302">
          <cell r="B302" t="str">
            <v>17377859#223</v>
          </cell>
          <cell r="H302" t="str">
            <v>Nordea Funds Oy</v>
          </cell>
        </row>
        <row r="303">
          <cell r="B303" t="str">
            <v>17377859#226</v>
          </cell>
          <cell r="H303" t="str">
            <v>Nordea Funds Oy</v>
          </cell>
        </row>
        <row r="304">
          <cell r="B304" t="str">
            <v>17377859#227</v>
          </cell>
          <cell r="H304" t="str">
            <v>Nordea Funds Oy</v>
          </cell>
        </row>
        <row r="305">
          <cell r="B305" t="str">
            <v>17377859#230</v>
          </cell>
          <cell r="H305" t="str">
            <v>Nordea Funds Oy</v>
          </cell>
        </row>
        <row r="306">
          <cell r="B306" t="str">
            <v>17377859#231</v>
          </cell>
          <cell r="H306" t="str">
            <v>Nordea Funds Oy</v>
          </cell>
        </row>
        <row r="307">
          <cell r="B307" t="str">
            <v>17377859#232</v>
          </cell>
          <cell r="H307" t="str">
            <v>Nordea Funds Oy</v>
          </cell>
        </row>
        <row r="308">
          <cell r="B308" t="str">
            <v>17377859#233</v>
          </cell>
          <cell r="H308" t="str">
            <v>Nordea Funds Oy</v>
          </cell>
        </row>
        <row r="309">
          <cell r="B309" t="str">
            <v>17377859#234</v>
          </cell>
          <cell r="H309" t="str">
            <v>Nordea Funds Oy</v>
          </cell>
        </row>
        <row r="310">
          <cell r="B310" t="str">
            <v>17377859#235</v>
          </cell>
          <cell r="H310" t="str">
            <v>Nordea Funds Oy</v>
          </cell>
        </row>
        <row r="311">
          <cell r="B311" t="str">
            <v>17377859#236</v>
          </cell>
          <cell r="H311" t="str">
            <v>Nordea Funds Oy</v>
          </cell>
        </row>
        <row r="312">
          <cell r="B312" t="str">
            <v>17377859#237</v>
          </cell>
          <cell r="H312" t="str">
            <v>Nordea Funds Oy</v>
          </cell>
        </row>
        <row r="313">
          <cell r="B313" t="str">
            <v>17377859#238</v>
          </cell>
          <cell r="H313" t="str">
            <v>Nordea Funds Oy</v>
          </cell>
        </row>
        <row r="314">
          <cell r="B314" t="str">
            <v>17377859#241</v>
          </cell>
          <cell r="H314" t="str">
            <v>Nordea Funds Oy</v>
          </cell>
        </row>
        <row r="315">
          <cell r="B315" t="str">
            <v>17377859#242</v>
          </cell>
          <cell r="H315" t="str">
            <v>Nordea Funds Oy</v>
          </cell>
        </row>
        <row r="316">
          <cell r="B316" t="str">
            <v>17377859#243</v>
          </cell>
          <cell r="H316" t="str">
            <v>Nordea Funds Oy</v>
          </cell>
        </row>
        <row r="317">
          <cell r="B317" t="str">
            <v>17377859#244</v>
          </cell>
          <cell r="H317" t="str">
            <v>Nordea Funds Oy</v>
          </cell>
        </row>
        <row r="318">
          <cell r="B318" t="str">
            <v>17377859#245</v>
          </cell>
          <cell r="H318" t="str">
            <v>Nordea Funds Oy</v>
          </cell>
        </row>
        <row r="319">
          <cell r="B319" t="str">
            <v>17377859#246</v>
          </cell>
          <cell r="H319" t="str">
            <v>Nordea Funds Oy</v>
          </cell>
        </row>
        <row r="320">
          <cell r="B320" t="str">
            <v>17377859#247</v>
          </cell>
          <cell r="H320" t="str">
            <v>Nordea Funds Oy</v>
          </cell>
        </row>
        <row r="321">
          <cell r="B321" t="str">
            <v>17377859#248</v>
          </cell>
          <cell r="H321" t="str">
            <v>Nordea Funds Oy</v>
          </cell>
        </row>
        <row r="322">
          <cell r="B322" t="str">
            <v>17377859#250</v>
          </cell>
          <cell r="H322" t="str">
            <v>Nordea Funds Oy</v>
          </cell>
        </row>
        <row r="323">
          <cell r="B323" t="str">
            <v>17377859#251</v>
          </cell>
          <cell r="H323" t="str">
            <v>Nordea Funds Oy</v>
          </cell>
        </row>
        <row r="324">
          <cell r="B324" t="str">
            <v>17377859#253</v>
          </cell>
          <cell r="H324" t="str">
            <v>Nordea Funds Oy</v>
          </cell>
        </row>
        <row r="325">
          <cell r="B325" t="str">
            <v>17377859#254</v>
          </cell>
          <cell r="H325" t="str">
            <v>Nordea Funds Oy</v>
          </cell>
        </row>
        <row r="326">
          <cell r="B326" t="str">
            <v>17377859#255</v>
          </cell>
          <cell r="H326" t="str">
            <v>Nordea Funds Oy</v>
          </cell>
        </row>
        <row r="327">
          <cell r="B327" t="str">
            <v>17377859#256</v>
          </cell>
          <cell r="H327" t="str">
            <v>Nordea Funds Oy</v>
          </cell>
        </row>
        <row r="328">
          <cell r="B328" t="str">
            <v>17377859#257</v>
          </cell>
          <cell r="H328" t="str">
            <v>Nordea Funds Oy</v>
          </cell>
        </row>
        <row r="329">
          <cell r="B329" t="str">
            <v>17377859#258</v>
          </cell>
          <cell r="H329" t="str">
            <v>Nordea Funds Oy</v>
          </cell>
        </row>
        <row r="330">
          <cell r="B330" t="str">
            <v>17377859#259</v>
          </cell>
          <cell r="H330" t="str">
            <v>Nordea Funds Oy</v>
          </cell>
        </row>
        <row r="331">
          <cell r="B331" t="str">
            <v>17377859#260</v>
          </cell>
          <cell r="H331" t="str">
            <v>Nordea Funds Oy</v>
          </cell>
        </row>
        <row r="332">
          <cell r="B332" t="str">
            <v>17377859#261</v>
          </cell>
          <cell r="H332" t="str">
            <v>Nordea Funds Oy</v>
          </cell>
        </row>
        <row r="333">
          <cell r="B333" t="str">
            <v>17377859#262</v>
          </cell>
          <cell r="H333" t="str">
            <v>Nordea Funds Oy</v>
          </cell>
        </row>
        <row r="334">
          <cell r="B334" t="str">
            <v>17377859#263</v>
          </cell>
          <cell r="H334" t="str">
            <v>Nordea Funds Oy</v>
          </cell>
        </row>
        <row r="335">
          <cell r="B335" t="str">
            <v>17377859#264</v>
          </cell>
          <cell r="H335" t="str">
            <v>Nordea Funds Oy</v>
          </cell>
        </row>
        <row r="336">
          <cell r="B336" t="str">
            <v>17377859#265</v>
          </cell>
          <cell r="H336" t="str">
            <v>Nordea Funds Oy</v>
          </cell>
        </row>
        <row r="337">
          <cell r="B337" t="str">
            <v>17377859#266</v>
          </cell>
          <cell r="H337" t="str">
            <v>Nordea Funds Oy</v>
          </cell>
        </row>
        <row r="338">
          <cell r="B338" t="str">
            <v>17377859#267</v>
          </cell>
          <cell r="H338" t="str">
            <v>Nordea Funds Oy</v>
          </cell>
        </row>
        <row r="339">
          <cell r="B339" t="str">
            <v>17377859#268</v>
          </cell>
          <cell r="H339" t="str">
            <v>Nordea Funds Oy</v>
          </cell>
        </row>
        <row r="340">
          <cell r="B340" t="str">
            <v>17377859#269</v>
          </cell>
          <cell r="H340" t="str">
            <v>Nordea Funds Oy</v>
          </cell>
        </row>
        <row r="341">
          <cell r="B341" t="str">
            <v>17377859#270</v>
          </cell>
          <cell r="H341" t="str">
            <v>Nordea Funds Oy</v>
          </cell>
        </row>
        <row r="342">
          <cell r="B342" t="str">
            <v>17377859#271</v>
          </cell>
          <cell r="H342" t="str">
            <v>Nordea Funds Oy</v>
          </cell>
        </row>
        <row r="343">
          <cell r="B343" t="str">
            <v>17377859#272</v>
          </cell>
          <cell r="H343" t="str">
            <v>Nordea Funds Oy</v>
          </cell>
        </row>
        <row r="344">
          <cell r="B344" t="str">
            <v>17377859#273</v>
          </cell>
          <cell r="H344" t="str">
            <v>Nordea Funds Oy</v>
          </cell>
        </row>
        <row r="345">
          <cell r="B345" t="str">
            <v>17377859#274</v>
          </cell>
          <cell r="H345" t="str">
            <v>Nordea Funds Oy</v>
          </cell>
        </row>
        <row r="346">
          <cell r="B346" t="str">
            <v>17377859#275</v>
          </cell>
          <cell r="H346" t="str">
            <v>Nordea Funds Oy</v>
          </cell>
        </row>
        <row r="347">
          <cell r="B347" t="str">
            <v>17377859#276</v>
          </cell>
          <cell r="H347" t="str">
            <v>Nordea Funds Oy</v>
          </cell>
        </row>
        <row r="348">
          <cell r="B348" t="str">
            <v>17377859#277</v>
          </cell>
          <cell r="H348" t="str">
            <v>Nordea Funds Oy</v>
          </cell>
        </row>
        <row r="349">
          <cell r="B349" t="str">
            <v>17377859#278</v>
          </cell>
          <cell r="H349" t="str">
            <v>Nordea Funds Oy</v>
          </cell>
        </row>
        <row r="350">
          <cell r="B350" t="str">
            <v>17377859#279</v>
          </cell>
          <cell r="H350" t="str">
            <v>Nordea Funds Oy</v>
          </cell>
        </row>
        <row r="351">
          <cell r="B351" t="str">
            <v>17956316#001</v>
          </cell>
          <cell r="H351" t="str">
            <v>Sp-Rahastoyhtiö Oy</v>
          </cell>
        </row>
        <row r="352">
          <cell r="B352" t="str">
            <v>17956316#002</v>
          </cell>
          <cell r="H352" t="str">
            <v>Sp-Rahastoyhtiö Oy</v>
          </cell>
        </row>
        <row r="353">
          <cell r="B353" t="str">
            <v>17956316#003</v>
          </cell>
          <cell r="H353" t="str">
            <v>Sp-Rahastoyhtiö Oy</v>
          </cell>
        </row>
        <row r="354">
          <cell r="B354" t="str">
            <v>17956316#004</v>
          </cell>
          <cell r="H354" t="str">
            <v>Sp-Rahastoyhtiö Oy</v>
          </cell>
        </row>
        <row r="355">
          <cell r="B355" t="str">
            <v>17956316#006</v>
          </cell>
          <cell r="H355" t="str">
            <v>Sp-Rahastoyhtiö Oy</v>
          </cell>
        </row>
        <row r="356">
          <cell r="B356" t="str">
            <v>17956316#007</v>
          </cell>
          <cell r="H356" t="str">
            <v>Sp-Rahastoyhtiö Oy</v>
          </cell>
        </row>
        <row r="357">
          <cell r="B357" t="str">
            <v>17956316#008</v>
          </cell>
          <cell r="H357" t="str">
            <v>Sp-Rahastoyhtiö Oy</v>
          </cell>
        </row>
        <row r="358">
          <cell r="B358" t="str">
            <v>17956316#009</v>
          </cell>
          <cell r="H358" t="str">
            <v>Sp-Rahastoyhtiö Oy</v>
          </cell>
        </row>
        <row r="359">
          <cell r="B359" t="str">
            <v>17956316#010</v>
          </cell>
          <cell r="H359" t="str">
            <v>Sp-Rahastoyhtiö Oy</v>
          </cell>
        </row>
        <row r="360">
          <cell r="B360" t="str">
            <v>17956316#012</v>
          </cell>
          <cell r="H360" t="str">
            <v>Sp-Rahastoyhtiö Oy</v>
          </cell>
        </row>
        <row r="361">
          <cell r="B361" t="str">
            <v>17956316#013</v>
          </cell>
          <cell r="H361" t="str">
            <v>Sp-Rahastoyhtiö Oy</v>
          </cell>
        </row>
        <row r="362">
          <cell r="B362" t="str">
            <v>17956316#014</v>
          </cell>
          <cell r="H362" t="str">
            <v>Sp-Rahastoyhtiö Oy</v>
          </cell>
        </row>
        <row r="363">
          <cell r="B363" t="str">
            <v>17956316#015</v>
          </cell>
          <cell r="H363" t="str">
            <v>Sp-Rahastoyhtiö Oy</v>
          </cell>
        </row>
        <row r="364">
          <cell r="B364" t="str">
            <v>17956316#018</v>
          </cell>
          <cell r="H364" t="str">
            <v>Sp-Rahastoyhtiö Oy</v>
          </cell>
        </row>
        <row r="365">
          <cell r="B365" t="str">
            <v>17956316#022</v>
          </cell>
          <cell r="H365" t="str">
            <v>Sp-Rahastoyhtiö Oy</v>
          </cell>
        </row>
        <row r="366">
          <cell r="B366" t="str">
            <v>17956316#028</v>
          </cell>
          <cell r="H366" t="str">
            <v>Sp-Rahastoyhtiö Oy</v>
          </cell>
        </row>
        <row r="367">
          <cell r="B367" t="str">
            <v>17956316#029</v>
          </cell>
          <cell r="H367" t="str">
            <v>Sp-Rahastoyhtiö Oy</v>
          </cell>
        </row>
        <row r="368">
          <cell r="B368" t="str">
            <v>17956316#030</v>
          </cell>
          <cell r="H368" t="str">
            <v>Sp-Rahastoyhtiö Oy</v>
          </cell>
        </row>
        <row r="369">
          <cell r="B369" t="str">
            <v>17956316#031</v>
          </cell>
          <cell r="H369" t="str">
            <v>Sp-Rahastoyhtiö Oy</v>
          </cell>
        </row>
        <row r="370">
          <cell r="B370" t="str">
            <v>17956316#032</v>
          </cell>
          <cell r="H370" t="str">
            <v>Sp-Rahastoyhtiö Oy</v>
          </cell>
        </row>
        <row r="371">
          <cell r="B371" t="str">
            <v>17956316#033</v>
          </cell>
          <cell r="H371" t="str">
            <v>Sp-Rahastoyhtiö Oy</v>
          </cell>
        </row>
        <row r="372">
          <cell r="B372" t="str">
            <v>17956316#034</v>
          </cell>
          <cell r="H372" t="str">
            <v>Sp-Rahastoyhtiö Oy</v>
          </cell>
        </row>
        <row r="373">
          <cell r="B373" t="str">
            <v>17956316#035</v>
          </cell>
          <cell r="H373" t="str">
            <v>Sp-Rahastoyhtiö Oy</v>
          </cell>
        </row>
        <row r="374">
          <cell r="B374" t="str">
            <v>17956316#036</v>
          </cell>
          <cell r="H374" t="str">
            <v>Sp-Rahastoyhtiö Oy</v>
          </cell>
        </row>
        <row r="375">
          <cell r="B375" t="str">
            <v>17956316#038</v>
          </cell>
          <cell r="H375" t="str">
            <v>Sp-Rahastoyhtiö Oy</v>
          </cell>
        </row>
        <row r="376">
          <cell r="B376" t="str">
            <v>18300220#027</v>
          </cell>
          <cell r="H376" t="str">
            <v>GRIT Rahastoyhtiö Oy</v>
          </cell>
        </row>
        <row r="377">
          <cell r="B377" t="str">
            <v>18300220#040</v>
          </cell>
          <cell r="H377" t="str">
            <v>GRIT Rahastoyhtiö Oy</v>
          </cell>
        </row>
        <row r="378">
          <cell r="B378" t="str">
            <v>18300220#041</v>
          </cell>
          <cell r="H378" t="str">
            <v>GRIT Rahastoyhtiö Oy</v>
          </cell>
        </row>
        <row r="379">
          <cell r="B379" t="str">
            <v>18300220#046</v>
          </cell>
          <cell r="H379" t="str">
            <v>GRIT Rahastoyhtiö Oy</v>
          </cell>
        </row>
        <row r="380">
          <cell r="B380" t="str">
            <v>20628401#024</v>
          </cell>
          <cell r="H380" t="str">
            <v>Aktia Rahastoyhtiö Oy</v>
          </cell>
        </row>
        <row r="381">
          <cell r="B381" t="str">
            <v>20628401#035</v>
          </cell>
          <cell r="H381" t="str">
            <v>Aktia Rahastoyhtiö Oy</v>
          </cell>
        </row>
        <row r="382">
          <cell r="B382" t="str">
            <v>20628401#036</v>
          </cell>
          <cell r="H382" t="str">
            <v>Aktia Rahastoyhtiö Oy</v>
          </cell>
        </row>
        <row r="383">
          <cell r="B383" t="str">
            <v>20628401#059</v>
          </cell>
          <cell r="H383" t="str">
            <v>Aktia Rahastoyhtiö Oy</v>
          </cell>
        </row>
        <row r="384">
          <cell r="B384" t="str">
            <v>20628401#060</v>
          </cell>
          <cell r="H384" t="str">
            <v>Aktia Rahastoyhtiö Oy</v>
          </cell>
        </row>
        <row r="385">
          <cell r="B385" t="str">
            <v>20628401#061</v>
          </cell>
          <cell r="H385" t="str">
            <v>Aktia Rahastoyhtiö Oy</v>
          </cell>
        </row>
        <row r="386">
          <cell r="B386" t="str">
            <v>20628401#062</v>
          </cell>
          <cell r="H386" t="str">
            <v>Aktia Rahastoyhtiö Oy</v>
          </cell>
        </row>
        <row r="387">
          <cell r="B387" t="str">
            <v>20628401#063</v>
          </cell>
          <cell r="H387" t="str">
            <v>Aktia Rahastoyhtiö Oy</v>
          </cell>
        </row>
        <row r="388">
          <cell r="B388" t="str">
            <v>20628401#064</v>
          </cell>
          <cell r="H388" t="str">
            <v>Aktia Rahastoyhtiö Oy</v>
          </cell>
        </row>
        <row r="389">
          <cell r="B389" t="str">
            <v>20628401#065</v>
          </cell>
          <cell r="H389" t="str">
            <v>Aktia Rahastoyhtiö Oy</v>
          </cell>
        </row>
        <row r="390">
          <cell r="B390" t="str">
            <v>20628401#066</v>
          </cell>
          <cell r="H390" t="str">
            <v>Aktia Rahastoyhtiö Oy</v>
          </cell>
        </row>
        <row r="391">
          <cell r="B391" t="str">
            <v>20628401#067</v>
          </cell>
          <cell r="H391" t="str">
            <v>Aktia Rahastoyhtiö Oy</v>
          </cell>
        </row>
        <row r="392">
          <cell r="B392" t="str">
            <v>20628401#068</v>
          </cell>
          <cell r="H392" t="str">
            <v>Aktia Rahastoyhtiö Oy</v>
          </cell>
        </row>
        <row r="393">
          <cell r="B393" t="str">
            <v>20628401#069</v>
          </cell>
          <cell r="H393" t="str">
            <v>Aktia Rahastoyhtiö Oy</v>
          </cell>
        </row>
        <row r="394">
          <cell r="B394" t="str">
            <v>20628401#070</v>
          </cell>
          <cell r="H394" t="str">
            <v>Aktia Rahastoyhtiö Oy</v>
          </cell>
        </row>
        <row r="395">
          <cell r="B395" t="str">
            <v>20628401#071</v>
          </cell>
          <cell r="H395" t="str">
            <v>Aktia Rahastoyhtiö Oy</v>
          </cell>
        </row>
        <row r="396">
          <cell r="B396" t="str">
            <v>20628401#072</v>
          </cell>
          <cell r="H396" t="str">
            <v>Aktia Rahastoyhtiö Oy</v>
          </cell>
        </row>
        <row r="397">
          <cell r="B397" t="str">
            <v>20628401#073</v>
          </cell>
          <cell r="H397" t="str">
            <v>Aktia Rahastoyhtiö Oy</v>
          </cell>
        </row>
        <row r="398">
          <cell r="B398" t="str">
            <v>20628401#074</v>
          </cell>
          <cell r="H398" t="str">
            <v>Aktia Rahastoyhtiö Oy</v>
          </cell>
        </row>
        <row r="399">
          <cell r="B399" t="str">
            <v>20628401#075</v>
          </cell>
          <cell r="H399" t="str">
            <v>Aktia Rahastoyhtiö Oy</v>
          </cell>
        </row>
        <row r="400">
          <cell r="B400" t="str">
            <v>20628401#077</v>
          </cell>
          <cell r="H400" t="str">
            <v>Aktia Rahastoyhtiö Oy</v>
          </cell>
        </row>
        <row r="401">
          <cell r="B401" t="str">
            <v>20628401#079</v>
          </cell>
          <cell r="H401" t="str">
            <v>Aktia Rahastoyhtiö Oy</v>
          </cell>
        </row>
        <row r="402">
          <cell r="B402" t="str">
            <v>20628401#080</v>
          </cell>
          <cell r="H402" t="str">
            <v>Aktia Rahastoyhtiö Oy</v>
          </cell>
        </row>
        <row r="403">
          <cell r="B403" t="str">
            <v>20628401#082</v>
          </cell>
          <cell r="H403" t="str">
            <v>Aktia Rahastoyhtiö Oy</v>
          </cell>
        </row>
        <row r="404">
          <cell r="B404" t="str">
            <v>20628401#084</v>
          </cell>
          <cell r="H404" t="str">
            <v>Aktia Rahastoyhtiö Oy</v>
          </cell>
        </row>
        <row r="405">
          <cell r="B405" t="str">
            <v>20628401#085</v>
          </cell>
          <cell r="H405" t="str">
            <v>Aktia Rahastoyhtiö Oy</v>
          </cell>
        </row>
        <row r="406">
          <cell r="B406" t="str">
            <v>20628401#086</v>
          </cell>
          <cell r="H406" t="str">
            <v>Aktia Rahastoyhtiö Oy</v>
          </cell>
        </row>
        <row r="407">
          <cell r="B407" t="str">
            <v>20628401#111</v>
          </cell>
          <cell r="H407" t="str">
            <v>Aktia Rahastoyhtiö Oy</v>
          </cell>
        </row>
        <row r="408">
          <cell r="B408" t="str">
            <v>20628401#112</v>
          </cell>
          <cell r="H408" t="str">
            <v>Aktia Rahastoyhtiö Oy</v>
          </cell>
        </row>
        <row r="409">
          <cell r="B409" t="str">
            <v>20628401#113</v>
          </cell>
          <cell r="H409" t="str">
            <v>Aktia Rahastoyhtiö Oy</v>
          </cell>
        </row>
        <row r="410">
          <cell r="B410" t="str">
            <v>20628401#114</v>
          </cell>
          <cell r="H410" t="str">
            <v>Aktia Rahastoyhtiö Oy</v>
          </cell>
        </row>
        <row r="411">
          <cell r="B411" t="str">
            <v>20628401#115</v>
          </cell>
          <cell r="H411" t="str">
            <v>Aktia Rahastoyhtiö Oy</v>
          </cell>
        </row>
        <row r="412">
          <cell r="B412" t="str">
            <v>20628401#121</v>
          </cell>
          <cell r="H412" t="str">
            <v>Aktia Rahastoyhtiö Oy</v>
          </cell>
        </row>
        <row r="413">
          <cell r="B413" t="str">
            <v>20628401#127</v>
          </cell>
          <cell r="H413" t="str">
            <v>Aktia Rahastoyhtiö Oy</v>
          </cell>
        </row>
        <row r="414">
          <cell r="B414" t="str">
            <v>21181015#012</v>
          </cell>
          <cell r="H414" t="str">
            <v>UB Rahastoyhtiö Oy</v>
          </cell>
        </row>
        <row r="415">
          <cell r="B415" t="str">
            <v>21181015#013</v>
          </cell>
          <cell r="H415" t="str">
            <v>UB Rahastoyhtiö Oy</v>
          </cell>
        </row>
        <row r="416">
          <cell r="B416" t="str">
            <v>21181015#014</v>
          </cell>
          <cell r="H416" t="str">
            <v>UB Rahastoyhtiö Oy</v>
          </cell>
        </row>
        <row r="417">
          <cell r="B417" t="str">
            <v>21181015#015</v>
          </cell>
          <cell r="H417" t="str">
            <v>UB Rahastoyhtiö Oy</v>
          </cell>
        </row>
        <row r="418">
          <cell r="B418" t="str">
            <v>21181015#017</v>
          </cell>
          <cell r="H418" t="str">
            <v>UB Rahastoyhtiö Oy</v>
          </cell>
        </row>
        <row r="419">
          <cell r="B419" t="str">
            <v>21181015#018</v>
          </cell>
          <cell r="H419" t="str">
            <v>UB Rahastoyhtiö Oy</v>
          </cell>
        </row>
        <row r="420">
          <cell r="B420" t="str">
            <v>21181015#019</v>
          </cell>
          <cell r="H420" t="str">
            <v>UB Rahastoyhtiö Oy</v>
          </cell>
        </row>
        <row r="421">
          <cell r="B421" t="str">
            <v>21181015#022</v>
          </cell>
          <cell r="H421" t="str">
            <v>UB Rahastoyhtiö Oy</v>
          </cell>
        </row>
        <row r="422">
          <cell r="B422" t="str">
            <v>21181015#024</v>
          </cell>
          <cell r="H422" t="str">
            <v>UB Rahastoyhtiö Oy</v>
          </cell>
        </row>
        <row r="423">
          <cell r="B423" t="str">
            <v>21181015#045</v>
          </cell>
          <cell r="H423" t="str">
            <v>UB Rahastoyhtiö Oy</v>
          </cell>
        </row>
        <row r="424">
          <cell r="B424" t="str">
            <v>21181015#049</v>
          </cell>
          <cell r="H424" t="str">
            <v>UB Rahastoyhtiö Oy</v>
          </cell>
        </row>
        <row r="425">
          <cell r="B425" t="str">
            <v>21181015#060</v>
          </cell>
          <cell r="H425" t="str">
            <v>UB Rahastoyhtiö Oy</v>
          </cell>
        </row>
        <row r="426">
          <cell r="B426" t="str">
            <v>22888047#005</v>
          </cell>
          <cell r="H426" t="str">
            <v>Titanium Rahastoyhtiö Oy</v>
          </cell>
        </row>
        <row r="427">
          <cell r="B427" t="str">
            <v>22888047#008</v>
          </cell>
          <cell r="H427" t="str">
            <v>Titanium Rahastoyhtiö Oy</v>
          </cell>
        </row>
        <row r="428">
          <cell r="B428" t="str">
            <v>22888047#009</v>
          </cell>
          <cell r="H428" t="str">
            <v>Titanium Rahastoyhtiö Oy</v>
          </cell>
        </row>
        <row r="429">
          <cell r="B429" t="str">
            <v>22954454#002</v>
          </cell>
          <cell r="H429" t="str">
            <v>Investors House Rahastot Oy</v>
          </cell>
        </row>
        <row r="430">
          <cell r="B430" t="str">
            <v>22954454#005</v>
          </cell>
          <cell r="H430" t="str">
            <v>Investors House Rahastot Oy</v>
          </cell>
        </row>
        <row r="431">
          <cell r="B431" t="str">
            <v>23245609#015</v>
          </cell>
          <cell r="H431" t="str">
            <v>Finlandia Rahastoyhtiö Oy</v>
          </cell>
        </row>
        <row r="432">
          <cell r="B432" t="str">
            <v>23245609#016</v>
          </cell>
          <cell r="H432" t="str">
            <v>Finlandia Rahastoyhtiö Oy</v>
          </cell>
        </row>
        <row r="433">
          <cell r="B433" t="str">
            <v>23245609#017</v>
          </cell>
          <cell r="H433" t="str">
            <v>Finlandia Rahastoyhtiö Oy</v>
          </cell>
        </row>
        <row r="434">
          <cell r="B434" t="str">
            <v>23245609#021</v>
          </cell>
          <cell r="H434" t="str">
            <v>Finlandia Rahastoyhtiö Oy</v>
          </cell>
        </row>
        <row r="435">
          <cell r="B435" t="str">
            <v>28233658#001</v>
          </cell>
          <cell r="H435" t="str">
            <v>Obsido Rahastoyhtiö Oy</v>
          </cell>
        </row>
        <row r="436">
          <cell r="B436" t="str">
            <v>28233658#003</v>
          </cell>
          <cell r="H436" t="str">
            <v>Obsido Rahastoyhtiö Oy</v>
          </cell>
        </row>
        <row r="437">
          <cell r="B437" t="str">
            <v>31417319#001</v>
          </cell>
          <cell r="H437" t="str">
            <v>Fourton Oy</v>
          </cell>
        </row>
        <row r="438">
          <cell r="B438" t="str">
            <v>31417319#004</v>
          </cell>
          <cell r="H438" t="str">
            <v>Fourton Oy</v>
          </cell>
        </row>
        <row r="439">
          <cell r="B439" t="str">
            <v>31417319#005</v>
          </cell>
          <cell r="H439" t="str">
            <v>Fourton Oy</v>
          </cell>
        </row>
        <row r="440">
          <cell r="B440" t="str">
            <v>31417319#006</v>
          </cell>
          <cell r="H440" t="str">
            <v>Fourton Oy</v>
          </cell>
        </row>
        <row r="441">
          <cell r="B441" t="str">
            <v/>
          </cell>
          <cell r="H441" t="str">
            <v/>
          </cell>
        </row>
        <row r="442">
          <cell r="B442" t="str">
            <v>Erikoissijoitusrahastot (Non-UCITS)</v>
          </cell>
          <cell r="H442" t="str">
            <v/>
          </cell>
        </row>
        <row r="443">
          <cell r="B443" t="str">
            <v>Specialplaceringsfonder (Non-UCITS)</v>
          </cell>
          <cell r="H443" t="str">
            <v/>
          </cell>
        </row>
        <row r="444">
          <cell r="B444" t="str">
            <v>Special investment funds (Non-UCITS)</v>
          </cell>
          <cell r="H444" t="str">
            <v/>
          </cell>
        </row>
        <row r="445">
          <cell r="B445" t="str">
            <v/>
          </cell>
          <cell r="H445" t="str">
            <v/>
          </cell>
        </row>
        <row r="446">
          <cell r="B446" t="str">
            <v>06652755#001</v>
          </cell>
          <cell r="H446" t="str">
            <v>PYN Fund Management Oy</v>
          </cell>
        </row>
        <row r="447">
          <cell r="B447" t="str">
            <v>07360527#040</v>
          </cell>
          <cell r="H447" t="str">
            <v>eQ Rahastoyhtiö Oy</v>
          </cell>
        </row>
        <row r="448">
          <cell r="B448" t="str">
            <v>07360527#044</v>
          </cell>
          <cell r="H448" t="str">
            <v>eQ Rahastoyhtiö Oy</v>
          </cell>
        </row>
        <row r="449">
          <cell r="B449" t="str">
            <v>07360527#046</v>
          </cell>
          <cell r="H449" t="str">
            <v>eQ Rahastoyhtiö Oy</v>
          </cell>
        </row>
        <row r="450">
          <cell r="B450" t="str">
            <v>07360527#047</v>
          </cell>
          <cell r="H450" t="str">
            <v>eQ Rahastoyhtiö Oy</v>
          </cell>
        </row>
        <row r="451">
          <cell r="B451" t="str">
            <v>07360527#048</v>
          </cell>
          <cell r="H451" t="str">
            <v>eQ Rahastoyhtiö Oy</v>
          </cell>
        </row>
        <row r="452">
          <cell r="B452" t="str">
            <v>07360527#051</v>
          </cell>
          <cell r="H452" t="str">
            <v>eQ Rahastoyhtiö Oy</v>
          </cell>
        </row>
        <row r="453">
          <cell r="B453" t="str">
            <v>07360527#052</v>
          </cell>
          <cell r="H453" t="str">
            <v>eQ Rahastoyhtiö Oy</v>
          </cell>
        </row>
        <row r="454">
          <cell r="B454" t="str">
            <v>07360527#060</v>
          </cell>
          <cell r="H454" t="str">
            <v>eQ Rahastoyhtiö Oy</v>
          </cell>
        </row>
        <row r="455">
          <cell r="B455" t="str">
            <v>07360527#070</v>
          </cell>
          <cell r="H455" t="str">
            <v>eQ Rahastoyhtiö Oy</v>
          </cell>
        </row>
        <row r="456">
          <cell r="B456" t="str">
            <v>07360527#081</v>
          </cell>
          <cell r="H456" t="str">
            <v>eQ Rahastoyhtiö Oy</v>
          </cell>
        </row>
        <row r="457">
          <cell r="B457" t="str">
            <v>07360527#082</v>
          </cell>
          <cell r="H457" t="str">
            <v>eQ Rahastoyhtiö Oy</v>
          </cell>
        </row>
        <row r="458">
          <cell r="B458" t="str">
            <v>07360527#083</v>
          </cell>
          <cell r="H458" t="str">
            <v>eQ Rahastoyhtiö Oy</v>
          </cell>
        </row>
        <row r="459">
          <cell r="B459" t="str">
            <v>07360527#085</v>
          </cell>
          <cell r="H459" t="str">
            <v>eQ Rahastoyhtiö Oy</v>
          </cell>
        </row>
        <row r="460">
          <cell r="B460" t="str">
            <v>07360527#086</v>
          </cell>
          <cell r="H460" t="str">
            <v>eQ Rahastoyhtiö Oy</v>
          </cell>
        </row>
        <row r="461">
          <cell r="B461" t="str">
            <v>07360527#088</v>
          </cell>
          <cell r="H461" t="str">
            <v>eQ Rahastoyhtiö Oy</v>
          </cell>
        </row>
        <row r="462">
          <cell r="B462" t="str">
            <v>07360527#089</v>
          </cell>
          <cell r="H462" t="str">
            <v>eQ Rahastoyhtiö Oy</v>
          </cell>
        </row>
        <row r="463">
          <cell r="B463" t="str">
            <v>07360527#090</v>
          </cell>
          <cell r="H463" t="str">
            <v>eQ Rahastoyhtiö Oy</v>
          </cell>
        </row>
        <row r="464">
          <cell r="B464" t="str">
            <v>07360527#092</v>
          </cell>
          <cell r="H464" t="str">
            <v>eQ Rahastoyhtiö Oy</v>
          </cell>
        </row>
        <row r="465">
          <cell r="B465" t="str">
            <v>07360527#094</v>
          </cell>
          <cell r="H465" t="str">
            <v>eQ Rahastoyhtiö Oy</v>
          </cell>
        </row>
        <row r="466">
          <cell r="B466" t="str">
            <v>07360527#095</v>
          </cell>
          <cell r="H466" t="str">
            <v>eQ Rahastoyhtiö Oy</v>
          </cell>
        </row>
        <row r="467">
          <cell r="B467" t="str">
            <v>07360527#096</v>
          </cell>
          <cell r="H467" t="str">
            <v>eQ Rahastoyhtiö Oy</v>
          </cell>
        </row>
        <row r="468">
          <cell r="B468" t="str">
            <v>07360527#097</v>
          </cell>
          <cell r="H468" t="str">
            <v>eQ Rahastoyhtiö Oy</v>
          </cell>
        </row>
        <row r="469">
          <cell r="B469" t="str">
            <v>07360527#098</v>
          </cell>
          <cell r="H469" t="str">
            <v>eQ Rahastoyhtiö Oy</v>
          </cell>
        </row>
        <row r="470">
          <cell r="B470" t="str">
            <v>07360527#099</v>
          </cell>
          <cell r="H470" t="str">
            <v>eQ Rahastoyhtiö Oy</v>
          </cell>
        </row>
        <row r="471">
          <cell r="B471" t="str">
            <v>07360527#101</v>
          </cell>
          <cell r="H471" t="str">
            <v>eQ Rahastoyhtiö Oy</v>
          </cell>
        </row>
        <row r="472">
          <cell r="B472" t="str">
            <v>07360527#102</v>
          </cell>
          <cell r="H472" t="str">
            <v>eQ Rahastoyhtiö Oy</v>
          </cell>
        </row>
        <row r="473">
          <cell r="B473" t="str">
            <v>07360527#104</v>
          </cell>
          <cell r="H473" t="str">
            <v>eQ Rahastoyhtiö Oy</v>
          </cell>
        </row>
        <row r="474">
          <cell r="B474" t="str">
            <v>07360527#105</v>
          </cell>
          <cell r="H474" t="str">
            <v>eQ Rahastoyhtiö Oy</v>
          </cell>
        </row>
        <row r="475">
          <cell r="B475" t="str">
            <v>07360527#106</v>
          </cell>
          <cell r="H475" t="str">
            <v>eQ Rahastoyhtiö Oy</v>
          </cell>
        </row>
        <row r="476">
          <cell r="B476" t="str">
            <v>07360527#108</v>
          </cell>
          <cell r="H476" t="str">
            <v>eQ Rahastoyhtiö Oy</v>
          </cell>
        </row>
        <row r="477">
          <cell r="B477" t="str">
            <v>07360527#111</v>
          </cell>
          <cell r="H477" t="str">
            <v>eQ Rahastoyhtiö Oy</v>
          </cell>
        </row>
        <row r="478">
          <cell r="B478" t="str">
            <v>07360527#112</v>
          </cell>
          <cell r="H478" t="str">
            <v>eQ Rahastoyhtiö Oy</v>
          </cell>
        </row>
        <row r="479">
          <cell r="B479" t="str">
            <v>07360527#114</v>
          </cell>
          <cell r="H479" t="str">
            <v>eQ Rahastoyhtiö Oy</v>
          </cell>
        </row>
        <row r="480">
          <cell r="B480" t="str">
            <v>07360527#115</v>
          </cell>
          <cell r="H480" t="str">
            <v>eQ Rahastoyhtiö Oy</v>
          </cell>
        </row>
        <row r="481">
          <cell r="B481" t="str">
            <v>07360527#117</v>
          </cell>
          <cell r="H481" t="str">
            <v>eQ Rahastoyhtiö Oy</v>
          </cell>
        </row>
        <row r="482">
          <cell r="B482" t="str">
            <v>07360527#118</v>
          </cell>
          <cell r="H482" t="str">
            <v>eQ Rahastoyhtiö Oy</v>
          </cell>
        </row>
        <row r="483">
          <cell r="B483" t="str">
            <v>07360527#119</v>
          </cell>
          <cell r="H483" t="str">
            <v>eQ Rahastoyhtiö Oy</v>
          </cell>
        </row>
        <row r="484">
          <cell r="B484" t="str">
            <v>07360527#120</v>
          </cell>
          <cell r="H484" t="str">
            <v>eQ Rahastoyhtiö Oy</v>
          </cell>
        </row>
        <row r="485">
          <cell r="B485" t="str">
            <v>07360527#121</v>
          </cell>
          <cell r="H485" t="str">
            <v>eQ Rahastoyhtiö Oy</v>
          </cell>
        </row>
        <row r="486">
          <cell r="B486" t="str">
            <v>07360527#123</v>
          </cell>
          <cell r="H486" t="str">
            <v>eQ Rahastoyhtiö Oy</v>
          </cell>
        </row>
        <row r="487">
          <cell r="B487" t="str">
            <v>07360527#125</v>
          </cell>
          <cell r="H487" t="str">
            <v>eQ Rahastoyhtiö Oy</v>
          </cell>
        </row>
        <row r="488">
          <cell r="B488" t="str">
            <v>07360527#127</v>
          </cell>
          <cell r="H488" t="str">
            <v>eQ Rahastoyhtiö Oy</v>
          </cell>
        </row>
        <row r="489">
          <cell r="B489" t="str">
            <v>07360527#128</v>
          </cell>
          <cell r="H489" t="str">
            <v>eQ Rahastoyhtiö Oy</v>
          </cell>
        </row>
        <row r="490">
          <cell r="B490" t="str">
            <v>07360527#130</v>
          </cell>
          <cell r="H490" t="str">
            <v>eQ Rahastoyhtiö Oy</v>
          </cell>
        </row>
        <row r="491">
          <cell r="B491" t="str">
            <v>07360527#131</v>
          </cell>
          <cell r="H491" t="str">
            <v>eQ Rahastoyhtiö Oy</v>
          </cell>
        </row>
        <row r="492">
          <cell r="B492" t="str">
            <v>07360527#132</v>
          </cell>
          <cell r="H492" t="str">
            <v>eQ Rahastoyhtiö Oy</v>
          </cell>
        </row>
        <row r="493">
          <cell r="B493" t="str">
            <v>07360527#134</v>
          </cell>
          <cell r="H493" t="str">
            <v>eQ Rahastoyhtiö Oy</v>
          </cell>
        </row>
        <row r="494">
          <cell r="B494" t="str">
            <v>07360527#135</v>
          </cell>
          <cell r="H494" t="str">
            <v>eQ Rahastoyhtiö Oy</v>
          </cell>
        </row>
        <row r="495">
          <cell r="B495" t="str">
            <v>07360527#136</v>
          </cell>
          <cell r="H495" t="str">
            <v>eQ Rahastoyhtiö Oy</v>
          </cell>
        </row>
        <row r="496">
          <cell r="B496" t="str">
            <v>07360527#138</v>
          </cell>
          <cell r="H496" t="str">
            <v>eQ Rahastoyhtiö Oy</v>
          </cell>
        </row>
        <row r="497">
          <cell r="B497" t="str">
            <v>07360527#141</v>
          </cell>
          <cell r="H497" t="str">
            <v>eQ Rahastoyhtiö Oy</v>
          </cell>
        </row>
        <row r="498">
          <cell r="B498" t="str">
            <v>07360527#143</v>
          </cell>
          <cell r="H498" t="str">
            <v>eQ Rahastoyhtiö Oy</v>
          </cell>
        </row>
        <row r="499">
          <cell r="B499" t="str">
            <v>07360527#144</v>
          </cell>
          <cell r="H499" t="str">
            <v>eQ Rahastoyhtiö Oy</v>
          </cell>
        </row>
        <row r="500">
          <cell r="B500" t="str">
            <v>07360527#145</v>
          </cell>
          <cell r="H500" t="str">
            <v>eQ Rahastoyhtiö Oy</v>
          </cell>
        </row>
        <row r="501">
          <cell r="B501" t="str">
            <v>07360527#147</v>
          </cell>
          <cell r="H501" t="str">
            <v>eQ Rahastoyhtiö Oy</v>
          </cell>
        </row>
        <row r="502">
          <cell r="B502" t="str">
            <v>07439622#105</v>
          </cell>
          <cell r="H502" t="str">
            <v>OP-Rahastoyhtiö Oy</v>
          </cell>
        </row>
        <row r="503">
          <cell r="B503" t="str">
            <v>07439622#113</v>
          </cell>
          <cell r="H503" t="str">
            <v>OP-Rahastoyhtiö Oy</v>
          </cell>
        </row>
        <row r="504">
          <cell r="B504" t="str">
            <v>07439622#114</v>
          </cell>
          <cell r="H504" t="str">
            <v>OP-Rahastoyhtiö Oy</v>
          </cell>
        </row>
        <row r="505">
          <cell r="B505" t="str">
            <v>07439622#115</v>
          </cell>
          <cell r="H505" t="str">
            <v>OP-Rahastoyhtiö Oy</v>
          </cell>
        </row>
        <row r="506">
          <cell r="B506" t="str">
            <v>07439622#116</v>
          </cell>
          <cell r="H506" t="str">
            <v>OP-Rahastoyhtiö Oy</v>
          </cell>
        </row>
        <row r="507">
          <cell r="B507" t="str">
            <v>07439622#117</v>
          </cell>
          <cell r="H507" t="str">
            <v>OP-Rahastoyhtiö Oy</v>
          </cell>
        </row>
        <row r="508">
          <cell r="B508" t="str">
            <v>07439622#118</v>
          </cell>
          <cell r="H508" t="str">
            <v>OP-Rahastoyhtiö Oy</v>
          </cell>
        </row>
        <row r="509">
          <cell r="B509" t="str">
            <v>07439622#130</v>
          </cell>
          <cell r="H509" t="str">
            <v>OP-Rahastoyhtiö Oy</v>
          </cell>
        </row>
        <row r="510">
          <cell r="B510" t="str">
            <v>07439622#132</v>
          </cell>
          <cell r="H510" t="str">
            <v>OP-Rahastoyhtiö Oy</v>
          </cell>
        </row>
        <row r="511">
          <cell r="B511" t="str">
            <v>07439622#145</v>
          </cell>
          <cell r="H511" t="str">
            <v>OP-Rahastoyhtiö Oy</v>
          </cell>
        </row>
        <row r="512">
          <cell r="B512" t="str">
            <v>07439622#147</v>
          </cell>
          <cell r="H512" t="str">
            <v>OP-Rahastoyhtiö Oy</v>
          </cell>
        </row>
        <row r="513">
          <cell r="B513" t="str">
            <v>07439622#149</v>
          </cell>
          <cell r="H513" t="str">
            <v>OP-Rahastoyhtiö Oy</v>
          </cell>
        </row>
        <row r="514">
          <cell r="B514" t="str">
            <v>07439622#150</v>
          </cell>
          <cell r="H514" t="str">
            <v>OP-Rahastoyhtiö Oy</v>
          </cell>
        </row>
        <row r="515">
          <cell r="B515" t="str">
            <v>07439622#152</v>
          </cell>
          <cell r="H515" t="str">
            <v>OP-Rahastoyhtiö Oy</v>
          </cell>
        </row>
        <row r="516">
          <cell r="B516" t="str">
            <v>07439622#154</v>
          </cell>
          <cell r="H516" t="str">
            <v>OP-Rahastoyhtiö Oy</v>
          </cell>
        </row>
        <row r="517">
          <cell r="B517" t="str">
            <v>07446590#077</v>
          </cell>
          <cell r="H517" t="str">
            <v>Evli-Rahastoyhtiö Oy</v>
          </cell>
        </row>
        <row r="518">
          <cell r="B518" t="str">
            <v>07446590#083</v>
          </cell>
          <cell r="H518" t="str">
            <v>Evli-Rahastoyhtiö Oy</v>
          </cell>
        </row>
        <row r="519">
          <cell r="B519" t="str">
            <v>07446590#088</v>
          </cell>
          <cell r="H519" t="str">
            <v>Evli-Rahastoyhtiö Oy</v>
          </cell>
        </row>
        <row r="520">
          <cell r="B520" t="str">
            <v>07446590#108</v>
          </cell>
          <cell r="H520" t="str">
            <v>Evli-Rahastoyhtiö Oy</v>
          </cell>
        </row>
        <row r="521">
          <cell r="B521" t="str">
            <v>07446590#134</v>
          </cell>
          <cell r="H521" t="str">
            <v>Evli-Rahastoyhtiö Oy</v>
          </cell>
        </row>
        <row r="522">
          <cell r="B522" t="str">
            <v>07446590#141</v>
          </cell>
          <cell r="H522" t="str">
            <v>Evli-Rahastoyhtiö Oy</v>
          </cell>
        </row>
        <row r="523">
          <cell r="B523" t="str">
            <v>07446590#144</v>
          </cell>
          <cell r="H523" t="str">
            <v>Evli-Rahastoyhtiö Oy</v>
          </cell>
        </row>
        <row r="524">
          <cell r="B524" t="str">
            <v>07446590#145</v>
          </cell>
          <cell r="H524" t="str">
            <v>Evli-Rahastoyhtiö Oy</v>
          </cell>
        </row>
        <row r="525">
          <cell r="B525" t="str">
            <v>07446590#161</v>
          </cell>
          <cell r="H525" t="str">
            <v>Evli-Rahastoyhtiö Oy</v>
          </cell>
        </row>
        <row r="526">
          <cell r="B526" t="str">
            <v>07446590#179</v>
          </cell>
          <cell r="H526" t="str">
            <v>Evli-Rahastoyhtiö Oy</v>
          </cell>
        </row>
        <row r="527">
          <cell r="B527" t="str">
            <v>07446590#180</v>
          </cell>
          <cell r="H527" t="str">
            <v>Evli-Rahastoyhtiö Oy</v>
          </cell>
        </row>
        <row r="528">
          <cell r="B528" t="str">
            <v>09791339#074</v>
          </cell>
          <cell r="H528" t="str">
            <v>S-Pankki Rahastoyhtiö Oy</v>
          </cell>
        </row>
        <row r="529">
          <cell r="B529" t="str">
            <v>09791339#077</v>
          </cell>
          <cell r="H529" t="str">
            <v>S-Pankki Rahastoyhtiö Oy</v>
          </cell>
        </row>
        <row r="530">
          <cell r="B530" t="str">
            <v>09791339#091</v>
          </cell>
          <cell r="H530" t="str">
            <v>S-Pankki Rahastoyhtiö Oy</v>
          </cell>
        </row>
        <row r="531">
          <cell r="B531" t="str">
            <v>09791339#092</v>
          </cell>
          <cell r="H531" t="str">
            <v>S-Pankki Rahastoyhtiö Oy</v>
          </cell>
        </row>
        <row r="532">
          <cell r="B532" t="str">
            <v>09791339#093</v>
          </cell>
          <cell r="H532" t="str">
            <v>S-Pankki Rahastoyhtiö Oy</v>
          </cell>
        </row>
        <row r="533">
          <cell r="B533" t="str">
            <v>09791339#094</v>
          </cell>
          <cell r="H533" t="str">
            <v>S-Pankki Rahastoyhtiö Oy</v>
          </cell>
        </row>
        <row r="534">
          <cell r="B534" t="str">
            <v>09791339#095</v>
          </cell>
          <cell r="H534" t="str">
            <v>S-Pankki Rahastoyhtiö Oy</v>
          </cell>
        </row>
        <row r="535">
          <cell r="B535" t="str">
            <v>09791339#112</v>
          </cell>
          <cell r="H535" t="str">
            <v>S-Pankki Rahastoyhtiö Oy</v>
          </cell>
        </row>
        <row r="536">
          <cell r="B536" t="str">
            <v>09791339#113</v>
          </cell>
          <cell r="H536" t="str">
            <v>S-Pankki Rahastoyhtiö Oy</v>
          </cell>
        </row>
        <row r="537">
          <cell r="B537" t="str">
            <v>14713626#023</v>
          </cell>
          <cell r="H537" t="str">
            <v>Ålandsbanken Fondbolag Ab</v>
          </cell>
        </row>
        <row r="538">
          <cell r="B538" t="str">
            <v>14713626#030</v>
          </cell>
          <cell r="H538" t="str">
            <v>Ålandsbanken Fondbolag Ab</v>
          </cell>
        </row>
        <row r="539">
          <cell r="B539" t="str">
            <v>14713626#047</v>
          </cell>
          <cell r="H539" t="str">
            <v>Ålandsbanken Fondbolag Ab</v>
          </cell>
        </row>
        <row r="540">
          <cell r="B540" t="str">
            <v>16039364#006</v>
          </cell>
          <cell r="H540" t="str">
            <v>Alexandria Rahastoyhtiö Oy</v>
          </cell>
        </row>
        <row r="541">
          <cell r="B541" t="str">
            <v>16039364#007</v>
          </cell>
          <cell r="H541" t="str">
            <v>Alexandria Rahastoyhtiö Oy</v>
          </cell>
        </row>
        <row r="542">
          <cell r="B542" t="str">
            <v>16039364#008</v>
          </cell>
          <cell r="H542" t="str">
            <v>Alexandria Rahastoyhtiö Oy</v>
          </cell>
        </row>
        <row r="543">
          <cell r="B543" t="str">
            <v>16039364#010</v>
          </cell>
          <cell r="H543" t="str">
            <v>Alexandria Rahastoyhtiö Oy</v>
          </cell>
        </row>
        <row r="544">
          <cell r="B544" t="str">
            <v>16039364#011</v>
          </cell>
          <cell r="H544" t="str">
            <v>Alexandria Rahastoyhtiö Oy</v>
          </cell>
        </row>
        <row r="545">
          <cell r="B545" t="str">
            <v>16039364#013</v>
          </cell>
          <cell r="H545" t="str">
            <v>Alexandria Rahastoyhtiö Oy</v>
          </cell>
        </row>
        <row r="546">
          <cell r="B546" t="str">
            <v>16039364#014</v>
          </cell>
          <cell r="H546" t="str">
            <v>Alexandria Rahastoyhtiö Oy</v>
          </cell>
        </row>
        <row r="547">
          <cell r="B547" t="str">
            <v>16172050#018</v>
          </cell>
          <cell r="H547" t="str">
            <v>LähiTapiola Vaihtoehtorahastot Oy</v>
          </cell>
        </row>
        <row r="548">
          <cell r="B548" t="str">
            <v>17377859#096</v>
          </cell>
          <cell r="H548" t="str">
            <v>Nordea Funds Oy</v>
          </cell>
        </row>
        <row r="549">
          <cell r="B549" t="str">
            <v>17377859#198</v>
          </cell>
          <cell r="H549" t="str">
            <v>Nordea Funds Oy</v>
          </cell>
        </row>
        <row r="550">
          <cell r="B550" t="str">
            <v>17377859#252</v>
          </cell>
          <cell r="H550" t="str">
            <v>Nordea Funds Oy</v>
          </cell>
        </row>
        <row r="551">
          <cell r="B551" t="str">
            <v>17956316#019</v>
          </cell>
          <cell r="H551" t="str">
            <v>Sp-Rahastoyhtiö Oy</v>
          </cell>
        </row>
        <row r="552">
          <cell r="B552" t="str">
            <v>17956316#023</v>
          </cell>
          <cell r="H552" t="str">
            <v>Sp-Rahastoyhtiö Oy</v>
          </cell>
        </row>
        <row r="553">
          <cell r="B553" t="str">
            <v>17956316#024</v>
          </cell>
          <cell r="H553" t="str">
            <v>Sp-Rahastoyhtiö Oy</v>
          </cell>
        </row>
        <row r="554">
          <cell r="B554" t="str">
            <v>17956316#025</v>
          </cell>
          <cell r="H554" t="str">
            <v>Sp-Rahastoyhtiö Oy</v>
          </cell>
        </row>
        <row r="555">
          <cell r="B555" t="str">
            <v>17956316#026</v>
          </cell>
          <cell r="H555" t="str">
            <v>Sp-Rahastoyhtiö Oy</v>
          </cell>
        </row>
        <row r="556">
          <cell r="B556" t="str">
            <v>17956316#027</v>
          </cell>
          <cell r="H556" t="str">
            <v>Sp-Rahastoyhtiö Oy</v>
          </cell>
        </row>
        <row r="557">
          <cell r="B557" t="str">
            <v>17956316#037</v>
          </cell>
          <cell r="H557" t="str">
            <v>Sp-Rahastoyhtiö Oy</v>
          </cell>
        </row>
        <row r="558">
          <cell r="B558" t="str">
            <v>18300220#005</v>
          </cell>
          <cell r="H558" t="str">
            <v>GRIT Rahastoyhtiö Oy</v>
          </cell>
        </row>
        <row r="559">
          <cell r="B559" t="str">
            <v>18300220#010</v>
          </cell>
          <cell r="H559" t="str">
            <v>GRIT Rahastoyhtiö Oy</v>
          </cell>
        </row>
        <row r="560">
          <cell r="B560" t="str">
            <v>18300220#012</v>
          </cell>
          <cell r="H560" t="str">
            <v>GRIT Rahastoyhtiö Oy</v>
          </cell>
        </row>
        <row r="561">
          <cell r="B561" t="str">
            <v>18300220#013</v>
          </cell>
          <cell r="H561" t="str">
            <v>GRIT Rahastoyhtiö Oy</v>
          </cell>
        </row>
        <row r="562">
          <cell r="B562" t="str">
            <v>18300220#016</v>
          </cell>
          <cell r="H562" t="str">
            <v>GRIT Rahastoyhtiö Oy</v>
          </cell>
        </row>
        <row r="563">
          <cell r="B563" t="str">
            <v>18300220#023</v>
          </cell>
          <cell r="H563" t="str">
            <v>GRIT Rahastoyhtiö Oy</v>
          </cell>
        </row>
        <row r="564">
          <cell r="B564" t="str">
            <v>18300220#024</v>
          </cell>
          <cell r="H564" t="str">
            <v>GRIT Rahastoyhtiö Oy</v>
          </cell>
        </row>
        <row r="565">
          <cell r="B565" t="str">
            <v>18300220#026</v>
          </cell>
          <cell r="H565" t="str">
            <v>GRIT Rahastoyhtiö Oy</v>
          </cell>
        </row>
        <row r="566">
          <cell r="B566" t="str">
            <v>18300220#028</v>
          </cell>
          <cell r="H566" t="str">
            <v>GRIT Rahastoyhtiö Oy</v>
          </cell>
        </row>
        <row r="567">
          <cell r="B567" t="str">
            <v>18300220#029</v>
          </cell>
          <cell r="H567" t="str">
            <v>GRIT Rahastoyhtiö Oy</v>
          </cell>
        </row>
        <row r="568">
          <cell r="B568" t="str">
            <v>18300220#031</v>
          </cell>
          <cell r="H568" t="str">
            <v>GRIT Rahastoyhtiö Oy</v>
          </cell>
        </row>
        <row r="569">
          <cell r="B569" t="str">
            <v>18300220#032</v>
          </cell>
          <cell r="H569" t="str">
            <v>GRIT Rahastoyhtiö Oy</v>
          </cell>
        </row>
        <row r="570">
          <cell r="B570" t="str">
            <v>18300220#034</v>
          </cell>
          <cell r="H570" t="str">
            <v>GRIT Rahastoyhtiö Oy</v>
          </cell>
        </row>
        <row r="571">
          <cell r="B571" t="str">
            <v>18300220#038</v>
          </cell>
          <cell r="H571" t="str">
            <v>GRIT Rahastoyhtiö Oy</v>
          </cell>
        </row>
        <row r="572">
          <cell r="B572" t="str">
            <v>18300220#039</v>
          </cell>
          <cell r="H572" t="str">
            <v>GRIT Rahastoyhtiö Oy</v>
          </cell>
        </row>
        <row r="573">
          <cell r="B573" t="str">
            <v>18300220#042</v>
          </cell>
          <cell r="H573" t="str">
            <v>GRIT Rahastoyhtiö Oy</v>
          </cell>
        </row>
        <row r="574">
          <cell r="B574" t="str">
            <v>18300220#043</v>
          </cell>
          <cell r="H574" t="str">
            <v>GRIT Rahastoyhtiö Oy</v>
          </cell>
        </row>
        <row r="575">
          <cell r="B575" t="str">
            <v>18300220#044</v>
          </cell>
          <cell r="H575" t="str">
            <v>GRIT Rahastoyhtiö Oy</v>
          </cell>
        </row>
        <row r="576">
          <cell r="B576" t="str">
            <v>18300220#045</v>
          </cell>
          <cell r="H576" t="str">
            <v>GRIT Rahastoyhtiö Oy</v>
          </cell>
        </row>
        <row r="577">
          <cell r="B577" t="str">
            <v>18300220#047</v>
          </cell>
          <cell r="H577" t="str">
            <v>GRIT Rahastoyhtiö Oy</v>
          </cell>
        </row>
        <row r="578">
          <cell r="B578" t="str">
            <v>18300220#048</v>
          </cell>
          <cell r="H578" t="str">
            <v>GRIT Rahastoyhtiö Oy</v>
          </cell>
        </row>
        <row r="579">
          <cell r="B579" t="str">
            <v>19880781#006</v>
          </cell>
          <cell r="H579" t="str">
            <v>Dasos Capital Oy</v>
          </cell>
        </row>
        <row r="580">
          <cell r="B580" t="str">
            <v>20628401#023</v>
          </cell>
          <cell r="H580" t="str">
            <v>Aktia Rahastoyhtiö Oy</v>
          </cell>
        </row>
        <row r="581">
          <cell r="B581" t="str">
            <v>20628401#027</v>
          </cell>
          <cell r="H581" t="str">
            <v>Aktia Rahastoyhtiö Oy</v>
          </cell>
        </row>
        <row r="582">
          <cell r="B582" t="str">
            <v>20628401#028</v>
          </cell>
          <cell r="H582" t="str">
            <v>Aktia Rahastoyhtiö Oy</v>
          </cell>
        </row>
        <row r="583">
          <cell r="B583" t="str">
            <v>20628401#029</v>
          </cell>
          <cell r="H583" t="str">
            <v>Aktia Rahastoyhtiö Oy</v>
          </cell>
        </row>
        <row r="584">
          <cell r="B584" t="str">
            <v>20628401#030</v>
          </cell>
          <cell r="H584" t="str">
            <v>Aktia Rahastoyhtiö Oy</v>
          </cell>
        </row>
        <row r="585">
          <cell r="B585" t="str">
            <v>20628401#038</v>
          </cell>
          <cell r="H585" t="str">
            <v>Aktia Rahastoyhtiö Oy</v>
          </cell>
        </row>
        <row r="586">
          <cell r="B586" t="str">
            <v>20628401#039</v>
          </cell>
          <cell r="H586" t="str">
            <v>Aktia Rahastoyhtiö Oy</v>
          </cell>
        </row>
        <row r="587">
          <cell r="B587" t="str">
            <v>20628401#040</v>
          </cell>
          <cell r="H587" t="str">
            <v>Aktia Rahastoyhtiö Oy</v>
          </cell>
        </row>
        <row r="588">
          <cell r="B588" t="str">
            <v>20628401#044</v>
          </cell>
          <cell r="H588" t="str">
            <v>Aktia Rahastoyhtiö Oy</v>
          </cell>
        </row>
        <row r="589">
          <cell r="B589" t="str">
            <v>20628401#081</v>
          </cell>
          <cell r="H589" t="str">
            <v>Aktia Rahastoyhtiö Oy</v>
          </cell>
        </row>
        <row r="590">
          <cell r="B590" t="str">
            <v>20628401#083</v>
          </cell>
          <cell r="H590" t="str">
            <v>Aktia Rahastoyhtiö Oy</v>
          </cell>
        </row>
        <row r="591">
          <cell r="B591" t="str">
            <v>20628401#087</v>
          </cell>
          <cell r="H591" t="str">
            <v>Aktia Rahastoyhtiö Oy</v>
          </cell>
        </row>
        <row r="592">
          <cell r="B592" t="str">
            <v>21181015#004</v>
          </cell>
          <cell r="H592" t="str">
            <v>UB Rahastoyhtiö Oy</v>
          </cell>
        </row>
        <row r="593">
          <cell r="B593" t="str">
            <v>21181015#023</v>
          </cell>
          <cell r="H593" t="str">
            <v>UB Rahastoyhtiö Oy</v>
          </cell>
        </row>
        <row r="594">
          <cell r="B594" t="str">
            <v>21181015#026</v>
          </cell>
          <cell r="H594" t="str">
            <v>UB Rahastoyhtiö Oy</v>
          </cell>
        </row>
        <row r="595">
          <cell r="B595" t="str">
            <v>21181015#033</v>
          </cell>
          <cell r="H595" t="str">
            <v>UB Rahastoyhtiö Oy</v>
          </cell>
        </row>
        <row r="596">
          <cell r="B596" t="str">
            <v>21181015#034</v>
          </cell>
          <cell r="H596" t="str">
            <v>UB Rahastoyhtiö Oy</v>
          </cell>
        </row>
        <row r="597">
          <cell r="B597" t="str">
            <v>21181015#043</v>
          </cell>
          <cell r="H597" t="str">
            <v>UB Rahastoyhtiö Oy</v>
          </cell>
        </row>
        <row r="598">
          <cell r="B598" t="str">
            <v>21181015#048</v>
          </cell>
          <cell r="H598" t="str">
            <v>UB Rahastoyhtiö Oy</v>
          </cell>
        </row>
        <row r="599">
          <cell r="B599" t="str">
            <v>21181015#052</v>
          </cell>
          <cell r="H599" t="str">
            <v>UB Rahastoyhtiö Oy</v>
          </cell>
        </row>
        <row r="600">
          <cell r="B600" t="str">
            <v>21181015#054</v>
          </cell>
          <cell r="H600" t="str">
            <v>UB Rahastoyhtiö Oy</v>
          </cell>
        </row>
        <row r="601">
          <cell r="B601" t="str">
            <v>21181015#055</v>
          </cell>
          <cell r="H601" t="str">
            <v>UB Rahastoyhtiö Oy</v>
          </cell>
        </row>
        <row r="602">
          <cell r="B602" t="str">
            <v>21543362#001</v>
          </cell>
          <cell r="H602" t="str">
            <v>Helsinki Capital Partners Oy</v>
          </cell>
        </row>
        <row r="603">
          <cell r="B603" t="str">
            <v>21543362#002</v>
          </cell>
          <cell r="H603" t="str">
            <v>Helsinki Capital Partners Oy</v>
          </cell>
        </row>
        <row r="604">
          <cell r="B604" t="str">
            <v>21543362#003</v>
          </cell>
          <cell r="H604" t="str">
            <v>Helsinki Capital Partners Oy</v>
          </cell>
        </row>
        <row r="605">
          <cell r="B605" t="str">
            <v>21543362#004</v>
          </cell>
          <cell r="H605" t="str">
            <v>Helsinki Capital Partners Oy</v>
          </cell>
        </row>
        <row r="606">
          <cell r="B606" t="str">
            <v>22888047#002</v>
          </cell>
          <cell r="H606" t="str">
            <v>Titanium Rahastoyhtiö Oy</v>
          </cell>
        </row>
        <row r="607">
          <cell r="B607" t="str">
            <v>22888047#004</v>
          </cell>
          <cell r="H607" t="str">
            <v>Titanium Rahastoyhtiö Oy</v>
          </cell>
        </row>
        <row r="608">
          <cell r="B608" t="str">
            <v>22888047#006</v>
          </cell>
          <cell r="H608" t="str">
            <v>Titanium Rahastoyhtiö Oy</v>
          </cell>
        </row>
        <row r="609">
          <cell r="B609" t="str">
            <v>22888047#007</v>
          </cell>
          <cell r="H609" t="str">
            <v>Titanium Rahastoyhtiö Oy</v>
          </cell>
        </row>
        <row r="610">
          <cell r="B610" t="str">
            <v>23245609#018</v>
          </cell>
          <cell r="H610" t="str">
            <v>Finlandia Rahastoyhtiö Oy</v>
          </cell>
        </row>
        <row r="611">
          <cell r="B611" t="str">
            <v>23245609#019</v>
          </cell>
          <cell r="H611" t="str">
            <v>Finlandia Rahastoyhtiö Oy</v>
          </cell>
        </row>
        <row r="612">
          <cell r="B612" t="str">
            <v>23245609#020</v>
          </cell>
          <cell r="H612" t="str">
            <v>Finlandia Rahastoyhtiö Oy</v>
          </cell>
        </row>
        <row r="613">
          <cell r="B613" t="str">
            <v>28125497#001</v>
          </cell>
          <cell r="H613" t="str">
            <v>Mandatum AM AIFM Oy</v>
          </cell>
        </row>
        <row r="614">
          <cell r="B614" t="str">
            <v>28233658#007</v>
          </cell>
          <cell r="H614" t="str">
            <v>Obsido Rahastoyhtiö Oy</v>
          </cell>
        </row>
        <row r="615">
          <cell r="B615" t="str">
            <v>28233658#008</v>
          </cell>
          <cell r="H615" t="str">
            <v>Obsido Rahastoyhtiö Oy</v>
          </cell>
        </row>
        <row r="616">
          <cell r="B616" t="str">
            <v>29064614#005</v>
          </cell>
          <cell r="H616" t="str">
            <v>CapMan AIFM Oy</v>
          </cell>
        </row>
        <row r="617">
          <cell r="B617" t="str">
            <v>29064614#018</v>
          </cell>
          <cell r="H617" t="str">
            <v>CapMan AIFM Oy</v>
          </cell>
        </row>
        <row r="618">
          <cell r="B618" t="str">
            <v>29064614#022</v>
          </cell>
          <cell r="H618" t="str">
            <v>CapMan AIFM Oy</v>
          </cell>
        </row>
        <row r="619">
          <cell r="B619" t="str">
            <v>29064614#025</v>
          </cell>
          <cell r="H619" t="str">
            <v>CapMan AIFM Oy</v>
          </cell>
        </row>
        <row r="620">
          <cell r="B620" t="str">
            <v>29064614#026</v>
          </cell>
          <cell r="H620" t="str">
            <v>CapMan AIFM Oy</v>
          </cell>
        </row>
        <row r="621">
          <cell r="B621" t="str">
            <v>29064614#029</v>
          </cell>
          <cell r="H621" t="str">
            <v>CapMan AIFM Oy</v>
          </cell>
        </row>
        <row r="622">
          <cell r="B622" t="str">
            <v>29064614#031</v>
          </cell>
          <cell r="H622" t="str">
            <v>CapMan AIFM Oy</v>
          </cell>
        </row>
        <row r="623">
          <cell r="B623" t="str">
            <v>29064614#033</v>
          </cell>
          <cell r="H623" t="str">
            <v>CapMan AIFM Oy</v>
          </cell>
        </row>
        <row r="624">
          <cell r="B624" t="str">
            <v>32844961#001</v>
          </cell>
          <cell r="H624" t="str">
            <v>Proprius Partners Oy</v>
          </cell>
        </row>
        <row r="625">
          <cell r="B625" t="str">
            <v>32844961#002</v>
          </cell>
          <cell r="H625" t="str">
            <v>Proprius Partners Oy</v>
          </cell>
        </row>
        <row r="626">
          <cell r="B626" t="str">
            <v>32844961#003</v>
          </cell>
          <cell r="H626" t="str">
            <v>Proprius Partners Oy</v>
          </cell>
        </row>
        <row r="627">
          <cell r="B627" t="str">
            <v>32844961#004</v>
          </cell>
          <cell r="H627" t="str">
            <v>Proprius Partners Oy</v>
          </cell>
        </row>
        <row r="628">
          <cell r="B628" t="str">
            <v>32844961#005</v>
          </cell>
          <cell r="H628" t="str">
            <v>Proprius Partners Oy</v>
          </cell>
        </row>
        <row r="629">
          <cell r="B629" t="str">
            <v/>
          </cell>
          <cell r="H629" t="str">
            <v/>
          </cell>
        </row>
        <row r="630">
          <cell r="B630" t="str">
            <v/>
          </cell>
          <cell r="H630" t="str">
            <v/>
          </cell>
        </row>
        <row r="631">
          <cell r="B631" t="str">
            <v>Suljetut pääoma- ja kiinteistörahastot (Non-UCITS)</v>
          </cell>
          <cell r="H631" t="str">
            <v/>
          </cell>
        </row>
        <row r="632">
          <cell r="B632" t="str">
            <v>Sluten kapital- och fastighetsfonder (Non-UCITS)</v>
          </cell>
          <cell r="H632" t="str">
            <v/>
          </cell>
        </row>
        <row r="633">
          <cell r="B633" t="str">
            <v>Closed-end private equity and real estate funds (Non-UCITS)</v>
          </cell>
          <cell r="H633" t="str">
            <v/>
          </cell>
        </row>
        <row r="634">
          <cell r="B634" t="str">
            <v/>
          </cell>
          <cell r="H634" t="str">
            <v/>
          </cell>
        </row>
        <row r="635">
          <cell r="B635" t="str">
            <v>01120872#001</v>
          </cell>
          <cell r="H635" t="str">
            <v>Access Capital Advisors Finland Oy</v>
          </cell>
        </row>
        <row r="636">
          <cell r="B636" t="str">
            <v>01120872#002</v>
          </cell>
          <cell r="H636" t="str">
            <v>Access Capital Advisors Finland Oy</v>
          </cell>
        </row>
        <row r="637">
          <cell r="B637" t="str">
            <v>01120872#003</v>
          </cell>
          <cell r="H637" t="str">
            <v>Access Capital Advisors Finland Oy</v>
          </cell>
        </row>
        <row r="638">
          <cell r="B638" t="str">
            <v>01120872#004</v>
          </cell>
          <cell r="H638" t="str">
            <v>Access Capital Advisors Finland Oy</v>
          </cell>
        </row>
        <row r="639">
          <cell r="B639" t="str">
            <v>01120872#005</v>
          </cell>
          <cell r="H639" t="str">
            <v>Access Capital Advisors Finland Oy</v>
          </cell>
        </row>
        <row r="640">
          <cell r="B640" t="str">
            <v>01120872#006</v>
          </cell>
          <cell r="H640" t="str">
            <v>Access Capital Advisors Finland Oy</v>
          </cell>
        </row>
        <row r="641">
          <cell r="B641" t="str">
            <v>01120872#007</v>
          </cell>
          <cell r="H641" t="str">
            <v>Access Capital Advisors Finland Oy</v>
          </cell>
        </row>
        <row r="642">
          <cell r="B642" t="str">
            <v>01120872#008</v>
          </cell>
          <cell r="H642" t="str">
            <v>Access Capital Advisors Finland Oy</v>
          </cell>
        </row>
        <row r="643">
          <cell r="B643" t="str">
            <v>05991018#002</v>
          </cell>
          <cell r="H643" t="str">
            <v>OP Kiinteistösijoitus Oy</v>
          </cell>
        </row>
        <row r="644">
          <cell r="B644" t="str">
            <v>05991018#003</v>
          </cell>
          <cell r="H644" t="str">
            <v>OP Kiinteistösijoitus Oy</v>
          </cell>
        </row>
        <row r="645">
          <cell r="B645" t="str">
            <v>05991018#004</v>
          </cell>
          <cell r="H645" t="str">
            <v>OP Kiinteistösijoitus Oy</v>
          </cell>
        </row>
        <row r="646">
          <cell r="B646" t="str">
            <v>05991018#005</v>
          </cell>
          <cell r="H646" t="str">
            <v>OP Kiinteistösijoitus Oy</v>
          </cell>
        </row>
        <row r="647">
          <cell r="B647" t="str">
            <v>05991018#009</v>
          </cell>
          <cell r="H647" t="str">
            <v>OP Kiinteistösijoitus Oy</v>
          </cell>
        </row>
        <row r="648">
          <cell r="B648" t="str">
            <v>05991018#010</v>
          </cell>
          <cell r="H648" t="str">
            <v>OP Kiinteistösijoitus Oy</v>
          </cell>
        </row>
        <row r="649">
          <cell r="B649" t="str">
            <v>05991018#011</v>
          </cell>
          <cell r="H649" t="str">
            <v>OP Kiinteistösijoitus Oy</v>
          </cell>
        </row>
        <row r="650">
          <cell r="B650" t="str">
            <v>07360527#061</v>
          </cell>
          <cell r="H650" t="str">
            <v>eQ Rahastoyhtiö Oy</v>
          </cell>
        </row>
        <row r="651">
          <cell r="B651" t="str">
            <v>07360527#062</v>
          </cell>
          <cell r="H651" t="str">
            <v>eQ Rahastoyhtiö Oy</v>
          </cell>
        </row>
        <row r="652">
          <cell r="B652" t="str">
            <v>07360527#063</v>
          </cell>
          <cell r="H652" t="str">
            <v>eQ Rahastoyhtiö Oy</v>
          </cell>
        </row>
        <row r="653">
          <cell r="B653" t="str">
            <v>07360527#067</v>
          </cell>
          <cell r="H653" t="str">
            <v>eQ Rahastoyhtiö Oy</v>
          </cell>
        </row>
        <row r="654">
          <cell r="B654" t="str">
            <v>07360527#068</v>
          </cell>
          <cell r="H654" t="str">
            <v>eQ Rahastoyhtiö Oy</v>
          </cell>
        </row>
        <row r="655">
          <cell r="B655" t="str">
            <v>07360527#071</v>
          </cell>
          <cell r="H655" t="str">
            <v>eQ Rahastoyhtiö Oy</v>
          </cell>
        </row>
        <row r="656">
          <cell r="B656" t="str">
            <v>07360527#074</v>
          </cell>
          <cell r="H656" t="str">
            <v>eQ Rahastoyhtiö Oy</v>
          </cell>
        </row>
        <row r="657">
          <cell r="B657" t="str">
            <v>07360527#076</v>
          </cell>
          <cell r="H657" t="str">
            <v>eQ Rahastoyhtiö Oy</v>
          </cell>
        </row>
        <row r="658">
          <cell r="B658" t="str">
            <v>07360527#077</v>
          </cell>
          <cell r="H658" t="str">
            <v>eQ Rahastoyhtiö Oy</v>
          </cell>
        </row>
        <row r="659">
          <cell r="B659" t="str">
            <v>07360527#078</v>
          </cell>
          <cell r="H659" t="str">
            <v>eQ Rahastoyhtiö Oy</v>
          </cell>
        </row>
        <row r="660">
          <cell r="B660" t="str">
            <v>07360527#079</v>
          </cell>
          <cell r="H660" t="str">
            <v>eQ Rahastoyhtiö Oy</v>
          </cell>
        </row>
        <row r="661">
          <cell r="B661" t="str">
            <v>07360527#087</v>
          </cell>
          <cell r="H661" t="str">
            <v>eQ Rahastoyhtiö Oy</v>
          </cell>
        </row>
        <row r="662">
          <cell r="B662" t="str">
            <v>07360527#091</v>
          </cell>
          <cell r="H662" t="str">
            <v>eQ Rahastoyhtiö Oy</v>
          </cell>
        </row>
        <row r="663">
          <cell r="B663" t="str">
            <v>07360527#093</v>
          </cell>
          <cell r="H663" t="str">
            <v>eQ Rahastoyhtiö Oy</v>
          </cell>
        </row>
        <row r="664">
          <cell r="B664" t="str">
            <v>07360527#100</v>
          </cell>
          <cell r="H664" t="str">
            <v>eQ Rahastoyhtiö Oy</v>
          </cell>
        </row>
        <row r="665">
          <cell r="B665" t="str">
            <v>07360527#107</v>
          </cell>
          <cell r="H665" t="str">
            <v>eQ Rahastoyhtiö Oy</v>
          </cell>
        </row>
        <row r="666">
          <cell r="B666" t="str">
            <v>07360527#113</v>
          </cell>
          <cell r="H666" t="str">
            <v>eQ Rahastoyhtiö Oy</v>
          </cell>
        </row>
        <row r="667">
          <cell r="B667" t="str">
            <v>07360527#116</v>
          </cell>
          <cell r="H667" t="str">
            <v>eQ Rahastoyhtiö Oy</v>
          </cell>
        </row>
        <row r="668">
          <cell r="B668" t="str">
            <v>07360527#124</v>
          </cell>
          <cell r="H668" t="str">
            <v>eQ Rahastoyhtiö Oy</v>
          </cell>
        </row>
        <row r="669">
          <cell r="B669" t="str">
            <v>07360527#126</v>
          </cell>
          <cell r="H669" t="str">
            <v>eQ Rahastoyhtiö Oy</v>
          </cell>
        </row>
        <row r="670">
          <cell r="B670" t="str">
            <v>07360527#129</v>
          </cell>
          <cell r="H670" t="str">
            <v>eQ Rahastoyhtiö Oy</v>
          </cell>
        </row>
        <row r="671">
          <cell r="B671" t="str">
            <v>07360527#133</v>
          </cell>
          <cell r="H671" t="str">
            <v>eQ Rahastoyhtiö Oy</v>
          </cell>
        </row>
        <row r="672">
          <cell r="B672" t="str">
            <v>07360527#137</v>
          </cell>
          <cell r="H672" t="str">
            <v>eQ Rahastoyhtiö Oy</v>
          </cell>
        </row>
        <row r="673">
          <cell r="B673" t="str">
            <v>07360527#139</v>
          </cell>
          <cell r="H673" t="str">
            <v>eQ Rahastoyhtiö Oy</v>
          </cell>
        </row>
        <row r="674">
          <cell r="B674" t="str">
            <v>07360527#142</v>
          </cell>
          <cell r="H674" t="str">
            <v>eQ Rahastoyhtiö Oy</v>
          </cell>
        </row>
        <row r="675">
          <cell r="B675" t="str">
            <v>07360527#146</v>
          </cell>
          <cell r="H675" t="str">
            <v>eQ Rahastoyhtiö Oy</v>
          </cell>
        </row>
        <row r="676">
          <cell r="B676" t="str">
            <v>07439622#139</v>
          </cell>
          <cell r="H676" t="str">
            <v>OP-Rahastoyhtiö Oy</v>
          </cell>
        </row>
        <row r="677">
          <cell r="B677" t="str">
            <v>07439622#146</v>
          </cell>
          <cell r="H677" t="str">
            <v>OP-Rahastoyhtiö Oy</v>
          </cell>
        </row>
        <row r="678">
          <cell r="B678" t="str">
            <v>07446590#081</v>
          </cell>
          <cell r="H678" t="str">
            <v>Evli-Rahastoyhtiö Oy</v>
          </cell>
        </row>
        <row r="679">
          <cell r="B679" t="str">
            <v>07446590#082</v>
          </cell>
          <cell r="H679" t="str">
            <v>Evli-Rahastoyhtiö Oy</v>
          </cell>
        </row>
        <row r="680">
          <cell r="B680" t="str">
            <v>07446590#084</v>
          </cell>
          <cell r="H680" t="str">
            <v>Evli-Rahastoyhtiö Oy</v>
          </cell>
        </row>
        <row r="681">
          <cell r="B681" t="str">
            <v>07446590#085</v>
          </cell>
          <cell r="H681" t="str">
            <v>Evli-Rahastoyhtiö Oy</v>
          </cell>
        </row>
        <row r="682">
          <cell r="B682" t="str">
            <v>07446590#086</v>
          </cell>
          <cell r="H682" t="str">
            <v>Evli-Rahastoyhtiö Oy</v>
          </cell>
        </row>
        <row r="683">
          <cell r="B683" t="str">
            <v>07446590#087</v>
          </cell>
          <cell r="H683" t="str">
            <v>Evli-Rahastoyhtiö Oy</v>
          </cell>
        </row>
        <row r="684">
          <cell r="B684" t="str">
            <v>07446590#089</v>
          </cell>
          <cell r="H684" t="str">
            <v>Evli-Rahastoyhtiö Oy</v>
          </cell>
        </row>
        <row r="685">
          <cell r="B685" t="str">
            <v>07446590#091</v>
          </cell>
          <cell r="H685" t="str">
            <v>Evli-Rahastoyhtiö Oy</v>
          </cell>
        </row>
        <row r="686">
          <cell r="B686" t="str">
            <v>07446590#093</v>
          </cell>
          <cell r="H686" t="str">
            <v>Evli-Rahastoyhtiö Oy</v>
          </cell>
        </row>
        <row r="687">
          <cell r="B687" t="str">
            <v>07446590#094</v>
          </cell>
          <cell r="H687" t="str">
            <v>Evli-Rahastoyhtiö Oy</v>
          </cell>
        </row>
        <row r="688">
          <cell r="B688" t="str">
            <v>07446590#095</v>
          </cell>
          <cell r="H688" t="str">
            <v>Evli-Rahastoyhtiö Oy</v>
          </cell>
        </row>
        <row r="689">
          <cell r="B689" t="str">
            <v>07446590#096</v>
          </cell>
          <cell r="H689" t="str">
            <v>Evli-Rahastoyhtiö Oy</v>
          </cell>
        </row>
        <row r="690">
          <cell r="B690" t="str">
            <v>07446590#097</v>
          </cell>
          <cell r="H690" t="str">
            <v>Evli-Rahastoyhtiö Oy</v>
          </cell>
        </row>
        <row r="691">
          <cell r="B691" t="str">
            <v>07446590#098</v>
          </cell>
          <cell r="H691" t="str">
            <v>Evli-Rahastoyhtiö Oy</v>
          </cell>
        </row>
        <row r="692">
          <cell r="B692" t="str">
            <v>07446590#099</v>
          </cell>
          <cell r="H692" t="str">
            <v>Evli-Rahastoyhtiö Oy</v>
          </cell>
        </row>
        <row r="693">
          <cell r="B693" t="str">
            <v>07446590#100</v>
          </cell>
          <cell r="H693" t="str">
            <v>Evli-Rahastoyhtiö Oy</v>
          </cell>
        </row>
        <row r="694">
          <cell r="B694" t="str">
            <v>07446590#101</v>
          </cell>
          <cell r="H694" t="str">
            <v>Evli-Rahastoyhtiö Oy</v>
          </cell>
        </row>
        <row r="695">
          <cell r="B695" t="str">
            <v>07446590#102</v>
          </cell>
          <cell r="H695" t="str">
            <v>Evli-Rahastoyhtiö Oy</v>
          </cell>
        </row>
        <row r="696">
          <cell r="B696" t="str">
            <v>07446590#106</v>
          </cell>
          <cell r="H696" t="str">
            <v>Evli-Rahastoyhtiö Oy</v>
          </cell>
        </row>
        <row r="697">
          <cell r="B697" t="str">
            <v>07446590#107</v>
          </cell>
          <cell r="H697" t="str">
            <v>Evli-Rahastoyhtiö Oy</v>
          </cell>
        </row>
        <row r="698">
          <cell r="B698" t="str">
            <v>07446590#110</v>
          </cell>
          <cell r="H698" t="str">
            <v>Evli-Rahastoyhtiö Oy</v>
          </cell>
        </row>
        <row r="699">
          <cell r="B699" t="str">
            <v>07446590#111</v>
          </cell>
          <cell r="H699" t="str">
            <v>Evli-Rahastoyhtiö Oy</v>
          </cell>
        </row>
        <row r="700">
          <cell r="B700" t="str">
            <v>07446590#112</v>
          </cell>
          <cell r="H700" t="str">
            <v>Evli-Rahastoyhtiö Oy</v>
          </cell>
        </row>
        <row r="701">
          <cell r="B701" t="str">
            <v>07446590#113</v>
          </cell>
          <cell r="H701" t="str">
            <v>Evli-Rahastoyhtiö Oy</v>
          </cell>
        </row>
        <row r="702">
          <cell r="B702" t="str">
            <v>07446590#114</v>
          </cell>
          <cell r="H702" t="str">
            <v>Evli-Rahastoyhtiö Oy</v>
          </cell>
        </row>
        <row r="703">
          <cell r="B703" t="str">
            <v>07446590#115</v>
          </cell>
          <cell r="H703" t="str">
            <v>Evli-Rahastoyhtiö Oy</v>
          </cell>
        </row>
        <row r="704">
          <cell r="B704" t="str">
            <v>07446590#116</v>
          </cell>
          <cell r="H704" t="str">
            <v>Evli-Rahastoyhtiö Oy</v>
          </cell>
        </row>
        <row r="705">
          <cell r="B705" t="str">
            <v>07446590#117</v>
          </cell>
          <cell r="H705" t="str">
            <v>Evli-Rahastoyhtiö Oy</v>
          </cell>
        </row>
        <row r="706">
          <cell r="B706" t="str">
            <v>07446590#122</v>
          </cell>
          <cell r="H706" t="str">
            <v>Evli-Rahastoyhtiö Oy</v>
          </cell>
        </row>
        <row r="707">
          <cell r="B707" t="str">
            <v>07446590#123</v>
          </cell>
          <cell r="H707" t="str">
            <v>Evli-Rahastoyhtiö Oy</v>
          </cell>
        </row>
        <row r="708">
          <cell r="B708" t="str">
            <v>07446590#139</v>
          </cell>
          <cell r="H708" t="str">
            <v>Evli-Rahastoyhtiö Oy</v>
          </cell>
        </row>
        <row r="709">
          <cell r="B709" t="str">
            <v>07446590#140</v>
          </cell>
          <cell r="H709" t="str">
            <v>Evli-Rahastoyhtiö Oy</v>
          </cell>
        </row>
        <row r="710">
          <cell r="B710" t="str">
            <v>07446590#142</v>
          </cell>
          <cell r="H710" t="str">
            <v>Evli-Rahastoyhtiö Oy</v>
          </cell>
        </row>
        <row r="711">
          <cell r="B711" t="str">
            <v>07446590#143</v>
          </cell>
          <cell r="H711" t="str">
            <v>Evli-Rahastoyhtiö Oy</v>
          </cell>
        </row>
        <row r="712">
          <cell r="B712" t="str">
            <v>07446590#146</v>
          </cell>
          <cell r="H712" t="str">
            <v>Evli-Rahastoyhtiö Oy</v>
          </cell>
        </row>
        <row r="713">
          <cell r="B713" t="str">
            <v>07446590#147</v>
          </cell>
          <cell r="H713" t="str">
            <v>Evli-Rahastoyhtiö Oy</v>
          </cell>
        </row>
        <row r="714">
          <cell r="B714" t="str">
            <v>07446590#148</v>
          </cell>
          <cell r="H714" t="str">
            <v>Evli-Rahastoyhtiö Oy</v>
          </cell>
        </row>
        <row r="715">
          <cell r="B715" t="str">
            <v>07446590#149</v>
          </cell>
          <cell r="H715" t="str">
            <v>Evli-Rahastoyhtiö Oy</v>
          </cell>
        </row>
        <row r="716">
          <cell r="B716" t="str">
            <v>07446590#151</v>
          </cell>
          <cell r="H716" t="str">
            <v>Evli-Rahastoyhtiö Oy</v>
          </cell>
        </row>
        <row r="717">
          <cell r="B717" t="str">
            <v>07446590#152</v>
          </cell>
          <cell r="H717" t="str">
            <v>Evli-Rahastoyhtiö Oy</v>
          </cell>
        </row>
        <row r="718">
          <cell r="B718" t="str">
            <v>07446590#153</v>
          </cell>
          <cell r="H718" t="str">
            <v>Evli-Rahastoyhtiö Oy</v>
          </cell>
        </row>
        <row r="719">
          <cell r="B719" t="str">
            <v>07446590#154</v>
          </cell>
          <cell r="H719" t="str">
            <v>Evli-Rahastoyhtiö Oy</v>
          </cell>
        </row>
        <row r="720">
          <cell r="B720" t="str">
            <v>07446590#155</v>
          </cell>
          <cell r="H720" t="str">
            <v>Evli-Rahastoyhtiö Oy</v>
          </cell>
        </row>
        <row r="721">
          <cell r="B721" t="str">
            <v>07446590#156</v>
          </cell>
          <cell r="H721" t="str">
            <v>Evli-Rahastoyhtiö Oy</v>
          </cell>
        </row>
        <row r="722">
          <cell r="B722" t="str">
            <v>07446590#157</v>
          </cell>
          <cell r="H722" t="str">
            <v>Evli-Rahastoyhtiö Oy</v>
          </cell>
        </row>
        <row r="723">
          <cell r="B723" t="str">
            <v>07446590#158</v>
          </cell>
          <cell r="H723" t="str">
            <v>Evli-Rahastoyhtiö Oy</v>
          </cell>
        </row>
        <row r="724">
          <cell r="B724" t="str">
            <v>07446590#159</v>
          </cell>
          <cell r="H724" t="str">
            <v>Evli-Rahastoyhtiö Oy</v>
          </cell>
        </row>
        <row r="725">
          <cell r="B725" t="str">
            <v>07446590#160</v>
          </cell>
          <cell r="H725" t="str">
            <v>Evli-Rahastoyhtiö Oy</v>
          </cell>
        </row>
        <row r="726">
          <cell r="B726" t="str">
            <v>07446590#162</v>
          </cell>
          <cell r="H726" t="str">
            <v>Evli-Rahastoyhtiö Oy</v>
          </cell>
        </row>
        <row r="727">
          <cell r="B727" t="str">
            <v>07446590#163</v>
          </cell>
          <cell r="H727" t="str">
            <v>Evli-Rahastoyhtiö Oy</v>
          </cell>
        </row>
        <row r="728">
          <cell r="B728" t="str">
            <v>07446590#164</v>
          </cell>
          <cell r="H728" t="str">
            <v>Evli-Rahastoyhtiö Oy</v>
          </cell>
        </row>
        <row r="729">
          <cell r="B729" t="str">
            <v>07446590#165</v>
          </cell>
          <cell r="H729" t="str">
            <v>Evli-Rahastoyhtiö Oy</v>
          </cell>
        </row>
        <row r="730">
          <cell r="B730" t="str">
            <v>07446590#166</v>
          </cell>
          <cell r="H730" t="str">
            <v>Evli-Rahastoyhtiö Oy</v>
          </cell>
        </row>
        <row r="731">
          <cell r="B731" t="str">
            <v>07446590#167</v>
          </cell>
          <cell r="H731" t="str">
            <v>Evli-Rahastoyhtiö Oy</v>
          </cell>
        </row>
        <row r="732">
          <cell r="B732" t="str">
            <v>07446590#168</v>
          </cell>
          <cell r="H732" t="str">
            <v>Evli-Rahastoyhtiö Oy</v>
          </cell>
        </row>
        <row r="733">
          <cell r="B733" t="str">
            <v>07446590#169</v>
          </cell>
          <cell r="H733" t="str">
            <v>Evli-Rahastoyhtiö Oy</v>
          </cell>
        </row>
        <row r="734">
          <cell r="B734" t="str">
            <v>07446590#170</v>
          </cell>
          <cell r="H734" t="str">
            <v>Evli-Rahastoyhtiö Oy</v>
          </cell>
        </row>
        <row r="735">
          <cell r="B735" t="str">
            <v>07446590#171</v>
          </cell>
          <cell r="H735" t="str">
            <v>Evli-Rahastoyhtiö Oy</v>
          </cell>
        </row>
        <row r="736">
          <cell r="B736" t="str">
            <v>07446590#172</v>
          </cell>
          <cell r="H736" t="str">
            <v>Evli-Rahastoyhtiö Oy</v>
          </cell>
        </row>
        <row r="737">
          <cell r="B737" t="str">
            <v>07446590#173</v>
          </cell>
          <cell r="H737" t="str">
            <v>Evli-Rahastoyhtiö Oy</v>
          </cell>
        </row>
        <row r="738">
          <cell r="B738" t="str">
            <v>07446590#174</v>
          </cell>
          <cell r="H738" t="str">
            <v>Evli-Rahastoyhtiö Oy</v>
          </cell>
        </row>
        <row r="739">
          <cell r="B739" t="str">
            <v>07446590#175</v>
          </cell>
          <cell r="H739" t="str">
            <v>Evli-Rahastoyhtiö Oy</v>
          </cell>
        </row>
        <row r="740">
          <cell r="B740" t="str">
            <v>07446590#181</v>
          </cell>
          <cell r="H740" t="str">
            <v>Evli-Rahastoyhtiö Oy</v>
          </cell>
        </row>
        <row r="741">
          <cell r="B741" t="str">
            <v>07446590#182</v>
          </cell>
          <cell r="H741" t="str">
            <v>Evli-Rahastoyhtiö Oy</v>
          </cell>
        </row>
        <row r="742">
          <cell r="B742" t="str">
            <v>07446590#183</v>
          </cell>
          <cell r="H742" t="str">
            <v>Evli-Rahastoyhtiö Oy</v>
          </cell>
        </row>
        <row r="743">
          <cell r="B743" t="str">
            <v>07446590#184</v>
          </cell>
          <cell r="H743" t="str">
            <v>Evli-Rahastoyhtiö Oy</v>
          </cell>
        </row>
        <row r="744">
          <cell r="B744" t="str">
            <v>07446590#185</v>
          </cell>
          <cell r="H744" t="str">
            <v>Evli-Rahastoyhtiö Oy</v>
          </cell>
        </row>
        <row r="745">
          <cell r="B745" t="str">
            <v>07446590#186</v>
          </cell>
          <cell r="H745" t="str">
            <v>Evli-Rahastoyhtiö Oy</v>
          </cell>
        </row>
        <row r="746">
          <cell r="B746" t="str">
            <v>07490276#012</v>
          </cell>
          <cell r="H746" t="str">
            <v>CapMan Capital Management Oy</v>
          </cell>
        </row>
        <row r="747">
          <cell r="B747" t="str">
            <v>07612464#001</v>
          </cell>
          <cell r="H747" t="str">
            <v>Sponsor Capital Oy</v>
          </cell>
        </row>
        <row r="748">
          <cell r="B748" t="str">
            <v>07612464#003</v>
          </cell>
          <cell r="H748" t="str">
            <v>Sponsor Capital Oy</v>
          </cell>
        </row>
        <row r="749">
          <cell r="B749" t="str">
            <v>07612464#004</v>
          </cell>
          <cell r="H749" t="str">
            <v>Sponsor Capital Oy</v>
          </cell>
        </row>
        <row r="750">
          <cell r="B750" t="str">
            <v>08668558#001</v>
          </cell>
          <cell r="H750" t="str">
            <v>Nordia Management Oy</v>
          </cell>
        </row>
        <row r="751">
          <cell r="B751" t="str">
            <v>08668558#002</v>
          </cell>
          <cell r="H751" t="str">
            <v>Nordia Management Oy</v>
          </cell>
        </row>
        <row r="752">
          <cell r="B752" t="str">
            <v>08668558#003</v>
          </cell>
          <cell r="H752" t="str">
            <v>Nordia Management Oy</v>
          </cell>
        </row>
        <row r="753">
          <cell r="B753" t="str">
            <v>08668558#004</v>
          </cell>
          <cell r="H753" t="str">
            <v>Nordia Management Oy</v>
          </cell>
        </row>
        <row r="754">
          <cell r="B754" t="str">
            <v>08718295#003</v>
          </cell>
          <cell r="H754" t="str">
            <v>Aboa Venture Management Oy</v>
          </cell>
        </row>
        <row r="755">
          <cell r="B755" t="str">
            <v>08718295#004</v>
          </cell>
          <cell r="H755" t="str">
            <v>Aboa Venture Management Oy</v>
          </cell>
        </row>
        <row r="756">
          <cell r="B756" t="str">
            <v>09791339#096</v>
          </cell>
          <cell r="H756" t="str">
            <v>S-Pankki Rahastoyhtiö Oy</v>
          </cell>
        </row>
        <row r="757">
          <cell r="B757" t="str">
            <v>09791339#097</v>
          </cell>
          <cell r="H757" t="str">
            <v>S-Pankki Rahastoyhtiö Oy</v>
          </cell>
        </row>
        <row r="758">
          <cell r="B758" t="str">
            <v>09791339#098</v>
          </cell>
          <cell r="H758" t="str">
            <v>S-Pankki Rahastoyhtiö Oy</v>
          </cell>
        </row>
        <row r="759">
          <cell r="B759" t="str">
            <v>09791339#099</v>
          </cell>
          <cell r="H759" t="str">
            <v>S-Pankki Rahastoyhtiö Oy</v>
          </cell>
        </row>
        <row r="760">
          <cell r="B760" t="str">
            <v>09791339#100</v>
          </cell>
          <cell r="H760" t="str">
            <v>S-Pankki Rahastoyhtiö Oy</v>
          </cell>
        </row>
        <row r="761">
          <cell r="B761" t="str">
            <v>09791339#101</v>
          </cell>
          <cell r="H761" t="str">
            <v>S-Pankki Rahastoyhtiö Oy</v>
          </cell>
        </row>
        <row r="762">
          <cell r="B762" t="str">
            <v>09791339#102</v>
          </cell>
          <cell r="H762" t="str">
            <v>S-Pankki Rahastoyhtiö Oy</v>
          </cell>
        </row>
        <row r="763">
          <cell r="B763" t="str">
            <v>09791339#103</v>
          </cell>
          <cell r="H763" t="str">
            <v>S-Pankki Rahastoyhtiö Oy</v>
          </cell>
        </row>
        <row r="764">
          <cell r="B764" t="str">
            <v>09791339#104</v>
          </cell>
          <cell r="H764" t="str">
            <v>S-Pankki Rahastoyhtiö Oy</v>
          </cell>
        </row>
        <row r="765">
          <cell r="B765" t="str">
            <v>09791339#105</v>
          </cell>
          <cell r="H765" t="str">
            <v>S-Pankki Rahastoyhtiö Oy</v>
          </cell>
        </row>
        <row r="766">
          <cell r="B766" t="str">
            <v>09791339#106</v>
          </cell>
          <cell r="H766" t="str">
            <v>S-Pankki Rahastoyhtiö Oy</v>
          </cell>
        </row>
        <row r="767">
          <cell r="B767" t="str">
            <v>09791339#107</v>
          </cell>
          <cell r="H767" t="str">
            <v>S-Pankki Rahastoyhtiö Oy</v>
          </cell>
        </row>
        <row r="768">
          <cell r="B768" t="str">
            <v>09791339#108</v>
          </cell>
          <cell r="H768" t="str">
            <v>S-Pankki Rahastoyhtiö Oy</v>
          </cell>
        </row>
        <row r="769">
          <cell r="B769" t="str">
            <v>09791339#109</v>
          </cell>
          <cell r="H769" t="str">
            <v>S-Pankki Rahastoyhtiö Oy</v>
          </cell>
        </row>
        <row r="770">
          <cell r="B770" t="str">
            <v>09791339#110</v>
          </cell>
          <cell r="H770" t="str">
            <v>S-Pankki Rahastoyhtiö Oy</v>
          </cell>
        </row>
        <row r="771">
          <cell r="B771" t="str">
            <v>14713626#040</v>
          </cell>
          <cell r="H771" t="str">
            <v>Ålandsbanken Fondbolag Ab</v>
          </cell>
        </row>
        <row r="772">
          <cell r="B772" t="str">
            <v>14713626#050</v>
          </cell>
          <cell r="H772" t="str">
            <v>Ålandsbanken Fondbolag Ab</v>
          </cell>
        </row>
        <row r="773">
          <cell r="B773" t="str">
            <v>14713626#051</v>
          </cell>
          <cell r="H773" t="str">
            <v>Ålandsbanken Fondbolag Ab</v>
          </cell>
        </row>
        <row r="774">
          <cell r="B774" t="str">
            <v>15793816#002</v>
          </cell>
          <cell r="H774" t="str">
            <v>Nexit Ventures Oy</v>
          </cell>
        </row>
        <row r="775">
          <cell r="B775" t="str">
            <v>16172050#001</v>
          </cell>
          <cell r="H775" t="str">
            <v>LähiTapiola Vaihtoehtorahastot Oy</v>
          </cell>
        </row>
        <row r="776">
          <cell r="B776" t="str">
            <v>16172050#003</v>
          </cell>
          <cell r="H776" t="str">
            <v>LähiTapiola Vaihtoehtorahastot Oy</v>
          </cell>
        </row>
        <row r="777">
          <cell r="B777" t="str">
            <v>16172050#004</v>
          </cell>
          <cell r="H777" t="str">
            <v>LähiTapiola Vaihtoehtorahastot Oy</v>
          </cell>
        </row>
        <row r="778">
          <cell r="B778" t="str">
            <v>16172050#010</v>
          </cell>
          <cell r="H778" t="str">
            <v>LähiTapiola Vaihtoehtorahastot Oy</v>
          </cell>
        </row>
        <row r="779">
          <cell r="B779" t="str">
            <v>16172050#011</v>
          </cell>
          <cell r="H779" t="str">
            <v>LähiTapiola Vaihtoehtorahastot Oy</v>
          </cell>
        </row>
        <row r="780">
          <cell r="B780" t="str">
            <v>16172050#012</v>
          </cell>
          <cell r="H780" t="str">
            <v>LähiTapiola Vaihtoehtorahastot Oy</v>
          </cell>
        </row>
        <row r="781">
          <cell r="B781" t="str">
            <v>16172050#019</v>
          </cell>
          <cell r="H781" t="str">
            <v>LähiTapiola Vaihtoehtorahastot Oy</v>
          </cell>
        </row>
        <row r="782">
          <cell r="B782" t="str">
            <v>16172050#020</v>
          </cell>
          <cell r="H782" t="str">
            <v>LähiTapiola Vaihtoehtorahastot Oy</v>
          </cell>
        </row>
        <row r="783">
          <cell r="B783" t="str">
            <v>16172050#021</v>
          </cell>
          <cell r="H783" t="str">
            <v>LähiTapiola Vaihtoehtorahastot Oy</v>
          </cell>
        </row>
        <row r="784">
          <cell r="B784" t="str">
            <v>16172050#022</v>
          </cell>
          <cell r="H784" t="str">
            <v>LähiTapiola Vaihtoehtorahastot Oy</v>
          </cell>
        </row>
        <row r="785">
          <cell r="B785" t="str">
            <v>16172050#023</v>
          </cell>
          <cell r="H785" t="str">
            <v>LähiTapiola Vaihtoehtorahastot Oy</v>
          </cell>
        </row>
        <row r="786">
          <cell r="B786" t="str">
            <v>16172050#024</v>
          </cell>
          <cell r="H786" t="str">
            <v>LähiTapiola Vaihtoehtorahastot Oy</v>
          </cell>
        </row>
        <row r="787">
          <cell r="B787" t="str">
            <v>16172050#030</v>
          </cell>
          <cell r="H787" t="str">
            <v>LähiTapiola Vaihtoehtorahastot Oy</v>
          </cell>
        </row>
        <row r="788">
          <cell r="B788" t="str">
            <v>16172050#031</v>
          </cell>
          <cell r="H788" t="str">
            <v>LähiTapiola Vaihtoehtorahastot Oy</v>
          </cell>
        </row>
        <row r="789">
          <cell r="B789" t="str">
            <v>16172050#032</v>
          </cell>
          <cell r="H789" t="str">
            <v>LähiTapiola Vaihtoehtorahastot Oy</v>
          </cell>
        </row>
        <row r="790">
          <cell r="B790" t="str">
            <v>16172050#033</v>
          </cell>
          <cell r="H790" t="str">
            <v>LähiTapiola Vaihtoehtorahastot Oy</v>
          </cell>
        </row>
        <row r="791">
          <cell r="B791" t="str">
            <v>16172050#034</v>
          </cell>
          <cell r="H791" t="str">
            <v>LähiTapiola Vaihtoehtorahastot Oy</v>
          </cell>
        </row>
        <row r="792">
          <cell r="B792" t="str">
            <v>16172050#035</v>
          </cell>
          <cell r="H792" t="str">
            <v>LähiTapiola Vaihtoehtorahastot Oy</v>
          </cell>
        </row>
        <row r="793">
          <cell r="B793" t="str">
            <v>16172050#036</v>
          </cell>
          <cell r="H793" t="str">
            <v>LähiTapiola Vaihtoehtorahastot Oy</v>
          </cell>
        </row>
        <row r="794">
          <cell r="B794" t="str">
            <v>16172050#037</v>
          </cell>
          <cell r="H794" t="str">
            <v>LähiTapiola Vaihtoehtorahastot Oy</v>
          </cell>
        </row>
        <row r="795">
          <cell r="B795" t="str">
            <v>16447843#001</v>
          </cell>
          <cell r="H795" t="str">
            <v>Midinvest Management Oy</v>
          </cell>
        </row>
        <row r="796">
          <cell r="B796" t="str">
            <v>16447843#007</v>
          </cell>
          <cell r="H796" t="str">
            <v>Midinvest Management Oy</v>
          </cell>
        </row>
        <row r="797">
          <cell r="B797" t="str">
            <v>17900152#002</v>
          </cell>
          <cell r="H797" t="str">
            <v>VNT Management Oy</v>
          </cell>
        </row>
        <row r="798">
          <cell r="B798" t="str">
            <v>17900152#003</v>
          </cell>
          <cell r="H798" t="str">
            <v>VNT Management Oy</v>
          </cell>
        </row>
        <row r="799">
          <cell r="B799" t="str">
            <v>18212730#002</v>
          </cell>
          <cell r="H799" t="str">
            <v>Taitokaari Property Management Oy</v>
          </cell>
        </row>
        <row r="800">
          <cell r="B800" t="str">
            <v>18212730#003</v>
          </cell>
          <cell r="H800" t="str">
            <v>Taitokaari Property Management Oy</v>
          </cell>
        </row>
        <row r="801">
          <cell r="B801" t="str">
            <v>19011500#003</v>
          </cell>
          <cell r="H801" t="str">
            <v>CapMan Classic GP Oy</v>
          </cell>
        </row>
        <row r="802">
          <cell r="B802" t="str">
            <v>19011500#007</v>
          </cell>
          <cell r="H802" t="str">
            <v>CapMan Classic GP Oy</v>
          </cell>
        </row>
        <row r="803">
          <cell r="B803" t="str">
            <v>19076208#001</v>
          </cell>
          <cell r="H803" t="str">
            <v>Sentica Partners Oy</v>
          </cell>
        </row>
        <row r="804">
          <cell r="B804" t="str">
            <v>19076208#004</v>
          </cell>
          <cell r="H804" t="str">
            <v>Sentica Partners Oy</v>
          </cell>
        </row>
        <row r="805">
          <cell r="B805" t="str">
            <v>19076208#005</v>
          </cell>
          <cell r="H805" t="str">
            <v>Sentica Partners Oy</v>
          </cell>
        </row>
        <row r="806">
          <cell r="B806" t="str">
            <v>19076208#008</v>
          </cell>
          <cell r="H806" t="str">
            <v>Sentica Partners Oy</v>
          </cell>
        </row>
        <row r="807">
          <cell r="B807" t="str">
            <v>19076208#009</v>
          </cell>
          <cell r="H807" t="str">
            <v>Sentica Partners Oy</v>
          </cell>
        </row>
        <row r="808">
          <cell r="B808" t="str">
            <v>19076208#010</v>
          </cell>
          <cell r="H808" t="str">
            <v>Sentica Partners Oy</v>
          </cell>
        </row>
        <row r="809">
          <cell r="B809" t="str">
            <v>19076208#011</v>
          </cell>
          <cell r="H809" t="str">
            <v>Sentica Partners Oy</v>
          </cell>
        </row>
        <row r="810">
          <cell r="B810" t="str">
            <v>19076208#012</v>
          </cell>
          <cell r="H810" t="str">
            <v>Sentica Partners Oy</v>
          </cell>
        </row>
        <row r="811">
          <cell r="B811" t="str">
            <v>19076208#013</v>
          </cell>
          <cell r="H811" t="str">
            <v>Sentica Partners Oy</v>
          </cell>
        </row>
        <row r="812">
          <cell r="B812" t="str">
            <v>19790751#002</v>
          </cell>
          <cell r="H812" t="str">
            <v>Onventure Oy</v>
          </cell>
        </row>
        <row r="813">
          <cell r="B813" t="str">
            <v>19790751#003</v>
          </cell>
          <cell r="H813" t="str">
            <v>Onventure Oy</v>
          </cell>
        </row>
        <row r="814">
          <cell r="B814" t="str">
            <v>19790751#004</v>
          </cell>
          <cell r="H814" t="str">
            <v>Onventure Oy</v>
          </cell>
        </row>
        <row r="815">
          <cell r="B815" t="str">
            <v>19790751#005</v>
          </cell>
          <cell r="H815" t="str">
            <v>Onventure Oy</v>
          </cell>
        </row>
        <row r="816">
          <cell r="B816" t="str">
            <v>19790751#006</v>
          </cell>
          <cell r="H816" t="str">
            <v>Onventure Oy</v>
          </cell>
        </row>
        <row r="817">
          <cell r="B817" t="str">
            <v>20377374#003</v>
          </cell>
          <cell r="H817" t="str">
            <v>Korona Invest Oy</v>
          </cell>
        </row>
        <row r="818">
          <cell r="B818" t="str">
            <v>20377374#004</v>
          </cell>
          <cell r="H818" t="str">
            <v>Korona Invest Oy</v>
          </cell>
        </row>
        <row r="819">
          <cell r="B819" t="str">
            <v>20377374#005</v>
          </cell>
          <cell r="H819" t="str">
            <v>Korona Invest Oy</v>
          </cell>
        </row>
        <row r="820">
          <cell r="B820" t="str">
            <v>20628401#045</v>
          </cell>
          <cell r="H820" t="str">
            <v>Aktia Rahastoyhtiö Oy</v>
          </cell>
        </row>
        <row r="821">
          <cell r="B821" t="str">
            <v>20628401#046</v>
          </cell>
          <cell r="H821" t="str">
            <v>Aktia Rahastoyhtiö Oy</v>
          </cell>
        </row>
        <row r="822">
          <cell r="B822" t="str">
            <v>20628401#047</v>
          </cell>
          <cell r="H822" t="str">
            <v>Aktia Rahastoyhtiö Oy</v>
          </cell>
        </row>
        <row r="823">
          <cell r="B823" t="str">
            <v>20628401#048</v>
          </cell>
          <cell r="H823" t="str">
            <v>Aktia Rahastoyhtiö Oy</v>
          </cell>
        </row>
        <row r="824">
          <cell r="B824" t="str">
            <v>20628401#049</v>
          </cell>
          <cell r="H824" t="str">
            <v>Aktia Rahastoyhtiö Oy</v>
          </cell>
        </row>
        <row r="825">
          <cell r="B825" t="str">
            <v>20628401#053</v>
          </cell>
          <cell r="H825" t="str">
            <v>Aktia Rahastoyhtiö Oy</v>
          </cell>
        </row>
        <row r="826">
          <cell r="B826" t="str">
            <v>20628401#054</v>
          </cell>
          <cell r="H826" t="str">
            <v>Aktia Rahastoyhtiö Oy</v>
          </cell>
        </row>
        <row r="827">
          <cell r="B827" t="str">
            <v>20628401#055</v>
          </cell>
          <cell r="H827" t="str">
            <v>Aktia Rahastoyhtiö Oy</v>
          </cell>
        </row>
        <row r="828">
          <cell r="B828" t="str">
            <v>20628401#056</v>
          </cell>
          <cell r="H828" t="str">
            <v>Aktia Rahastoyhtiö Oy</v>
          </cell>
        </row>
        <row r="829">
          <cell r="B829" t="str">
            <v>20628401#057</v>
          </cell>
          <cell r="H829" t="str">
            <v>Aktia Rahastoyhtiö Oy</v>
          </cell>
        </row>
        <row r="830">
          <cell r="B830" t="str">
            <v>20628401#103</v>
          </cell>
          <cell r="H830" t="str">
            <v>Aktia Rahastoyhtiö Oy</v>
          </cell>
        </row>
        <row r="831">
          <cell r="B831" t="str">
            <v>20628401#104</v>
          </cell>
          <cell r="H831" t="str">
            <v>Aktia Rahastoyhtiö Oy</v>
          </cell>
        </row>
        <row r="832">
          <cell r="B832" t="str">
            <v>20628401#105</v>
          </cell>
          <cell r="H832" t="str">
            <v>Aktia Rahastoyhtiö Oy</v>
          </cell>
        </row>
        <row r="833">
          <cell r="B833" t="str">
            <v>20628401#106</v>
          </cell>
          <cell r="H833" t="str">
            <v>Aktia Rahastoyhtiö Oy</v>
          </cell>
        </row>
        <row r="834">
          <cell r="B834" t="str">
            <v>20628401#107</v>
          </cell>
          <cell r="H834" t="str">
            <v>Aktia Rahastoyhtiö Oy</v>
          </cell>
        </row>
        <row r="835">
          <cell r="B835" t="str">
            <v>20628401#110</v>
          </cell>
          <cell r="H835" t="str">
            <v>Aktia Rahastoyhtiö Oy</v>
          </cell>
        </row>
        <row r="836">
          <cell r="B836" t="str">
            <v>20628401#116</v>
          </cell>
          <cell r="H836" t="str">
            <v>Aktia Rahastoyhtiö Oy</v>
          </cell>
        </row>
        <row r="837">
          <cell r="B837" t="str">
            <v>20628401#117</v>
          </cell>
          <cell r="H837" t="str">
            <v>Aktia Rahastoyhtiö Oy</v>
          </cell>
        </row>
        <row r="838">
          <cell r="B838" t="str">
            <v>20628401#118</v>
          </cell>
          <cell r="H838" t="str">
            <v>Aktia Rahastoyhtiö Oy</v>
          </cell>
        </row>
        <row r="839">
          <cell r="B839" t="str">
            <v>20628401#119</v>
          </cell>
          <cell r="H839" t="str">
            <v>Aktia Rahastoyhtiö Oy</v>
          </cell>
        </row>
        <row r="840">
          <cell r="B840" t="str">
            <v>20628401#120</v>
          </cell>
          <cell r="H840" t="str">
            <v>Aktia Rahastoyhtiö Oy</v>
          </cell>
        </row>
        <row r="841">
          <cell r="B841" t="str">
            <v>20628401#122</v>
          </cell>
          <cell r="H841" t="str">
            <v>Aktia Rahastoyhtiö Oy</v>
          </cell>
        </row>
        <row r="842">
          <cell r="B842" t="str">
            <v>20628401#123</v>
          </cell>
          <cell r="H842" t="str">
            <v>Aktia Rahastoyhtiö Oy</v>
          </cell>
        </row>
        <row r="843">
          <cell r="B843" t="str">
            <v>20628401#124</v>
          </cell>
          <cell r="H843" t="str">
            <v>Aktia Rahastoyhtiö Oy</v>
          </cell>
        </row>
        <row r="844">
          <cell r="B844" t="str">
            <v>20628401#125</v>
          </cell>
          <cell r="H844" t="str">
            <v>Aktia Rahastoyhtiö Oy</v>
          </cell>
        </row>
        <row r="845">
          <cell r="B845" t="str">
            <v>20628401#126</v>
          </cell>
          <cell r="H845" t="str">
            <v>Aktia Rahastoyhtiö Oy</v>
          </cell>
        </row>
        <row r="846">
          <cell r="B846" t="str">
            <v>20741519#001</v>
          </cell>
          <cell r="H846" t="str">
            <v>LähiTapiola Kiinteistövarainhoito Oy</v>
          </cell>
        </row>
        <row r="847">
          <cell r="B847" t="str">
            <v>20741519#002</v>
          </cell>
          <cell r="H847" t="str">
            <v>LähiTapiola Kiinteistövarainhoito Oy</v>
          </cell>
        </row>
        <row r="848">
          <cell r="B848" t="str">
            <v>20741519#004</v>
          </cell>
          <cell r="H848" t="str">
            <v>LähiTapiola Kiinteistövarainhoito Oy</v>
          </cell>
        </row>
        <row r="849">
          <cell r="B849" t="str">
            <v>21181015#025</v>
          </cell>
          <cell r="H849" t="str">
            <v>UB Rahastoyhtiö Oy</v>
          </cell>
        </row>
        <row r="850">
          <cell r="B850" t="str">
            <v>21181015#035</v>
          </cell>
          <cell r="H850" t="str">
            <v>UB Rahastoyhtiö Oy</v>
          </cell>
        </row>
        <row r="851">
          <cell r="B851" t="str">
            <v>21181015#036</v>
          </cell>
          <cell r="H851" t="str">
            <v>UB Rahastoyhtiö Oy</v>
          </cell>
        </row>
        <row r="852">
          <cell r="B852" t="str">
            <v>21181015#037</v>
          </cell>
          <cell r="H852" t="str">
            <v>UB Rahastoyhtiö Oy</v>
          </cell>
        </row>
        <row r="853">
          <cell r="B853" t="str">
            <v>21181015#040</v>
          </cell>
          <cell r="H853" t="str">
            <v>UB Rahastoyhtiö Oy</v>
          </cell>
        </row>
        <row r="854">
          <cell r="B854" t="str">
            <v>21181015#041</v>
          </cell>
          <cell r="H854" t="str">
            <v>UB Rahastoyhtiö Oy</v>
          </cell>
        </row>
        <row r="855">
          <cell r="B855" t="str">
            <v>21181015#044</v>
          </cell>
          <cell r="H855" t="str">
            <v>UB Rahastoyhtiö Oy</v>
          </cell>
        </row>
        <row r="856">
          <cell r="B856" t="str">
            <v>21181015#046</v>
          </cell>
          <cell r="H856" t="str">
            <v>UB Rahastoyhtiö Oy</v>
          </cell>
        </row>
        <row r="857">
          <cell r="B857" t="str">
            <v>21181015#050</v>
          </cell>
          <cell r="H857" t="str">
            <v>UB Rahastoyhtiö Oy</v>
          </cell>
        </row>
        <row r="858">
          <cell r="B858" t="str">
            <v>21181015#051</v>
          </cell>
          <cell r="H858" t="str">
            <v>UB Rahastoyhtiö Oy</v>
          </cell>
        </row>
        <row r="859">
          <cell r="B859" t="str">
            <v>21181015#053</v>
          </cell>
          <cell r="H859" t="str">
            <v>UB Rahastoyhtiö Oy</v>
          </cell>
        </row>
        <row r="860">
          <cell r="B860" t="str">
            <v>21181015#056</v>
          </cell>
          <cell r="H860" t="str">
            <v>UB Rahastoyhtiö Oy</v>
          </cell>
        </row>
        <row r="861">
          <cell r="B861" t="str">
            <v>21181015#057</v>
          </cell>
          <cell r="H861" t="str">
            <v>UB Rahastoyhtiö Oy</v>
          </cell>
        </row>
        <row r="862">
          <cell r="B862" t="str">
            <v>21181015#058</v>
          </cell>
          <cell r="H862" t="str">
            <v>UB Rahastoyhtiö Oy</v>
          </cell>
        </row>
        <row r="863">
          <cell r="B863" t="str">
            <v>21181015#059</v>
          </cell>
          <cell r="H863" t="str">
            <v>UB Rahastoyhtiö Oy</v>
          </cell>
        </row>
        <row r="864">
          <cell r="B864" t="str">
            <v>21283126#020</v>
          </cell>
          <cell r="H864" t="str">
            <v>Vaaka Partners Oy</v>
          </cell>
        </row>
        <row r="865">
          <cell r="B865" t="str">
            <v>21283126#021</v>
          </cell>
          <cell r="H865" t="str">
            <v>Vaaka Partners Oy</v>
          </cell>
        </row>
        <row r="866">
          <cell r="B866" t="str">
            <v>21283126#022</v>
          </cell>
          <cell r="H866" t="str">
            <v>Vaaka Partners Oy</v>
          </cell>
        </row>
        <row r="867">
          <cell r="B867" t="str">
            <v>21283126#023</v>
          </cell>
          <cell r="H867" t="str">
            <v>Vaaka Partners Oy</v>
          </cell>
        </row>
        <row r="868">
          <cell r="B868" t="str">
            <v>21283126#024</v>
          </cell>
          <cell r="H868" t="str">
            <v>Vaaka Partners Oy</v>
          </cell>
        </row>
        <row r="869">
          <cell r="B869" t="str">
            <v>21520937#001</v>
          </cell>
          <cell r="H869" t="str">
            <v>Folmer Management Oy</v>
          </cell>
        </row>
        <row r="870">
          <cell r="B870" t="str">
            <v>21520937#002</v>
          </cell>
          <cell r="H870" t="str">
            <v>Folmer Management Oy</v>
          </cell>
        </row>
        <row r="871">
          <cell r="B871" t="str">
            <v>21520937#003</v>
          </cell>
          <cell r="H871" t="str">
            <v>Folmer Management Oy</v>
          </cell>
        </row>
        <row r="872">
          <cell r="B872" t="str">
            <v>21539603#001</v>
          </cell>
          <cell r="H872" t="str">
            <v>Avara Rahastot Oy</v>
          </cell>
        </row>
        <row r="873">
          <cell r="B873" t="str">
            <v>21539603#002</v>
          </cell>
          <cell r="H873" t="str">
            <v>Avara Rahastot Oy</v>
          </cell>
        </row>
        <row r="874">
          <cell r="B874" t="str">
            <v>21539603#003</v>
          </cell>
          <cell r="H874" t="str">
            <v>Avara Rahastot Oy</v>
          </cell>
        </row>
        <row r="875">
          <cell r="B875" t="str">
            <v>21539603#004</v>
          </cell>
          <cell r="H875" t="str">
            <v>Avara Rahastot Oy</v>
          </cell>
        </row>
        <row r="876">
          <cell r="B876" t="str">
            <v>21539603#005</v>
          </cell>
          <cell r="H876" t="str">
            <v>Avara Rahastot Oy</v>
          </cell>
        </row>
        <row r="877">
          <cell r="B877" t="str">
            <v>21539603#006</v>
          </cell>
          <cell r="H877" t="str">
            <v>Avara Rahastot Oy</v>
          </cell>
        </row>
        <row r="878">
          <cell r="B878" t="str">
            <v>21539603#007</v>
          </cell>
          <cell r="H878" t="str">
            <v>Avara Rahastot Oy</v>
          </cell>
        </row>
        <row r="879">
          <cell r="B879" t="str">
            <v>22032150#001</v>
          </cell>
          <cell r="H879" t="str">
            <v>ICECAPITAL REAM Oy</v>
          </cell>
        </row>
        <row r="880">
          <cell r="B880" t="str">
            <v>22032150#002</v>
          </cell>
          <cell r="H880" t="str">
            <v>ICECAPITAL REAM Oy</v>
          </cell>
        </row>
        <row r="881">
          <cell r="B881" t="str">
            <v>22032150#013</v>
          </cell>
          <cell r="H881" t="str">
            <v>ICECAPITAL REAM Oy</v>
          </cell>
        </row>
        <row r="882">
          <cell r="B882" t="str">
            <v>22032150#014</v>
          </cell>
          <cell r="H882" t="str">
            <v>ICECAPITAL REAM Oy</v>
          </cell>
        </row>
        <row r="883">
          <cell r="B883" t="str">
            <v>22032150#015</v>
          </cell>
          <cell r="H883" t="str">
            <v>ICECAPITAL REAM Oy</v>
          </cell>
        </row>
        <row r="884">
          <cell r="B884" t="str">
            <v>22032150#016</v>
          </cell>
          <cell r="H884" t="str">
            <v>ICECAPITAL REAM Oy</v>
          </cell>
        </row>
        <row r="885">
          <cell r="B885" t="str">
            <v>22032150#017</v>
          </cell>
          <cell r="H885" t="str">
            <v>ICECAPITAL REAM Oy</v>
          </cell>
        </row>
        <row r="886">
          <cell r="B886" t="str">
            <v>22245500#001</v>
          </cell>
          <cell r="H886" t="str">
            <v>Tesi Fund Management Oy</v>
          </cell>
        </row>
        <row r="887">
          <cell r="B887" t="str">
            <v>22245500#002</v>
          </cell>
          <cell r="H887" t="str">
            <v>Tesi Fund Management Oy</v>
          </cell>
        </row>
        <row r="888">
          <cell r="B888" t="str">
            <v>22245500#003</v>
          </cell>
          <cell r="H888" t="str">
            <v>Tesi Fund Management Oy</v>
          </cell>
        </row>
        <row r="889">
          <cell r="B889" t="str">
            <v>22245500#004</v>
          </cell>
          <cell r="H889" t="str">
            <v>Tesi Fund Management Oy</v>
          </cell>
        </row>
        <row r="890">
          <cell r="B890" t="str">
            <v>22245500#005</v>
          </cell>
          <cell r="H890" t="str">
            <v>Tesi Fund Management Oy</v>
          </cell>
        </row>
        <row r="891">
          <cell r="B891" t="str">
            <v>22307951#001</v>
          </cell>
          <cell r="H891" t="str">
            <v>Essedel Capital Partners Oy</v>
          </cell>
        </row>
        <row r="892">
          <cell r="B892" t="str">
            <v>22380761#004</v>
          </cell>
          <cell r="H892" t="str">
            <v>Canelco Management Oy</v>
          </cell>
        </row>
        <row r="893">
          <cell r="B893" t="str">
            <v>22380761#007</v>
          </cell>
          <cell r="H893" t="str">
            <v>Canelco Management Oy</v>
          </cell>
        </row>
        <row r="894">
          <cell r="B894" t="str">
            <v>22643277#001</v>
          </cell>
          <cell r="H894" t="str">
            <v>Taaleri Pääomarahastot Oy</v>
          </cell>
        </row>
        <row r="895">
          <cell r="B895" t="str">
            <v>22643277#007</v>
          </cell>
          <cell r="H895" t="str">
            <v>Taaleri Pääomarahastot Oy</v>
          </cell>
        </row>
        <row r="896">
          <cell r="B896" t="str">
            <v>22643277#009</v>
          </cell>
          <cell r="H896" t="str">
            <v>Taaleri Pääomarahastot Oy</v>
          </cell>
        </row>
        <row r="897">
          <cell r="B897" t="str">
            <v>22643277#013</v>
          </cell>
          <cell r="H897" t="str">
            <v>Taaleri Pääomarahastot Oy</v>
          </cell>
        </row>
        <row r="898">
          <cell r="B898" t="str">
            <v>22643277#015</v>
          </cell>
          <cell r="H898" t="str">
            <v>Taaleri Pääomarahastot Oy</v>
          </cell>
        </row>
        <row r="899">
          <cell r="B899" t="str">
            <v>22643277#017</v>
          </cell>
          <cell r="H899" t="str">
            <v>Taaleri Pääomarahastot Oy</v>
          </cell>
        </row>
        <row r="900">
          <cell r="B900" t="str">
            <v>22643277#022</v>
          </cell>
          <cell r="H900" t="str">
            <v>Taaleri Pääomarahastot Oy</v>
          </cell>
        </row>
        <row r="901">
          <cell r="B901" t="str">
            <v>22643277#023</v>
          </cell>
          <cell r="H901" t="str">
            <v>Taaleri Pääomarahastot Oy</v>
          </cell>
        </row>
        <row r="902">
          <cell r="B902" t="str">
            <v>22643277#024</v>
          </cell>
          <cell r="H902" t="str">
            <v>Taaleri Pääomarahastot Oy</v>
          </cell>
        </row>
        <row r="903">
          <cell r="B903" t="str">
            <v>22643277#025</v>
          </cell>
          <cell r="H903" t="str">
            <v>Taaleri Pääomarahastot Oy</v>
          </cell>
        </row>
        <row r="904">
          <cell r="B904" t="str">
            <v>22643277#026</v>
          </cell>
          <cell r="H904" t="str">
            <v>Taaleri Pääomarahastot Oy</v>
          </cell>
        </row>
        <row r="905">
          <cell r="B905" t="str">
            <v>22643277#027</v>
          </cell>
          <cell r="H905" t="str">
            <v>Taaleri Pääomarahastot Oy</v>
          </cell>
        </row>
        <row r="906">
          <cell r="B906" t="str">
            <v>22643277#028</v>
          </cell>
          <cell r="H906" t="str">
            <v>Taaleri Pääomarahastot Oy</v>
          </cell>
        </row>
        <row r="907">
          <cell r="B907" t="str">
            <v>22643277#029</v>
          </cell>
          <cell r="H907" t="str">
            <v>Taaleri Pääomarahastot Oy</v>
          </cell>
        </row>
        <row r="908">
          <cell r="B908" t="str">
            <v>22643277#030</v>
          </cell>
          <cell r="H908" t="str">
            <v>Taaleri Pääomarahastot Oy</v>
          </cell>
        </row>
        <row r="909">
          <cell r="B909" t="str">
            <v>22643277#032</v>
          </cell>
          <cell r="H909" t="str">
            <v>Taaleri Pääomarahastot Oy</v>
          </cell>
        </row>
        <row r="910">
          <cell r="B910" t="str">
            <v>22643277#034</v>
          </cell>
          <cell r="H910" t="str">
            <v>Taaleri Pääomarahastot Oy</v>
          </cell>
        </row>
        <row r="911">
          <cell r="B911" t="str">
            <v>22643277#035</v>
          </cell>
          <cell r="H911" t="str">
            <v>Taaleri Pääomarahastot Oy</v>
          </cell>
        </row>
        <row r="912">
          <cell r="B912" t="str">
            <v>22643277#036</v>
          </cell>
          <cell r="H912" t="str">
            <v>Taaleri Pääomarahastot Oy</v>
          </cell>
        </row>
        <row r="913">
          <cell r="B913" t="str">
            <v>22643277#037</v>
          </cell>
          <cell r="H913" t="str">
            <v>Taaleri Pääomarahastot Oy</v>
          </cell>
        </row>
        <row r="914">
          <cell r="B914" t="str">
            <v>22643277#038</v>
          </cell>
          <cell r="H914" t="str">
            <v>Taaleri Pääomarahastot Oy</v>
          </cell>
        </row>
        <row r="915">
          <cell r="B915" t="str">
            <v>22643277#039</v>
          </cell>
          <cell r="H915" t="str">
            <v>Taaleri Pääomarahastot Oy</v>
          </cell>
        </row>
        <row r="916">
          <cell r="B916" t="str">
            <v>22643277#040</v>
          </cell>
          <cell r="H916" t="str">
            <v>Taaleri Pääomarahastot Oy</v>
          </cell>
        </row>
        <row r="917">
          <cell r="B917" t="str">
            <v>22643277#042</v>
          </cell>
          <cell r="H917" t="str">
            <v>Taaleri Pääomarahastot Oy</v>
          </cell>
        </row>
        <row r="918">
          <cell r="B918" t="str">
            <v>22643277#043</v>
          </cell>
          <cell r="H918" t="str">
            <v>Taaleri Pääomarahastot Oy</v>
          </cell>
        </row>
        <row r="919">
          <cell r="B919" t="str">
            <v>22643277#044</v>
          </cell>
          <cell r="H919" t="str">
            <v>Taaleri Pääomarahastot Oy</v>
          </cell>
        </row>
        <row r="920">
          <cell r="B920" t="str">
            <v>22643277#045</v>
          </cell>
          <cell r="H920" t="str">
            <v>Taaleri Pääomarahastot Oy</v>
          </cell>
        </row>
        <row r="921">
          <cell r="B921" t="str">
            <v>22643277#046</v>
          </cell>
          <cell r="H921" t="str">
            <v>Taaleri Pääomarahastot Oy</v>
          </cell>
        </row>
        <row r="922">
          <cell r="B922" t="str">
            <v>22643277#047</v>
          </cell>
          <cell r="H922" t="str">
            <v>Taaleri Pääomarahastot Oy</v>
          </cell>
        </row>
        <row r="923">
          <cell r="B923" t="str">
            <v>22643277#048</v>
          </cell>
          <cell r="H923" t="str">
            <v>Taaleri Pääomarahastot Oy</v>
          </cell>
        </row>
        <row r="924">
          <cell r="B924" t="str">
            <v>22643277#049</v>
          </cell>
          <cell r="H924" t="str">
            <v>Taaleri Pääomarahastot Oy</v>
          </cell>
        </row>
        <row r="925">
          <cell r="B925" t="str">
            <v>22643277#054</v>
          </cell>
          <cell r="H925" t="str">
            <v>Taaleri Pääomarahastot Oy</v>
          </cell>
        </row>
        <row r="926">
          <cell r="B926" t="str">
            <v>22643277#055</v>
          </cell>
          <cell r="H926" t="str">
            <v>Taaleri Pääomarahastot Oy</v>
          </cell>
        </row>
        <row r="927">
          <cell r="B927" t="str">
            <v>22643277#056</v>
          </cell>
          <cell r="H927" t="str">
            <v>Taaleri Pääomarahastot Oy</v>
          </cell>
        </row>
        <row r="928">
          <cell r="B928" t="str">
            <v>22643277#057</v>
          </cell>
          <cell r="H928" t="str">
            <v>Taaleri Pääomarahastot Oy</v>
          </cell>
        </row>
        <row r="929">
          <cell r="B929" t="str">
            <v>22643277#058</v>
          </cell>
          <cell r="H929" t="str">
            <v>Taaleri Pääomarahastot Oy</v>
          </cell>
        </row>
        <row r="930">
          <cell r="B930" t="str">
            <v>22643277#059</v>
          </cell>
          <cell r="H930" t="str">
            <v>Taaleri Pääomarahastot Oy</v>
          </cell>
        </row>
        <row r="931">
          <cell r="B931" t="str">
            <v>22643277#060</v>
          </cell>
          <cell r="H931" t="str">
            <v>Taaleri Pääomarahastot Oy</v>
          </cell>
        </row>
        <row r="932">
          <cell r="B932" t="str">
            <v>22643277#061</v>
          </cell>
          <cell r="H932" t="str">
            <v>Taaleri Pääomarahastot Oy</v>
          </cell>
        </row>
        <row r="933">
          <cell r="B933" t="str">
            <v>22643277#062</v>
          </cell>
          <cell r="H933" t="str">
            <v>Taaleri Pääomarahastot Oy</v>
          </cell>
        </row>
        <row r="934">
          <cell r="B934" t="str">
            <v>22643277#063</v>
          </cell>
          <cell r="H934" t="str">
            <v>Taaleri Pääomarahastot Oy</v>
          </cell>
        </row>
        <row r="935">
          <cell r="B935" t="str">
            <v>22643277#064</v>
          </cell>
          <cell r="H935" t="str">
            <v>Taaleri Pääomarahastot Oy</v>
          </cell>
        </row>
        <row r="936">
          <cell r="B936" t="str">
            <v>22643277#065</v>
          </cell>
          <cell r="H936" t="str">
            <v>Taaleri Pääomarahastot Oy</v>
          </cell>
        </row>
        <row r="937">
          <cell r="B937" t="str">
            <v>22643277#066</v>
          </cell>
          <cell r="H937" t="str">
            <v>Taaleri Pääomarahastot Oy</v>
          </cell>
        </row>
        <row r="938">
          <cell r="B938" t="str">
            <v>22643277#072</v>
          </cell>
          <cell r="H938" t="str">
            <v>Taaleri Pääomarahastot Oy</v>
          </cell>
        </row>
        <row r="939">
          <cell r="B939" t="str">
            <v>22643277#073</v>
          </cell>
          <cell r="H939" t="str">
            <v>Taaleri Pääomarahastot Oy</v>
          </cell>
        </row>
        <row r="940">
          <cell r="B940" t="str">
            <v>22643277#074</v>
          </cell>
          <cell r="H940" t="str">
            <v>Taaleri Pääomarahastot Oy</v>
          </cell>
        </row>
        <row r="941">
          <cell r="B941" t="str">
            <v>22643277#075</v>
          </cell>
          <cell r="H941" t="str">
            <v>Taaleri Pääomarahastot Oy</v>
          </cell>
        </row>
        <row r="942">
          <cell r="B942" t="str">
            <v>22643277#076</v>
          </cell>
          <cell r="H942" t="str">
            <v>Taaleri Pääomarahastot Oy</v>
          </cell>
        </row>
        <row r="943">
          <cell r="B943" t="str">
            <v>22643277#077</v>
          </cell>
          <cell r="H943" t="str">
            <v>Taaleri Pääomarahastot Oy</v>
          </cell>
        </row>
        <row r="944">
          <cell r="B944" t="str">
            <v>22643277#079</v>
          </cell>
          <cell r="H944" t="str">
            <v>Taaleri Pääomarahastot Oy</v>
          </cell>
        </row>
        <row r="945">
          <cell r="B945" t="str">
            <v>22643277#080</v>
          </cell>
          <cell r="H945" t="str">
            <v>Taaleri Pääomarahastot Oy</v>
          </cell>
        </row>
        <row r="946">
          <cell r="B946" t="str">
            <v>22643277#082</v>
          </cell>
          <cell r="H946" t="str">
            <v>Taaleri Pääomarahastot Oy</v>
          </cell>
        </row>
        <row r="947">
          <cell r="B947" t="str">
            <v>22886797#002</v>
          </cell>
          <cell r="H947" t="str">
            <v>Nordic Game Fund Management Oy</v>
          </cell>
        </row>
        <row r="948">
          <cell r="B948" t="str">
            <v>22934349#001</v>
          </cell>
          <cell r="H948" t="str">
            <v>Open Ocean Capital Oy</v>
          </cell>
        </row>
        <row r="949">
          <cell r="B949" t="str">
            <v>22934349#002</v>
          </cell>
          <cell r="H949" t="str">
            <v>Open Ocean Capital Oy</v>
          </cell>
        </row>
        <row r="950">
          <cell r="B950" t="str">
            <v>23027732#001</v>
          </cell>
          <cell r="H950" t="str">
            <v>Conor Venture Partners Oy</v>
          </cell>
        </row>
        <row r="951">
          <cell r="B951" t="str">
            <v>23027732#004</v>
          </cell>
          <cell r="H951" t="str">
            <v>Conor Venture Partners Oy</v>
          </cell>
        </row>
        <row r="952">
          <cell r="B952" t="str">
            <v>23027732#005</v>
          </cell>
          <cell r="H952" t="str">
            <v>Conor Venture Partners Oy</v>
          </cell>
        </row>
        <row r="953">
          <cell r="B953" t="str">
            <v>23066336#005</v>
          </cell>
          <cell r="H953" t="str">
            <v>Armada Credit Partners Oy</v>
          </cell>
        </row>
        <row r="954">
          <cell r="B954" t="str">
            <v>23066336#006</v>
          </cell>
          <cell r="H954" t="str">
            <v>Armada Credit Partners Oy</v>
          </cell>
        </row>
        <row r="955">
          <cell r="B955" t="str">
            <v>23066336#007</v>
          </cell>
          <cell r="H955" t="str">
            <v>Armada Credit Partners Oy</v>
          </cell>
        </row>
        <row r="956">
          <cell r="B956" t="str">
            <v>23380405#001</v>
          </cell>
          <cell r="H956" t="str">
            <v>Royal Majestics Helsinki Oy</v>
          </cell>
        </row>
        <row r="957">
          <cell r="B957" t="str">
            <v>24169855#001</v>
          </cell>
          <cell r="H957" t="str">
            <v>Certior Capital Oy</v>
          </cell>
        </row>
        <row r="958">
          <cell r="B958" t="str">
            <v>24169855#002</v>
          </cell>
          <cell r="H958" t="str">
            <v>Certior Capital Oy</v>
          </cell>
        </row>
        <row r="959">
          <cell r="B959" t="str">
            <v>24169855#003</v>
          </cell>
          <cell r="H959" t="str">
            <v>Certior Capital Oy</v>
          </cell>
        </row>
        <row r="960">
          <cell r="B960" t="str">
            <v>24169855#004</v>
          </cell>
          <cell r="H960" t="str">
            <v>Certior Capital Oy</v>
          </cell>
        </row>
        <row r="961">
          <cell r="B961" t="str">
            <v>24169855#006</v>
          </cell>
          <cell r="H961" t="str">
            <v>Certior Capital Oy</v>
          </cell>
        </row>
        <row r="962">
          <cell r="B962" t="str">
            <v>24169855#007</v>
          </cell>
          <cell r="H962" t="str">
            <v>Certior Capital Oy</v>
          </cell>
        </row>
        <row r="963">
          <cell r="B963" t="str">
            <v>24169855#008</v>
          </cell>
          <cell r="H963" t="str">
            <v>Certior Capital Oy</v>
          </cell>
        </row>
        <row r="964">
          <cell r="B964" t="str">
            <v>24478471#001</v>
          </cell>
          <cell r="H964" t="str">
            <v>Gorilla Ventures Oy</v>
          </cell>
        </row>
        <row r="965">
          <cell r="B965" t="str">
            <v>24597710#001</v>
          </cell>
          <cell r="H965" t="str">
            <v>Hamilton &amp; Cooper Properties Oy</v>
          </cell>
        </row>
        <row r="966">
          <cell r="B966" t="str">
            <v>24597710#002</v>
          </cell>
          <cell r="H966" t="str">
            <v>Hamilton &amp; Cooper Properties Oy</v>
          </cell>
        </row>
        <row r="967">
          <cell r="B967" t="str">
            <v>24631421#001</v>
          </cell>
          <cell r="H967" t="str">
            <v>VisionPlus Oyj</v>
          </cell>
        </row>
        <row r="968">
          <cell r="B968" t="str">
            <v>24631421#003</v>
          </cell>
          <cell r="H968" t="str">
            <v>VisionPlus Oyj</v>
          </cell>
        </row>
        <row r="969">
          <cell r="B969" t="str">
            <v>24641398#001</v>
          </cell>
          <cell r="H969" t="str">
            <v>Lifeline Ventures Fund Management Oy</v>
          </cell>
        </row>
        <row r="970">
          <cell r="B970" t="str">
            <v>24641398#002</v>
          </cell>
          <cell r="H970" t="str">
            <v>Lifeline Ventures Fund Management Oy</v>
          </cell>
        </row>
        <row r="971">
          <cell r="B971" t="str">
            <v>24641398#003</v>
          </cell>
          <cell r="H971" t="str">
            <v>Lifeline Ventures Fund Management Oy</v>
          </cell>
        </row>
        <row r="972">
          <cell r="B972" t="str">
            <v>24764259#001</v>
          </cell>
          <cell r="H972" t="str">
            <v>Butterfly Ventures Oy</v>
          </cell>
        </row>
        <row r="973">
          <cell r="B973" t="str">
            <v>24764259#002</v>
          </cell>
          <cell r="H973" t="str">
            <v>Butterfly Ventures Oy</v>
          </cell>
        </row>
        <row r="974">
          <cell r="B974" t="str">
            <v>24764259#003</v>
          </cell>
          <cell r="H974" t="str">
            <v>Butterfly Ventures Oy</v>
          </cell>
        </row>
        <row r="975">
          <cell r="B975" t="str">
            <v>24764259#004</v>
          </cell>
          <cell r="H975" t="str">
            <v>Butterfly Ventures Oy</v>
          </cell>
        </row>
        <row r="976">
          <cell r="B976" t="str">
            <v>24764259#005</v>
          </cell>
          <cell r="H976" t="str">
            <v>Butterfly Ventures Oy</v>
          </cell>
        </row>
        <row r="977">
          <cell r="B977" t="str">
            <v>24764259#006</v>
          </cell>
          <cell r="H977" t="str">
            <v>Butterfly Ventures Oy</v>
          </cell>
        </row>
        <row r="978">
          <cell r="B978" t="str">
            <v>24764259#007</v>
          </cell>
          <cell r="H978" t="str">
            <v>Butterfly Ventures Oy</v>
          </cell>
        </row>
        <row r="979">
          <cell r="B979" t="str">
            <v>24776970#001</v>
          </cell>
          <cell r="H979" t="str">
            <v>Verso Capital Oy</v>
          </cell>
        </row>
        <row r="980">
          <cell r="B980" t="str">
            <v>24776970#002</v>
          </cell>
          <cell r="H980" t="str">
            <v>Verso Capital Oy</v>
          </cell>
        </row>
        <row r="981">
          <cell r="B981" t="str">
            <v>24776970#003</v>
          </cell>
          <cell r="H981" t="str">
            <v>Verso Capital Oy</v>
          </cell>
        </row>
        <row r="982">
          <cell r="B982" t="str">
            <v>24872719#001</v>
          </cell>
          <cell r="H982" t="str">
            <v>Bocap SME Advisors Oy</v>
          </cell>
        </row>
        <row r="983">
          <cell r="B983" t="str">
            <v>25416942#002</v>
          </cell>
          <cell r="H983" t="str">
            <v>WasaGroup Funds Oy</v>
          </cell>
        </row>
        <row r="984">
          <cell r="B984" t="str">
            <v>25416942#003</v>
          </cell>
          <cell r="H984" t="str">
            <v>WasaGroup Funds Oy</v>
          </cell>
        </row>
        <row r="985">
          <cell r="B985" t="str">
            <v>25487003#001</v>
          </cell>
          <cell r="H985" t="str">
            <v>CapMan Buyout X GP Oy</v>
          </cell>
        </row>
        <row r="986">
          <cell r="B986" t="str">
            <v>25487062#001</v>
          </cell>
          <cell r="H986" t="str">
            <v>CapMan Endowment GP Oy</v>
          </cell>
        </row>
        <row r="987">
          <cell r="B987" t="str">
            <v>25487062#002</v>
          </cell>
          <cell r="H987" t="str">
            <v>CapMan Endowment GP Oy</v>
          </cell>
        </row>
        <row r="988">
          <cell r="B988" t="str">
            <v>25487062#003</v>
          </cell>
          <cell r="H988" t="str">
            <v>CapMan Endowment GP Oy</v>
          </cell>
        </row>
        <row r="989">
          <cell r="B989" t="str">
            <v>25997361#005</v>
          </cell>
          <cell r="H989" t="str">
            <v>Korkia Capital Oy</v>
          </cell>
        </row>
        <row r="990">
          <cell r="B990" t="str">
            <v>25997361#006</v>
          </cell>
          <cell r="H990" t="str">
            <v>Korkia Capital Oy</v>
          </cell>
        </row>
        <row r="991">
          <cell r="B991" t="str">
            <v>25997361#010</v>
          </cell>
          <cell r="H991" t="str">
            <v>Korkia Capital Oy</v>
          </cell>
        </row>
        <row r="992">
          <cell r="B992" t="str">
            <v>25997361#011</v>
          </cell>
          <cell r="H992" t="str">
            <v>Korkia Capital Oy</v>
          </cell>
        </row>
        <row r="993">
          <cell r="B993" t="str">
            <v>25997361#012</v>
          </cell>
          <cell r="H993" t="str">
            <v>Korkia Capital Oy</v>
          </cell>
        </row>
        <row r="994">
          <cell r="B994" t="str">
            <v>25997361#013</v>
          </cell>
          <cell r="H994" t="str">
            <v>Korkia Capital Oy</v>
          </cell>
        </row>
        <row r="995">
          <cell r="B995" t="str">
            <v>25997361#014</v>
          </cell>
          <cell r="H995" t="str">
            <v>Korkia Capital Oy</v>
          </cell>
        </row>
        <row r="996">
          <cell r="B996" t="str">
            <v>25997361#015</v>
          </cell>
          <cell r="H996" t="str">
            <v>Korkia Capital Oy</v>
          </cell>
        </row>
        <row r="997">
          <cell r="B997" t="str">
            <v>26188179#001</v>
          </cell>
          <cell r="H997" t="str">
            <v>Aurora Studios Oy</v>
          </cell>
        </row>
        <row r="998">
          <cell r="B998" t="str">
            <v>26188179#002</v>
          </cell>
          <cell r="H998" t="str">
            <v>Aurora Studios Oy</v>
          </cell>
        </row>
        <row r="999">
          <cell r="B999" t="str">
            <v>26194405#001</v>
          </cell>
          <cell r="H999" t="str">
            <v>DevCo Partners Oy</v>
          </cell>
        </row>
        <row r="1000">
          <cell r="B1000" t="str">
            <v>26194405#002</v>
          </cell>
          <cell r="H1000" t="str">
            <v>DevCo Partners Oy</v>
          </cell>
        </row>
        <row r="1001">
          <cell r="B1001" t="str">
            <v>26194405#003</v>
          </cell>
          <cell r="H1001" t="str">
            <v>DevCo Partners Oy</v>
          </cell>
        </row>
        <row r="1002">
          <cell r="B1002" t="str">
            <v>26194405#004</v>
          </cell>
          <cell r="H1002" t="str">
            <v>DevCo Partners Oy</v>
          </cell>
        </row>
        <row r="1003">
          <cell r="B1003" t="str">
            <v>26194405#005</v>
          </cell>
          <cell r="H1003" t="str">
            <v>DevCo Partners Oy</v>
          </cell>
        </row>
        <row r="1004">
          <cell r="B1004" t="str">
            <v>26391679#001</v>
          </cell>
          <cell r="H1004" t="str">
            <v>Juuri Partners Oy</v>
          </cell>
        </row>
        <row r="1005">
          <cell r="B1005" t="str">
            <v>26391679#002</v>
          </cell>
          <cell r="H1005" t="str">
            <v>Juuri Partners Oy</v>
          </cell>
        </row>
        <row r="1006">
          <cell r="B1006" t="str">
            <v>26391679#003</v>
          </cell>
          <cell r="H1006" t="str">
            <v>Juuri Partners Oy</v>
          </cell>
        </row>
        <row r="1007">
          <cell r="B1007" t="str">
            <v>26630385#001</v>
          </cell>
          <cell r="H1007" t="str">
            <v>IPR.VC Management Oy</v>
          </cell>
        </row>
        <row r="1008">
          <cell r="B1008" t="str">
            <v>26630385#002</v>
          </cell>
          <cell r="H1008" t="str">
            <v>IPR.VC Management Oy</v>
          </cell>
        </row>
        <row r="1009">
          <cell r="B1009" t="str">
            <v>26630385#003</v>
          </cell>
          <cell r="H1009" t="str">
            <v>IPR.VC Management Oy</v>
          </cell>
        </row>
        <row r="1010">
          <cell r="B1010" t="str">
            <v>26630385#004</v>
          </cell>
          <cell r="H1010" t="str">
            <v>IPR.VC Management Oy</v>
          </cell>
        </row>
        <row r="1011">
          <cell r="B1011" t="str">
            <v>26630385#005</v>
          </cell>
          <cell r="H1011" t="str">
            <v>IPR.VC Management Oy</v>
          </cell>
        </row>
        <row r="1012">
          <cell r="B1012" t="str">
            <v>26638993#001</v>
          </cell>
          <cell r="H1012" t="str">
            <v>Open Ocean Partners Oy</v>
          </cell>
        </row>
        <row r="1013">
          <cell r="B1013" t="str">
            <v>26638993#004</v>
          </cell>
          <cell r="H1013" t="str">
            <v>Open Ocean Partners Oy</v>
          </cell>
        </row>
        <row r="1014">
          <cell r="B1014" t="str">
            <v>26773685#001</v>
          </cell>
          <cell r="H1014" t="str">
            <v>Confido Cataluna Oy</v>
          </cell>
        </row>
        <row r="1015">
          <cell r="B1015" t="str">
            <v>26794734#001</v>
          </cell>
          <cell r="H1015" t="str">
            <v>Nest Capital 2015 GP Oy</v>
          </cell>
        </row>
        <row r="1016">
          <cell r="B1016" t="str">
            <v>26840569#001</v>
          </cell>
          <cell r="H1016" t="str">
            <v>Courage Ventures Management Oy</v>
          </cell>
        </row>
        <row r="1017">
          <cell r="B1017" t="str">
            <v>26840569#002</v>
          </cell>
          <cell r="H1017" t="str">
            <v>Courage Ventures Management Oy</v>
          </cell>
        </row>
        <row r="1018">
          <cell r="B1018" t="str">
            <v>26842943#001</v>
          </cell>
          <cell r="H1018" t="str">
            <v>Samla Capital Oy</v>
          </cell>
        </row>
        <row r="1019">
          <cell r="B1019" t="str">
            <v>26842943#003</v>
          </cell>
          <cell r="H1019" t="str">
            <v>Samla Capital Oy</v>
          </cell>
        </row>
        <row r="1020">
          <cell r="B1020" t="str">
            <v>26842943#004</v>
          </cell>
          <cell r="H1020" t="str">
            <v>Samla Capital Oy</v>
          </cell>
        </row>
        <row r="1021">
          <cell r="B1021" t="str">
            <v>26842943#005</v>
          </cell>
          <cell r="H1021" t="str">
            <v>Samla Capital Oy</v>
          </cell>
        </row>
        <row r="1022">
          <cell r="B1022" t="str">
            <v>26879068#001</v>
          </cell>
          <cell r="H1022" t="str">
            <v>GreenMorrow Oy</v>
          </cell>
        </row>
        <row r="1023">
          <cell r="B1023" t="str">
            <v>26963091#001</v>
          </cell>
          <cell r="H1023" t="str">
            <v>Superhero Capital Oy</v>
          </cell>
        </row>
        <row r="1024">
          <cell r="B1024" t="str">
            <v>26963091#002</v>
          </cell>
          <cell r="H1024" t="str">
            <v>Superhero Capital Oy</v>
          </cell>
        </row>
        <row r="1025">
          <cell r="B1025" t="str">
            <v>26963091#003</v>
          </cell>
          <cell r="H1025" t="str">
            <v>Superhero Capital Oy</v>
          </cell>
        </row>
        <row r="1026">
          <cell r="B1026" t="str">
            <v>26963091#004</v>
          </cell>
          <cell r="H1026" t="str">
            <v>Superhero Capital Oy</v>
          </cell>
        </row>
        <row r="1027">
          <cell r="B1027" t="str">
            <v>26963091#005</v>
          </cell>
          <cell r="H1027" t="str">
            <v>Superhero Capital Oy</v>
          </cell>
        </row>
        <row r="1028">
          <cell r="B1028" t="str">
            <v>26963091#006</v>
          </cell>
          <cell r="H1028" t="str">
            <v>Superhero Capital Oy</v>
          </cell>
        </row>
        <row r="1029">
          <cell r="B1029" t="str">
            <v>26997152#001</v>
          </cell>
          <cell r="H1029" t="str">
            <v>MB Partners V Oy</v>
          </cell>
        </row>
        <row r="1030">
          <cell r="B1030" t="str">
            <v>27000385#001</v>
          </cell>
          <cell r="H1030" t="str">
            <v>Premico Asuntorahaston hallinnointiyhtiö Oy</v>
          </cell>
        </row>
        <row r="1031">
          <cell r="B1031" t="str">
            <v>27000385#002</v>
          </cell>
          <cell r="H1031" t="str">
            <v>Premico Asuntorahaston hallinnointiyhtiö Oy</v>
          </cell>
        </row>
        <row r="1032">
          <cell r="B1032" t="str">
            <v>27097164#001</v>
          </cell>
          <cell r="H1032" t="str">
            <v>Innovestor Ventures Oy</v>
          </cell>
        </row>
        <row r="1033">
          <cell r="B1033" t="str">
            <v>27097164#003</v>
          </cell>
          <cell r="H1033" t="str">
            <v>Innovestor Ventures Oy</v>
          </cell>
        </row>
        <row r="1034">
          <cell r="B1034" t="str">
            <v>27097164#004</v>
          </cell>
          <cell r="H1034" t="str">
            <v>Innovestor Ventures Oy</v>
          </cell>
        </row>
        <row r="1035">
          <cell r="B1035" t="str">
            <v>27097164#007</v>
          </cell>
          <cell r="H1035" t="str">
            <v>Innovestor Ventures Oy</v>
          </cell>
        </row>
        <row r="1036">
          <cell r="B1036" t="str">
            <v>27097164#008</v>
          </cell>
          <cell r="H1036" t="str">
            <v>Innovestor Ventures Oy</v>
          </cell>
        </row>
        <row r="1037">
          <cell r="B1037" t="str">
            <v>27252961#001</v>
          </cell>
          <cell r="H1037" t="str">
            <v>Vendep Capital Oy</v>
          </cell>
        </row>
        <row r="1038">
          <cell r="B1038" t="str">
            <v>27252961#002</v>
          </cell>
          <cell r="H1038" t="str">
            <v>Vendep Capital Oy</v>
          </cell>
        </row>
        <row r="1039">
          <cell r="B1039" t="str">
            <v>27252961#003</v>
          </cell>
          <cell r="H1039" t="str">
            <v>Vendep Capital Oy</v>
          </cell>
        </row>
        <row r="1040">
          <cell r="B1040" t="str">
            <v>27252961#004</v>
          </cell>
          <cell r="H1040" t="str">
            <v>Vendep Capital Oy</v>
          </cell>
        </row>
        <row r="1041">
          <cell r="B1041" t="str">
            <v>27252961#005</v>
          </cell>
          <cell r="H1041" t="str">
            <v>Vendep Capital Oy</v>
          </cell>
        </row>
        <row r="1042">
          <cell r="B1042" t="str">
            <v>27252961#006</v>
          </cell>
          <cell r="H1042" t="str">
            <v>Vendep Capital Oy</v>
          </cell>
        </row>
        <row r="1043">
          <cell r="B1043" t="str">
            <v>27526045#001</v>
          </cell>
          <cell r="H1043" t="str">
            <v>FinCap Kiinteistörahastot Oy</v>
          </cell>
        </row>
        <row r="1044">
          <cell r="B1044" t="str">
            <v>27526045#003</v>
          </cell>
          <cell r="H1044" t="str">
            <v>FinCap Kiinteistörahastot Oy</v>
          </cell>
        </row>
        <row r="1045">
          <cell r="B1045" t="str">
            <v>27605923#001</v>
          </cell>
          <cell r="H1045" t="str">
            <v>Icebreaker Fund Management Oy</v>
          </cell>
        </row>
        <row r="1046">
          <cell r="B1046" t="str">
            <v>27605923#002</v>
          </cell>
          <cell r="H1046" t="str">
            <v>Icebreaker Fund Management Oy</v>
          </cell>
        </row>
        <row r="1047">
          <cell r="B1047" t="str">
            <v>27605923#003</v>
          </cell>
          <cell r="H1047" t="str">
            <v>Icebreaker Fund Management Oy</v>
          </cell>
        </row>
        <row r="1048">
          <cell r="B1048" t="str">
            <v>27605923#004</v>
          </cell>
          <cell r="H1048" t="str">
            <v>Icebreaker Fund Management Oy</v>
          </cell>
        </row>
        <row r="1049">
          <cell r="B1049" t="str">
            <v>27610685#001</v>
          </cell>
          <cell r="H1049" t="str">
            <v>Bocap Private Equity Oy</v>
          </cell>
        </row>
        <row r="1050">
          <cell r="B1050" t="str">
            <v>27610685#002</v>
          </cell>
          <cell r="H1050" t="str">
            <v>Bocap Private Equity Oy</v>
          </cell>
        </row>
        <row r="1051">
          <cell r="B1051" t="str">
            <v>27633406#001</v>
          </cell>
          <cell r="H1051" t="str">
            <v>Grid.vc Oy</v>
          </cell>
        </row>
        <row r="1052">
          <cell r="B1052" t="str">
            <v>27728544#002</v>
          </cell>
          <cell r="H1052" t="str">
            <v>Terwa Management Oy</v>
          </cell>
        </row>
        <row r="1053">
          <cell r="B1053" t="str">
            <v>27838225#001</v>
          </cell>
          <cell r="H1053" t="str">
            <v>Wave Ventures Oy</v>
          </cell>
        </row>
        <row r="1054">
          <cell r="B1054" t="str">
            <v>27838225#002</v>
          </cell>
          <cell r="H1054" t="str">
            <v>Wave Ventures Oy</v>
          </cell>
        </row>
        <row r="1055">
          <cell r="B1055" t="str">
            <v>27838225#003</v>
          </cell>
          <cell r="H1055" t="str">
            <v>Wave Ventures Oy</v>
          </cell>
        </row>
        <row r="1056">
          <cell r="B1056" t="str">
            <v>28125497#003</v>
          </cell>
          <cell r="H1056" t="str">
            <v>Mandatum AM AIFM Oy</v>
          </cell>
        </row>
        <row r="1057">
          <cell r="B1057" t="str">
            <v>28233658#002</v>
          </cell>
          <cell r="H1057" t="str">
            <v>Obsido Rahastoyhtiö Oy</v>
          </cell>
        </row>
        <row r="1058">
          <cell r="B1058" t="str">
            <v>28233658#006</v>
          </cell>
          <cell r="H1058" t="str">
            <v>Obsido Rahastoyhtiö Oy</v>
          </cell>
        </row>
        <row r="1059">
          <cell r="B1059" t="str">
            <v>28233658#009</v>
          </cell>
          <cell r="H1059" t="str">
            <v>Obsido Rahastoyhtiö Oy</v>
          </cell>
        </row>
        <row r="1060">
          <cell r="B1060" t="str">
            <v>28268172#001</v>
          </cell>
          <cell r="H1060" t="str">
            <v>FundSi Oy</v>
          </cell>
        </row>
        <row r="1061">
          <cell r="B1061" t="str">
            <v>28279074#001</v>
          </cell>
          <cell r="H1061" t="str">
            <v>Gorilla Capital Management Oy</v>
          </cell>
        </row>
        <row r="1062">
          <cell r="B1062" t="str">
            <v>28279074#002</v>
          </cell>
          <cell r="H1062" t="str">
            <v>Gorilla Capital Management Oy</v>
          </cell>
        </row>
        <row r="1063">
          <cell r="B1063" t="str">
            <v>28332453#003</v>
          </cell>
          <cell r="H1063" t="str">
            <v>Taaleri Energia Funds Management Oy</v>
          </cell>
        </row>
        <row r="1064">
          <cell r="B1064" t="str">
            <v>28332453#004</v>
          </cell>
          <cell r="H1064" t="str">
            <v>Taaleri Energia Funds Management Oy</v>
          </cell>
        </row>
        <row r="1065">
          <cell r="B1065" t="str">
            <v>28332453#005</v>
          </cell>
          <cell r="H1065" t="str">
            <v>Taaleri Energia Funds Management Oy</v>
          </cell>
        </row>
        <row r="1066">
          <cell r="B1066" t="str">
            <v>28332453#007</v>
          </cell>
          <cell r="H1066" t="str">
            <v>Taaleri Energia Funds Management Oy</v>
          </cell>
        </row>
        <row r="1067">
          <cell r="B1067" t="str">
            <v>28369715#001</v>
          </cell>
          <cell r="H1067" t="str">
            <v>MAKI Ventures Oy</v>
          </cell>
        </row>
        <row r="1068">
          <cell r="B1068" t="str">
            <v>28369715#002</v>
          </cell>
          <cell r="H1068" t="str">
            <v>MAKI Ventures Oy</v>
          </cell>
        </row>
        <row r="1069">
          <cell r="B1069" t="str">
            <v>28369715#003</v>
          </cell>
          <cell r="H1069" t="str">
            <v>MAKI Ventures Oy</v>
          </cell>
        </row>
        <row r="1070">
          <cell r="B1070" t="str">
            <v>28369715#004</v>
          </cell>
          <cell r="H1070" t="str">
            <v>MAKI Ventures Oy</v>
          </cell>
        </row>
        <row r="1071">
          <cell r="B1071" t="str">
            <v>28369715#005</v>
          </cell>
          <cell r="H1071" t="str">
            <v>MAKI Ventures Oy</v>
          </cell>
        </row>
        <row r="1072">
          <cell r="B1072" t="str">
            <v>28462311#001</v>
          </cell>
          <cell r="H1072" t="str">
            <v>Conor TF III Manager Oy</v>
          </cell>
        </row>
        <row r="1073">
          <cell r="B1073" t="str">
            <v>28570689#001</v>
          </cell>
          <cell r="H1073" t="str">
            <v>Luotsi Capital Oy</v>
          </cell>
        </row>
        <row r="1074">
          <cell r="B1074" t="str">
            <v>28570689#002</v>
          </cell>
          <cell r="H1074" t="str">
            <v>Luotsi Capital Oy</v>
          </cell>
        </row>
        <row r="1075">
          <cell r="B1075" t="str">
            <v>28570689#003</v>
          </cell>
          <cell r="H1075" t="str">
            <v>Luotsi Capital Oy</v>
          </cell>
        </row>
        <row r="1076">
          <cell r="B1076" t="str">
            <v>28570689#004</v>
          </cell>
          <cell r="H1076" t="str">
            <v>Luotsi Capital Oy</v>
          </cell>
        </row>
        <row r="1077">
          <cell r="B1077" t="str">
            <v>28619307#001</v>
          </cell>
          <cell r="H1077" t="str">
            <v>Redstone Nordics Oy</v>
          </cell>
        </row>
        <row r="1078">
          <cell r="B1078" t="str">
            <v>28619307#002</v>
          </cell>
          <cell r="H1078" t="str">
            <v>Redstone Nordics Oy</v>
          </cell>
        </row>
        <row r="1079">
          <cell r="B1079" t="str">
            <v>28619307#003</v>
          </cell>
          <cell r="H1079" t="str">
            <v>Redstone Nordics Oy</v>
          </cell>
        </row>
        <row r="1080">
          <cell r="B1080" t="str">
            <v>28665274#001</v>
          </cell>
          <cell r="H1080" t="str">
            <v>EduImpact Venture Capital Oy</v>
          </cell>
        </row>
        <row r="1081">
          <cell r="B1081" t="str">
            <v>28665274#002</v>
          </cell>
          <cell r="H1081" t="str">
            <v>EduImpact Venture Capital Oy</v>
          </cell>
        </row>
        <row r="1082">
          <cell r="B1082" t="str">
            <v>28665274#003</v>
          </cell>
          <cell r="H1082" t="str">
            <v>EduImpact Venture Capital Oy</v>
          </cell>
        </row>
        <row r="1083">
          <cell r="B1083" t="str">
            <v>28665274#004</v>
          </cell>
          <cell r="H1083" t="str">
            <v>EduImpact Venture Capital Oy</v>
          </cell>
        </row>
        <row r="1084">
          <cell r="B1084" t="str">
            <v>28754218#001</v>
          </cell>
          <cell r="H1084" t="str">
            <v>Evolver Equity Ab</v>
          </cell>
        </row>
        <row r="1085">
          <cell r="B1085" t="str">
            <v>28754218#002</v>
          </cell>
          <cell r="H1085" t="str">
            <v>Evolver Equity Ab</v>
          </cell>
        </row>
        <row r="1086">
          <cell r="B1086" t="str">
            <v>29026204#002</v>
          </cell>
          <cell r="H1086" t="str">
            <v>GOS Yritysrahoitus Oy</v>
          </cell>
        </row>
        <row r="1087">
          <cell r="B1087" t="str">
            <v>29063769#001</v>
          </cell>
          <cell r="H1087" t="str">
            <v>Systematic alpha Oy</v>
          </cell>
        </row>
        <row r="1088">
          <cell r="B1088" t="str">
            <v>29064614#003</v>
          </cell>
          <cell r="H1088" t="str">
            <v>CapMan AIFM Oy</v>
          </cell>
        </row>
        <row r="1089">
          <cell r="B1089" t="str">
            <v>29064614#006</v>
          </cell>
          <cell r="H1089" t="str">
            <v>CapMan AIFM Oy</v>
          </cell>
        </row>
        <row r="1090">
          <cell r="B1090" t="str">
            <v>29064614#008</v>
          </cell>
          <cell r="H1090" t="str">
            <v>CapMan AIFM Oy</v>
          </cell>
        </row>
        <row r="1091">
          <cell r="B1091" t="str">
            <v>29064614#009</v>
          </cell>
          <cell r="H1091" t="str">
            <v>CapMan AIFM Oy</v>
          </cell>
        </row>
        <row r="1092">
          <cell r="B1092" t="str">
            <v>29064614#011</v>
          </cell>
          <cell r="H1092" t="str">
            <v>CapMan AIFM Oy</v>
          </cell>
        </row>
        <row r="1093">
          <cell r="B1093" t="str">
            <v>29064614#012</v>
          </cell>
          <cell r="H1093" t="str">
            <v>CapMan AIFM Oy</v>
          </cell>
        </row>
        <row r="1094">
          <cell r="B1094" t="str">
            <v>29064614#014</v>
          </cell>
          <cell r="H1094" t="str">
            <v>CapMan AIFM Oy</v>
          </cell>
        </row>
        <row r="1095">
          <cell r="B1095" t="str">
            <v>29064614#015</v>
          </cell>
          <cell r="H1095" t="str">
            <v>CapMan AIFM Oy</v>
          </cell>
        </row>
        <row r="1096">
          <cell r="B1096" t="str">
            <v>29064614#016</v>
          </cell>
          <cell r="H1096" t="str">
            <v>CapMan AIFM Oy</v>
          </cell>
        </row>
        <row r="1097">
          <cell r="B1097" t="str">
            <v>29064614#019</v>
          </cell>
          <cell r="H1097" t="str">
            <v>CapMan AIFM Oy</v>
          </cell>
        </row>
        <row r="1098">
          <cell r="B1098" t="str">
            <v>29064614#030</v>
          </cell>
          <cell r="H1098" t="str">
            <v>CapMan AIFM Oy</v>
          </cell>
        </row>
        <row r="1099">
          <cell r="B1099" t="str">
            <v>29064614#034</v>
          </cell>
          <cell r="H1099" t="str">
            <v>CapMan AIFM Oy</v>
          </cell>
        </row>
        <row r="1100">
          <cell r="B1100" t="str">
            <v>29112428#001</v>
          </cell>
          <cell r="H1100" t="str">
            <v>Vauraus AIFM Oy</v>
          </cell>
        </row>
        <row r="1101">
          <cell r="B1101" t="str">
            <v>29157108#001</v>
          </cell>
          <cell r="H1101" t="str">
            <v>Voima Ventures Oy</v>
          </cell>
        </row>
        <row r="1102">
          <cell r="B1102" t="str">
            <v>29157108#002</v>
          </cell>
          <cell r="H1102" t="str">
            <v>Voima Ventures Oy</v>
          </cell>
        </row>
        <row r="1103">
          <cell r="B1103" t="str">
            <v>29157108#003</v>
          </cell>
          <cell r="H1103" t="str">
            <v>Voima Ventures Oy</v>
          </cell>
        </row>
        <row r="1104">
          <cell r="B1104" t="str">
            <v>29157108#004</v>
          </cell>
          <cell r="H1104" t="str">
            <v>Voima Ventures Oy</v>
          </cell>
        </row>
        <row r="1105">
          <cell r="B1105" t="str">
            <v>29208526#001</v>
          </cell>
          <cell r="H1105" t="str">
            <v>Robin Capital Management Oy</v>
          </cell>
        </row>
        <row r="1106">
          <cell r="B1106" t="str">
            <v>29208526#002</v>
          </cell>
          <cell r="H1106" t="str">
            <v>Robin Capital Management Oy</v>
          </cell>
        </row>
        <row r="1107">
          <cell r="B1107" t="str">
            <v>29245124#001</v>
          </cell>
          <cell r="H1107" t="str">
            <v>Joensuun Startup Kehitys Oy</v>
          </cell>
        </row>
        <row r="1108">
          <cell r="B1108" t="str">
            <v>29245212#001</v>
          </cell>
          <cell r="H1108" t="str">
            <v>Nordic Food Tech Venture Capital Oy</v>
          </cell>
        </row>
        <row r="1109">
          <cell r="B1109" t="str">
            <v>29245212#002</v>
          </cell>
          <cell r="H1109" t="str">
            <v>Nordic Food Tech Venture Capital Oy</v>
          </cell>
        </row>
        <row r="1110">
          <cell r="B1110" t="str">
            <v>29897173#001</v>
          </cell>
          <cell r="H1110" t="str">
            <v>LLV Fund Management Oy</v>
          </cell>
        </row>
        <row r="1111">
          <cell r="B1111" t="str">
            <v>29897173#002</v>
          </cell>
          <cell r="H1111" t="str">
            <v>LLV Fund Management Oy</v>
          </cell>
        </row>
        <row r="1112">
          <cell r="B1112" t="str">
            <v>29897173#003</v>
          </cell>
          <cell r="H1112" t="str">
            <v>LLV Fund Management Oy</v>
          </cell>
        </row>
        <row r="1113">
          <cell r="B1113" t="str">
            <v>30134149#001</v>
          </cell>
          <cell r="H1113" t="str">
            <v>Premico Pääomarahastot Oy</v>
          </cell>
        </row>
        <row r="1114">
          <cell r="B1114" t="str">
            <v>30134149#002</v>
          </cell>
          <cell r="H1114" t="str">
            <v>Premico Pääomarahastot Oy</v>
          </cell>
        </row>
        <row r="1115">
          <cell r="B1115" t="str">
            <v>30193325#001</v>
          </cell>
          <cell r="H1115" t="str">
            <v>Nostetta Ventures Oy</v>
          </cell>
        </row>
        <row r="1116">
          <cell r="B1116" t="str">
            <v>30980441#001</v>
          </cell>
          <cell r="H1116" t="str">
            <v>Open Ocean Ventures Oy</v>
          </cell>
        </row>
        <row r="1117">
          <cell r="B1117" t="str">
            <v>30992004#001</v>
          </cell>
          <cell r="H1117" t="str">
            <v>Landmark Real Assets Oy</v>
          </cell>
        </row>
        <row r="1118">
          <cell r="B1118" t="str">
            <v>30999185#001</v>
          </cell>
          <cell r="H1118" t="str">
            <v>SARKA Varainhoito Oy</v>
          </cell>
        </row>
        <row r="1119">
          <cell r="B1119" t="str">
            <v>31225771#001</v>
          </cell>
          <cell r="H1119" t="str">
            <v>BOA Capital Oy</v>
          </cell>
        </row>
        <row r="1120">
          <cell r="B1120" t="str">
            <v>31225771#002</v>
          </cell>
          <cell r="H1120" t="str">
            <v>BOA Capital Oy</v>
          </cell>
        </row>
        <row r="1121">
          <cell r="B1121" t="str">
            <v>31225771#003</v>
          </cell>
          <cell r="H1121" t="str">
            <v>BOA Capital Oy</v>
          </cell>
        </row>
        <row r="1122">
          <cell r="B1122" t="str">
            <v>31255065#001</v>
          </cell>
          <cell r="H1122" t="str">
            <v>Nordic Science Investments Oy</v>
          </cell>
        </row>
        <row r="1123">
          <cell r="B1123" t="str">
            <v>31255065#002</v>
          </cell>
          <cell r="H1123" t="str">
            <v>Nordic Science Investments Oy</v>
          </cell>
        </row>
        <row r="1124">
          <cell r="B1124" t="str">
            <v>31336148#001</v>
          </cell>
          <cell r="H1124" t="str">
            <v>YKS Management Oy</v>
          </cell>
        </row>
        <row r="1125">
          <cell r="B1125" t="str">
            <v>31436042#001</v>
          </cell>
          <cell r="H1125" t="str">
            <v>Tuohex Capital Oy</v>
          </cell>
        </row>
        <row r="1126">
          <cell r="B1126" t="str">
            <v>31605811#001</v>
          </cell>
          <cell r="H1126" t="str">
            <v>StartMore Operative Oy</v>
          </cell>
        </row>
        <row r="1127">
          <cell r="B1127" t="str">
            <v>31737232#003</v>
          </cell>
          <cell r="H1127" t="str">
            <v>Intera Partners Oy</v>
          </cell>
        </row>
        <row r="1128">
          <cell r="B1128" t="str">
            <v>31737232#004</v>
          </cell>
          <cell r="H1128" t="str">
            <v>Intera Partners Oy</v>
          </cell>
        </row>
        <row r="1129">
          <cell r="B1129" t="str">
            <v>31777146#001</v>
          </cell>
          <cell r="H1129" t="str">
            <v>FOV Fund Management Oy</v>
          </cell>
        </row>
        <row r="1130">
          <cell r="B1130" t="str">
            <v>31779686#003</v>
          </cell>
          <cell r="H1130" t="str">
            <v>DEAS Fund Management DK A/S</v>
          </cell>
        </row>
        <row r="1131">
          <cell r="B1131" t="str">
            <v>31779686#004</v>
          </cell>
          <cell r="H1131" t="str">
            <v>DEAS Fund Management DK A/S</v>
          </cell>
        </row>
        <row r="1132">
          <cell r="B1132" t="str">
            <v>31779686#005</v>
          </cell>
          <cell r="H1132" t="str">
            <v>DEAS Fund Management DK A/S</v>
          </cell>
        </row>
        <row r="1133">
          <cell r="B1133" t="str">
            <v>31779686#006</v>
          </cell>
          <cell r="H1133" t="str">
            <v>DEAS Fund Management DK A/S</v>
          </cell>
        </row>
        <row r="1134">
          <cell r="B1134" t="str">
            <v>31779686#007</v>
          </cell>
          <cell r="H1134" t="str">
            <v>DEAS Fund Management DK A/S</v>
          </cell>
        </row>
        <row r="1135">
          <cell r="B1135" t="str">
            <v>31782818#001</v>
          </cell>
          <cell r="H1135" t="str">
            <v>MB Partners Oy</v>
          </cell>
        </row>
        <row r="1136">
          <cell r="B1136" t="str">
            <v>32140454#001</v>
          </cell>
          <cell r="H1136" t="str">
            <v>Virta Equity Oy</v>
          </cell>
        </row>
        <row r="1137">
          <cell r="B1137" t="str">
            <v>32140454#002</v>
          </cell>
          <cell r="H1137" t="str">
            <v>Virta Equity Oy</v>
          </cell>
        </row>
        <row r="1138">
          <cell r="B1138" t="str">
            <v>32214134#001</v>
          </cell>
          <cell r="H1138" t="str">
            <v>Innovestor Life Science Oy</v>
          </cell>
        </row>
        <row r="1139">
          <cell r="B1139" t="str">
            <v>32214134#002</v>
          </cell>
          <cell r="H1139" t="str">
            <v>Innovestor Life Science Oy</v>
          </cell>
        </row>
        <row r="1140">
          <cell r="B1140" t="str">
            <v>32251293#001</v>
          </cell>
          <cell r="H1140" t="str">
            <v>Voland Partners Oy</v>
          </cell>
        </row>
        <row r="1141">
          <cell r="B1141" t="str">
            <v>32251293#002</v>
          </cell>
          <cell r="H1141" t="str">
            <v>Voland Partners Oy</v>
          </cell>
        </row>
        <row r="1142">
          <cell r="B1142" t="str">
            <v>32503964#001</v>
          </cell>
          <cell r="H1142" t="str">
            <v>Findea Capital Oy</v>
          </cell>
        </row>
        <row r="1143">
          <cell r="B1143" t="str">
            <v>32503964#002</v>
          </cell>
          <cell r="H1143" t="str">
            <v>Findea Capital Oy</v>
          </cell>
        </row>
        <row r="1144">
          <cell r="B1144" t="str">
            <v>32592442#001</v>
          </cell>
          <cell r="H1144" t="str">
            <v>Ethos Capital Oy</v>
          </cell>
        </row>
        <row r="1145">
          <cell r="B1145" t="str">
            <v>32592442#002</v>
          </cell>
          <cell r="H1145" t="str">
            <v>Ethos Capital Oy</v>
          </cell>
        </row>
        <row r="1146">
          <cell r="B1146" t="str">
            <v>32660863#001</v>
          </cell>
          <cell r="H1146" t="str">
            <v>Equilibrium Funds Oy</v>
          </cell>
        </row>
        <row r="1147">
          <cell r="B1147" t="str">
            <v>32965173#001</v>
          </cell>
          <cell r="H1147" t="str">
            <v>Cactos Fleet Management Finland Oy</v>
          </cell>
        </row>
        <row r="1148">
          <cell r="B1148" t="str">
            <v>33004534#001</v>
          </cell>
          <cell r="H1148" t="str">
            <v>Failup Ventures Management Oy</v>
          </cell>
        </row>
        <row r="1149">
          <cell r="B1149" t="str">
            <v>33038347#001</v>
          </cell>
          <cell r="H1149" t="str">
            <v>Illusian Capital Oy</v>
          </cell>
        </row>
        <row r="1150">
          <cell r="B1150" t="str">
            <v>33038347#002</v>
          </cell>
          <cell r="H1150" t="str">
            <v>Illusian Capital Oy</v>
          </cell>
        </row>
        <row r="1151">
          <cell r="B1151" t="str">
            <v>33185814#001</v>
          </cell>
          <cell r="H1151" t="str">
            <v>OpenOcean Oy</v>
          </cell>
        </row>
        <row r="1152">
          <cell r="B1152" t="str">
            <v>33188687#001</v>
          </cell>
          <cell r="H1152" t="str">
            <v>Greencode Ventures Oy</v>
          </cell>
        </row>
        <row r="1153">
          <cell r="B1153" t="str">
            <v>33296602#001</v>
          </cell>
          <cell r="H1153" t="str">
            <v>Botnia Ventures Oy Ab</v>
          </cell>
        </row>
        <row r="1154">
          <cell r="B1154" t="str">
            <v>33382607#001</v>
          </cell>
          <cell r="H1154" t="str">
            <v>Kvanted Oy</v>
          </cell>
        </row>
        <row r="1155">
          <cell r="B1155" t="str">
            <v>33390084#001</v>
          </cell>
          <cell r="H1155" t="str">
            <v>Revon Ventures Oy</v>
          </cell>
        </row>
        <row r="1156">
          <cell r="B1156" t="str">
            <v>33542455#001</v>
          </cell>
          <cell r="H1156" t="str">
            <v>Leo Capital Europe Oy</v>
          </cell>
        </row>
        <row r="1157">
          <cell r="B1157" t="str">
            <v>33917579#001</v>
          </cell>
          <cell r="H1157" t="str">
            <v>fundco oy</v>
          </cell>
        </row>
        <row r="1158">
          <cell r="B1158" t="str">
            <v>33917579#002</v>
          </cell>
          <cell r="H1158" t="str">
            <v>fundco oy</v>
          </cell>
        </row>
        <row r="1159">
          <cell r="B1159" t="str">
            <v>33917579#003</v>
          </cell>
          <cell r="H1159" t="str">
            <v>fundco oy</v>
          </cell>
        </row>
        <row r="1160">
          <cell r="B1160" t="str">
            <v>33917579#004</v>
          </cell>
          <cell r="H1160" t="str">
            <v>fundco oy</v>
          </cell>
        </row>
        <row r="1161">
          <cell r="B1161" t="str">
            <v>33917579#005</v>
          </cell>
          <cell r="H1161" t="str">
            <v>fundco oy</v>
          </cell>
        </row>
        <row r="1162">
          <cell r="B1162" t="str">
            <v>33917579#006</v>
          </cell>
          <cell r="H1162" t="str">
            <v>fundco oy</v>
          </cell>
        </row>
        <row r="1163">
          <cell r="B1163" t="str">
            <v>33917579#007</v>
          </cell>
          <cell r="H1163" t="str">
            <v>fundco oy</v>
          </cell>
        </row>
        <row r="1164">
          <cell r="B1164" t="str">
            <v>33917579#008</v>
          </cell>
          <cell r="H1164" t="str">
            <v>fundco oy</v>
          </cell>
        </row>
        <row r="1165">
          <cell r="B1165" t="str">
            <v>34145929#001</v>
          </cell>
          <cell r="H1165" t="str">
            <v>Cloudberry VC Oy</v>
          </cell>
        </row>
        <row r="1166">
          <cell r="B1166" t="str">
            <v>34410892#001</v>
          </cell>
          <cell r="H1166" t="str">
            <v>SP Growth Partners Oy</v>
          </cell>
        </row>
        <row r="1167">
          <cell r="B1167" t="str">
            <v>34619194#001</v>
          </cell>
          <cell r="H1167" t="str">
            <v>Saari AIFM Oy</v>
          </cell>
        </row>
        <row r="1168">
          <cell r="B1168" t="str">
            <v>34619194#002</v>
          </cell>
          <cell r="H1168" t="str">
            <v>Saari AIFM Oy</v>
          </cell>
        </row>
        <row r="1169">
          <cell r="B1169" t="str">
            <v/>
          </cell>
          <cell r="H1169" t="str">
            <v/>
          </cell>
        </row>
        <row r="1170">
          <cell r="B1170" t="str">
            <v/>
          </cell>
          <cell r="H1170" t="str">
            <v/>
          </cell>
        </row>
        <row r="1171">
          <cell r="B1171" t="str">
            <v>Rahamarkkinarahastot luetaan rahalaitosektoriin (MFI)</v>
          </cell>
          <cell r="H1171" t="str">
            <v/>
          </cell>
        </row>
        <row r="1172">
          <cell r="B1172" t="str">
            <v>Penningmarknadsfonder klassificeras som monetära finansinstitut (MFI)</v>
          </cell>
          <cell r="H1172" t="str">
            <v/>
          </cell>
        </row>
        <row r="1173">
          <cell r="B1173" t="str">
            <v>Money market funds are included in the MFI sector</v>
          </cell>
          <cell r="H1173" t="str">
            <v/>
          </cell>
        </row>
        <row r="1174">
          <cell r="B1174" t="str">
            <v/>
          </cell>
          <cell r="H1174" t="str">
            <v/>
          </cell>
        </row>
        <row r="1175">
          <cell r="B1175" t="str">
            <v>10932901#018</v>
          </cell>
          <cell r="H1175" t="str">
            <v>Seligson &amp; Co Rahastoyhtiö Oyj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57346-8073-4ACF-810F-2B709A505EF4}" name="Table14" displayName="Table14" ref="A1:L1446" totalsRowShown="0" headerRowDxfId="6">
  <autoFilter ref="A1:L1446" xr:uid="{D0157346-8073-4ACF-810F-2B709A505EF4}"/>
  <sortState xmlns:xlrd2="http://schemas.microsoft.com/office/spreadsheetml/2017/richdata2" ref="A2:L1436">
    <sortCondition ref="L1:L1436"/>
  </sortState>
  <tableColumns count="12">
    <tableColumn id="1" xr3:uid="{163EE17B-AC71-47E9-AF50-7C13CF43EEB0}" name="Query"/>
    <tableColumn id="2" xr3:uid="{F500471C-3CA4-4509-866F-77396DE56E10}" name="ReportingStartDate" dataDxfId="5"/>
    <tableColumn id="3" xr3:uid="{E5D39A2C-213C-4D06-A40B-F6D85B65EB6C}" name="ReportingEndDate" dataDxfId="4"/>
    <tableColumn id="4" xr3:uid="{2CB9BFAE-36D3-42D9-87A7-6CC0948D1D02}" name="Reporter" dataDxfId="3"/>
    <tableColumn id="7" xr3:uid="{78EB8589-F08B-451F-BEC2-09BEE0C95463}" name="UCITS_special mutual fund type"/>
    <tableColumn id="8" xr3:uid="{E3717C63-2653-4AB7-8DFF-8BAF5C325CFF}" name="Capital variability"/>
    <tableColumn id="9" xr3:uid="{7475365F-8291-4AEE-B613-BCE6D0370335}" name="Fund category"/>
    <tableColumn id="5" xr3:uid="{C795E18C-E7B6-4F86-85C2-A09BDE7D544A}" name="Fund Management Company"/>
    <tableColumn id="6" xr3:uid="{31DD6153-C719-4164-87A2-39AA14C95CEC}" name="AIF"/>
    <tableColumn id="10" xr3:uid="{58E78577-3443-48DB-998A-82C9240B617A}" name="Status" dataDxfId="2">
      <calculatedColumnFormula>IF(ISNUMBER(MATCH($D2,'Lopettaneet 2013-&gt;'!$D:$D,0)),INDEX('Lopettaneet 2013-&gt;'!$K:$K,MATCH($D2,'Lopettaneet 2013-&gt;'!$D:$D,0)),"Continues")</calculatedColumnFormula>
    </tableColumn>
    <tableColumn id="11" xr3:uid="{E3A2D595-914C-4633-A58E-04BA7ADCA0F3}" name="Lifetime (whole years)" dataDxfId="1">
      <calculatedColumnFormula>IF($H2="Continues",DATEDIF($B2,TODAY(),"Y"),INDEX('Lopettaneet 2013-&gt;'!$L:$L,MATCH($D2,'Lopettaneet 2013-&gt;'!$D:$D,0)))</calculatedColumnFormula>
    </tableColumn>
    <tableColumn id="13" xr3:uid="{738AA27F-81D5-4F28-8FC3-FAA2BD7A5DE6}" name="Row numbe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3C5F7-2828-4F0A-BDE6-550DAD1BA3BF}" name="Table13" displayName="Table13" ref="A1:L1091" totalsRowShown="0" headerRowDxfId="11">
  <autoFilter ref="A1:L1091" xr:uid="{A293C5F7-2828-4F0A-BDE6-550DAD1BA3BF}"/>
  <tableColumns count="12">
    <tableColumn id="1" xr3:uid="{2566A2C7-1449-4208-978C-394E8A413F56}" name="Query"/>
    <tableColumn id="2" xr3:uid="{26413B41-1715-4C64-9B34-7EB202465EA2}" name="ReportingStartDate" dataDxfId="10"/>
    <tableColumn id="3" xr3:uid="{4CC772BF-1CE2-4930-8396-FE5E441BEA74}" name="ReportingEndDate" dataDxfId="9"/>
    <tableColumn id="4" xr3:uid="{6428E096-AD93-4445-8EC6-5608E3402502}" name="Reporter" dataDxfId="8"/>
    <tableColumn id="7" xr3:uid="{18A37E09-F759-43F2-84D9-E6BE858C5A66}" name="UCITS_special mutual fund type"/>
    <tableColumn id="8" xr3:uid="{381F014B-CC1A-417B-BE2F-38B85A3C8F9F}" name="Capital variability"/>
    <tableColumn id="9" xr3:uid="{4B74D7CE-D773-45BE-961F-D5D8DEF16E89}" name="Fund category"/>
    <tableColumn id="5" xr3:uid="{B1E5DF6A-63A5-41A4-BD64-3CA46791D130}" name="Fund Management Company"/>
    <tableColumn id="6" xr3:uid="{0709109D-6A1A-4330-A293-3AAAAAFBF786}" name="AIF"/>
    <tableColumn id="10" xr3:uid="{5EEE556A-1849-4638-8EC0-2ADB2494893A}" name="Status">
      <calculatedColumnFormula>IF(ISNUMBER(MATCH($D2,'Lopettaneet 2013-&gt;'!$D:$D,0)),INDEX('Lopettaneet 2013-&gt;'!$K:$K,MATCH($D2,'Lopettaneet 2013-&gt;'!$D:$D,0)),"Jatkaa")</calculatedColumnFormula>
    </tableColumn>
    <tableColumn id="11" xr3:uid="{C47B33B0-A41E-462F-A5DC-B2C45648753B}" name="Lifetime (whole years)" dataDxfId="7">
      <calculatedColumnFormula>IF($J2="Jatkaa",DATEDIF($B2,TODAY(),"Y"),INDEX('Lopettaneet 2013-&gt;'!$L:$L,MATCH($D2,'Lopettaneet 2013-&gt;'!$D:$D,0)))</calculatedColumnFormula>
    </tableColumn>
    <tableColumn id="13" xr3:uid="{4ADB3F30-0047-4F83-9D17-CAAE3A975208}" name="Row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DE5A-8466-4621-8167-43087A620E5F}">
  <dimension ref="A1:L1448"/>
  <sheetViews>
    <sheetView tabSelected="1" topLeftCell="C1393" workbookViewId="0">
      <selection activeCell="J1419" sqref="J1419"/>
    </sheetView>
  </sheetViews>
  <sheetFormatPr defaultRowHeight="15" x14ac:dyDescent="0.25"/>
  <cols>
    <col min="1" max="1" width="8.85546875" customWidth="1"/>
    <col min="2" max="2" width="24.85546875" customWidth="1"/>
    <col min="3" max="3" width="25.5703125" customWidth="1"/>
    <col min="4" max="4" width="94" style="4" bestFit="1" customWidth="1"/>
    <col min="5" max="5" width="13.140625" customWidth="1"/>
    <col min="6" max="6" width="22.7109375" customWidth="1"/>
    <col min="7" max="7" width="23" bestFit="1" customWidth="1"/>
    <col min="8" max="8" width="34.28515625" customWidth="1"/>
    <col min="9" max="9" width="18.140625" customWidth="1"/>
    <col min="10" max="10" width="12.140625" customWidth="1"/>
    <col min="16" max="16" width="41.85546875" bestFit="1" customWidth="1"/>
  </cols>
  <sheetData>
    <row r="1" spans="1:12" s="2" customFormat="1" x14ac:dyDescent="0.25">
      <c r="A1" s="2" t="s">
        <v>2908</v>
      </c>
      <c r="B1" s="2" t="s">
        <v>2907</v>
      </c>
      <c r="C1" s="2" t="s">
        <v>2906</v>
      </c>
      <c r="D1" s="3" t="s">
        <v>2902</v>
      </c>
      <c r="E1" s="2" t="s">
        <v>2903</v>
      </c>
      <c r="F1" s="2" t="s">
        <v>2901</v>
      </c>
      <c r="G1" s="2" t="s">
        <v>2900</v>
      </c>
      <c r="H1" s="2" t="s">
        <v>2899</v>
      </c>
      <c r="I1" s="2" t="s">
        <v>2893</v>
      </c>
      <c r="J1" s="2" t="s">
        <v>2712</v>
      </c>
      <c r="K1" s="2" t="s">
        <v>2905</v>
      </c>
      <c r="L1" t="s">
        <v>2904</v>
      </c>
    </row>
    <row r="2" spans="1:12" x14ac:dyDescent="0.25">
      <c r="A2" t="s">
        <v>7</v>
      </c>
      <c r="B2" s="1">
        <v>39783</v>
      </c>
      <c r="C2" s="1">
        <v>43496</v>
      </c>
      <c r="D2" s="4" t="s">
        <v>2210</v>
      </c>
      <c r="E2" t="s">
        <v>3</v>
      </c>
      <c r="F2" t="s">
        <v>4</v>
      </c>
      <c r="G2" t="s">
        <v>2920</v>
      </c>
      <c r="H2" t="s">
        <v>2923</v>
      </c>
      <c r="I2" t="s">
        <v>2909</v>
      </c>
      <c r="J2" t="str">
        <f>IF(ISNUMBER(MATCH($D2,'Lopettaneet 2013-&gt;'!$D:$D,0)),INDEX('Lopettaneet 2013-&gt;'!$K:$K,MATCH($D2,'Lopettaneet 2013-&gt;'!$D:$D,0)),"Continues")</f>
        <v>Merged</v>
      </c>
      <c r="K2">
        <f ca="1">IF($J2="Continues",DATEDIF($B2,TODAY(),"Y"),INDEX('Lopettaneet 2013-&gt;'!$L:$L,MATCH($D2,'Lopettaneet 2013-&gt;'!$D:$D,0)))</f>
        <v>10</v>
      </c>
      <c r="L2">
        <v>1</v>
      </c>
    </row>
    <row r="3" spans="1:12" x14ac:dyDescent="0.25">
      <c r="A3" t="s">
        <v>7</v>
      </c>
      <c r="B3" s="1">
        <v>41974</v>
      </c>
      <c r="C3" s="1">
        <v>43100</v>
      </c>
      <c r="D3" s="4" t="s">
        <v>243</v>
      </c>
      <c r="E3" t="s">
        <v>10</v>
      </c>
      <c r="F3" t="s">
        <v>11</v>
      </c>
      <c r="G3" t="s">
        <v>2912</v>
      </c>
      <c r="H3" t="s">
        <v>2928</v>
      </c>
      <c r="I3" t="s">
        <v>2909</v>
      </c>
      <c r="J3" t="str">
        <f>IF(ISNUMBER(MATCH($D3,'Lopettaneet 2013-&gt;'!$D:$D,0)),INDEX('Lopettaneet 2013-&gt;'!$K:$K,MATCH($D3,'Lopettaneet 2013-&gt;'!$D:$D,0)),"Continues")</f>
        <v>Closed</v>
      </c>
      <c r="K3">
        <f ca="1">IF($J3="Continues",DATEDIF($B3,TODAY(),"Y"),INDEX('Lopettaneet 2013-&gt;'!$L:$L,MATCH($D3,'Lopettaneet 2013-&gt;'!$D:$D,0)))</f>
        <v>3</v>
      </c>
      <c r="L3">
        <v>1</v>
      </c>
    </row>
    <row r="4" spans="1:12" x14ac:dyDescent="0.25">
      <c r="A4" t="s">
        <v>2209</v>
      </c>
      <c r="B4" s="1">
        <v>39783</v>
      </c>
      <c r="C4" s="1">
        <v>43465</v>
      </c>
      <c r="D4" s="4" t="s">
        <v>257</v>
      </c>
      <c r="E4" t="s">
        <v>3</v>
      </c>
      <c r="F4" t="s">
        <v>4</v>
      </c>
      <c r="G4" t="s">
        <v>2913</v>
      </c>
      <c r="H4" t="s">
        <v>2953</v>
      </c>
      <c r="I4" t="s">
        <v>2894</v>
      </c>
      <c r="J4" t="str">
        <f>IF(ISNUMBER(MATCH($D4,'Lopettaneet 2013-&gt;'!$D:$D,0)),INDEX('Lopettaneet 2013-&gt;'!$K:$K,MATCH($D4,'Lopettaneet 2013-&gt;'!$D:$D,0)),"Continues")</f>
        <v>Closed</v>
      </c>
      <c r="K4">
        <f ca="1">IF($J4="Continues",DATEDIF($B4,TODAY(),"Y"),INDEX('Lopettaneet 2013-&gt;'!$L:$L,MATCH($D4,'Lopettaneet 2013-&gt;'!$D:$D,0)))</f>
        <v>10</v>
      </c>
      <c r="L4">
        <v>2</v>
      </c>
    </row>
    <row r="5" spans="1:12" x14ac:dyDescent="0.25">
      <c r="A5" t="s">
        <v>7</v>
      </c>
      <c r="B5" s="1">
        <v>41974</v>
      </c>
      <c r="C5" s="1">
        <v>42735</v>
      </c>
      <c r="D5" s="4" t="s">
        <v>245</v>
      </c>
      <c r="E5" t="s">
        <v>10</v>
      </c>
      <c r="F5" t="s">
        <v>11</v>
      </c>
      <c r="G5" t="s">
        <v>2912</v>
      </c>
      <c r="H5" t="s">
        <v>2909</v>
      </c>
      <c r="I5" t="s">
        <v>2909</v>
      </c>
      <c r="J5" t="str">
        <f>IF(ISNUMBER(MATCH($D5,'Lopettaneet 2013-&gt;'!$D:$D,0)),INDEX('Lopettaneet 2013-&gt;'!$K:$K,MATCH($D5,'Lopettaneet 2013-&gt;'!$D:$D,0)),"Continues")</f>
        <v>Closed</v>
      </c>
      <c r="K5">
        <f ca="1">IF($J5="Continues",DATEDIF($B5,TODAY(),"Y"),INDEX('Lopettaneet 2013-&gt;'!$L:$L,MATCH($D5,'Lopettaneet 2013-&gt;'!$D:$D,0)))</f>
        <v>2</v>
      </c>
      <c r="L5">
        <v>2</v>
      </c>
    </row>
    <row r="6" spans="1:12" x14ac:dyDescent="0.25">
      <c r="A6" t="s">
        <v>2209</v>
      </c>
      <c r="B6" s="1">
        <v>41122</v>
      </c>
      <c r="C6" s="1">
        <v>43465</v>
      </c>
      <c r="D6" s="4" t="s">
        <v>259</v>
      </c>
      <c r="E6" t="s">
        <v>3</v>
      </c>
      <c r="F6" t="s">
        <v>4</v>
      </c>
      <c r="G6" t="s">
        <v>2913</v>
      </c>
      <c r="H6" t="s">
        <v>2975</v>
      </c>
      <c r="I6" t="s">
        <v>2894</v>
      </c>
      <c r="J6" t="str">
        <f>IF(ISNUMBER(MATCH($D6,'Lopettaneet 2013-&gt;'!$D:$D,0)),INDEX('Lopettaneet 2013-&gt;'!$K:$K,MATCH($D6,'Lopettaneet 2013-&gt;'!$D:$D,0)),"Continues")</f>
        <v>Closed</v>
      </c>
      <c r="K6">
        <f ca="1">IF($J6="Continues",DATEDIF($B6,TODAY(),"Y"),INDEX('Lopettaneet 2013-&gt;'!$L:$L,MATCH($D6,'Lopettaneet 2013-&gt;'!$D:$D,0)))</f>
        <v>6</v>
      </c>
      <c r="L6">
        <v>3</v>
      </c>
    </row>
    <row r="7" spans="1:12" x14ac:dyDescent="0.25">
      <c r="A7" t="s">
        <v>7</v>
      </c>
      <c r="B7" s="1">
        <v>41974</v>
      </c>
      <c r="C7" s="1">
        <v>42369</v>
      </c>
      <c r="D7" s="4" t="s">
        <v>247</v>
      </c>
      <c r="E7" t="s">
        <v>10</v>
      </c>
      <c r="F7" t="s">
        <v>11</v>
      </c>
      <c r="G7" t="s">
        <v>2912</v>
      </c>
      <c r="H7" t="s">
        <v>3242</v>
      </c>
      <c r="I7" t="s">
        <v>2909</v>
      </c>
      <c r="J7" t="str">
        <f>IF(ISNUMBER(MATCH($D7,'Lopettaneet 2013-&gt;'!$D:$D,0)),INDEX('Lopettaneet 2013-&gt;'!$K:$K,MATCH($D7,'Lopettaneet 2013-&gt;'!$D:$D,0)),"Continues")</f>
        <v>Closed</v>
      </c>
      <c r="K7">
        <f ca="1">IF($J7="Continues",DATEDIF($B7,TODAY(),"Y"),INDEX('Lopettaneet 2013-&gt;'!$L:$L,MATCH($D7,'Lopettaneet 2013-&gt;'!$D:$D,0)))</f>
        <v>1</v>
      </c>
      <c r="L7">
        <v>3</v>
      </c>
    </row>
    <row r="8" spans="1:12" x14ac:dyDescent="0.25">
      <c r="A8" t="s">
        <v>2209</v>
      </c>
      <c r="B8" s="1">
        <v>39783</v>
      </c>
      <c r="C8" s="1">
        <v>40908</v>
      </c>
      <c r="D8" s="4" t="s">
        <v>2215</v>
      </c>
      <c r="E8" t="s">
        <v>3</v>
      </c>
      <c r="F8" t="s">
        <v>4</v>
      </c>
      <c r="G8" t="s">
        <v>2913</v>
      </c>
      <c r="H8" t="s">
        <v>2924</v>
      </c>
      <c r="I8" t="s">
        <v>2909</v>
      </c>
      <c r="J8" t="str">
        <f>IF(ISNUMBER(MATCH($D8,'Lopettaneet 2013-&gt;'!$D:$D,0)),INDEX('Lopettaneet 2013-&gt;'!$K:$K,MATCH($D8,'Lopettaneet 2013-&gt;'!$D:$D,0)),"Continues")</f>
        <v>Closed</v>
      </c>
      <c r="K8">
        <f ca="1">IF($J8="Continues",DATEDIF($B8,TODAY(),"Y"),INDEX('Lopettaneet 2013-&gt;'!$L:$L,MATCH($D8,'Lopettaneet 2013-&gt;'!$D:$D,0)))</f>
        <v>3</v>
      </c>
      <c r="L8">
        <v>4</v>
      </c>
    </row>
    <row r="9" spans="1:12" x14ac:dyDescent="0.25">
      <c r="A9" t="s">
        <v>7</v>
      </c>
      <c r="B9" s="1">
        <v>41974</v>
      </c>
      <c r="C9" s="1">
        <v>43738</v>
      </c>
      <c r="D9" s="4" t="s">
        <v>249</v>
      </c>
      <c r="E9" t="s">
        <v>10</v>
      </c>
      <c r="F9" t="s">
        <v>11</v>
      </c>
      <c r="G9" t="s">
        <v>2912</v>
      </c>
      <c r="H9" t="s">
        <v>2934</v>
      </c>
      <c r="I9" t="s">
        <v>2909</v>
      </c>
      <c r="J9" t="str">
        <f>IF(ISNUMBER(MATCH($D9,'Lopettaneet 2013-&gt;'!$D:$D,0)),INDEX('Lopettaneet 2013-&gt;'!$K:$K,MATCH($D9,'Lopettaneet 2013-&gt;'!$D:$D,0)),"Continues")</f>
        <v>Closed</v>
      </c>
      <c r="K9">
        <f ca="1">IF($J9="Continues",DATEDIF($B9,TODAY(),"Y"),INDEX('Lopettaneet 2013-&gt;'!$L:$L,MATCH($D9,'Lopettaneet 2013-&gt;'!$D:$D,0)))</f>
        <v>4</v>
      </c>
      <c r="L9">
        <v>4</v>
      </c>
    </row>
    <row r="10" spans="1:12" x14ac:dyDescent="0.25">
      <c r="A10" t="s">
        <v>2209</v>
      </c>
      <c r="B10" s="1">
        <v>40909</v>
      </c>
      <c r="C10" s="1">
        <v>41912</v>
      </c>
      <c r="D10" s="4" t="s">
        <v>2215</v>
      </c>
      <c r="E10" t="s">
        <v>3</v>
      </c>
      <c r="F10" t="s">
        <v>4</v>
      </c>
      <c r="G10" t="s">
        <v>2913</v>
      </c>
      <c r="H10" t="s">
        <v>2924</v>
      </c>
      <c r="I10" t="s">
        <v>2909</v>
      </c>
      <c r="J10" t="str">
        <f>IF(ISNUMBER(MATCH($D10,'Lopettaneet 2013-&gt;'!$D:$D,0)),INDEX('Lopettaneet 2013-&gt;'!$K:$K,MATCH($D10,'Lopettaneet 2013-&gt;'!$D:$D,0)),"Continues")</f>
        <v>Closed</v>
      </c>
      <c r="K10">
        <f ca="1">IF($J10="Continues",DATEDIF($B10,TODAY(),"Y"),INDEX('Lopettaneet 2013-&gt;'!$L:$L,MATCH($D10,'Lopettaneet 2013-&gt;'!$D:$D,0)))</f>
        <v>3</v>
      </c>
      <c r="L10">
        <v>5</v>
      </c>
    </row>
    <row r="11" spans="1:12" x14ac:dyDescent="0.25">
      <c r="A11" t="s">
        <v>7</v>
      </c>
      <c r="B11" s="1">
        <v>41974</v>
      </c>
      <c r="C11" s="1">
        <v>42369</v>
      </c>
      <c r="D11" s="4" t="s">
        <v>251</v>
      </c>
      <c r="E11" t="s">
        <v>10</v>
      </c>
      <c r="F11" t="s">
        <v>11</v>
      </c>
      <c r="G11" t="s">
        <v>2912</v>
      </c>
      <c r="H11" t="s">
        <v>2934</v>
      </c>
      <c r="I11" t="s">
        <v>2909</v>
      </c>
      <c r="J11" t="str">
        <f>IF(ISNUMBER(MATCH($D11,'Lopettaneet 2013-&gt;'!$D:$D,0)),INDEX('Lopettaneet 2013-&gt;'!$K:$K,MATCH($D11,'Lopettaneet 2013-&gt;'!$D:$D,0)),"Continues")</f>
        <v>Closed</v>
      </c>
      <c r="K11">
        <f ca="1">IF($J11="Continues",DATEDIF($B11,TODAY(),"Y"),INDEX('Lopettaneet 2013-&gt;'!$L:$L,MATCH($D11,'Lopettaneet 2013-&gt;'!$D:$D,0)))</f>
        <v>1</v>
      </c>
      <c r="L11">
        <v>5</v>
      </c>
    </row>
    <row r="12" spans="1:12" x14ac:dyDescent="0.25">
      <c r="A12" t="s">
        <v>2209</v>
      </c>
      <c r="B12" s="1">
        <v>39783</v>
      </c>
      <c r="C12" s="1">
        <v>42277</v>
      </c>
      <c r="D12" s="4" t="s">
        <v>2217</v>
      </c>
      <c r="E12" t="s">
        <v>3</v>
      </c>
      <c r="F12" t="s">
        <v>4</v>
      </c>
      <c r="G12" t="s">
        <v>2920</v>
      </c>
      <c r="H12" t="s">
        <v>2946</v>
      </c>
      <c r="I12" t="s">
        <v>2909</v>
      </c>
      <c r="J12" t="str">
        <f>IF(ISNUMBER(MATCH($D12,'Lopettaneet 2013-&gt;'!$D:$D,0)),INDEX('Lopettaneet 2013-&gt;'!$K:$K,MATCH($D12,'Lopettaneet 2013-&gt;'!$D:$D,0)),"Continues")</f>
        <v>Merged</v>
      </c>
      <c r="K12">
        <f ca="1">IF($J12="Continues",DATEDIF($B12,TODAY(),"Y"),INDEX('Lopettaneet 2013-&gt;'!$L:$L,MATCH($D12,'Lopettaneet 2013-&gt;'!$D:$D,0)))</f>
        <v>6</v>
      </c>
      <c r="L12">
        <v>6</v>
      </c>
    </row>
    <row r="13" spans="1:12" x14ac:dyDescent="0.25">
      <c r="A13" t="s">
        <v>7</v>
      </c>
      <c r="B13" s="1">
        <v>41974</v>
      </c>
      <c r="C13" s="1">
        <v>43738</v>
      </c>
      <c r="D13" s="4" t="s">
        <v>253</v>
      </c>
      <c r="E13" t="s">
        <v>10</v>
      </c>
      <c r="F13" t="s">
        <v>11</v>
      </c>
      <c r="G13" t="s">
        <v>2912</v>
      </c>
      <c r="H13" t="s">
        <v>2934</v>
      </c>
      <c r="I13" t="s">
        <v>2909</v>
      </c>
      <c r="J13" t="str">
        <f>IF(ISNUMBER(MATCH($D13,'Lopettaneet 2013-&gt;'!$D:$D,0)),INDEX('Lopettaneet 2013-&gt;'!$K:$K,MATCH($D13,'Lopettaneet 2013-&gt;'!$D:$D,0)),"Continues")</f>
        <v>Closed</v>
      </c>
      <c r="K13">
        <f ca="1">IF($J13="Continues",DATEDIF($B13,TODAY(),"Y"),INDEX('Lopettaneet 2013-&gt;'!$L:$L,MATCH($D13,'Lopettaneet 2013-&gt;'!$D:$D,0)))</f>
        <v>4</v>
      </c>
      <c r="L13">
        <v>6</v>
      </c>
    </row>
    <row r="14" spans="1:12" x14ac:dyDescent="0.25">
      <c r="A14" t="s">
        <v>2209</v>
      </c>
      <c r="B14" s="1">
        <v>39783</v>
      </c>
      <c r="C14" s="1">
        <v>40908</v>
      </c>
      <c r="D14" s="4" t="s">
        <v>2219</v>
      </c>
      <c r="E14" t="s">
        <v>3</v>
      </c>
      <c r="F14" t="s">
        <v>4</v>
      </c>
      <c r="G14" t="s">
        <v>2913</v>
      </c>
      <c r="H14" t="s">
        <v>2923</v>
      </c>
      <c r="I14" t="s">
        <v>2909</v>
      </c>
      <c r="J14" t="str">
        <f>IF(ISNUMBER(MATCH($D14,'Lopettaneet 2013-&gt;'!$D:$D,0)),INDEX('Lopettaneet 2013-&gt;'!$K:$K,MATCH($D14,'Lopettaneet 2013-&gt;'!$D:$D,0)),"Continues")</f>
        <v>Closed</v>
      </c>
      <c r="K14">
        <f ca="1">IF($J14="Continues",DATEDIF($B14,TODAY(),"Y"),INDEX('Lopettaneet 2013-&gt;'!$L:$L,MATCH($D14,'Lopettaneet 2013-&gt;'!$D:$D,0)))</f>
        <v>3</v>
      </c>
      <c r="L14">
        <v>7</v>
      </c>
    </row>
    <row r="15" spans="1:12" x14ac:dyDescent="0.25">
      <c r="A15" t="s">
        <v>7</v>
      </c>
      <c r="B15" s="1">
        <v>41974</v>
      </c>
      <c r="C15" s="1">
        <v>44196</v>
      </c>
      <c r="D15" s="4" t="s">
        <v>255</v>
      </c>
      <c r="E15" t="s">
        <v>10</v>
      </c>
      <c r="F15" t="s">
        <v>11</v>
      </c>
      <c r="G15" t="s">
        <v>2914</v>
      </c>
      <c r="H15" t="s">
        <v>2950</v>
      </c>
      <c r="I15" t="s">
        <v>2909</v>
      </c>
      <c r="J15" t="str">
        <f>IF(ISNUMBER(MATCH($D15,'Lopettaneet 2013-&gt;'!$D:$D,0)),INDEX('Lopettaneet 2013-&gt;'!$K:$K,MATCH($D15,'Lopettaneet 2013-&gt;'!$D:$D,0)),"Continues")</f>
        <v>Closed</v>
      </c>
      <c r="K15">
        <f ca="1">IF($J15="Continues",DATEDIF($B15,TODAY(),"Y"),INDEX('Lopettaneet 2013-&gt;'!$L:$L,MATCH($D15,'Lopettaneet 2013-&gt;'!$D:$D,0)))</f>
        <v>6</v>
      </c>
      <c r="L15">
        <v>7</v>
      </c>
    </row>
    <row r="16" spans="1:12" x14ac:dyDescent="0.25">
      <c r="A16" t="s">
        <v>2209</v>
      </c>
      <c r="B16" s="1">
        <v>40909</v>
      </c>
      <c r="C16" s="1">
        <v>42704</v>
      </c>
      <c r="D16" s="4" t="s">
        <v>2219</v>
      </c>
      <c r="E16" t="s">
        <v>3</v>
      </c>
      <c r="F16" t="s">
        <v>4</v>
      </c>
      <c r="G16" t="s">
        <v>2913</v>
      </c>
      <c r="H16" t="s">
        <v>2923</v>
      </c>
      <c r="I16" t="s">
        <v>2909</v>
      </c>
      <c r="J16" t="str">
        <f>IF(ISNUMBER(MATCH($D16,'Lopettaneet 2013-&gt;'!$D:$D,0)),INDEX('Lopettaneet 2013-&gt;'!$K:$K,MATCH($D16,'Lopettaneet 2013-&gt;'!$D:$D,0)),"Continues")</f>
        <v>Closed</v>
      </c>
      <c r="K16">
        <f ca="1">IF($J16="Continues",DATEDIF($B16,TODAY(),"Y"),INDEX('Lopettaneet 2013-&gt;'!$L:$L,MATCH($D16,'Lopettaneet 2013-&gt;'!$D:$D,0)))</f>
        <v>3</v>
      </c>
      <c r="L16">
        <v>8</v>
      </c>
    </row>
    <row r="17" spans="1:12" x14ac:dyDescent="0.25">
      <c r="A17" t="s">
        <v>0</v>
      </c>
      <c r="B17" s="1">
        <v>43466</v>
      </c>
      <c r="C17" s="1">
        <v>55153</v>
      </c>
      <c r="D17" s="4" t="s">
        <v>257</v>
      </c>
      <c r="E17" t="s">
        <v>3</v>
      </c>
      <c r="F17" t="s">
        <v>4</v>
      </c>
      <c r="G17" t="s">
        <v>2913</v>
      </c>
      <c r="H17" t="s">
        <v>2953</v>
      </c>
      <c r="I17" t="s">
        <v>2894</v>
      </c>
      <c r="J17" t="str">
        <f>IF(ISNUMBER(MATCH($D17,'Lopettaneet 2013-&gt;'!$D:$D,0)),INDEX('Lopettaneet 2013-&gt;'!$K:$K,MATCH($D17,'Lopettaneet 2013-&gt;'!$D:$D,0)),"Continues")</f>
        <v>Closed</v>
      </c>
      <c r="K17">
        <f ca="1">IF($J17="Continues",DATEDIF($B17,TODAY(),"Y"),INDEX('Lopettaneet 2013-&gt;'!$L:$L,MATCH($D17,'Lopettaneet 2013-&gt;'!$D:$D,0)))</f>
        <v>10</v>
      </c>
      <c r="L17">
        <v>8</v>
      </c>
    </row>
    <row r="18" spans="1:12" x14ac:dyDescent="0.25">
      <c r="A18" t="s">
        <v>0</v>
      </c>
      <c r="B18" s="1">
        <v>39783</v>
      </c>
      <c r="C18" s="1">
        <v>41608</v>
      </c>
      <c r="D18" s="4" t="s">
        <v>2221</v>
      </c>
      <c r="E18" t="s">
        <v>3</v>
      </c>
      <c r="F18" t="s">
        <v>4</v>
      </c>
      <c r="G18" t="s">
        <v>2920</v>
      </c>
      <c r="H18" t="s">
        <v>2766</v>
      </c>
      <c r="I18" t="s">
        <v>2909</v>
      </c>
      <c r="J18" t="str">
        <f>IF(ISNUMBER(MATCH($D18,'Lopettaneet 2013-&gt;'!$D:$D,0)),INDEX('Lopettaneet 2013-&gt;'!$K:$K,MATCH($D18,'Lopettaneet 2013-&gt;'!$D:$D,0)),"Continues")</f>
        <v>Merged</v>
      </c>
      <c r="K18">
        <f ca="1">IF($J18="Continues",DATEDIF($B18,TODAY(),"Y"),INDEX('Lopettaneet 2013-&gt;'!$L:$L,MATCH($D18,'Lopettaneet 2013-&gt;'!$D:$D,0)))</f>
        <v>4</v>
      </c>
      <c r="L18">
        <v>9</v>
      </c>
    </row>
    <row r="19" spans="1:12" x14ac:dyDescent="0.25">
      <c r="A19" t="s">
        <v>0</v>
      </c>
      <c r="B19" s="1">
        <v>43466</v>
      </c>
      <c r="C19" s="1">
        <v>55153</v>
      </c>
      <c r="D19" s="4" t="s">
        <v>259</v>
      </c>
      <c r="E19" t="s">
        <v>3</v>
      </c>
      <c r="F19" t="s">
        <v>4</v>
      </c>
      <c r="G19" t="s">
        <v>2913</v>
      </c>
      <c r="H19" t="s">
        <v>2975</v>
      </c>
      <c r="I19" t="s">
        <v>2894</v>
      </c>
      <c r="J19" t="str">
        <f>IF(ISNUMBER(MATCH($D19,'Lopettaneet 2013-&gt;'!$D:$D,0)),INDEX('Lopettaneet 2013-&gt;'!$K:$K,MATCH($D19,'Lopettaneet 2013-&gt;'!$D:$D,0)),"Continues")</f>
        <v>Closed</v>
      </c>
      <c r="K19">
        <f ca="1">IF($J19="Continues",DATEDIF($B19,TODAY(),"Y"),INDEX('Lopettaneet 2013-&gt;'!$L:$L,MATCH($D19,'Lopettaneet 2013-&gt;'!$D:$D,0)))</f>
        <v>6</v>
      </c>
      <c r="L19">
        <v>9</v>
      </c>
    </row>
    <row r="20" spans="1:12" x14ac:dyDescent="0.25">
      <c r="A20" t="s">
        <v>2209</v>
      </c>
      <c r="B20" s="1">
        <v>39783</v>
      </c>
      <c r="C20" s="1">
        <v>40908</v>
      </c>
      <c r="D20" s="4" t="s">
        <v>2213</v>
      </c>
      <c r="E20" t="s">
        <v>3</v>
      </c>
      <c r="F20" t="s">
        <v>4</v>
      </c>
      <c r="G20" t="s">
        <v>2913</v>
      </c>
      <c r="H20" t="s">
        <v>2923</v>
      </c>
      <c r="I20" t="s">
        <v>2909</v>
      </c>
      <c r="J20" t="str">
        <f>IF(ISNUMBER(MATCH($D20,'Lopettaneet 2013-&gt;'!$D:$D,0)),INDEX('Lopettaneet 2013-&gt;'!$K:$K,MATCH($D20,'Lopettaneet 2013-&gt;'!$D:$D,0)),"Continues")</f>
        <v>Closed</v>
      </c>
      <c r="K20">
        <f ca="1">IF($J20="Continues",DATEDIF($B20,TODAY(),"Y"),INDEX('Lopettaneet 2013-&gt;'!$L:$L,MATCH($D20,'Lopettaneet 2013-&gt;'!$D:$D,0)))</f>
        <v>3</v>
      </c>
      <c r="L20">
        <v>10</v>
      </c>
    </row>
    <row r="21" spans="1:12" x14ac:dyDescent="0.25">
      <c r="A21" t="s">
        <v>7</v>
      </c>
      <c r="B21" s="1">
        <v>41974</v>
      </c>
      <c r="C21" s="1">
        <v>44469</v>
      </c>
      <c r="D21" s="4" t="s">
        <v>261</v>
      </c>
      <c r="E21" t="s">
        <v>10</v>
      </c>
      <c r="F21" t="s">
        <v>11</v>
      </c>
      <c r="G21" t="s">
        <v>2916</v>
      </c>
      <c r="H21" t="s">
        <v>2909</v>
      </c>
      <c r="I21" t="s">
        <v>2909</v>
      </c>
      <c r="J21" t="str">
        <f>IF(ISNUMBER(MATCH($D21,'Lopettaneet 2013-&gt;'!$D:$D,0)),INDEX('Lopettaneet 2013-&gt;'!$K:$K,MATCH($D21,'Lopettaneet 2013-&gt;'!$D:$D,0)),"Continues")</f>
        <v>Closed</v>
      </c>
      <c r="K21">
        <f ca="1">IF($J21="Continues",DATEDIF($B21,TODAY(),"Y"),INDEX('Lopettaneet 2013-&gt;'!$L:$L,MATCH($D21,'Lopettaneet 2013-&gt;'!$D:$D,0)))</f>
        <v>6</v>
      </c>
      <c r="L21">
        <v>10</v>
      </c>
    </row>
    <row r="22" spans="1:12" x14ac:dyDescent="0.25">
      <c r="A22" t="s">
        <v>2209</v>
      </c>
      <c r="B22" s="1">
        <v>40909</v>
      </c>
      <c r="C22" s="1">
        <v>44712</v>
      </c>
      <c r="D22" s="4" t="s">
        <v>2213</v>
      </c>
      <c r="E22" t="s">
        <v>3</v>
      </c>
      <c r="F22" t="s">
        <v>4</v>
      </c>
      <c r="G22" t="s">
        <v>2913</v>
      </c>
      <c r="H22" t="s">
        <v>2923</v>
      </c>
      <c r="I22" t="s">
        <v>2909</v>
      </c>
      <c r="J22" t="str">
        <f>IF(ISNUMBER(MATCH($D22,'Lopettaneet 2013-&gt;'!$D:$D,0)),INDEX('Lopettaneet 2013-&gt;'!$K:$K,MATCH($D22,'Lopettaneet 2013-&gt;'!$D:$D,0)),"Continues")</f>
        <v>Closed</v>
      </c>
      <c r="K22">
        <f ca="1">IF($J22="Continues",DATEDIF($B22,TODAY(),"Y"),INDEX('Lopettaneet 2013-&gt;'!$L:$L,MATCH($D22,'Lopettaneet 2013-&gt;'!$D:$D,0)))</f>
        <v>3</v>
      </c>
      <c r="L22">
        <v>11</v>
      </c>
    </row>
    <row r="23" spans="1:12" x14ac:dyDescent="0.25">
      <c r="A23" t="s">
        <v>7</v>
      </c>
      <c r="B23" s="1">
        <v>41974</v>
      </c>
      <c r="C23" s="1">
        <v>43100</v>
      </c>
      <c r="D23" s="4" t="s">
        <v>263</v>
      </c>
      <c r="E23" t="s">
        <v>10</v>
      </c>
      <c r="F23" t="s">
        <v>11</v>
      </c>
      <c r="G23" t="s">
        <v>2916</v>
      </c>
      <c r="H23" t="s">
        <v>2909</v>
      </c>
      <c r="I23" t="s">
        <v>2909</v>
      </c>
      <c r="J23" t="str">
        <f>IF(ISNUMBER(MATCH($D23,'Lopettaneet 2013-&gt;'!$D:$D,0)),INDEX('Lopettaneet 2013-&gt;'!$K:$K,MATCH($D23,'Lopettaneet 2013-&gt;'!$D:$D,0)),"Continues")</f>
        <v>Closed</v>
      </c>
      <c r="K23">
        <f ca="1">IF($J23="Continues",DATEDIF($B23,TODAY(),"Y"),INDEX('Lopettaneet 2013-&gt;'!$L:$L,MATCH($D23,'Lopettaneet 2013-&gt;'!$D:$D,0)))</f>
        <v>3</v>
      </c>
      <c r="L23">
        <v>11</v>
      </c>
    </row>
    <row r="24" spans="1:12" x14ac:dyDescent="0.25">
      <c r="A24" t="s">
        <v>2209</v>
      </c>
      <c r="B24" s="1">
        <v>39783</v>
      </c>
      <c r="C24" s="1">
        <v>40908</v>
      </c>
      <c r="D24" s="4" t="s">
        <v>2223</v>
      </c>
      <c r="E24" t="s">
        <v>3</v>
      </c>
      <c r="F24" t="s">
        <v>4</v>
      </c>
      <c r="G24" t="s">
        <v>2920</v>
      </c>
      <c r="H24" t="s">
        <v>2966</v>
      </c>
      <c r="I24" t="s">
        <v>2909</v>
      </c>
      <c r="J24" t="str">
        <f>IF(ISNUMBER(MATCH($D24,'Lopettaneet 2013-&gt;'!$D:$D,0)),INDEX('Lopettaneet 2013-&gt;'!$K:$K,MATCH($D24,'Lopettaneet 2013-&gt;'!$D:$D,0)),"Continues")</f>
        <v>Merged</v>
      </c>
      <c r="K24">
        <f ca="1">IF($J24="Continues",DATEDIF($B24,TODAY(),"Y"),INDEX('Lopettaneet 2013-&gt;'!$L:$L,MATCH($D24,'Lopettaneet 2013-&gt;'!$D:$D,0)))</f>
        <v>3</v>
      </c>
      <c r="L24">
        <v>12</v>
      </c>
    </row>
    <row r="25" spans="1:12" x14ac:dyDescent="0.25">
      <c r="A25" t="s">
        <v>0</v>
      </c>
      <c r="B25" s="1">
        <v>43466</v>
      </c>
      <c r="C25" s="1">
        <v>55153</v>
      </c>
      <c r="D25" s="4" t="s">
        <v>265</v>
      </c>
      <c r="E25" t="s">
        <v>3</v>
      </c>
      <c r="F25" t="s">
        <v>4</v>
      </c>
      <c r="G25" t="s">
        <v>2913</v>
      </c>
      <c r="H25" t="s">
        <v>2766</v>
      </c>
      <c r="I25" t="s">
        <v>2894</v>
      </c>
      <c r="J25" t="str">
        <f>IF(ISNUMBER(MATCH($D25,'Lopettaneet 2013-&gt;'!$D:$D,0)),INDEX('Lopettaneet 2013-&gt;'!$K:$K,MATCH($D25,'Lopettaneet 2013-&gt;'!$D:$D,0)),"Continues")</f>
        <v>Closed</v>
      </c>
      <c r="K25">
        <f ca="1">IF($J25="Continues",DATEDIF($B25,TODAY(),"Y"),INDEX('Lopettaneet 2013-&gt;'!$L:$L,MATCH($D25,'Lopettaneet 2013-&gt;'!$D:$D,0)))</f>
        <v>10</v>
      </c>
      <c r="L25">
        <v>12</v>
      </c>
    </row>
    <row r="26" spans="1:12" x14ac:dyDescent="0.25">
      <c r="A26" t="s">
        <v>0</v>
      </c>
      <c r="B26" s="1">
        <v>40909</v>
      </c>
      <c r="C26" s="1">
        <v>41121</v>
      </c>
      <c r="D26" s="4" t="s">
        <v>2223</v>
      </c>
      <c r="E26" t="s">
        <v>3</v>
      </c>
      <c r="F26" t="s">
        <v>4</v>
      </c>
      <c r="G26" t="s">
        <v>2920</v>
      </c>
      <c r="H26" t="s">
        <v>2966</v>
      </c>
      <c r="I26" t="s">
        <v>2909</v>
      </c>
      <c r="J26" t="str">
        <f>IF(ISNUMBER(MATCH($D26,'Lopettaneet 2013-&gt;'!$D:$D,0)),INDEX('Lopettaneet 2013-&gt;'!$K:$K,MATCH($D26,'Lopettaneet 2013-&gt;'!$D:$D,0)),"Continues")</f>
        <v>Merged</v>
      </c>
      <c r="K26">
        <f ca="1">IF($J26="Continues",DATEDIF($B26,TODAY(),"Y"),INDEX('Lopettaneet 2013-&gt;'!$L:$L,MATCH($D26,'Lopettaneet 2013-&gt;'!$D:$D,0)))</f>
        <v>3</v>
      </c>
      <c r="L26">
        <v>13</v>
      </c>
    </row>
    <row r="27" spans="1:12" x14ac:dyDescent="0.25">
      <c r="A27" t="s">
        <v>0</v>
      </c>
      <c r="B27" s="1">
        <v>42856</v>
      </c>
      <c r="C27" s="1">
        <v>44165</v>
      </c>
      <c r="D27" s="4" t="s">
        <v>267</v>
      </c>
      <c r="E27" t="s">
        <v>3</v>
      </c>
      <c r="F27" t="s">
        <v>4</v>
      </c>
      <c r="G27" t="s">
        <v>2917</v>
      </c>
      <c r="H27" t="s">
        <v>2947</v>
      </c>
      <c r="I27" t="s">
        <v>2909</v>
      </c>
      <c r="J27" t="str">
        <f>IF(ISNUMBER(MATCH($D27,'Lopettaneet 2013-&gt;'!$D:$D,0)),INDEX('Lopettaneet 2013-&gt;'!$K:$K,MATCH($D27,'Lopettaneet 2013-&gt;'!$D:$D,0)),"Continues")</f>
        <v>Merged</v>
      </c>
      <c r="K27">
        <f ca="1">IF($J27="Continues",DATEDIF($B27,TODAY(),"Y"),INDEX('Lopettaneet 2013-&gt;'!$L:$L,MATCH($D27,'Lopettaneet 2013-&gt;'!$D:$D,0)))</f>
        <v>8</v>
      </c>
      <c r="L27">
        <v>13</v>
      </c>
    </row>
    <row r="28" spans="1:12" x14ac:dyDescent="0.25">
      <c r="A28" t="s">
        <v>7</v>
      </c>
      <c r="B28" s="1">
        <v>41122</v>
      </c>
      <c r="C28" s="1">
        <v>43008</v>
      </c>
      <c r="D28" s="4" t="s">
        <v>2223</v>
      </c>
      <c r="E28" t="s">
        <v>3</v>
      </c>
      <c r="F28" t="s">
        <v>4</v>
      </c>
      <c r="G28" t="s">
        <v>2920</v>
      </c>
      <c r="H28" t="s">
        <v>2966</v>
      </c>
      <c r="I28" t="s">
        <v>2909</v>
      </c>
      <c r="J28" t="str">
        <f>IF(ISNUMBER(MATCH($D28,'Lopettaneet 2013-&gt;'!$D:$D,0)),INDEX('Lopettaneet 2013-&gt;'!$K:$K,MATCH($D28,'Lopettaneet 2013-&gt;'!$D:$D,0)),"Continues")</f>
        <v>Merged</v>
      </c>
      <c r="K28">
        <f ca="1">IF($J28="Continues",DATEDIF($B28,TODAY(),"Y"),INDEX('Lopettaneet 2013-&gt;'!$L:$L,MATCH($D28,'Lopettaneet 2013-&gt;'!$D:$D,0)))</f>
        <v>3</v>
      </c>
      <c r="L28">
        <v>14</v>
      </c>
    </row>
    <row r="29" spans="1:12" x14ac:dyDescent="0.25">
      <c r="A29" t="s">
        <v>0</v>
      </c>
      <c r="B29" s="1">
        <v>43466</v>
      </c>
      <c r="C29" s="1">
        <v>55153</v>
      </c>
      <c r="D29" s="4" t="s">
        <v>269</v>
      </c>
      <c r="E29" t="s">
        <v>3</v>
      </c>
      <c r="F29" t="s">
        <v>4</v>
      </c>
      <c r="G29" t="s">
        <v>2913</v>
      </c>
      <c r="H29" t="s">
        <v>2952</v>
      </c>
      <c r="I29" t="s">
        <v>2894</v>
      </c>
      <c r="J29" t="str">
        <f>IF(ISNUMBER(MATCH($D29,'Lopettaneet 2013-&gt;'!$D:$D,0)),INDEX('Lopettaneet 2013-&gt;'!$K:$K,MATCH($D29,'Lopettaneet 2013-&gt;'!$D:$D,0)),"Continues")</f>
        <v>Closed</v>
      </c>
      <c r="K29">
        <f ca="1">IF($J29="Continues",DATEDIF($B29,TODAY(),"Y"),INDEX('Lopettaneet 2013-&gt;'!$L:$L,MATCH($D29,'Lopettaneet 2013-&gt;'!$D:$D,0)))</f>
        <v>9</v>
      </c>
      <c r="L29">
        <v>14</v>
      </c>
    </row>
    <row r="30" spans="1:12" x14ac:dyDescent="0.25">
      <c r="A30" t="s">
        <v>7</v>
      </c>
      <c r="B30" s="1">
        <v>39783</v>
      </c>
      <c r="C30" s="1">
        <v>43465</v>
      </c>
      <c r="D30" s="4" t="s">
        <v>265</v>
      </c>
      <c r="E30" t="s">
        <v>3</v>
      </c>
      <c r="F30" t="s">
        <v>4</v>
      </c>
      <c r="G30" t="s">
        <v>2913</v>
      </c>
      <c r="H30" t="s">
        <v>2766</v>
      </c>
      <c r="I30" t="s">
        <v>2894</v>
      </c>
      <c r="J30" t="str">
        <f>IF(ISNUMBER(MATCH($D30,'Lopettaneet 2013-&gt;'!$D:$D,0)),INDEX('Lopettaneet 2013-&gt;'!$K:$K,MATCH($D30,'Lopettaneet 2013-&gt;'!$D:$D,0)),"Continues")</f>
        <v>Closed</v>
      </c>
      <c r="K30">
        <f ca="1">IF($J30="Continues",DATEDIF($B30,TODAY(),"Y"),INDEX('Lopettaneet 2013-&gt;'!$L:$L,MATCH($D30,'Lopettaneet 2013-&gt;'!$D:$D,0)))</f>
        <v>10</v>
      </c>
      <c r="L30">
        <v>15</v>
      </c>
    </row>
    <row r="31" spans="1:12" x14ac:dyDescent="0.25">
      <c r="A31" t="s">
        <v>0</v>
      </c>
      <c r="B31" s="1">
        <v>43466</v>
      </c>
      <c r="C31" s="1">
        <v>55153</v>
      </c>
      <c r="D31" s="4" t="s">
        <v>271</v>
      </c>
      <c r="E31" t="s">
        <v>3</v>
      </c>
      <c r="F31" t="s">
        <v>4</v>
      </c>
      <c r="G31" t="s">
        <v>2913</v>
      </c>
      <c r="H31" t="s">
        <v>2952</v>
      </c>
      <c r="I31" t="s">
        <v>2894</v>
      </c>
      <c r="J31" t="str">
        <f>IF(ISNUMBER(MATCH($D31,'Lopettaneet 2013-&gt;'!$D:$D,0)),INDEX('Lopettaneet 2013-&gt;'!$K:$K,MATCH($D31,'Lopettaneet 2013-&gt;'!$D:$D,0)),"Continues")</f>
        <v>Closed</v>
      </c>
      <c r="K31">
        <f ca="1">IF($J31="Continues",DATEDIF($B31,TODAY(),"Y"),INDEX('Lopettaneet 2013-&gt;'!$L:$L,MATCH($D31,'Lopettaneet 2013-&gt;'!$D:$D,0)))</f>
        <v>9</v>
      </c>
      <c r="L31">
        <v>15</v>
      </c>
    </row>
    <row r="32" spans="1:12" x14ac:dyDescent="0.25">
      <c r="A32" t="s">
        <v>7</v>
      </c>
      <c r="B32" s="1">
        <v>39783</v>
      </c>
      <c r="C32" s="1">
        <v>43404</v>
      </c>
      <c r="D32" s="4" t="s">
        <v>2225</v>
      </c>
      <c r="E32" t="s">
        <v>3</v>
      </c>
      <c r="F32" t="s">
        <v>4</v>
      </c>
      <c r="G32" t="s">
        <v>2920</v>
      </c>
      <c r="H32" t="s">
        <v>2947</v>
      </c>
      <c r="I32" t="s">
        <v>2909</v>
      </c>
      <c r="J32" t="str">
        <f>IF(ISNUMBER(MATCH($D32,'Lopettaneet 2013-&gt;'!$D:$D,0)),INDEX('Lopettaneet 2013-&gt;'!$K:$K,MATCH($D32,'Lopettaneet 2013-&gt;'!$D:$D,0)),"Continues")</f>
        <v>Merged</v>
      </c>
      <c r="K32">
        <f ca="1">IF($J32="Continues",DATEDIF($B32,TODAY(),"Y"),INDEX('Lopettaneet 2013-&gt;'!$L:$L,MATCH($D32,'Lopettaneet 2013-&gt;'!$D:$D,0)))</f>
        <v>9</v>
      </c>
      <c r="L32">
        <v>16</v>
      </c>
    </row>
    <row r="33" spans="1:12" x14ac:dyDescent="0.25">
      <c r="A33" t="s">
        <v>7</v>
      </c>
      <c r="B33" s="1">
        <v>41974</v>
      </c>
      <c r="C33" s="1">
        <v>55153</v>
      </c>
      <c r="D33" s="4" t="s">
        <v>273</v>
      </c>
      <c r="E33" t="s">
        <v>10</v>
      </c>
      <c r="F33" t="s">
        <v>11</v>
      </c>
      <c r="G33" t="s">
        <v>2914</v>
      </c>
      <c r="H33" t="s">
        <v>2922</v>
      </c>
      <c r="I33" t="s">
        <v>2895</v>
      </c>
      <c r="J33" t="str">
        <f>IF(ISNUMBER(MATCH($D33,'Lopettaneet 2013-&gt;'!$D:$D,0)),INDEX('Lopettaneet 2013-&gt;'!$K:$K,MATCH($D33,'Lopettaneet 2013-&gt;'!$D:$D,0)),"Continues")</f>
        <v>Continues</v>
      </c>
      <c r="K33">
        <f ca="1">IF($J33="Continues",DATEDIF($B33,TODAY(),"Y"),INDEX('Lopettaneet 2013-&gt;'!$L:$L,MATCH($D33,'Lopettaneet 2013-&gt;'!$D:$D,0)))</f>
        <v>10</v>
      </c>
      <c r="L33">
        <v>16</v>
      </c>
    </row>
    <row r="34" spans="1:12" x14ac:dyDescent="0.25">
      <c r="A34" t="s">
        <v>2209</v>
      </c>
      <c r="B34" s="1">
        <v>39783</v>
      </c>
      <c r="C34" s="1">
        <v>44926</v>
      </c>
      <c r="D34" s="4" t="s">
        <v>2227</v>
      </c>
      <c r="E34" t="s">
        <v>3</v>
      </c>
      <c r="F34" t="s">
        <v>4</v>
      </c>
      <c r="G34" t="s">
        <v>2917</v>
      </c>
      <c r="H34" t="s">
        <v>2946</v>
      </c>
      <c r="I34" t="s">
        <v>2909</v>
      </c>
      <c r="J34" t="str">
        <f>IF(ISNUMBER(MATCH($D34,'Lopettaneet 2013-&gt;'!$D:$D,0)),INDEX('Lopettaneet 2013-&gt;'!$K:$K,MATCH($D34,'Lopettaneet 2013-&gt;'!$D:$D,0)),"Continues")</f>
        <v>Merged</v>
      </c>
      <c r="K34">
        <f ca="1">IF($J34="Continues",DATEDIF($B34,TODAY(),"Y"),INDEX('Lopettaneet 2013-&gt;'!$L:$L,MATCH($D34,'Lopettaneet 2013-&gt;'!$D:$D,0)))</f>
        <v>14</v>
      </c>
      <c r="L34">
        <v>17</v>
      </c>
    </row>
    <row r="35" spans="1:12" x14ac:dyDescent="0.25">
      <c r="A35" t="s">
        <v>7</v>
      </c>
      <c r="B35" s="1">
        <v>41974</v>
      </c>
      <c r="C35" s="1">
        <v>55153</v>
      </c>
      <c r="D35" s="4" t="s">
        <v>275</v>
      </c>
      <c r="E35" t="s">
        <v>10</v>
      </c>
      <c r="F35" t="s">
        <v>11</v>
      </c>
      <c r="G35" t="s">
        <v>2912</v>
      </c>
      <c r="H35" t="s">
        <v>2766</v>
      </c>
      <c r="I35" t="s">
        <v>2895</v>
      </c>
      <c r="J35" t="str">
        <f>IF(ISNUMBER(MATCH($D35,'Lopettaneet 2013-&gt;'!$D:$D,0)),INDEX('Lopettaneet 2013-&gt;'!$K:$K,MATCH($D35,'Lopettaneet 2013-&gt;'!$D:$D,0)),"Continues")</f>
        <v>Continues</v>
      </c>
      <c r="K35">
        <f ca="1">IF($J35="Continues",DATEDIF($B35,TODAY(),"Y"),INDEX('Lopettaneet 2013-&gt;'!$L:$L,MATCH($D35,'Lopettaneet 2013-&gt;'!$D:$D,0)))</f>
        <v>10</v>
      </c>
      <c r="L35">
        <v>17</v>
      </c>
    </row>
    <row r="36" spans="1:12" x14ac:dyDescent="0.25">
      <c r="A36" t="s">
        <v>2209</v>
      </c>
      <c r="B36" s="1">
        <v>39783</v>
      </c>
      <c r="C36" s="1">
        <v>42277</v>
      </c>
      <c r="D36" s="4" t="s">
        <v>2229</v>
      </c>
      <c r="E36" t="s">
        <v>3</v>
      </c>
      <c r="F36" t="s">
        <v>4</v>
      </c>
      <c r="G36" t="s">
        <v>2913</v>
      </c>
      <c r="H36" t="s">
        <v>2946</v>
      </c>
      <c r="I36" t="s">
        <v>2909</v>
      </c>
      <c r="J36" t="str">
        <f>IF(ISNUMBER(MATCH($D36,'Lopettaneet 2013-&gt;'!$D:$D,0)),INDEX('Lopettaneet 2013-&gt;'!$K:$K,MATCH($D36,'Lopettaneet 2013-&gt;'!$D:$D,0)),"Continues")</f>
        <v>Merged</v>
      </c>
      <c r="K36">
        <f ca="1">IF($J36="Continues",DATEDIF($B36,TODAY(),"Y"),INDEX('Lopettaneet 2013-&gt;'!$L:$L,MATCH($D36,'Lopettaneet 2013-&gt;'!$D:$D,0)))</f>
        <v>6</v>
      </c>
      <c r="L36">
        <v>18</v>
      </c>
    </row>
    <row r="37" spans="1:12" x14ac:dyDescent="0.25">
      <c r="A37" t="s">
        <v>7</v>
      </c>
      <c r="B37" s="1">
        <v>41974</v>
      </c>
      <c r="C37" s="1">
        <v>42643</v>
      </c>
      <c r="D37" s="4" t="s">
        <v>277</v>
      </c>
      <c r="E37" t="s">
        <v>10</v>
      </c>
      <c r="F37" t="s">
        <v>11</v>
      </c>
      <c r="G37" t="s">
        <v>2914</v>
      </c>
      <c r="H37" t="s">
        <v>2909</v>
      </c>
      <c r="I37" t="s">
        <v>2909</v>
      </c>
      <c r="J37" t="str">
        <f>IF(ISNUMBER(MATCH($D37,'Lopettaneet 2013-&gt;'!$D:$D,0)),INDEX('Lopettaneet 2013-&gt;'!$K:$K,MATCH($D37,'Lopettaneet 2013-&gt;'!$D:$D,0)),"Continues")</f>
        <v>Closed</v>
      </c>
      <c r="K37">
        <f ca="1">IF($J37="Continues",DATEDIF($B37,TODAY(),"Y"),INDEX('Lopettaneet 2013-&gt;'!$L:$L,MATCH($D37,'Lopettaneet 2013-&gt;'!$D:$D,0)))</f>
        <v>1</v>
      </c>
      <c r="L37">
        <v>18</v>
      </c>
    </row>
    <row r="38" spans="1:12" x14ac:dyDescent="0.25">
      <c r="A38" t="s">
        <v>0</v>
      </c>
      <c r="B38" s="1">
        <v>39783</v>
      </c>
      <c r="C38" s="1">
        <v>41820</v>
      </c>
      <c r="D38" s="4" t="s">
        <v>2231</v>
      </c>
      <c r="E38" t="s">
        <v>3</v>
      </c>
      <c r="F38" t="s">
        <v>4</v>
      </c>
      <c r="G38" t="s">
        <v>2917</v>
      </c>
      <c r="H38" t="s">
        <v>2975</v>
      </c>
      <c r="I38" t="s">
        <v>2909</v>
      </c>
      <c r="J38" t="str">
        <f>IF(ISNUMBER(MATCH($D38,'Lopettaneet 2013-&gt;'!$D:$D,0)),INDEX('Lopettaneet 2013-&gt;'!$K:$K,MATCH($D38,'Lopettaneet 2013-&gt;'!$D:$D,0)),"Continues")</f>
        <v>Merged</v>
      </c>
      <c r="K38">
        <f ca="1">IF($J38="Continues",DATEDIF($B38,TODAY(),"Y"),INDEX('Lopettaneet 2013-&gt;'!$L:$L,MATCH($D38,'Lopettaneet 2013-&gt;'!$D:$D,0)))</f>
        <v>5</v>
      </c>
      <c r="L38">
        <v>19</v>
      </c>
    </row>
    <row r="39" spans="1:12" x14ac:dyDescent="0.25">
      <c r="A39" t="s">
        <v>7</v>
      </c>
      <c r="B39" s="1">
        <v>41974</v>
      </c>
      <c r="C39" s="1">
        <v>42735</v>
      </c>
      <c r="D39" s="4" t="s">
        <v>279</v>
      </c>
      <c r="E39" t="s">
        <v>10</v>
      </c>
      <c r="F39" t="s">
        <v>11</v>
      </c>
      <c r="G39" t="s">
        <v>2914</v>
      </c>
      <c r="H39" t="s">
        <v>2931</v>
      </c>
      <c r="I39" t="s">
        <v>2909</v>
      </c>
      <c r="J39" t="str">
        <f>IF(ISNUMBER(MATCH($D39,'Lopettaneet 2013-&gt;'!$D:$D,0)),INDEX('Lopettaneet 2013-&gt;'!$K:$K,MATCH($D39,'Lopettaneet 2013-&gt;'!$D:$D,0)),"Continues")</f>
        <v>Closed</v>
      </c>
      <c r="K39">
        <f ca="1">IF($J39="Continues",DATEDIF($B39,TODAY(),"Y"),INDEX('Lopettaneet 2013-&gt;'!$L:$L,MATCH($D39,'Lopettaneet 2013-&gt;'!$D:$D,0)))</f>
        <v>2</v>
      </c>
      <c r="L39">
        <v>19</v>
      </c>
    </row>
    <row r="40" spans="1:12" x14ac:dyDescent="0.25">
      <c r="A40" t="s">
        <v>2209</v>
      </c>
      <c r="B40" s="1">
        <v>39783</v>
      </c>
      <c r="C40" s="1">
        <v>44742</v>
      </c>
      <c r="D40" s="4" t="s">
        <v>2233</v>
      </c>
      <c r="E40" t="s">
        <v>3</v>
      </c>
      <c r="F40" t="s">
        <v>4</v>
      </c>
      <c r="G40" t="s">
        <v>2917</v>
      </c>
      <c r="H40" t="s">
        <v>2923</v>
      </c>
      <c r="I40" t="s">
        <v>2909</v>
      </c>
      <c r="J40" t="str">
        <f>IF(ISNUMBER(MATCH($D40,'Lopettaneet 2013-&gt;'!$D:$D,0)),INDEX('Lopettaneet 2013-&gt;'!$K:$K,MATCH($D40,'Lopettaneet 2013-&gt;'!$D:$D,0)),"Continues")</f>
        <v>Closed</v>
      </c>
      <c r="K40">
        <f ca="1">IF($J40="Continues",DATEDIF($B40,TODAY(),"Y"),INDEX('Lopettaneet 2013-&gt;'!$L:$L,MATCH($D40,'Lopettaneet 2013-&gt;'!$D:$D,0)))</f>
        <v>13</v>
      </c>
      <c r="L40">
        <v>20</v>
      </c>
    </row>
    <row r="41" spans="1:12" x14ac:dyDescent="0.25">
      <c r="A41" t="s">
        <v>7</v>
      </c>
      <c r="B41" s="1">
        <v>41974</v>
      </c>
      <c r="C41" s="1">
        <v>43465</v>
      </c>
      <c r="D41" s="4" t="s">
        <v>281</v>
      </c>
      <c r="E41" t="s">
        <v>10</v>
      </c>
      <c r="F41" t="s">
        <v>11</v>
      </c>
      <c r="G41" t="s">
        <v>2914</v>
      </c>
      <c r="H41" t="s">
        <v>2931</v>
      </c>
      <c r="I41" t="s">
        <v>2909</v>
      </c>
      <c r="J41" t="str">
        <f>IF(ISNUMBER(MATCH($D41,'Lopettaneet 2013-&gt;'!$D:$D,0)),INDEX('Lopettaneet 2013-&gt;'!$K:$K,MATCH($D41,'Lopettaneet 2013-&gt;'!$D:$D,0)),"Continues")</f>
        <v>Closed</v>
      </c>
      <c r="K41">
        <f ca="1">IF($J41="Continues",DATEDIF($B41,TODAY(),"Y"),INDEX('Lopettaneet 2013-&gt;'!$L:$L,MATCH($D41,'Lopettaneet 2013-&gt;'!$D:$D,0)))</f>
        <v>4</v>
      </c>
      <c r="L41">
        <v>20</v>
      </c>
    </row>
    <row r="42" spans="1:12" x14ac:dyDescent="0.25">
      <c r="A42" t="s">
        <v>0</v>
      </c>
      <c r="B42" s="1">
        <v>39783</v>
      </c>
      <c r="C42" s="1">
        <v>44500</v>
      </c>
      <c r="D42" s="4" t="s">
        <v>2235</v>
      </c>
      <c r="E42" t="s">
        <v>3</v>
      </c>
      <c r="F42" t="s">
        <v>4</v>
      </c>
      <c r="G42" t="s">
        <v>2915</v>
      </c>
      <c r="H42" t="s">
        <v>2923</v>
      </c>
      <c r="I42" t="s">
        <v>2909</v>
      </c>
      <c r="J42" t="str">
        <f>IF(ISNUMBER(MATCH($D42,'Lopettaneet 2013-&gt;'!$D:$D,0)),INDEX('Lopettaneet 2013-&gt;'!$K:$K,MATCH($D42,'Lopettaneet 2013-&gt;'!$D:$D,0)),"Continues")</f>
        <v>Merged</v>
      </c>
      <c r="K42">
        <f ca="1">IF($J42="Continues",DATEDIF($B42,TODAY(),"Y"),INDEX('Lopettaneet 2013-&gt;'!$L:$L,MATCH($D42,'Lopettaneet 2013-&gt;'!$D:$D,0)))</f>
        <v>12</v>
      </c>
      <c r="L42">
        <v>21</v>
      </c>
    </row>
    <row r="43" spans="1:12" x14ac:dyDescent="0.25">
      <c r="A43" t="s">
        <v>7</v>
      </c>
      <c r="B43" s="1">
        <v>41974</v>
      </c>
      <c r="C43" s="1">
        <v>42277</v>
      </c>
      <c r="D43" s="4" t="s">
        <v>283</v>
      </c>
      <c r="E43" t="s">
        <v>10</v>
      </c>
      <c r="F43" t="s">
        <v>11</v>
      </c>
      <c r="G43" t="s">
        <v>2914</v>
      </c>
      <c r="H43" t="s">
        <v>2955</v>
      </c>
      <c r="I43" t="s">
        <v>2909</v>
      </c>
      <c r="J43" t="str">
        <f>IF(ISNUMBER(MATCH($D43,'Lopettaneet 2013-&gt;'!$D:$D,0)),INDEX('Lopettaneet 2013-&gt;'!$K:$K,MATCH($D43,'Lopettaneet 2013-&gt;'!$D:$D,0)),"Continues")</f>
        <v>Closed</v>
      </c>
      <c r="K43">
        <f ca="1">IF($J43="Continues",DATEDIF($B43,TODAY(),"Y"),INDEX('Lopettaneet 2013-&gt;'!$L:$L,MATCH($D43,'Lopettaneet 2013-&gt;'!$D:$D,0)))</f>
        <v>0</v>
      </c>
      <c r="L43">
        <v>21</v>
      </c>
    </row>
    <row r="44" spans="1:12" x14ac:dyDescent="0.25">
      <c r="A44" t="s">
        <v>2209</v>
      </c>
      <c r="B44" s="1">
        <v>39783</v>
      </c>
      <c r="C44" s="1">
        <v>44712</v>
      </c>
      <c r="D44" s="4" t="s">
        <v>2239</v>
      </c>
      <c r="E44" t="s">
        <v>3</v>
      </c>
      <c r="F44" t="s">
        <v>4</v>
      </c>
      <c r="G44" t="s">
        <v>2917</v>
      </c>
      <c r="H44" t="s">
        <v>2923</v>
      </c>
      <c r="I44" t="s">
        <v>2909</v>
      </c>
      <c r="J44" t="str">
        <f>IF(ISNUMBER(MATCH($D44,'Lopettaneet 2013-&gt;'!$D:$D,0)),INDEX('Lopettaneet 2013-&gt;'!$K:$K,MATCH($D44,'Lopettaneet 2013-&gt;'!$D:$D,0)),"Continues")</f>
        <v>Closed</v>
      </c>
      <c r="K44">
        <f ca="1">IF($J44="Continues",DATEDIF($B44,TODAY(),"Y"),INDEX('Lopettaneet 2013-&gt;'!$L:$L,MATCH($D44,'Lopettaneet 2013-&gt;'!$D:$D,0)))</f>
        <v>13</v>
      </c>
      <c r="L44">
        <v>22</v>
      </c>
    </row>
    <row r="45" spans="1:12" x14ac:dyDescent="0.25">
      <c r="A45" t="s">
        <v>7</v>
      </c>
      <c r="B45" s="1">
        <v>41974</v>
      </c>
      <c r="C45" s="1">
        <v>44104</v>
      </c>
      <c r="D45" s="4" t="s">
        <v>285</v>
      </c>
      <c r="E45" t="s">
        <v>10</v>
      </c>
      <c r="F45" t="s">
        <v>11</v>
      </c>
      <c r="G45" t="s">
        <v>2914</v>
      </c>
      <c r="H45" t="s">
        <v>2955</v>
      </c>
      <c r="I45" t="s">
        <v>2909</v>
      </c>
      <c r="J45" t="str">
        <f>IF(ISNUMBER(MATCH($D45,'Lopettaneet 2013-&gt;'!$D:$D,0)),INDEX('Lopettaneet 2013-&gt;'!$K:$K,MATCH($D45,'Lopettaneet 2013-&gt;'!$D:$D,0)),"Continues")</f>
        <v>Closed</v>
      </c>
      <c r="K45">
        <f ca="1">IF($J45="Continues",DATEDIF($B45,TODAY(),"Y"),INDEX('Lopettaneet 2013-&gt;'!$L:$L,MATCH($D45,'Lopettaneet 2013-&gt;'!$D:$D,0)))</f>
        <v>5</v>
      </c>
      <c r="L45">
        <v>22</v>
      </c>
    </row>
    <row r="46" spans="1:12" x14ac:dyDescent="0.25">
      <c r="A46" t="s">
        <v>0</v>
      </c>
      <c r="B46" s="1">
        <v>39783</v>
      </c>
      <c r="C46" s="1">
        <v>44469</v>
      </c>
      <c r="D46" s="4" t="s">
        <v>2241</v>
      </c>
      <c r="E46" t="s">
        <v>3</v>
      </c>
      <c r="F46" t="s">
        <v>4</v>
      </c>
      <c r="G46" t="s">
        <v>2917</v>
      </c>
      <c r="H46" t="s">
        <v>2923</v>
      </c>
      <c r="I46" t="s">
        <v>2909</v>
      </c>
      <c r="J46" t="str">
        <f>IF(ISNUMBER(MATCH($D46,'Lopettaneet 2013-&gt;'!$D:$D,0)),INDEX('Lopettaneet 2013-&gt;'!$K:$K,MATCH($D46,'Lopettaneet 2013-&gt;'!$D:$D,0)),"Continues")</f>
        <v>Merged</v>
      </c>
      <c r="K46">
        <f ca="1">IF($J46="Continues",DATEDIF($B46,TODAY(),"Y"),INDEX('Lopettaneet 2013-&gt;'!$L:$L,MATCH($D46,'Lopettaneet 2013-&gt;'!$D:$D,0)))</f>
        <v>12</v>
      </c>
      <c r="L46">
        <v>23</v>
      </c>
    </row>
    <row r="47" spans="1:12" x14ac:dyDescent="0.25">
      <c r="A47" t="s">
        <v>7</v>
      </c>
      <c r="B47" s="1">
        <v>41974</v>
      </c>
      <c r="C47" s="1">
        <v>44561</v>
      </c>
      <c r="D47" s="4" t="s">
        <v>287</v>
      </c>
      <c r="E47" t="s">
        <v>10</v>
      </c>
      <c r="F47" t="s">
        <v>11</v>
      </c>
      <c r="G47" t="s">
        <v>2912</v>
      </c>
      <c r="H47" t="s">
        <v>2945</v>
      </c>
      <c r="I47" t="s">
        <v>2909</v>
      </c>
      <c r="J47" t="str">
        <f>IF(ISNUMBER(MATCH($D47,'Lopettaneet 2013-&gt;'!$D:$D,0)),INDEX('Lopettaneet 2013-&gt;'!$K:$K,MATCH($D47,'Lopettaneet 2013-&gt;'!$D:$D,0)),"Continues")</f>
        <v>Closed</v>
      </c>
      <c r="K47">
        <f ca="1">IF($J47="Continues",DATEDIF($B47,TODAY(),"Y"),INDEX('Lopettaneet 2013-&gt;'!$L:$L,MATCH($D47,'Lopettaneet 2013-&gt;'!$D:$D,0)))</f>
        <v>7</v>
      </c>
      <c r="L47">
        <v>23</v>
      </c>
    </row>
    <row r="48" spans="1:12" x14ac:dyDescent="0.25">
      <c r="A48" t="s">
        <v>2209</v>
      </c>
      <c r="B48" s="1">
        <v>39783</v>
      </c>
      <c r="C48" s="1">
        <v>43008</v>
      </c>
      <c r="D48" s="4" t="s">
        <v>2245</v>
      </c>
      <c r="E48" t="s">
        <v>3</v>
      </c>
      <c r="F48" t="s">
        <v>4</v>
      </c>
      <c r="G48" t="s">
        <v>2917</v>
      </c>
      <c r="H48" t="s">
        <v>2953</v>
      </c>
      <c r="I48" t="s">
        <v>2909</v>
      </c>
      <c r="J48" t="str">
        <f>IF(ISNUMBER(MATCH($D48,'Lopettaneet 2013-&gt;'!$D:$D,0)),INDEX('Lopettaneet 2013-&gt;'!$K:$K,MATCH($D48,'Lopettaneet 2013-&gt;'!$D:$D,0)),"Continues")</f>
        <v>Merged</v>
      </c>
      <c r="K48">
        <f ca="1">IF($J48="Continues",DATEDIF($B48,TODAY(),"Y"),INDEX('Lopettaneet 2013-&gt;'!$L:$L,MATCH($D48,'Lopettaneet 2013-&gt;'!$D:$D,0)))</f>
        <v>8</v>
      </c>
      <c r="L48">
        <v>24</v>
      </c>
    </row>
    <row r="49" spans="1:12" x14ac:dyDescent="0.25">
      <c r="A49" t="s">
        <v>7</v>
      </c>
      <c r="B49" s="1">
        <v>41974</v>
      </c>
      <c r="C49" s="1">
        <v>43921</v>
      </c>
      <c r="D49" s="4" t="s">
        <v>289</v>
      </c>
      <c r="E49" t="s">
        <v>10</v>
      </c>
      <c r="F49" t="s">
        <v>11</v>
      </c>
      <c r="G49" t="s">
        <v>2912</v>
      </c>
      <c r="H49" t="s">
        <v>2961</v>
      </c>
      <c r="I49" t="s">
        <v>2909</v>
      </c>
      <c r="J49" t="str">
        <f>IF(ISNUMBER(MATCH($D49,'Lopettaneet 2013-&gt;'!$D:$D,0)),INDEX('Lopettaneet 2013-&gt;'!$K:$K,MATCH($D49,'Lopettaneet 2013-&gt;'!$D:$D,0)),"Continues")</f>
        <v>Closed</v>
      </c>
      <c r="K49">
        <f ca="1">IF($J49="Continues",DATEDIF($B49,TODAY(),"Y"),INDEX('Lopettaneet 2013-&gt;'!$L:$L,MATCH($D49,'Lopettaneet 2013-&gt;'!$D:$D,0)))</f>
        <v>5</v>
      </c>
      <c r="L49">
        <v>24</v>
      </c>
    </row>
    <row r="50" spans="1:12" x14ac:dyDescent="0.25">
      <c r="A50" t="s">
        <v>2209</v>
      </c>
      <c r="B50" s="1">
        <v>39783</v>
      </c>
      <c r="C50" s="1">
        <v>42185</v>
      </c>
      <c r="D50" s="4" t="s">
        <v>2247</v>
      </c>
      <c r="E50" t="s">
        <v>3</v>
      </c>
      <c r="F50" t="s">
        <v>4</v>
      </c>
      <c r="G50" t="s">
        <v>2917</v>
      </c>
      <c r="H50" t="s">
        <v>2923</v>
      </c>
      <c r="I50" t="s">
        <v>2909</v>
      </c>
      <c r="J50" t="str">
        <f>IF(ISNUMBER(MATCH($D50,'Lopettaneet 2013-&gt;'!$D:$D,0)),INDEX('Lopettaneet 2013-&gt;'!$K:$K,MATCH($D50,'Lopettaneet 2013-&gt;'!$D:$D,0)),"Continues")</f>
        <v>Merged</v>
      </c>
      <c r="K50">
        <f ca="1">IF($J50="Continues",DATEDIF($B50,TODAY(),"Y"),INDEX('Lopettaneet 2013-&gt;'!$L:$L,MATCH($D50,'Lopettaneet 2013-&gt;'!$D:$D,0)))</f>
        <v>6</v>
      </c>
      <c r="L50">
        <v>25</v>
      </c>
    </row>
    <row r="51" spans="1:12" x14ac:dyDescent="0.25">
      <c r="A51" t="s">
        <v>7</v>
      </c>
      <c r="B51" s="1">
        <v>41974</v>
      </c>
      <c r="C51" s="1">
        <v>42735</v>
      </c>
      <c r="D51" s="4" t="s">
        <v>291</v>
      </c>
      <c r="E51" t="s">
        <v>10</v>
      </c>
      <c r="F51" t="s">
        <v>11</v>
      </c>
      <c r="G51" t="s">
        <v>2914</v>
      </c>
      <c r="H51" t="s">
        <v>2909</v>
      </c>
      <c r="I51" t="s">
        <v>2909</v>
      </c>
      <c r="J51" t="str">
        <f>IF(ISNUMBER(MATCH($D51,'Lopettaneet 2013-&gt;'!$D:$D,0)),INDEX('Lopettaneet 2013-&gt;'!$K:$K,MATCH($D51,'Lopettaneet 2013-&gt;'!$D:$D,0)),"Continues")</f>
        <v>Closed</v>
      </c>
      <c r="K51">
        <f ca="1">IF($J51="Continues",DATEDIF($B51,TODAY(),"Y"),INDEX('Lopettaneet 2013-&gt;'!$L:$L,MATCH($D51,'Lopettaneet 2013-&gt;'!$D:$D,0)))</f>
        <v>2</v>
      </c>
      <c r="L51">
        <v>25</v>
      </c>
    </row>
    <row r="52" spans="1:12" x14ac:dyDescent="0.25">
      <c r="A52" t="s">
        <v>2209</v>
      </c>
      <c r="B52" s="1">
        <v>39783</v>
      </c>
      <c r="C52" s="1">
        <v>44651</v>
      </c>
      <c r="D52" s="4" t="s">
        <v>2249</v>
      </c>
      <c r="E52" t="s">
        <v>3</v>
      </c>
      <c r="F52" t="s">
        <v>4</v>
      </c>
      <c r="G52" t="s">
        <v>2917</v>
      </c>
      <c r="H52" t="s">
        <v>2923</v>
      </c>
      <c r="I52" t="s">
        <v>2909</v>
      </c>
      <c r="J52" t="str">
        <f>IF(ISNUMBER(MATCH($D52,'Lopettaneet 2013-&gt;'!$D:$D,0)),INDEX('Lopettaneet 2013-&gt;'!$K:$K,MATCH($D52,'Lopettaneet 2013-&gt;'!$D:$D,0)),"Continues")</f>
        <v>Closed</v>
      </c>
      <c r="K52">
        <f ca="1">IF($J52="Continues",DATEDIF($B52,TODAY(),"Y"),INDEX('Lopettaneet 2013-&gt;'!$L:$L,MATCH($D52,'Lopettaneet 2013-&gt;'!$D:$D,0)))</f>
        <v>13</v>
      </c>
      <c r="L52">
        <v>26</v>
      </c>
    </row>
    <row r="53" spans="1:12" x14ac:dyDescent="0.25">
      <c r="A53" t="s">
        <v>7</v>
      </c>
      <c r="B53" s="1">
        <v>41974</v>
      </c>
      <c r="C53" s="1">
        <v>55153</v>
      </c>
      <c r="D53" s="4" t="s">
        <v>293</v>
      </c>
      <c r="E53" t="s">
        <v>10</v>
      </c>
      <c r="F53" t="s">
        <v>11</v>
      </c>
      <c r="G53" t="s">
        <v>2912</v>
      </c>
      <c r="H53" t="s">
        <v>2962</v>
      </c>
      <c r="I53" t="s">
        <v>2895</v>
      </c>
      <c r="J53" t="str">
        <f>IF(ISNUMBER(MATCH($D53,'Lopettaneet 2013-&gt;'!$D:$D,0)),INDEX('Lopettaneet 2013-&gt;'!$K:$K,MATCH($D53,'Lopettaneet 2013-&gt;'!$D:$D,0)),"Continues")</f>
        <v>Continues</v>
      </c>
      <c r="K53">
        <f ca="1">IF($J53="Continues",DATEDIF($B53,TODAY(),"Y"),INDEX('Lopettaneet 2013-&gt;'!$L:$L,MATCH($D53,'Lopettaneet 2013-&gt;'!$D:$D,0)))</f>
        <v>10</v>
      </c>
      <c r="L53">
        <v>26</v>
      </c>
    </row>
    <row r="54" spans="1:12" x14ac:dyDescent="0.25">
      <c r="A54" t="s">
        <v>0</v>
      </c>
      <c r="B54" s="1">
        <v>39783</v>
      </c>
      <c r="C54" s="1">
        <v>41912</v>
      </c>
      <c r="D54" s="4" t="s">
        <v>2251</v>
      </c>
      <c r="E54" t="s">
        <v>3</v>
      </c>
      <c r="F54" t="s">
        <v>4</v>
      </c>
      <c r="G54" t="s">
        <v>2913</v>
      </c>
      <c r="H54" t="s">
        <v>2924</v>
      </c>
      <c r="I54" t="s">
        <v>2909</v>
      </c>
      <c r="J54" t="str">
        <f>IF(ISNUMBER(MATCH($D54,'Lopettaneet 2013-&gt;'!$D:$D,0)),INDEX('Lopettaneet 2013-&gt;'!$K:$K,MATCH($D54,'Lopettaneet 2013-&gt;'!$D:$D,0)),"Continues")</f>
        <v>Closed</v>
      </c>
      <c r="K54">
        <f ca="1">IF($J54="Continues",DATEDIF($B54,TODAY(),"Y"),INDEX('Lopettaneet 2013-&gt;'!$L:$L,MATCH($D54,'Lopettaneet 2013-&gt;'!$D:$D,0)))</f>
        <v>5</v>
      </c>
      <c r="L54">
        <v>27</v>
      </c>
    </row>
    <row r="55" spans="1:12" x14ac:dyDescent="0.25">
      <c r="A55" t="s">
        <v>7</v>
      </c>
      <c r="B55" s="1">
        <v>41974</v>
      </c>
      <c r="C55" s="1">
        <v>55153</v>
      </c>
      <c r="D55" s="4" t="s">
        <v>295</v>
      </c>
      <c r="E55" t="s">
        <v>10</v>
      </c>
      <c r="F55" t="s">
        <v>11</v>
      </c>
      <c r="G55" t="s">
        <v>2914</v>
      </c>
      <c r="H55" t="s">
        <v>2966</v>
      </c>
      <c r="I55" t="s">
        <v>2895</v>
      </c>
      <c r="J55" t="str">
        <f>IF(ISNUMBER(MATCH($D55,'Lopettaneet 2013-&gt;'!$D:$D,0)),INDEX('Lopettaneet 2013-&gt;'!$K:$K,MATCH($D55,'Lopettaneet 2013-&gt;'!$D:$D,0)),"Continues")</f>
        <v>Continues</v>
      </c>
      <c r="K55">
        <f ca="1">IF($J55="Continues",DATEDIF($B55,TODAY(),"Y"),INDEX('Lopettaneet 2013-&gt;'!$L:$L,MATCH($D55,'Lopettaneet 2013-&gt;'!$D:$D,0)))</f>
        <v>10</v>
      </c>
      <c r="L55">
        <v>27</v>
      </c>
    </row>
    <row r="56" spans="1:12" x14ac:dyDescent="0.25">
      <c r="A56" t="s">
        <v>0</v>
      </c>
      <c r="B56" s="1">
        <v>39783</v>
      </c>
      <c r="C56" s="1">
        <v>41943</v>
      </c>
      <c r="D56" s="4" t="s">
        <v>2253</v>
      </c>
      <c r="E56" t="s">
        <v>3</v>
      </c>
      <c r="F56" t="s">
        <v>4</v>
      </c>
      <c r="G56" t="s">
        <v>2917</v>
      </c>
      <c r="H56" t="s">
        <v>2924</v>
      </c>
      <c r="I56" t="s">
        <v>2909</v>
      </c>
      <c r="J56" t="str">
        <f>IF(ISNUMBER(MATCH($D56,'Lopettaneet 2013-&gt;'!$D:$D,0)),INDEX('Lopettaneet 2013-&gt;'!$K:$K,MATCH($D56,'Lopettaneet 2013-&gt;'!$D:$D,0)),"Continues")</f>
        <v>Closed</v>
      </c>
      <c r="K56">
        <f ca="1">IF($J56="Continues",DATEDIF($B56,TODAY(),"Y"),INDEX('Lopettaneet 2013-&gt;'!$L:$L,MATCH($D56,'Lopettaneet 2013-&gt;'!$D:$D,0)))</f>
        <v>5</v>
      </c>
      <c r="L56">
        <v>28</v>
      </c>
    </row>
    <row r="57" spans="1:12" x14ac:dyDescent="0.25">
      <c r="A57" t="s">
        <v>7</v>
      </c>
      <c r="B57" s="1">
        <v>41974</v>
      </c>
      <c r="C57" s="1">
        <v>44012</v>
      </c>
      <c r="D57" s="4" t="s">
        <v>297</v>
      </c>
      <c r="E57" t="s">
        <v>10</v>
      </c>
      <c r="F57" t="s">
        <v>11</v>
      </c>
      <c r="G57" t="s">
        <v>2914</v>
      </c>
      <c r="H57" t="s">
        <v>2966</v>
      </c>
      <c r="I57" t="s">
        <v>2909</v>
      </c>
      <c r="J57" t="str">
        <f>IF(ISNUMBER(MATCH($D57,'Lopettaneet 2013-&gt;'!$D:$D,0)),INDEX('Lopettaneet 2013-&gt;'!$K:$K,MATCH($D57,'Lopettaneet 2013-&gt;'!$D:$D,0)),"Continues")</f>
        <v>Closed</v>
      </c>
      <c r="K57">
        <f ca="1">IF($J57="Continues",DATEDIF($B57,TODAY(),"Y"),INDEX('Lopettaneet 2013-&gt;'!$L:$L,MATCH($D57,'Lopettaneet 2013-&gt;'!$D:$D,0)))</f>
        <v>5</v>
      </c>
      <c r="L57">
        <v>28</v>
      </c>
    </row>
    <row r="58" spans="1:12" x14ac:dyDescent="0.25">
      <c r="A58" t="s">
        <v>0</v>
      </c>
      <c r="B58" s="1">
        <v>39783</v>
      </c>
      <c r="C58" s="1">
        <v>43496</v>
      </c>
      <c r="D58" s="4" t="s">
        <v>2255</v>
      </c>
      <c r="E58" t="s">
        <v>3</v>
      </c>
      <c r="F58" t="s">
        <v>4</v>
      </c>
      <c r="G58" t="s">
        <v>2917</v>
      </c>
      <c r="H58" t="s">
        <v>2975</v>
      </c>
      <c r="I58" t="s">
        <v>2909</v>
      </c>
      <c r="J58" t="str">
        <f>IF(ISNUMBER(MATCH($D58,'Lopettaneet 2013-&gt;'!$D:$D,0)),INDEX('Lopettaneet 2013-&gt;'!$K:$K,MATCH($D58,'Lopettaneet 2013-&gt;'!$D:$D,0)),"Continues")</f>
        <v>Closed</v>
      </c>
      <c r="K58">
        <f ca="1">IF($J58="Continues",DATEDIF($B58,TODAY(),"Y"),INDEX('Lopettaneet 2013-&gt;'!$L:$L,MATCH($D58,'Lopettaneet 2013-&gt;'!$D:$D,0)))</f>
        <v>10</v>
      </c>
      <c r="L58">
        <v>29</v>
      </c>
    </row>
    <row r="59" spans="1:12" x14ac:dyDescent="0.25">
      <c r="A59" t="s">
        <v>7</v>
      </c>
      <c r="B59" s="1">
        <v>41974</v>
      </c>
      <c r="C59" s="1">
        <v>44196</v>
      </c>
      <c r="D59" s="4" t="s">
        <v>299</v>
      </c>
      <c r="E59" t="s">
        <v>10</v>
      </c>
      <c r="F59" t="s">
        <v>11</v>
      </c>
      <c r="G59" t="s">
        <v>2912</v>
      </c>
      <c r="H59" t="s">
        <v>2963</v>
      </c>
      <c r="I59" t="s">
        <v>2909</v>
      </c>
      <c r="J59" t="str">
        <f>IF(ISNUMBER(MATCH($D59,'Lopettaneet 2013-&gt;'!$D:$D,0)),INDEX('Lopettaneet 2013-&gt;'!$K:$K,MATCH($D59,'Lopettaneet 2013-&gt;'!$D:$D,0)),"Continues")</f>
        <v>Closed</v>
      </c>
      <c r="K59">
        <f ca="1">IF($J59="Continues",DATEDIF($B59,TODAY(),"Y"),INDEX('Lopettaneet 2013-&gt;'!$L:$L,MATCH($D59,'Lopettaneet 2013-&gt;'!$D:$D,0)))</f>
        <v>6</v>
      </c>
      <c r="L59">
        <v>29</v>
      </c>
    </row>
    <row r="60" spans="1:12" x14ac:dyDescent="0.25">
      <c r="A60" t="s">
        <v>2209</v>
      </c>
      <c r="B60" s="1">
        <v>39783</v>
      </c>
      <c r="C60" s="1">
        <v>44165</v>
      </c>
      <c r="D60" s="4" t="s">
        <v>2257</v>
      </c>
      <c r="E60" t="s">
        <v>3</v>
      </c>
      <c r="F60" t="s">
        <v>4</v>
      </c>
      <c r="G60" t="s">
        <v>2915</v>
      </c>
      <c r="H60" t="s">
        <v>2947</v>
      </c>
      <c r="I60" t="s">
        <v>2909</v>
      </c>
      <c r="J60" t="str">
        <f>IF(ISNUMBER(MATCH($D60,'Lopettaneet 2013-&gt;'!$D:$D,0)),INDEX('Lopettaneet 2013-&gt;'!$K:$K,MATCH($D60,'Lopettaneet 2013-&gt;'!$D:$D,0)),"Continues")</f>
        <v>Merged</v>
      </c>
      <c r="K60">
        <f ca="1">IF($J60="Continues",DATEDIF($B60,TODAY(),"Y"),INDEX('Lopettaneet 2013-&gt;'!$L:$L,MATCH($D60,'Lopettaneet 2013-&gt;'!$D:$D,0)))</f>
        <v>11</v>
      </c>
      <c r="L60">
        <v>30</v>
      </c>
    </row>
    <row r="61" spans="1:12" x14ac:dyDescent="0.25">
      <c r="A61" t="s">
        <v>7</v>
      </c>
      <c r="B61" s="1">
        <v>41974</v>
      </c>
      <c r="C61" s="1">
        <v>43190</v>
      </c>
      <c r="D61" s="4" t="s">
        <v>301</v>
      </c>
      <c r="E61" t="s">
        <v>10</v>
      </c>
      <c r="F61" t="s">
        <v>11</v>
      </c>
      <c r="G61" t="s">
        <v>2914</v>
      </c>
      <c r="H61" t="s">
        <v>2909</v>
      </c>
      <c r="I61" t="s">
        <v>2909</v>
      </c>
      <c r="J61" t="str">
        <f>IF(ISNUMBER(MATCH($D61,'Lopettaneet 2013-&gt;'!$D:$D,0)),INDEX('Lopettaneet 2013-&gt;'!$K:$K,MATCH($D61,'Lopettaneet 2013-&gt;'!$D:$D,0)),"Continues")</f>
        <v>Closed</v>
      </c>
      <c r="K61">
        <f ca="1">IF($J61="Continues",DATEDIF($B61,TODAY(),"Y"),INDEX('Lopettaneet 2013-&gt;'!$L:$L,MATCH($D61,'Lopettaneet 2013-&gt;'!$D:$D,0)))</f>
        <v>3</v>
      </c>
      <c r="L61">
        <v>30</v>
      </c>
    </row>
    <row r="62" spans="1:12" x14ac:dyDescent="0.25">
      <c r="A62" t="s">
        <v>2209</v>
      </c>
      <c r="B62" s="1">
        <v>39783</v>
      </c>
      <c r="C62" s="1">
        <v>42277</v>
      </c>
      <c r="D62" s="4" t="s">
        <v>2259</v>
      </c>
      <c r="E62" t="s">
        <v>3</v>
      </c>
      <c r="F62" t="s">
        <v>4</v>
      </c>
      <c r="G62" t="s">
        <v>2917</v>
      </c>
      <c r="H62" t="s">
        <v>2946</v>
      </c>
      <c r="I62" t="s">
        <v>2909</v>
      </c>
      <c r="J62" t="str">
        <f>IF(ISNUMBER(MATCH($D62,'Lopettaneet 2013-&gt;'!$D:$D,0)),INDEX('Lopettaneet 2013-&gt;'!$K:$K,MATCH($D62,'Lopettaneet 2013-&gt;'!$D:$D,0)),"Continues")</f>
        <v>Merged</v>
      </c>
      <c r="K62">
        <f ca="1">IF($J62="Continues",DATEDIF($B62,TODAY(),"Y"),INDEX('Lopettaneet 2013-&gt;'!$L:$L,MATCH($D62,'Lopettaneet 2013-&gt;'!$D:$D,0)))</f>
        <v>6</v>
      </c>
      <c r="L62">
        <v>31</v>
      </c>
    </row>
    <row r="63" spans="1:12" x14ac:dyDescent="0.25">
      <c r="A63" t="s">
        <v>7</v>
      </c>
      <c r="B63" s="1">
        <v>41974</v>
      </c>
      <c r="C63" s="1">
        <v>55153</v>
      </c>
      <c r="D63" s="4" t="s">
        <v>303</v>
      </c>
      <c r="E63" t="s">
        <v>10</v>
      </c>
      <c r="F63" t="s">
        <v>11</v>
      </c>
      <c r="G63" t="s">
        <v>2912</v>
      </c>
      <c r="H63" t="s">
        <v>2962</v>
      </c>
      <c r="I63" t="s">
        <v>2895</v>
      </c>
      <c r="J63" t="str">
        <f>IF(ISNUMBER(MATCH($D63,'Lopettaneet 2013-&gt;'!$D:$D,0)),INDEX('Lopettaneet 2013-&gt;'!$K:$K,MATCH($D63,'Lopettaneet 2013-&gt;'!$D:$D,0)),"Continues")</f>
        <v>Continues</v>
      </c>
      <c r="K63">
        <f ca="1">IF($J63="Continues",DATEDIF($B63,TODAY(),"Y"),INDEX('Lopettaneet 2013-&gt;'!$L:$L,MATCH($D63,'Lopettaneet 2013-&gt;'!$D:$D,0)))</f>
        <v>10</v>
      </c>
      <c r="L63">
        <v>31</v>
      </c>
    </row>
    <row r="64" spans="1:12" x14ac:dyDescent="0.25">
      <c r="A64" t="s">
        <v>2209</v>
      </c>
      <c r="B64" s="1">
        <v>39783</v>
      </c>
      <c r="C64" s="1">
        <v>44712</v>
      </c>
      <c r="D64" s="4" t="s">
        <v>2261</v>
      </c>
      <c r="E64" t="s">
        <v>3</v>
      </c>
      <c r="F64" t="s">
        <v>4</v>
      </c>
      <c r="G64" t="s">
        <v>2913</v>
      </c>
      <c r="H64" t="s">
        <v>2923</v>
      </c>
      <c r="I64" t="s">
        <v>2909</v>
      </c>
      <c r="J64" t="str">
        <f>IF(ISNUMBER(MATCH($D64,'Lopettaneet 2013-&gt;'!$D:$D,0)),INDEX('Lopettaneet 2013-&gt;'!$K:$K,MATCH($D64,'Lopettaneet 2013-&gt;'!$D:$D,0)),"Continues")</f>
        <v>Closed</v>
      </c>
      <c r="K64">
        <f ca="1">IF($J64="Continues",DATEDIF($B64,TODAY(),"Y"),INDEX('Lopettaneet 2013-&gt;'!$L:$L,MATCH($D64,'Lopettaneet 2013-&gt;'!$D:$D,0)))</f>
        <v>13</v>
      </c>
      <c r="L64">
        <v>32</v>
      </c>
    </row>
    <row r="65" spans="1:12" x14ac:dyDescent="0.25">
      <c r="A65" t="s">
        <v>7</v>
      </c>
      <c r="B65" s="1">
        <v>41974</v>
      </c>
      <c r="C65" s="1">
        <v>42551</v>
      </c>
      <c r="D65" s="4" t="s">
        <v>305</v>
      </c>
      <c r="E65" t="s">
        <v>10</v>
      </c>
      <c r="F65" t="s">
        <v>11</v>
      </c>
      <c r="G65" t="s">
        <v>2912</v>
      </c>
      <c r="H65" t="s">
        <v>2939</v>
      </c>
      <c r="I65" t="s">
        <v>2909</v>
      </c>
      <c r="J65" t="str">
        <f>IF(ISNUMBER(MATCH($D65,'Lopettaneet 2013-&gt;'!$D:$D,0)),INDEX('Lopettaneet 2013-&gt;'!$K:$K,MATCH($D65,'Lopettaneet 2013-&gt;'!$D:$D,0)),"Continues")</f>
        <v>Closed</v>
      </c>
      <c r="K65">
        <f ca="1">IF($J65="Continues",DATEDIF($B65,TODAY(),"Y"),INDEX('Lopettaneet 2013-&gt;'!$L:$L,MATCH($D65,'Lopettaneet 2013-&gt;'!$D:$D,0)))</f>
        <v>1</v>
      </c>
      <c r="L65">
        <v>32</v>
      </c>
    </row>
    <row r="66" spans="1:12" x14ac:dyDescent="0.25">
      <c r="A66" t="s">
        <v>2209</v>
      </c>
      <c r="B66" s="1">
        <v>39783</v>
      </c>
      <c r="C66" s="1">
        <v>43434</v>
      </c>
      <c r="D66" s="4" t="s">
        <v>2263</v>
      </c>
      <c r="E66" t="s">
        <v>3</v>
      </c>
      <c r="F66" t="s">
        <v>4</v>
      </c>
      <c r="G66" t="s">
        <v>2915</v>
      </c>
      <c r="H66" t="s">
        <v>2948</v>
      </c>
      <c r="I66" t="s">
        <v>2909</v>
      </c>
      <c r="J66" t="str">
        <f>IF(ISNUMBER(MATCH($D66,'Lopettaneet 2013-&gt;'!$D:$D,0)),INDEX('Lopettaneet 2013-&gt;'!$K:$K,MATCH($D66,'Lopettaneet 2013-&gt;'!$D:$D,0)),"Continues")</f>
        <v>Merged</v>
      </c>
      <c r="K66">
        <f ca="1">IF($J66="Continues",DATEDIF($B66,TODAY(),"Y"),INDEX('Lopettaneet 2013-&gt;'!$L:$L,MATCH($D66,'Lopettaneet 2013-&gt;'!$D:$D,0)))</f>
        <v>9</v>
      </c>
      <c r="L66">
        <v>33</v>
      </c>
    </row>
    <row r="67" spans="1:12" x14ac:dyDescent="0.25">
      <c r="A67" t="s">
        <v>0</v>
      </c>
      <c r="B67" s="1">
        <v>43466</v>
      </c>
      <c r="C67" s="1">
        <v>43799</v>
      </c>
      <c r="D67" s="4" t="s">
        <v>307</v>
      </c>
      <c r="E67" t="s">
        <v>3</v>
      </c>
      <c r="F67" t="s">
        <v>4</v>
      </c>
      <c r="G67" t="s">
        <v>2913</v>
      </c>
      <c r="H67" t="s">
        <v>2953</v>
      </c>
      <c r="I67" t="s">
        <v>2909</v>
      </c>
      <c r="J67" t="str">
        <f>IF(ISNUMBER(MATCH($D67,'Lopettaneet 2013-&gt;'!$D:$D,0)),INDEX('Lopettaneet 2013-&gt;'!$K:$K,MATCH($D67,'Lopettaneet 2013-&gt;'!$D:$D,0)),"Continues")</f>
        <v>Merged</v>
      </c>
      <c r="K67">
        <f ca="1">IF($J67="Continues",DATEDIF($B67,TODAY(),"Y"),INDEX('Lopettaneet 2013-&gt;'!$L:$L,MATCH($D67,'Lopettaneet 2013-&gt;'!$D:$D,0)))</f>
        <v>6</v>
      </c>
      <c r="L67">
        <v>33</v>
      </c>
    </row>
    <row r="68" spans="1:12" x14ac:dyDescent="0.25">
      <c r="A68" t="s">
        <v>2209</v>
      </c>
      <c r="B68" s="1">
        <v>39783</v>
      </c>
      <c r="C68" s="1">
        <v>41820</v>
      </c>
      <c r="D68" s="4" t="s">
        <v>2265</v>
      </c>
      <c r="E68" t="s">
        <v>3</v>
      </c>
      <c r="F68" t="s">
        <v>4</v>
      </c>
      <c r="G68" t="s">
        <v>2917</v>
      </c>
      <c r="H68" t="s">
        <v>2766</v>
      </c>
      <c r="I68" t="s">
        <v>2909</v>
      </c>
      <c r="J68" t="str">
        <f>IF(ISNUMBER(MATCH($D68,'Lopettaneet 2013-&gt;'!$D:$D,0)),INDEX('Lopettaneet 2013-&gt;'!$K:$K,MATCH($D68,'Lopettaneet 2013-&gt;'!$D:$D,0)),"Continues")</f>
        <v>Merged</v>
      </c>
      <c r="K68">
        <f ca="1">IF($J68="Continues",DATEDIF($B68,TODAY(),"Y"),INDEX('Lopettaneet 2013-&gt;'!$L:$L,MATCH($D68,'Lopettaneet 2013-&gt;'!$D:$D,0)))</f>
        <v>5</v>
      </c>
      <c r="L68">
        <v>34</v>
      </c>
    </row>
    <row r="69" spans="1:12" x14ac:dyDescent="0.25">
      <c r="A69" t="s">
        <v>0</v>
      </c>
      <c r="B69" s="1">
        <v>41699</v>
      </c>
      <c r="C69" s="1">
        <v>42521</v>
      </c>
      <c r="D69" s="4" t="s">
        <v>309</v>
      </c>
      <c r="E69" t="s">
        <v>10</v>
      </c>
      <c r="F69" t="s">
        <v>4</v>
      </c>
      <c r="G69" t="s">
        <v>2915</v>
      </c>
      <c r="H69" t="s">
        <v>2909</v>
      </c>
      <c r="I69" t="s">
        <v>2909</v>
      </c>
      <c r="J69" t="str">
        <f>IF(ISNUMBER(MATCH($D69,'Lopettaneet 2013-&gt;'!$D:$D,0)),INDEX('Lopettaneet 2013-&gt;'!$K:$K,MATCH($D69,'Lopettaneet 2013-&gt;'!$D:$D,0)),"Continues")</f>
        <v>Closed</v>
      </c>
      <c r="K69">
        <f ca="1">IF($J69="Continues",DATEDIF($B69,TODAY(),"Y"),INDEX('Lopettaneet 2013-&gt;'!$L:$L,MATCH($D69,'Lopettaneet 2013-&gt;'!$D:$D,0)))</f>
        <v>2</v>
      </c>
      <c r="L69">
        <v>34</v>
      </c>
    </row>
    <row r="70" spans="1:12" x14ac:dyDescent="0.25">
      <c r="A70" t="s">
        <v>2209</v>
      </c>
      <c r="B70" s="1">
        <v>39783</v>
      </c>
      <c r="C70" s="1">
        <v>44500</v>
      </c>
      <c r="D70" s="4" t="s">
        <v>2269</v>
      </c>
      <c r="E70" t="s">
        <v>3</v>
      </c>
      <c r="F70" t="s">
        <v>4</v>
      </c>
      <c r="G70" t="s">
        <v>2913</v>
      </c>
      <c r="H70" t="s">
        <v>2923</v>
      </c>
      <c r="I70" t="s">
        <v>2909</v>
      </c>
      <c r="J70" t="str">
        <f>IF(ISNUMBER(MATCH($D70,'Lopettaneet 2013-&gt;'!$D:$D,0)),INDEX('Lopettaneet 2013-&gt;'!$K:$K,MATCH($D70,'Lopettaneet 2013-&gt;'!$D:$D,0)),"Continues")</f>
        <v>Merged</v>
      </c>
      <c r="K70">
        <f ca="1">IF($J70="Continues",DATEDIF($B70,TODAY(),"Y"),INDEX('Lopettaneet 2013-&gt;'!$L:$L,MATCH($D70,'Lopettaneet 2013-&gt;'!$D:$D,0)))</f>
        <v>12</v>
      </c>
      <c r="L70">
        <v>35</v>
      </c>
    </row>
    <row r="71" spans="1:12" x14ac:dyDescent="0.25">
      <c r="A71" t="s">
        <v>0</v>
      </c>
      <c r="B71" s="1">
        <v>41275</v>
      </c>
      <c r="C71" s="1">
        <v>55153</v>
      </c>
      <c r="D71" s="4" t="s">
        <v>311</v>
      </c>
      <c r="E71" t="s">
        <v>10</v>
      </c>
      <c r="F71" t="s">
        <v>4</v>
      </c>
      <c r="G71" t="s">
        <v>2914</v>
      </c>
      <c r="H71" t="s">
        <v>2948</v>
      </c>
      <c r="I71" t="s">
        <v>2894</v>
      </c>
      <c r="J71" t="str">
        <f>IF(ISNUMBER(MATCH($D71,'Lopettaneet 2013-&gt;'!$D:$D,0)),INDEX('Lopettaneet 2013-&gt;'!$K:$K,MATCH($D71,'Lopettaneet 2013-&gt;'!$D:$D,0)),"Continues")</f>
        <v>Continues</v>
      </c>
      <c r="K71">
        <f ca="1">IF($J71="Continues",DATEDIF($B71,TODAY(),"Y"),INDEX('Lopettaneet 2013-&gt;'!$L:$L,MATCH($D71,'Lopettaneet 2013-&gt;'!$D:$D,0)))</f>
        <v>12</v>
      </c>
      <c r="L71">
        <v>35</v>
      </c>
    </row>
    <row r="72" spans="1:12" x14ac:dyDescent="0.25">
      <c r="A72" t="s">
        <v>0</v>
      </c>
      <c r="B72" s="1">
        <v>39783</v>
      </c>
      <c r="C72" s="1">
        <v>41943</v>
      </c>
      <c r="D72" s="4" t="s">
        <v>2273</v>
      </c>
      <c r="E72" t="s">
        <v>3</v>
      </c>
      <c r="F72" t="s">
        <v>4</v>
      </c>
      <c r="G72" t="s">
        <v>2917</v>
      </c>
      <c r="H72" t="s">
        <v>2924</v>
      </c>
      <c r="I72" t="s">
        <v>2909</v>
      </c>
      <c r="J72" t="str">
        <f>IF(ISNUMBER(MATCH($D72,'Lopettaneet 2013-&gt;'!$D:$D,0)),INDEX('Lopettaneet 2013-&gt;'!$K:$K,MATCH($D72,'Lopettaneet 2013-&gt;'!$D:$D,0)),"Continues")</f>
        <v>Closed</v>
      </c>
      <c r="K72">
        <f ca="1">IF($J72="Continues",DATEDIF($B72,TODAY(),"Y"),INDEX('Lopettaneet 2013-&gt;'!$L:$L,MATCH($D72,'Lopettaneet 2013-&gt;'!$D:$D,0)))</f>
        <v>5</v>
      </c>
      <c r="L72">
        <v>36</v>
      </c>
    </row>
    <row r="73" spans="1:12" x14ac:dyDescent="0.25">
      <c r="A73" t="s">
        <v>0</v>
      </c>
      <c r="B73" s="1">
        <v>41306</v>
      </c>
      <c r="C73" s="1">
        <v>44439</v>
      </c>
      <c r="D73" s="4" t="s">
        <v>313</v>
      </c>
      <c r="E73" t="s">
        <v>3</v>
      </c>
      <c r="F73" t="s">
        <v>4</v>
      </c>
      <c r="G73" t="s">
        <v>2913</v>
      </c>
      <c r="H73" t="s">
        <v>2980</v>
      </c>
      <c r="I73" t="s">
        <v>2909</v>
      </c>
      <c r="J73" t="str">
        <f>IF(ISNUMBER(MATCH($D73,'Lopettaneet 2013-&gt;'!$D:$D,0)),INDEX('Lopettaneet 2013-&gt;'!$K:$K,MATCH($D73,'Lopettaneet 2013-&gt;'!$D:$D,0)),"Continues")</f>
        <v>Merged</v>
      </c>
      <c r="K73">
        <f ca="1">IF($J73="Continues",DATEDIF($B73,TODAY(),"Y"),INDEX('Lopettaneet 2013-&gt;'!$L:$L,MATCH($D73,'Lopettaneet 2013-&gt;'!$D:$D,0)))</f>
        <v>8</v>
      </c>
      <c r="L73">
        <v>36</v>
      </c>
    </row>
    <row r="74" spans="1:12" x14ac:dyDescent="0.25">
      <c r="A74" t="s">
        <v>0</v>
      </c>
      <c r="B74" s="1">
        <v>39783</v>
      </c>
      <c r="C74" s="1">
        <v>44500</v>
      </c>
      <c r="D74" s="4" t="s">
        <v>2275</v>
      </c>
      <c r="E74" t="s">
        <v>3</v>
      </c>
      <c r="F74" t="s">
        <v>4</v>
      </c>
      <c r="G74" t="s">
        <v>2917</v>
      </c>
      <c r="H74" t="s">
        <v>2923</v>
      </c>
      <c r="I74" t="s">
        <v>2909</v>
      </c>
      <c r="J74" t="str">
        <f>IF(ISNUMBER(MATCH($D74,'Lopettaneet 2013-&gt;'!$D:$D,0)),INDEX('Lopettaneet 2013-&gt;'!$K:$K,MATCH($D74,'Lopettaneet 2013-&gt;'!$D:$D,0)),"Continues")</f>
        <v>Merged</v>
      </c>
      <c r="K74">
        <f ca="1">IF($J74="Continues",DATEDIF($B74,TODAY(),"Y"),INDEX('Lopettaneet 2013-&gt;'!$L:$L,MATCH($D74,'Lopettaneet 2013-&gt;'!$D:$D,0)))</f>
        <v>12</v>
      </c>
      <c r="L74">
        <v>37</v>
      </c>
    </row>
    <row r="75" spans="1:12" x14ac:dyDescent="0.25">
      <c r="A75" t="s">
        <v>0</v>
      </c>
      <c r="B75" s="1">
        <v>41395</v>
      </c>
      <c r="C75" s="1">
        <v>43496</v>
      </c>
      <c r="D75" s="4" t="s">
        <v>315</v>
      </c>
      <c r="E75" t="s">
        <v>3</v>
      </c>
      <c r="F75" t="s">
        <v>4</v>
      </c>
      <c r="G75" t="s">
        <v>2917</v>
      </c>
      <c r="H75" t="s">
        <v>2946</v>
      </c>
      <c r="I75" t="s">
        <v>2909</v>
      </c>
      <c r="J75" t="str">
        <f>IF(ISNUMBER(MATCH($D75,'Lopettaneet 2013-&gt;'!$D:$D,0)),INDEX('Lopettaneet 2013-&gt;'!$K:$K,MATCH($D75,'Lopettaneet 2013-&gt;'!$D:$D,0)),"Continues")</f>
        <v>Merged</v>
      </c>
      <c r="K75">
        <f ca="1">IF($J75="Continues",DATEDIF($B75,TODAY(),"Y"),INDEX('Lopettaneet 2013-&gt;'!$L:$L,MATCH($D75,'Lopettaneet 2013-&gt;'!$D:$D,0)))</f>
        <v>5</v>
      </c>
      <c r="L75">
        <v>37</v>
      </c>
    </row>
    <row r="76" spans="1:12" x14ac:dyDescent="0.25">
      <c r="A76" t="s">
        <v>0</v>
      </c>
      <c r="B76" s="1">
        <v>39783</v>
      </c>
      <c r="C76" s="1">
        <v>42369</v>
      </c>
      <c r="D76" s="4" t="s">
        <v>971</v>
      </c>
      <c r="E76" t="s">
        <v>3</v>
      </c>
      <c r="F76" t="s">
        <v>4</v>
      </c>
      <c r="G76" t="s">
        <v>2917</v>
      </c>
      <c r="H76" t="s">
        <v>2953</v>
      </c>
      <c r="I76" t="s">
        <v>2894</v>
      </c>
      <c r="J76" t="str">
        <f>IF(ISNUMBER(MATCH($D76,'Lopettaneet 2013-&gt;'!$D:$D,0)),INDEX('Lopettaneet 2013-&gt;'!$K:$K,MATCH($D76,'Lopettaneet 2013-&gt;'!$D:$D,0)),"Continues")</f>
        <v>Closed</v>
      </c>
      <c r="K76">
        <f ca="1">IF($J76="Continues",DATEDIF($B76,TODAY(),"Y"),INDEX('Lopettaneet 2013-&gt;'!$L:$L,MATCH($D76,'Lopettaneet 2013-&gt;'!$D:$D,0)))</f>
        <v>7</v>
      </c>
      <c r="L76">
        <v>38</v>
      </c>
    </row>
    <row r="77" spans="1:12" x14ac:dyDescent="0.25">
      <c r="A77" t="s">
        <v>0</v>
      </c>
      <c r="B77" s="1">
        <v>41395</v>
      </c>
      <c r="C77" s="1">
        <v>55153</v>
      </c>
      <c r="D77" s="4" t="s">
        <v>317</v>
      </c>
      <c r="E77" t="s">
        <v>3</v>
      </c>
      <c r="F77" t="s">
        <v>4</v>
      </c>
      <c r="G77" t="s">
        <v>2917</v>
      </c>
      <c r="H77" t="s">
        <v>2946</v>
      </c>
      <c r="I77" t="s">
        <v>2894</v>
      </c>
      <c r="J77" t="str">
        <f>IF(ISNUMBER(MATCH($D77,'Lopettaneet 2013-&gt;'!$D:$D,0)),INDEX('Lopettaneet 2013-&gt;'!$K:$K,MATCH($D77,'Lopettaneet 2013-&gt;'!$D:$D,0)),"Continues")</f>
        <v>Continues</v>
      </c>
      <c r="K77">
        <f ca="1">IF($J77="Continues",DATEDIF($B77,TODAY(),"Y"),INDEX('Lopettaneet 2013-&gt;'!$L:$L,MATCH($D77,'Lopettaneet 2013-&gt;'!$D:$D,0)))</f>
        <v>12</v>
      </c>
      <c r="L77">
        <v>38</v>
      </c>
    </row>
    <row r="78" spans="1:12" x14ac:dyDescent="0.25">
      <c r="A78" t="s">
        <v>2209</v>
      </c>
      <c r="B78" s="1">
        <v>39783</v>
      </c>
      <c r="C78" s="1">
        <v>41943</v>
      </c>
      <c r="D78" s="4" t="s">
        <v>3174</v>
      </c>
      <c r="E78" t="s">
        <v>3</v>
      </c>
      <c r="F78" t="s">
        <v>4</v>
      </c>
      <c r="G78" t="s">
        <v>2915</v>
      </c>
      <c r="H78" t="s">
        <v>2777</v>
      </c>
      <c r="I78" t="s">
        <v>2909</v>
      </c>
      <c r="J78" t="str">
        <f>IF(ISNUMBER(MATCH($D78,'Lopettaneet 2013-&gt;'!$D:$D,0)),INDEX('Lopettaneet 2013-&gt;'!$K:$K,MATCH($D78,'Lopettaneet 2013-&gt;'!$D:$D,0)),"Continues")</f>
        <v>Continues</v>
      </c>
      <c r="K78">
        <f ca="1">IF($J78="Continues",DATEDIF($B78,TODAY(),"Y"),INDEX('Lopettaneet 2013-&gt;'!$L:$L,MATCH($D78,'Lopettaneet 2013-&gt;'!$D:$D,0)))</f>
        <v>16</v>
      </c>
      <c r="L78">
        <v>39</v>
      </c>
    </row>
    <row r="79" spans="1:12" x14ac:dyDescent="0.25">
      <c r="A79" t="s">
        <v>7</v>
      </c>
      <c r="B79" s="1">
        <v>41974</v>
      </c>
      <c r="C79" s="1">
        <v>55153</v>
      </c>
      <c r="D79" s="4" t="s">
        <v>319</v>
      </c>
      <c r="E79" t="s">
        <v>10</v>
      </c>
      <c r="F79" t="s">
        <v>11</v>
      </c>
      <c r="G79" t="s">
        <v>2914</v>
      </c>
      <c r="H79" t="s">
        <v>2953</v>
      </c>
      <c r="I79" t="s">
        <v>2895</v>
      </c>
      <c r="J79" t="str">
        <f>IF(ISNUMBER(MATCH($D79,'Lopettaneet 2013-&gt;'!$D:$D,0)),INDEX('Lopettaneet 2013-&gt;'!$K:$K,MATCH($D79,'Lopettaneet 2013-&gt;'!$D:$D,0)),"Continues")</f>
        <v>Continues</v>
      </c>
      <c r="K79">
        <f ca="1">IF($J79="Continues",DATEDIF($B79,TODAY(),"Y"),INDEX('Lopettaneet 2013-&gt;'!$L:$L,MATCH($D79,'Lopettaneet 2013-&gt;'!$D:$D,0)))</f>
        <v>10</v>
      </c>
      <c r="L79">
        <v>39</v>
      </c>
    </row>
    <row r="80" spans="1:12" x14ac:dyDescent="0.25">
      <c r="A80" t="s">
        <v>2209</v>
      </c>
      <c r="B80" s="1">
        <v>39783</v>
      </c>
      <c r="C80" s="1">
        <v>42490</v>
      </c>
      <c r="D80" s="4" t="s">
        <v>2267</v>
      </c>
      <c r="E80" t="s">
        <v>3</v>
      </c>
      <c r="F80" t="s">
        <v>4</v>
      </c>
      <c r="G80" t="s">
        <v>2917</v>
      </c>
      <c r="H80" t="s">
        <v>2766</v>
      </c>
      <c r="I80" t="s">
        <v>2909</v>
      </c>
      <c r="J80" t="str">
        <f>IF(ISNUMBER(MATCH($D80,'Lopettaneet 2013-&gt;'!$D:$D,0)),INDEX('Lopettaneet 2013-&gt;'!$K:$K,MATCH($D80,'Lopettaneet 2013-&gt;'!$D:$D,0)),"Continues")</f>
        <v>Merged</v>
      </c>
      <c r="K80">
        <f ca="1">IF($J80="Continues",DATEDIF($B80,TODAY(),"Y"),INDEX('Lopettaneet 2013-&gt;'!$L:$L,MATCH($D80,'Lopettaneet 2013-&gt;'!$D:$D,0)))</f>
        <v>7</v>
      </c>
      <c r="L80">
        <v>40</v>
      </c>
    </row>
    <row r="81" spans="1:12" x14ac:dyDescent="0.25">
      <c r="A81" t="s">
        <v>0</v>
      </c>
      <c r="B81" s="1">
        <v>41334</v>
      </c>
      <c r="C81" s="1">
        <v>55153</v>
      </c>
      <c r="D81" s="4" t="s">
        <v>321</v>
      </c>
      <c r="E81" t="s">
        <v>3</v>
      </c>
      <c r="F81" t="s">
        <v>4</v>
      </c>
      <c r="G81" t="s">
        <v>2917</v>
      </c>
      <c r="H81" t="s">
        <v>2967</v>
      </c>
      <c r="I81" t="s">
        <v>2894</v>
      </c>
      <c r="J81" t="str">
        <f>IF(ISNUMBER(MATCH($D81,'Lopettaneet 2013-&gt;'!$D:$D,0)),INDEX('Lopettaneet 2013-&gt;'!$K:$K,MATCH($D81,'Lopettaneet 2013-&gt;'!$D:$D,0)),"Continues")</f>
        <v>Continues</v>
      </c>
      <c r="K81">
        <f ca="1">IF($J81="Continues",DATEDIF($B81,TODAY(),"Y"),INDEX('Lopettaneet 2013-&gt;'!$L:$L,MATCH($D81,'Lopettaneet 2013-&gt;'!$D:$D,0)))</f>
        <v>12</v>
      </c>
      <c r="L81">
        <v>40</v>
      </c>
    </row>
    <row r="82" spans="1:12" x14ac:dyDescent="0.25">
      <c r="A82" t="s">
        <v>2209</v>
      </c>
      <c r="B82" s="1">
        <v>39783</v>
      </c>
      <c r="C82" s="1">
        <v>44926</v>
      </c>
      <c r="D82" s="4" t="s">
        <v>2280</v>
      </c>
      <c r="E82" t="s">
        <v>3</v>
      </c>
      <c r="F82" t="s">
        <v>4</v>
      </c>
      <c r="G82" t="s">
        <v>2917</v>
      </c>
      <c r="H82" t="s">
        <v>2946</v>
      </c>
      <c r="I82" t="s">
        <v>2909</v>
      </c>
      <c r="J82" t="str">
        <f>IF(ISNUMBER(MATCH($D82,'Lopettaneet 2013-&gt;'!$D:$D,0)),INDEX('Lopettaneet 2013-&gt;'!$K:$K,MATCH($D82,'Lopettaneet 2013-&gt;'!$D:$D,0)),"Continues")</f>
        <v>Merged</v>
      </c>
      <c r="K82">
        <f ca="1">IF($J82="Continues",DATEDIF($B82,TODAY(),"Y"),INDEX('Lopettaneet 2013-&gt;'!$L:$L,MATCH($D82,'Lopettaneet 2013-&gt;'!$D:$D,0)))</f>
        <v>14</v>
      </c>
      <c r="L82">
        <v>41</v>
      </c>
    </row>
    <row r="83" spans="1:12" x14ac:dyDescent="0.25">
      <c r="A83" t="s">
        <v>0</v>
      </c>
      <c r="B83" s="1">
        <v>41334</v>
      </c>
      <c r="C83" s="1">
        <v>55153</v>
      </c>
      <c r="D83" s="4" t="s">
        <v>323</v>
      </c>
      <c r="E83" t="s">
        <v>3</v>
      </c>
      <c r="F83" t="s">
        <v>4</v>
      </c>
      <c r="G83" t="s">
        <v>2913</v>
      </c>
      <c r="H83" t="s">
        <v>2958</v>
      </c>
      <c r="I83" t="s">
        <v>2894</v>
      </c>
      <c r="J83" t="str">
        <f>IF(ISNUMBER(MATCH($D83,'Lopettaneet 2013-&gt;'!$D:$D,0)),INDEX('Lopettaneet 2013-&gt;'!$K:$K,MATCH($D83,'Lopettaneet 2013-&gt;'!$D:$D,0)),"Continues")</f>
        <v>Continues</v>
      </c>
      <c r="K83">
        <f ca="1">IF($J83="Continues",DATEDIF($B83,TODAY(),"Y"),INDEX('Lopettaneet 2013-&gt;'!$L:$L,MATCH($D83,'Lopettaneet 2013-&gt;'!$D:$D,0)))</f>
        <v>12</v>
      </c>
      <c r="L83">
        <v>41</v>
      </c>
    </row>
    <row r="84" spans="1:12" x14ac:dyDescent="0.25">
      <c r="A84" t="s">
        <v>2209</v>
      </c>
      <c r="B84" s="1">
        <v>39783</v>
      </c>
      <c r="C84" s="1">
        <v>44561</v>
      </c>
      <c r="D84" s="4" t="s">
        <v>2282</v>
      </c>
      <c r="E84" t="s">
        <v>3</v>
      </c>
      <c r="F84" t="s">
        <v>4</v>
      </c>
      <c r="G84" t="s">
        <v>2917</v>
      </c>
      <c r="H84" t="s">
        <v>2923</v>
      </c>
      <c r="I84" t="s">
        <v>2909</v>
      </c>
      <c r="J84" t="str">
        <f>IF(ISNUMBER(MATCH($D84,'Lopettaneet 2013-&gt;'!$D:$D,0)),INDEX('Lopettaneet 2013-&gt;'!$K:$K,MATCH($D84,'Lopettaneet 2013-&gt;'!$D:$D,0)),"Continues")</f>
        <v>Closed</v>
      </c>
      <c r="K84">
        <f ca="1">IF($J84="Continues",DATEDIF($B84,TODAY(),"Y"),INDEX('Lopettaneet 2013-&gt;'!$L:$L,MATCH($D84,'Lopettaneet 2013-&gt;'!$D:$D,0)))</f>
        <v>13</v>
      </c>
      <c r="L84">
        <v>42</v>
      </c>
    </row>
    <row r="85" spans="1:12" x14ac:dyDescent="0.25">
      <c r="A85" t="s">
        <v>7</v>
      </c>
      <c r="B85" s="1">
        <v>41974</v>
      </c>
      <c r="C85" s="1">
        <v>45107</v>
      </c>
      <c r="D85" s="4" t="s">
        <v>8</v>
      </c>
      <c r="E85" t="s">
        <v>10</v>
      </c>
      <c r="F85" t="s">
        <v>11</v>
      </c>
      <c r="G85" t="s">
        <v>2912</v>
      </c>
      <c r="H85" t="s">
        <v>2909</v>
      </c>
      <c r="I85" t="s">
        <v>2909</v>
      </c>
      <c r="J85" t="str">
        <f>IF(ISNUMBER(MATCH($D85,'Lopettaneet 2013-&gt;'!$D:$D,0)),INDEX('Lopettaneet 2013-&gt;'!$K:$K,MATCH($D85,'Lopettaneet 2013-&gt;'!$D:$D,0)),"Continues")</f>
        <v>Closed</v>
      </c>
      <c r="K85">
        <f ca="1">IF($J85="Continues",DATEDIF($B85,TODAY(),"Y"),INDEX('Lopettaneet 2013-&gt;'!$L:$L,MATCH($D85,'Lopettaneet 2013-&gt;'!$D:$D,0)))</f>
        <v>8</v>
      </c>
      <c r="L85">
        <v>42</v>
      </c>
    </row>
    <row r="86" spans="1:12" x14ac:dyDescent="0.25">
      <c r="A86" t="s">
        <v>2209</v>
      </c>
      <c r="B86" s="1">
        <v>39783</v>
      </c>
      <c r="C86" s="1">
        <v>41820</v>
      </c>
      <c r="D86" s="4" t="s">
        <v>2284</v>
      </c>
      <c r="E86" t="s">
        <v>3</v>
      </c>
      <c r="F86" t="s">
        <v>4</v>
      </c>
      <c r="G86" t="s">
        <v>2917</v>
      </c>
      <c r="H86" t="s">
        <v>2766</v>
      </c>
      <c r="I86" t="s">
        <v>2909</v>
      </c>
      <c r="J86" t="str">
        <f>IF(ISNUMBER(MATCH($D86,'Lopettaneet 2013-&gt;'!$D:$D,0)),INDEX('Lopettaneet 2013-&gt;'!$K:$K,MATCH($D86,'Lopettaneet 2013-&gt;'!$D:$D,0)),"Continues")</f>
        <v>Merged</v>
      </c>
      <c r="K86">
        <f ca="1">IF($J86="Continues",DATEDIF($B86,TODAY(),"Y"),INDEX('Lopettaneet 2013-&gt;'!$L:$L,MATCH($D86,'Lopettaneet 2013-&gt;'!$D:$D,0)))</f>
        <v>5</v>
      </c>
      <c r="L86">
        <v>43</v>
      </c>
    </row>
    <row r="87" spans="1:12" x14ac:dyDescent="0.25">
      <c r="A87" t="s">
        <v>7</v>
      </c>
      <c r="B87" s="1">
        <v>41974</v>
      </c>
      <c r="C87" s="1">
        <v>42643</v>
      </c>
      <c r="D87" s="4" t="s">
        <v>325</v>
      </c>
      <c r="E87" t="s">
        <v>10</v>
      </c>
      <c r="F87" t="s">
        <v>11</v>
      </c>
      <c r="G87" t="s">
        <v>2914</v>
      </c>
      <c r="H87" t="s">
        <v>2955</v>
      </c>
      <c r="I87" t="s">
        <v>2909</v>
      </c>
      <c r="J87" t="str">
        <f>IF(ISNUMBER(MATCH($D87,'Lopettaneet 2013-&gt;'!$D:$D,0)),INDEX('Lopettaneet 2013-&gt;'!$K:$K,MATCH($D87,'Lopettaneet 2013-&gt;'!$D:$D,0)),"Continues")</f>
        <v>Closed</v>
      </c>
      <c r="K87">
        <f ca="1">IF($J87="Continues",DATEDIF($B87,TODAY(),"Y"),INDEX('Lopettaneet 2013-&gt;'!$L:$L,MATCH($D87,'Lopettaneet 2013-&gt;'!$D:$D,0)))</f>
        <v>1</v>
      </c>
      <c r="L87">
        <v>43</v>
      </c>
    </row>
    <row r="88" spans="1:12" x14ac:dyDescent="0.25">
      <c r="A88" t="s">
        <v>0</v>
      </c>
      <c r="B88" s="1">
        <v>39783</v>
      </c>
      <c r="C88" s="1">
        <v>43799</v>
      </c>
      <c r="D88" s="4" t="s">
        <v>2286</v>
      </c>
      <c r="E88" t="s">
        <v>3</v>
      </c>
      <c r="F88" t="s">
        <v>4</v>
      </c>
      <c r="G88" t="s">
        <v>2917</v>
      </c>
      <c r="H88" t="s">
        <v>2975</v>
      </c>
      <c r="I88" t="s">
        <v>2909</v>
      </c>
      <c r="J88" t="str">
        <f>IF(ISNUMBER(MATCH($D88,'Lopettaneet 2013-&gt;'!$D:$D,0)),INDEX('Lopettaneet 2013-&gt;'!$K:$K,MATCH($D88,'Lopettaneet 2013-&gt;'!$D:$D,0)),"Continues")</f>
        <v>Merged</v>
      </c>
      <c r="K88">
        <f ca="1">IF($J88="Continues",DATEDIF($B88,TODAY(),"Y"),INDEX('Lopettaneet 2013-&gt;'!$L:$L,MATCH($D88,'Lopettaneet 2013-&gt;'!$D:$D,0)))</f>
        <v>10</v>
      </c>
      <c r="L88">
        <v>44</v>
      </c>
    </row>
    <row r="89" spans="1:12" x14ac:dyDescent="0.25">
      <c r="A89" t="s">
        <v>7</v>
      </c>
      <c r="B89" s="1">
        <v>41974</v>
      </c>
      <c r="C89" s="1">
        <v>44834</v>
      </c>
      <c r="D89" s="4" t="s">
        <v>327</v>
      </c>
      <c r="E89" t="s">
        <v>10</v>
      </c>
      <c r="F89" t="s">
        <v>11</v>
      </c>
      <c r="G89" t="s">
        <v>2912</v>
      </c>
      <c r="H89" t="s">
        <v>2965</v>
      </c>
      <c r="I89" t="s">
        <v>2909</v>
      </c>
      <c r="J89" t="str">
        <f>IF(ISNUMBER(MATCH($D89,'Lopettaneet 2013-&gt;'!$D:$D,0)),INDEX('Lopettaneet 2013-&gt;'!$K:$K,MATCH($D89,'Lopettaneet 2013-&gt;'!$D:$D,0)),"Continues")</f>
        <v>Closed</v>
      </c>
      <c r="K89">
        <f ca="1">IF($J89="Continues",DATEDIF($B89,TODAY(),"Y"),INDEX('Lopettaneet 2013-&gt;'!$L:$L,MATCH($D89,'Lopettaneet 2013-&gt;'!$D:$D,0)))</f>
        <v>7</v>
      </c>
      <c r="L89">
        <v>44</v>
      </c>
    </row>
    <row r="90" spans="1:12" x14ac:dyDescent="0.25">
      <c r="A90" t="s">
        <v>0</v>
      </c>
      <c r="B90" s="1">
        <v>39783</v>
      </c>
      <c r="C90" s="1">
        <v>41912</v>
      </c>
      <c r="D90" s="4" t="s">
        <v>2288</v>
      </c>
      <c r="E90" t="s">
        <v>3</v>
      </c>
      <c r="F90" t="s">
        <v>4</v>
      </c>
      <c r="G90" t="s">
        <v>2913</v>
      </c>
      <c r="H90" t="s">
        <v>2924</v>
      </c>
      <c r="I90" t="s">
        <v>2909</v>
      </c>
      <c r="J90" t="str">
        <f>IF(ISNUMBER(MATCH($D90,'Lopettaneet 2013-&gt;'!$D:$D,0)),INDEX('Lopettaneet 2013-&gt;'!$K:$K,MATCH($D90,'Lopettaneet 2013-&gt;'!$D:$D,0)),"Continues")</f>
        <v>Closed</v>
      </c>
      <c r="K90">
        <f ca="1">IF($J90="Continues",DATEDIF($B90,TODAY(),"Y"),INDEX('Lopettaneet 2013-&gt;'!$L:$L,MATCH($D90,'Lopettaneet 2013-&gt;'!$D:$D,0)))</f>
        <v>5</v>
      </c>
      <c r="L90">
        <v>45</v>
      </c>
    </row>
    <row r="91" spans="1:12" x14ac:dyDescent="0.25">
      <c r="A91" t="s">
        <v>7</v>
      </c>
      <c r="B91" s="1">
        <v>41974</v>
      </c>
      <c r="C91" s="1">
        <v>44196</v>
      </c>
      <c r="D91" s="4" t="s">
        <v>329</v>
      </c>
      <c r="E91" t="s">
        <v>10</v>
      </c>
      <c r="F91" t="s">
        <v>11</v>
      </c>
      <c r="G91" t="s">
        <v>2912</v>
      </c>
      <c r="H91" t="s">
        <v>2909</v>
      </c>
      <c r="I91" t="s">
        <v>2909</v>
      </c>
      <c r="J91" t="str">
        <f>IF(ISNUMBER(MATCH($D91,'Lopettaneet 2013-&gt;'!$D:$D,0)),INDEX('Lopettaneet 2013-&gt;'!$K:$K,MATCH($D91,'Lopettaneet 2013-&gt;'!$D:$D,0)),"Continues")</f>
        <v>Closed</v>
      </c>
      <c r="K91">
        <f ca="1">IF($J91="Continues",DATEDIF($B91,TODAY(),"Y"),INDEX('Lopettaneet 2013-&gt;'!$L:$L,MATCH($D91,'Lopettaneet 2013-&gt;'!$D:$D,0)))</f>
        <v>6</v>
      </c>
      <c r="L91">
        <v>45</v>
      </c>
    </row>
    <row r="92" spans="1:12" x14ac:dyDescent="0.25">
      <c r="A92" t="s">
        <v>0</v>
      </c>
      <c r="B92" s="1">
        <v>39783</v>
      </c>
      <c r="C92" s="1">
        <v>42855</v>
      </c>
      <c r="D92" s="4" t="s">
        <v>2290</v>
      </c>
      <c r="E92" t="s">
        <v>3</v>
      </c>
      <c r="F92" t="s">
        <v>4</v>
      </c>
      <c r="G92" t="s">
        <v>2917</v>
      </c>
      <c r="H92" t="s">
        <v>2947</v>
      </c>
      <c r="I92" t="s">
        <v>2909</v>
      </c>
      <c r="J92" t="str">
        <f>IF(ISNUMBER(MATCH($D92,'Lopettaneet 2013-&gt;'!$D:$D,0)),INDEX('Lopettaneet 2013-&gt;'!$K:$K,MATCH($D92,'Lopettaneet 2013-&gt;'!$D:$D,0)),"Continues")</f>
        <v>Merged</v>
      </c>
      <c r="K92">
        <f ca="1">IF($J92="Continues",DATEDIF($B92,TODAY(),"Y"),INDEX('Lopettaneet 2013-&gt;'!$L:$L,MATCH($D92,'Lopettaneet 2013-&gt;'!$D:$D,0)))</f>
        <v>8</v>
      </c>
      <c r="L92">
        <v>46</v>
      </c>
    </row>
    <row r="93" spans="1:12" x14ac:dyDescent="0.25">
      <c r="A93" t="s">
        <v>7</v>
      </c>
      <c r="B93" s="1">
        <v>41974</v>
      </c>
      <c r="C93" s="1">
        <v>55153</v>
      </c>
      <c r="D93" s="4" t="s">
        <v>331</v>
      </c>
      <c r="E93" t="s">
        <v>10</v>
      </c>
      <c r="F93" t="s">
        <v>11</v>
      </c>
      <c r="G93" t="s">
        <v>2914</v>
      </c>
      <c r="H93" t="s">
        <v>2966</v>
      </c>
      <c r="I93" t="s">
        <v>2895</v>
      </c>
      <c r="J93" t="str">
        <f>IF(ISNUMBER(MATCH($D93,'Lopettaneet 2013-&gt;'!$D:$D,0)),INDEX('Lopettaneet 2013-&gt;'!$K:$K,MATCH($D93,'Lopettaneet 2013-&gt;'!$D:$D,0)),"Continues")</f>
        <v>Continues</v>
      </c>
      <c r="K93">
        <f ca="1">IF($J93="Continues",DATEDIF($B93,TODAY(),"Y"),INDEX('Lopettaneet 2013-&gt;'!$L:$L,MATCH($D93,'Lopettaneet 2013-&gt;'!$D:$D,0)))</f>
        <v>10</v>
      </c>
      <c r="L93">
        <v>46</v>
      </c>
    </row>
    <row r="94" spans="1:12" x14ac:dyDescent="0.25">
      <c r="A94" t="s">
        <v>0</v>
      </c>
      <c r="B94" s="1">
        <v>39783</v>
      </c>
      <c r="C94" s="1">
        <v>44165</v>
      </c>
      <c r="D94" s="4" t="s">
        <v>2292</v>
      </c>
      <c r="E94" t="s">
        <v>3</v>
      </c>
      <c r="F94" t="s">
        <v>4</v>
      </c>
      <c r="G94" t="s">
        <v>2917</v>
      </c>
      <c r="H94" t="s">
        <v>2947</v>
      </c>
      <c r="I94" t="s">
        <v>2909</v>
      </c>
      <c r="J94" t="str">
        <f>IF(ISNUMBER(MATCH($D94,'Lopettaneet 2013-&gt;'!$D:$D,0)),INDEX('Lopettaneet 2013-&gt;'!$K:$K,MATCH($D94,'Lopettaneet 2013-&gt;'!$D:$D,0)),"Continues")</f>
        <v>Merged</v>
      </c>
      <c r="K94">
        <f ca="1">IF($J94="Continues",DATEDIF($B94,TODAY(),"Y"),INDEX('Lopettaneet 2013-&gt;'!$L:$L,MATCH($D94,'Lopettaneet 2013-&gt;'!$D:$D,0)))</f>
        <v>11</v>
      </c>
      <c r="L94">
        <v>47</v>
      </c>
    </row>
    <row r="95" spans="1:12" x14ac:dyDescent="0.25">
      <c r="A95" t="s">
        <v>0</v>
      </c>
      <c r="B95" s="1">
        <v>41365</v>
      </c>
      <c r="C95" s="1">
        <v>44592</v>
      </c>
      <c r="D95" s="4" t="s">
        <v>3175</v>
      </c>
      <c r="E95" t="s">
        <v>3</v>
      </c>
      <c r="F95" t="s">
        <v>4</v>
      </c>
      <c r="G95" t="s">
        <v>2917</v>
      </c>
      <c r="H95" t="s">
        <v>2777</v>
      </c>
      <c r="I95" t="s">
        <v>2909</v>
      </c>
      <c r="J95" t="str">
        <f>IF(ISNUMBER(MATCH($D95,'Lopettaneet 2013-&gt;'!$D:$D,0)),INDEX('Lopettaneet 2013-&gt;'!$K:$K,MATCH($D95,'Lopettaneet 2013-&gt;'!$D:$D,0)),"Continues")</f>
        <v>Continues</v>
      </c>
      <c r="K95">
        <f ca="1">IF($J95="Continues",DATEDIF($B95,TODAY(),"Y"),INDEX('Lopettaneet 2013-&gt;'!$L:$L,MATCH($D95,'Lopettaneet 2013-&gt;'!$D:$D,0)))</f>
        <v>12</v>
      </c>
      <c r="L95">
        <v>47</v>
      </c>
    </row>
    <row r="96" spans="1:12" x14ac:dyDescent="0.25">
      <c r="A96" t="s">
        <v>0</v>
      </c>
      <c r="B96" s="1">
        <v>39783</v>
      </c>
      <c r="C96" s="1">
        <v>43799</v>
      </c>
      <c r="D96" s="4" t="s">
        <v>2294</v>
      </c>
      <c r="E96" t="s">
        <v>3</v>
      </c>
      <c r="F96" t="s">
        <v>4</v>
      </c>
      <c r="G96" t="s">
        <v>2913</v>
      </c>
      <c r="H96" t="s">
        <v>2947</v>
      </c>
      <c r="I96" t="s">
        <v>2909</v>
      </c>
      <c r="J96" t="str">
        <f>IF(ISNUMBER(MATCH($D96,'Lopettaneet 2013-&gt;'!$D:$D,0)),INDEX('Lopettaneet 2013-&gt;'!$K:$K,MATCH($D96,'Lopettaneet 2013-&gt;'!$D:$D,0)),"Continues")</f>
        <v>Merged</v>
      </c>
      <c r="K96">
        <f ca="1">IF($J96="Continues",DATEDIF($B96,TODAY(),"Y"),INDEX('Lopettaneet 2013-&gt;'!$L:$L,MATCH($D96,'Lopettaneet 2013-&gt;'!$D:$D,0)))</f>
        <v>10</v>
      </c>
      <c r="L96">
        <v>48</v>
      </c>
    </row>
    <row r="97" spans="1:12" x14ac:dyDescent="0.25">
      <c r="A97" t="s">
        <v>0</v>
      </c>
      <c r="B97" s="1">
        <v>41365</v>
      </c>
      <c r="C97" s="1">
        <v>44592</v>
      </c>
      <c r="D97" s="4" t="s">
        <v>3176</v>
      </c>
      <c r="E97" t="s">
        <v>3</v>
      </c>
      <c r="F97" t="s">
        <v>4</v>
      </c>
      <c r="G97" t="s">
        <v>2913</v>
      </c>
      <c r="H97" t="s">
        <v>2777</v>
      </c>
      <c r="I97" t="s">
        <v>2909</v>
      </c>
      <c r="J97" t="str">
        <f>IF(ISNUMBER(MATCH($D97,'Lopettaneet 2013-&gt;'!$D:$D,0)),INDEX('Lopettaneet 2013-&gt;'!$K:$K,MATCH($D97,'Lopettaneet 2013-&gt;'!$D:$D,0)),"Continues")</f>
        <v>Continues</v>
      </c>
      <c r="K97">
        <f ca="1">IF($J97="Continues",DATEDIF($B97,TODAY(),"Y"),INDEX('Lopettaneet 2013-&gt;'!$L:$L,MATCH($D97,'Lopettaneet 2013-&gt;'!$D:$D,0)))</f>
        <v>12</v>
      </c>
      <c r="L97">
        <v>48</v>
      </c>
    </row>
    <row r="98" spans="1:12" x14ac:dyDescent="0.25">
      <c r="A98" t="s">
        <v>0</v>
      </c>
      <c r="B98" s="1">
        <v>39783</v>
      </c>
      <c r="C98" s="1">
        <v>43799</v>
      </c>
      <c r="D98" s="4" t="s">
        <v>2296</v>
      </c>
      <c r="E98" t="s">
        <v>3</v>
      </c>
      <c r="F98" t="s">
        <v>4</v>
      </c>
      <c r="G98" t="s">
        <v>2917</v>
      </c>
      <c r="H98" t="s">
        <v>2947</v>
      </c>
      <c r="I98" t="s">
        <v>2909</v>
      </c>
      <c r="J98" t="str">
        <f>IF(ISNUMBER(MATCH($D98,'Lopettaneet 2013-&gt;'!$D:$D,0)),INDEX('Lopettaneet 2013-&gt;'!$K:$K,MATCH($D98,'Lopettaneet 2013-&gt;'!$D:$D,0)),"Continues")</f>
        <v>Merged</v>
      </c>
      <c r="K98">
        <f ca="1">IF($J98="Continues",DATEDIF($B98,TODAY(),"Y"),INDEX('Lopettaneet 2013-&gt;'!$L:$L,MATCH($D98,'Lopettaneet 2013-&gt;'!$D:$D,0)))</f>
        <v>10</v>
      </c>
      <c r="L98">
        <v>49</v>
      </c>
    </row>
    <row r="99" spans="1:12" x14ac:dyDescent="0.25">
      <c r="A99" t="s">
        <v>0</v>
      </c>
      <c r="B99" s="1">
        <v>41365</v>
      </c>
      <c r="C99" s="1">
        <v>43738</v>
      </c>
      <c r="D99" s="4" t="s">
        <v>337</v>
      </c>
      <c r="E99" t="s">
        <v>3</v>
      </c>
      <c r="F99" t="s">
        <v>4</v>
      </c>
      <c r="G99" t="s">
        <v>2917</v>
      </c>
      <c r="H99" t="s">
        <v>2980</v>
      </c>
      <c r="I99" t="s">
        <v>2909</v>
      </c>
      <c r="J99" t="str">
        <f>IF(ISNUMBER(MATCH($D99,'Lopettaneet 2013-&gt;'!$D:$D,0)),INDEX('Lopettaneet 2013-&gt;'!$K:$K,MATCH($D99,'Lopettaneet 2013-&gt;'!$D:$D,0)),"Continues")</f>
        <v>Merged</v>
      </c>
      <c r="K99">
        <f ca="1">IF($J99="Continues",DATEDIF($B99,TODAY(),"Y"),INDEX('Lopettaneet 2013-&gt;'!$L:$L,MATCH($D99,'Lopettaneet 2013-&gt;'!$D:$D,0)))</f>
        <v>6</v>
      </c>
      <c r="L99">
        <v>49</v>
      </c>
    </row>
    <row r="100" spans="1:12" x14ac:dyDescent="0.25">
      <c r="A100" t="s">
        <v>0</v>
      </c>
      <c r="B100" s="1">
        <v>39783</v>
      </c>
      <c r="C100" s="1">
        <v>41639</v>
      </c>
      <c r="D100" s="4" t="s">
        <v>2298</v>
      </c>
      <c r="E100" t="s">
        <v>3</v>
      </c>
      <c r="F100" t="s">
        <v>4</v>
      </c>
      <c r="G100" t="s">
        <v>2917</v>
      </c>
      <c r="H100" t="s">
        <v>2953</v>
      </c>
      <c r="I100" t="s">
        <v>2909</v>
      </c>
      <c r="J100" t="str">
        <f>IF(ISNUMBER(MATCH($D100,'Lopettaneet 2013-&gt;'!$D:$D,0)),INDEX('Lopettaneet 2013-&gt;'!$K:$K,MATCH($D100,'Lopettaneet 2013-&gt;'!$D:$D,0)),"Continues")</f>
        <v>Merged</v>
      </c>
      <c r="K100">
        <f ca="1">IF($J100="Continues",DATEDIF($B100,TODAY(),"Y"),INDEX('Lopettaneet 2013-&gt;'!$L:$L,MATCH($D100,'Lopettaneet 2013-&gt;'!$D:$D,0)))</f>
        <v>5</v>
      </c>
      <c r="L100">
        <v>50</v>
      </c>
    </row>
    <row r="101" spans="1:12" x14ac:dyDescent="0.25">
      <c r="A101" t="s">
        <v>0</v>
      </c>
      <c r="B101" s="1">
        <v>41365</v>
      </c>
      <c r="C101" s="1">
        <v>55153</v>
      </c>
      <c r="D101" s="4" t="s">
        <v>339</v>
      </c>
      <c r="E101" t="s">
        <v>3</v>
      </c>
      <c r="F101" t="s">
        <v>4</v>
      </c>
      <c r="G101" t="s">
        <v>2917</v>
      </c>
      <c r="H101" t="s">
        <v>2967</v>
      </c>
      <c r="I101" t="s">
        <v>2894</v>
      </c>
      <c r="J101" t="str">
        <f>IF(ISNUMBER(MATCH($D101,'Lopettaneet 2013-&gt;'!$D:$D,0)),INDEX('Lopettaneet 2013-&gt;'!$K:$K,MATCH($D101,'Lopettaneet 2013-&gt;'!$D:$D,0)),"Continues")</f>
        <v>Merged</v>
      </c>
      <c r="K101">
        <f ca="1">IF($J101="Continues",DATEDIF($B101,TODAY(),"Y"),INDEX('Lopettaneet 2013-&gt;'!$L:$L,MATCH($D101,'Lopettaneet 2013-&gt;'!$D:$D,0)))</f>
        <v>11</v>
      </c>
      <c r="L101">
        <v>50</v>
      </c>
    </row>
    <row r="102" spans="1:12" x14ac:dyDescent="0.25">
      <c r="A102" t="s">
        <v>0</v>
      </c>
      <c r="B102" s="1">
        <v>39783</v>
      </c>
      <c r="C102" s="1">
        <v>44742</v>
      </c>
      <c r="D102" s="4" t="s">
        <v>2271</v>
      </c>
      <c r="E102" t="s">
        <v>3</v>
      </c>
      <c r="F102" t="s">
        <v>4</v>
      </c>
      <c r="G102" t="s">
        <v>2913</v>
      </c>
      <c r="H102" t="s">
        <v>2923</v>
      </c>
      <c r="I102" t="s">
        <v>2909</v>
      </c>
      <c r="J102" t="str">
        <f>IF(ISNUMBER(MATCH($D102,'Lopettaneet 2013-&gt;'!$D:$D,0)),INDEX('Lopettaneet 2013-&gt;'!$K:$K,MATCH($D102,'Lopettaneet 2013-&gt;'!$D:$D,0)),"Continues")</f>
        <v>Closed</v>
      </c>
      <c r="K102">
        <f ca="1">IF($J102="Continues",DATEDIF($B102,TODAY(),"Y"),INDEX('Lopettaneet 2013-&gt;'!$L:$L,MATCH($D102,'Lopettaneet 2013-&gt;'!$D:$D,0)))</f>
        <v>13</v>
      </c>
      <c r="L102">
        <v>51</v>
      </c>
    </row>
    <row r="103" spans="1:12" x14ac:dyDescent="0.25">
      <c r="A103" t="s">
        <v>0</v>
      </c>
      <c r="B103" s="1">
        <v>41426</v>
      </c>
      <c r="C103" s="1">
        <v>55153</v>
      </c>
      <c r="D103" s="4" t="s">
        <v>341</v>
      </c>
      <c r="E103" t="s">
        <v>10</v>
      </c>
      <c r="F103" t="s">
        <v>4</v>
      </c>
      <c r="G103" t="s">
        <v>2914</v>
      </c>
      <c r="H103" t="s">
        <v>2953</v>
      </c>
      <c r="I103" t="s">
        <v>2894</v>
      </c>
      <c r="J103" t="str">
        <f>IF(ISNUMBER(MATCH($D103,'Lopettaneet 2013-&gt;'!$D:$D,0)),INDEX('Lopettaneet 2013-&gt;'!$K:$K,MATCH($D103,'Lopettaneet 2013-&gt;'!$D:$D,0)),"Continues")</f>
        <v>Continues</v>
      </c>
      <c r="K103">
        <f ca="1">IF($J103="Continues",DATEDIF($B103,TODAY(),"Y"),INDEX('Lopettaneet 2013-&gt;'!$L:$L,MATCH($D103,'Lopettaneet 2013-&gt;'!$D:$D,0)))</f>
        <v>11</v>
      </c>
      <c r="L103">
        <v>51</v>
      </c>
    </row>
    <row r="104" spans="1:12" x14ac:dyDescent="0.25">
      <c r="A104" t="s">
        <v>0</v>
      </c>
      <c r="B104" s="1">
        <v>39783</v>
      </c>
      <c r="C104" s="1">
        <v>44742</v>
      </c>
      <c r="D104" s="4" t="s">
        <v>2237</v>
      </c>
      <c r="E104" t="s">
        <v>3</v>
      </c>
      <c r="F104" t="s">
        <v>4</v>
      </c>
      <c r="G104" t="s">
        <v>2915</v>
      </c>
      <c r="H104" t="s">
        <v>2923</v>
      </c>
      <c r="I104" t="s">
        <v>2909</v>
      </c>
      <c r="J104" t="str">
        <f>IF(ISNUMBER(MATCH($D104,'Lopettaneet 2013-&gt;'!$D:$D,0)),INDEX('Lopettaneet 2013-&gt;'!$K:$K,MATCH($D104,'Lopettaneet 2013-&gt;'!$D:$D,0)),"Continues")</f>
        <v>Closed</v>
      </c>
      <c r="K104">
        <f ca="1">IF($J104="Continues",DATEDIF($B104,TODAY(),"Y"),INDEX('Lopettaneet 2013-&gt;'!$L:$L,MATCH($D104,'Lopettaneet 2013-&gt;'!$D:$D,0)))</f>
        <v>13</v>
      </c>
      <c r="L104">
        <v>52</v>
      </c>
    </row>
    <row r="105" spans="1:12" x14ac:dyDescent="0.25">
      <c r="A105" t="s">
        <v>0</v>
      </c>
      <c r="B105" s="1">
        <v>41426</v>
      </c>
      <c r="C105" s="1">
        <v>55153</v>
      </c>
      <c r="D105" s="4" t="s">
        <v>343</v>
      </c>
      <c r="E105" t="s">
        <v>10</v>
      </c>
      <c r="F105" t="s">
        <v>4</v>
      </c>
      <c r="G105" t="s">
        <v>2914</v>
      </c>
      <c r="H105" t="s">
        <v>2960</v>
      </c>
      <c r="I105" t="s">
        <v>2894</v>
      </c>
      <c r="J105" t="str">
        <f>IF(ISNUMBER(MATCH($D105,'Lopettaneet 2013-&gt;'!$D:$D,0)),INDEX('Lopettaneet 2013-&gt;'!$K:$K,MATCH($D105,'Lopettaneet 2013-&gt;'!$D:$D,0)),"Continues")</f>
        <v>Continues</v>
      </c>
      <c r="K105">
        <f ca="1">IF($J105="Continues",DATEDIF($B105,TODAY(),"Y"),INDEX('Lopettaneet 2013-&gt;'!$L:$L,MATCH($D105,'Lopettaneet 2013-&gt;'!$D:$D,0)))</f>
        <v>11</v>
      </c>
      <c r="L105">
        <v>52</v>
      </c>
    </row>
    <row r="106" spans="1:12" x14ac:dyDescent="0.25">
      <c r="A106" t="s">
        <v>0</v>
      </c>
      <c r="B106" s="1">
        <v>39783</v>
      </c>
      <c r="C106" s="1">
        <v>44742</v>
      </c>
      <c r="D106" s="4" t="s">
        <v>2243</v>
      </c>
      <c r="E106" t="s">
        <v>3</v>
      </c>
      <c r="F106" t="s">
        <v>4</v>
      </c>
      <c r="G106" t="s">
        <v>2917</v>
      </c>
      <c r="H106" t="s">
        <v>2923</v>
      </c>
      <c r="I106" t="s">
        <v>2909</v>
      </c>
      <c r="J106" t="str">
        <f>IF(ISNUMBER(MATCH($D106,'Lopettaneet 2013-&gt;'!$D:$D,0)),INDEX('Lopettaneet 2013-&gt;'!$K:$K,MATCH($D106,'Lopettaneet 2013-&gt;'!$D:$D,0)),"Continues")</f>
        <v>Closed</v>
      </c>
      <c r="K106">
        <f ca="1">IF($J106="Continues",DATEDIF($B106,TODAY(),"Y"),INDEX('Lopettaneet 2013-&gt;'!$L:$L,MATCH($D106,'Lopettaneet 2013-&gt;'!$D:$D,0)))</f>
        <v>13</v>
      </c>
      <c r="L106">
        <v>53</v>
      </c>
    </row>
    <row r="107" spans="1:12" x14ac:dyDescent="0.25">
      <c r="A107" t="s">
        <v>0</v>
      </c>
      <c r="B107" s="1">
        <v>41518</v>
      </c>
      <c r="C107" s="1">
        <v>55153</v>
      </c>
      <c r="D107" s="4" t="s">
        <v>345</v>
      </c>
      <c r="E107" t="s">
        <v>3</v>
      </c>
      <c r="F107" t="s">
        <v>4</v>
      </c>
      <c r="G107" t="s">
        <v>2917</v>
      </c>
      <c r="H107" t="s">
        <v>2975</v>
      </c>
      <c r="I107" t="s">
        <v>2894</v>
      </c>
      <c r="J107" t="str">
        <f>IF(ISNUMBER(MATCH($D107,'Lopettaneet 2013-&gt;'!$D:$D,0)),INDEX('Lopettaneet 2013-&gt;'!$K:$K,MATCH($D107,'Lopettaneet 2013-&gt;'!$D:$D,0)),"Continues")</f>
        <v>Continues</v>
      </c>
      <c r="K107">
        <f ca="1">IF($J107="Continues",DATEDIF($B107,TODAY(),"Y"),INDEX('Lopettaneet 2013-&gt;'!$L:$L,MATCH($D107,'Lopettaneet 2013-&gt;'!$D:$D,0)))</f>
        <v>11</v>
      </c>
      <c r="L107">
        <v>53</v>
      </c>
    </row>
    <row r="108" spans="1:12" x14ac:dyDescent="0.25">
      <c r="A108" t="s">
        <v>0</v>
      </c>
      <c r="B108" s="1">
        <v>39783</v>
      </c>
      <c r="C108" s="1">
        <v>41943</v>
      </c>
      <c r="D108" s="4" t="s">
        <v>2302</v>
      </c>
      <c r="E108" t="s">
        <v>10</v>
      </c>
      <c r="F108" t="s">
        <v>4</v>
      </c>
      <c r="G108" t="s">
        <v>2915</v>
      </c>
      <c r="H108" t="s">
        <v>2958</v>
      </c>
      <c r="I108" t="s">
        <v>2909</v>
      </c>
      <c r="J108" t="str">
        <f>IF(ISNUMBER(MATCH($D108,'Lopettaneet 2013-&gt;'!$D:$D,0)),INDEX('Lopettaneet 2013-&gt;'!$K:$K,MATCH($D108,'Lopettaneet 2013-&gt;'!$D:$D,0)),"Continues")</f>
        <v>Merged</v>
      </c>
      <c r="K108">
        <f ca="1">IF($J108="Continues",DATEDIF($B108,TODAY(),"Y"),INDEX('Lopettaneet 2013-&gt;'!$L:$L,MATCH($D108,'Lopettaneet 2013-&gt;'!$D:$D,0)))</f>
        <v>5</v>
      </c>
      <c r="L108">
        <v>54</v>
      </c>
    </row>
    <row r="109" spans="1:12" x14ac:dyDescent="0.25">
      <c r="A109" t="s">
        <v>0</v>
      </c>
      <c r="B109" s="1">
        <v>41456</v>
      </c>
      <c r="C109" s="1">
        <v>55153</v>
      </c>
      <c r="D109" s="4" t="s">
        <v>347</v>
      </c>
      <c r="E109" t="s">
        <v>3</v>
      </c>
      <c r="F109" t="s">
        <v>4</v>
      </c>
      <c r="G109" t="s">
        <v>2917</v>
      </c>
      <c r="H109" t="s">
        <v>2953</v>
      </c>
      <c r="I109" t="s">
        <v>2894</v>
      </c>
      <c r="J109" t="str">
        <f>IF(ISNUMBER(MATCH($D109,'Lopettaneet 2013-&gt;'!$D:$D,0)),INDEX('Lopettaneet 2013-&gt;'!$K:$K,MATCH($D109,'Lopettaneet 2013-&gt;'!$D:$D,0)),"Continues")</f>
        <v>Continues</v>
      </c>
      <c r="K109">
        <f ca="1">IF($J109="Continues",DATEDIF($B109,TODAY(),"Y"),INDEX('Lopettaneet 2013-&gt;'!$L:$L,MATCH($D109,'Lopettaneet 2013-&gt;'!$D:$D,0)))</f>
        <v>11</v>
      </c>
      <c r="L109">
        <v>54</v>
      </c>
    </row>
    <row r="110" spans="1:12" x14ac:dyDescent="0.25">
      <c r="A110" t="s">
        <v>0</v>
      </c>
      <c r="B110" s="1">
        <v>39783</v>
      </c>
      <c r="C110" s="1">
        <v>43404</v>
      </c>
      <c r="D110" s="4" t="s">
        <v>2304</v>
      </c>
      <c r="E110" t="s">
        <v>3</v>
      </c>
      <c r="F110" t="s">
        <v>4</v>
      </c>
      <c r="G110" t="s">
        <v>2917</v>
      </c>
      <c r="H110" t="s">
        <v>2947</v>
      </c>
      <c r="I110" t="s">
        <v>2909</v>
      </c>
      <c r="J110" t="str">
        <f>IF(ISNUMBER(MATCH($D110,'Lopettaneet 2013-&gt;'!$D:$D,0)),INDEX('Lopettaneet 2013-&gt;'!$K:$K,MATCH($D110,'Lopettaneet 2013-&gt;'!$D:$D,0)),"Continues")</f>
        <v>Merged</v>
      </c>
      <c r="K110">
        <f ca="1">IF($J110="Continues",DATEDIF($B110,TODAY(),"Y"),INDEX('Lopettaneet 2013-&gt;'!$L:$L,MATCH($D110,'Lopettaneet 2013-&gt;'!$D:$D,0)))</f>
        <v>9</v>
      </c>
      <c r="L110">
        <v>55</v>
      </c>
    </row>
    <row r="111" spans="1:12" x14ac:dyDescent="0.25">
      <c r="A111" t="s">
        <v>0</v>
      </c>
      <c r="B111" s="1">
        <v>41548</v>
      </c>
      <c r="C111" s="1">
        <v>55153</v>
      </c>
      <c r="D111" s="4" t="s">
        <v>349</v>
      </c>
      <c r="E111" t="s">
        <v>3</v>
      </c>
      <c r="F111" t="s">
        <v>4</v>
      </c>
      <c r="G111" t="s">
        <v>2913</v>
      </c>
      <c r="H111" t="s">
        <v>2946</v>
      </c>
      <c r="I111" t="s">
        <v>2894</v>
      </c>
      <c r="J111" t="str">
        <f>IF(ISNUMBER(MATCH($D111,'Lopettaneet 2013-&gt;'!$D:$D,0)),INDEX('Lopettaneet 2013-&gt;'!$K:$K,MATCH($D111,'Lopettaneet 2013-&gt;'!$D:$D,0)),"Continues")</f>
        <v>Continues</v>
      </c>
      <c r="K111">
        <f ca="1">IF($J111="Continues",DATEDIF($B111,TODAY(),"Y"),INDEX('Lopettaneet 2013-&gt;'!$L:$L,MATCH($D111,'Lopettaneet 2013-&gt;'!$D:$D,0)))</f>
        <v>11</v>
      </c>
      <c r="L111">
        <v>55</v>
      </c>
    </row>
    <row r="112" spans="1:12" x14ac:dyDescent="0.25">
      <c r="A112" t="s">
        <v>0</v>
      </c>
      <c r="B112" s="1">
        <v>39783</v>
      </c>
      <c r="C112" s="1">
        <v>43799</v>
      </c>
      <c r="D112" s="4" t="s">
        <v>2306</v>
      </c>
      <c r="E112" t="s">
        <v>3</v>
      </c>
      <c r="F112" t="s">
        <v>4</v>
      </c>
      <c r="G112" t="s">
        <v>2915</v>
      </c>
      <c r="H112" t="s">
        <v>2947</v>
      </c>
      <c r="I112" t="s">
        <v>2909</v>
      </c>
      <c r="J112" t="str">
        <f>IF(ISNUMBER(MATCH($D112,'Lopettaneet 2013-&gt;'!$D:$D,0)),INDEX('Lopettaneet 2013-&gt;'!$K:$K,MATCH($D112,'Lopettaneet 2013-&gt;'!$D:$D,0)),"Continues")</f>
        <v>Merged</v>
      </c>
      <c r="K112">
        <f ca="1">IF($J112="Continues",DATEDIF($B112,TODAY(),"Y"),INDEX('Lopettaneet 2013-&gt;'!$L:$L,MATCH($D112,'Lopettaneet 2013-&gt;'!$D:$D,0)))</f>
        <v>10</v>
      </c>
      <c r="L112">
        <v>56</v>
      </c>
    </row>
    <row r="113" spans="1:12" x14ac:dyDescent="0.25">
      <c r="A113" t="s">
        <v>0</v>
      </c>
      <c r="B113" s="1">
        <v>41548</v>
      </c>
      <c r="C113" s="1">
        <v>55153</v>
      </c>
      <c r="D113" s="4" t="s">
        <v>351</v>
      </c>
      <c r="E113" t="s">
        <v>3</v>
      </c>
      <c r="F113" t="s">
        <v>4</v>
      </c>
      <c r="G113" t="s">
        <v>2917</v>
      </c>
      <c r="H113" t="s">
        <v>2946</v>
      </c>
      <c r="I113" t="s">
        <v>2894</v>
      </c>
      <c r="J113" t="str">
        <f>IF(ISNUMBER(MATCH($D113,'Lopettaneet 2013-&gt;'!$D:$D,0)),INDEX('Lopettaneet 2013-&gt;'!$K:$K,MATCH($D113,'Lopettaneet 2013-&gt;'!$D:$D,0)),"Continues")</f>
        <v>Continues</v>
      </c>
      <c r="K113">
        <f ca="1">IF($J113="Continues",DATEDIF($B113,TODAY(),"Y"),INDEX('Lopettaneet 2013-&gt;'!$L:$L,MATCH($D113,'Lopettaneet 2013-&gt;'!$D:$D,0)))</f>
        <v>11</v>
      </c>
      <c r="L113">
        <v>56</v>
      </c>
    </row>
    <row r="114" spans="1:12" x14ac:dyDescent="0.25">
      <c r="A114" t="s">
        <v>0</v>
      </c>
      <c r="B114" s="1">
        <v>39783</v>
      </c>
      <c r="C114" s="1">
        <v>41364</v>
      </c>
      <c r="D114" s="4" t="s">
        <v>2308</v>
      </c>
      <c r="E114" t="s">
        <v>3</v>
      </c>
      <c r="F114" t="s">
        <v>4</v>
      </c>
      <c r="G114" t="s">
        <v>2917</v>
      </c>
      <c r="H114" t="s">
        <v>2946</v>
      </c>
      <c r="I114" t="s">
        <v>2909</v>
      </c>
      <c r="J114" t="str">
        <f>IF(ISNUMBER(MATCH($D114,'Lopettaneet 2013-&gt;'!$D:$D,0)),INDEX('Lopettaneet 2013-&gt;'!$K:$K,MATCH($D114,'Lopettaneet 2013-&gt;'!$D:$D,0)),"Continues")</f>
        <v>Merged</v>
      </c>
      <c r="K114">
        <f ca="1">IF($J114="Continues",DATEDIF($B114,TODAY(),"Y"),INDEX('Lopettaneet 2013-&gt;'!$L:$L,MATCH($D114,'Lopettaneet 2013-&gt;'!$D:$D,0)))</f>
        <v>4</v>
      </c>
      <c r="L114">
        <v>57</v>
      </c>
    </row>
    <row r="115" spans="1:12" x14ac:dyDescent="0.25">
      <c r="A115" t="s">
        <v>0</v>
      </c>
      <c r="B115" s="1">
        <v>41487</v>
      </c>
      <c r="C115" s="1">
        <v>42551</v>
      </c>
      <c r="D115" s="4" t="s">
        <v>353</v>
      </c>
      <c r="E115" t="s">
        <v>10</v>
      </c>
      <c r="F115" t="s">
        <v>4</v>
      </c>
      <c r="G115" t="s">
        <v>2917</v>
      </c>
      <c r="H115" t="s">
        <v>2959</v>
      </c>
      <c r="I115" t="s">
        <v>2909</v>
      </c>
      <c r="J115" t="str">
        <f>IF(ISNUMBER(MATCH($D115,'Lopettaneet 2013-&gt;'!$D:$D,0)),INDEX('Lopettaneet 2013-&gt;'!$K:$K,MATCH($D115,'Lopettaneet 2013-&gt;'!$D:$D,0)),"Continues")</f>
        <v>Merged</v>
      </c>
      <c r="K115">
        <f ca="1">IF($J115="Continues",DATEDIF($B115,TODAY(),"Y"),INDEX('Lopettaneet 2013-&gt;'!$L:$L,MATCH($D115,'Lopettaneet 2013-&gt;'!$D:$D,0)))</f>
        <v>2</v>
      </c>
      <c r="L115">
        <v>57</v>
      </c>
    </row>
    <row r="116" spans="1:12" x14ac:dyDescent="0.25">
      <c r="A116" t="s">
        <v>0</v>
      </c>
      <c r="B116" s="1">
        <v>39783</v>
      </c>
      <c r="C116" s="1">
        <v>42429</v>
      </c>
      <c r="D116" s="4" t="s">
        <v>2310</v>
      </c>
      <c r="E116" t="s">
        <v>3</v>
      </c>
      <c r="F116" t="s">
        <v>4</v>
      </c>
      <c r="G116" t="s">
        <v>2915</v>
      </c>
      <c r="H116" t="s">
        <v>2966</v>
      </c>
      <c r="I116" t="s">
        <v>2909</v>
      </c>
      <c r="J116" t="str">
        <f>IF(ISNUMBER(MATCH($D116,'Lopettaneet 2013-&gt;'!$D:$D,0)),INDEX('Lopettaneet 2013-&gt;'!$K:$K,MATCH($D116,'Lopettaneet 2013-&gt;'!$D:$D,0)),"Continues")</f>
        <v>Merged</v>
      </c>
      <c r="K116">
        <f ca="1">IF($J116="Continues",DATEDIF($B116,TODAY(),"Y"),INDEX('Lopettaneet 2013-&gt;'!$L:$L,MATCH($D116,'Lopettaneet 2013-&gt;'!$D:$D,0)))</f>
        <v>7</v>
      </c>
      <c r="L116">
        <v>58</v>
      </c>
    </row>
    <row r="117" spans="1:12" x14ac:dyDescent="0.25">
      <c r="A117" t="s">
        <v>0</v>
      </c>
      <c r="B117" s="1">
        <v>41518</v>
      </c>
      <c r="C117" s="1">
        <v>42674</v>
      </c>
      <c r="D117" s="4" t="s">
        <v>355</v>
      </c>
      <c r="E117" t="s">
        <v>3</v>
      </c>
      <c r="F117" t="s">
        <v>4</v>
      </c>
      <c r="G117" t="s">
        <v>2917</v>
      </c>
      <c r="H117" t="s">
        <v>2952</v>
      </c>
      <c r="I117" t="s">
        <v>2909</v>
      </c>
      <c r="J117" t="str">
        <f>IF(ISNUMBER(MATCH($D117,'Lopettaneet 2013-&gt;'!$D:$D,0)),INDEX('Lopettaneet 2013-&gt;'!$K:$K,MATCH($D117,'Lopettaneet 2013-&gt;'!$D:$D,0)),"Continues")</f>
        <v>Closed</v>
      </c>
      <c r="K117">
        <f ca="1">IF($J117="Continues",DATEDIF($B117,TODAY(),"Y"),INDEX('Lopettaneet 2013-&gt;'!$L:$L,MATCH($D117,'Lopettaneet 2013-&gt;'!$D:$D,0)))</f>
        <v>3</v>
      </c>
      <c r="L117">
        <v>58</v>
      </c>
    </row>
    <row r="118" spans="1:12" x14ac:dyDescent="0.25">
      <c r="A118" t="s">
        <v>0</v>
      </c>
      <c r="B118" s="1">
        <v>39783</v>
      </c>
      <c r="C118" s="1">
        <v>44408</v>
      </c>
      <c r="D118" s="4" t="s">
        <v>2312</v>
      </c>
      <c r="E118" t="s">
        <v>3</v>
      </c>
      <c r="F118" t="s">
        <v>4</v>
      </c>
      <c r="G118" t="s">
        <v>2915</v>
      </c>
      <c r="H118" t="s">
        <v>2966</v>
      </c>
      <c r="I118" t="s">
        <v>2909</v>
      </c>
      <c r="J118" t="str">
        <f>IF(ISNUMBER(MATCH($D118,'Lopettaneet 2013-&gt;'!$D:$D,0)),INDEX('Lopettaneet 2013-&gt;'!$K:$K,MATCH($D118,'Lopettaneet 2013-&gt;'!$D:$D,0)),"Continues")</f>
        <v>Merged</v>
      </c>
      <c r="K118">
        <f ca="1">IF($J118="Continues",DATEDIF($B118,TODAY(),"Y"),INDEX('Lopettaneet 2013-&gt;'!$L:$L,MATCH($D118,'Lopettaneet 2013-&gt;'!$D:$D,0)))</f>
        <v>12</v>
      </c>
      <c r="L118">
        <v>59</v>
      </c>
    </row>
    <row r="119" spans="1:12" x14ac:dyDescent="0.25">
      <c r="A119" t="s">
        <v>0</v>
      </c>
      <c r="B119" s="1">
        <v>41518</v>
      </c>
      <c r="C119" s="1">
        <v>42674</v>
      </c>
      <c r="D119" s="4" t="s">
        <v>357</v>
      </c>
      <c r="E119" t="s">
        <v>3</v>
      </c>
      <c r="F119" t="s">
        <v>4</v>
      </c>
      <c r="G119" t="s">
        <v>2917</v>
      </c>
      <c r="H119" t="s">
        <v>2952</v>
      </c>
      <c r="I119" t="s">
        <v>2909</v>
      </c>
      <c r="J119" t="str">
        <f>IF(ISNUMBER(MATCH($D119,'Lopettaneet 2013-&gt;'!$D:$D,0)),INDEX('Lopettaneet 2013-&gt;'!$K:$K,MATCH($D119,'Lopettaneet 2013-&gt;'!$D:$D,0)),"Continues")</f>
        <v>Closed</v>
      </c>
      <c r="K119">
        <f ca="1">IF($J119="Continues",DATEDIF($B119,TODAY(),"Y"),INDEX('Lopettaneet 2013-&gt;'!$L:$L,MATCH($D119,'Lopettaneet 2013-&gt;'!$D:$D,0)))</f>
        <v>3</v>
      </c>
      <c r="L119">
        <v>59</v>
      </c>
    </row>
    <row r="120" spans="1:12" x14ac:dyDescent="0.25">
      <c r="A120" t="s">
        <v>0</v>
      </c>
      <c r="B120" s="1">
        <v>39783</v>
      </c>
      <c r="C120" s="1">
        <v>44135</v>
      </c>
      <c r="D120" s="4" t="s">
        <v>2314</v>
      </c>
      <c r="E120" t="s">
        <v>3</v>
      </c>
      <c r="F120" t="s">
        <v>4</v>
      </c>
      <c r="G120" t="s">
        <v>2917</v>
      </c>
      <c r="H120" t="s">
        <v>2975</v>
      </c>
      <c r="I120" t="s">
        <v>2909</v>
      </c>
      <c r="J120" t="str">
        <f>IF(ISNUMBER(MATCH($D120,'Lopettaneet 2013-&gt;'!$D:$D,0)),INDEX('Lopettaneet 2013-&gt;'!$K:$K,MATCH($D120,'Lopettaneet 2013-&gt;'!$D:$D,0)),"Continues")</f>
        <v>Merged</v>
      </c>
      <c r="K120">
        <f ca="1">IF($J120="Continues",DATEDIF($B120,TODAY(),"Y"),INDEX('Lopettaneet 2013-&gt;'!$L:$L,MATCH($D120,'Lopettaneet 2013-&gt;'!$D:$D,0)))</f>
        <v>11</v>
      </c>
      <c r="L120">
        <v>60</v>
      </c>
    </row>
    <row r="121" spans="1:12" x14ac:dyDescent="0.25">
      <c r="A121" t="s">
        <v>0</v>
      </c>
      <c r="B121" s="1">
        <v>41548</v>
      </c>
      <c r="C121" s="1">
        <v>55153</v>
      </c>
      <c r="D121" s="4" t="s">
        <v>359</v>
      </c>
      <c r="E121" t="s">
        <v>3</v>
      </c>
      <c r="F121" t="s">
        <v>4</v>
      </c>
      <c r="G121" t="s">
        <v>2917</v>
      </c>
      <c r="H121" t="s">
        <v>2952</v>
      </c>
      <c r="I121" t="s">
        <v>2894</v>
      </c>
      <c r="J121" t="str">
        <f>IF(ISNUMBER(MATCH($D121,'Lopettaneet 2013-&gt;'!$D:$D,0)),INDEX('Lopettaneet 2013-&gt;'!$K:$K,MATCH($D121,'Lopettaneet 2013-&gt;'!$D:$D,0)),"Continues")</f>
        <v>Continues</v>
      </c>
      <c r="K121">
        <f ca="1">IF($J121="Continues",DATEDIF($B121,TODAY(),"Y"),INDEX('Lopettaneet 2013-&gt;'!$L:$L,MATCH($D121,'Lopettaneet 2013-&gt;'!$D:$D,0)))</f>
        <v>11</v>
      </c>
      <c r="L121">
        <v>60</v>
      </c>
    </row>
    <row r="122" spans="1:12" x14ac:dyDescent="0.25">
      <c r="A122" t="s">
        <v>0</v>
      </c>
      <c r="B122" s="1">
        <v>39783</v>
      </c>
      <c r="C122" s="1">
        <v>41759</v>
      </c>
      <c r="D122" s="4" t="s">
        <v>2316</v>
      </c>
      <c r="E122" t="s">
        <v>3</v>
      </c>
      <c r="F122" t="s">
        <v>4</v>
      </c>
      <c r="G122" t="s">
        <v>2917</v>
      </c>
      <c r="H122" t="s">
        <v>2953</v>
      </c>
      <c r="I122" t="s">
        <v>2909</v>
      </c>
      <c r="J122" t="str">
        <f>IF(ISNUMBER(MATCH($D122,'Lopettaneet 2013-&gt;'!$D:$D,0)),INDEX('Lopettaneet 2013-&gt;'!$K:$K,MATCH($D122,'Lopettaneet 2013-&gt;'!$D:$D,0)),"Continues")</f>
        <v>Merged</v>
      </c>
      <c r="K122">
        <f ca="1">IF($J122="Continues",DATEDIF($B122,TODAY(),"Y"),INDEX('Lopettaneet 2013-&gt;'!$L:$L,MATCH($D122,'Lopettaneet 2013-&gt;'!$D:$D,0)))</f>
        <v>5</v>
      </c>
      <c r="L122">
        <v>61</v>
      </c>
    </row>
    <row r="123" spans="1:12" x14ac:dyDescent="0.25">
      <c r="A123" t="s">
        <v>0</v>
      </c>
      <c r="B123" s="1">
        <v>41548</v>
      </c>
      <c r="C123" s="1">
        <v>55153</v>
      </c>
      <c r="D123" s="4" t="s">
        <v>361</v>
      </c>
      <c r="E123" t="s">
        <v>3</v>
      </c>
      <c r="F123" t="s">
        <v>4</v>
      </c>
      <c r="G123" t="s">
        <v>2913</v>
      </c>
      <c r="H123" t="s">
        <v>2957</v>
      </c>
      <c r="I123" t="s">
        <v>2894</v>
      </c>
      <c r="J123" t="str">
        <f>IF(ISNUMBER(MATCH($D123,'Lopettaneet 2013-&gt;'!$D:$D,0)),INDEX('Lopettaneet 2013-&gt;'!$K:$K,MATCH($D123,'Lopettaneet 2013-&gt;'!$D:$D,0)),"Continues")</f>
        <v>Continues</v>
      </c>
      <c r="K123">
        <f ca="1">IF($J123="Continues",DATEDIF($B123,TODAY(),"Y"),INDEX('Lopettaneet 2013-&gt;'!$L:$L,MATCH($D123,'Lopettaneet 2013-&gt;'!$D:$D,0)))</f>
        <v>11</v>
      </c>
      <c r="L123">
        <v>61</v>
      </c>
    </row>
    <row r="124" spans="1:12" x14ac:dyDescent="0.25">
      <c r="A124" t="s">
        <v>0</v>
      </c>
      <c r="B124" s="1">
        <v>39783</v>
      </c>
      <c r="C124" s="1">
        <v>43008</v>
      </c>
      <c r="D124" s="4" t="s">
        <v>2318</v>
      </c>
      <c r="E124" t="s">
        <v>10</v>
      </c>
      <c r="F124" t="s">
        <v>4</v>
      </c>
      <c r="G124" t="s">
        <v>2917</v>
      </c>
      <c r="H124" t="s">
        <v>2953</v>
      </c>
      <c r="I124" t="s">
        <v>2909</v>
      </c>
      <c r="J124" t="str">
        <f>IF(ISNUMBER(MATCH($D124,'Lopettaneet 2013-&gt;'!$D:$D,0)),INDEX('Lopettaneet 2013-&gt;'!$K:$K,MATCH($D124,'Lopettaneet 2013-&gt;'!$D:$D,0)),"Continues")</f>
        <v>Closed</v>
      </c>
      <c r="K124">
        <f ca="1">IF($J124="Continues",DATEDIF($B124,TODAY(),"Y"),INDEX('Lopettaneet 2013-&gt;'!$L:$L,MATCH($D124,'Lopettaneet 2013-&gt;'!$D:$D,0)))</f>
        <v>8</v>
      </c>
      <c r="L124">
        <v>62</v>
      </c>
    </row>
    <row r="125" spans="1:12" x14ac:dyDescent="0.25">
      <c r="A125" t="s">
        <v>0</v>
      </c>
      <c r="B125" s="1">
        <v>41548</v>
      </c>
      <c r="C125" s="1">
        <v>43069</v>
      </c>
      <c r="D125" s="4" t="s">
        <v>363</v>
      </c>
      <c r="E125" t="s">
        <v>3</v>
      </c>
      <c r="F125" t="s">
        <v>4</v>
      </c>
      <c r="G125" t="s">
        <v>2913</v>
      </c>
      <c r="H125" t="s">
        <v>2766</v>
      </c>
      <c r="I125" t="s">
        <v>2909</v>
      </c>
      <c r="J125" t="str">
        <f>IF(ISNUMBER(MATCH($D125,'Lopettaneet 2013-&gt;'!$D:$D,0)),INDEX('Lopettaneet 2013-&gt;'!$K:$K,MATCH($D125,'Lopettaneet 2013-&gt;'!$D:$D,0)),"Continues")</f>
        <v>Closed</v>
      </c>
      <c r="K125">
        <f ca="1">IF($J125="Continues",DATEDIF($B125,TODAY(),"Y"),INDEX('Lopettaneet 2013-&gt;'!$L:$L,MATCH($D125,'Lopettaneet 2013-&gt;'!$D:$D,0)))</f>
        <v>4</v>
      </c>
      <c r="L125">
        <v>62</v>
      </c>
    </row>
    <row r="126" spans="1:12" x14ac:dyDescent="0.25">
      <c r="A126" t="s">
        <v>0</v>
      </c>
      <c r="B126" s="1">
        <v>39783</v>
      </c>
      <c r="C126" s="1">
        <v>44561</v>
      </c>
      <c r="D126" s="4" t="s">
        <v>2320</v>
      </c>
      <c r="E126" t="s">
        <v>3</v>
      </c>
      <c r="F126" t="s">
        <v>4</v>
      </c>
      <c r="G126" t="s">
        <v>2917</v>
      </c>
      <c r="H126" t="s">
        <v>2923</v>
      </c>
      <c r="I126" t="s">
        <v>2909</v>
      </c>
      <c r="J126" t="str">
        <f>IF(ISNUMBER(MATCH($D126,'Lopettaneet 2013-&gt;'!$D:$D,0)),INDEX('Lopettaneet 2013-&gt;'!$K:$K,MATCH($D126,'Lopettaneet 2013-&gt;'!$D:$D,0)),"Continues")</f>
        <v>Closed</v>
      </c>
      <c r="K126">
        <f ca="1">IF($J126="Continues",DATEDIF($B126,TODAY(),"Y"),INDEX('Lopettaneet 2013-&gt;'!$L:$L,MATCH($D126,'Lopettaneet 2013-&gt;'!$D:$D,0)))</f>
        <v>13</v>
      </c>
      <c r="L126">
        <v>63</v>
      </c>
    </row>
    <row r="127" spans="1:12" x14ac:dyDescent="0.25">
      <c r="A127" t="s">
        <v>0</v>
      </c>
      <c r="B127" s="1">
        <v>41548</v>
      </c>
      <c r="C127" s="1">
        <v>42794</v>
      </c>
      <c r="D127" s="4" t="s">
        <v>365</v>
      </c>
      <c r="E127" t="s">
        <v>3</v>
      </c>
      <c r="F127" t="s">
        <v>4</v>
      </c>
      <c r="G127" t="s">
        <v>2917</v>
      </c>
      <c r="H127" t="s">
        <v>2935</v>
      </c>
      <c r="I127" t="s">
        <v>2909</v>
      </c>
      <c r="J127" t="str">
        <f>IF(ISNUMBER(MATCH($D127,'Lopettaneet 2013-&gt;'!$D:$D,0)),INDEX('Lopettaneet 2013-&gt;'!$K:$K,MATCH($D127,'Lopettaneet 2013-&gt;'!$D:$D,0)),"Continues")</f>
        <v>Closed</v>
      </c>
      <c r="K127">
        <f ca="1">IF($J127="Continues",DATEDIF($B127,TODAY(),"Y"),INDEX('Lopettaneet 2013-&gt;'!$L:$L,MATCH($D127,'Lopettaneet 2013-&gt;'!$D:$D,0)))</f>
        <v>3</v>
      </c>
      <c r="L127">
        <v>63</v>
      </c>
    </row>
    <row r="128" spans="1:12" x14ac:dyDescent="0.25">
      <c r="A128" t="s">
        <v>0</v>
      </c>
      <c r="B128" s="1">
        <v>39783</v>
      </c>
      <c r="C128" s="1">
        <v>43404</v>
      </c>
      <c r="D128" s="4" t="s">
        <v>2322</v>
      </c>
      <c r="E128" t="s">
        <v>3</v>
      </c>
      <c r="F128" t="s">
        <v>4</v>
      </c>
      <c r="G128" t="s">
        <v>2917</v>
      </c>
      <c r="H128" t="s">
        <v>2947</v>
      </c>
      <c r="I128" t="s">
        <v>2909</v>
      </c>
      <c r="J128" t="str">
        <f>IF(ISNUMBER(MATCH($D128,'Lopettaneet 2013-&gt;'!$D:$D,0)),INDEX('Lopettaneet 2013-&gt;'!$K:$K,MATCH($D128,'Lopettaneet 2013-&gt;'!$D:$D,0)),"Continues")</f>
        <v>Merged</v>
      </c>
      <c r="K128">
        <f ca="1">IF($J128="Continues",DATEDIF($B128,TODAY(),"Y"),INDEX('Lopettaneet 2013-&gt;'!$L:$L,MATCH($D128,'Lopettaneet 2013-&gt;'!$D:$D,0)))</f>
        <v>9</v>
      </c>
      <c r="L128">
        <v>64</v>
      </c>
    </row>
    <row r="129" spans="1:12" x14ac:dyDescent="0.25">
      <c r="A129" t="s">
        <v>0</v>
      </c>
      <c r="B129" s="1">
        <v>41579</v>
      </c>
      <c r="C129" s="1">
        <v>55153</v>
      </c>
      <c r="D129" s="4" t="s">
        <v>367</v>
      </c>
      <c r="E129" t="s">
        <v>3</v>
      </c>
      <c r="F129" t="s">
        <v>4</v>
      </c>
      <c r="G129" t="s">
        <v>2913</v>
      </c>
      <c r="H129" t="s">
        <v>2952</v>
      </c>
      <c r="I129" t="s">
        <v>2909</v>
      </c>
      <c r="J129" t="str">
        <f>IF(ISNUMBER(MATCH($D129,'Lopettaneet 2013-&gt;'!$D:$D,0)),INDEX('Lopettaneet 2013-&gt;'!$K:$K,MATCH($D129,'Lopettaneet 2013-&gt;'!$D:$D,0)),"Continues")</f>
        <v>Continues</v>
      </c>
      <c r="K129">
        <f ca="1">IF($J129="Continues",DATEDIF($B129,TODAY(),"Y"),INDEX('Lopettaneet 2013-&gt;'!$L:$L,MATCH($D129,'Lopettaneet 2013-&gt;'!$D:$D,0)))</f>
        <v>11</v>
      </c>
      <c r="L129">
        <v>64</v>
      </c>
    </row>
    <row r="130" spans="1:12" x14ac:dyDescent="0.25">
      <c r="A130" t="s">
        <v>0</v>
      </c>
      <c r="B130" s="1">
        <v>39783</v>
      </c>
      <c r="C130" s="1">
        <v>43069</v>
      </c>
      <c r="D130" s="4" t="s">
        <v>2324</v>
      </c>
      <c r="E130" t="s">
        <v>3</v>
      </c>
      <c r="F130" t="s">
        <v>4</v>
      </c>
      <c r="G130" t="s">
        <v>2918</v>
      </c>
      <c r="H130" t="s">
        <v>2947</v>
      </c>
      <c r="I130" t="s">
        <v>2909</v>
      </c>
      <c r="J130" t="str">
        <f>IF(ISNUMBER(MATCH($D130,'Lopettaneet 2013-&gt;'!$D:$D,0)),INDEX('Lopettaneet 2013-&gt;'!$K:$K,MATCH($D130,'Lopettaneet 2013-&gt;'!$D:$D,0)),"Continues")</f>
        <v>Closed</v>
      </c>
      <c r="K130">
        <f ca="1">IF($J130="Continues",DATEDIF($B130,TODAY(),"Y"),INDEX('Lopettaneet 2013-&gt;'!$L:$L,MATCH($D130,'Lopettaneet 2013-&gt;'!$D:$D,0)))</f>
        <v>8</v>
      </c>
      <c r="L130">
        <v>65</v>
      </c>
    </row>
    <row r="131" spans="1:12" x14ac:dyDescent="0.25">
      <c r="A131" t="s">
        <v>0</v>
      </c>
      <c r="B131" s="1">
        <v>41609</v>
      </c>
      <c r="C131" s="1">
        <v>55153</v>
      </c>
      <c r="D131" s="4" t="s">
        <v>3177</v>
      </c>
      <c r="E131" t="s">
        <v>10</v>
      </c>
      <c r="F131" t="s">
        <v>4</v>
      </c>
      <c r="G131" t="s">
        <v>2917</v>
      </c>
      <c r="H131" t="s">
        <v>2777</v>
      </c>
      <c r="I131" t="s">
        <v>2894</v>
      </c>
      <c r="J131" t="str">
        <f>IF(ISNUMBER(MATCH($D131,'Lopettaneet 2013-&gt;'!$D:$D,0)),INDEX('Lopettaneet 2013-&gt;'!$K:$K,MATCH($D131,'Lopettaneet 2013-&gt;'!$D:$D,0)),"Continues")</f>
        <v>Continues</v>
      </c>
      <c r="K131">
        <f ca="1">IF($J131="Continues",DATEDIF($B131,TODAY(),"Y"),INDEX('Lopettaneet 2013-&gt;'!$L:$L,MATCH($D131,'Lopettaneet 2013-&gt;'!$D:$D,0)))</f>
        <v>11</v>
      </c>
      <c r="L131">
        <v>65</v>
      </c>
    </row>
    <row r="132" spans="1:12" x14ac:dyDescent="0.25">
      <c r="A132" t="s">
        <v>0</v>
      </c>
      <c r="B132" s="1">
        <v>39783</v>
      </c>
      <c r="C132" s="1">
        <v>43799</v>
      </c>
      <c r="D132" s="4" t="s">
        <v>2326</v>
      </c>
      <c r="E132" t="s">
        <v>3</v>
      </c>
      <c r="F132" t="s">
        <v>4</v>
      </c>
      <c r="G132" t="s">
        <v>2913</v>
      </c>
      <c r="H132" t="s">
        <v>2947</v>
      </c>
      <c r="I132" t="s">
        <v>2909</v>
      </c>
      <c r="J132" t="str">
        <f>IF(ISNUMBER(MATCH($D132,'Lopettaneet 2013-&gt;'!$D:$D,0)),INDEX('Lopettaneet 2013-&gt;'!$K:$K,MATCH($D132,'Lopettaneet 2013-&gt;'!$D:$D,0)),"Continues")</f>
        <v>Merged</v>
      </c>
      <c r="K132">
        <f ca="1">IF($J132="Continues",DATEDIF($B132,TODAY(),"Y"),INDEX('Lopettaneet 2013-&gt;'!$L:$L,MATCH($D132,'Lopettaneet 2013-&gt;'!$D:$D,0)))</f>
        <v>10</v>
      </c>
      <c r="L132">
        <v>66</v>
      </c>
    </row>
    <row r="133" spans="1:12" x14ac:dyDescent="0.25">
      <c r="A133" t="s">
        <v>0</v>
      </c>
      <c r="B133" s="1">
        <v>41609</v>
      </c>
      <c r="C133" s="1">
        <v>43982</v>
      </c>
      <c r="D133" s="4" t="s">
        <v>3178</v>
      </c>
      <c r="E133" t="s">
        <v>10</v>
      </c>
      <c r="F133" t="s">
        <v>4</v>
      </c>
      <c r="G133" t="s">
        <v>2913</v>
      </c>
      <c r="H133" t="s">
        <v>2777</v>
      </c>
      <c r="I133" t="s">
        <v>2909</v>
      </c>
      <c r="J133" t="str">
        <f>IF(ISNUMBER(MATCH($D133,'Lopettaneet 2013-&gt;'!$D:$D,0)),INDEX('Lopettaneet 2013-&gt;'!$K:$K,MATCH($D133,'Lopettaneet 2013-&gt;'!$D:$D,0)),"Continues")</f>
        <v>Continues</v>
      </c>
      <c r="K133">
        <f ca="1">IF($J133="Continues",DATEDIF($B133,TODAY(),"Y"),INDEX('Lopettaneet 2013-&gt;'!$L:$L,MATCH($D133,'Lopettaneet 2013-&gt;'!$D:$D,0)))</f>
        <v>11</v>
      </c>
      <c r="L133">
        <v>66</v>
      </c>
    </row>
    <row r="134" spans="1:12" x14ac:dyDescent="0.25">
      <c r="A134" t="s">
        <v>0</v>
      </c>
      <c r="B134" s="1">
        <v>39783</v>
      </c>
      <c r="C134" s="1">
        <v>41820</v>
      </c>
      <c r="D134" s="4" t="s">
        <v>2328</v>
      </c>
      <c r="E134" t="s">
        <v>3</v>
      </c>
      <c r="F134" t="s">
        <v>4</v>
      </c>
      <c r="G134" t="s">
        <v>2917</v>
      </c>
      <c r="H134" t="s">
        <v>2766</v>
      </c>
      <c r="I134" t="s">
        <v>2909</v>
      </c>
      <c r="J134" t="str">
        <f>IF(ISNUMBER(MATCH($D134,'Lopettaneet 2013-&gt;'!$D:$D,0)),INDEX('Lopettaneet 2013-&gt;'!$K:$K,MATCH($D134,'Lopettaneet 2013-&gt;'!$D:$D,0)),"Continues")</f>
        <v>Merged</v>
      </c>
      <c r="K134">
        <f ca="1">IF($J134="Continues",DATEDIF($B134,TODAY(),"Y"),INDEX('Lopettaneet 2013-&gt;'!$L:$L,MATCH($D134,'Lopettaneet 2013-&gt;'!$D:$D,0)))</f>
        <v>5</v>
      </c>
      <c r="L134">
        <v>67</v>
      </c>
    </row>
    <row r="135" spans="1:12" x14ac:dyDescent="0.25">
      <c r="A135" t="s">
        <v>0</v>
      </c>
      <c r="B135" s="1">
        <v>41609</v>
      </c>
      <c r="C135" s="1">
        <v>55153</v>
      </c>
      <c r="D135" s="4" t="s">
        <v>373</v>
      </c>
      <c r="E135" t="s">
        <v>10</v>
      </c>
      <c r="F135" t="s">
        <v>4</v>
      </c>
      <c r="G135" t="s">
        <v>2914</v>
      </c>
      <c r="H135" t="s">
        <v>2975</v>
      </c>
      <c r="I135" t="s">
        <v>2894</v>
      </c>
      <c r="J135" t="str">
        <f>IF(ISNUMBER(MATCH($D135,'Lopettaneet 2013-&gt;'!$D:$D,0)),INDEX('Lopettaneet 2013-&gt;'!$K:$K,MATCH($D135,'Lopettaneet 2013-&gt;'!$D:$D,0)),"Continues")</f>
        <v>Continues</v>
      </c>
      <c r="K135">
        <f ca="1">IF($J135="Continues",DATEDIF($B135,TODAY(),"Y"),INDEX('Lopettaneet 2013-&gt;'!$L:$L,MATCH($D135,'Lopettaneet 2013-&gt;'!$D:$D,0)))</f>
        <v>11</v>
      </c>
      <c r="L135">
        <v>67</v>
      </c>
    </row>
    <row r="136" spans="1:12" x14ac:dyDescent="0.25">
      <c r="A136" t="s">
        <v>0</v>
      </c>
      <c r="B136" s="1">
        <v>39783</v>
      </c>
      <c r="C136" s="1">
        <v>41820</v>
      </c>
      <c r="D136" s="4" t="s">
        <v>2330</v>
      </c>
      <c r="E136" t="s">
        <v>3</v>
      </c>
      <c r="F136" t="s">
        <v>4</v>
      </c>
      <c r="G136" t="s">
        <v>2917</v>
      </c>
      <c r="H136" t="s">
        <v>2766</v>
      </c>
      <c r="I136" t="s">
        <v>2909</v>
      </c>
      <c r="J136" t="str">
        <f>IF(ISNUMBER(MATCH($D136,'Lopettaneet 2013-&gt;'!$D:$D,0)),INDEX('Lopettaneet 2013-&gt;'!$K:$K,MATCH($D136,'Lopettaneet 2013-&gt;'!$D:$D,0)),"Continues")</f>
        <v>Merged</v>
      </c>
      <c r="K136">
        <f ca="1">IF($J136="Continues",DATEDIF($B136,TODAY(),"Y"),INDEX('Lopettaneet 2013-&gt;'!$L:$L,MATCH($D136,'Lopettaneet 2013-&gt;'!$D:$D,0)))</f>
        <v>5</v>
      </c>
      <c r="L136">
        <v>68</v>
      </c>
    </row>
    <row r="137" spans="1:12" x14ac:dyDescent="0.25">
      <c r="A137" t="s">
        <v>0</v>
      </c>
      <c r="B137" s="1">
        <v>41671</v>
      </c>
      <c r="C137" s="1">
        <v>55153</v>
      </c>
      <c r="D137" s="4" t="s">
        <v>375</v>
      </c>
      <c r="E137" t="s">
        <v>3</v>
      </c>
      <c r="F137" t="s">
        <v>4</v>
      </c>
      <c r="G137" t="s">
        <v>2917</v>
      </c>
      <c r="H137" t="s">
        <v>2953</v>
      </c>
      <c r="I137" t="s">
        <v>2894</v>
      </c>
      <c r="J137" t="str">
        <f>IF(ISNUMBER(MATCH($D137,'Lopettaneet 2013-&gt;'!$D:$D,0)),INDEX('Lopettaneet 2013-&gt;'!$K:$K,MATCH($D137,'Lopettaneet 2013-&gt;'!$D:$D,0)),"Continues")</f>
        <v>Continues</v>
      </c>
      <c r="K137">
        <f ca="1">IF($J137="Continues",DATEDIF($B137,TODAY(),"Y"),INDEX('Lopettaneet 2013-&gt;'!$L:$L,MATCH($D137,'Lopettaneet 2013-&gt;'!$D:$D,0)))</f>
        <v>11</v>
      </c>
      <c r="L137">
        <v>68</v>
      </c>
    </row>
    <row r="138" spans="1:12" x14ac:dyDescent="0.25">
      <c r="A138" t="s">
        <v>0</v>
      </c>
      <c r="B138" s="1">
        <v>39783</v>
      </c>
      <c r="C138" s="1">
        <v>41820</v>
      </c>
      <c r="D138" s="4" t="s">
        <v>2332</v>
      </c>
      <c r="E138" t="s">
        <v>3</v>
      </c>
      <c r="F138" t="s">
        <v>4</v>
      </c>
      <c r="G138" t="s">
        <v>2917</v>
      </c>
      <c r="H138" t="s">
        <v>2766</v>
      </c>
      <c r="I138" t="s">
        <v>2909</v>
      </c>
      <c r="J138" t="str">
        <f>IF(ISNUMBER(MATCH($D138,'Lopettaneet 2013-&gt;'!$D:$D,0)),INDEX('Lopettaneet 2013-&gt;'!$K:$K,MATCH($D138,'Lopettaneet 2013-&gt;'!$D:$D,0)),"Continues")</f>
        <v>Merged</v>
      </c>
      <c r="K138">
        <f ca="1">IF($J138="Continues",DATEDIF($B138,TODAY(),"Y"),INDEX('Lopettaneet 2013-&gt;'!$L:$L,MATCH($D138,'Lopettaneet 2013-&gt;'!$D:$D,0)))</f>
        <v>5</v>
      </c>
      <c r="L138">
        <v>69</v>
      </c>
    </row>
    <row r="139" spans="1:12" x14ac:dyDescent="0.25">
      <c r="A139" t="s">
        <v>0</v>
      </c>
      <c r="B139" s="1">
        <v>41730</v>
      </c>
      <c r="C139" s="1">
        <v>43069</v>
      </c>
      <c r="D139" s="4" t="s">
        <v>377</v>
      </c>
      <c r="E139" t="s">
        <v>3</v>
      </c>
      <c r="F139" t="s">
        <v>4</v>
      </c>
      <c r="G139" t="s">
        <v>2913</v>
      </c>
      <c r="H139" t="s">
        <v>2956</v>
      </c>
      <c r="I139" t="s">
        <v>2909</v>
      </c>
      <c r="J139" t="str">
        <f>IF(ISNUMBER(MATCH($D139,'Lopettaneet 2013-&gt;'!$D:$D,0)),INDEX('Lopettaneet 2013-&gt;'!$K:$K,MATCH($D139,'Lopettaneet 2013-&gt;'!$D:$D,0)),"Continues")</f>
        <v>Closed</v>
      </c>
      <c r="K139">
        <f ca="1">IF($J139="Continues",DATEDIF($B139,TODAY(),"Y"),INDEX('Lopettaneet 2013-&gt;'!$L:$L,MATCH($D139,'Lopettaneet 2013-&gt;'!$D:$D,0)))</f>
        <v>3</v>
      </c>
      <c r="L139">
        <v>69</v>
      </c>
    </row>
    <row r="140" spans="1:12" x14ac:dyDescent="0.25">
      <c r="A140" t="s">
        <v>0</v>
      </c>
      <c r="B140" s="1">
        <v>39783</v>
      </c>
      <c r="C140" s="1">
        <v>41820</v>
      </c>
      <c r="D140" s="4" t="s">
        <v>2334</v>
      </c>
      <c r="E140" t="s">
        <v>3</v>
      </c>
      <c r="F140" t="s">
        <v>4</v>
      </c>
      <c r="G140" t="s">
        <v>2917</v>
      </c>
      <c r="H140" t="s">
        <v>2766</v>
      </c>
      <c r="I140" t="s">
        <v>2909</v>
      </c>
      <c r="J140" t="str">
        <f>IF(ISNUMBER(MATCH($D140,'Lopettaneet 2013-&gt;'!$D:$D,0)),INDEX('Lopettaneet 2013-&gt;'!$K:$K,MATCH($D140,'Lopettaneet 2013-&gt;'!$D:$D,0)),"Continues")</f>
        <v>Merged</v>
      </c>
      <c r="K140">
        <f ca="1">IF($J140="Continues",DATEDIF($B140,TODAY(),"Y"),INDEX('Lopettaneet 2013-&gt;'!$L:$L,MATCH($D140,'Lopettaneet 2013-&gt;'!$D:$D,0)))</f>
        <v>5</v>
      </c>
      <c r="L140">
        <v>70</v>
      </c>
    </row>
    <row r="141" spans="1:12" x14ac:dyDescent="0.25">
      <c r="A141" t="s">
        <v>0</v>
      </c>
      <c r="B141" s="1">
        <v>41640</v>
      </c>
      <c r="C141" s="1">
        <v>43496</v>
      </c>
      <c r="D141" s="4" t="s">
        <v>379</v>
      </c>
      <c r="E141" t="s">
        <v>10</v>
      </c>
      <c r="F141" t="s">
        <v>4</v>
      </c>
      <c r="G141" t="s">
        <v>2918</v>
      </c>
      <c r="H141" t="s">
        <v>2959</v>
      </c>
      <c r="I141" t="s">
        <v>2909</v>
      </c>
      <c r="J141" t="str">
        <f>IF(ISNUMBER(MATCH($D141,'Lopettaneet 2013-&gt;'!$D:$D,0)),INDEX('Lopettaneet 2013-&gt;'!$K:$K,MATCH($D141,'Lopettaneet 2013-&gt;'!$D:$D,0)),"Continues")</f>
        <v>Closed</v>
      </c>
      <c r="K141">
        <f ca="1">IF($J141="Continues",DATEDIF($B141,TODAY(),"Y"),INDEX('Lopettaneet 2013-&gt;'!$L:$L,MATCH($D141,'Lopettaneet 2013-&gt;'!$D:$D,0)))</f>
        <v>5</v>
      </c>
      <c r="L141">
        <v>70</v>
      </c>
    </row>
    <row r="142" spans="1:12" x14ac:dyDescent="0.25">
      <c r="A142" t="s">
        <v>0</v>
      </c>
      <c r="B142" s="1">
        <v>39783</v>
      </c>
      <c r="C142" s="1">
        <v>41608</v>
      </c>
      <c r="D142" s="4" t="s">
        <v>2336</v>
      </c>
      <c r="E142" t="s">
        <v>3</v>
      </c>
      <c r="F142" t="s">
        <v>4</v>
      </c>
      <c r="G142" t="s">
        <v>2917</v>
      </c>
      <c r="H142" t="s">
        <v>2924</v>
      </c>
      <c r="I142" t="s">
        <v>2909</v>
      </c>
      <c r="J142" t="str">
        <f>IF(ISNUMBER(MATCH($D142,'Lopettaneet 2013-&gt;'!$D:$D,0)),INDEX('Lopettaneet 2013-&gt;'!$K:$K,MATCH($D142,'Lopettaneet 2013-&gt;'!$D:$D,0)),"Continues")</f>
        <v>Closed</v>
      </c>
      <c r="K142">
        <f ca="1">IF($J142="Continues",DATEDIF($B142,TODAY(),"Y"),INDEX('Lopettaneet 2013-&gt;'!$L:$L,MATCH($D142,'Lopettaneet 2013-&gt;'!$D:$D,0)))</f>
        <v>4</v>
      </c>
      <c r="L142">
        <v>71</v>
      </c>
    </row>
    <row r="143" spans="1:12" x14ac:dyDescent="0.25">
      <c r="A143" t="s">
        <v>0</v>
      </c>
      <c r="B143" s="1">
        <v>41640</v>
      </c>
      <c r="C143" s="1">
        <v>55153</v>
      </c>
      <c r="D143" s="4" t="s">
        <v>381</v>
      </c>
      <c r="E143" t="s">
        <v>3</v>
      </c>
      <c r="F143" t="s">
        <v>4</v>
      </c>
      <c r="G143" t="s">
        <v>2913</v>
      </c>
      <c r="H143" t="s">
        <v>2959</v>
      </c>
      <c r="I143" t="s">
        <v>2894</v>
      </c>
      <c r="J143" t="str">
        <f>IF(ISNUMBER(MATCH($D143,'Lopettaneet 2013-&gt;'!$D:$D,0)),INDEX('Lopettaneet 2013-&gt;'!$K:$K,MATCH($D143,'Lopettaneet 2013-&gt;'!$D:$D,0)),"Continues")</f>
        <v>Continues</v>
      </c>
      <c r="K143">
        <f ca="1">IF($J143="Continues",DATEDIF($B143,TODAY(),"Y"),INDEX('Lopettaneet 2013-&gt;'!$L:$L,MATCH($D143,'Lopettaneet 2013-&gt;'!$D:$D,0)))</f>
        <v>11</v>
      </c>
      <c r="L143">
        <v>71</v>
      </c>
    </row>
    <row r="144" spans="1:12" x14ac:dyDescent="0.25">
      <c r="A144" t="s">
        <v>0</v>
      </c>
      <c r="B144" s="1">
        <v>39783</v>
      </c>
      <c r="C144" s="1">
        <v>44620</v>
      </c>
      <c r="D144" s="4" t="s">
        <v>2338</v>
      </c>
      <c r="E144" t="s">
        <v>3</v>
      </c>
      <c r="F144" t="s">
        <v>4</v>
      </c>
      <c r="G144" t="s">
        <v>2913</v>
      </c>
      <c r="H144" t="s">
        <v>2923</v>
      </c>
      <c r="I144" t="s">
        <v>2909</v>
      </c>
      <c r="J144" t="str">
        <f>IF(ISNUMBER(MATCH($D144,'Lopettaneet 2013-&gt;'!$D:$D,0)),INDEX('Lopettaneet 2013-&gt;'!$K:$K,MATCH($D144,'Lopettaneet 2013-&gt;'!$D:$D,0)),"Continues")</f>
        <v>Closed</v>
      </c>
      <c r="K144">
        <f ca="1">IF($J144="Continues",DATEDIF($B144,TODAY(),"Y"),INDEX('Lopettaneet 2013-&gt;'!$L:$L,MATCH($D144,'Lopettaneet 2013-&gt;'!$D:$D,0)))</f>
        <v>13</v>
      </c>
      <c r="L144">
        <v>72</v>
      </c>
    </row>
    <row r="145" spans="1:12" x14ac:dyDescent="0.25">
      <c r="A145" t="s">
        <v>0</v>
      </c>
      <c r="B145" s="1">
        <v>41640</v>
      </c>
      <c r="C145" s="1">
        <v>43404</v>
      </c>
      <c r="D145" s="4" t="s">
        <v>383</v>
      </c>
      <c r="E145" t="s">
        <v>10</v>
      </c>
      <c r="F145" t="s">
        <v>4</v>
      </c>
      <c r="G145" t="s">
        <v>2917</v>
      </c>
      <c r="H145" t="s">
        <v>2953</v>
      </c>
      <c r="I145" t="s">
        <v>2909</v>
      </c>
      <c r="J145" t="str">
        <f>IF(ISNUMBER(MATCH($D145,'Lopettaneet 2013-&gt;'!$D:$D,0)),INDEX('Lopettaneet 2013-&gt;'!$K:$K,MATCH($D145,'Lopettaneet 2013-&gt;'!$D:$D,0)),"Continues")</f>
        <v>Merged</v>
      </c>
      <c r="K145">
        <f ca="1">IF($J145="Continues",DATEDIF($B145,TODAY(),"Y"),INDEX('Lopettaneet 2013-&gt;'!$L:$L,MATCH($D145,'Lopettaneet 2013-&gt;'!$D:$D,0)))</f>
        <v>4</v>
      </c>
      <c r="L145">
        <v>72</v>
      </c>
    </row>
    <row r="146" spans="1:12" x14ac:dyDescent="0.25">
      <c r="A146" t="s">
        <v>0</v>
      </c>
      <c r="B146" s="1">
        <v>39783</v>
      </c>
      <c r="C146" s="1">
        <v>42004</v>
      </c>
      <c r="D146" s="4" t="s">
        <v>2340</v>
      </c>
      <c r="E146" t="s">
        <v>3</v>
      </c>
      <c r="F146" t="s">
        <v>4</v>
      </c>
      <c r="G146" t="s">
        <v>2917</v>
      </c>
      <c r="H146" t="s">
        <v>2975</v>
      </c>
      <c r="I146" t="s">
        <v>2909</v>
      </c>
      <c r="J146" t="str">
        <f>IF(ISNUMBER(MATCH($D146,'Lopettaneet 2013-&gt;'!$D:$D,0)),INDEX('Lopettaneet 2013-&gt;'!$K:$K,MATCH($D146,'Lopettaneet 2013-&gt;'!$D:$D,0)),"Continues")</f>
        <v>Merged</v>
      </c>
      <c r="K146">
        <f ca="1">IF($J146="Continues",DATEDIF($B146,TODAY(),"Y"),INDEX('Lopettaneet 2013-&gt;'!$L:$L,MATCH($D146,'Lopettaneet 2013-&gt;'!$D:$D,0)))</f>
        <v>6</v>
      </c>
      <c r="L146">
        <v>73</v>
      </c>
    </row>
    <row r="147" spans="1:12" x14ac:dyDescent="0.25">
      <c r="A147" t="s">
        <v>7</v>
      </c>
      <c r="B147" s="1">
        <v>41974</v>
      </c>
      <c r="C147" s="1">
        <v>42643</v>
      </c>
      <c r="D147" s="4" t="s">
        <v>385</v>
      </c>
      <c r="E147" t="s">
        <v>10</v>
      </c>
      <c r="F147" t="s">
        <v>11</v>
      </c>
      <c r="G147" t="s">
        <v>2912</v>
      </c>
      <c r="H147" t="s">
        <v>2909</v>
      </c>
      <c r="I147" t="s">
        <v>2909</v>
      </c>
      <c r="J147" t="str">
        <f>IF(ISNUMBER(MATCH($D147,'Lopettaneet 2013-&gt;'!$D:$D,0)),INDEX('Lopettaneet 2013-&gt;'!$K:$K,MATCH($D147,'Lopettaneet 2013-&gt;'!$D:$D,0)),"Continues")</f>
        <v>Closed</v>
      </c>
      <c r="K147">
        <f ca="1">IF($J147="Continues",DATEDIF($B147,TODAY(),"Y"),INDEX('Lopettaneet 2013-&gt;'!$L:$L,MATCH($D147,'Lopettaneet 2013-&gt;'!$D:$D,0)))</f>
        <v>1</v>
      </c>
      <c r="L147">
        <v>73</v>
      </c>
    </row>
    <row r="148" spans="1:12" x14ac:dyDescent="0.25">
      <c r="A148" t="s">
        <v>0</v>
      </c>
      <c r="B148" s="1">
        <v>39783</v>
      </c>
      <c r="C148" s="1">
        <v>44530</v>
      </c>
      <c r="D148" s="4" t="s">
        <v>2344</v>
      </c>
      <c r="E148" t="s">
        <v>3</v>
      </c>
      <c r="F148" t="s">
        <v>4</v>
      </c>
      <c r="G148" t="s">
        <v>2917</v>
      </c>
      <c r="H148" t="s">
        <v>2966</v>
      </c>
      <c r="I148" t="s">
        <v>2909</v>
      </c>
      <c r="J148" t="str">
        <f>IF(ISNUMBER(MATCH($D148,'Lopettaneet 2013-&gt;'!$D:$D,0)),INDEX('Lopettaneet 2013-&gt;'!$K:$K,MATCH($D148,'Lopettaneet 2013-&gt;'!$D:$D,0)),"Continues")</f>
        <v>Merged</v>
      </c>
      <c r="K148">
        <f ca="1">IF($J148="Continues",DATEDIF($B148,TODAY(),"Y"),INDEX('Lopettaneet 2013-&gt;'!$L:$L,MATCH($D148,'Lopettaneet 2013-&gt;'!$D:$D,0)))</f>
        <v>12</v>
      </c>
      <c r="L148">
        <v>74</v>
      </c>
    </row>
    <row r="149" spans="1:12" x14ac:dyDescent="0.25">
      <c r="A149" t="s">
        <v>7</v>
      </c>
      <c r="B149" s="1">
        <v>41974</v>
      </c>
      <c r="C149" s="1">
        <v>55153</v>
      </c>
      <c r="D149" s="4" t="s">
        <v>387</v>
      </c>
      <c r="E149" t="s">
        <v>10</v>
      </c>
      <c r="F149" t="s">
        <v>11</v>
      </c>
      <c r="G149" t="s">
        <v>2916</v>
      </c>
      <c r="H149" t="s">
        <v>2968</v>
      </c>
      <c r="I149" t="s">
        <v>2895</v>
      </c>
      <c r="J149" t="str">
        <f>IF(ISNUMBER(MATCH($D149,'Lopettaneet 2013-&gt;'!$D:$D,0)),INDEX('Lopettaneet 2013-&gt;'!$K:$K,MATCH($D149,'Lopettaneet 2013-&gt;'!$D:$D,0)),"Continues")</f>
        <v>Continues</v>
      </c>
      <c r="K149">
        <f ca="1">IF($J149="Continues",DATEDIF($B149,TODAY(),"Y"),INDEX('Lopettaneet 2013-&gt;'!$L:$L,MATCH($D149,'Lopettaneet 2013-&gt;'!$D:$D,0)))</f>
        <v>10</v>
      </c>
      <c r="L149">
        <v>74</v>
      </c>
    </row>
    <row r="150" spans="1:12" x14ac:dyDescent="0.25">
      <c r="A150" t="s">
        <v>0</v>
      </c>
      <c r="B150" s="1">
        <v>39783</v>
      </c>
      <c r="C150" s="1">
        <v>41547</v>
      </c>
      <c r="D150" s="4" t="s">
        <v>2346</v>
      </c>
      <c r="E150" t="s">
        <v>3</v>
      </c>
      <c r="F150" t="s">
        <v>4</v>
      </c>
      <c r="G150" t="s">
        <v>2917</v>
      </c>
      <c r="H150" t="s">
        <v>2952</v>
      </c>
      <c r="I150" t="s">
        <v>2909</v>
      </c>
      <c r="J150" t="str">
        <f>IF(ISNUMBER(MATCH($D150,'Lopettaneet 2013-&gt;'!$D:$D,0)),INDEX('Lopettaneet 2013-&gt;'!$K:$K,MATCH($D150,'Lopettaneet 2013-&gt;'!$D:$D,0)),"Continues")</f>
        <v>Merged</v>
      </c>
      <c r="K150">
        <f ca="1">IF($J150="Continues",DATEDIF($B150,TODAY(),"Y"),INDEX('Lopettaneet 2013-&gt;'!$L:$L,MATCH($D150,'Lopettaneet 2013-&gt;'!$D:$D,0)))</f>
        <v>4</v>
      </c>
      <c r="L150">
        <v>75</v>
      </c>
    </row>
    <row r="151" spans="1:12" x14ac:dyDescent="0.25">
      <c r="A151" t="s">
        <v>7</v>
      </c>
      <c r="B151" s="1">
        <v>41974</v>
      </c>
      <c r="C151" s="1">
        <v>55153</v>
      </c>
      <c r="D151" s="4" t="s">
        <v>389</v>
      </c>
      <c r="E151" t="s">
        <v>10</v>
      </c>
      <c r="F151" t="s">
        <v>11</v>
      </c>
      <c r="G151" t="s">
        <v>2912</v>
      </c>
      <c r="H151" t="s">
        <v>2969</v>
      </c>
      <c r="I151" t="s">
        <v>2895</v>
      </c>
      <c r="J151" t="str">
        <f>IF(ISNUMBER(MATCH($D151,'Lopettaneet 2013-&gt;'!$D:$D,0)),INDEX('Lopettaneet 2013-&gt;'!$K:$K,MATCH($D151,'Lopettaneet 2013-&gt;'!$D:$D,0)),"Continues")</f>
        <v>Continues</v>
      </c>
      <c r="K151">
        <f ca="1">IF($J151="Continues",DATEDIF($B151,TODAY(),"Y"),INDEX('Lopettaneet 2013-&gt;'!$L:$L,MATCH($D151,'Lopettaneet 2013-&gt;'!$D:$D,0)))</f>
        <v>10</v>
      </c>
      <c r="L151">
        <v>75</v>
      </c>
    </row>
    <row r="152" spans="1:12" x14ac:dyDescent="0.25">
      <c r="A152" t="s">
        <v>0</v>
      </c>
      <c r="B152" s="1">
        <v>39783</v>
      </c>
      <c r="C152" s="1">
        <v>41425</v>
      </c>
      <c r="D152" s="4" t="s">
        <v>2348</v>
      </c>
      <c r="E152" t="s">
        <v>3</v>
      </c>
      <c r="F152" t="s">
        <v>4</v>
      </c>
      <c r="G152" t="s">
        <v>2917</v>
      </c>
      <c r="H152" t="s">
        <v>2952</v>
      </c>
      <c r="I152" t="s">
        <v>2909</v>
      </c>
      <c r="J152" t="str">
        <f>IF(ISNUMBER(MATCH($D152,'Lopettaneet 2013-&gt;'!$D:$D,0)),INDEX('Lopettaneet 2013-&gt;'!$K:$K,MATCH($D152,'Lopettaneet 2013-&gt;'!$D:$D,0)),"Continues")</f>
        <v>Merged</v>
      </c>
      <c r="K152">
        <f ca="1">IF($J152="Continues",DATEDIF($B152,TODAY(),"Y"),INDEX('Lopettaneet 2013-&gt;'!$L:$L,MATCH($D152,'Lopettaneet 2013-&gt;'!$D:$D,0)))</f>
        <v>4</v>
      </c>
      <c r="L152">
        <v>76</v>
      </c>
    </row>
    <row r="153" spans="1:12" x14ac:dyDescent="0.25">
      <c r="A153" t="s">
        <v>7</v>
      </c>
      <c r="B153" s="1">
        <v>41974</v>
      </c>
      <c r="C153" s="1">
        <v>42825</v>
      </c>
      <c r="D153" s="4" t="s">
        <v>391</v>
      </c>
      <c r="E153" t="s">
        <v>10</v>
      </c>
      <c r="F153" t="s">
        <v>11</v>
      </c>
      <c r="G153" t="s">
        <v>2912</v>
      </c>
      <c r="H153" t="s">
        <v>2909</v>
      </c>
      <c r="I153" t="s">
        <v>2909</v>
      </c>
      <c r="J153" t="str">
        <f>IF(ISNUMBER(MATCH($D153,'Lopettaneet 2013-&gt;'!$D:$D,0)),INDEX('Lopettaneet 2013-&gt;'!$K:$K,MATCH($D153,'Lopettaneet 2013-&gt;'!$D:$D,0)),"Continues")</f>
        <v>Closed</v>
      </c>
      <c r="K153">
        <f ca="1">IF($J153="Continues",DATEDIF($B153,TODAY(),"Y"),INDEX('Lopettaneet 2013-&gt;'!$L:$L,MATCH($D153,'Lopettaneet 2013-&gt;'!$D:$D,0)))</f>
        <v>2</v>
      </c>
      <c r="L153">
        <v>76</v>
      </c>
    </row>
    <row r="154" spans="1:12" x14ac:dyDescent="0.25">
      <c r="A154" t="s">
        <v>0</v>
      </c>
      <c r="B154" s="1">
        <v>39783</v>
      </c>
      <c r="C154" s="1">
        <v>41547</v>
      </c>
      <c r="D154" s="4" t="s">
        <v>2350</v>
      </c>
      <c r="E154" t="s">
        <v>3</v>
      </c>
      <c r="F154" t="s">
        <v>4</v>
      </c>
      <c r="G154" t="s">
        <v>2917</v>
      </c>
      <c r="H154" t="s">
        <v>2952</v>
      </c>
      <c r="I154" t="s">
        <v>2909</v>
      </c>
      <c r="J154" t="str">
        <f>IF(ISNUMBER(MATCH($D154,'Lopettaneet 2013-&gt;'!$D:$D,0)),INDEX('Lopettaneet 2013-&gt;'!$K:$K,MATCH($D154,'Lopettaneet 2013-&gt;'!$D:$D,0)),"Continues")</f>
        <v>Merged</v>
      </c>
      <c r="K154">
        <f ca="1">IF($J154="Continues",DATEDIF($B154,TODAY(),"Y"),INDEX('Lopettaneet 2013-&gt;'!$L:$L,MATCH($D154,'Lopettaneet 2013-&gt;'!$D:$D,0)))</f>
        <v>4</v>
      </c>
      <c r="L154">
        <v>77</v>
      </c>
    </row>
    <row r="155" spans="1:12" x14ac:dyDescent="0.25">
      <c r="A155" t="s">
        <v>7</v>
      </c>
      <c r="B155" s="1">
        <v>41974</v>
      </c>
      <c r="C155" s="1">
        <v>44196</v>
      </c>
      <c r="D155" s="4" t="s">
        <v>393</v>
      </c>
      <c r="E155" t="s">
        <v>10</v>
      </c>
      <c r="F155" t="s">
        <v>11</v>
      </c>
      <c r="G155" t="s">
        <v>2918</v>
      </c>
      <c r="H155" t="s">
        <v>2963</v>
      </c>
      <c r="I155" t="s">
        <v>2909</v>
      </c>
      <c r="J155" t="str">
        <f>IF(ISNUMBER(MATCH($D155,'Lopettaneet 2013-&gt;'!$D:$D,0)),INDEX('Lopettaneet 2013-&gt;'!$K:$K,MATCH($D155,'Lopettaneet 2013-&gt;'!$D:$D,0)),"Continues")</f>
        <v>Closed</v>
      </c>
      <c r="K155">
        <f ca="1">IF($J155="Continues",DATEDIF($B155,TODAY(),"Y"),INDEX('Lopettaneet 2013-&gt;'!$L:$L,MATCH($D155,'Lopettaneet 2013-&gt;'!$D:$D,0)))</f>
        <v>6</v>
      </c>
      <c r="L155">
        <v>77</v>
      </c>
    </row>
    <row r="156" spans="1:12" x14ac:dyDescent="0.25">
      <c r="A156" t="s">
        <v>0</v>
      </c>
      <c r="B156" s="1">
        <v>39783</v>
      </c>
      <c r="C156" s="1">
        <v>41547</v>
      </c>
      <c r="D156" s="4" t="s">
        <v>2352</v>
      </c>
      <c r="E156" t="s">
        <v>3</v>
      </c>
      <c r="F156" t="s">
        <v>4</v>
      </c>
      <c r="G156" t="s">
        <v>2917</v>
      </c>
      <c r="H156" t="s">
        <v>2952</v>
      </c>
      <c r="I156" t="s">
        <v>2909</v>
      </c>
      <c r="J156" t="str">
        <f>IF(ISNUMBER(MATCH($D156,'Lopettaneet 2013-&gt;'!$D:$D,0)),INDEX('Lopettaneet 2013-&gt;'!$K:$K,MATCH($D156,'Lopettaneet 2013-&gt;'!$D:$D,0)),"Continues")</f>
        <v>Merged</v>
      </c>
      <c r="K156">
        <f ca="1">IF($J156="Continues",DATEDIF($B156,TODAY(),"Y"),INDEX('Lopettaneet 2013-&gt;'!$L:$L,MATCH($D156,'Lopettaneet 2013-&gt;'!$D:$D,0)))</f>
        <v>4</v>
      </c>
      <c r="L156">
        <v>78</v>
      </c>
    </row>
    <row r="157" spans="1:12" x14ac:dyDescent="0.25">
      <c r="A157" t="s">
        <v>7</v>
      </c>
      <c r="B157" s="1">
        <v>41974</v>
      </c>
      <c r="C157" s="1">
        <v>55153</v>
      </c>
      <c r="D157" s="4" t="s">
        <v>395</v>
      </c>
      <c r="E157" t="s">
        <v>10</v>
      </c>
      <c r="F157" t="s">
        <v>11</v>
      </c>
      <c r="G157" t="s">
        <v>2912</v>
      </c>
      <c r="H157" t="s">
        <v>2950</v>
      </c>
      <c r="I157" t="s">
        <v>2895</v>
      </c>
      <c r="J157" t="str">
        <f>IF(ISNUMBER(MATCH($D157,'Lopettaneet 2013-&gt;'!$D:$D,0)),INDEX('Lopettaneet 2013-&gt;'!$K:$K,MATCH($D157,'Lopettaneet 2013-&gt;'!$D:$D,0)),"Continues")</f>
        <v>Continues</v>
      </c>
      <c r="K157">
        <f ca="1">IF($J157="Continues",DATEDIF($B157,TODAY(),"Y"),INDEX('Lopettaneet 2013-&gt;'!$L:$L,MATCH($D157,'Lopettaneet 2013-&gt;'!$D:$D,0)))</f>
        <v>10</v>
      </c>
      <c r="L157">
        <v>78</v>
      </c>
    </row>
    <row r="158" spans="1:12" x14ac:dyDescent="0.25">
      <c r="A158" t="s">
        <v>0</v>
      </c>
      <c r="B158" s="1">
        <v>39783</v>
      </c>
      <c r="C158" s="1">
        <v>43921</v>
      </c>
      <c r="D158" s="4" t="s">
        <v>2354</v>
      </c>
      <c r="E158" t="s">
        <v>3</v>
      </c>
      <c r="F158" t="s">
        <v>4</v>
      </c>
      <c r="G158" t="s">
        <v>2917</v>
      </c>
      <c r="H158" t="s">
        <v>2952</v>
      </c>
      <c r="I158" t="s">
        <v>2909</v>
      </c>
      <c r="J158" t="str">
        <f>IF(ISNUMBER(MATCH($D158,'Lopettaneet 2013-&gt;'!$D:$D,0)),INDEX('Lopettaneet 2013-&gt;'!$K:$K,MATCH($D158,'Lopettaneet 2013-&gt;'!$D:$D,0)),"Continues")</f>
        <v>Merged</v>
      </c>
      <c r="K158">
        <f ca="1">IF($J158="Continues",DATEDIF($B158,TODAY(),"Y"),INDEX('Lopettaneet 2013-&gt;'!$L:$L,MATCH($D158,'Lopettaneet 2013-&gt;'!$D:$D,0)))</f>
        <v>11</v>
      </c>
      <c r="L158">
        <v>79</v>
      </c>
    </row>
    <row r="159" spans="1:12" x14ac:dyDescent="0.25">
      <c r="A159" t="s">
        <v>7</v>
      </c>
      <c r="B159" s="1">
        <v>41974</v>
      </c>
      <c r="C159" s="1">
        <v>42735</v>
      </c>
      <c r="D159" s="4" t="s">
        <v>397</v>
      </c>
      <c r="E159" t="s">
        <v>10</v>
      </c>
      <c r="F159" t="s">
        <v>11</v>
      </c>
      <c r="G159" t="s">
        <v>2912</v>
      </c>
      <c r="H159" t="s">
        <v>2928</v>
      </c>
      <c r="I159" t="s">
        <v>2909</v>
      </c>
      <c r="J159" t="str">
        <f>IF(ISNUMBER(MATCH($D159,'Lopettaneet 2013-&gt;'!$D:$D,0)),INDEX('Lopettaneet 2013-&gt;'!$K:$K,MATCH($D159,'Lopettaneet 2013-&gt;'!$D:$D,0)),"Continues")</f>
        <v>Closed</v>
      </c>
      <c r="K159">
        <f ca="1">IF($J159="Continues",DATEDIF($B159,TODAY(),"Y"),INDEX('Lopettaneet 2013-&gt;'!$L:$L,MATCH($D159,'Lopettaneet 2013-&gt;'!$D:$D,0)))</f>
        <v>2</v>
      </c>
      <c r="L159">
        <v>79</v>
      </c>
    </row>
    <row r="160" spans="1:12" x14ac:dyDescent="0.25">
      <c r="A160" t="s">
        <v>0</v>
      </c>
      <c r="B160" s="1">
        <v>39783</v>
      </c>
      <c r="C160" s="1">
        <v>44865</v>
      </c>
      <c r="D160" s="4" t="s">
        <v>2356</v>
      </c>
      <c r="E160" t="s">
        <v>10</v>
      </c>
      <c r="F160" t="s">
        <v>4</v>
      </c>
      <c r="G160" t="s">
        <v>2917</v>
      </c>
      <c r="H160" t="s">
        <v>2947</v>
      </c>
      <c r="I160" t="s">
        <v>2909</v>
      </c>
      <c r="J160" t="str">
        <f>IF(ISNUMBER(MATCH($D160,'Lopettaneet 2013-&gt;'!$D:$D,0)),INDEX('Lopettaneet 2013-&gt;'!$K:$K,MATCH($D160,'Lopettaneet 2013-&gt;'!$D:$D,0)),"Continues")</f>
        <v>Closed</v>
      </c>
      <c r="K160">
        <f ca="1">IF($J160="Continues",DATEDIF($B160,TODAY(),"Y"),INDEX('Lopettaneet 2013-&gt;'!$L:$L,MATCH($D160,'Lopettaneet 2013-&gt;'!$D:$D,0)))</f>
        <v>13</v>
      </c>
      <c r="L160">
        <v>80</v>
      </c>
    </row>
    <row r="161" spans="1:12" x14ac:dyDescent="0.25">
      <c r="A161" t="s">
        <v>7</v>
      </c>
      <c r="B161" s="1">
        <v>41974</v>
      </c>
      <c r="C161" s="1">
        <v>43738</v>
      </c>
      <c r="D161" s="4" t="s">
        <v>399</v>
      </c>
      <c r="E161" t="s">
        <v>10</v>
      </c>
      <c r="F161" t="s">
        <v>11</v>
      </c>
      <c r="G161" t="s">
        <v>2916</v>
      </c>
      <c r="H161" t="s">
        <v>2961</v>
      </c>
      <c r="I161" t="s">
        <v>2909</v>
      </c>
      <c r="J161" t="str">
        <f>IF(ISNUMBER(MATCH($D161,'Lopettaneet 2013-&gt;'!$D:$D,0)),INDEX('Lopettaneet 2013-&gt;'!$K:$K,MATCH($D161,'Lopettaneet 2013-&gt;'!$D:$D,0)),"Continues")</f>
        <v>Closed</v>
      </c>
      <c r="K161">
        <f ca="1">IF($J161="Continues",DATEDIF($B161,TODAY(),"Y"),INDEX('Lopettaneet 2013-&gt;'!$L:$L,MATCH($D161,'Lopettaneet 2013-&gt;'!$D:$D,0)))</f>
        <v>4</v>
      </c>
      <c r="L161">
        <v>80</v>
      </c>
    </row>
    <row r="162" spans="1:12" x14ac:dyDescent="0.25">
      <c r="A162" t="s">
        <v>0</v>
      </c>
      <c r="B162" s="1">
        <v>39783</v>
      </c>
      <c r="C162" s="1">
        <v>43799</v>
      </c>
      <c r="D162" s="4" t="s">
        <v>2358</v>
      </c>
      <c r="E162" t="s">
        <v>10</v>
      </c>
      <c r="F162" t="s">
        <v>4</v>
      </c>
      <c r="G162" t="s">
        <v>2917</v>
      </c>
      <c r="H162" t="s">
        <v>2947</v>
      </c>
      <c r="I162" t="s">
        <v>2909</v>
      </c>
      <c r="J162" t="str">
        <f>IF(ISNUMBER(MATCH($D162,'Lopettaneet 2013-&gt;'!$D:$D,0)),INDEX('Lopettaneet 2013-&gt;'!$K:$K,MATCH($D162,'Lopettaneet 2013-&gt;'!$D:$D,0)),"Continues")</f>
        <v>Merged</v>
      </c>
      <c r="K162">
        <f ca="1">IF($J162="Continues",DATEDIF($B162,TODAY(),"Y"),INDEX('Lopettaneet 2013-&gt;'!$L:$L,MATCH($D162,'Lopettaneet 2013-&gt;'!$D:$D,0)))</f>
        <v>10</v>
      </c>
      <c r="L162">
        <v>81</v>
      </c>
    </row>
    <row r="163" spans="1:12" x14ac:dyDescent="0.25">
      <c r="A163" t="s">
        <v>7</v>
      </c>
      <c r="B163" s="1">
        <v>41974</v>
      </c>
      <c r="C163" s="1">
        <v>44196</v>
      </c>
      <c r="D163" s="4" t="s">
        <v>401</v>
      </c>
      <c r="E163" t="s">
        <v>10</v>
      </c>
      <c r="F163" t="s">
        <v>11</v>
      </c>
      <c r="G163" t="s">
        <v>2916</v>
      </c>
      <c r="H163" t="s">
        <v>2909</v>
      </c>
      <c r="I163" t="s">
        <v>2909</v>
      </c>
      <c r="J163" t="str">
        <f>IF(ISNUMBER(MATCH($D163,'Lopettaneet 2013-&gt;'!$D:$D,0)),INDEX('Lopettaneet 2013-&gt;'!$K:$K,MATCH($D163,'Lopettaneet 2013-&gt;'!$D:$D,0)),"Continues")</f>
        <v>Closed</v>
      </c>
      <c r="K163">
        <f ca="1">IF($J163="Continues",DATEDIF($B163,TODAY(),"Y"),INDEX('Lopettaneet 2013-&gt;'!$L:$L,MATCH($D163,'Lopettaneet 2013-&gt;'!$D:$D,0)))</f>
        <v>6</v>
      </c>
      <c r="L163">
        <v>81</v>
      </c>
    </row>
    <row r="164" spans="1:12" x14ac:dyDescent="0.25">
      <c r="A164" t="s">
        <v>0</v>
      </c>
      <c r="B164" s="1">
        <v>39783</v>
      </c>
      <c r="C164" s="1">
        <v>42460</v>
      </c>
      <c r="D164" s="4" t="s">
        <v>2360</v>
      </c>
      <c r="E164" t="s">
        <v>3</v>
      </c>
      <c r="F164" t="s">
        <v>4</v>
      </c>
      <c r="G164" t="s">
        <v>2917</v>
      </c>
      <c r="H164" t="s">
        <v>2975</v>
      </c>
      <c r="I164" t="s">
        <v>2909</v>
      </c>
      <c r="J164" t="str">
        <f>IF(ISNUMBER(MATCH($D164,'Lopettaneet 2013-&gt;'!$D:$D,0)),INDEX('Lopettaneet 2013-&gt;'!$K:$K,MATCH($D164,'Lopettaneet 2013-&gt;'!$D:$D,0)),"Continues")</f>
        <v>Merged</v>
      </c>
      <c r="K164">
        <f ca="1">IF($J164="Continues",DATEDIF($B164,TODAY(),"Y"),INDEX('Lopettaneet 2013-&gt;'!$L:$L,MATCH($D164,'Lopettaneet 2013-&gt;'!$D:$D,0)))</f>
        <v>7</v>
      </c>
      <c r="L164">
        <v>82</v>
      </c>
    </row>
    <row r="165" spans="1:12" x14ac:dyDescent="0.25">
      <c r="A165" t="s">
        <v>7</v>
      </c>
      <c r="B165" s="1">
        <v>41974</v>
      </c>
      <c r="C165" s="1">
        <v>42369</v>
      </c>
      <c r="D165" s="4" t="s">
        <v>403</v>
      </c>
      <c r="E165" t="s">
        <v>10</v>
      </c>
      <c r="F165" t="s">
        <v>11</v>
      </c>
      <c r="G165" t="s">
        <v>2912</v>
      </c>
      <c r="H165" t="s">
        <v>2941</v>
      </c>
      <c r="I165" t="s">
        <v>2909</v>
      </c>
      <c r="J165" t="str">
        <f>IF(ISNUMBER(MATCH($D165,'Lopettaneet 2013-&gt;'!$D:$D,0)),INDEX('Lopettaneet 2013-&gt;'!$K:$K,MATCH($D165,'Lopettaneet 2013-&gt;'!$D:$D,0)),"Continues")</f>
        <v>Closed</v>
      </c>
      <c r="K165">
        <f ca="1">IF($J165="Continues",DATEDIF($B165,TODAY(),"Y"),INDEX('Lopettaneet 2013-&gt;'!$L:$L,MATCH($D165,'Lopettaneet 2013-&gt;'!$D:$D,0)))</f>
        <v>1</v>
      </c>
      <c r="L165">
        <v>82</v>
      </c>
    </row>
    <row r="166" spans="1:12" x14ac:dyDescent="0.25">
      <c r="A166" t="s">
        <v>0</v>
      </c>
      <c r="B166" s="1">
        <v>39783</v>
      </c>
      <c r="C166" s="1">
        <v>43404</v>
      </c>
      <c r="D166" s="4" t="s">
        <v>2362</v>
      </c>
      <c r="E166" t="s">
        <v>3</v>
      </c>
      <c r="F166" t="s">
        <v>4</v>
      </c>
      <c r="G166" t="s">
        <v>2917</v>
      </c>
      <c r="H166" t="s">
        <v>2947</v>
      </c>
      <c r="I166" t="s">
        <v>2909</v>
      </c>
      <c r="J166" t="str">
        <f>IF(ISNUMBER(MATCH($D166,'Lopettaneet 2013-&gt;'!$D:$D,0)),INDEX('Lopettaneet 2013-&gt;'!$K:$K,MATCH($D166,'Lopettaneet 2013-&gt;'!$D:$D,0)),"Continues")</f>
        <v>Merged</v>
      </c>
      <c r="K166">
        <f ca="1">IF($J166="Continues",DATEDIF($B166,TODAY(),"Y"),INDEX('Lopettaneet 2013-&gt;'!$L:$L,MATCH($D166,'Lopettaneet 2013-&gt;'!$D:$D,0)))</f>
        <v>9</v>
      </c>
      <c r="L166">
        <v>83</v>
      </c>
    </row>
    <row r="167" spans="1:12" x14ac:dyDescent="0.25">
      <c r="A167" t="s">
        <v>7</v>
      </c>
      <c r="B167" s="1">
        <v>41974</v>
      </c>
      <c r="C167" s="1">
        <v>42369</v>
      </c>
      <c r="D167" s="4" t="s">
        <v>405</v>
      </c>
      <c r="E167" t="s">
        <v>10</v>
      </c>
      <c r="F167" t="s">
        <v>11</v>
      </c>
      <c r="G167" t="s">
        <v>2912</v>
      </c>
      <c r="H167" t="s">
        <v>2941</v>
      </c>
      <c r="I167" t="s">
        <v>2909</v>
      </c>
      <c r="J167" t="str">
        <f>IF(ISNUMBER(MATCH($D167,'Lopettaneet 2013-&gt;'!$D:$D,0)),INDEX('Lopettaneet 2013-&gt;'!$K:$K,MATCH($D167,'Lopettaneet 2013-&gt;'!$D:$D,0)),"Continues")</f>
        <v>Closed</v>
      </c>
      <c r="K167">
        <f ca="1">IF($J167="Continues",DATEDIF($B167,TODAY(),"Y"),INDEX('Lopettaneet 2013-&gt;'!$L:$L,MATCH($D167,'Lopettaneet 2013-&gt;'!$D:$D,0)))</f>
        <v>1</v>
      </c>
      <c r="L167">
        <v>83</v>
      </c>
    </row>
    <row r="168" spans="1:12" x14ac:dyDescent="0.25">
      <c r="A168" t="s">
        <v>0</v>
      </c>
      <c r="B168" s="1">
        <v>39783</v>
      </c>
      <c r="C168" s="1">
        <v>44865</v>
      </c>
      <c r="D168" s="4" t="s">
        <v>2364</v>
      </c>
      <c r="E168" t="s">
        <v>10</v>
      </c>
      <c r="F168" t="s">
        <v>4</v>
      </c>
      <c r="G168" t="s">
        <v>2919</v>
      </c>
      <c r="H168" t="s">
        <v>2947</v>
      </c>
      <c r="I168" t="s">
        <v>2909</v>
      </c>
      <c r="J168" t="str">
        <f>IF(ISNUMBER(MATCH($D168,'Lopettaneet 2013-&gt;'!$D:$D,0)),INDEX('Lopettaneet 2013-&gt;'!$K:$K,MATCH($D168,'Lopettaneet 2013-&gt;'!$D:$D,0)),"Continues")</f>
        <v>Closed</v>
      </c>
      <c r="K168">
        <f ca="1">IF($J168="Continues",DATEDIF($B168,TODAY(),"Y"),INDEX('Lopettaneet 2013-&gt;'!$L:$L,MATCH($D168,'Lopettaneet 2013-&gt;'!$D:$D,0)))</f>
        <v>13</v>
      </c>
      <c r="L168">
        <v>84</v>
      </c>
    </row>
    <row r="169" spans="1:12" x14ac:dyDescent="0.25">
      <c r="A169" t="s">
        <v>7</v>
      </c>
      <c r="B169" s="1">
        <v>41974</v>
      </c>
      <c r="C169" s="1">
        <v>42369</v>
      </c>
      <c r="D169" s="4" t="s">
        <v>407</v>
      </c>
      <c r="E169" t="s">
        <v>10</v>
      </c>
      <c r="F169" t="s">
        <v>11</v>
      </c>
      <c r="G169" t="s">
        <v>2912</v>
      </c>
      <c r="H169" t="s">
        <v>2941</v>
      </c>
      <c r="I169" t="s">
        <v>2909</v>
      </c>
      <c r="J169" t="str">
        <f>IF(ISNUMBER(MATCH($D169,'Lopettaneet 2013-&gt;'!$D:$D,0)),INDEX('Lopettaneet 2013-&gt;'!$K:$K,MATCH($D169,'Lopettaneet 2013-&gt;'!$D:$D,0)),"Continues")</f>
        <v>Closed</v>
      </c>
      <c r="K169">
        <f ca="1">IF($J169="Continues",DATEDIF($B169,TODAY(),"Y"),INDEX('Lopettaneet 2013-&gt;'!$L:$L,MATCH($D169,'Lopettaneet 2013-&gt;'!$D:$D,0)))</f>
        <v>1</v>
      </c>
      <c r="L169">
        <v>84</v>
      </c>
    </row>
    <row r="170" spans="1:12" x14ac:dyDescent="0.25">
      <c r="A170" t="s">
        <v>0</v>
      </c>
      <c r="B170" s="1">
        <v>39783</v>
      </c>
      <c r="C170" s="1">
        <v>42063</v>
      </c>
      <c r="D170" s="4" t="s">
        <v>2366</v>
      </c>
      <c r="E170" t="s">
        <v>3</v>
      </c>
      <c r="F170" t="s">
        <v>4</v>
      </c>
      <c r="G170" t="s">
        <v>2917</v>
      </c>
      <c r="H170" t="s">
        <v>2953</v>
      </c>
      <c r="I170" t="s">
        <v>2909</v>
      </c>
      <c r="J170" t="str">
        <f>IF(ISNUMBER(MATCH($D170,'Lopettaneet 2013-&gt;'!$D:$D,0)),INDEX('Lopettaneet 2013-&gt;'!$K:$K,MATCH($D170,'Lopettaneet 2013-&gt;'!$D:$D,0)),"Continues")</f>
        <v>Merged</v>
      </c>
      <c r="K170">
        <f ca="1">IF($J170="Continues",DATEDIF($B170,TODAY(),"Y"),INDEX('Lopettaneet 2013-&gt;'!$L:$L,MATCH($D170,'Lopettaneet 2013-&gt;'!$D:$D,0)))</f>
        <v>6</v>
      </c>
      <c r="L170">
        <v>85</v>
      </c>
    </row>
    <row r="171" spans="1:12" x14ac:dyDescent="0.25">
      <c r="A171" t="s">
        <v>7</v>
      </c>
      <c r="B171" s="1">
        <v>41974</v>
      </c>
      <c r="C171" s="1">
        <v>42369</v>
      </c>
      <c r="D171" s="4" t="s">
        <v>409</v>
      </c>
      <c r="E171" t="s">
        <v>10</v>
      </c>
      <c r="F171" t="s">
        <v>11</v>
      </c>
      <c r="G171" t="s">
        <v>2912</v>
      </c>
      <c r="H171" t="s">
        <v>2941</v>
      </c>
      <c r="I171" t="s">
        <v>2909</v>
      </c>
      <c r="J171" t="str">
        <f>IF(ISNUMBER(MATCH($D171,'Lopettaneet 2013-&gt;'!$D:$D,0)),INDEX('Lopettaneet 2013-&gt;'!$K:$K,MATCH($D171,'Lopettaneet 2013-&gt;'!$D:$D,0)),"Continues")</f>
        <v>Closed</v>
      </c>
      <c r="K171">
        <f ca="1">IF($J171="Continues",DATEDIF($B171,TODAY(),"Y"),INDEX('Lopettaneet 2013-&gt;'!$L:$L,MATCH($D171,'Lopettaneet 2013-&gt;'!$D:$D,0)))</f>
        <v>1</v>
      </c>
      <c r="L171">
        <v>85</v>
      </c>
    </row>
    <row r="172" spans="1:12" x14ac:dyDescent="0.25">
      <c r="A172" t="s">
        <v>0</v>
      </c>
      <c r="B172" s="1">
        <v>39783</v>
      </c>
      <c r="C172" s="1">
        <v>43799</v>
      </c>
      <c r="D172" s="4" t="s">
        <v>2370</v>
      </c>
      <c r="E172" t="s">
        <v>3</v>
      </c>
      <c r="F172" t="s">
        <v>4</v>
      </c>
      <c r="G172" t="s">
        <v>2913</v>
      </c>
      <c r="H172" t="s">
        <v>2947</v>
      </c>
      <c r="I172" t="s">
        <v>2909</v>
      </c>
      <c r="J172" t="str">
        <f>IF(ISNUMBER(MATCH($D172,'Lopettaneet 2013-&gt;'!$D:$D,0)),INDEX('Lopettaneet 2013-&gt;'!$K:$K,MATCH($D172,'Lopettaneet 2013-&gt;'!$D:$D,0)),"Continues")</f>
        <v>Merged</v>
      </c>
      <c r="K172">
        <f ca="1">IF($J172="Continues",DATEDIF($B172,TODAY(),"Y"),INDEX('Lopettaneet 2013-&gt;'!$L:$L,MATCH($D172,'Lopettaneet 2013-&gt;'!$D:$D,0)))</f>
        <v>10</v>
      </c>
      <c r="L172">
        <v>86</v>
      </c>
    </row>
    <row r="173" spans="1:12" x14ac:dyDescent="0.25">
      <c r="A173" t="s">
        <v>7</v>
      </c>
      <c r="B173" s="1">
        <v>41974</v>
      </c>
      <c r="C173" s="1">
        <v>43555</v>
      </c>
      <c r="D173" s="4" t="s">
        <v>411</v>
      </c>
      <c r="E173" t="s">
        <v>10</v>
      </c>
      <c r="F173" t="s">
        <v>11</v>
      </c>
      <c r="G173" t="s">
        <v>2916</v>
      </c>
      <c r="H173" t="s">
        <v>2971</v>
      </c>
      <c r="I173" t="s">
        <v>2909</v>
      </c>
      <c r="J173" t="str">
        <f>IF(ISNUMBER(MATCH($D173,'Lopettaneet 2013-&gt;'!$D:$D,0)),INDEX('Lopettaneet 2013-&gt;'!$K:$K,MATCH($D173,'Lopettaneet 2013-&gt;'!$D:$D,0)),"Continues")</f>
        <v>Closed</v>
      </c>
      <c r="K173">
        <f ca="1">IF($J173="Continues",DATEDIF($B173,TODAY(),"Y"),INDEX('Lopettaneet 2013-&gt;'!$L:$L,MATCH($D173,'Lopettaneet 2013-&gt;'!$D:$D,0)))</f>
        <v>4</v>
      </c>
      <c r="L173">
        <v>86</v>
      </c>
    </row>
    <row r="174" spans="1:12" x14ac:dyDescent="0.25">
      <c r="A174" t="s">
        <v>0</v>
      </c>
      <c r="B174" s="1">
        <v>39783</v>
      </c>
      <c r="C174" s="1">
        <v>41639</v>
      </c>
      <c r="D174" s="4" t="s">
        <v>2372</v>
      </c>
      <c r="E174" t="s">
        <v>3</v>
      </c>
      <c r="F174" t="s">
        <v>4</v>
      </c>
      <c r="G174" t="s">
        <v>2917</v>
      </c>
      <c r="H174" t="s">
        <v>2975</v>
      </c>
      <c r="I174" t="s">
        <v>2909</v>
      </c>
      <c r="J174" t="str">
        <f>IF(ISNUMBER(MATCH($D174,'Lopettaneet 2013-&gt;'!$D:$D,0)),INDEX('Lopettaneet 2013-&gt;'!$K:$K,MATCH($D174,'Lopettaneet 2013-&gt;'!$D:$D,0)),"Continues")</f>
        <v>Merged</v>
      </c>
      <c r="K174">
        <f ca="1">IF($J174="Continues",DATEDIF($B174,TODAY(),"Y"),INDEX('Lopettaneet 2013-&gt;'!$L:$L,MATCH($D174,'Lopettaneet 2013-&gt;'!$D:$D,0)))</f>
        <v>5</v>
      </c>
      <c r="L174">
        <v>87</v>
      </c>
    </row>
    <row r="175" spans="1:12" x14ac:dyDescent="0.25">
      <c r="A175" t="s">
        <v>7</v>
      </c>
      <c r="B175" s="1">
        <v>41974</v>
      </c>
      <c r="C175" s="1">
        <v>42735</v>
      </c>
      <c r="D175" s="4" t="s">
        <v>413</v>
      </c>
      <c r="E175" t="s">
        <v>10</v>
      </c>
      <c r="F175" t="s">
        <v>11</v>
      </c>
      <c r="G175" t="s">
        <v>2912</v>
      </c>
      <c r="H175" t="s">
        <v>2927</v>
      </c>
      <c r="I175" t="s">
        <v>2909</v>
      </c>
      <c r="J175" t="str">
        <f>IF(ISNUMBER(MATCH($D175,'Lopettaneet 2013-&gt;'!$D:$D,0)),INDEX('Lopettaneet 2013-&gt;'!$K:$K,MATCH($D175,'Lopettaneet 2013-&gt;'!$D:$D,0)),"Continues")</f>
        <v>Closed</v>
      </c>
      <c r="K175">
        <f ca="1">IF($J175="Continues",DATEDIF($B175,TODAY(),"Y"),INDEX('Lopettaneet 2013-&gt;'!$L:$L,MATCH($D175,'Lopettaneet 2013-&gt;'!$D:$D,0)))</f>
        <v>2</v>
      </c>
      <c r="L175">
        <v>87</v>
      </c>
    </row>
    <row r="176" spans="1:12" x14ac:dyDescent="0.25">
      <c r="A176" t="s">
        <v>0</v>
      </c>
      <c r="B176" s="1">
        <v>39783</v>
      </c>
      <c r="C176" s="1">
        <v>42124</v>
      </c>
      <c r="D176" s="4" t="s">
        <v>2374</v>
      </c>
      <c r="E176" t="s">
        <v>3</v>
      </c>
      <c r="F176" t="s">
        <v>4</v>
      </c>
      <c r="G176" t="s">
        <v>2917</v>
      </c>
      <c r="H176" t="s">
        <v>2948</v>
      </c>
      <c r="I176" t="s">
        <v>2909</v>
      </c>
      <c r="J176" t="str">
        <f>IF(ISNUMBER(MATCH($D176,'Lopettaneet 2013-&gt;'!$D:$D,0)),INDEX('Lopettaneet 2013-&gt;'!$K:$K,MATCH($D176,'Lopettaneet 2013-&gt;'!$D:$D,0)),"Continues")</f>
        <v>Merged</v>
      </c>
      <c r="K176">
        <f ca="1">IF($J176="Continues",DATEDIF($B176,TODAY(),"Y"),INDEX('Lopettaneet 2013-&gt;'!$L:$L,MATCH($D176,'Lopettaneet 2013-&gt;'!$D:$D,0)))</f>
        <v>6</v>
      </c>
      <c r="L176">
        <v>88</v>
      </c>
    </row>
    <row r="177" spans="1:12" x14ac:dyDescent="0.25">
      <c r="A177" t="s">
        <v>7</v>
      </c>
      <c r="B177" s="1">
        <v>41974</v>
      </c>
      <c r="C177" s="1">
        <v>55153</v>
      </c>
      <c r="D177" s="4" t="s">
        <v>415</v>
      </c>
      <c r="E177" t="s">
        <v>10</v>
      </c>
      <c r="F177" t="s">
        <v>11</v>
      </c>
      <c r="G177" t="s">
        <v>2912</v>
      </c>
      <c r="H177" t="s">
        <v>2984</v>
      </c>
      <c r="I177" t="s">
        <v>2895</v>
      </c>
      <c r="J177" t="str">
        <f>IF(ISNUMBER(MATCH($D177,'Lopettaneet 2013-&gt;'!$D:$D,0)),INDEX('Lopettaneet 2013-&gt;'!$K:$K,MATCH($D177,'Lopettaneet 2013-&gt;'!$D:$D,0)),"Continues")</f>
        <v>Continues</v>
      </c>
      <c r="K177">
        <f ca="1">IF($J177="Continues",DATEDIF($B177,TODAY(),"Y"),INDEX('Lopettaneet 2013-&gt;'!$L:$L,MATCH($D177,'Lopettaneet 2013-&gt;'!$D:$D,0)))</f>
        <v>10</v>
      </c>
      <c r="L177">
        <v>88</v>
      </c>
    </row>
    <row r="178" spans="1:12" x14ac:dyDescent="0.25">
      <c r="A178" t="s">
        <v>0</v>
      </c>
      <c r="B178" s="1">
        <v>39783</v>
      </c>
      <c r="C178" s="1">
        <v>42978</v>
      </c>
      <c r="D178" s="4" t="s">
        <v>3179</v>
      </c>
      <c r="E178" t="s">
        <v>10</v>
      </c>
      <c r="F178" t="s">
        <v>4</v>
      </c>
      <c r="G178" t="s">
        <v>2915</v>
      </c>
      <c r="H178" t="s">
        <v>2777</v>
      </c>
      <c r="I178" t="s">
        <v>2909</v>
      </c>
      <c r="J178" t="str">
        <f>IF(ISNUMBER(MATCH($D178,'Lopettaneet 2013-&gt;'!$D:$D,0)),INDEX('Lopettaneet 2013-&gt;'!$K:$K,MATCH($D178,'Lopettaneet 2013-&gt;'!$D:$D,0)),"Continues")</f>
        <v>Continues</v>
      </c>
      <c r="K178">
        <f ca="1">IF($J178="Continues",DATEDIF($B178,TODAY(),"Y"),INDEX('Lopettaneet 2013-&gt;'!$L:$L,MATCH($D178,'Lopettaneet 2013-&gt;'!$D:$D,0)))</f>
        <v>16</v>
      </c>
      <c r="L178">
        <v>89</v>
      </c>
    </row>
    <row r="179" spans="1:12" x14ac:dyDescent="0.25">
      <c r="A179" t="s">
        <v>7</v>
      </c>
      <c r="B179" s="1">
        <v>41974</v>
      </c>
      <c r="C179" s="1">
        <v>55153</v>
      </c>
      <c r="D179" s="4" t="s">
        <v>417</v>
      </c>
      <c r="E179" t="s">
        <v>10</v>
      </c>
      <c r="F179" t="s">
        <v>11</v>
      </c>
      <c r="G179" t="s">
        <v>2912</v>
      </c>
      <c r="H179" t="s">
        <v>2950</v>
      </c>
      <c r="I179" t="s">
        <v>2895</v>
      </c>
      <c r="J179" t="str">
        <f>IF(ISNUMBER(MATCH($D179,'Lopettaneet 2013-&gt;'!$D:$D,0)),INDEX('Lopettaneet 2013-&gt;'!$K:$K,MATCH($D179,'Lopettaneet 2013-&gt;'!$D:$D,0)),"Continues")</f>
        <v>Continues</v>
      </c>
      <c r="K179">
        <f ca="1">IF($J179="Continues",DATEDIF($B179,TODAY(),"Y"),INDEX('Lopettaneet 2013-&gt;'!$L:$L,MATCH($D179,'Lopettaneet 2013-&gt;'!$D:$D,0)))</f>
        <v>10</v>
      </c>
      <c r="L179">
        <v>89</v>
      </c>
    </row>
    <row r="180" spans="1:12" x14ac:dyDescent="0.25">
      <c r="A180" t="s">
        <v>0</v>
      </c>
      <c r="B180" s="1">
        <v>39783</v>
      </c>
      <c r="C180" s="1">
        <v>43496</v>
      </c>
      <c r="D180" s="4" t="s">
        <v>2378</v>
      </c>
      <c r="E180" t="s">
        <v>3</v>
      </c>
      <c r="F180" t="s">
        <v>4</v>
      </c>
      <c r="G180" t="s">
        <v>2917</v>
      </c>
      <c r="H180" t="s">
        <v>2967</v>
      </c>
      <c r="I180" t="s">
        <v>2909</v>
      </c>
      <c r="J180" t="str">
        <f>IF(ISNUMBER(MATCH($D180,'Lopettaneet 2013-&gt;'!$D:$D,0)),INDEX('Lopettaneet 2013-&gt;'!$K:$K,MATCH($D180,'Lopettaneet 2013-&gt;'!$D:$D,0)),"Continues")</f>
        <v>Closed</v>
      </c>
      <c r="K180">
        <f ca="1">IF($J180="Continues",DATEDIF($B180,TODAY(),"Y"),INDEX('Lopettaneet 2013-&gt;'!$L:$L,MATCH($D180,'Lopettaneet 2013-&gt;'!$D:$D,0)))</f>
        <v>10</v>
      </c>
      <c r="L180">
        <v>90</v>
      </c>
    </row>
    <row r="181" spans="1:12" x14ac:dyDescent="0.25">
      <c r="A181" t="s">
        <v>7</v>
      </c>
      <c r="B181" s="1">
        <v>41974</v>
      </c>
      <c r="C181" s="1">
        <v>44834</v>
      </c>
      <c r="D181" s="4" t="s">
        <v>419</v>
      </c>
      <c r="E181" t="s">
        <v>10</v>
      </c>
      <c r="F181" t="s">
        <v>11</v>
      </c>
      <c r="G181" t="s">
        <v>2912</v>
      </c>
      <c r="H181" t="s">
        <v>2970</v>
      </c>
      <c r="I181" t="s">
        <v>2909</v>
      </c>
      <c r="J181" t="str">
        <f>IF(ISNUMBER(MATCH($D181,'Lopettaneet 2013-&gt;'!$D:$D,0)),INDEX('Lopettaneet 2013-&gt;'!$K:$K,MATCH($D181,'Lopettaneet 2013-&gt;'!$D:$D,0)),"Continues")</f>
        <v>Closed</v>
      </c>
      <c r="K181">
        <f ca="1">IF($J181="Continues",DATEDIF($B181,TODAY(),"Y"),INDEX('Lopettaneet 2013-&gt;'!$L:$L,MATCH($D181,'Lopettaneet 2013-&gt;'!$D:$D,0)))</f>
        <v>7</v>
      </c>
      <c r="L181">
        <v>90</v>
      </c>
    </row>
    <row r="182" spans="1:12" x14ac:dyDescent="0.25">
      <c r="A182" t="s">
        <v>0</v>
      </c>
      <c r="B182" s="1">
        <v>39783</v>
      </c>
      <c r="C182" s="1">
        <v>43496</v>
      </c>
      <c r="D182" s="4" t="s">
        <v>2380</v>
      </c>
      <c r="E182" t="s">
        <v>3</v>
      </c>
      <c r="F182" t="s">
        <v>4</v>
      </c>
      <c r="G182" t="s">
        <v>2917</v>
      </c>
      <c r="H182" t="s">
        <v>2967</v>
      </c>
      <c r="I182" t="s">
        <v>2909</v>
      </c>
      <c r="J182" t="str">
        <f>IF(ISNUMBER(MATCH($D182,'Lopettaneet 2013-&gt;'!$D:$D,0)),INDEX('Lopettaneet 2013-&gt;'!$K:$K,MATCH($D182,'Lopettaneet 2013-&gt;'!$D:$D,0)),"Continues")</f>
        <v>Closed</v>
      </c>
      <c r="K182">
        <f ca="1">IF($J182="Continues",DATEDIF($B182,TODAY(),"Y"),INDEX('Lopettaneet 2013-&gt;'!$L:$L,MATCH($D182,'Lopettaneet 2013-&gt;'!$D:$D,0)))</f>
        <v>10</v>
      </c>
      <c r="L182">
        <v>91</v>
      </c>
    </row>
    <row r="183" spans="1:12" x14ac:dyDescent="0.25">
      <c r="A183" t="s">
        <v>7</v>
      </c>
      <c r="B183" s="1">
        <v>41974</v>
      </c>
      <c r="C183" s="1">
        <v>42735</v>
      </c>
      <c r="D183" s="4" t="s">
        <v>421</v>
      </c>
      <c r="E183" t="s">
        <v>10</v>
      </c>
      <c r="F183" t="s">
        <v>11</v>
      </c>
      <c r="G183" t="s">
        <v>2912</v>
      </c>
      <c r="H183" t="s">
        <v>2909</v>
      </c>
      <c r="I183" t="s">
        <v>2909</v>
      </c>
      <c r="J183" t="str">
        <f>IF(ISNUMBER(MATCH($D183,'Lopettaneet 2013-&gt;'!$D:$D,0)),INDEX('Lopettaneet 2013-&gt;'!$K:$K,MATCH($D183,'Lopettaneet 2013-&gt;'!$D:$D,0)),"Continues")</f>
        <v>Closed</v>
      </c>
      <c r="K183">
        <f ca="1">IF($J183="Continues",DATEDIF($B183,TODAY(),"Y"),INDEX('Lopettaneet 2013-&gt;'!$L:$L,MATCH($D183,'Lopettaneet 2013-&gt;'!$D:$D,0)))</f>
        <v>2</v>
      </c>
      <c r="L183">
        <v>91</v>
      </c>
    </row>
    <row r="184" spans="1:12" x14ac:dyDescent="0.25">
      <c r="A184" t="s">
        <v>0</v>
      </c>
      <c r="B184" s="1">
        <v>39783</v>
      </c>
      <c r="C184" s="1">
        <v>44316</v>
      </c>
      <c r="D184" s="4" t="s">
        <v>2382</v>
      </c>
      <c r="E184" t="s">
        <v>3</v>
      </c>
      <c r="F184" t="s">
        <v>4</v>
      </c>
      <c r="G184" t="s">
        <v>2914</v>
      </c>
      <c r="H184" t="s">
        <v>2766</v>
      </c>
      <c r="I184" t="s">
        <v>2909</v>
      </c>
      <c r="J184" t="str">
        <f>IF(ISNUMBER(MATCH($D184,'Lopettaneet 2013-&gt;'!$D:$D,0)),INDEX('Lopettaneet 2013-&gt;'!$K:$K,MATCH($D184,'Lopettaneet 2013-&gt;'!$D:$D,0)),"Continues")</f>
        <v>Merged</v>
      </c>
      <c r="K184">
        <f ca="1">IF($J184="Continues",DATEDIF($B184,TODAY(),"Y"),INDEX('Lopettaneet 2013-&gt;'!$L:$L,MATCH($D184,'Lopettaneet 2013-&gt;'!$D:$D,0)))</f>
        <v>12</v>
      </c>
      <c r="L184">
        <v>92</v>
      </c>
    </row>
    <row r="185" spans="1:12" x14ac:dyDescent="0.25">
      <c r="A185" t="s">
        <v>7</v>
      </c>
      <c r="B185" s="1">
        <v>41974</v>
      </c>
      <c r="C185" s="1">
        <v>42735</v>
      </c>
      <c r="D185" s="4" t="s">
        <v>423</v>
      </c>
      <c r="E185" t="s">
        <v>10</v>
      </c>
      <c r="F185" t="s">
        <v>11</v>
      </c>
      <c r="G185" t="s">
        <v>2912</v>
      </c>
      <c r="H185" t="s">
        <v>2950</v>
      </c>
      <c r="I185" t="s">
        <v>2909</v>
      </c>
      <c r="J185" t="str">
        <f>IF(ISNUMBER(MATCH($D185,'Lopettaneet 2013-&gt;'!$D:$D,0)),INDEX('Lopettaneet 2013-&gt;'!$K:$K,MATCH($D185,'Lopettaneet 2013-&gt;'!$D:$D,0)),"Continues")</f>
        <v>Closed</v>
      </c>
      <c r="K185">
        <f ca="1">IF($J185="Continues",DATEDIF($B185,TODAY(),"Y"),INDEX('Lopettaneet 2013-&gt;'!$L:$L,MATCH($D185,'Lopettaneet 2013-&gt;'!$D:$D,0)))</f>
        <v>2</v>
      </c>
      <c r="L185">
        <v>92</v>
      </c>
    </row>
    <row r="186" spans="1:12" x14ac:dyDescent="0.25">
      <c r="A186" t="s">
        <v>0</v>
      </c>
      <c r="B186" s="1">
        <v>39783</v>
      </c>
      <c r="C186" s="1">
        <v>41820</v>
      </c>
      <c r="D186" s="4" t="s">
        <v>2384</v>
      </c>
      <c r="E186" t="s">
        <v>3</v>
      </c>
      <c r="F186" t="s">
        <v>4</v>
      </c>
      <c r="G186" t="s">
        <v>2917</v>
      </c>
      <c r="H186" t="s">
        <v>2766</v>
      </c>
      <c r="I186" t="s">
        <v>2909</v>
      </c>
      <c r="J186" t="str">
        <f>IF(ISNUMBER(MATCH($D186,'Lopettaneet 2013-&gt;'!$D:$D,0)),INDEX('Lopettaneet 2013-&gt;'!$K:$K,MATCH($D186,'Lopettaneet 2013-&gt;'!$D:$D,0)),"Continues")</f>
        <v>Merged</v>
      </c>
      <c r="K186">
        <f ca="1">IF($J186="Continues",DATEDIF($B186,TODAY(),"Y"),INDEX('Lopettaneet 2013-&gt;'!$L:$L,MATCH($D186,'Lopettaneet 2013-&gt;'!$D:$D,0)))</f>
        <v>5</v>
      </c>
      <c r="L186">
        <v>93</v>
      </c>
    </row>
    <row r="187" spans="1:12" x14ac:dyDescent="0.25">
      <c r="A187" t="s">
        <v>7</v>
      </c>
      <c r="B187" s="1">
        <v>41974</v>
      </c>
      <c r="C187" s="1">
        <v>43465</v>
      </c>
      <c r="D187" s="4" t="s">
        <v>425</v>
      </c>
      <c r="E187" t="s">
        <v>10</v>
      </c>
      <c r="F187" t="s">
        <v>11</v>
      </c>
      <c r="G187" t="s">
        <v>2912</v>
      </c>
      <c r="H187" t="s">
        <v>2970</v>
      </c>
      <c r="I187" t="s">
        <v>2909</v>
      </c>
      <c r="J187" t="str">
        <f>IF(ISNUMBER(MATCH($D187,'Lopettaneet 2013-&gt;'!$D:$D,0)),INDEX('Lopettaneet 2013-&gt;'!$K:$K,MATCH($D187,'Lopettaneet 2013-&gt;'!$D:$D,0)),"Continues")</f>
        <v>Closed</v>
      </c>
      <c r="K187">
        <f ca="1">IF($J187="Continues",DATEDIF($B187,TODAY(),"Y"),INDEX('Lopettaneet 2013-&gt;'!$L:$L,MATCH($D187,'Lopettaneet 2013-&gt;'!$D:$D,0)))</f>
        <v>4</v>
      </c>
      <c r="L187">
        <v>93</v>
      </c>
    </row>
    <row r="188" spans="1:12" x14ac:dyDescent="0.25">
      <c r="A188" t="s">
        <v>0</v>
      </c>
      <c r="B188" s="1">
        <v>39783</v>
      </c>
      <c r="C188" s="1">
        <v>42277</v>
      </c>
      <c r="D188" s="4" t="s">
        <v>2386</v>
      </c>
      <c r="E188" t="s">
        <v>3</v>
      </c>
      <c r="F188" t="s">
        <v>4</v>
      </c>
      <c r="G188" t="s">
        <v>2917</v>
      </c>
      <c r="H188" t="s">
        <v>2975</v>
      </c>
      <c r="I188" t="s">
        <v>2909</v>
      </c>
      <c r="J188" t="str">
        <f>IF(ISNUMBER(MATCH($D188,'Lopettaneet 2013-&gt;'!$D:$D,0)),INDEX('Lopettaneet 2013-&gt;'!$K:$K,MATCH($D188,'Lopettaneet 2013-&gt;'!$D:$D,0)),"Continues")</f>
        <v>Merged</v>
      </c>
      <c r="K188">
        <f ca="1">IF($J188="Continues",DATEDIF($B188,TODAY(),"Y"),INDEX('Lopettaneet 2013-&gt;'!$L:$L,MATCH($D188,'Lopettaneet 2013-&gt;'!$D:$D,0)))</f>
        <v>6</v>
      </c>
      <c r="L188">
        <v>94</v>
      </c>
    </row>
    <row r="189" spans="1:12" x14ac:dyDescent="0.25">
      <c r="A189" t="s">
        <v>7</v>
      </c>
      <c r="B189" s="1">
        <v>41974</v>
      </c>
      <c r="C189" s="1">
        <v>55153</v>
      </c>
      <c r="D189" s="4" t="s">
        <v>427</v>
      </c>
      <c r="E189" t="s">
        <v>10</v>
      </c>
      <c r="F189" t="s">
        <v>11</v>
      </c>
      <c r="G189" t="s">
        <v>2916</v>
      </c>
      <c r="H189" t="s">
        <v>2971</v>
      </c>
      <c r="I189" t="s">
        <v>2895</v>
      </c>
      <c r="J189" t="str">
        <f>IF(ISNUMBER(MATCH($D189,'Lopettaneet 2013-&gt;'!$D:$D,0)),INDEX('Lopettaneet 2013-&gt;'!$K:$K,MATCH($D189,'Lopettaneet 2013-&gt;'!$D:$D,0)),"Continues")</f>
        <v>Continues</v>
      </c>
      <c r="K189">
        <f ca="1">IF($J189="Continues",DATEDIF($B189,TODAY(),"Y"),INDEX('Lopettaneet 2013-&gt;'!$L:$L,MATCH($D189,'Lopettaneet 2013-&gt;'!$D:$D,0)))</f>
        <v>10</v>
      </c>
      <c r="L189">
        <v>94</v>
      </c>
    </row>
    <row r="190" spans="1:12" x14ac:dyDescent="0.25">
      <c r="A190" t="s">
        <v>0</v>
      </c>
      <c r="B190" s="1">
        <v>39783</v>
      </c>
      <c r="C190" s="1">
        <v>43799</v>
      </c>
      <c r="D190" s="4" t="s">
        <v>2388</v>
      </c>
      <c r="E190" t="s">
        <v>3</v>
      </c>
      <c r="F190" t="s">
        <v>4</v>
      </c>
      <c r="G190" t="s">
        <v>2917</v>
      </c>
      <c r="H190" t="s">
        <v>2947</v>
      </c>
      <c r="I190" t="s">
        <v>2909</v>
      </c>
      <c r="J190" t="str">
        <f>IF(ISNUMBER(MATCH($D190,'Lopettaneet 2013-&gt;'!$D:$D,0)),INDEX('Lopettaneet 2013-&gt;'!$K:$K,MATCH($D190,'Lopettaneet 2013-&gt;'!$D:$D,0)),"Continues")</f>
        <v>Merged</v>
      </c>
      <c r="K190">
        <f ca="1">IF($J190="Continues",DATEDIF($B190,TODAY(),"Y"),INDEX('Lopettaneet 2013-&gt;'!$L:$L,MATCH($D190,'Lopettaneet 2013-&gt;'!$D:$D,0)))</f>
        <v>10</v>
      </c>
      <c r="L190">
        <v>95</v>
      </c>
    </row>
    <row r="191" spans="1:12" x14ac:dyDescent="0.25">
      <c r="A191" t="s">
        <v>7</v>
      </c>
      <c r="B191" s="1">
        <v>41974</v>
      </c>
      <c r="C191" s="1">
        <v>55153</v>
      </c>
      <c r="D191" s="4" t="s">
        <v>429</v>
      </c>
      <c r="E191" t="s">
        <v>10</v>
      </c>
      <c r="F191" t="s">
        <v>11</v>
      </c>
      <c r="G191" t="s">
        <v>2912</v>
      </c>
      <c r="H191" t="s">
        <v>2970</v>
      </c>
      <c r="I191" t="s">
        <v>2895</v>
      </c>
      <c r="J191" t="str">
        <f>IF(ISNUMBER(MATCH($D191,'Lopettaneet 2013-&gt;'!$D:$D,0)),INDEX('Lopettaneet 2013-&gt;'!$K:$K,MATCH($D191,'Lopettaneet 2013-&gt;'!$D:$D,0)),"Continues")</f>
        <v>Continues</v>
      </c>
      <c r="K191">
        <f ca="1">IF($J191="Continues",DATEDIF($B191,TODAY(),"Y"),INDEX('Lopettaneet 2013-&gt;'!$L:$L,MATCH($D191,'Lopettaneet 2013-&gt;'!$D:$D,0)))</f>
        <v>10</v>
      </c>
      <c r="L191">
        <v>95</v>
      </c>
    </row>
    <row r="192" spans="1:12" x14ac:dyDescent="0.25">
      <c r="A192" t="s">
        <v>0</v>
      </c>
      <c r="B192" s="1">
        <v>39783</v>
      </c>
      <c r="C192" s="1">
        <v>42855</v>
      </c>
      <c r="D192" s="4" t="s">
        <v>2390</v>
      </c>
      <c r="E192" t="s">
        <v>3</v>
      </c>
      <c r="F192" t="s">
        <v>4</v>
      </c>
      <c r="G192" t="s">
        <v>2914</v>
      </c>
      <c r="H192" t="s">
        <v>2947</v>
      </c>
      <c r="I192" t="s">
        <v>2909</v>
      </c>
      <c r="J192" t="str">
        <f>IF(ISNUMBER(MATCH($D192,'Lopettaneet 2013-&gt;'!$D:$D,0)),INDEX('Lopettaneet 2013-&gt;'!$K:$K,MATCH($D192,'Lopettaneet 2013-&gt;'!$D:$D,0)),"Continues")</f>
        <v>Merged</v>
      </c>
      <c r="K192">
        <f ca="1">IF($J192="Continues",DATEDIF($B192,TODAY(),"Y"),INDEX('Lopettaneet 2013-&gt;'!$L:$L,MATCH($D192,'Lopettaneet 2013-&gt;'!$D:$D,0)))</f>
        <v>8</v>
      </c>
      <c r="L192">
        <v>96</v>
      </c>
    </row>
    <row r="193" spans="1:12" x14ac:dyDescent="0.25">
      <c r="A193" t="s">
        <v>7</v>
      </c>
      <c r="B193" s="1">
        <v>41974</v>
      </c>
      <c r="C193" s="1">
        <v>55153</v>
      </c>
      <c r="D193" s="4" t="s">
        <v>431</v>
      </c>
      <c r="E193" t="s">
        <v>10</v>
      </c>
      <c r="F193" t="s">
        <v>11</v>
      </c>
      <c r="G193" t="s">
        <v>2912</v>
      </c>
      <c r="H193" t="s">
        <v>3005</v>
      </c>
      <c r="I193" t="s">
        <v>2895</v>
      </c>
      <c r="J193" t="str">
        <f>IF(ISNUMBER(MATCH($D193,'Lopettaneet 2013-&gt;'!$D:$D,0)),INDEX('Lopettaneet 2013-&gt;'!$K:$K,MATCH($D193,'Lopettaneet 2013-&gt;'!$D:$D,0)),"Continues")</f>
        <v>Continues</v>
      </c>
      <c r="K193">
        <f ca="1">IF($J193="Continues",DATEDIF($B193,TODAY(),"Y"),INDEX('Lopettaneet 2013-&gt;'!$L:$L,MATCH($D193,'Lopettaneet 2013-&gt;'!$D:$D,0)))</f>
        <v>10</v>
      </c>
      <c r="L193">
        <v>96</v>
      </c>
    </row>
    <row r="194" spans="1:12" x14ac:dyDescent="0.25">
      <c r="A194" t="s">
        <v>0</v>
      </c>
      <c r="B194" s="1">
        <v>39783</v>
      </c>
      <c r="C194" s="1">
        <v>44865</v>
      </c>
      <c r="D194" s="4" t="s">
        <v>2392</v>
      </c>
      <c r="E194" t="s">
        <v>10</v>
      </c>
      <c r="F194" t="s">
        <v>4</v>
      </c>
      <c r="G194" t="s">
        <v>2913</v>
      </c>
      <c r="H194" t="s">
        <v>2947</v>
      </c>
      <c r="I194" t="s">
        <v>2909</v>
      </c>
      <c r="J194" t="str">
        <f>IF(ISNUMBER(MATCH($D194,'Lopettaneet 2013-&gt;'!$D:$D,0)),INDEX('Lopettaneet 2013-&gt;'!$K:$K,MATCH($D194,'Lopettaneet 2013-&gt;'!$D:$D,0)),"Continues")</f>
        <v>Closed</v>
      </c>
      <c r="K194">
        <f ca="1">IF($J194="Continues",DATEDIF($B194,TODAY(),"Y"),INDEX('Lopettaneet 2013-&gt;'!$L:$L,MATCH($D194,'Lopettaneet 2013-&gt;'!$D:$D,0)))</f>
        <v>13</v>
      </c>
      <c r="L194">
        <v>97</v>
      </c>
    </row>
    <row r="195" spans="1:12" x14ac:dyDescent="0.25">
      <c r="A195" t="s">
        <v>7</v>
      </c>
      <c r="B195" s="1">
        <v>41974</v>
      </c>
      <c r="C195" s="1">
        <v>42735</v>
      </c>
      <c r="D195" s="4" t="s">
        <v>433</v>
      </c>
      <c r="E195" t="s">
        <v>10</v>
      </c>
      <c r="F195" t="s">
        <v>11</v>
      </c>
      <c r="G195" t="s">
        <v>2912</v>
      </c>
      <c r="H195" t="s">
        <v>2965</v>
      </c>
      <c r="I195" t="s">
        <v>2909</v>
      </c>
      <c r="J195" t="str">
        <f>IF(ISNUMBER(MATCH($D195,'Lopettaneet 2013-&gt;'!$D:$D,0)),INDEX('Lopettaneet 2013-&gt;'!$K:$K,MATCH($D195,'Lopettaneet 2013-&gt;'!$D:$D,0)),"Continues")</f>
        <v>Closed</v>
      </c>
      <c r="K195">
        <f ca="1">IF($J195="Continues",DATEDIF($B195,TODAY(),"Y"),INDEX('Lopettaneet 2013-&gt;'!$L:$L,MATCH($D195,'Lopettaneet 2013-&gt;'!$D:$D,0)))</f>
        <v>2</v>
      </c>
      <c r="L195">
        <v>97</v>
      </c>
    </row>
    <row r="196" spans="1:12" x14ac:dyDescent="0.25">
      <c r="A196" t="s">
        <v>0</v>
      </c>
      <c r="B196" s="1">
        <v>39783</v>
      </c>
      <c r="C196" s="1">
        <v>43069</v>
      </c>
      <c r="D196" s="4" t="s">
        <v>2394</v>
      </c>
      <c r="E196" t="s">
        <v>10</v>
      </c>
      <c r="F196" t="s">
        <v>4</v>
      </c>
      <c r="G196" t="s">
        <v>2918</v>
      </c>
      <c r="H196" t="s">
        <v>2947</v>
      </c>
      <c r="I196" t="s">
        <v>2909</v>
      </c>
      <c r="J196" t="str">
        <f>IF(ISNUMBER(MATCH($D196,'Lopettaneet 2013-&gt;'!$D:$D,0)),INDEX('Lopettaneet 2013-&gt;'!$K:$K,MATCH($D196,'Lopettaneet 2013-&gt;'!$D:$D,0)),"Continues")</f>
        <v>Closed</v>
      </c>
      <c r="K196">
        <f ca="1">IF($J196="Continues",DATEDIF($B196,TODAY(),"Y"),INDEX('Lopettaneet 2013-&gt;'!$L:$L,MATCH($D196,'Lopettaneet 2013-&gt;'!$D:$D,0)))</f>
        <v>8</v>
      </c>
      <c r="L196">
        <v>98</v>
      </c>
    </row>
    <row r="197" spans="1:12" x14ac:dyDescent="0.25">
      <c r="A197" t="s">
        <v>7</v>
      </c>
      <c r="B197" s="1">
        <v>41974</v>
      </c>
      <c r="C197" s="1">
        <v>55153</v>
      </c>
      <c r="D197" s="4" t="s">
        <v>435</v>
      </c>
      <c r="E197" t="s">
        <v>10</v>
      </c>
      <c r="F197" t="s">
        <v>11</v>
      </c>
      <c r="G197" t="s">
        <v>2912</v>
      </c>
      <c r="H197" t="s">
        <v>2766</v>
      </c>
      <c r="I197" t="s">
        <v>2909</v>
      </c>
      <c r="J197" t="str">
        <f>IF(ISNUMBER(MATCH($D197,'Lopettaneet 2013-&gt;'!$D:$D,0)),INDEX('Lopettaneet 2013-&gt;'!$K:$K,MATCH($D197,'Lopettaneet 2013-&gt;'!$D:$D,0)),"Continues")</f>
        <v>Continues</v>
      </c>
      <c r="K197">
        <f ca="1">IF($J197="Continues",DATEDIF($B197,TODAY(),"Y"),INDEX('Lopettaneet 2013-&gt;'!$L:$L,MATCH($D197,'Lopettaneet 2013-&gt;'!$D:$D,0)))</f>
        <v>10</v>
      </c>
      <c r="L197">
        <v>98</v>
      </c>
    </row>
    <row r="198" spans="1:12" x14ac:dyDescent="0.25">
      <c r="A198" t="s">
        <v>0</v>
      </c>
      <c r="B198" s="1">
        <v>39783</v>
      </c>
      <c r="C198" s="1">
        <v>43069</v>
      </c>
      <c r="D198" s="4" t="s">
        <v>2396</v>
      </c>
      <c r="E198" t="s">
        <v>10</v>
      </c>
      <c r="F198" t="s">
        <v>4</v>
      </c>
      <c r="G198" t="s">
        <v>2918</v>
      </c>
      <c r="H198" t="s">
        <v>2947</v>
      </c>
      <c r="I198" t="s">
        <v>2909</v>
      </c>
      <c r="J198" t="str">
        <f>IF(ISNUMBER(MATCH($D198,'Lopettaneet 2013-&gt;'!$D:$D,0)),INDEX('Lopettaneet 2013-&gt;'!$K:$K,MATCH($D198,'Lopettaneet 2013-&gt;'!$D:$D,0)),"Continues")</f>
        <v>Closed</v>
      </c>
      <c r="K198">
        <f ca="1">IF($J198="Continues",DATEDIF($B198,TODAY(),"Y"),INDEX('Lopettaneet 2013-&gt;'!$L:$L,MATCH($D198,'Lopettaneet 2013-&gt;'!$D:$D,0)))</f>
        <v>8</v>
      </c>
      <c r="L198">
        <v>99</v>
      </c>
    </row>
    <row r="199" spans="1:12" x14ac:dyDescent="0.25">
      <c r="A199" t="s">
        <v>7</v>
      </c>
      <c r="B199" s="1">
        <v>41974</v>
      </c>
      <c r="C199" s="1">
        <v>43281</v>
      </c>
      <c r="D199" s="4" t="s">
        <v>437</v>
      </c>
      <c r="E199" t="s">
        <v>10</v>
      </c>
      <c r="F199" t="s">
        <v>11</v>
      </c>
      <c r="G199" t="s">
        <v>2912</v>
      </c>
      <c r="H199" t="s">
        <v>2927</v>
      </c>
      <c r="I199" t="s">
        <v>2909</v>
      </c>
      <c r="J199" t="str">
        <f>IF(ISNUMBER(MATCH($D199,'Lopettaneet 2013-&gt;'!$D:$D,0)),INDEX('Lopettaneet 2013-&gt;'!$K:$K,MATCH($D199,'Lopettaneet 2013-&gt;'!$D:$D,0)),"Continues")</f>
        <v>Closed</v>
      </c>
      <c r="K199">
        <f ca="1">IF($J199="Continues",DATEDIF($B199,TODAY(),"Y"),INDEX('Lopettaneet 2013-&gt;'!$L:$L,MATCH($D199,'Lopettaneet 2013-&gt;'!$D:$D,0)))</f>
        <v>3</v>
      </c>
      <c r="L199">
        <v>99</v>
      </c>
    </row>
    <row r="200" spans="1:12" x14ac:dyDescent="0.25">
      <c r="A200" t="s">
        <v>0</v>
      </c>
      <c r="B200" s="1">
        <v>39783</v>
      </c>
      <c r="C200" s="1">
        <v>43585</v>
      </c>
      <c r="D200" s="4" t="s">
        <v>2398</v>
      </c>
      <c r="E200" t="s">
        <v>3</v>
      </c>
      <c r="F200" t="s">
        <v>4</v>
      </c>
      <c r="G200" t="s">
        <v>2917</v>
      </c>
      <c r="H200" t="s">
        <v>2946</v>
      </c>
      <c r="I200" t="s">
        <v>2909</v>
      </c>
      <c r="J200" t="str">
        <f>IF(ISNUMBER(MATCH($D200,'Lopettaneet 2013-&gt;'!$D:$D,0)),INDEX('Lopettaneet 2013-&gt;'!$K:$K,MATCH($D200,'Lopettaneet 2013-&gt;'!$D:$D,0)),"Continues")</f>
        <v>Merged</v>
      </c>
      <c r="K200">
        <f ca="1">IF($J200="Continues",DATEDIF($B200,TODAY(),"Y"),INDEX('Lopettaneet 2013-&gt;'!$L:$L,MATCH($D200,'Lopettaneet 2013-&gt;'!$D:$D,0)))</f>
        <v>10</v>
      </c>
      <c r="L200">
        <v>100</v>
      </c>
    </row>
    <row r="201" spans="1:12" x14ac:dyDescent="0.25">
      <c r="A201" t="s">
        <v>7</v>
      </c>
      <c r="B201" s="1">
        <v>41974</v>
      </c>
      <c r="C201" s="1">
        <v>43100</v>
      </c>
      <c r="D201" s="4" t="s">
        <v>439</v>
      </c>
      <c r="E201" t="s">
        <v>10</v>
      </c>
      <c r="F201" t="s">
        <v>11</v>
      </c>
      <c r="G201" t="s">
        <v>2912</v>
      </c>
      <c r="H201" t="s">
        <v>2909</v>
      </c>
      <c r="I201" t="s">
        <v>2909</v>
      </c>
      <c r="J201" t="str">
        <f>IF(ISNUMBER(MATCH($D201,'Lopettaneet 2013-&gt;'!$D:$D,0)),INDEX('Lopettaneet 2013-&gt;'!$K:$K,MATCH($D201,'Lopettaneet 2013-&gt;'!$D:$D,0)),"Continues")</f>
        <v>Closed</v>
      </c>
      <c r="K201">
        <f ca="1">IF($J201="Continues",DATEDIF($B201,TODAY(),"Y"),INDEX('Lopettaneet 2013-&gt;'!$L:$L,MATCH($D201,'Lopettaneet 2013-&gt;'!$D:$D,0)))</f>
        <v>3</v>
      </c>
      <c r="L201">
        <v>100</v>
      </c>
    </row>
    <row r="202" spans="1:12" x14ac:dyDescent="0.25">
      <c r="A202" t="s">
        <v>0</v>
      </c>
      <c r="B202" s="1">
        <v>39783</v>
      </c>
      <c r="C202" s="1">
        <v>42004</v>
      </c>
      <c r="D202" s="4" t="s">
        <v>2400</v>
      </c>
      <c r="E202" t="s">
        <v>10</v>
      </c>
      <c r="F202" t="s">
        <v>4</v>
      </c>
      <c r="G202" t="s">
        <v>2915</v>
      </c>
      <c r="H202" t="s">
        <v>2952</v>
      </c>
      <c r="I202" t="s">
        <v>2909</v>
      </c>
      <c r="J202" t="str">
        <f>IF(ISNUMBER(MATCH($D202,'Lopettaneet 2013-&gt;'!$D:$D,0)),INDEX('Lopettaneet 2013-&gt;'!$K:$K,MATCH($D202,'Lopettaneet 2013-&gt;'!$D:$D,0)),"Continues")</f>
        <v>Merged</v>
      </c>
      <c r="K202">
        <f ca="1">IF($J202="Continues",DATEDIF($B202,TODAY(),"Y"),INDEX('Lopettaneet 2013-&gt;'!$L:$L,MATCH($D202,'Lopettaneet 2013-&gt;'!$D:$D,0)))</f>
        <v>6</v>
      </c>
      <c r="L202">
        <v>101</v>
      </c>
    </row>
    <row r="203" spans="1:12" x14ac:dyDescent="0.25">
      <c r="A203" t="s">
        <v>7</v>
      </c>
      <c r="B203" s="1">
        <v>41974</v>
      </c>
      <c r="C203" s="1">
        <v>44196</v>
      </c>
      <c r="D203" s="4" t="s">
        <v>441</v>
      </c>
      <c r="E203" t="s">
        <v>10</v>
      </c>
      <c r="F203" t="s">
        <v>11</v>
      </c>
      <c r="G203" t="s">
        <v>2912</v>
      </c>
      <c r="H203" t="s">
        <v>2909</v>
      </c>
      <c r="I203" t="s">
        <v>2909</v>
      </c>
      <c r="J203" t="str">
        <f>IF(ISNUMBER(MATCH($D203,'Lopettaneet 2013-&gt;'!$D:$D,0)),INDEX('Lopettaneet 2013-&gt;'!$K:$K,MATCH($D203,'Lopettaneet 2013-&gt;'!$D:$D,0)),"Continues")</f>
        <v>Closed</v>
      </c>
      <c r="K203">
        <f ca="1">IF($J203="Continues",DATEDIF($B203,TODAY(),"Y"),INDEX('Lopettaneet 2013-&gt;'!$L:$L,MATCH($D203,'Lopettaneet 2013-&gt;'!$D:$D,0)))</f>
        <v>6</v>
      </c>
      <c r="L203">
        <v>101</v>
      </c>
    </row>
    <row r="204" spans="1:12" x14ac:dyDescent="0.25">
      <c r="A204" t="s">
        <v>0</v>
      </c>
      <c r="B204" s="1">
        <v>39783</v>
      </c>
      <c r="C204" s="1">
        <v>41912</v>
      </c>
      <c r="D204" s="4" t="s">
        <v>2402</v>
      </c>
      <c r="E204" t="s">
        <v>3</v>
      </c>
      <c r="F204" t="s">
        <v>4</v>
      </c>
      <c r="G204" t="s">
        <v>2917</v>
      </c>
      <c r="H204" t="s">
        <v>2924</v>
      </c>
      <c r="I204" t="s">
        <v>2909</v>
      </c>
      <c r="J204" t="str">
        <f>IF(ISNUMBER(MATCH($D204,'Lopettaneet 2013-&gt;'!$D:$D,0)),INDEX('Lopettaneet 2013-&gt;'!$K:$K,MATCH($D204,'Lopettaneet 2013-&gt;'!$D:$D,0)),"Continues")</f>
        <v>Closed</v>
      </c>
      <c r="K204">
        <f ca="1">IF($J204="Continues",DATEDIF($B204,TODAY(),"Y"),INDEX('Lopettaneet 2013-&gt;'!$L:$L,MATCH($D204,'Lopettaneet 2013-&gt;'!$D:$D,0)))</f>
        <v>5</v>
      </c>
      <c r="L204">
        <v>102</v>
      </c>
    </row>
    <row r="205" spans="1:12" x14ac:dyDescent="0.25">
      <c r="A205" t="s">
        <v>7</v>
      </c>
      <c r="B205" s="1">
        <v>41974</v>
      </c>
      <c r="C205" s="1">
        <v>55153</v>
      </c>
      <c r="D205" s="4" t="s">
        <v>443</v>
      </c>
      <c r="E205" t="s">
        <v>10</v>
      </c>
      <c r="F205" t="s">
        <v>11</v>
      </c>
      <c r="G205" t="s">
        <v>2912</v>
      </c>
      <c r="H205" t="s">
        <v>2968</v>
      </c>
      <c r="I205" t="s">
        <v>2895</v>
      </c>
      <c r="J205" t="str">
        <f>IF(ISNUMBER(MATCH($D205,'Lopettaneet 2013-&gt;'!$D:$D,0)),INDEX('Lopettaneet 2013-&gt;'!$K:$K,MATCH($D205,'Lopettaneet 2013-&gt;'!$D:$D,0)),"Continues")</f>
        <v>Continues</v>
      </c>
      <c r="K205">
        <f ca="1">IF($J205="Continues",DATEDIF($B205,TODAY(),"Y"),INDEX('Lopettaneet 2013-&gt;'!$L:$L,MATCH($D205,'Lopettaneet 2013-&gt;'!$D:$D,0)))</f>
        <v>10</v>
      </c>
      <c r="L205">
        <v>102</v>
      </c>
    </row>
    <row r="206" spans="1:12" x14ac:dyDescent="0.25">
      <c r="A206" t="s">
        <v>0</v>
      </c>
      <c r="B206" s="1">
        <v>39783</v>
      </c>
      <c r="C206" s="1">
        <v>41425</v>
      </c>
      <c r="D206" s="4" t="s">
        <v>2404</v>
      </c>
      <c r="E206" t="s">
        <v>10</v>
      </c>
      <c r="F206" t="s">
        <v>4</v>
      </c>
      <c r="G206" t="s">
        <v>2915</v>
      </c>
      <c r="H206" t="s">
        <v>2924</v>
      </c>
      <c r="I206" t="s">
        <v>2909</v>
      </c>
      <c r="J206" t="str">
        <f>IF(ISNUMBER(MATCH($D206,'Lopettaneet 2013-&gt;'!$D:$D,0)),INDEX('Lopettaneet 2013-&gt;'!$K:$K,MATCH($D206,'Lopettaneet 2013-&gt;'!$D:$D,0)),"Continues")</f>
        <v>Closed</v>
      </c>
      <c r="K206">
        <f ca="1">IF($J206="Continues",DATEDIF($B206,TODAY(),"Y"),INDEX('Lopettaneet 2013-&gt;'!$L:$L,MATCH($D206,'Lopettaneet 2013-&gt;'!$D:$D,0)))</f>
        <v>4</v>
      </c>
      <c r="L206">
        <v>103</v>
      </c>
    </row>
    <row r="207" spans="1:12" x14ac:dyDescent="0.25">
      <c r="A207" t="s">
        <v>7</v>
      </c>
      <c r="B207" s="1">
        <v>41974</v>
      </c>
      <c r="C207" s="1">
        <v>43738</v>
      </c>
      <c r="D207" s="4" t="s">
        <v>445</v>
      </c>
      <c r="E207" t="s">
        <v>10</v>
      </c>
      <c r="F207" t="s">
        <v>11</v>
      </c>
      <c r="G207" t="s">
        <v>2912</v>
      </c>
      <c r="H207" t="s">
        <v>2909</v>
      </c>
      <c r="I207" t="s">
        <v>2909</v>
      </c>
      <c r="J207" t="str">
        <f>IF(ISNUMBER(MATCH($D207,'Lopettaneet 2013-&gt;'!$D:$D,0)),INDEX('Lopettaneet 2013-&gt;'!$K:$K,MATCH($D207,'Lopettaneet 2013-&gt;'!$D:$D,0)),"Continues")</f>
        <v>Closed</v>
      </c>
      <c r="K207">
        <f ca="1">IF($J207="Continues",DATEDIF($B207,TODAY(),"Y"),INDEX('Lopettaneet 2013-&gt;'!$L:$L,MATCH($D207,'Lopettaneet 2013-&gt;'!$D:$D,0)))</f>
        <v>4</v>
      </c>
      <c r="L207">
        <v>103</v>
      </c>
    </row>
    <row r="208" spans="1:12" x14ac:dyDescent="0.25">
      <c r="A208" t="s">
        <v>0</v>
      </c>
      <c r="B208" s="1">
        <v>39783</v>
      </c>
      <c r="C208" s="1">
        <v>41394</v>
      </c>
      <c r="D208" s="4" t="s">
        <v>2406</v>
      </c>
      <c r="E208" t="s">
        <v>10</v>
      </c>
      <c r="F208" t="s">
        <v>4</v>
      </c>
      <c r="G208" t="s">
        <v>2915</v>
      </c>
      <c r="H208" t="s">
        <v>2924</v>
      </c>
      <c r="I208" t="s">
        <v>2909</v>
      </c>
      <c r="J208" t="str">
        <f>IF(ISNUMBER(MATCH($D208,'Lopettaneet 2013-&gt;'!$D:$D,0)),INDEX('Lopettaneet 2013-&gt;'!$K:$K,MATCH($D208,'Lopettaneet 2013-&gt;'!$D:$D,0)),"Continues")</f>
        <v>Closed</v>
      </c>
      <c r="K208">
        <f ca="1">IF($J208="Continues",DATEDIF($B208,TODAY(),"Y"),INDEX('Lopettaneet 2013-&gt;'!$L:$L,MATCH($D208,'Lopettaneet 2013-&gt;'!$D:$D,0)))</f>
        <v>4</v>
      </c>
      <c r="L208">
        <v>104</v>
      </c>
    </row>
    <row r="209" spans="1:12" x14ac:dyDescent="0.25">
      <c r="A209" t="s">
        <v>7</v>
      </c>
      <c r="B209" s="1">
        <v>41974</v>
      </c>
      <c r="C209" s="1">
        <v>55153</v>
      </c>
      <c r="D209" s="4" t="s">
        <v>447</v>
      </c>
      <c r="E209" t="s">
        <v>10</v>
      </c>
      <c r="F209" t="s">
        <v>11</v>
      </c>
      <c r="G209" t="s">
        <v>2912</v>
      </c>
      <c r="H209" t="s">
        <v>2950</v>
      </c>
      <c r="I209" t="s">
        <v>2909</v>
      </c>
      <c r="J209" t="str">
        <f>IF(ISNUMBER(MATCH($D209,'Lopettaneet 2013-&gt;'!$D:$D,0)),INDEX('Lopettaneet 2013-&gt;'!$K:$K,MATCH($D209,'Lopettaneet 2013-&gt;'!$D:$D,0)),"Continues")</f>
        <v>Continues</v>
      </c>
      <c r="K209">
        <f ca="1">IF($J209="Continues",DATEDIF($B209,TODAY(),"Y"),INDEX('Lopettaneet 2013-&gt;'!$L:$L,MATCH($D209,'Lopettaneet 2013-&gt;'!$D:$D,0)))</f>
        <v>10</v>
      </c>
      <c r="L209">
        <v>104</v>
      </c>
    </row>
    <row r="210" spans="1:12" x14ac:dyDescent="0.25">
      <c r="A210" t="s">
        <v>0</v>
      </c>
      <c r="B210" s="1">
        <v>39783</v>
      </c>
      <c r="C210" s="1">
        <v>41943</v>
      </c>
      <c r="D210" s="4" t="s">
        <v>2408</v>
      </c>
      <c r="E210" t="s">
        <v>3</v>
      </c>
      <c r="F210" t="s">
        <v>4</v>
      </c>
      <c r="G210" t="s">
        <v>2917</v>
      </c>
      <c r="H210" t="s">
        <v>2924</v>
      </c>
      <c r="I210" t="s">
        <v>2909</v>
      </c>
      <c r="J210" t="str">
        <f>IF(ISNUMBER(MATCH($D210,'Lopettaneet 2013-&gt;'!$D:$D,0)),INDEX('Lopettaneet 2013-&gt;'!$K:$K,MATCH($D210,'Lopettaneet 2013-&gt;'!$D:$D,0)),"Continues")</f>
        <v>Closed</v>
      </c>
      <c r="K210">
        <f ca="1">IF($J210="Continues",DATEDIF($B210,TODAY(),"Y"),INDEX('Lopettaneet 2013-&gt;'!$L:$L,MATCH($D210,'Lopettaneet 2013-&gt;'!$D:$D,0)))</f>
        <v>5</v>
      </c>
      <c r="L210">
        <v>105</v>
      </c>
    </row>
    <row r="211" spans="1:12" x14ac:dyDescent="0.25">
      <c r="A211" t="s">
        <v>7</v>
      </c>
      <c r="B211" s="1">
        <v>41974</v>
      </c>
      <c r="C211" s="1">
        <v>55153</v>
      </c>
      <c r="D211" s="4" t="s">
        <v>449</v>
      </c>
      <c r="E211" t="s">
        <v>10</v>
      </c>
      <c r="F211" t="s">
        <v>11</v>
      </c>
      <c r="G211" t="s">
        <v>2916</v>
      </c>
      <c r="H211" t="s">
        <v>2951</v>
      </c>
      <c r="I211" t="s">
        <v>2895</v>
      </c>
      <c r="J211" t="str">
        <f>IF(ISNUMBER(MATCH($D211,'Lopettaneet 2013-&gt;'!$D:$D,0)),INDEX('Lopettaneet 2013-&gt;'!$K:$K,MATCH($D211,'Lopettaneet 2013-&gt;'!$D:$D,0)),"Continues")</f>
        <v>Continues</v>
      </c>
      <c r="K211">
        <f ca="1">IF($J211="Continues",DATEDIF($B211,TODAY(),"Y"),INDEX('Lopettaneet 2013-&gt;'!$L:$L,MATCH($D211,'Lopettaneet 2013-&gt;'!$D:$D,0)))</f>
        <v>10</v>
      </c>
      <c r="L211">
        <v>105</v>
      </c>
    </row>
    <row r="212" spans="1:12" x14ac:dyDescent="0.25">
      <c r="A212" t="s">
        <v>0</v>
      </c>
      <c r="B212" s="1">
        <v>39783</v>
      </c>
      <c r="C212" s="1">
        <v>41943</v>
      </c>
      <c r="D212" s="4" t="s">
        <v>2410</v>
      </c>
      <c r="E212" t="s">
        <v>3</v>
      </c>
      <c r="F212" t="s">
        <v>4</v>
      </c>
      <c r="G212" t="s">
        <v>2917</v>
      </c>
      <c r="H212" t="s">
        <v>2924</v>
      </c>
      <c r="I212" t="s">
        <v>2909</v>
      </c>
      <c r="J212" t="str">
        <f>IF(ISNUMBER(MATCH($D212,'Lopettaneet 2013-&gt;'!$D:$D,0)),INDEX('Lopettaneet 2013-&gt;'!$K:$K,MATCH($D212,'Lopettaneet 2013-&gt;'!$D:$D,0)),"Continues")</f>
        <v>Closed</v>
      </c>
      <c r="K212">
        <f ca="1">IF($J212="Continues",DATEDIF($B212,TODAY(),"Y"),INDEX('Lopettaneet 2013-&gt;'!$L:$L,MATCH($D212,'Lopettaneet 2013-&gt;'!$D:$D,0)))</f>
        <v>5</v>
      </c>
      <c r="L212">
        <v>106</v>
      </c>
    </row>
    <row r="213" spans="1:12" x14ac:dyDescent="0.25">
      <c r="A213" t="s">
        <v>7</v>
      </c>
      <c r="B213" s="1">
        <v>41974</v>
      </c>
      <c r="C213" s="1">
        <v>55153</v>
      </c>
      <c r="D213" s="4" t="s">
        <v>451</v>
      </c>
      <c r="E213" t="s">
        <v>10</v>
      </c>
      <c r="F213" t="s">
        <v>11</v>
      </c>
      <c r="G213" t="s">
        <v>2912</v>
      </c>
      <c r="H213" t="s">
        <v>2965</v>
      </c>
      <c r="I213" t="s">
        <v>2895</v>
      </c>
      <c r="J213" t="str">
        <f>IF(ISNUMBER(MATCH($D213,'Lopettaneet 2013-&gt;'!$D:$D,0)),INDEX('Lopettaneet 2013-&gt;'!$K:$K,MATCH($D213,'Lopettaneet 2013-&gt;'!$D:$D,0)),"Continues")</f>
        <v>Continues</v>
      </c>
      <c r="K213">
        <f ca="1">IF($J213="Continues",DATEDIF($B213,TODAY(),"Y"),INDEX('Lopettaneet 2013-&gt;'!$L:$L,MATCH($D213,'Lopettaneet 2013-&gt;'!$D:$D,0)))</f>
        <v>10</v>
      </c>
      <c r="L213">
        <v>106</v>
      </c>
    </row>
    <row r="214" spans="1:12" x14ac:dyDescent="0.25">
      <c r="A214" t="s">
        <v>0</v>
      </c>
      <c r="B214" s="1">
        <v>39783</v>
      </c>
      <c r="C214" s="1">
        <v>41394</v>
      </c>
      <c r="D214" s="4" t="s">
        <v>2412</v>
      </c>
      <c r="E214" t="s">
        <v>3</v>
      </c>
      <c r="F214" t="s">
        <v>4</v>
      </c>
      <c r="G214" t="s">
        <v>2915</v>
      </c>
      <c r="H214" t="s">
        <v>2924</v>
      </c>
      <c r="I214" t="s">
        <v>2909</v>
      </c>
      <c r="J214" t="str">
        <f>IF(ISNUMBER(MATCH($D214,'Lopettaneet 2013-&gt;'!$D:$D,0)),INDEX('Lopettaneet 2013-&gt;'!$K:$K,MATCH($D214,'Lopettaneet 2013-&gt;'!$D:$D,0)),"Continues")</f>
        <v>Closed</v>
      </c>
      <c r="K214">
        <f ca="1">IF($J214="Continues",DATEDIF($B214,TODAY(),"Y"),INDEX('Lopettaneet 2013-&gt;'!$L:$L,MATCH($D214,'Lopettaneet 2013-&gt;'!$D:$D,0)))</f>
        <v>4</v>
      </c>
      <c r="L214">
        <v>107</v>
      </c>
    </row>
    <row r="215" spans="1:12" x14ac:dyDescent="0.25">
      <c r="A215" t="s">
        <v>7</v>
      </c>
      <c r="B215" s="1">
        <v>41974</v>
      </c>
      <c r="C215" s="1">
        <v>44561</v>
      </c>
      <c r="D215" s="4" t="s">
        <v>453</v>
      </c>
      <c r="E215" t="s">
        <v>10</v>
      </c>
      <c r="F215" t="s">
        <v>11</v>
      </c>
      <c r="G215" t="s">
        <v>2912</v>
      </c>
      <c r="H215" t="s">
        <v>2909</v>
      </c>
      <c r="I215" t="s">
        <v>2909</v>
      </c>
      <c r="J215" t="str">
        <f>IF(ISNUMBER(MATCH($D215,'Lopettaneet 2013-&gt;'!$D:$D,0)),INDEX('Lopettaneet 2013-&gt;'!$K:$K,MATCH($D215,'Lopettaneet 2013-&gt;'!$D:$D,0)),"Continues")</f>
        <v>Closed</v>
      </c>
      <c r="K215">
        <f ca="1">IF($J215="Continues",DATEDIF($B215,TODAY(),"Y"),INDEX('Lopettaneet 2013-&gt;'!$L:$L,MATCH($D215,'Lopettaneet 2013-&gt;'!$D:$D,0)))</f>
        <v>7</v>
      </c>
      <c r="L215">
        <v>107</v>
      </c>
    </row>
    <row r="216" spans="1:12" x14ac:dyDescent="0.25">
      <c r="A216" t="s">
        <v>0</v>
      </c>
      <c r="B216" s="1">
        <v>39783</v>
      </c>
      <c r="C216" s="1">
        <v>41912</v>
      </c>
      <c r="D216" s="4" t="s">
        <v>2414</v>
      </c>
      <c r="E216" t="s">
        <v>3</v>
      </c>
      <c r="F216" t="s">
        <v>4</v>
      </c>
      <c r="G216" t="s">
        <v>2915</v>
      </c>
      <c r="H216" t="s">
        <v>2924</v>
      </c>
      <c r="I216" t="s">
        <v>2909</v>
      </c>
      <c r="J216" t="str">
        <f>IF(ISNUMBER(MATCH($D216,'Lopettaneet 2013-&gt;'!$D:$D,0)),INDEX('Lopettaneet 2013-&gt;'!$K:$K,MATCH($D216,'Lopettaneet 2013-&gt;'!$D:$D,0)),"Continues")</f>
        <v>Closed</v>
      </c>
      <c r="K216">
        <f ca="1">IF($J216="Continues",DATEDIF($B216,TODAY(),"Y"),INDEX('Lopettaneet 2013-&gt;'!$L:$L,MATCH($D216,'Lopettaneet 2013-&gt;'!$D:$D,0)))</f>
        <v>5</v>
      </c>
      <c r="L216">
        <v>108</v>
      </c>
    </row>
    <row r="217" spans="1:12" x14ac:dyDescent="0.25">
      <c r="A217" t="s">
        <v>7</v>
      </c>
      <c r="B217" s="1">
        <v>41974</v>
      </c>
      <c r="C217" s="1">
        <v>42735</v>
      </c>
      <c r="D217" s="4" t="s">
        <v>455</v>
      </c>
      <c r="E217" t="s">
        <v>10</v>
      </c>
      <c r="F217" t="s">
        <v>11</v>
      </c>
      <c r="G217" t="s">
        <v>2912</v>
      </c>
      <c r="H217" t="s">
        <v>2928</v>
      </c>
      <c r="I217" t="s">
        <v>2909</v>
      </c>
      <c r="J217" t="str">
        <f>IF(ISNUMBER(MATCH($D217,'Lopettaneet 2013-&gt;'!$D:$D,0)),INDEX('Lopettaneet 2013-&gt;'!$K:$K,MATCH($D217,'Lopettaneet 2013-&gt;'!$D:$D,0)),"Continues")</f>
        <v>Closed</v>
      </c>
      <c r="K217">
        <f ca="1">IF($J217="Continues",DATEDIF($B217,TODAY(),"Y"),INDEX('Lopettaneet 2013-&gt;'!$L:$L,MATCH($D217,'Lopettaneet 2013-&gt;'!$D:$D,0)))</f>
        <v>2</v>
      </c>
      <c r="L217">
        <v>108</v>
      </c>
    </row>
    <row r="218" spans="1:12" x14ac:dyDescent="0.25">
      <c r="A218" t="s">
        <v>0</v>
      </c>
      <c r="B218" s="1">
        <v>39783</v>
      </c>
      <c r="C218" s="1">
        <v>41912</v>
      </c>
      <c r="D218" s="4" t="s">
        <v>2416</v>
      </c>
      <c r="E218" t="s">
        <v>3</v>
      </c>
      <c r="F218" t="s">
        <v>4</v>
      </c>
      <c r="G218" t="s">
        <v>2917</v>
      </c>
      <c r="H218" t="s">
        <v>2924</v>
      </c>
      <c r="I218" t="s">
        <v>2909</v>
      </c>
      <c r="J218" t="str">
        <f>IF(ISNUMBER(MATCH($D218,'Lopettaneet 2013-&gt;'!$D:$D,0)),INDEX('Lopettaneet 2013-&gt;'!$K:$K,MATCH($D218,'Lopettaneet 2013-&gt;'!$D:$D,0)),"Continues")</f>
        <v>Closed</v>
      </c>
      <c r="K218">
        <f ca="1">IF($J218="Continues",DATEDIF($B218,TODAY(),"Y"),INDEX('Lopettaneet 2013-&gt;'!$L:$L,MATCH($D218,'Lopettaneet 2013-&gt;'!$D:$D,0)))</f>
        <v>5</v>
      </c>
      <c r="L218">
        <v>109</v>
      </c>
    </row>
    <row r="219" spans="1:12" x14ac:dyDescent="0.25">
      <c r="A219" t="s">
        <v>7</v>
      </c>
      <c r="B219" s="1">
        <v>41974</v>
      </c>
      <c r="C219" s="1">
        <v>44104</v>
      </c>
      <c r="D219" s="4" t="s">
        <v>457</v>
      </c>
      <c r="E219" t="s">
        <v>10</v>
      </c>
      <c r="F219" t="s">
        <v>11</v>
      </c>
      <c r="G219" t="s">
        <v>2912</v>
      </c>
      <c r="H219" t="s">
        <v>2968</v>
      </c>
      <c r="I219" t="s">
        <v>2909</v>
      </c>
      <c r="J219" t="str">
        <f>IF(ISNUMBER(MATCH($D219,'Lopettaneet 2013-&gt;'!$D:$D,0)),INDEX('Lopettaneet 2013-&gt;'!$K:$K,MATCH($D219,'Lopettaneet 2013-&gt;'!$D:$D,0)),"Continues")</f>
        <v>Closed</v>
      </c>
      <c r="K219">
        <f ca="1">IF($J219="Continues",DATEDIF($B219,TODAY(),"Y"),INDEX('Lopettaneet 2013-&gt;'!$L:$L,MATCH($D219,'Lopettaneet 2013-&gt;'!$D:$D,0)))</f>
        <v>5</v>
      </c>
      <c r="L219">
        <v>109</v>
      </c>
    </row>
    <row r="220" spans="1:12" x14ac:dyDescent="0.25">
      <c r="A220" t="s">
        <v>0</v>
      </c>
      <c r="B220" s="1">
        <v>39783</v>
      </c>
      <c r="C220" s="1">
        <v>43404</v>
      </c>
      <c r="D220" s="4" t="s">
        <v>2418</v>
      </c>
      <c r="E220" t="s">
        <v>3</v>
      </c>
      <c r="F220" t="s">
        <v>4</v>
      </c>
      <c r="G220" t="s">
        <v>2917</v>
      </c>
      <c r="H220" t="s">
        <v>2947</v>
      </c>
      <c r="I220" t="s">
        <v>2909</v>
      </c>
      <c r="J220" t="str">
        <f>IF(ISNUMBER(MATCH($D220,'Lopettaneet 2013-&gt;'!$D:$D,0)),INDEX('Lopettaneet 2013-&gt;'!$K:$K,MATCH($D220,'Lopettaneet 2013-&gt;'!$D:$D,0)),"Continues")</f>
        <v>Merged</v>
      </c>
      <c r="K220">
        <f ca="1">IF($J220="Continues",DATEDIF($B220,TODAY(),"Y"),INDEX('Lopettaneet 2013-&gt;'!$L:$L,MATCH($D220,'Lopettaneet 2013-&gt;'!$D:$D,0)))</f>
        <v>9</v>
      </c>
      <c r="L220">
        <v>110</v>
      </c>
    </row>
    <row r="221" spans="1:12" x14ac:dyDescent="0.25">
      <c r="A221" t="s">
        <v>7</v>
      </c>
      <c r="B221" s="1">
        <v>41974</v>
      </c>
      <c r="C221" s="1">
        <v>55153</v>
      </c>
      <c r="D221" s="4" t="s">
        <v>459</v>
      </c>
      <c r="E221" t="s">
        <v>10</v>
      </c>
      <c r="F221" t="s">
        <v>11</v>
      </c>
      <c r="G221" t="s">
        <v>2916</v>
      </c>
      <c r="H221" t="s">
        <v>2951</v>
      </c>
      <c r="I221" t="s">
        <v>2895</v>
      </c>
      <c r="J221" t="str">
        <f>IF(ISNUMBER(MATCH($D221,'Lopettaneet 2013-&gt;'!$D:$D,0)),INDEX('Lopettaneet 2013-&gt;'!$K:$K,MATCH($D221,'Lopettaneet 2013-&gt;'!$D:$D,0)),"Continues")</f>
        <v>Continues</v>
      </c>
      <c r="K221">
        <f ca="1">IF($J221="Continues",DATEDIF($B221,TODAY(),"Y"),INDEX('Lopettaneet 2013-&gt;'!$L:$L,MATCH($D221,'Lopettaneet 2013-&gt;'!$D:$D,0)))</f>
        <v>10</v>
      </c>
      <c r="L221">
        <v>110</v>
      </c>
    </row>
    <row r="222" spans="1:12" x14ac:dyDescent="0.25">
      <c r="A222" t="s">
        <v>0</v>
      </c>
      <c r="B222" s="1">
        <v>39783</v>
      </c>
      <c r="C222" s="1">
        <v>41820</v>
      </c>
      <c r="D222" s="4" t="s">
        <v>2420</v>
      </c>
      <c r="E222" t="s">
        <v>3</v>
      </c>
      <c r="F222" t="s">
        <v>4</v>
      </c>
      <c r="G222" t="s">
        <v>2913</v>
      </c>
      <c r="H222" t="s">
        <v>2946</v>
      </c>
      <c r="I222" t="s">
        <v>2909</v>
      </c>
      <c r="J222" t="str">
        <f>IF(ISNUMBER(MATCH($D222,'Lopettaneet 2013-&gt;'!$D:$D,0)),INDEX('Lopettaneet 2013-&gt;'!$K:$K,MATCH($D222,'Lopettaneet 2013-&gt;'!$D:$D,0)),"Continues")</f>
        <v>Merged</v>
      </c>
      <c r="K222">
        <f ca="1">IF($J222="Continues",DATEDIF($B222,TODAY(),"Y"),INDEX('Lopettaneet 2013-&gt;'!$L:$L,MATCH($D222,'Lopettaneet 2013-&gt;'!$D:$D,0)))</f>
        <v>5</v>
      </c>
      <c r="L222">
        <v>111</v>
      </c>
    </row>
    <row r="223" spans="1:12" x14ac:dyDescent="0.25">
      <c r="A223" t="s">
        <v>7</v>
      </c>
      <c r="B223" s="1">
        <v>41974</v>
      </c>
      <c r="C223" s="1">
        <v>55153</v>
      </c>
      <c r="D223" s="4" t="s">
        <v>461</v>
      </c>
      <c r="E223" t="s">
        <v>10</v>
      </c>
      <c r="F223" t="s">
        <v>11</v>
      </c>
      <c r="G223" t="s">
        <v>2912</v>
      </c>
      <c r="H223" t="s">
        <v>2962</v>
      </c>
      <c r="I223" t="s">
        <v>2895</v>
      </c>
      <c r="J223" t="str">
        <f>IF(ISNUMBER(MATCH($D223,'Lopettaneet 2013-&gt;'!$D:$D,0)),INDEX('Lopettaneet 2013-&gt;'!$K:$K,MATCH($D223,'Lopettaneet 2013-&gt;'!$D:$D,0)),"Continues")</f>
        <v>Continues</v>
      </c>
      <c r="K223">
        <f ca="1">IF($J223="Continues",DATEDIF($B223,TODAY(),"Y"),INDEX('Lopettaneet 2013-&gt;'!$L:$L,MATCH($D223,'Lopettaneet 2013-&gt;'!$D:$D,0)))</f>
        <v>10</v>
      </c>
      <c r="L223">
        <v>111</v>
      </c>
    </row>
    <row r="224" spans="1:12" x14ac:dyDescent="0.25">
      <c r="A224" t="s">
        <v>0</v>
      </c>
      <c r="B224" s="1">
        <v>39783</v>
      </c>
      <c r="C224" s="1">
        <v>43220</v>
      </c>
      <c r="D224" s="4" t="s">
        <v>2422</v>
      </c>
      <c r="E224" t="s">
        <v>10</v>
      </c>
      <c r="F224" t="s">
        <v>4</v>
      </c>
      <c r="G224" t="s">
        <v>2917</v>
      </c>
      <c r="H224" t="s">
        <v>2952</v>
      </c>
      <c r="I224" t="s">
        <v>2909</v>
      </c>
      <c r="J224" t="str">
        <f>IF(ISNUMBER(MATCH($D224,'Lopettaneet 2013-&gt;'!$D:$D,0)),INDEX('Lopettaneet 2013-&gt;'!$K:$K,MATCH($D224,'Lopettaneet 2013-&gt;'!$D:$D,0)),"Continues")</f>
        <v>Merged</v>
      </c>
      <c r="K224">
        <f ca="1">IF($J224="Continues",DATEDIF($B224,TODAY(),"Y"),INDEX('Lopettaneet 2013-&gt;'!$L:$L,MATCH($D224,'Lopettaneet 2013-&gt;'!$D:$D,0)))</f>
        <v>9</v>
      </c>
      <c r="L224">
        <v>112</v>
      </c>
    </row>
    <row r="225" spans="1:12" x14ac:dyDescent="0.25">
      <c r="A225" t="s">
        <v>7</v>
      </c>
      <c r="B225" s="1">
        <v>41974</v>
      </c>
      <c r="C225" s="1">
        <v>44926</v>
      </c>
      <c r="D225" s="4" t="s">
        <v>463</v>
      </c>
      <c r="E225" t="s">
        <v>10</v>
      </c>
      <c r="F225" t="s">
        <v>11</v>
      </c>
      <c r="G225" t="s">
        <v>2916</v>
      </c>
      <c r="H225" t="s">
        <v>2951</v>
      </c>
      <c r="I225" t="s">
        <v>2909</v>
      </c>
      <c r="J225" t="str">
        <f>IF(ISNUMBER(MATCH($D225,'Lopettaneet 2013-&gt;'!$D:$D,0)),INDEX('Lopettaneet 2013-&gt;'!$K:$K,MATCH($D225,'Lopettaneet 2013-&gt;'!$D:$D,0)),"Continues")</f>
        <v>Closed</v>
      </c>
      <c r="K225">
        <f ca="1">IF($J225="Continues",DATEDIF($B225,TODAY(),"Y"),INDEX('Lopettaneet 2013-&gt;'!$L:$L,MATCH($D225,'Lopettaneet 2013-&gt;'!$D:$D,0)))</f>
        <v>8</v>
      </c>
      <c r="L225">
        <v>112</v>
      </c>
    </row>
    <row r="226" spans="1:12" x14ac:dyDescent="0.25">
      <c r="A226" t="s">
        <v>0</v>
      </c>
      <c r="B226" s="1">
        <v>39783</v>
      </c>
      <c r="C226" s="1">
        <v>41608</v>
      </c>
      <c r="D226" s="4" t="s">
        <v>2424</v>
      </c>
      <c r="E226" t="s">
        <v>10</v>
      </c>
      <c r="F226" t="s">
        <v>4</v>
      </c>
      <c r="G226" t="s">
        <v>2913</v>
      </c>
      <c r="H226" t="s">
        <v>2952</v>
      </c>
      <c r="I226" t="s">
        <v>2909</v>
      </c>
      <c r="J226" t="str">
        <f>IF(ISNUMBER(MATCH($D226,'Lopettaneet 2013-&gt;'!$D:$D,0)),INDEX('Lopettaneet 2013-&gt;'!$K:$K,MATCH($D226,'Lopettaneet 2013-&gt;'!$D:$D,0)),"Continues")</f>
        <v>Merged</v>
      </c>
      <c r="K226">
        <f ca="1">IF($J226="Continues",DATEDIF($B226,TODAY(),"Y"),INDEX('Lopettaneet 2013-&gt;'!$L:$L,MATCH($D226,'Lopettaneet 2013-&gt;'!$D:$D,0)))</f>
        <v>4</v>
      </c>
      <c r="L226">
        <v>113</v>
      </c>
    </row>
    <row r="227" spans="1:12" x14ac:dyDescent="0.25">
      <c r="A227" t="s">
        <v>7</v>
      </c>
      <c r="B227" s="1">
        <v>41974</v>
      </c>
      <c r="C227" s="1">
        <v>55153</v>
      </c>
      <c r="D227" s="4" t="s">
        <v>465</v>
      </c>
      <c r="E227" t="s">
        <v>10</v>
      </c>
      <c r="F227" t="s">
        <v>11</v>
      </c>
      <c r="G227" t="s">
        <v>2912</v>
      </c>
      <c r="H227" t="s">
        <v>2993</v>
      </c>
      <c r="I227" t="s">
        <v>2895</v>
      </c>
      <c r="J227" t="str">
        <f>IF(ISNUMBER(MATCH($D227,'Lopettaneet 2013-&gt;'!$D:$D,0)),INDEX('Lopettaneet 2013-&gt;'!$K:$K,MATCH($D227,'Lopettaneet 2013-&gt;'!$D:$D,0)),"Continues")</f>
        <v>Continues</v>
      </c>
      <c r="K227">
        <f ca="1">IF($J227="Continues",DATEDIF($B227,TODAY(),"Y"),INDEX('Lopettaneet 2013-&gt;'!$L:$L,MATCH($D227,'Lopettaneet 2013-&gt;'!$D:$D,0)))</f>
        <v>10</v>
      </c>
      <c r="L227">
        <v>113</v>
      </c>
    </row>
    <row r="228" spans="1:12" x14ac:dyDescent="0.25">
      <c r="A228" t="s">
        <v>0</v>
      </c>
      <c r="B228" s="1">
        <v>39783</v>
      </c>
      <c r="C228" s="1">
        <v>41670</v>
      </c>
      <c r="D228" s="4" t="s">
        <v>2426</v>
      </c>
      <c r="E228" t="s">
        <v>10</v>
      </c>
      <c r="F228" t="s">
        <v>4</v>
      </c>
      <c r="G228" t="s">
        <v>2919</v>
      </c>
      <c r="H228" t="s">
        <v>2766</v>
      </c>
      <c r="I228" t="s">
        <v>2909</v>
      </c>
      <c r="J228" t="str">
        <f>IF(ISNUMBER(MATCH($D228,'Lopettaneet 2013-&gt;'!$D:$D,0)),INDEX('Lopettaneet 2013-&gt;'!$K:$K,MATCH($D228,'Lopettaneet 2013-&gt;'!$D:$D,0)),"Continues")</f>
        <v>Closed</v>
      </c>
      <c r="K228">
        <f ca="1">IF($J228="Continues",DATEDIF($B228,TODAY(),"Y"),INDEX('Lopettaneet 2013-&gt;'!$L:$L,MATCH($D228,'Lopettaneet 2013-&gt;'!$D:$D,0)))</f>
        <v>5</v>
      </c>
      <c r="L228">
        <v>114</v>
      </c>
    </row>
    <row r="229" spans="1:12" x14ac:dyDescent="0.25">
      <c r="A229" t="s">
        <v>7</v>
      </c>
      <c r="B229" s="1">
        <v>41974</v>
      </c>
      <c r="C229" s="1">
        <v>42643</v>
      </c>
      <c r="D229" s="4" t="s">
        <v>467</v>
      </c>
      <c r="E229" t="s">
        <v>10</v>
      </c>
      <c r="F229" t="s">
        <v>11</v>
      </c>
      <c r="G229" t="s">
        <v>2914</v>
      </c>
      <c r="H229" t="s">
        <v>2955</v>
      </c>
      <c r="I229" t="s">
        <v>2909</v>
      </c>
      <c r="J229" t="str">
        <f>IF(ISNUMBER(MATCH($D229,'Lopettaneet 2013-&gt;'!$D:$D,0)),INDEX('Lopettaneet 2013-&gt;'!$K:$K,MATCH($D229,'Lopettaneet 2013-&gt;'!$D:$D,0)),"Continues")</f>
        <v>Closed</v>
      </c>
      <c r="K229">
        <f ca="1">IF($J229="Continues",DATEDIF($B229,TODAY(),"Y"),INDEX('Lopettaneet 2013-&gt;'!$L:$L,MATCH($D229,'Lopettaneet 2013-&gt;'!$D:$D,0)))</f>
        <v>1</v>
      </c>
      <c r="L229">
        <v>114</v>
      </c>
    </row>
    <row r="230" spans="1:12" x14ac:dyDescent="0.25">
      <c r="A230" t="s">
        <v>0</v>
      </c>
      <c r="B230" s="1">
        <v>39783</v>
      </c>
      <c r="C230" s="1">
        <v>42035</v>
      </c>
      <c r="D230" s="4" t="s">
        <v>2428</v>
      </c>
      <c r="E230" t="s">
        <v>3</v>
      </c>
      <c r="F230" t="s">
        <v>4</v>
      </c>
      <c r="G230" t="s">
        <v>2917</v>
      </c>
      <c r="H230" t="s">
        <v>2975</v>
      </c>
      <c r="I230" t="s">
        <v>2909</v>
      </c>
      <c r="J230" t="str">
        <f>IF(ISNUMBER(MATCH($D230,'Lopettaneet 2013-&gt;'!$D:$D,0)),INDEX('Lopettaneet 2013-&gt;'!$K:$K,MATCH($D230,'Lopettaneet 2013-&gt;'!$D:$D,0)),"Continues")</f>
        <v>Merged</v>
      </c>
      <c r="K230">
        <f ca="1">IF($J230="Continues",DATEDIF($B230,TODAY(),"Y"),INDEX('Lopettaneet 2013-&gt;'!$L:$L,MATCH($D230,'Lopettaneet 2013-&gt;'!$D:$D,0)))</f>
        <v>6</v>
      </c>
      <c r="L230">
        <v>115</v>
      </c>
    </row>
    <row r="231" spans="1:12" x14ac:dyDescent="0.25">
      <c r="A231" t="s">
        <v>7</v>
      </c>
      <c r="B231" s="1">
        <v>41974</v>
      </c>
      <c r="C231" s="1">
        <v>55153</v>
      </c>
      <c r="D231" s="4" t="s">
        <v>469</v>
      </c>
      <c r="E231" t="s">
        <v>10</v>
      </c>
      <c r="F231" t="s">
        <v>11</v>
      </c>
      <c r="G231" t="s">
        <v>2916</v>
      </c>
      <c r="H231" t="s">
        <v>3014</v>
      </c>
      <c r="I231" t="s">
        <v>2895</v>
      </c>
      <c r="J231" t="str">
        <f>IF(ISNUMBER(MATCH($D231,'Lopettaneet 2013-&gt;'!$D:$D,0)),INDEX('Lopettaneet 2013-&gt;'!$K:$K,MATCH($D231,'Lopettaneet 2013-&gt;'!$D:$D,0)),"Continues")</f>
        <v>Continues</v>
      </c>
      <c r="K231">
        <f ca="1">IF($J231="Continues",DATEDIF($B231,TODAY(),"Y"),INDEX('Lopettaneet 2013-&gt;'!$L:$L,MATCH($D231,'Lopettaneet 2013-&gt;'!$D:$D,0)))</f>
        <v>10</v>
      </c>
      <c r="L231">
        <v>115</v>
      </c>
    </row>
    <row r="232" spans="1:12" x14ac:dyDescent="0.25">
      <c r="A232" t="s">
        <v>0</v>
      </c>
      <c r="B232" s="1">
        <v>39783</v>
      </c>
      <c r="C232" s="1">
        <v>43465</v>
      </c>
      <c r="D232" s="4" t="s">
        <v>2430</v>
      </c>
      <c r="E232" t="s">
        <v>3</v>
      </c>
      <c r="F232" t="s">
        <v>4</v>
      </c>
      <c r="G232" t="s">
        <v>2917</v>
      </c>
      <c r="H232" t="s">
        <v>2948</v>
      </c>
      <c r="I232" t="s">
        <v>2909</v>
      </c>
      <c r="J232" t="str">
        <f>IF(ISNUMBER(MATCH($D232,'Lopettaneet 2013-&gt;'!$D:$D,0)),INDEX('Lopettaneet 2013-&gt;'!$K:$K,MATCH($D232,'Lopettaneet 2013-&gt;'!$D:$D,0)),"Continues")</f>
        <v>Merged</v>
      </c>
      <c r="K232">
        <f ca="1">IF($J232="Continues",DATEDIF($B232,TODAY(),"Y"),INDEX('Lopettaneet 2013-&gt;'!$L:$L,MATCH($D232,'Lopettaneet 2013-&gt;'!$D:$D,0)))</f>
        <v>10</v>
      </c>
      <c r="L232">
        <v>116</v>
      </c>
    </row>
    <row r="233" spans="1:12" x14ac:dyDescent="0.25">
      <c r="A233" t="s">
        <v>7</v>
      </c>
      <c r="B233" s="1">
        <v>41974</v>
      </c>
      <c r="C233" s="1">
        <v>44834</v>
      </c>
      <c r="D233" s="4" t="s">
        <v>471</v>
      </c>
      <c r="E233" t="s">
        <v>10</v>
      </c>
      <c r="F233" t="s">
        <v>11</v>
      </c>
      <c r="G233" t="s">
        <v>2912</v>
      </c>
      <c r="H233" t="s">
        <v>2965</v>
      </c>
      <c r="I233" t="s">
        <v>2909</v>
      </c>
      <c r="J233" t="str">
        <f>IF(ISNUMBER(MATCH($D233,'Lopettaneet 2013-&gt;'!$D:$D,0)),INDEX('Lopettaneet 2013-&gt;'!$K:$K,MATCH($D233,'Lopettaneet 2013-&gt;'!$D:$D,0)),"Continues")</f>
        <v>Closed</v>
      </c>
      <c r="K233">
        <f ca="1">IF($J233="Continues",DATEDIF($B233,TODAY(),"Y"),INDEX('Lopettaneet 2013-&gt;'!$L:$L,MATCH($D233,'Lopettaneet 2013-&gt;'!$D:$D,0)))</f>
        <v>7</v>
      </c>
      <c r="L233">
        <v>116</v>
      </c>
    </row>
    <row r="234" spans="1:12" x14ac:dyDescent="0.25">
      <c r="A234" t="s">
        <v>0</v>
      </c>
      <c r="B234" s="1">
        <v>39783</v>
      </c>
      <c r="C234" s="1">
        <v>44347</v>
      </c>
      <c r="D234" s="4" t="s">
        <v>2432</v>
      </c>
      <c r="E234" t="s">
        <v>3</v>
      </c>
      <c r="F234" t="s">
        <v>4</v>
      </c>
      <c r="G234" t="s">
        <v>2913</v>
      </c>
      <c r="H234" t="s">
        <v>2948</v>
      </c>
      <c r="I234" t="s">
        <v>2909</v>
      </c>
      <c r="J234" t="str">
        <f>IF(ISNUMBER(MATCH($D234,'Lopettaneet 2013-&gt;'!$D:$D,0)),INDEX('Lopettaneet 2013-&gt;'!$K:$K,MATCH($D234,'Lopettaneet 2013-&gt;'!$D:$D,0)),"Continues")</f>
        <v>Merged</v>
      </c>
      <c r="K234">
        <f ca="1">IF($J234="Continues",DATEDIF($B234,TODAY(),"Y"),INDEX('Lopettaneet 2013-&gt;'!$L:$L,MATCH($D234,'Lopettaneet 2013-&gt;'!$D:$D,0)))</f>
        <v>12</v>
      </c>
      <c r="L234">
        <v>117</v>
      </c>
    </row>
    <row r="235" spans="1:12" x14ac:dyDescent="0.25">
      <c r="A235" t="s">
        <v>7</v>
      </c>
      <c r="B235" s="1">
        <v>41974</v>
      </c>
      <c r="C235" s="1">
        <v>55153</v>
      </c>
      <c r="D235" s="4" t="s">
        <v>473</v>
      </c>
      <c r="E235" t="s">
        <v>10</v>
      </c>
      <c r="F235" t="s">
        <v>11</v>
      </c>
      <c r="G235" t="s">
        <v>2914</v>
      </c>
      <c r="H235" t="s">
        <v>2966</v>
      </c>
      <c r="I235" t="s">
        <v>2895</v>
      </c>
      <c r="J235" t="str">
        <f>IF(ISNUMBER(MATCH($D235,'Lopettaneet 2013-&gt;'!$D:$D,0)),INDEX('Lopettaneet 2013-&gt;'!$K:$K,MATCH($D235,'Lopettaneet 2013-&gt;'!$D:$D,0)),"Continues")</f>
        <v>Continues</v>
      </c>
      <c r="K235">
        <f ca="1">IF($J235="Continues",DATEDIF($B235,TODAY(),"Y"),INDEX('Lopettaneet 2013-&gt;'!$L:$L,MATCH($D235,'Lopettaneet 2013-&gt;'!$D:$D,0)))</f>
        <v>10</v>
      </c>
      <c r="L235">
        <v>117</v>
      </c>
    </row>
    <row r="236" spans="1:12" x14ac:dyDescent="0.25">
      <c r="A236" t="s">
        <v>0</v>
      </c>
      <c r="B236" s="1">
        <v>39783</v>
      </c>
      <c r="C236" s="1">
        <v>42855</v>
      </c>
      <c r="D236" s="4" t="s">
        <v>267</v>
      </c>
      <c r="E236" t="s">
        <v>3</v>
      </c>
      <c r="F236" t="s">
        <v>4</v>
      </c>
      <c r="G236" t="s">
        <v>2917</v>
      </c>
      <c r="H236" t="s">
        <v>2947</v>
      </c>
      <c r="I236" t="s">
        <v>2909</v>
      </c>
      <c r="J236" t="str">
        <f>IF(ISNUMBER(MATCH($D236,'Lopettaneet 2013-&gt;'!$D:$D,0)),INDEX('Lopettaneet 2013-&gt;'!$K:$K,MATCH($D236,'Lopettaneet 2013-&gt;'!$D:$D,0)),"Continues")</f>
        <v>Merged</v>
      </c>
      <c r="K236">
        <f ca="1">IF($J236="Continues",DATEDIF($B236,TODAY(),"Y"),INDEX('Lopettaneet 2013-&gt;'!$L:$L,MATCH($D236,'Lopettaneet 2013-&gt;'!$D:$D,0)))</f>
        <v>8</v>
      </c>
      <c r="L236">
        <v>118</v>
      </c>
    </row>
    <row r="237" spans="1:12" x14ac:dyDescent="0.25">
      <c r="A237" t="s">
        <v>7</v>
      </c>
      <c r="B237" s="1">
        <v>41974</v>
      </c>
      <c r="C237" s="1">
        <v>55153</v>
      </c>
      <c r="D237" s="4" t="s">
        <v>475</v>
      </c>
      <c r="E237" t="s">
        <v>10</v>
      </c>
      <c r="F237" t="s">
        <v>11</v>
      </c>
      <c r="G237" t="s">
        <v>2912</v>
      </c>
      <c r="H237" t="s">
        <v>2766</v>
      </c>
      <c r="I237" t="s">
        <v>2895</v>
      </c>
      <c r="J237" t="str">
        <f>IF(ISNUMBER(MATCH($D237,'Lopettaneet 2013-&gt;'!$D:$D,0)),INDEX('Lopettaneet 2013-&gt;'!$K:$K,MATCH($D237,'Lopettaneet 2013-&gt;'!$D:$D,0)),"Continues")</f>
        <v>Continues</v>
      </c>
      <c r="K237">
        <f ca="1">IF($J237="Continues",DATEDIF($B237,TODAY(),"Y"),INDEX('Lopettaneet 2013-&gt;'!$L:$L,MATCH($D237,'Lopettaneet 2013-&gt;'!$D:$D,0)))</f>
        <v>10</v>
      </c>
      <c r="L237">
        <v>118</v>
      </c>
    </row>
    <row r="238" spans="1:12" x14ac:dyDescent="0.25">
      <c r="A238" t="s">
        <v>0</v>
      </c>
      <c r="B238" s="1">
        <v>39783</v>
      </c>
      <c r="C238" s="1">
        <v>41912</v>
      </c>
      <c r="D238" s="4" t="s">
        <v>2434</v>
      </c>
      <c r="E238" t="s">
        <v>3</v>
      </c>
      <c r="F238" t="s">
        <v>4</v>
      </c>
      <c r="G238" t="s">
        <v>2913</v>
      </c>
      <c r="H238" t="s">
        <v>2924</v>
      </c>
      <c r="I238" t="s">
        <v>2909</v>
      </c>
      <c r="J238" t="str">
        <f>IF(ISNUMBER(MATCH($D238,'Lopettaneet 2013-&gt;'!$D:$D,0)),INDEX('Lopettaneet 2013-&gt;'!$K:$K,MATCH($D238,'Lopettaneet 2013-&gt;'!$D:$D,0)),"Continues")</f>
        <v>Closed</v>
      </c>
      <c r="K238">
        <f ca="1">IF($J238="Continues",DATEDIF($B238,TODAY(),"Y"),INDEX('Lopettaneet 2013-&gt;'!$L:$L,MATCH($D238,'Lopettaneet 2013-&gt;'!$D:$D,0)))</f>
        <v>5</v>
      </c>
      <c r="L238">
        <v>119</v>
      </c>
    </row>
    <row r="239" spans="1:12" x14ac:dyDescent="0.25">
      <c r="A239" t="s">
        <v>7</v>
      </c>
      <c r="B239" s="1">
        <v>41974</v>
      </c>
      <c r="C239" s="1">
        <v>42369</v>
      </c>
      <c r="D239" s="4" t="s">
        <v>477</v>
      </c>
      <c r="E239" t="s">
        <v>10</v>
      </c>
      <c r="F239" t="s">
        <v>11</v>
      </c>
      <c r="G239" t="s">
        <v>2914</v>
      </c>
      <c r="H239" t="s">
        <v>2942</v>
      </c>
      <c r="I239" t="s">
        <v>2909</v>
      </c>
      <c r="J239" t="str">
        <f>IF(ISNUMBER(MATCH($D239,'Lopettaneet 2013-&gt;'!$D:$D,0)),INDEX('Lopettaneet 2013-&gt;'!$K:$K,MATCH($D239,'Lopettaneet 2013-&gt;'!$D:$D,0)),"Continues")</f>
        <v>Closed</v>
      </c>
      <c r="K239">
        <f ca="1">IF($J239="Continues",DATEDIF($B239,TODAY(),"Y"),INDEX('Lopettaneet 2013-&gt;'!$L:$L,MATCH($D239,'Lopettaneet 2013-&gt;'!$D:$D,0)))</f>
        <v>1</v>
      </c>
      <c r="L239">
        <v>119</v>
      </c>
    </row>
    <row r="240" spans="1:12" x14ac:dyDescent="0.25">
      <c r="A240" t="s">
        <v>0</v>
      </c>
      <c r="B240" s="1">
        <v>39783</v>
      </c>
      <c r="C240" s="1">
        <v>41912</v>
      </c>
      <c r="D240" s="4" t="s">
        <v>2436</v>
      </c>
      <c r="E240" t="s">
        <v>3</v>
      </c>
      <c r="F240" t="s">
        <v>4</v>
      </c>
      <c r="G240" t="s">
        <v>2915</v>
      </c>
      <c r="H240" t="s">
        <v>2924</v>
      </c>
      <c r="I240" t="s">
        <v>2909</v>
      </c>
      <c r="J240" t="str">
        <f>IF(ISNUMBER(MATCH($D240,'Lopettaneet 2013-&gt;'!$D:$D,0)),INDEX('Lopettaneet 2013-&gt;'!$K:$K,MATCH($D240,'Lopettaneet 2013-&gt;'!$D:$D,0)),"Continues")</f>
        <v>Closed</v>
      </c>
      <c r="K240">
        <f ca="1">IF($J240="Continues",DATEDIF($B240,TODAY(),"Y"),INDEX('Lopettaneet 2013-&gt;'!$L:$L,MATCH($D240,'Lopettaneet 2013-&gt;'!$D:$D,0)))</f>
        <v>5</v>
      </c>
      <c r="L240">
        <v>120</v>
      </c>
    </row>
    <row r="241" spans="1:12" x14ac:dyDescent="0.25">
      <c r="A241" t="s">
        <v>7</v>
      </c>
      <c r="B241" s="1">
        <v>41974</v>
      </c>
      <c r="C241" s="1">
        <v>43465</v>
      </c>
      <c r="D241" s="4" t="s">
        <v>479</v>
      </c>
      <c r="E241" t="s">
        <v>10</v>
      </c>
      <c r="F241" t="s">
        <v>11</v>
      </c>
      <c r="G241" t="s">
        <v>2912</v>
      </c>
      <c r="H241" t="s">
        <v>2928</v>
      </c>
      <c r="I241" t="s">
        <v>2909</v>
      </c>
      <c r="J241" t="str">
        <f>IF(ISNUMBER(MATCH($D241,'Lopettaneet 2013-&gt;'!$D:$D,0)),INDEX('Lopettaneet 2013-&gt;'!$K:$K,MATCH($D241,'Lopettaneet 2013-&gt;'!$D:$D,0)),"Continues")</f>
        <v>Closed</v>
      </c>
      <c r="K241">
        <f ca="1">IF($J241="Continues",DATEDIF($B241,TODAY(),"Y"),INDEX('Lopettaneet 2013-&gt;'!$L:$L,MATCH($D241,'Lopettaneet 2013-&gt;'!$D:$D,0)))</f>
        <v>4</v>
      </c>
      <c r="L241">
        <v>120</v>
      </c>
    </row>
    <row r="242" spans="1:12" x14ac:dyDescent="0.25">
      <c r="A242" t="s">
        <v>0</v>
      </c>
      <c r="B242" s="1">
        <v>39783</v>
      </c>
      <c r="C242" s="1">
        <v>41912</v>
      </c>
      <c r="D242" s="4" t="s">
        <v>2438</v>
      </c>
      <c r="E242" t="s">
        <v>3</v>
      </c>
      <c r="F242" t="s">
        <v>4</v>
      </c>
      <c r="G242" t="s">
        <v>2915</v>
      </c>
      <c r="H242" t="s">
        <v>2924</v>
      </c>
      <c r="I242" t="s">
        <v>2909</v>
      </c>
      <c r="J242" t="str">
        <f>IF(ISNUMBER(MATCH($D242,'Lopettaneet 2013-&gt;'!$D:$D,0)),INDEX('Lopettaneet 2013-&gt;'!$K:$K,MATCH($D242,'Lopettaneet 2013-&gt;'!$D:$D,0)),"Continues")</f>
        <v>Closed</v>
      </c>
      <c r="K242">
        <f ca="1">IF($J242="Continues",DATEDIF($B242,TODAY(),"Y"),INDEX('Lopettaneet 2013-&gt;'!$L:$L,MATCH($D242,'Lopettaneet 2013-&gt;'!$D:$D,0)))</f>
        <v>5</v>
      </c>
      <c r="L242">
        <v>121</v>
      </c>
    </row>
    <row r="243" spans="1:12" x14ac:dyDescent="0.25">
      <c r="A243" t="s">
        <v>7</v>
      </c>
      <c r="B243" s="1">
        <v>41974</v>
      </c>
      <c r="C243" s="1">
        <v>44926</v>
      </c>
      <c r="D243" s="4" t="s">
        <v>481</v>
      </c>
      <c r="E243" t="s">
        <v>10</v>
      </c>
      <c r="F243" t="s">
        <v>11</v>
      </c>
      <c r="G243" t="s">
        <v>2918</v>
      </c>
      <c r="H243" t="s">
        <v>2963</v>
      </c>
      <c r="I243" t="s">
        <v>2909</v>
      </c>
      <c r="J243" t="str">
        <f>IF(ISNUMBER(MATCH($D243,'Lopettaneet 2013-&gt;'!$D:$D,0)),INDEX('Lopettaneet 2013-&gt;'!$K:$K,MATCH($D243,'Lopettaneet 2013-&gt;'!$D:$D,0)),"Continues")</f>
        <v>Closed</v>
      </c>
      <c r="K243">
        <f ca="1">IF($J243="Continues",DATEDIF($B243,TODAY(),"Y"),INDEX('Lopettaneet 2013-&gt;'!$L:$L,MATCH($D243,'Lopettaneet 2013-&gt;'!$D:$D,0)))</f>
        <v>8</v>
      </c>
      <c r="L243">
        <v>121</v>
      </c>
    </row>
    <row r="244" spans="1:12" x14ac:dyDescent="0.25">
      <c r="A244" t="s">
        <v>0</v>
      </c>
      <c r="B244" s="1">
        <v>39783</v>
      </c>
      <c r="C244" s="1">
        <v>41912</v>
      </c>
      <c r="D244" s="4" t="s">
        <v>2440</v>
      </c>
      <c r="E244" t="s">
        <v>3</v>
      </c>
      <c r="F244" t="s">
        <v>4</v>
      </c>
      <c r="G244" t="s">
        <v>2915</v>
      </c>
      <c r="H244" t="s">
        <v>2924</v>
      </c>
      <c r="I244" t="s">
        <v>2909</v>
      </c>
      <c r="J244" t="str">
        <f>IF(ISNUMBER(MATCH($D244,'Lopettaneet 2013-&gt;'!$D:$D,0)),INDEX('Lopettaneet 2013-&gt;'!$K:$K,MATCH($D244,'Lopettaneet 2013-&gt;'!$D:$D,0)),"Continues")</f>
        <v>Closed</v>
      </c>
      <c r="K244">
        <f ca="1">IF($J244="Continues",DATEDIF($B244,TODAY(),"Y"),INDEX('Lopettaneet 2013-&gt;'!$L:$L,MATCH($D244,'Lopettaneet 2013-&gt;'!$D:$D,0)))</f>
        <v>5</v>
      </c>
      <c r="L244">
        <v>122</v>
      </c>
    </row>
    <row r="245" spans="1:12" x14ac:dyDescent="0.25">
      <c r="A245" t="s">
        <v>7</v>
      </c>
      <c r="B245" s="1">
        <v>41974</v>
      </c>
      <c r="C245" s="1">
        <v>44926</v>
      </c>
      <c r="D245" s="4" t="s">
        <v>566</v>
      </c>
      <c r="E245" t="s">
        <v>10</v>
      </c>
      <c r="F245" t="s">
        <v>11</v>
      </c>
      <c r="G245" t="s">
        <v>2918</v>
      </c>
      <c r="H245" t="s">
        <v>2963</v>
      </c>
      <c r="I245" t="s">
        <v>2909</v>
      </c>
      <c r="J245" t="str">
        <f>IF(ISNUMBER(MATCH($D245,'Lopettaneet 2013-&gt;'!$D:$D,0)),INDEX('Lopettaneet 2013-&gt;'!$K:$K,MATCH($D245,'Lopettaneet 2013-&gt;'!$D:$D,0)),"Continues")</f>
        <v>Continues</v>
      </c>
      <c r="K245">
        <f ca="1">IF($J245="Continues",DATEDIF($B245,TODAY(),"Y"),INDEX('Lopettaneet 2013-&gt;'!$L:$L,MATCH($D245,'Lopettaneet 2013-&gt;'!$D:$D,0)))</f>
        <v>10</v>
      </c>
      <c r="L245">
        <v>122</v>
      </c>
    </row>
    <row r="246" spans="1:12" x14ac:dyDescent="0.25">
      <c r="A246" t="s">
        <v>0</v>
      </c>
      <c r="B246" s="1">
        <v>39783</v>
      </c>
      <c r="C246" s="1">
        <v>41912</v>
      </c>
      <c r="D246" s="4" t="s">
        <v>2442</v>
      </c>
      <c r="E246" t="s">
        <v>3</v>
      </c>
      <c r="F246" t="s">
        <v>4</v>
      </c>
      <c r="G246" t="s">
        <v>2915</v>
      </c>
      <c r="H246" t="s">
        <v>2924</v>
      </c>
      <c r="I246" t="s">
        <v>2909</v>
      </c>
      <c r="J246" t="str">
        <f>IF(ISNUMBER(MATCH($D246,'Lopettaneet 2013-&gt;'!$D:$D,0)),INDEX('Lopettaneet 2013-&gt;'!$K:$K,MATCH($D246,'Lopettaneet 2013-&gt;'!$D:$D,0)),"Continues")</f>
        <v>Closed</v>
      </c>
      <c r="K246">
        <f ca="1">IF($J246="Continues",DATEDIF($B246,TODAY(),"Y"),INDEX('Lopettaneet 2013-&gt;'!$L:$L,MATCH($D246,'Lopettaneet 2013-&gt;'!$D:$D,0)))</f>
        <v>5</v>
      </c>
      <c r="L246">
        <v>123</v>
      </c>
    </row>
    <row r="247" spans="1:12" x14ac:dyDescent="0.25">
      <c r="A247" t="s">
        <v>7</v>
      </c>
      <c r="B247" s="1">
        <v>41974</v>
      </c>
      <c r="C247" s="1">
        <v>44196</v>
      </c>
      <c r="D247" s="4" t="s">
        <v>485</v>
      </c>
      <c r="E247" t="s">
        <v>10</v>
      </c>
      <c r="F247" t="s">
        <v>11</v>
      </c>
      <c r="G247" t="s">
        <v>2914</v>
      </c>
      <c r="H247" t="s">
        <v>2950</v>
      </c>
      <c r="I247" t="s">
        <v>2909</v>
      </c>
      <c r="J247" t="str">
        <f>IF(ISNUMBER(MATCH($D247,'Lopettaneet 2013-&gt;'!$D:$D,0)),INDEX('Lopettaneet 2013-&gt;'!$K:$K,MATCH($D247,'Lopettaneet 2013-&gt;'!$D:$D,0)),"Continues")</f>
        <v>Closed</v>
      </c>
      <c r="K247">
        <f ca="1">IF($J247="Continues",DATEDIF($B247,TODAY(),"Y"),INDEX('Lopettaneet 2013-&gt;'!$L:$L,MATCH($D247,'Lopettaneet 2013-&gt;'!$D:$D,0)))</f>
        <v>6</v>
      </c>
      <c r="L247">
        <v>123</v>
      </c>
    </row>
    <row r="248" spans="1:12" x14ac:dyDescent="0.25">
      <c r="A248" t="s">
        <v>0</v>
      </c>
      <c r="B248" s="1">
        <v>39783</v>
      </c>
      <c r="C248" s="1">
        <v>42855</v>
      </c>
      <c r="D248" s="4" t="s">
        <v>2444</v>
      </c>
      <c r="E248" t="s">
        <v>3</v>
      </c>
      <c r="F248" t="s">
        <v>4</v>
      </c>
      <c r="G248" t="s">
        <v>2917</v>
      </c>
      <c r="H248" t="s">
        <v>2947</v>
      </c>
      <c r="I248" t="s">
        <v>2909</v>
      </c>
      <c r="J248" t="str">
        <f>IF(ISNUMBER(MATCH($D248,'Lopettaneet 2013-&gt;'!$D:$D,0)),INDEX('Lopettaneet 2013-&gt;'!$K:$K,MATCH($D248,'Lopettaneet 2013-&gt;'!$D:$D,0)),"Continues")</f>
        <v>Merged</v>
      </c>
      <c r="K248">
        <f ca="1">IF($J248="Continues",DATEDIF($B248,TODAY(),"Y"),INDEX('Lopettaneet 2013-&gt;'!$L:$L,MATCH($D248,'Lopettaneet 2013-&gt;'!$D:$D,0)))</f>
        <v>8</v>
      </c>
      <c r="L248">
        <v>124</v>
      </c>
    </row>
    <row r="249" spans="1:12" x14ac:dyDescent="0.25">
      <c r="A249" t="s">
        <v>7</v>
      </c>
      <c r="B249" s="1">
        <v>41974</v>
      </c>
      <c r="C249" s="1">
        <v>55153</v>
      </c>
      <c r="D249" s="4" t="s">
        <v>487</v>
      </c>
      <c r="E249" t="s">
        <v>10</v>
      </c>
      <c r="F249" t="s">
        <v>11</v>
      </c>
      <c r="G249" t="s">
        <v>2912</v>
      </c>
      <c r="H249" t="s">
        <v>2950</v>
      </c>
      <c r="I249" t="s">
        <v>2895</v>
      </c>
      <c r="J249" t="str">
        <f>IF(ISNUMBER(MATCH($D249,'Lopettaneet 2013-&gt;'!$D:$D,0)),INDEX('Lopettaneet 2013-&gt;'!$K:$K,MATCH($D249,'Lopettaneet 2013-&gt;'!$D:$D,0)),"Continues")</f>
        <v>Continues</v>
      </c>
      <c r="K249">
        <f ca="1">IF($J249="Continues",DATEDIF($B249,TODAY(),"Y"),INDEX('Lopettaneet 2013-&gt;'!$L:$L,MATCH($D249,'Lopettaneet 2013-&gt;'!$D:$D,0)))</f>
        <v>10</v>
      </c>
      <c r="L249">
        <v>124</v>
      </c>
    </row>
    <row r="250" spans="1:12" x14ac:dyDescent="0.25">
      <c r="A250" t="s">
        <v>0</v>
      </c>
      <c r="B250" s="1">
        <v>39783</v>
      </c>
      <c r="C250" s="1">
        <v>43555</v>
      </c>
      <c r="D250" s="4" t="s">
        <v>2446</v>
      </c>
      <c r="E250" t="s">
        <v>3</v>
      </c>
      <c r="F250" t="s">
        <v>4</v>
      </c>
      <c r="G250" t="s">
        <v>2913</v>
      </c>
      <c r="H250" t="s">
        <v>2923</v>
      </c>
      <c r="I250" t="s">
        <v>2909</v>
      </c>
      <c r="J250" t="str">
        <f>IF(ISNUMBER(MATCH($D250,'Lopettaneet 2013-&gt;'!$D:$D,0)),INDEX('Lopettaneet 2013-&gt;'!$K:$K,MATCH($D250,'Lopettaneet 2013-&gt;'!$D:$D,0)),"Continues")</f>
        <v>Closed</v>
      </c>
      <c r="K250">
        <f ca="1">IF($J250="Continues",DATEDIF($B250,TODAY(),"Y"),INDEX('Lopettaneet 2013-&gt;'!$L:$L,MATCH($D250,'Lopettaneet 2013-&gt;'!$D:$D,0)))</f>
        <v>10</v>
      </c>
      <c r="L250">
        <v>125</v>
      </c>
    </row>
    <row r="251" spans="1:12" x14ac:dyDescent="0.25">
      <c r="A251" t="s">
        <v>7</v>
      </c>
      <c r="B251" s="1">
        <v>41974</v>
      </c>
      <c r="C251" s="1">
        <v>43830</v>
      </c>
      <c r="D251" s="4" t="s">
        <v>489</v>
      </c>
      <c r="E251" t="s">
        <v>10</v>
      </c>
      <c r="F251" t="s">
        <v>11</v>
      </c>
      <c r="G251" t="s">
        <v>2914</v>
      </c>
      <c r="H251" t="s">
        <v>2950</v>
      </c>
      <c r="I251" t="s">
        <v>2909</v>
      </c>
      <c r="J251" t="str">
        <f>IF(ISNUMBER(MATCH($D251,'Lopettaneet 2013-&gt;'!$D:$D,0)),INDEX('Lopettaneet 2013-&gt;'!$K:$K,MATCH($D251,'Lopettaneet 2013-&gt;'!$D:$D,0)),"Continues")</f>
        <v>Closed</v>
      </c>
      <c r="K251">
        <f ca="1">IF($J251="Continues",DATEDIF($B251,TODAY(),"Y"),INDEX('Lopettaneet 2013-&gt;'!$L:$L,MATCH($D251,'Lopettaneet 2013-&gt;'!$D:$D,0)))</f>
        <v>5</v>
      </c>
      <c r="L251">
        <v>125</v>
      </c>
    </row>
    <row r="252" spans="1:12" x14ac:dyDescent="0.25">
      <c r="A252" t="s">
        <v>0</v>
      </c>
      <c r="B252" s="1">
        <v>39783</v>
      </c>
      <c r="C252" s="1">
        <v>41943</v>
      </c>
      <c r="D252" s="4" t="s">
        <v>2448</v>
      </c>
      <c r="E252" t="s">
        <v>3</v>
      </c>
      <c r="F252" t="s">
        <v>4</v>
      </c>
      <c r="G252" t="s">
        <v>2917</v>
      </c>
      <c r="H252" t="s">
        <v>2924</v>
      </c>
      <c r="I252" t="s">
        <v>2909</v>
      </c>
      <c r="J252" t="str">
        <f>IF(ISNUMBER(MATCH($D252,'Lopettaneet 2013-&gt;'!$D:$D,0)),INDEX('Lopettaneet 2013-&gt;'!$K:$K,MATCH($D252,'Lopettaneet 2013-&gt;'!$D:$D,0)),"Continues")</f>
        <v>Closed</v>
      </c>
      <c r="K252">
        <f ca="1">IF($J252="Continues",DATEDIF($B252,TODAY(),"Y"),INDEX('Lopettaneet 2013-&gt;'!$L:$L,MATCH($D252,'Lopettaneet 2013-&gt;'!$D:$D,0)))</f>
        <v>5</v>
      </c>
      <c r="L252">
        <v>126</v>
      </c>
    </row>
    <row r="253" spans="1:12" x14ac:dyDescent="0.25">
      <c r="A253" t="s">
        <v>7</v>
      </c>
      <c r="B253" s="1">
        <v>41974</v>
      </c>
      <c r="C253" s="1">
        <v>55153</v>
      </c>
      <c r="D253" s="4" t="s">
        <v>491</v>
      </c>
      <c r="E253" t="s">
        <v>10</v>
      </c>
      <c r="F253" t="s">
        <v>11</v>
      </c>
      <c r="G253" t="s">
        <v>2916</v>
      </c>
      <c r="H253" t="s">
        <v>3006</v>
      </c>
      <c r="I253" t="s">
        <v>2895</v>
      </c>
      <c r="J253" t="str">
        <f>IF(ISNUMBER(MATCH($D253,'Lopettaneet 2013-&gt;'!$D:$D,0)),INDEX('Lopettaneet 2013-&gt;'!$K:$K,MATCH($D253,'Lopettaneet 2013-&gt;'!$D:$D,0)),"Continues")</f>
        <v>Continues</v>
      </c>
      <c r="K253">
        <f ca="1">IF($J253="Continues",DATEDIF($B253,TODAY(),"Y"),INDEX('Lopettaneet 2013-&gt;'!$L:$L,MATCH($D253,'Lopettaneet 2013-&gt;'!$D:$D,0)))</f>
        <v>10</v>
      </c>
      <c r="L253">
        <v>126</v>
      </c>
    </row>
    <row r="254" spans="1:12" x14ac:dyDescent="0.25">
      <c r="A254" t="s">
        <v>0</v>
      </c>
      <c r="B254" s="1">
        <v>39783</v>
      </c>
      <c r="C254" s="1">
        <v>42855</v>
      </c>
      <c r="D254" s="4" t="s">
        <v>2450</v>
      </c>
      <c r="E254" t="s">
        <v>3</v>
      </c>
      <c r="F254" t="s">
        <v>4</v>
      </c>
      <c r="G254" t="s">
        <v>2917</v>
      </c>
      <c r="H254" t="s">
        <v>2947</v>
      </c>
      <c r="I254" t="s">
        <v>2909</v>
      </c>
      <c r="J254" t="str">
        <f>IF(ISNUMBER(MATCH($D254,'Lopettaneet 2013-&gt;'!$D:$D,0)),INDEX('Lopettaneet 2013-&gt;'!$K:$K,MATCH($D254,'Lopettaneet 2013-&gt;'!$D:$D,0)),"Continues")</f>
        <v>Merged</v>
      </c>
      <c r="K254">
        <f ca="1">IF($J254="Continues",DATEDIF($B254,TODAY(),"Y"),INDEX('Lopettaneet 2013-&gt;'!$L:$L,MATCH($D254,'Lopettaneet 2013-&gt;'!$D:$D,0)))</f>
        <v>8</v>
      </c>
      <c r="L254">
        <v>127</v>
      </c>
    </row>
    <row r="255" spans="1:12" x14ac:dyDescent="0.25">
      <c r="A255" t="s">
        <v>7</v>
      </c>
      <c r="B255" s="1">
        <v>41974</v>
      </c>
      <c r="C255" s="1">
        <v>43100</v>
      </c>
      <c r="D255" s="4" t="s">
        <v>493</v>
      </c>
      <c r="E255" t="s">
        <v>10</v>
      </c>
      <c r="F255" t="s">
        <v>11</v>
      </c>
      <c r="G255" t="s">
        <v>2912</v>
      </c>
      <c r="H255" t="s">
        <v>2972</v>
      </c>
      <c r="I255" t="s">
        <v>2909</v>
      </c>
      <c r="J255" t="str">
        <f>IF(ISNUMBER(MATCH($D255,'Lopettaneet 2013-&gt;'!$D:$D,0)),INDEX('Lopettaneet 2013-&gt;'!$K:$K,MATCH($D255,'Lopettaneet 2013-&gt;'!$D:$D,0)),"Continues")</f>
        <v>Closed</v>
      </c>
      <c r="K255">
        <f ca="1">IF($J255="Continues",DATEDIF($B255,TODAY(),"Y"),INDEX('Lopettaneet 2013-&gt;'!$L:$L,MATCH($D255,'Lopettaneet 2013-&gt;'!$D:$D,0)))</f>
        <v>3</v>
      </c>
      <c r="L255">
        <v>127</v>
      </c>
    </row>
    <row r="256" spans="1:12" x14ac:dyDescent="0.25">
      <c r="A256" t="s">
        <v>0</v>
      </c>
      <c r="B256" s="1">
        <v>39783</v>
      </c>
      <c r="C256" s="1">
        <v>42855</v>
      </c>
      <c r="D256" s="4" t="s">
        <v>2452</v>
      </c>
      <c r="E256" t="s">
        <v>3</v>
      </c>
      <c r="F256" t="s">
        <v>4</v>
      </c>
      <c r="G256" t="s">
        <v>2917</v>
      </c>
      <c r="H256" t="s">
        <v>2947</v>
      </c>
      <c r="I256" t="s">
        <v>2909</v>
      </c>
      <c r="J256" t="str">
        <f>IF(ISNUMBER(MATCH($D256,'Lopettaneet 2013-&gt;'!$D:$D,0)),INDEX('Lopettaneet 2013-&gt;'!$K:$K,MATCH($D256,'Lopettaneet 2013-&gt;'!$D:$D,0)),"Continues")</f>
        <v>Merged</v>
      </c>
      <c r="K256">
        <f ca="1">IF($J256="Continues",DATEDIF($B256,TODAY(),"Y"),INDEX('Lopettaneet 2013-&gt;'!$L:$L,MATCH($D256,'Lopettaneet 2013-&gt;'!$D:$D,0)))</f>
        <v>8</v>
      </c>
      <c r="L256">
        <v>128</v>
      </c>
    </row>
    <row r="257" spans="1:12" x14ac:dyDescent="0.25">
      <c r="A257" t="s">
        <v>7</v>
      </c>
      <c r="B257" s="1">
        <v>41974</v>
      </c>
      <c r="C257" s="1">
        <v>44196</v>
      </c>
      <c r="D257" s="4" t="s">
        <v>495</v>
      </c>
      <c r="E257" t="s">
        <v>10</v>
      </c>
      <c r="F257" t="s">
        <v>11</v>
      </c>
      <c r="G257" t="s">
        <v>2912</v>
      </c>
      <c r="H257" t="s">
        <v>2972</v>
      </c>
      <c r="I257" t="s">
        <v>2909</v>
      </c>
      <c r="J257" t="str">
        <f>IF(ISNUMBER(MATCH($D257,'Lopettaneet 2013-&gt;'!$D:$D,0)),INDEX('Lopettaneet 2013-&gt;'!$K:$K,MATCH($D257,'Lopettaneet 2013-&gt;'!$D:$D,0)),"Continues")</f>
        <v>Closed</v>
      </c>
      <c r="K257">
        <f ca="1">IF($J257="Continues",DATEDIF($B257,TODAY(),"Y"),INDEX('Lopettaneet 2013-&gt;'!$L:$L,MATCH($D257,'Lopettaneet 2013-&gt;'!$D:$D,0)))</f>
        <v>6</v>
      </c>
      <c r="L257">
        <v>128</v>
      </c>
    </row>
    <row r="258" spans="1:12" x14ac:dyDescent="0.25">
      <c r="A258" t="s">
        <v>0</v>
      </c>
      <c r="B258" s="1">
        <v>39783</v>
      </c>
      <c r="C258" s="1">
        <v>42185</v>
      </c>
      <c r="D258" s="4" t="s">
        <v>2454</v>
      </c>
      <c r="E258" t="s">
        <v>10</v>
      </c>
      <c r="F258" t="s">
        <v>4</v>
      </c>
      <c r="G258" t="s">
        <v>2919</v>
      </c>
      <c r="H258" t="s">
        <v>2923</v>
      </c>
      <c r="I258" t="s">
        <v>2909</v>
      </c>
      <c r="J258" t="str">
        <f>IF(ISNUMBER(MATCH($D258,'Lopettaneet 2013-&gt;'!$D:$D,0)),INDEX('Lopettaneet 2013-&gt;'!$K:$K,MATCH($D258,'Lopettaneet 2013-&gt;'!$D:$D,0)),"Continues")</f>
        <v>Closed</v>
      </c>
      <c r="K258">
        <f ca="1">IF($J258="Continues",DATEDIF($B258,TODAY(),"Y"),INDEX('Lopettaneet 2013-&gt;'!$L:$L,MATCH($D258,'Lopettaneet 2013-&gt;'!$D:$D,0)))</f>
        <v>6</v>
      </c>
      <c r="L258">
        <v>129</v>
      </c>
    </row>
    <row r="259" spans="1:12" x14ac:dyDescent="0.25">
      <c r="A259" t="s">
        <v>7</v>
      </c>
      <c r="B259" s="1">
        <v>41974</v>
      </c>
      <c r="C259" s="1">
        <v>44196</v>
      </c>
      <c r="D259" s="4" t="s">
        <v>497</v>
      </c>
      <c r="E259" t="s">
        <v>10</v>
      </c>
      <c r="F259" t="s">
        <v>11</v>
      </c>
      <c r="G259" t="s">
        <v>2912</v>
      </c>
      <c r="H259" t="s">
        <v>2972</v>
      </c>
      <c r="I259" t="s">
        <v>2909</v>
      </c>
      <c r="J259" t="str">
        <f>IF(ISNUMBER(MATCH($D259,'Lopettaneet 2013-&gt;'!$D:$D,0)),INDEX('Lopettaneet 2013-&gt;'!$K:$K,MATCH($D259,'Lopettaneet 2013-&gt;'!$D:$D,0)),"Continues")</f>
        <v>Closed</v>
      </c>
      <c r="K259">
        <f ca="1">IF($J259="Continues",DATEDIF($B259,TODAY(),"Y"),INDEX('Lopettaneet 2013-&gt;'!$L:$L,MATCH($D259,'Lopettaneet 2013-&gt;'!$D:$D,0)))</f>
        <v>6</v>
      </c>
      <c r="L259">
        <v>129</v>
      </c>
    </row>
    <row r="260" spans="1:12" x14ac:dyDescent="0.25">
      <c r="A260" t="s">
        <v>0</v>
      </c>
      <c r="B260" s="1">
        <v>39783</v>
      </c>
      <c r="C260" s="1">
        <v>42369</v>
      </c>
      <c r="D260" s="4" t="s">
        <v>2456</v>
      </c>
      <c r="E260" t="s">
        <v>10</v>
      </c>
      <c r="F260" t="s">
        <v>4</v>
      </c>
      <c r="G260" t="s">
        <v>2915</v>
      </c>
      <c r="H260" t="s">
        <v>2952</v>
      </c>
      <c r="I260" t="s">
        <v>2909</v>
      </c>
      <c r="J260" t="str">
        <f>IF(ISNUMBER(MATCH($D260,'Lopettaneet 2013-&gt;'!$D:$D,0)),INDEX('Lopettaneet 2013-&gt;'!$K:$K,MATCH($D260,'Lopettaneet 2013-&gt;'!$D:$D,0)),"Continues")</f>
        <v>Closed</v>
      </c>
      <c r="K260">
        <f ca="1">IF($J260="Continues",DATEDIF($B260,TODAY(),"Y"),INDEX('Lopettaneet 2013-&gt;'!$L:$L,MATCH($D260,'Lopettaneet 2013-&gt;'!$D:$D,0)))</f>
        <v>7</v>
      </c>
      <c r="L260">
        <v>130</v>
      </c>
    </row>
    <row r="261" spans="1:12" x14ac:dyDescent="0.25">
      <c r="A261" t="s">
        <v>7</v>
      </c>
      <c r="B261" s="1">
        <v>41974</v>
      </c>
      <c r="C261" s="1">
        <v>44196</v>
      </c>
      <c r="D261" s="4" t="s">
        <v>499</v>
      </c>
      <c r="E261" t="s">
        <v>10</v>
      </c>
      <c r="F261" t="s">
        <v>11</v>
      </c>
      <c r="G261" t="s">
        <v>2912</v>
      </c>
      <c r="H261" t="s">
        <v>2972</v>
      </c>
      <c r="I261" t="s">
        <v>2909</v>
      </c>
      <c r="J261" t="str">
        <f>IF(ISNUMBER(MATCH($D261,'Lopettaneet 2013-&gt;'!$D:$D,0)),INDEX('Lopettaneet 2013-&gt;'!$K:$K,MATCH($D261,'Lopettaneet 2013-&gt;'!$D:$D,0)),"Continues")</f>
        <v>Closed</v>
      </c>
      <c r="K261">
        <f ca="1">IF($J261="Continues",DATEDIF($B261,TODAY(),"Y"),INDEX('Lopettaneet 2013-&gt;'!$L:$L,MATCH($D261,'Lopettaneet 2013-&gt;'!$D:$D,0)))</f>
        <v>6</v>
      </c>
      <c r="L261">
        <v>130</v>
      </c>
    </row>
    <row r="262" spans="1:12" x14ac:dyDescent="0.25">
      <c r="A262" t="s">
        <v>0</v>
      </c>
      <c r="B262" s="1">
        <v>39783</v>
      </c>
      <c r="C262" s="1">
        <v>43524</v>
      </c>
      <c r="D262" s="4" t="s">
        <v>2458</v>
      </c>
      <c r="E262" t="s">
        <v>10</v>
      </c>
      <c r="F262" t="s">
        <v>4</v>
      </c>
      <c r="G262" t="s">
        <v>2919</v>
      </c>
      <c r="H262" t="s">
        <v>2842</v>
      </c>
      <c r="I262" t="s">
        <v>2909</v>
      </c>
      <c r="J262" t="str">
        <f>IF(ISNUMBER(MATCH($D262,'Lopettaneet 2013-&gt;'!$D:$D,0)),INDEX('Lopettaneet 2013-&gt;'!$K:$K,MATCH($D262,'Lopettaneet 2013-&gt;'!$D:$D,0)),"Continues")</f>
        <v>Merged</v>
      </c>
      <c r="K262">
        <f ca="1">IF($J262="Continues",DATEDIF($B262,TODAY(),"Y"),INDEX('Lopettaneet 2013-&gt;'!$L:$L,MATCH($D262,'Lopettaneet 2013-&gt;'!$D:$D,0)))</f>
        <v>10</v>
      </c>
      <c r="L262">
        <v>131</v>
      </c>
    </row>
    <row r="263" spans="1:12" x14ac:dyDescent="0.25">
      <c r="A263" t="s">
        <v>7</v>
      </c>
      <c r="B263" s="1">
        <v>41974</v>
      </c>
      <c r="C263" s="1">
        <v>44196</v>
      </c>
      <c r="D263" s="4" t="s">
        <v>501</v>
      </c>
      <c r="E263" t="s">
        <v>10</v>
      </c>
      <c r="F263" t="s">
        <v>11</v>
      </c>
      <c r="G263" t="s">
        <v>2912</v>
      </c>
      <c r="H263" t="s">
        <v>2972</v>
      </c>
      <c r="I263" t="s">
        <v>2909</v>
      </c>
      <c r="J263" t="str">
        <f>IF(ISNUMBER(MATCH($D263,'Lopettaneet 2013-&gt;'!$D:$D,0)),INDEX('Lopettaneet 2013-&gt;'!$K:$K,MATCH($D263,'Lopettaneet 2013-&gt;'!$D:$D,0)),"Continues")</f>
        <v>Closed</v>
      </c>
      <c r="K263">
        <f ca="1">IF($J263="Continues",DATEDIF($B263,TODAY(),"Y"),INDEX('Lopettaneet 2013-&gt;'!$L:$L,MATCH($D263,'Lopettaneet 2013-&gt;'!$D:$D,0)))</f>
        <v>6</v>
      </c>
      <c r="L263">
        <v>131</v>
      </c>
    </row>
    <row r="264" spans="1:12" x14ac:dyDescent="0.25">
      <c r="A264" t="s">
        <v>0</v>
      </c>
      <c r="B264" s="1">
        <v>39783</v>
      </c>
      <c r="C264" s="1">
        <v>42886</v>
      </c>
      <c r="D264" s="4" t="s">
        <v>2460</v>
      </c>
      <c r="E264" t="s">
        <v>10</v>
      </c>
      <c r="F264" t="s">
        <v>4</v>
      </c>
      <c r="G264" t="s">
        <v>2915</v>
      </c>
      <c r="H264" t="s">
        <v>2953</v>
      </c>
      <c r="I264" t="s">
        <v>2909</v>
      </c>
      <c r="J264" t="str">
        <f>IF(ISNUMBER(MATCH($D264,'Lopettaneet 2013-&gt;'!$D:$D,0)),INDEX('Lopettaneet 2013-&gt;'!$K:$K,MATCH($D264,'Lopettaneet 2013-&gt;'!$D:$D,0)),"Continues")</f>
        <v>Merged</v>
      </c>
      <c r="K264">
        <f ca="1">IF($J264="Continues",DATEDIF($B264,TODAY(),"Y"),INDEX('Lopettaneet 2013-&gt;'!$L:$L,MATCH($D264,'Lopettaneet 2013-&gt;'!$D:$D,0)))</f>
        <v>8</v>
      </c>
      <c r="L264">
        <v>132</v>
      </c>
    </row>
    <row r="265" spans="1:12" x14ac:dyDescent="0.25">
      <c r="A265" t="s">
        <v>7</v>
      </c>
      <c r="B265" s="1">
        <v>41974</v>
      </c>
      <c r="C265" s="1">
        <v>44196</v>
      </c>
      <c r="D265" s="4" t="s">
        <v>503</v>
      </c>
      <c r="E265" t="s">
        <v>10</v>
      </c>
      <c r="F265" t="s">
        <v>11</v>
      </c>
      <c r="G265" t="s">
        <v>2912</v>
      </c>
      <c r="H265" t="s">
        <v>2972</v>
      </c>
      <c r="I265" t="s">
        <v>2909</v>
      </c>
      <c r="J265" t="str">
        <f>IF(ISNUMBER(MATCH($D265,'Lopettaneet 2013-&gt;'!$D:$D,0)),INDEX('Lopettaneet 2013-&gt;'!$K:$K,MATCH($D265,'Lopettaneet 2013-&gt;'!$D:$D,0)),"Continues")</f>
        <v>Closed</v>
      </c>
      <c r="K265">
        <f ca="1">IF($J265="Continues",DATEDIF($B265,TODAY(),"Y"),INDEX('Lopettaneet 2013-&gt;'!$L:$L,MATCH($D265,'Lopettaneet 2013-&gt;'!$D:$D,0)))</f>
        <v>6</v>
      </c>
      <c r="L265">
        <v>132</v>
      </c>
    </row>
    <row r="266" spans="1:12" x14ac:dyDescent="0.25">
      <c r="A266" t="s">
        <v>0</v>
      </c>
      <c r="B266" s="1">
        <v>39783</v>
      </c>
      <c r="C266" s="1">
        <v>42855</v>
      </c>
      <c r="D266" s="4" t="s">
        <v>2462</v>
      </c>
      <c r="E266" t="s">
        <v>3</v>
      </c>
      <c r="F266" t="s">
        <v>4</v>
      </c>
      <c r="G266" t="s">
        <v>2917</v>
      </c>
      <c r="H266" t="s">
        <v>2947</v>
      </c>
      <c r="I266" t="s">
        <v>2909</v>
      </c>
      <c r="J266" t="str">
        <f>IF(ISNUMBER(MATCH($D266,'Lopettaneet 2013-&gt;'!$D:$D,0)),INDEX('Lopettaneet 2013-&gt;'!$K:$K,MATCH($D266,'Lopettaneet 2013-&gt;'!$D:$D,0)),"Continues")</f>
        <v>Merged</v>
      </c>
      <c r="K266">
        <f ca="1">IF($J266="Continues",DATEDIF($B266,TODAY(),"Y"),INDEX('Lopettaneet 2013-&gt;'!$L:$L,MATCH($D266,'Lopettaneet 2013-&gt;'!$D:$D,0)))</f>
        <v>8</v>
      </c>
      <c r="L266">
        <v>133</v>
      </c>
    </row>
    <row r="267" spans="1:12" x14ac:dyDescent="0.25">
      <c r="A267" t="s">
        <v>7</v>
      </c>
      <c r="B267" s="1">
        <v>41974</v>
      </c>
      <c r="C267" s="1">
        <v>55153</v>
      </c>
      <c r="D267" s="4" t="s">
        <v>505</v>
      </c>
      <c r="E267" t="s">
        <v>10</v>
      </c>
      <c r="F267" t="s">
        <v>11</v>
      </c>
      <c r="G267" t="s">
        <v>2912</v>
      </c>
      <c r="H267" t="s">
        <v>2965</v>
      </c>
      <c r="I267" t="s">
        <v>2895</v>
      </c>
      <c r="J267" t="str">
        <f>IF(ISNUMBER(MATCH($D267,'Lopettaneet 2013-&gt;'!$D:$D,0)),INDEX('Lopettaneet 2013-&gt;'!$K:$K,MATCH($D267,'Lopettaneet 2013-&gt;'!$D:$D,0)),"Continues")</f>
        <v>Continues</v>
      </c>
      <c r="K267">
        <f ca="1">IF($J267="Continues",DATEDIF($B267,TODAY(),"Y"),INDEX('Lopettaneet 2013-&gt;'!$L:$L,MATCH($D267,'Lopettaneet 2013-&gt;'!$D:$D,0)))</f>
        <v>10</v>
      </c>
      <c r="L267">
        <v>133</v>
      </c>
    </row>
    <row r="268" spans="1:12" x14ac:dyDescent="0.25">
      <c r="A268" t="s">
        <v>0</v>
      </c>
      <c r="B268" s="1">
        <v>39783</v>
      </c>
      <c r="C268" s="1">
        <v>42124</v>
      </c>
      <c r="D268" s="4" t="s">
        <v>2464</v>
      </c>
      <c r="E268" t="s">
        <v>3</v>
      </c>
      <c r="F268" t="s">
        <v>4</v>
      </c>
      <c r="G268" t="s">
        <v>2917</v>
      </c>
      <c r="H268" t="s">
        <v>2948</v>
      </c>
      <c r="I268" t="s">
        <v>2909</v>
      </c>
      <c r="J268" t="str">
        <f>IF(ISNUMBER(MATCH($D268,'Lopettaneet 2013-&gt;'!$D:$D,0)),INDEX('Lopettaneet 2013-&gt;'!$K:$K,MATCH($D268,'Lopettaneet 2013-&gt;'!$D:$D,0)),"Continues")</f>
        <v>Merged</v>
      </c>
      <c r="K268">
        <f ca="1">IF($J268="Continues",DATEDIF($B268,TODAY(),"Y"),INDEX('Lopettaneet 2013-&gt;'!$L:$L,MATCH($D268,'Lopettaneet 2013-&gt;'!$D:$D,0)))</f>
        <v>6</v>
      </c>
      <c r="L268">
        <v>134</v>
      </c>
    </row>
    <row r="269" spans="1:12" x14ac:dyDescent="0.25">
      <c r="A269" t="s">
        <v>7</v>
      </c>
      <c r="B269" s="1">
        <v>41974</v>
      </c>
      <c r="C269" s="1">
        <v>55153</v>
      </c>
      <c r="D269" s="4" t="s">
        <v>507</v>
      </c>
      <c r="E269" t="s">
        <v>10</v>
      </c>
      <c r="F269" t="s">
        <v>11</v>
      </c>
      <c r="G269" t="s">
        <v>2912</v>
      </c>
      <c r="H269" t="s">
        <v>2965</v>
      </c>
      <c r="I269" t="s">
        <v>2895</v>
      </c>
      <c r="J269" t="str">
        <f>IF(ISNUMBER(MATCH($D269,'Lopettaneet 2013-&gt;'!$D:$D,0)),INDEX('Lopettaneet 2013-&gt;'!$K:$K,MATCH($D269,'Lopettaneet 2013-&gt;'!$D:$D,0)),"Continues")</f>
        <v>Continues</v>
      </c>
      <c r="K269">
        <f ca="1">IF($J269="Continues",DATEDIF($B269,TODAY(),"Y"),INDEX('Lopettaneet 2013-&gt;'!$L:$L,MATCH($D269,'Lopettaneet 2013-&gt;'!$D:$D,0)))</f>
        <v>10</v>
      </c>
      <c r="L269">
        <v>134</v>
      </c>
    </row>
    <row r="270" spans="1:12" x14ac:dyDescent="0.25">
      <c r="A270" t="s">
        <v>0</v>
      </c>
      <c r="B270" s="1">
        <v>39783</v>
      </c>
      <c r="C270" s="1">
        <v>44104</v>
      </c>
      <c r="D270" s="4" t="s">
        <v>2466</v>
      </c>
      <c r="E270" t="s">
        <v>3</v>
      </c>
      <c r="F270" t="s">
        <v>4</v>
      </c>
      <c r="G270" t="s">
        <v>2917</v>
      </c>
      <c r="H270" t="s">
        <v>2952</v>
      </c>
      <c r="I270" t="s">
        <v>2909</v>
      </c>
      <c r="J270" t="str">
        <f>IF(ISNUMBER(MATCH($D270,'Lopettaneet 2013-&gt;'!$D:$D,0)),INDEX('Lopettaneet 2013-&gt;'!$K:$K,MATCH($D270,'Lopettaneet 2013-&gt;'!$D:$D,0)),"Continues")</f>
        <v>Closed</v>
      </c>
      <c r="K270">
        <f ca="1">IF($J270="Continues",DATEDIF($B270,TODAY(),"Y"),INDEX('Lopettaneet 2013-&gt;'!$L:$L,MATCH($D270,'Lopettaneet 2013-&gt;'!$D:$D,0)))</f>
        <v>11</v>
      </c>
      <c r="L270">
        <v>135</v>
      </c>
    </row>
    <row r="271" spans="1:12" x14ac:dyDescent="0.25">
      <c r="A271" t="s">
        <v>7</v>
      </c>
      <c r="B271" s="1">
        <v>41974</v>
      </c>
      <c r="C271" s="1">
        <v>55153</v>
      </c>
      <c r="D271" s="4" t="s">
        <v>509</v>
      </c>
      <c r="E271" t="s">
        <v>10</v>
      </c>
      <c r="F271" t="s">
        <v>11</v>
      </c>
      <c r="G271" t="s">
        <v>2912</v>
      </c>
      <c r="H271" t="s">
        <v>2972</v>
      </c>
      <c r="I271" t="s">
        <v>2895</v>
      </c>
      <c r="J271" t="str">
        <f>IF(ISNUMBER(MATCH($D271,'Lopettaneet 2013-&gt;'!$D:$D,0)),INDEX('Lopettaneet 2013-&gt;'!$K:$K,MATCH($D271,'Lopettaneet 2013-&gt;'!$D:$D,0)),"Continues")</f>
        <v>Continues</v>
      </c>
      <c r="K271">
        <f ca="1">IF($J271="Continues",DATEDIF($B271,TODAY(),"Y"),INDEX('Lopettaneet 2013-&gt;'!$L:$L,MATCH($D271,'Lopettaneet 2013-&gt;'!$D:$D,0)))</f>
        <v>10</v>
      </c>
      <c r="L271">
        <v>135</v>
      </c>
    </row>
    <row r="272" spans="1:12" x14ac:dyDescent="0.25">
      <c r="A272" t="s">
        <v>0</v>
      </c>
      <c r="B272" s="1">
        <v>39783</v>
      </c>
      <c r="C272" s="1">
        <v>41973</v>
      </c>
      <c r="D272" s="4" t="s">
        <v>2468</v>
      </c>
      <c r="E272" t="s">
        <v>3</v>
      </c>
      <c r="F272" t="s">
        <v>4</v>
      </c>
      <c r="G272" t="s">
        <v>2913</v>
      </c>
      <c r="H272" t="s">
        <v>2953</v>
      </c>
      <c r="I272" t="s">
        <v>2909</v>
      </c>
      <c r="J272" t="str">
        <f>IF(ISNUMBER(MATCH($D272,'Lopettaneet 2013-&gt;'!$D:$D,0)),INDEX('Lopettaneet 2013-&gt;'!$K:$K,MATCH($D272,'Lopettaneet 2013-&gt;'!$D:$D,0)),"Continues")</f>
        <v>Merged</v>
      </c>
      <c r="K272">
        <f ca="1">IF($J272="Continues",DATEDIF($B272,TODAY(),"Y"),INDEX('Lopettaneet 2013-&gt;'!$L:$L,MATCH($D272,'Lopettaneet 2013-&gt;'!$D:$D,0)))</f>
        <v>5</v>
      </c>
      <c r="L272">
        <v>136</v>
      </c>
    </row>
    <row r="273" spans="1:12" x14ac:dyDescent="0.25">
      <c r="A273" t="s">
        <v>7</v>
      </c>
      <c r="B273" s="1">
        <v>41974</v>
      </c>
      <c r="C273" s="1">
        <v>43465</v>
      </c>
      <c r="D273" s="4" t="s">
        <v>511</v>
      </c>
      <c r="E273" t="s">
        <v>10</v>
      </c>
      <c r="F273" t="s">
        <v>11</v>
      </c>
      <c r="G273" t="s">
        <v>2914</v>
      </c>
      <c r="H273" t="s">
        <v>2955</v>
      </c>
      <c r="I273" t="s">
        <v>2909</v>
      </c>
      <c r="J273" t="str">
        <f>IF(ISNUMBER(MATCH($D273,'Lopettaneet 2013-&gt;'!$D:$D,0)),INDEX('Lopettaneet 2013-&gt;'!$K:$K,MATCH($D273,'Lopettaneet 2013-&gt;'!$D:$D,0)),"Continues")</f>
        <v>Closed</v>
      </c>
      <c r="K273">
        <f ca="1">IF($J273="Continues",DATEDIF($B273,TODAY(),"Y"),INDEX('Lopettaneet 2013-&gt;'!$L:$L,MATCH($D273,'Lopettaneet 2013-&gt;'!$D:$D,0)))</f>
        <v>4</v>
      </c>
      <c r="L273">
        <v>136</v>
      </c>
    </row>
    <row r="274" spans="1:12" x14ac:dyDescent="0.25">
      <c r="A274" t="s">
        <v>0</v>
      </c>
      <c r="B274" s="1">
        <v>39783</v>
      </c>
      <c r="C274" s="1">
        <v>42855</v>
      </c>
      <c r="D274" s="4" t="s">
        <v>2368</v>
      </c>
      <c r="E274" t="s">
        <v>3</v>
      </c>
      <c r="F274" t="s">
        <v>4</v>
      </c>
      <c r="G274" t="s">
        <v>2917</v>
      </c>
      <c r="H274" t="s">
        <v>2953</v>
      </c>
      <c r="I274" t="s">
        <v>2909</v>
      </c>
      <c r="J274" t="str">
        <f>IF(ISNUMBER(MATCH($D274,'Lopettaneet 2013-&gt;'!$D:$D,0)),INDEX('Lopettaneet 2013-&gt;'!$K:$K,MATCH($D274,'Lopettaneet 2013-&gt;'!$D:$D,0)),"Continues")</f>
        <v>Merged</v>
      </c>
      <c r="K274">
        <f ca="1">IF($J274="Continues",DATEDIF($B274,TODAY(),"Y"),INDEX('Lopettaneet 2013-&gt;'!$L:$L,MATCH($D274,'Lopettaneet 2013-&gt;'!$D:$D,0)))</f>
        <v>8</v>
      </c>
      <c r="L274">
        <v>137</v>
      </c>
    </row>
    <row r="275" spans="1:12" x14ac:dyDescent="0.25">
      <c r="A275" t="s">
        <v>7</v>
      </c>
      <c r="B275" s="1">
        <v>41974</v>
      </c>
      <c r="C275" s="1">
        <v>45016</v>
      </c>
      <c r="D275" s="4" t="s">
        <v>15</v>
      </c>
      <c r="E275" t="s">
        <v>10</v>
      </c>
      <c r="F275" t="s">
        <v>11</v>
      </c>
      <c r="G275" t="s">
        <v>2912</v>
      </c>
      <c r="H275" t="s">
        <v>2909</v>
      </c>
      <c r="I275" t="s">
        <v>2909</v>
      </c>
      <c r="J275" t="str">
        <f>IF(ISNUMBER(MATCH($D275,'Lopettaneet 2013-&gt;'!$D:$D,0)),INDEX('Lopettaneet 2013-&gt;'!$K:$K,MATCH($D275,'Lopettaneet 2013-&gt;'!$D:$D,0)),"Continues")</f>
        <v>Closed</v>
      </c>
      <c r="K275">
        <f ca="1">IF($J275="Continues",DATEDIF($B275,TODAY(),"Y"),INDEX('Lopettaneet 2013-&gt;'!$L:$L,MATCH($D275,'Lopettaneet 2013-&gt;'!$D:$D,0)))</f>
        <v>8</v>
      </c>
      <c r="L275">
        <v>137</v>
      </c>
    </row>
    <row r="276" spans="1:12" x14ac:dyDescent="0.25">
      <c r="A276" t="s">
        <v>0</v>
      </c>
      <c r="B276" s="1">
        <v>39783</v>
      </c>
      <c r="C276" s="1">
        <v>41305</v>
      </c>
      <c r="D276" s="4" t="s">
        <v>2470</v>
      </c>
      <c r="E276" t="s">
        <v>3</v>
      </c>
      <c r="F276" t="s">
        <v>4</v>
      </c>
      <c r="G276" t="s">
        <v>2913</v>
      </c>
      <c r="H276" t="s">
        <v>2953</v>
      </c>
      <c r="I276" t="s">
        <v>2909</v>
      </c>
      <c r="J276" t="str">
        <f>IF(ISNUMBER(MATCH($D276,'Lopettaneet 2013-&gt;'!$D:$D,0)),INDEX('Lopettaneet 2013-&gt;'!$K:$K,MATCH($D276,'Lopettaneet 2013-&gt;'!$D:$D,0)),"Continues")</f>
        <v>Merged</v>
      </c>
      <c r="K276">
        <f ca="1">IF($J276="Continues",DATEDIF($B276,TODAY(),"Y"),INDEX('Lopettaneet 2013-&gt;'!$L:$L,MATCH($D276,'Lopettaneet 2013-&gt;'!$D:$D,0)))</f>
        <v>4</v>
      </c>
      <c r="L276">
        <v>138</v>
      </c>
    </row>
    <row r="277" spans="1:12" x14ac:dyDescent="0.25">
      <c r="A277" t="s">
        <v>7</v>
      </c>
      <c r="B277" s="1">
        <v>41974</v>
      </c>
      <c r="C277" s="1">
        <v>43830</v>
      </c>
      <c r="D277" s="4" t="s">
        <v>513</v>
      </c>
      <c r="E277" t="s">
        <v>10</v>
      </c>
      <c r="F277" t="s">
        <v>11</v>
      </c>
      <c r="G277" t="s">
        <v>2914</v>
      </c>
      <c r="H277" t="s">
        <v>2955</v>
      </c>
      <c r="I277" t="s">
        <v>2909</v>
      </c>
      <c r="J277" t="str">
        <f>IF(ISNUMBER(MATCH($D277,'Lopettaneet 2013-&gt;'!$D:$D,0)),INDEX('Lopettaneet 2013-&gt;'!$K:$K,MATCH($D277,'Lopettaneet 2013-&gt;'!$D:$D,0)),"Continues")</f>
        <v>Closed</v>
      </c>
      <c r="K277">
        <f ca="1">IF($J277="Continues",DATEDIF($B277,TODAY(),"Y"),INDEX('Lopettaneet 2013-&gt;'!$L:$L,MATCH($D277,'Lopettaneet 2013-&gt;'!$D:$D,0)))</f>
        <v>5</v>
      </c>
      <c r="L277">
        <v>138</v>
      </c>
    </row>
    <row r="278" spans="1:12" x14ac:dyDescent="0.25">
      <c r="A278" t="s">
        <v>0</v>
      </c>
      <c r="B278" s="1">
        <v>39783</v>
      </c>
      <c r="C278" s="1">
        <v>43616</v>
      </c>
      <c r="D278" s="4" t="s">
        <v>2472</v>
      </c>
      <c r="E278" t="s">
        <v>10</v>
      </c>
      <c r="F278" t="s">
        <v>4</v>
      </c>
      <c r="G278" t="s">
        <v>2918</v>
      </c>
      <c r="H278" t="s">
        <v>2953</v>
      </c>
      <c r="I278" t="s">
        <v>2909</v>
      </c>
      <c r="J278" t="str">
        <f>IF(ISNUMBER(MATCH($D278,'Lopettaneet 2013-&gt;'!$D:$D,0)),INDEX('Lopettaneet 2013-&gt;'!$K:$K,MATCH($D278,'Lopettaneet 2013-&gt;'!$D:$D,0)),"Continues")</f>
        <v>Closed</v>
      </c>
      <c r="K278">
        <f ca="1">IF($J278="Continues",DATEDIF($B278,TODAY(),"Y"),INDEX('Lopettaneet 2013-&gt;'!$L:$L,MATCH($D278,'Lopettaneet 2013-&gt;'!$D:$D,0)))</f>
        <v>10</v>
      </c>
      <c r="L278">
        <v>139</v>
      </c>
    </row>
    <row r="279" spans="1:12" x14ac:dyDescent="0.25">
      <c r="A279" t="s">
        <v>7</v>
      </c>
      <c r="B279" s="1">
        <v>41974</v>
      </c>
      <c r="C279" s="1">
        <v>55153</v>
      </c>
      <c r="D279" s="4" t="s">
        <v>515</v>
      </c>
      <c r="E279" t="s">
        <v>10</v>
      </c>
      <c r="F279" t="s">
        <v>11</v>
      </c>
      <c r="G279" t="s">
        <v>2916</v>
      </c>
      <c r="H279" t="s">
        <v>2973</v>
      </c>
      <c r="I279" t="s">
        <v>2895</v>
      </c>
      <c r="J279" t="str">
        <f>IF(ISNUMBER(MATCH($D279,'Lopettaneet 2013-&gt;'!$D:$D,0)),INDEX('Lopettaneet 2013-&gt;'!$K:$K,MATCH($D279,'Lopettaneet 2013-&gt;'!$D:$D,0)),"Continues")</f>
        <v>Continues</v>
      </c>
      <c r="K279">
        <f ca="1">IF($J279="Continues",DATEDIF($B279,TODAY(),"Y"),INDEX('Lopettaneet 2013-&gt;'!$L:$L,MATCH($D279,'Lopettaneet 2013-&gt;'!$D:$D,0)))</f>
        <v>10</v>
      </c>
      <c r="L279">
        <v>139</v>
      </c>
    </row>
    <row r="280" spans="1:12" x14ac:dyDescent="0.25">
      <c r="A280" t="s">
        <v>0</v>
      </c>
      <c r="B280" s="1">
        <v>39783</v>
      </c>
      <c r="C280" s="1">
        <v>41820</v>
      </c>
      <c r="D280" s="4" t="s">
        <v>2474</v>
      </c>
      <c r="E280" t="s">
        <v>3</v>
      </c>
      <c r="F280" t="s">
        <v>4</v>
      </c>
      <c r="G280" t="s">
        <v>2917</v>
      </c>
      <c r="H280" t="s">
        <v>2953</v>
      </c>
      <c r="I280" t="s">
        <v>2909</v>
      </c>
      <c r="J280" t="str">
        <f>IF(ISNUMBER(MATCH($D280,'Lopettaneet 2013-&gt;'!$D:$D,0)),INDEX('Lopettaneet 2013-&gt;'!$K:$K,MATCH($D280,'Lopettaneet 2013-&gt;'!$D:$D,0)),"Continues")</f>
        <v>Merged</v>
      </c>
      <c r="K280">
        <f ca="1">IF($J280="Continues",DATEDIF($B280,TODAY(),"Y"),INDEX('Lopettaneet 2013-&gt;'!$L:$L,MATCH($D280,'Lopettaneet 2013-&gt;'!$D:$D,0)))</f>
        <v>5</v>
      </c>
      <c r="L280">
        <v>140</v>
      </c>
    </row>
    <row r="281" spans="1:12" x14ac:dyDescent="0.25">
      <c r="A281" t="s">
        <v>7</v>
      </c>
      <c r="B281" s="1">
        <v>41974</v>
      </c>
      <c r="C281" s="1">
        <v>55153</v>
      </c>
      <c r="D281" s="4" t="s">
        <v>517</v>
      </c>
      <c r="E281" t="s">
        <v>10</v>
      </c>
      <c r="F281" t="s">
        <v>11</v>
      </c>
      <c r="G281" t="s">
        <v>2916</v>
      </c>
      <c r="H281" t="s">
        <v>2795</v>
      </c>
      <c r="I281" t="s">
        <v>2895</v>
      </c>
      <c r="J281" t="str">
        <f>IF(ISNUMBER(MATCH($D281,'Lopettaneet 2013-&gt;'!$D:$D,0)),INDEX('Lopettaneet 2013-&gt;'!$K:$K,MATCH($D281,'Lopettaneet 2013-&gt;'!$D:$D,0)),"Continues")</f>
        <v>Continues</v>
      </c>
      <c r="K281">
        <f ca="1">IF($J281="Continues",DATEDIF($B281,TODAY(),"Y"),INDEX('Lopettaneet 2013-&gt;'!$L:$L,MATCH($D281,'Lopettaneet 2013-&gt;'!$D:$D,0)))</f>
        <v>10</v>
      </c>
      <c r="L281">
        <v>140</v>
      </c>
    </row>
    <row r="282" spans="1:12" x14ac:dyDescent="0.25">
      <c r="A282" t="s">
        <v>0</v>
      </c>
      <c r="B282" s="1">
        <v>39783</v>
      </c>
      <c r="C282" s="1">
        <v>41912</v>
      </c>
      <c r="D282" s="4" t="s">
        <v>2476</v>
      </c>
      <c r="E282" t="s">
        <v>3</v>
      </c>
      <c r="F282" t="s">
        <v>4</v>
      </c>
      <c r="G282" t="s">
        <v>2915</v>
      </c>
      <c r="H282" t="s">
        <v>2953</v>
      </c>
      <c r="I282" t="s">
        <v>2909</v>
      </c>
      <c r="J282" t="str">
        <f>IF(ISNUMBER(MATCH($D282,'Lopettaneet 2013-&gt;'!$D:$D,0)),INDEX('Lopettaneet 2013-&gt;'!$K:$K,MATCH($D282,'Lopettaneet 2013-&gt;'!$D:$D,0)),"Continues")</f>
        <v>Merged</v>
      </c>
      <c r="K282">
        <f ca="1">IF($J282="Continues",DATEDIF($B282,TODAY(),"Y"),INDEX('Lopettaneet 2013-&gt;'!$L:$L,MATCH($D282,'Lopettaneet 2013-&gt;'!$D:$D,0)))</f>
        <v>5</v>
      </c>
      <c r="L282">
        <v>141</v>
      </c>
    </row>
    <row r="283" spans="1:12" x14ac:dyDescent="0.25">
      <c r="A283" t="s">
        <v>7</v>
      </c>
      <c r="B283" s="1">
        <v>41974</v>
      </c>
      <c r="C283" s="1">
        <v>55153</v>
      </c>
      <c r="D283" s="4" t="s">
        <v>519</v>
      </c>
      <c r="E283" t="s">
        <v>10</v>
      </c>
      <c r="F283" t="s">
        <v>11</v>
      </c>
      <c r="G283" t="s">
        <v>2916</v>
      </c>
      <c r="H283" t="s">
        <v>2971</v>
      </c>
      <c r="I283" t="s">
        <v>2895</v>
      </c>
      <c r="J283" t="str">
        <f>IF(ISNUMBER(MATCH($D283,'Lopettaneet 2013-&gt;'!$D:$D,0)),INDEX('Lopettaneet 2013-&gt;'!$K:$K,MATCH($D283,'Lopettaneet 2013-&gt;'!$D:$D,0)),"Continues")</f>
        <v>Continues</v>
      </c>
      <c r="K283">
        <f ca="1">IF($J283="Continues",DATEDIF($B283,TODAY(),"Y"),INDEX('Lopettaneet 2013-&gt;'!$L:$L,MATCH($D283,'Lopettaneet 2013-&gt;'!$D:$D,0)))</f>
        <v>10</v>
      </c>
      <c r="L283">
        <v>141</v>
      </c>
    </row>
    <row r="284" spans="1:12" x14ac:dyDescent="0.25">
      <c r="A284" t="s">
        <v>0</v>
      </c>
      <c r="B284" s="1">
        <v>39783</v>
      </c>
      <c r="C284" s="1">
        <v>41912</v>
      </c>
      <c r="D284" s="4" t="s">
        <v>2478</v>
      </c>
      <c r="E284" t="s">
        <v>3</v>
      </c>
      <c r="F284" t="s">
        <v>4</v>
      </c>
      <c r="G284" t="s">
        <v>2915</v>
      </c>
      <c r="H284" t="s">
        <v>2953</v>
      </c>
      <c r="I284" t="s">
        <v>2909</v>
      </c>
      <c r="J284" t="str">
        <f>IF(ISNUMBER(MATCH($D284,'Lopettaneet 2013-&gt;'!$D:$D,0)),INDEX('Lopettaneet 2013-&gt;'!$K:$K,MATCH($D284,'Lopettaneet 2013-&gt;'!$D:$D,0)),"Continues")</f>
        <v>Merged</v>
      </c>
      <c r="K284">
        <f ca="1">IF($J284="Continues",DATEDIF($B284,TODAY(),"Y"),INDEX('Lopettaneet 2013-&gt;'!$L:$L,MATCH($D284,'Lopettaneet 2013-&gt;'!$D:$D,0)))</f>
        <v>5</v>
      </c>
      <c r="L284">
        <v>142</v>
      </c>
    </row>
    <row r="285" spans="1:12" x14ac:dyDescent="0.25">
      <c r="A285" t="s">
        <v>7</v>
      </c>
      <c r="B285" s="1">
        <v>41974</v>
      </c>
      <c r="C285" s="1">
        <v>55153</v>
      </c>
      <c r="D285" s="4" t="s">
        <v>521</v>
      </c>
      <c r="E285" t="s">
        <v>10</v>
      </c>
      <c r="F285" t="s">
        <v>11</v>
      </c>
      <c r="G285" t="s">
        <v>2916</v>
      </c>
      <c r="H285" t="s">
        <v>2951</v>
      </c>
      <c r="I285" t="s">
        <v>2895</v>
      </c>
      <c r="J285" t="str">
        <f>IF(ISNUMBER(MATCH($D285,'Lopettaneet 2013-&gt;'!$D:$D,0)),INDEX('Lopettaneet 2013-&gt;'!$K:$K,MATCH($D285,'Lopettaneet 2013-&gt;'!$D:$D,0)),"Continues")</f>
        <v>Continues</v>
      </c>
      <c r="K285">
        <f ca="1">IF($J285="Continues",DATEDIF($B285,TODAY(),"Y"),INDEX('Lopettaneet 2013-&gt;'!$L:$L,MATCH($D285,'Lopettaneet 2013-&gt;'!$D:$D,0)))</f>
        <v>10</v>
      </c>
      <c r="L285">
        <v>142</v>
      </c>
    </row>
    <row r="286" spans="1:12" x14ac:dyDescent="0.25">
      <c r="A286" t="s">
        <v>0</v>
      </c>
      <c r="B286" s="1">
        <v>39783</v>
      </c>
      <c r="C286" s="1">
        <v>41912</v>
      </c>
      <c r="D286" s="4" t="s">
        <v>2480</v>
      </c>
      <c r="E286" t="s">
        <v>3</v>
      </c>
      <c r="F286" t="s">
        <v>4</v>
      </c>
      <c r="G286" t="s">
        <v>2915</v>
      </c>
      <c r="H286" t="s">
        <v>2953</v>
      </c>
      <c r="I286" t="s">
        <v>2909</v>
      </c>
      <c r="J286" t="str">
        <f>IF(ISNUMBER(MATCH($D286,'Lopettaneet 2013-&gt;'!$D:$D,0)),INDEX('Lopettaneet 2013-&gt;'!$K:$K,MATCH($D286,'Lopettaneet 2013-&gt;'!$D:$D,0)),"Continues")</f>
        <v>Merged</v>
      </c>
      <c r="K286">
        <f ca="1">IF($J286="Continues",DATEDIF($B286,TODAY(),"Y"),INDEX('Lopettaneet 2013-&gt;'!$L:$L,MATCH($D286,'Lopettaneet 2013-&gt;'!$D:$D,0)))</f>
        <v>5</v>
      </c>
      <c r="L286">
        <v>143</v>
      </c>
    </row>
    <row r="287" spans="1:12" x14ac:dyDescent="0.25">
      <c r="A287" t="s">
        <v>7</v>
      </c>
      <c r="B287" s="1">
        <v>41974</v>
      </c>
      <c r="C287" s="1">
        <v>45107</v>
      </c>
      <c r="D287" s="4" t="s">
        <v>17</v>
      </c>
      <c r="E287" t="s">
        <v>10</v>
      </c>
      <c r="F287" t="s">
        <v>11</v>
      </c>
      <c r="G287" t="s">
        <v>2912</v>
      </c>
      <c r="H287" t="s">
        <v>2945</v>
      </c>
      <c r="I287" t="s">
        <v>2909</v>
      </c>
      <c r="J287" t="str">
        <f>IF(ISNUMBER(MATCH($D287,'Lopettaneet 2013-&gt;'!$D:$D,0)),INDEX('Lopettaneet 2013-&gt;'!$K:$K,MATCH($D287,'Lopettaneet 2013-&gt;'!$D:$D,0)),"Continues")</f>
        <v>Closed</v>
      </c>
      <c r="K287">
        <f ca="1">IF($J287="Continues",DATEDIF($B287,TODAY(),"Y"),INDEX('Lopettaneet 2013-&gt;'!$L:$L,MATCH($D287,'Lopettaneet 2013-&gt;'!$D:$D,0)))</f>
        <v>8</v>
      </c>
      <c r="L287">
        <v>143</v>
      </c>
    </row>
    <row r="288" spans="1:12" x14ac:dyDescent="0.25">
      <c r="A288" t="s">
        <v>0</v>
      </c>
      <c r="B288" s="1">
        <v>39783</v>
      </c>
      <c r="C288" s="1">
        <v>43281</v>
      </c>
      <c r="D288" s="4" t="s">
        <v>2482</v>
      </c>
      <c r="E288" t="s">
        <v>10</v>
      </c>
      <c r="F288" t="s">
        <v>4</v>
      </c>
      <c r="G288" t="s">
        <v>2917</v>
      </c>
      <c r="H288" t="s">
        <v>2966</v>
      </c>
      <c r="I288" t="s">
        <v>2909</v>
      </c>
      <c r="J288" t="str">
        <f>IF(ISNUMBER(MATCH($D288,'Lopettaneet 2013-&gt;'!$D:$D,0)),INDEX('Lopettaneet 2013-&gt;'!$K:$K,MATCH($D288,'Lopettaneet 2013-&gt;'!$D:$D,0)),"Continues")</f>
        <v>Merged</v>
      </c>
      <c r="K288">
        <f ca="1">IF($J288="Continues",DATEDIF($B288,TODAY(),"Y"),INDEX('Lopettaneet 2013-&gt;'!$L:$L,MATCH($D288,'Lopettaneet 2013-&gt;'!$D:$D,0)))</f>
        <v>9</v>
      </c>
      <c r="L288">
        <v>144</v>
      </c>
    </row>
    <row r="289" spans="1:12" x14ac:dyDescent="0.25">
      <c r="A289" t="s">
        <v>7</v>
      </c>
      <c r="B289" s="1">
        <v>41974</v>
      </c>
      <c r="C289" s="1">
        <v>44926</v>
      </c>
      <c r="D289" s="4" t="s">
        <v>524</v>
      </c>
      <c r="E289" t="s">
        <v>10</v>
      </c>
      <c r="F289" t="s">
        <v>11</v>
      </c>
      <c r="G289" t="s">
        <v>2912</v>
      </c>
      <c r="H289" t="s">
        <v>2909</v>
      </c>
      <c r="I289" t="s">
        <v>2909</v>
      </c>
      <c r="J289" t="str">
        <f>IF(ISNUMBER(MATCH($D289,'Lopettaneet 2013-&gt;'!$D:$D,0)),INDEX('Lopettaneet 2013-&gt;'!$K:$K,MATCH($D289,'Lopettaneet 2013-&gt;'!$D:$D,0)),"Continues")</f>
        <v>Closed</v>
      </c>
      <c r="K289">
        <f ca="1">IF($J289="Continues",DATEDIF($B289,TODAY(),"Y"),INDEX('Lopettaneet 2013-&gt;'!$L:$L,MATCH($D289,'Lopettaneet 2013-&gt;'!$D:$D,0)))</f>
        <v>8</v>
      </c>
      <c r="L289">
        <v>144</v>
      </c>
    </row>
    <row r="290" spans="1:12" x14ac:dyDescent="0.25">
      <c r="A290" t="s">
        <v>0</v>
      </c>
      <c r="B290" s="1">
        <v>39783</v>
      </c>
      <c r="C290" s="1">
        <v>41790</v>
      </c>
      <c r="D290" s="4" t="s">
        <v>2484</v>
      </c>
      <c r="E290" t="s">
        <v>3</v>
      </c>
      <c r="F290" t="s">
        <v>4</v>
      </c>
      <c r="G290" t="s">
        <v>2917</v>
      </c>
      <c r="H290" t="s">
        <v>2946</v>
      </c>
      <c r="I290" t="s">
        <v>2909</v>
      </c>
      <c r="J290" t="str">
        <f>IF(ISNUMBER(MATCH($D290,'Lopettaneet 2013-&gt;'!$D:$D,0)),INDEX('Lopettaneet 2013-&gt;'!$K:$K,MATCH($D290,'Lopettaneet 2013-&gt;'!$D:$D,0)),"Continues")</f>
        <v>Merged</v>
      </c>
      <c r="K290">
        <f ca="1">IF($J290="Continues",DATEDIF($B290,TODAY(),"Y"),INDEX('Lopettaneet 2013-&gt;'!$L:$L,MATCH($D290,'Lopettaneet 2013-&gt;'!$D:$D,0)))</f>
        <v>5</v>
      </c>
      <c r="L290">
        <v>145</v>
      </c>
    </row>
    <row r="291" spans="1:12" x14ac:dyDescent="0.25">
      <c r="A291" t="s">
        <v>7</v>
      </c>
      <c r="B291" s="1">
        <v>41974</v>
      </c>
      <c r="C291" s="1">
        <v>55153</v>
      </c>
      <c r="D291" s="4" t="s">
        <v>526</v>
      </c>
      <c r="E291" t="s">
        <v>10</v>
      </c>
      <c r="F291" t="s">
        <v>11</v>
      </c>
      <c r="G291" t="s">
        <v>2914</v>
      </c>
      <c r="H291" t="s">
        <v>2953</v>
      </c>
      <c r="I291" t="s">
        <v>2895</v>
      </c>
      <c r="J291" t="str">
        <f>IF(ISNUMBER(MATCH($D291,'Lopettaneet 2013-&gt;'!$D:$D,0)),INDEX('Lopettaneet 2013-&gt;'!$K:$K,MATCH($D291,'Lopettaneet 2013-&gt;'!$D:$D,0)),"Continues")</f>
        <v>Continues</v>
      </c>
      <c r="K291">
        <f ca="1">IF($J291="Continues",DATEDIF($B291,TODAY(),"Y"),INDEX('Lopettaneet 2013-&gt;'!$L:$L,MATCH($D291,'Lopettaneet 2013-&gt;'!$D:$D,0)))</f>
        <v>10</v>
      </c>
      <c r="L291">
        <v>145</v>
      </c>
    </row>
    <row r="292" spans="1:12" x14ac:dyDescent="0.25">
      <c r="A292" t="s">
        <v>0</v>
      </c>
      <c r="B292" s="1">
        <v>39783</v>
      </c>
      <c r="C292" s="1">
        <v>41333</v>
      </c>
      <c r="D292" s="4" t="s">
        <v>2486</v>
      </c>
      <c r="E292" t="s">
        <v>3</v>
      </c>
      <c r="F292" t="s">
        <v>4</v>
      </c>
      <c r="G292" t="s">
        <v>2917</v>
      </c>
      <c r="H292" t="s">
        <v>2766</v>
      </c>
      <c r="I292" t="s">
        <v>2909</v>
      </c>
      <c r="J292" t="str">
        <f>IF(ISNUMBER(MATCH($D292,'Lopettaneet 2013-&gt;'!$D:$D,0)),INDEX('Lopettaneet 2013-&gt;'!$K:$K,MATCH($D292,'Lopettaneet 2013-&gt;'!$D:$D,0)),"Continues")</f>
        <v>Merged</v>
      </c>
      <c r="K292">
        <f ca="1">IF($J292="Continues",DATEDIF($B292,TODAY(),"Y"),INDEX('Lopettaneet 2013-&gt;'!$L:$L,MATCH($D292,'Lopettaneet 2013-&gt;'!$D:$D,0)))</f>
        <v>4</v>
      </c>
      <c r="L292">
        <v>146</v>
      </c>
    </row>
    <row r="293" spans="1:12" x14ac:dyDescent="0.25">
      <c r="A293" t="s">
        <v>7</v>
      </c>
      <c r="B293" s="1">
        <v>41974</v>
      </c>
      <c r="C293" s="1">
        <v>55153</v>
      </c>
      <c r="D293" s="4" t="s">
        <v>528</v>
      </c>
      <c r="E293" t="s">
        <v>10</v>
      </c>
      <c r="F293" t="s">
        <v>11</v>
      </c>
      <c r="G293" t="s">
        <v>2912</v>
      </c>
      <c r="H293" t="s">
        <v>2950</v>
      </c>
      <c r="I293" t="s">
        <v>2895</v>
      </c>
      <c r="J293" t="str">
        <f>IF(ISNUMBER(MATCH($D293,'Lopettaneet 2013-&gt;'!$D:$D,0)),INDEX('Lopettaneet 2013-&gt;'!$K:$K,MATCH($D293,'Lopettaneet 2013-&gt;'!$D:$D,0)),"Continues")</f>
        <v>Continues</v>
      </c>
      <c r="K293">
        <f ca="1">IF($J293="Continues",DATEDIF($B293,TODAY(),"Y"),INDEX('Lopettaneet 2013-&gt;'!$L:$L,MATCH($D293,'Lopettaneet 2013-&gt;'!$D:$D,0)))</f>
        <v>10</v>
      </c>
      <c r="L293">
        <v>146</v>
      </c>
    </row>
    <row r="294" spans="1:12" x14ac:dyDescent="0.25">
      <c r="A294" t="s">
        <v>0</v>
      </c>
      <c r="B294" s="1">
        <v>39783</v>
      </c>
      <c r="C294" s="1">
        <v>41547</v>
      </c>
      <c r="D294" s="4" t="s">
        <v>2488</v>
      </c>
      <c r="E294" t="s">
        <v>10</v>
      </c>
      <c r="F294" t="s">
        <v>4</v>
      </c>
      <c r="G294" t="s">
        <v>2917</v>
      </c>
      <c r="H294" t="s">
        <v>2909</v>
      </c>
      <c r="I294" t="s">
        <v>2909</v>
      </c>
      <c r="J294" t="str">
        <f>IF(ISNUMBER(MATCH($D294,'Lopettaneet 2013-&gt;'!$D:$D,0)),INDEX('Lopettaneet 2013-&gt;'!$K:$K,MATCH($D294,'Lopettaneet 2013-&gt;'!$D:$D,0)),"Continues")</f>
        <v>Merged</v>
      </c>
      <c r="K294">
        <f ca="1">IF($J294="Continues",DATEDIF($B294,TODAY(),"Y"),INDEX('Lopettaneet 2013-&gt;'!$L:$L,MATCH($D294,'Lopettaneet 2013-&gt;'!$D:$D,0)))</f>
        <v>4</v>
      </c>
      <c r="L294">
        <v>147</v>
      </c>
    </row>
    <row r="295" spans="1:12" x14ac:dyDescent="0.25">
      <c r="A295" t="s">
        <v>7</v>
      </c>
      <c r="B295" s="1">
        <v>41974</v>
      </c>
      <c r="C295" s="1">
        <v>44926</v>
      </c>
      <c r="D295" s="4" t="s">
        <v>530</v>
      </c>
      <c r="E295" t="s">
        <v>10</v>
      </c>
      <c r="F295" t="s">
        <v>11</v>
      </c>
      <c r="G295" t="s">
        <v>2912</v>
      </c>
      <c r="H295" t="s">
        <v>2950</v>
      </c>
      <c r="I295" t="s">
        <v>2909</v>
      </c>
      <c r="J295" t="str">
        <f>IF(ISNUMBER(MATCH($D295,'Lopettaneet 2013-&gt;'!$D:$D,0)),INDEX('Lopettaneet 2013-&gt;'!$K:$K,MATCH($D295,'Lopettaneet 2013-&gt;'!$D:$D,0)),"Continues")</f>
        <v>Closed</v>
      </c>
      <c r="K295">
        <f ca="1">IF($J295="Continues",DATEDIF($B295,TODAY(),"Y"),INDEX('Lopettaneet 2013-&gt;'!$L:$L,MATCH($D295,'Lopettaneet 2013-&gt;'!$D:$D,0)))</f>
        <v>8</v>
      </c>
      <c r="L295">
        <v>147</v>
      </c>
    </row>
    <row r="296" spans="1:12" x14ac:dyDescent="0.25">
      <c r="A296" t="s">
        <v>0</v>
      </c>
      <c r="B296" s="1">
        <v>39783</v>
      </c>
      <c r="C296" s="1">
        <v>44530</v>
      </c>
      <c r="D296" s="4" t="s">
        <v>2490</v>
      </c>
      <c r="E296" t="s">
        <v>3</v>
      </c>
      <c r="F296" t="s">
        <v>4</v>
      </c>
      <c r="G296" t="s">
        <v>2917</v>
      </c>
      <c r="H296" t="s">
        <v>2966</v>
      </c>
      <c r="I296" t="s">
        <v>2909</v>
      </c>
      <c r="J296" t="str">
        <f>IF(ISNUMBER(MATCH($D296,'Lopettaneet 2013-&gt;'!$D:$D,0)),INDEX('Lopettaneet 2013-&gt;'!$K:$K,MATCH($D296,'Lopettaneet 2013-&gt;'!$D:$D,0)),"Continues")</f>
        <v>Merged</v>
      </c>
      <c r="K296">
        <f ca="1">IF($J296="Continues",DATEDIF($B296,TODAY(),"Y"),INDEX('Lopettaneet 2013-&gt;'!$L:$L,MATCH($D296,'Lopettaneet 2013-&gt;'!$D:$D,0)))</f>
        <v>12</v>
      </c>
      <c r="L296">
        <v>148</v>
      </c>
    </row>
    <row r="297" spans="1:12" x14ac:dyDescent="0.25">
      <c r="A297" t="s">
        <v>7</v>
      </c>
      <c r="B297" s="1">
        <v>41974</v>
      </c>
      <c r="C297" s="1">
        <v>55153</v>
      </c>
      <c r="D297" s="4" t="s">
        <v>532</v>
      </c>
      <c r="E297" t="s">
        <v>10</v>
      </c>
      <c r="F297" t="s">
        <v>11</v>
      </c>
      <c r="G297" t="s">
        <v>2912</v>
      </c>
      <c r="H297" t="s">
        <v>2950</v>
      </c>
      <c r="I297" t="s">
        <v>2909</v>
      </c>
      <c r="J297" t="str">
        <f>IF(ISNUMBER(MATCH($D297,'Lopettaneet 2013-&gt;'!$D:$D,0)),INDEX('Lopettaneet 2013-&gt;'!$K:$K,MATCH($D297,'Lopettaneet 2013-&gt;'!$D:$D,0)),"Continues")</f>
        <v>Continues</v>
      </c>
      <c r="K297">
        <f ca="1">IF($J297="Continues",DATEDIF($B297,TODAY(),"Y"),INDEX('Lopettaneet 2013-&gt;'!$L:$L,MATCH($D297,'Lopettaneet 2013-&gt;'!$D:$D,0)))</f>
        <v>10</v>
      </c>
      <c r="L297">
        <v>148</v>
      </c>
    </row>
    <row r="298" spans="1:12" x14ac:dyDescent="0.25">
      <c r="A298" t="s">
        <v>0</v>
      </c>
      <c r="B298" s="1">
        <v>39783</v>
      </c>
      <c r="C298" s="1">
        <v>43496</v>
      </c>
      <c r="D298" s="4" t="s">
        <v>2492</v>
      </c>
      <c r="E298" t="s">
        <v>3</v>
      </c>
      <c r="F298" t="s">
        <v>4</v>
      </c>
      <c r="G298" t="s">
        <v>2917</v>
      </c>
      <c r="H298" t="s">
        <v>2975</v>
      </c>
      <c r="I298" t="s">
        <v>2909</v>
      </c>
      <c r="J298" t="str">
        <f>IF(ISNUMBER(MATCH($D298,'Lopettaneet 2013-&gt;'!$D:$D,0)),INDEX('Lopettaneet 2013-&gt;'!$K:$K,MATCH($D298,'Lopettaneet 2013-&gt;'!$D:$D,0)),"Continues")</f>
        <v>Merged</v>
      </c>
      <c r="K298">
        <f ca="1">IF($J298="Continues",DATEDIF($B298,TODAY(),"Y"),INDEX('Lopettaneet 2013-&gt;'!$L:$L,MATCH($D298,'Lopettaneet 2013-&gt;'!$D:$D,0)))</f>
        <v>10</v>
      </c>
      <c r="L298">
        <v>149</v>
      </c>
    </row>
    <row r="299" spans="1:12" x14ac:dyDescent="0.25">
      <c r="A299" t="s">
        <v>7</v>
      </c>
      <c r="B299" s="1">
        <v>41974</v>
      </c>
      <c r="C299" s="1">
        <v>55153</v>
      </c>
      <c r="D299" s="4" t="s">
        <v>534</v>
      </c>
      <c r="E299" t="s">
        <v>10</v>
      </c>
      <c r="F299" t="s">
        <v>11</v>
      </c>
      <c r="G299" t="s">
        <v>2912</v>
      </c>
      <c r="H299" t="s">
        <v>2950</v>
      </c>
      <c r="I299" t="s">
        <v>2895</v>
      </c>
      <c r="J299" t="str">
        <f>IF(ISNUMBER(MATCH($D299,'Lopettaneet 2013-&gt;'!$D:$D,0)),INDEX('Lopettaneet 2013-&gt;'!$K:$K,MATCH($D299,'Lopettaneet 2013-&gt;'!$D:$D,0)),"Continues")</f>
        <v>Continues</v>
      </c>
      <c r="K299">
        <f ca="1">IF($J299="Continues",DATEDIF($B299,TODAY(),"Y"),INDEX('Lopettaneet 2013-&gt;'!$L:$L,MATCH($D299,'Lopettaneet 2013-&gt;'!$D:$D,0)))</f>
        <v>10</v>
      </c>
      <c r="L299">
        <v>149</v>
      </c>
    </row>
    <row r="300" spans="1:12" x14ac:dyDescent="0.25">
      <c r="A300" t="s">
        <v>0</v>
      </c>
      <c r="B300" s="1">
        <v>39783</v>
      </c>
      <c r="C300" s="1">
        <v>41364</v>
      </c>
      <c r="D300" s="4" t="s">
        <v>2494</v>
      </c>
      <c r="E300" t="s">
        <v>3</v>
      </c>
      <c r="F300" t="s">
        <v>4</v>
      </c>
      <c r="G300" t="s">
        <v>2917</v>
      </c>
      <c r="H300" t="s">
        <v>2975</v>
      </c>
      <c r="I300" t="s">
        <v>2909</v>
      </c>
      <c r="J300" t="str">
        <f>IF(ISNUMBER(MATCH($D300,'Lopettaneet 2013-&gt;'!$D:$D,0)),INDEX('Lopettaneet 2013-&gt;'!$K:$K,MATCH($D300,'Lopettaneet 2013-&gt;'!$D:$D,0)),"Continues")</f>
        <v>Merged</v>
      </c>
      <c r="K300">
        <f ca="1">IF($J300="Continues",DATEDIF($B300,TODAY(),"Y"),INDEX('Lopettaneet 2013-&gt;'!$L:$L,MATCH($D300,'Lopettaneet 2013-&gt;'!$D:$D,0)))</f>
        <v>4</v>
      </c>
      <c r="L300">
        <v>150</v>
      </c>
    </row>
    <row r="301" spans="1:12" x14ac:dyDescent="0.25">
      <c r="A301" t="s">
        <v>7</v>
      </c>
      <c r="B301" s="1">
        <v>41974</v>
      </c>
      <c r="C301" s="1">
        <v>55153</v>
      </c>
      <c r="D301" s="4" t="s">
        <v>536</v>
      </c>
      <c r="E301" t="s">
        <v>10</v>
      </c>
      <c r="F301" t="s">
        <v>11</v>
      </c>
      <c r="G301" t="s">
        <v>2918</v>
      </c>
      <c r="H301" t="s">
        <v>2950</v>
      </c>
      <c r="I301" t="s">
        <v>2895</v>
      </c>
      <c r="J301" t="str">
        <f>IF(ISNUMBER(MATCH($D301,'Lopettaneet 2013-&gt;'!$D:$D,0)),INDEX('Lopettaneet 2013-&gt;'!$K:$K,MATCH($D301,'Lopettaneet 2013-&gt;'!$D:$D,0)),"Continues")</f>
        <v>Continues</v>
      </c>
      <c r="K301">
        <f ca="1">IF($J301="Continues",DATEDIF($B301,TODAY(),"Y"),INDEX('Lopettaneet 2013-&gt;'!$L:$L,MATCH($D301,'Lopettaneet 2013-&gt;'!$D:$D,0)))</f>
        <v>10</v>
      </c>
      <c r="L301">
        <v>150</v>
      </c>
    </row>
    <row r="302" spans="1:12" x14ac:dyDescent="0.25">
      <c r="A302" t="s">
        <v>0</v>
      </c>
      <c r="B302" s="1">
        <v>39783</v>
      </c>
      <c r="C302" s="1">
        <v>41973</v>
      </c>
      <c r="D302" s="4" t="s">
        <v>2496</v>
      </c>
      <c r="E302" t="s">
        <v>3</v>
      </c>
      <c r="F302" t="s">
        <v>4</v>
      </c>
      <c r="G302" t="s">
        <v>2913</v>
      </c>
      <c r="H302" t="s">
        <v>2953</v>
      </c>
      <c r="I302" t="s">
        <v>2909</v>
      </c>
      <c r="J302" t="str">
        <f>IF(ISNUMBER(MATCH($D302,'Lopettaneet 2013-&gt;'!$D:$D,0)),INDEX('Lopettaneet 2013-&gt;'!$K:$K,MATCH($D302,'Lopettaneet 2013-&gt;'!$D:$D,0)),"Continues")</f>
        <v>Merged</v>
      </c>
      <c r="K302">
        <f ca="1">IF($J302="Continues",DATEDIF($B302,TODAY(),"Y"),INDEX('Lopettaneet 2013-&gt;'!$L:$L,MATCH($D302,'Lopettaneet 2013-&gt;'!$D:$D,0)))</f>
        <v>5</v>
      </c>
      <c r="L302">
        <v>151</v>
      </c>
    </row>
    <row r="303" spans="1:12" x14ac:dyDescent="0.25">
      <c r="A303" t="s">
        <v>0</v>
      </c>
      <c r="B303" s="1">
        <v>41671</v>
      </c>
      <c r="C303" s="1">
        <v>43799</v>
      </c>
      <c r="D303" s="4" t="s">
        <v>538</v>
      </c>
      <c r="E303" t="s">
        <v>10</v>
      </c>
      <c r="F303" t="s">
        <v>4</v>
      </c>
      <c r="G303" t="s">
        <v>2917</v>
      </c>
      <c r="H303" t="s">
        <v>2947</v>
      </c>
      <c r="I303" t="s">
        <v>2909</v>
      </c>
      <c r="J303" t="str">
        <f>IF(ISNUMBER(MATCH($D303,'Lopettaneet 2013-&gt;'!$D:$D,0)),INDEX('Lopettaneet 2013-&gt;'!$K:$K,MATCH($D303,'Lopettaneet 2013-&gt;'!$D:$D,0)),"Continues")</f>
        <v>Merged</v>
      </c>
      <c r="K303">
        <f ca="1">IF($J303="Continues",DATEDIF($B303,TODAY(),"Y"),INDEX('Lopettaneet 2013-&gt;'!$L:$L,MATCH($D303,'Lopettaneet 2013-&gt;'!$D:$D,0)))</f>
        <v>5</v>
      </c>
      <c r="L303">
        <v>151</v>
      </c>
    </row>
    <row r="304" spans="1:12" x14ac:dyDescent="0.25">
      <c r="A304" t="s">
        <v>0</v>
      </c>
      <c r="B304" s="1">
        <v>39783</v>
      </c>
      <c r="C304" s="1">
        <v>43769</v>
      </c>
      <c r="D304" s="4" t="s">
        <v>3180</v>
      </c>
      <c r="E304" t="s">
        <v>3</v>
      </c>
      <c r="F304" t="s">
        <v>4</v>
      </c>
      <c r="G304" t="s">
        <v>2913</v>
      </c>
      <c r="H304" t="s">
        <v>2777</v>
      </c>
      <c r="I304" t="s">
        <v>2909</v>
      </c>
      <c r="J304" t="str">
        <f>IF(ISNUMBER(MATCH($D304,'Lopettaneet 2013-&gt;'!$D:$D,0)),INDEX('Lopettaneet 2013-&gt;'!$K:$K,MATCH($D304,'Lopettaneet 2013-&gt;'!$D:$D,0)),"Continues")</f>
        <v>Continues</v>
      </c>
      <c r="K304">
        <f ca="1">IF($J304="Continues",DATEDIF($B304,TODAY(),"Y"),INDEX('Lopettaneet 2013-&gt;'!$L:$L,MATCH($D304,'Lopettaneet 2013-&gt;'!$D:$D,0)))</f>
        <v>16</v>
      </c>
      <c r="L304">
        <v>152</v>
      </c>
    </row>
    <row r="305" spans="1:12" x14ac:dyDescent="0.25">
      <c r="A305" t="s">
        <v>0</v>
      </c>
      <c r="B305" s="1">
        <v>41730</v>
      </c>
      <c r="C305" s="1">
        <v>55153</v>
      </c>
      <c r="D305" s="4" t="s">
        <v>540</v>
      </c>
      <c r="E305" t="s">
        <v>3</v>
      </c>
      <c r="F305" t="s">
        <v>4</v>
      </c>
      <c r="G305" t="s">
        <v>2917</v>
      </c>
      <c r="H305" t="s">
        <v>2952</v>
      </c>
      <c r="I305" t="s">
        <v>2894</v>
      </c>
      <c r="J305" t="str">
        <f>IF(ISNUMBER(MATCH($D305,'Lopettaneet 2013-&gt;'!$D:$D,0)),INDEX('Lopettaneet 2013-&gt;'!$K:$K,MATCH($D305,'Lopettaneet 2013-&gt;'!$D:$D,0)),"Continues")</f>
        <v>Continues</v>
      </c>
      <c r="K305">
        <f ca="1">IF($J305="Continues",DATEDIF($B305,TODAY(),"Y"),INDEX('Lopettaneet 2013-&gt;'!$L:$L,MATCH($D305,'Lopettaneet 2013-&gt;'!$D:$D,0)))</f>
        <v>11</v>
      </c>
      <c r="L305">
        <v>152</v>
      </c>
    </row>
    <row r="306" spans="1:12" x14ac:dyDescent="0.25">
      <c r="A306" t="s">
        <v>0</v>
      </c>
      <c r="B306" s="1">
        <v>39783</v>
      </c>
      <c r="C306" s="1">
        <v>41670</v>
      </c>
      <c r="D306" s="4" t="s">
        <v>2500</v>
      </c>
      <c r="E306" t="s">
        <v>10</v>
      </c>
      <c r="F306" t="s">
        <v>4</v>
      </c>
      <c r="G306" t="s">
        <v>2919</v>
      </c>
      <c r="H306" t="s">
        <v>2766</v>
      </c>
      <c r="I306" t="s">
        <v>2909</v>
      </c>
      <c r="J306" t="str">
        <f>IF(ISNUMBER(MATCH($D306,'Lopettaneet 2013-&gt;'!$D:$D,0)),INDEX('Lopettaneet 2013-&gt;'!$K:$K,MATCH($D306,'Lopettaneet 2013-&gt;'!$D:$D,0)),"Continues")</f>
        <v>Closed</v>
      </c>
      <c r="K306">
        <f ca="1">IF($J306="Continues",DATEDIF($B306,TODAY(),"Y"),INDEX('Lopettaneet 2013-&gt;'!$L:$L,MATCH($D306,'Lopettaneet 2013-&gt;'!$D:$D,0)))</f>
        <v>5</v>
      </c>
      <c r="L306">
        <v>153</v>
      </c>
    </row>
    <row r="307" spans="1:12" x14ac:dyDescent="0.25">
      <c r="A307" t="s">
        <v>0</v>
      </c>
      <c r="B307" s="1">
        <v>41821</v>
      </c>
      <c r="C307" s="1">
        <v>55153</v>
      </c>
      <c r="D307" s="4" t="s">
        <v>542</v>
      </c>
      <c r="E307" t="s">
        <v>10</v>
      </c>
      <c r="F307" t="s">
        <v>4</v>
      </c>
      <c r="G307" t="s">
        <v>2917</v>
      </c>
      <c r="H307" t="s">
        <v>2974</v>
      </c>
      <c r="I307" t="s">
        <v>2894</v>
      </c>
      <c r="J307" t="str">
        <f>IF(ISNUMBER(MATCH($D307,'Lopettaneet 2013-&gt;'!$D:$D,0)),INDEX('Lopettaneet 2013-&gt;'!$K:$K,MATCH($D307,'Lopettaneet 2013-&gt;'!$D:$D,0)),"Continues")</f>
        <v>Continues</v>
      </c>
      <c r="K307">
        <f ca="1">IF($J307="Continues",DATEDIF($B307,TODAY(),"Y"),INDEX('Lopettaneet 2013-&gt;'!$L:$L,MATCH($D307,'Lopettaneet 2013-&gt;'!$D:$D,0)))</f>
        <v>10</v>
      </c>
      <c r="L307">
        <v>153</v>
      </c>
    </row>
    <row r="308" spans="1:12" x14ac:dyDescent="0.25">
      <c r="A308" t="s">
        <v>0</v>
      </c>
      <c r="B308" s="1">
        <v>39783</v>
      </c>
      <c r="C308" s="1">
        <v>42735</v>
      </c>
      <c r="D308" s="4" t="s">
        <v>2502</v>
      </c>
      <c r="E308" t="s">
        <v>10</v>
      </c>
      <c r="F308" t="s">
        <v>4</v>
      </c>
      <c r="G308" t="s">
        <v>2915</v>
      </c>
      <c r="H308" t="s">
        <v>2952</v>
      </c>
      <c r="I308" t="s">
        <v>2909</v>
      </c>
      <c r="J308" t="str">
        <f>IF(ISNUMBER(MATCH($D308,'Lopettaneet 2013-&gt;'!$D:$D,0)),INDEX('Lopettaneet 2013-&gt;'!$K:$K,MATCH($D308,'Lopettaneet 2013-&gt;'!$D:$D,0)),"Continues")</f>
        <v>Closed</v>
      </c>
      <c r="K308">
        <f ca="1">IF($J308="Continues",DATEDIF($B308,TODAY(),"Y"),INDEX('Lopettaneet 2013-&gt;'!$L:$L,MATCH($D308,'Lopettaneet 2013-&gt;'!$D:$D,0)))</f>
        <v>8</v>
      </c>
      <c r="L308">
        <v>154</v>
      </c>
    </row>
    <row r="309" spans="1:12" x14ac:dyDescent="0.25">
      <c r="A309" t="s">
        <v>0</v>
      </c>
      <c r="B309" s="1">
        <v>41730</v>
      </c>
      <c r="C309" s="1">
        <v>55153</v>
      </c>
      <c r="D309" s="4" t="s">
        <v>544</v>
      </c>
      <c r="E309" t="s">
        <v>3</v>
      </c>
      <c r="F309" t="s">
        <v>4</v>
      </c>
      <c r="G309" t="s">
        <v>2913</v>
      </c>
      <c r="H309" t="s">
        <v>2952</v>
      </c>
      <c r="I309" t="s">
        <v>2894</v>
      </c>
      <c r="J309" t="str">
        <f>IF(ISNUMBER(MATCH($D309,'Lopettaneet 2013-&gt;'!$D:$D,0)),INDEX('Lopettaneet 2013-&gt;'!$K:$K,MATCH($D309,'Lopettaneet 2013-&gt;'!$D:$D,0)),"Continues")</f>
        <v>Continues</v>
      </c>
      <c r="K309">
        <f ca="1">IF($J309="Continues",DATEDIF($B309,TODAY(),"Y"),INDEX('Lopettaneet 2013-&gt;'!$L:$L,MATCH($D309,'Lopettaneet 2013-&gt;'!$D:$D,0)))</f>
        <v>11</v>
      </c>
      <c r="L309">
        <v>154</v>
      </c>
    </row>
    <row r="310" spans="1:12" x14ac:dyDescent="0.25">
      <c r="A310" t="s">
        <v>0</v>
      </c>
      <c r="B310" s="1">
        <v>39783</v>
      </c>
      <c r="C310" s="1">
        <v>45077</v>
      </c>
      <c r="D310" s="4" t="s">
        <v>1</v>
      </c>
      <c r="E310" t="s">
        <v>3</v>
      </c>
      <c r="F310" t="s">
        <v>4</v>
      </c>
      <c r="G310" t="s">
        <v>2915</v>
      </c>
      <c r="H310" t="s">
        <v>2946</v>
      </c>
      <c r="I310" t="s">
        <v>2909</v>
      </c>
      <c r="J310" t="str">
        <f>IF(ISNUMBER(MATCH($D310,'Lopettaneet 2013-&gt;'!$D:$D,0)),INDEX('Lopettaneet 2013-&gt;'!$K:$K,MATCH($D310,'Lopettaneet 2013-&gt;'!$D:$D,0)),"Continues")</f>
        <v>Merged</v>
      </c>
      <c r="K310">
        <f ca="1">IF($J310="Continues",DATEDIF($B310,TODAY(),"Y"),INDEX('Lopettaneet 2013-&gt;'!$L:$L,MATCH($D310,'Lopettaneet 2013-&gt;'!$D:$D,0)))</f>
        <v>14</v>
      </c>
      <c r="L310">
        <v>155</v>
      </c>
    </row>
    <row r="311" spans="1:12" x14ac:dyDescent="0.25">
      <c r="A311" t="s">
        <v>0</v>
      </c>
      <c r="B311" s="1">
        <v>41791</v>
      </c>
      <c r="C311" s="1">
        <v>55153</v>
      </c>
      <c r="D311" s="4" t="s">
        <v>546</v>
      </c>
      <c r="E311" t="s">
        <v>10</v>
      </c>
      <c r="F311" t="s">
        <v>4</v>
      </c>
      <c r="G311" t="s">
        <v>2914</v>
      </c>
      <c r="H311" t="s">
        <v>2975</v>
      </c>
      <c r="I311" t="s">
        <v>2894</v>
      </c>
      <c r="J311" t="str">
        <f>IF(ISNUMBER(MATCH($D311,'Lopettaneet 2013-&gt;'!$D:$D,0)),INDEX('Lopettaneet 2013-&gt;'!$K:$K,MATCH($D311,'Lopettaneet 2013-&gt;'!$D:$D,0)),"Continues")</f>
        <v>Continues</v>
      </c>
      <c r="K311">
        <f ca="1">IF($J311="Continues",DATEDIF($B311,TODAY(),"Y"),INDEX('Lopettaneet 2013-&gt;'!$L:$L,MATCH($D311,'Lopettaneet 2013-&gt;'!$D:$D,0)))</f>
        <v>10</v>
      </c>
      <c r="L311">
        <v>155</v>
      </c>
    </row>
    <row r="312" spans="1:12" x14ac:dyDescent="0.25">
      <c r="A312" t="s">
        <v>0</v>
      </c>
      <c r="B312" s="1">
        <v>39783</v>
      </c>
      <c r="C312" s="1">
        <v>41639</v>
      </c>
      <c r="D312" s="4" t="s">
        <v>2504</v>
      </c>
      <c r="E312" t="s">
        <v>10</v>
      </c>
      <c r="F312" t="s">
        <v>4</v>
      </c>
      <c r="G312" t="s">
        <v>2913</v>
      </c>
      <c r="H312" t="s">
        <v>2766</v>
      </c>
      <c r="I312" t="s">
        <v>2909</v>
      </c>
      <c r="J312" t="str">
        <f>IF(ISNUMBER(MATCH($D312,'Lopettaneet 2013-&gt;'!$D:$D,0)),INDEX('Lopettaneet 2013-&gt;'!$K:$K,MATCH($D312,'Lopettaneet 2013-&gt;'!$D:$D,0)),"Continues")</f>
        <v>Closed</v>
      </c>
      <c r="K312">
        <f ca="1">IF($J312="Continues",DATEDIF($B312,TODAY(),"Y"),INDEX('Lopettaneet 2013-&gt;'!$L:$L,MATCH($D312,'Lopettaneet 2013-&gt;'!$D:$D,0)))</f>
        <v>5</v>
      </c>
      <c r="L312">
        <v>156</v>
      </c>
    </row>
    <row r="313" spans="1:12" x14ac:dyDescent="0.25">
      <c r="A313" t="s">
        <v>0</v>
      </c>
      <c r="B313" s="1">
        <v>41730</v>
      </c>
      <c r="C313" s="1">
        <v>43524</v>
      </c>
      <c r="D313" s="4" t="s">
        <v>548</v>
      </c>
      <c r="E313" t="s">
        <v>10</v>
      </c>
      <c r="F313" t="s">
        <v>4</v>
      </c>
      <c r="G313" t="s">
        <v>2915</v>
      </c>
      <c r="H313" t="s">
        <v>2842</v>
      </c>
      <c r="I313" t="s">
        <v>2909</v>
      </c>
      <c r="J313" t="str">
        <f>IF(ISNUMBER(MATCH($D313,'Lopettaneet 2013-&gt;'!$D:$D,0)),INDEX('Lopettaneet 2013-&gt;'!$K:$K,MATCH($D313,'Lopettaneet 2013-&gt;'!$D:$D,0)),"Continues")</f>
        <v>Merged</v>
      </c>
      <c r="K313">
        <f ca="1">IF($J313="Continues",DATEDIF($B313,TODAY(),"Y"),INDEX('Lopettaneet 2013-&gt;'!$L:$L,MATCH($D313,'Lopettaneet 2013-&gt;'!$D:$D,0)))</f>
        <v>4</v>
      </c>
      <c r="L313">
        <v>156</v>
      </c>
    </row>
    <row r="314" spans="1:12" x14ac:dyDescent="0.25">
      <c r="A314" t="s">
        <v>0</v>
      </c>
      <c r="B314" s="1">
        <v>39783</v>
      </c>
      <c r="C314" s="1">
        <v>42429</v>
      </c>
      <c r="D314" s="4" t="s">
        <v>2506</v>
      </c>
      <c r="E314" t="s">
        <v>10</v>
      </c>
      <c r="F314" t="s">
        <v>4</v>
      </c>
      <c r="G314" t="s">
        <v>2915</v>
      </c>
      <c r="H314" t="s">
        <v>2952</v>
      </c>
      <c r="I314" t="s">
        <v>2909</v>
      </c>
      <c r="J314" t="str">
        <f>IF(ISNUMBER(MATCH($D314,'Lopettaneet 2013-&gt;'!$D:$D,0)),INDEX('Lopettaneet 2013-&gt;'!$K:$K,MATCH($D314,'Lopettaneet 2013-&gt;'!$D:$D,0)),"Continues")</f>
        <v>Merged</v>
      </c>
      <c r="K314">
        <f ca="1">IF($J314="Continues",DATEDIF($B314,TODAY(),"Y"),INDEX('Lopettaneet 2013-&gt;'!$L:$L,MATCH($D314,'Lopettaneet 2013-&gt;'!$D:$D,0)))</f>
        <v>7</v>
      </c>
      <c r="L314">
        <v>157</v>
      </c>
    </row>
    <row r="315" spans="1:12" x14ac:dyDescent="0.25">
      <c r="A315" t="s">
        <v>0</v>
      </c>
      <c r="B315" s="1">
        <v>41944</v>
      </c>
      <c r="C315" s="1">
        <v>55153</v>
      </c>
      <c r="D315" s="4" t="s">
        <v>550</v>
      </c>
      <c r="E315" t="s">
        <v>10</v>
      </c>
      <c r="F315" t="s">
        <v>4</v>
      </c>
      <c r="G315" t="s">
        <v>2913</v>
      </c>
      <c r="H315" t="s">
        <v>2958</v>
      </c>
      <c r="I315" t="s">
        <v>2894</v>
      </c>
      <c r="J315" t="str">
        <f>IF(ISNUMBER(MATCH($D315,'Lopettaneet 2013-&gt;'!$D:$D,0)),INDEX('Lopettaneet 2013-&gt;'!$K:$K,MATCH($D315,'Lopettaneet 2013-&gt;'!$D:$D,0)),"Continues")</f>
        <v>Continues</v>
      </c>
      <c r="K315">
        <f ca="1">IF($J315="Continues",DATEDIF($B315,TODAY(),"Y"),INDEX('Lopettaneet 2013-&gt;'!$L:$L,MATCH($D315,'Lopettaneet 2013-&gt;'!$D:$D,0)))</f>
        <v>10</v>
      </c>
      <c r="L315">
        <v>157</v>
      </c>
    </row>
    <row r="316" spans="1:12" x14ac:dyDescent="0.25">
      <c r="A316" t="s">
        <v>0</v>
      </c>
      <c r="B316" s="1">
        <v>39783</v>
      </c>
      <c r="C316" s="1">
        <v>41333</v>
      </c>
      <c r="D316" s="4" t="s">
        <v>2508</v>
      </c>
      <c r="E316" t="s">
        <v>10</v>
      </c>
      <c r="F316" t="s">
        <v>4</v>
      </c>
      <c r="G316" t="s">
        <v>2919</v>
      </c>
      <c r="H316" t="s">
        <v>2955</v>
      </c>
      <c r="I316" t="s">
        <v>2909</v>
      </c>
      <c r="J316" t="str">
        <f>IF(ISNUMBER(MATCH($D316,'Lopettaneet 2013-&gt;'!$D:$D,0)),INDEX('Lopettaneet 2013-&gt;'!$K:$K,MATCH($D316,'Lopettaneet 2013-&gt;'!$D:$D,0)),"Continues")</f>
        <v>Merged</v>
      </c>
      <c r="K316">
        <f ca="1">IF($J316="Continues",DATEDIF($B316,TODAY(),"Y"),INDEX('Lopettaneet 2013-&gt;'!$L:$L,MATCH($D316,'Lopettaneet 2013-&gt;'!$D:$D,0)))</f>
        <v>4</v>
      </c>
      <c r="L316">
        <v>158</v>
      </c>
    </row>
    <row r="317" spans="1:12" x14ac:dyDescent="0.25">
      <c r="A317" t="s">
        <v>0</v>
      </c>
      <c r="B317" s="1">
        <v>41791</v>
      </c>
      <c r="C317" s="1">
        <v>45382</v>
      </c>
      <c r="D317" s="4" t="s">
        <v>235</v>
      </c>
      <c r="E317" t="s">
        <v>10</v>
      </c>
      <c r="F317" t="s">
        <v>4</v>
      </c>
      <c r="G317" t="s">
        <v>2917</v>
      </c>
      <c r="H317" t="s">
        <v>2958</v>
      </c>
      <c r="I317" t="s">
        <v>2894</v>
      </c>
      <c r="J317" t="str">
        <f>IF(ISNUMBER(MATCH($D317,'Lopettaneet 2013-&gt;'!$D:$D,0)),INDEX('Lopettaneet 2013-&gt;'!$K:$K,MATCH($D317,'Lopettaneet 2013-&gt;'!$D:$D,0)),"Continues")</f>
        <v>Merged</v>
      </c>
      <c r="K317">
        <f ca="1">IF($J317="Continues",DATEDIF($B317,TODAY(),"Y"),INDEX('Lopettaneet 2013-&gt;'!$L:$L,MATCH($D317,'Lopettaneet 2013-&gt;'!$D:$D,0)))</f>
        <v>9</v>
      </c>
      <c r="L317">
        <v>158</v>
      </c>
    </row>
    <row r="318" spans="1:12" x14ac:dyDescent="0.25">
      <c r="A318" t="s">
        <v>0</v>
      </c>
      <c r="B318" s="1">
        <v>39783</v>
      </c>
      <c r="C318" s="1">
        <v>41729</v>
      </c>
      <c r="D318" s="4" t="s">
        <v>2510</v>
      </c>
      <c r="E318" t="s">
        <v>10</v>
      </c>
      <c r="F318" t="s">
        <v>4</v>
      </c>
      <c r="G318" t="s">
        <v>2917</v>
      </c>
      <c r="H318" t="s">
        <v>2946</v>
      </c>
      <c r="I318" t="s">
        <v>2909</v>
      </c>
      <c r="J318" t="str">
        <f>IF(ISNUMBER(MATCH($D318,'Lopettaneet 2013-&gt;'!$D:$D,0)),INDEX('Lopettaneet 2013-&gt;'!$K:$K,MATCH($D318,'Lopettaneet 2013-&gt;'!$D:$D,0)),"Continues")</f>
        <v>Merged</v>
      </c>
      <c r="K318">
        <f ca="1">IF($J318="Continues",DATEDIF($B318,TODAY(),"Y"),INDEX('Lopettaneet 2013-&gt;'!$L:$L,MATCH($D318,'Lopettaneet 2013-&gt;'!$D:$D,0)))</f>
        <v>5</v>
      </c>
      <c r="L318">
        <v>159</v>
      </c>
    </row>
    <row r="319" spans="1:12" x14ac:dyDescent="0.25">
      <c r="A319" t="s">
        <v>0</v>
      </c>
      <c r="B319" s="1">
        <v>41730</v>
      </c>
      <c r="C319" s="1">
        <v>55153</v>
      </c>
      <c r="D319" s="4" t="s">
        <v>552</v>
      </c>
      <c r="E319" t="s">
        <v>3</v>
      </c>
      <c r="F319" t="s">
        <v>4</v>
      </c>
      <c r="G319" t="s">
        <v>2917</v>
      </c>
      <c r="H319" t="s">
        <v>2953</v>
      </c>
      <c r="I319" t="s">
        <v>2894</v>
      </c>
      <c r="J319" t="str">
        <f>IF(ISNUMBER(MATCH($D319,'Lopettaneet 2013-&gt;'!$D:$D,0)),INDEX('Lopettaneet 2013-&gt;'!$K:$K,MATCH($D319,'Lopettaneet 2013-&gt;'!$D:$D,0)),"Continues")</f>
        <v>Continues</v>
      </c>
      <c r="K319">
        <f ca="1">IF($J319="Continues",DATEDIF($B319,TODAY(),"Y"),INDEX('Lopettaneet 2013-&gt;'!$L:$L,MATCH($D319,'Lopettaneet 2013-&gt;'!$D:$D,0)))</f>
        <v>11</v>
      </c>
      <c r="L319">
        <v>159</v>
      </c>
    </row>
    <row r="320" spans="1:12" x14ac:dyDescent="0.25">
      <c r="A320" t="s">
        <v>0</v>
      </c>
      <c r="B320" s="1">
        <v>39783</v>
      </c>
      <c r="C320" s="1">
        <v>41364</v>
      </c>
      <c r="D320" s="4" t="s">
        <v>2512</v>
      </c>
      <c r="E320" t="s">
        <v>10</v>
      </c>
      <c r="F320" t="s">
        <v>4</v>
      </c>
      <c r="G320" t="s">
        <v>2915</v>
      </c>
      <c r="H320" t="s">
        <v>2955</v>
      </c>
      <c r="I320" t="s">
        <v>2909</v>
      </c>
      <c r="J320" t="str">
        <f>IF(ISNUMBER(MATCH($D320,'Lopettaneet 2013-&gt;'!$D:$D,0)),INDEX('Lopettaneet 2013-&gt;'!$K:$K,MATCH($D320,'Lopettaneet 2013-&gt;'!$D:$D,0)),"Continues")</f>
        <v>Closed</v>
      </c>
      <c r="K320">
        <f ca="1">IF($J320="Continues",DATEDIF($B320,TODAY(),"Y"),INDEX('Lopettaneet 2013-&gt;'!$L:$L,MATCH($D320,'Lopettaneet 2013-&gt;'!$D:$D,0)))</f>
        <v>4</v>
      </c>
      <c r="L320">
        <v>160</v>
      </c>
    </row>
    <row r="321" spans="1:12" x14ac:dyDescent="0.25">
      <c r="A321" t="s">
        <v>0</v>
      </c>
      <c r="B321" s="1">
        <v>41883</v>
      </c>
      <c r="C321" s="1">
        <v>43708</v>
      </c>
      <c r="D321" s="4" t="s">
        <v>554</v>
      </c>
      <c r="E321" t="s">
        <v>3</v>
      </c>
      <c r="F321" t="s">
        <v>4</v>
      </c>
      <c r="G321" t="s">
        <v>2917</v>
      </c>
      <c r="H321" t="s">
        <v>2953</v>
      </c>
      <c r="I321" t="s">
        <v>2909</v>
      </c>
      <c r="J321" t="str">
        <f>IF(ISNUMBER(MATCH($D321,'Lopettaneet 2013-&gt;'!$D:$D,0)),INDEX('Lopettaneet 2013-&gt;'!$K:$K,MATCH($D321,'Lopettaneet 2013-&gt;'!$D:$D,0)),"Continues")</f>
        <v>Merged</v>
      </c>
      <c r="K321">
        <f ca="1">IF($J321="Continues",DATEDIF($B321,TODAY(),"Y"),INDEX('Lopettaneet 2013-&gt;'!$L:$L,MATCH($D321,'Lopettaneet 2013-&gt;'!$D:$D,0)))</f>
        <v>4</v>
      </c>
      <c r="L321">
        <v>160</v>
      </c>
    </row>
    <row r="322" spans="1:12" x14ac:dyDescent="0.25">
      <c r="A322" t="s">
        <v>0</v>
      </c>
      <c r="B322" s="1">
        <v>39783</v>
      </c>
      <c r="C322" s="1">
        <v>42063</v>
      </c>
      <c r="D322" s="4" t="s">
        <v>2514</v>
      </c>
      <c r="E322" t="s">
        <v>10</v>
      </c>
      <c r="F322" t="s">
        <v>4</v>
      </c>
      <c r="G322" t="s">
        <v>2919</v>
      </c>
      <c r="H322" t="s">
        <v>2953</v>
      </c>
      <c r="I322" t="s">
        <v>2909</v>
      </c>
      <c r="J322" t="str">
        <f>IF(ISNUMBER(MATCH($D322,'Lopettaneet 2013-&gt;'!$D:$D,0)),INDEX('Lopettaneet 2013-&gt;'!$K:$K,MATCH($D322,'Lopettaneet 2013-&gt;'!$D:$D,0)),"Continues")</f>
        <v>Closed</v>
      </c>
      <c r="K322">
        <f ca="1">IF($J322="Continues",DATEDIF($B322,TODAY(),"Y"),INDEX('Lopettaneet 2013-&gt;'!$L:$L,MATCH($D322,'Lopettaneet 2013-&gt;'!$D:$D,0)))</f>
        <v>6</v>
      </c>
      <c r="L322">
        <v>161</v>
      </c>
    </row>
    <row r="323" spans="1:12" x14ac:dyDescent="0.25">
      <c r="A323" t="s">
        <v>0</v>
      </c>
      <c r="B323" s="1">
        <v>41791</v>
      </c>
      <c r="C323" s="1">
        <v>45291</v>
      </c>
      <c r="D323" s="4" t="s">
        <v>18</v>
      </c>
      <c r="E323" t="s">
        <v>3</v>
      </c>
      <c r="F323" t="s">
        <v>4</v>
      </c>
      <c r="G323" t="s">
        <v>2917</v>
      </c>
      <c r="H323" t="s">
        <v>2953</v>
      </c>
      <c r="I323" t="s">
        <v>2909</v>
      </c>
      <c r="J323" t="str">
        <f>IF(ISNUMBER(MATCH($D323,'Lopettaneet 2013-&gt;'!$D:$D,0)),INDEX('Lopettaneet 2013-&gt;'!$K:$K,MATCH($D323,'Lopettaneet 2013-&gt;'!$D:$D,0)),"Continues")</f>
        <v>Merged</v>
      </c>
      <c r="K323">
        <f ca="1">IF($J323="Continues",DATEDIF($B323,TODAY(),"Y"),INDEX('Lopettaneet 2013-&gt;'!$L:$L,MATCH($D323,'Lopettaneet 2013-&gt;'!$D:$D,0)))</f>
        <v>9</v>
      </c>
      <c r="L323">
        <v>161</v>
      </c>
    </row>
    <row r="324" spans="1:12" x14ac:dyDescent="0.25">
      <c r="A324" t="s">
        <v>0</v>
      </c>
      <c r="B324" s="1">
        <v>39783</v>
      </c>
      <c r="C324" s="1">
        <v>43738</v>
      </c>
      <c r="D324" s="4" t="s">
        <v>2516</v>
      </c>
      <c r="E324" t="s">
        <v>3</v>
      </c>
      <c r="F324" t="s">
        <v>4</v>
      </c>
      <c r="G324" t="s">
        <v>2915</v>
      </c>
      <c r="H324" t="s">
        <v>2980</v>
      </c>
      <c r="I324" t="s">
        <v>2909</v>
      </c>
      <c r="J324" t="str">
        <f>IF(ISNUMBER(MATCH($D324,'Lopettaneet 2013-&gt;'!$D:$D,0)),INDEX('Lopettaneet 2013-&gt;'!$K:$K,MATCH($D324,'Lopettaneet 2013-&gt;'!$D:$D,0)),"Continues")</f>
        <v>Merged</v>
      </c>
      <c r="K324">
        <f ca="1">IF($J324="Continues",DATEDIF($B324,TODAY(),"Y"),INDEX('Lopettaneet 2013-&gt;'!$L:$L,MATCH($D324,'Lopettaneet 2013-&gt;'!$D:$D,0)))</f>
        <v>10</v>
      </c>
      <c r="L324">
        <v>162</v>
      </c>
    </row>
    <row r="325" spans="1:12" x14ac:dyDescent="0.25">
      <c r="A325" t="s">
        <v>0</v>
      </c>
      <c r="B325" s="1">
        <v>41760</v>
      </c>
      <c r="C325" s="1">
        <v>55153</v>
      </c>
      <c r="D325" s="4" t="s">
        <v>556</v>
      </c>
      <c r="E325" t="s">
        <v>3</v>
      </c>
      <c r="F325" t="s">
        <v>4</v>
      </c>
      <c r="G325" t="s">
        <v>2917</v>
      </c>
      <c r="H325" t="s">
        <v>2946</v>
      </c>
      <c r="I325" t="s">
        <v>2894</v>
      </c>
      <c r="J325" t="str">
        <f>IF(ISNUMBER(MATCH($D325,'Lopettaneet 2013-&gt;'!$D:$D,0)),INDEX('Lopettaneet 2013-&gt;'!$K:$K,MATCH($D325,'Lopettaneet 2013-&gt;'!$D:$D,0)),"Continues")</f>
        <v>Continues</v>
      </c>
      <c r="K325">
        <f ca="1">IF($J325="Continues",DATEDIF($B325,TODAY(),"Y"),INDEX('Lopettaneet 2013-&gt;'!$L:$L,MATCH($D325,'Lopettaneet 2013-&gt;'!$D:$D,0)))</f>
        <v>11</v>
      </c>
      <c r="L325">
        <v>162</v>
      </c>
    </row>
    <row r="326" spans="1:12" x14ac:dyDescent="0.25">
      <c r="A326" t="s">
        <v>0</v>
      </c>
      <c r="B326" s="1">
        <v>39783</v>
      </c>
      <c r="C326" s="1">
        <v>43251</v>
      </c>
      <c r="D326" s="4" t="s">
        <v>2518</v>
      </c>
      <c r="E326" t="s">
        <v>10</v>
      </c>
      <c r="F326" t="s">
        <v>4</v>
      </c>
      <c r="G326" t="s">
        <v>2919</v>
      </c>
      <c r="H326" t="s">
        <v>2956</v>
      </c>
      <c r="I326" t="s">
        <v>2909</v>
      </c>
      <c r="J326" t="str">
        <f>IF(ISNUMBER(MATCH($D326,'Lopettaneet 2013-&gt;'!$D:$D,0)),INDEX('Lopettaneet 2013-&gt;'!$K:$K,MATCH($D326,'Lopettaneet 2013-&gt;'!$D:$D,0)),"Continues")</f>
        <v>Merged</v>
      </c>
      <c r="K326">
        <f ca="1">IF($J326="Continues",DATEDIF($B326,TODAY(),"Y"),INDEX('Lopettaneet 2013-&gt;'!$L:$L,MATCH($D326,'Lopettaneet 2013-&gt;'!$D:$D,0)))</f>
        <v>9</v>
      </c>
      <c r="L326">
        <v>163</v>
      </c>
    </row>
    <row r="327" spans="1:12" x14ac:dyDescent="0.25">
      <c r="A327" t="s">
        <v>0</v>
      </c>
      <c r="B327" s="1">
        <v>41852</v>
      </c>
      <c r="C327" s="1">
        <v>55153</v>
      </c>
      <c r="D327" s="4" t="s">
        <v>558</v>
      </c>
      <c r="E327" t="s">
        <v>3</v>
      </c>
      <c r="F327" t="s">
        <v>4</v>
      </c>
      <c r="G327" t="s">
        <v>2913</v>
      </c>
      <c r="H327" t="s">
        <v>2952</v>
      </c>
      <c r="I327" t="s">
        <v>2894</v>
      </c>
      <c r="J327" t="str">
        <f>IF(ISNUMBER(MATCH($D327,'Lopettaneet 2013-&gt;'!$D:$D,0)),INDEX('Lopettaneet 2013-&gt;'!$K:$K,MATCH($D327,'Lopettaneet 2013-&gt;'!$D:$D,0)),"Continues")</f>
        <v>Continues</v>
      </c>
      <c r="K327">
        <f ca="1">IF($J327="Continues",DATEDIF($B327,TODAY(),"Y"),INDEX('Lopettaneet 2013-&gt;'!$L:$L,MATCH($D327,'Lopettaneet 2013-&gt;'!$D:$D,0)))</f>
        <v>10</v>
      </c>
      <c r="L327">
        <v>163</v>
      </c>
    </row>
    <row r="328" spans="1:12" x14ac:dyDescent="0.25">
      <c r="A328" t="s">
        <v>0</v>
      </c>
      <c r="B328" s="1">
        <v>39783</v>
      </c>
      <c r="C328" s="1">
        <v>42674</v>
      </c>
      <c r="D328" s="4" t="s">
        <v>2520</v>
      </c>
      <c r="E328" t="s">
        <v>10</v>
      </c>
      <c r="F328" t="s">
        <v>4</v>
      </c>
      <c r="G328" t="s">
        <v>2919</v>
      </c>
      <c r="H328" t="s">
        <v>2909</v>
      </c>
      <c r="I328" t="s">
        <v>2909</v>
      </c>
      <c r="J328" t="str">
        <f>IF(ISNUMBER(MATCH($D328,'Lopettaneet 2013-&gt;'!$D:$D,0)),INDEX('Lopettaneet 2013-&gt;'!$K:$K,MATCH($D328,'Lopettaneet 2013-&gt;'!$D:$D,0)),"Continues")</f>
        <v>Merged</v>
      </c>
      <c r="K328">
        <f ca="1">IF($J328="Continues",DATEDIF($B328,TODAY(),"Y"),INDEX('Lopettaneet 2013-&gt;'!$L:$L,MATCH($D328,'Lopettaneet 2013-&gt;'!$D:$D,0)))</f>
        <v>7</v>
      </c>
      <c r="L328">
        <v>164</v>
      </c>
    </row>
    <row r="329" spans="1:12" x14ac:dyDescent="0.25">
      <c r="A329" t="s">
        <v>0</v>
      </c>
      <c r="B329" s="1">
        <v>41883</v>
      </c>
      <c r="C329" s="1">
        <v>43799</v>
      </c>
      <c r="D329" s="4" t="s">
        <v>560</v>
      </c>
      <c r="E329" t="s">
        <v>3</v>
      </c>
      <c r="F329" t="s">
        <v>4</v>
      </c>
      <c r="G329" t="s">
        <v>2917</v>
      </c>
      <c r="H329" t="s">
        <v>2909</v>
      </c>
      <c r="I329" t="s">
        <v>2909</v>
      </c>
      <c r="J329" t="str">
        <f>IF(ISNUMBER(MATCH($D329,'Lopettaneet 2013-&gt;'!$D:$D,0)),INDEX('Lopettaneet 2013-&gt;'!$K:$K,MATCH($D329,'Lopettaneet 2013-&gt;'!$D:$D,0)),"Continues")</f>
        <v>Merged</v>
      </c>
      <c r="K329">
        <f ca="1">IF($J329="Continues",DATEDIF($B329,TODAY(),"Y"),INDEX('Lopettaneet 2013-&gt;'!$L:$L,MATCH($D329,'Lopettaneet 2013-&gt;'!$D:$D,0)))</f>
        <v>5</v>
      </c>
      <c r="L329">
        <v>164</v>
      </c>
    </row>
    <row r="330" spans="1:12" x14ac:dyDescent="0.25">
      <c r="A330" t="s">
        <v>0</v>
      </c>
      <c r="B330" s="1">
        <v>39783</v>
      </c>
      <c r="C330" s="1">
        <v>42855</v>
      </c>
      <c r="D330" s="4" t="s">
        <v>2522</v>
      </c>
      <c r="E330" t="s">
        <v>3</v>
      </c>
      <c r="F330" t="s">
        <v>4</v>
      </c>
      <c r="G330" t="s">
        <v>2917</v>
      </c>
      <c r="H330" t="s">
        <v>2947</v>
      </c>
      <c r="I330" t="s">
        <v>2909</v>
      </c>
      <c r="J330" t="str">
        <f>IF(ISNUMBER(MATCH($D330,'Lopettaneet 2013-&gt;'!$D:$D,0)),INDEX('Lopettaneet 2013-&gt;'!$K:$K,MATCH($D330,'Lopettaneet 2013-&gt;'!$D:$D,0)),"Continues")</f>
        <v>Merged</v>
      </c>
      <c r="K330">
        <f ca="1">IF($J330="Continues",DATEDIF($B330,TODAY(),"Y"),INDEX('Lopettaneet 2013-&gt;'!$L:$L,MATCH($D330,'Lopettaneet 2013-&gt;'!$D:$D,0)))</f>
        <v>8</v>
      </c>
      <c r="L330">
        <v>165</v>
      </c>
    </row>
    <row r="331" spans="1:12" x14ac:dyDescent="0.25">
      <c r="A331" t="s">
        <v>0</v>
      </c>
      <c r="B331" s="1">
        <v>41852</v>
      </c>
      <c r="C331" s="1">
        <v>43404</v>
      </c>
      <c r="D331" s="4" t="s">
        <v>562</v>
      </c>
      <c r="E331" t="s">
        <v>10</v>
      </c>
      <c r="F331" t="s">
        <v>4</v>
      </c>
      <c r="G331" t="s">
        <v>2919</v>
      </c>
      <c r="H331" t="s">
        <v>2909</v>
      </c>
      <c r="I331" t="s">
        <v>2909</v>
      </c>
      <c r="J331" t="str">
        <f>IF(ISNUMBER(MATCH($D331,'Lopettaneet 2013-&gt;'!$D:$D,0)),INDEX('Lopettaneet 2013-&gt;'!$K:$K,MATCH($D331,'Lopettaneet 2013-&gt;'!$D:$D,0)),"Continues")</f>
        <v>Closed</v>
      </c>
      <c r="K331">
        <f ca="1">IF($J331="Continues",DATEDIF($B331,TODAY(),"Y"),INDEX('Lopettaneet 2013-&gt;'!$L:$L,MATCH($D331,'Lopettaneet 2013-&gt;'!$D:$D,0)))</f>
        <v>4</v>
      </c>
      <c r="L331">
        <v>165</v>
      </c>
    </row>
    <row r="332" spans="1:12" x14ac:dyDescent="0.25">
      <c r="A332" t="s">
        <v>0</v>
      </c>
      <c r="B332" s="1">
        <v>39783</v>
      </c>
      <c r="C332" s="1">
        <v>43404</v>
      </c>
      <c r="D332" s="4" t="s">
        <v>2524</v>
      </c>
      <c r="E332" t="s">
        <v>10</v>
      </c>
      <c r="F332" t="s">
        <v>4</v>
      </c>
      <c r="G332" t="s">
        <v>2917</v>
      </c>
      <c r="H332" t="s">
        <v>2947</v>
      </c>
      <c r="I332" t="s">
        <v>2909</v>
      </c>
      <c r="J332" t="str">
        <f>IF(ISNUMBER(MATCH($D332,'Lopettaneet 2013-&gt;'!$D:$D,0)),INDEX('Lopettaneet 2013-&gt;'!$K:$K,MATCH($D332,'Lopettaneet 2013-&gt;'!$D:$D,0)),"Continues")</f>
        <v>Merged</v>
      </c>
      <c r="K332">
        <f ca="1">IF($J332="Continues",DATEDIF($B332,TODAY(),"Y"),INDEX('Lopettaneet 2013-&gt;'!$L:$L,MATCH($D332,'Lopettaneet 2013-&gt;'!$D:$D,0)))</f>
        <v>9</v>
      </c>
      <c r="L332">
        <v>166</v>
      </c>
    </row>
    <row r="333" spans="1:12" x14ac:dyDescent="0.25">
      <c r="A333" t="s">
        <v>0</v>
      </c>
      <c r="B333" s="1">
        <v>41883</v>
      </c>
      <c r="C333" s="1">
        <v>55153</v>
      </c>
      <c r="D333" s="4" t="s">
        <v>3181</v>
      </c>
      <c r="E333" t="s">
        <v>3</v>
      </c>
      <c r="F333" t="s">
        <v>4</v>
      </c>
      <c r="G333" t="s">
        <v>2913</v>
      </c>
      <c r="H333" t="s">
        <v>2777</v>
      </c>
      <c r="I333" t="s">
        <v>2894</v>
      </c>
      <c r="J333" t="str">
        <f>IF(ISNUMBER(MATCH($D333,'Lopettaneet 2013-&gt;'!$D:$D,0)),INDEX('Lopettaneet 2013-&gt;'!$K:$K,MATCH($D333,'Lopettaneet 2013-&gt;'!$D:$D,0)),"Continues")</f>
        <v>Continues</v>
      </c>
      <c r="K333">
        <f ca="1">IF($J333="Continues",DATEDIF($B333,TODAY(),"Y"),INDEX('Lopettaneet 2013-&gt;'!$L:$L,MATCH($D333,'Lopettaneet 2013-&gt;'!$D:$D,0)))</f>
        <v>10</v>
      </c>
      <c r="L333">
        <v>166</v>
      </c>
    </row>
    <row r="334" spans="1:12" x14ac:dyDescent="0.25">
      <c r="A334" t="s">
        <v>0</v>
      </c>
      <c r="B334" s="1">
        <v>39783</v>
      </c>
      <c r="C334" s="1">
        <v>43799</v>
      </c>
      <c r="D334" s="4" t="s">
        <v>2526</v>
      </c>
      <c r="E334" t="s">
        <v>3</v>
      </c>
      <c r="F334" t="s">
        <v>4</v>
      </c>
      <c r="G334" t="s">
        <v>2913</v>
      </c>
      <c r="H334" t="s">
        <v>2947</v>
      </c>
      <c r="I334" t="s">
        <v>2909</v>
      </c>
      <c r="J334" t="str">
        <f>IF(ISNUMBER(MATCH($D334,'Lopettaneet 2013-&gt;'!$D:$D,0)),INDEX('Lopettaneet 2013-&gt;'!$K:$K,MATCH($D334,'Lopettaneet 2013-&gt;'!$D:$D,0)),"Continues")</f>
        <v>Merged</v>
      </c>
      <c r="K334">
        <f ca="1">IF($J334="Continues",DATEDIF($B334,TODAY(),"Y"),INDEX('Lopettaneet 2013-&gt;'!$L:$L,MATCH($D334,'Lopettaneet 2013-&gt;'!$D:$D,0)))</f>
        <v>10</v>
      </c>
      <c r="L334">
        <v>167</v>
      </c>
    </row>
    <row r="335" spans="1:12" x14ac:dyDescent="0.25">
      <c r="A335" t="s">
        <v>7</v>
      </c>
      <c r="B335" s="1">
        <v>41974</v>
      </c>
      <c r="C335" s="1">
        <v>55153</v>
      </c>
      <c r="D335" s="4" t="s">
        <v>566</v>
      </c>
      <c r="E335" t="s">
        <v>10</v>
      </c>
      <c r="F335" t="s">
        <v>11</v>
      </c>
      <c r="G335" t="s">
        <v>2918</v>
      </c>
      <c r="H335" t="s">
        <v>2963</v>
      </c>
      <c r="I335" t="s">
        <v>2895</v>
      </c>
      <c r="J335" t="str">
        <f>IF(ISNUMBER(MATCH($D335,'Lopettaneet 2013-&gt;'!$D:$D,0)),INDEX('Lopettaneet 2013-&gt;'!$K:$K,MATCH($D335,'Lopettaneet 2013-&gt;'!$D:$D,0)),"Continues")</f>
        <v>Continues</v>
      </c>
      <c r="K335">
        <f ca="1">IF($J335="Continues",DATEDIF($B335,TODAY(),"Y"),INDEX('Lopettaneet 2013-&gt;'!$L:$L,MATCH($D335,'Lopettaneet 2013-&gt;'!$D:$D,0)))</f>
        <v>10</v>
      </c>
      <c r="L335">
        <v>167</v>
      </c>
    </row>
    <row r="336" spans="1:12" x14ac:dyDescent="0.25">
      <c r="A336" t="s">
        <v>0</v>
      </c>
      <c r="B336" s="1">
        <v>39783</v>
      </c>
      <c r="C336" s="1">
        <v>42825</v>
      </c>
      <c r="D336" s="4" t="s">
        <v>2528</v>
      </c>
      <c r="E336" t="s">
        <v>10</v>
      </c>
      <c r="F336" t="s">
        <v>4</v>
      </c>
      <c r="G336" t="s">
        <v>2913</v>
      </c>
      <c r="H336" t="s">
        <v>2953</v>
      </c>
      <c r="I336" t="s">
        <v>2909</v>
      </c>
      <c r="J336" t="str">
        <f>IF(ISNUMBER(MATCH($D336,'Lopettaneet 2013-&gt;'!$D:$D,0)),INDEX('Lopettaneet 2013-&gt;'!$K:$K,MATCH($D336,'Lopettaneet 2013-&gt;'!$D:$D,0)),"Continues")</f>
        <v>Merged</v>
      </c>
      <c r="K336">
        <f ca="1">IF($J336="Continues",DATEDIF($B336,TODAY(),"Y"),INDEX('Lopettaneet 2013-&gt;'!$L:$L,MATCH($D336,'Lopettaneet 2013-&gt;'!$D:$D,0)))</f>
        <v>8</v>
      </c>
      <c r="L336">
        <v>168</v>
      </c>
    </row>
    <row r="337" spans="1:12" x14ac:dyDescent="0.25">
      <c r="A337" t="s">
        <v>7</v>
      </c>
      <c r="B337" s="1">
        <v>41974</v>
      </c>
      <c r="C337" s="1">
        <v>43830</v>
      </c>
      <c r="D337" s="4" t="s">
        <v>568</v>
      </c>
      <c r="E337" t="s">
        <v>10</v>
      </c>
      <c r="F337" t="s">
        <v>11</v>
      </c>
      <c r="G337" t="s">
        <v>2914</v>
      </c>
      <c r="H337" t="s">
        <v>2937</v>
      </c>
      <c r="I337" t="s">
        <v>2909</v>
      </c>
      <c r="J337" t="str">
        <f>IF(ISNUMBER(MATCH($D337,'Lopettaneet 2013-&gt;'!$D:$D,0)),INDEX('Lopettaneet 2013-&gt;'!$K:$K,MATCH($D337,'Lopettaneet 2013-&gt;'!$D:$D,0)),"Continues")</f>
        <v>Closed</v>
      </c>
      <c r="K337">
        <f ca="1">IF($J337="Continues",DATEDIF($B337,TODAY(),"Y"),INDEX('Lopettaneet 2013-&gt;'!$L:$L,MATCH($D337,'Lopettaneet 2013-&gt;'!$D:$D,0)))</f>
        <v>5</v>
      </c>
      <c r="L337">
        <v>168</v>
      </c>
    </row>
    <row r="338" spans="1:12" x14ac:dyDescent="0.25">
      <c r="A338" t="s">
        <v>0</v>
      </c>
      <c r="B338" s="1">
        <v>39783</v>
      </c>
      <c r="C338" s="1">
        <v>41943</v>
      </c>
      <c r="D338" s="4" t="s">
        <v>2530</v>
      </c>
      <c r="E338" t="s">
        <v>3</v>
      </c>
      <c r="F338" t="s">
        <v>4</v>
      </c>
      <c r="G338" t="s">
        <v>2917</v>
      </c>
      <c r="H338" t="s">
        <v>2924</v>
      </c>
      <c r="I338" t="s">
        <v>2909</v>
      </c>
      <c r="J338" t="str">
        <f>IF(ISNUMBER(MATCH($D338,'Lopettaneet 2013-&gt;'!$D:$D,0)),INDEX('Lopettaneet 2013-&gt;'!$K:$K,MATCH($D338,'Lopettaneet 2013-&gt;'!$D:$D,0)),"Continues")</f>
        <v>Closed</v>
      </c>
      <c r="K338">
        <f ca="1">IF($J338="Continues",DATEDIF($B338,TODAY(),"Y"),INDEX('Lopettaneet 2013-&gt;'!$L:$L,MATCH($D338,'Lopettaneet 2013-&gt;'!$D:$D,0)))</f>
        <v>5</v>
      </c>
      <c r="L338">
        <v>169</v>
      </c>
    </row>
    <row r="339" spans="1:12" x14ac:dyDescent="0.25">
      <c r="A339" t="s">
        <v>7</v>
      </c>
      <c r="B339" s="1">
        <v>41974</v>
      </c>
      <c r="C339" s="1">
        <v>42521</v>
      </c>
      <c r="D339" s="4" t="s">
        <v>570</v>
      </c>
      <c r="E339" t="s">
        <v>10</v>
      </c>
      <c r="F339" t="s">
        <v>11</v>
      </c>
      <c r="G339" t="s">
        <v>2919</v>
      </c>
      <c r="H339" t="s">
        <v>2909</v>
      </c>
      <c r="I339" t="s">
        <v>2909</v>
      </c>
      <c r="J339" t="str">
        <f>IF(ISNUMBER(MATCH($D339,'Lopettaneet 2013-&gt;'!$D:$D,0)),INDEX('Lopettaneet 2013-&gt;'!$K:$K,MATCH($D339,'Lopettaneet 2013-&gt;'!$D:$D,0)),"Continues")</f>
        <v>Closed</v>
      </c>
      <c r="K339">
        <f ca="1">IF($J339="Continues",DATEDIF($B339,TODAY(),"Y"),INDEX('Lopettaneet 2013-&gt;'!$L:$L,MATCH($D339,'Lopettaneet 2013-&gt;'!$D:$D,0)))</f>
        <v>1</v>
      </c>
      <c r="L339">
        <v>169</v>
      </c>
    </row>
    <row r="340" spans="1:12" x14ac:dyDescent="0.25">
      <c r="A340" t="s">
        <v>0</v>
      </c>
      <c r="B340" s="1">
        <v>39783</v>
      </c>
      <c r="C340" s="1">
        <v>42063</v>
      </c>
      <c r="D340" s="4" t="s">
        <v>2532</v>
      </c>
      <c r="E340" t="s">
        <v>3</v>
      </c>
      <c r="F340" t="s">
        <v>4</v>
      </c>
      <c r="G340" t="s">
        <v>2917</v>
      </c>
      <c r="H340" t="s">
        <v>2980</v>
      </c>
      <c r="I340" t="s">
        <v>2909</v>
      </c>
      <c r="J340" t="str">
        <f>IF(ISNUMBER(MATCH($D340,'Lopettaneet 2013-&gt;'!$D:$D,0)),INDEX('Lopettaneet 2013-&gt;'!$K:$K,MATCH($D340,'Lopettaneet 2013-&gt;'!$D:$D,0)),"Continues")</f>
        <v>Merged</v>
      </c>
      <c r="K340">
        <f ca="1">IF($J340="Continues",DATEDIF($B340,TODAY(),"Y"),INDEX('Lopettaneet 2013-&gt;'!$L:$L,MATCH($D340,'Lopettaneet 2013-&gt;'!$D:$D,0)))</f>
        <v>6</v>
      </c>
      <c r="L340">
        <v>170</v>
      </c>
    </row>
    <row r="341" spans="1:12" x14ac:dyDescent="0.25">
      <c r="A341" t="s">
        <v>7</v>
      </c>
      <c r="B341" s="1">
        <v>41974</v>
      </c>
      <c r="C341" s="1">
        <v>55153</v>
      </c>
      <c r="D341" s="4" t="s">
        <v>572</v>
      </c>
      <c r="E341" t="s">
        <v>10</v>
      </c>
      <c r="F341" t="s">
        <v>11</v>
      </c>
      <c r="G341" t="s">
        <v>2916</v>
      </c>
      <c r="H341" t="s">
        <v>3014</v>
      </c>
      <c r="I341" t="s">
        <v>2895</v>
      </c>
      <c r="J341" t="str">
        <f>IF(ISNUMBER(MATCH($D341,'Lopettaneet 2013-&gt;'!$D:$D,0)),INDEX('Lopettaneet 2013-&gt;'!$K:$K,MATCH($D341,'Lopettaneet 2013-&gt;'!$D:$D,0)),"Continues")</f>
        <v>Continues</v>
      </c>
      <c r="K341">
        <f ca="1">IF($J341="Continues",DATEDIF($B341,TODAY(),"Y"),INDEX('Lopettaneet 2013-&gt;'!$L:$L,MATCH($D341,'Lopettaneet 2013-&gt;'!$D:$D,0)))</f>
        <v>10</v>
      </c>
      <c r="L341">
        <v>170</v>
      </c>
    </row>
    <row r="342" spans="1:12" x14ac:dyDescent="0.25">
      <c r="A342" t="s">
        <v>0</v>
      </c>
      <c r="B342" s="1">
        <v>39783</v>
      </c>
      <c r="C342" s="1">
        <v>42735</v>
      </c>
      <c r="D342" s="4" t="s">
        <v>2536</v>
      </c>
      <c r="E342" t="s">
        <v>10</v>
      </c>
      <c r="F342" t="s">
        <v>4</v>
      </c>
      <c r="G342" t="s">
        <v>2917</v>
      </c>
      <c r="H342" t="s">
        <v>2766</v>
      </c>
      <c r="I342" t="s">
        <v>2909</v>
      </c>
      <c r="J342" t="str">
        <f>IF(ISNUMBER(MATCH($D342,'Lopettaneet 2013-&gt;'!$D:$D,0)),INDEX('Lopettaneet 2013-&gt;'!$K:$K,MATCH($D342,'Lopettaneet 2013-&gt;'!$D:$D,0)),"Continues")</f>
        <v>Closed</v>
      </c>
      <c r="K342">
        <f ca="1">IF($J342="Continues",DATEDIF($B342,TODAY(),"Y"),INDEX('Lopettaneet 2013-&gt;'!$L:$L,MATCH($D342,'Lopettaneet 2013-&gt;'!$D:$D,0)))</f>
        <v>8</v>
      </c>
      <c r="L342">
        <v>171</v>
      </c>
    </row>
    <row r="343" spans="1:12" x14ac:dyDescent="0.25">
      <c r="A343" t="s">
        <v>0</v>
      </c>
      <c r="B343" s="1">
        <v>41883</v>
      </c>
      <c r="C343" s="1">
        <v>43465</v>
      </c>
      <c r="D343" s="4" t="s">
        <v>574</v>
      </c>
      <c r="E343" t="s">
        <v>3</v>
      </c>
      <c r="F343" t="s">
        <v>4</v>
      </c>
      <c r="G343" t="s">
        <v>2913</v>
      </c>
      <c r="H343" t="s">
        <v>2946</v>
      </c>
      <c r="I343" t="s">
        <v>2909</v>
      </c>
      <c r="J343" t="str">
        <f>IF(ISNUMBER(MATCH($D343,'Lopettaneet 2013-&gt;'!$D:$D,0)),INDEX('Lopettaneet 2013-&gt;'!$K:$K,MATCH($D343,'Lopettaneet 2013-&gt;'!$D:$D,0)),"Continues")</f>
        <v>Merged</v>
      </c>
      <c r="K343">
        <f ca="1">IF($J343="Continues",DATEDIF($B343,TODAY(),"Y"),INDEX('Lopettaneet 2013-&gt;'!$L:$L,MATCH($D343,'Lopettaneet 2013-&gt;'!$D:$D,0)))</f>
        <v>4</v>
      </c>
      <c r="L343">
        <v>171</v>
      </c>
    </row>
    <row r="344" spans="1:12" x14ac:dyDescent="0.25">
      <c r="A344" t="s">
        <v>0</v>
      </c>
      <c r="B344" s="1">
        <v>39783</v>
      </c>
      <c r="C344" s="1">
        <v>42247</v>
      </c>
      <c r="D344" s="4" t="s">
        <v>2538</v>
      </c>
      <c r="E344" t="s">
        <v>3</v>
      </c>
      <c r="F344" t="s">
        <v>4</v>
      </c>
      <c r="G344" t="s">
        <v>2917</v>
      </c>
      <c r="H344" t="s">
        <v>2980</v>
      </c>
      <c r="I344" t="s">
        <v>2909</v>
      </c>
      <c r="J344" t="str">
        <f>IF(ISNUMBER(MATCH($D344,'Lopettaneet 2013-&gt;'!$D:$D,0)),INDEX('Lopettaneet 2013-&gt;'!$K:$K,MATCH($D344,'Lopettaneet 2013-&gt;'!$D:$D,0)),"Continues")</f>
        <v>Closed</v>
      </c>
      <c r="K344">
        <f ca="1">IF($J344="Continues",DATEDIF($B344,TODAY(),"Y"),INDEX('Lopettaneet 2013-&gt;'!$L:$L,MATCH($D344,'Lopettaneet 2013-&gt;'!$D:$D,0)))</f>
        <v>6</v>
      </c>
      <c r="L344">
        <v>172</v>
      </c>
    </row>
    <row r="345" spans="1:12" x14ac:dyDescent="0.25">
      <c r="A345" t="s">
        <v>0</v>
      </c>
      <c r="B345" s="1">
        <v>41883</v>
      </c>
      <c r="C345" s="1">
        <v>43465</v>
      </c>
      <c r="D345" s="4" t="s">
        <v>576</v>
      </c>
      <c r="E345" t="s">
        <v>3</v>
      </c>
      <c r="F345" t="s">
        <v>4</v>
      </c>
      <c r="G345" t="s">
        <v>2917</v>
      </c>
      <c r="H345" t="s">
        <v>2946</v>
      </c>
      <c r="I345" t="s">
        <v>2909</v>
      </c>
      <c r="J345" t="str">
        <f>IF(ISNUMBER(MATCH($D345,'Lopettaneet 2013-&gt;'!$D:$D,0)),INDEX('Lopettaneet 2013-&gt;'!$K:$K,MATCH($D345,'Lopettaneet 2013-&gt;'!$D:$D,0)),"Continues")</f>
        <v>Merged</v>
      </c>
      <c r="K345">
        <f ca="1">IF($J345="Continues",DATEDIF($B345,TODAY(),"Y"),INDEX('Lopettaneet 2013-&gt;'!$L:$L,MATCH($D345,'Lopettaneet 2013-&gt;'!$D:$D,0)))</f>
        <v>4</v>
      </c>
      <c r="L345">
        <v>172</v>
      </c>
    </row>
    <row r="346" spans="1:12" x14ac:dyDescent="0.25">
      <c r="A346" t="s">
        <v>0</v>
      </c>
      <c r="B346" s="1">
        <v>39783</v>
      </c>
      <c r="C346" s="1">
        <v>42094</v>
      </c>
      <c r="D346" s="4" t="s">
        <v>2540</v>
      </c>
      <c r="E346" t="s">
        <v>10</v>
      </c>
      <c r="F346" t="s">
        <v>4</v>
      </c>
      <c r="G346" t="s">
        <v>2917</v>
      </c>
      <c r="H346" t="s">
        <v>2952</v>
      </c>
      <c r="I346" t="s">
        <v>2909</v>
      </c>
      <c r="J346" t="str">
        <f>IF(ISNUMBER(MATCH($D346,'Lopettaneet 2013-&gt;'!$D:$D,0)),INDEX('Lopettaneet 2013-&gt;'!$K:$K,MATCH($D346,'Lopettaneet 2013-&gt;'!$D:$D,0)),"Continues")</f>
        <v>Merged</v>
      </c>
      <c r="K346">
        <f ca="1">IF($J346="Continues",DATEDIF($B346,TODAY(),"Y"),INDEX('Lopettaneet 2013-&gt;'!$L:$L,MATCH($D346,'Lopettaneet 2013-&gt;'!$D:$D,0)))</f>
        <v>6</v>
      </c>
      <c r="L346">
        <v>173</v>
      </c>
    </row>
    <row r="347" spans="1:12" x14ac:dyDescent="0.25">
      <c r="A347" t="s">
        <v>0</v>
      </c>
      <c r="B347" s="1">
        <v>41944</v>
      </c>
      <c r="C347" s="1">
        <v>55153</v>
      </c>
      <c r="D347" s="4" t="s">
        <v>578</v>
      </c>
      <c r="E347" t="s">
        <v>10</v>
      </c>
      <c r="F347" t="s">
        <v>4</v>
      </c>
      <c r="G347" t="s">
        <v>2915</v>
      </c>
      <c r="H347" t="s">
        <v>2952</v>
      </c>
      <c r="I347" t="s">
        <v>2894</v>
      </c>
      <c r="J347" t="str">
        <f>IF(ISNUMBER(MATCH($D347,'Lopettaneet 2013-&gt;'!$D:$D,0)),INDEX('Lopettaneet 2013-&gt;'!$K:$K,MATCH($D347,'Lopettaneet 2013-&gt;'!$D:$D,0)),"Continues")</f>
        <v>Continues</v>
      </c>
      <c r="K347">
        <f ca="1">IF($J347="Continues",DATEDIF($B347,TODAY(),"Y"),INDEX('Lopettaneet 2013-&gt;'!$L:$L,MATCH($D347,'Lopettaneet 2013-&gt;'!$D:$D,0)))</f>
        <v>10</v>
      </c>
      <c r="L347">
        <v>173</v>
      </c>
    </row>
    <row r="348" spans="1:12" x14ac:dyDescent="0.25">
      <c r="A348" t="s">
        <v>0</v>
      </c>
      <c r="B348" s="1">
        <v>39845</v>
      </c>
      <c r="C348" s="1">
        <v>41333</v>
      </c>
      <c r="D348" s="4" t="s">
        <v>2542</v>
      </c>
      <c r="E348" t="s">
        <v>10</v>
      </c>
      <c r="F348" t="s">
        <v>4</v>
      </c>
      <c r="G348" t="s">
        <v>2919</v>
      </c>
      <c r="H348" t="s">
        <v>2955</v>
      </c>
      <c r="I348" t="s">
        <v>2909</v>
      </c>
      <c r="J348" t="str">
        <f>IF(ISNUMBER(MATCH($D348,'Lopettaneet 2013-&gt;'!$D:$D,0)),INDEX('Lopettaneet 2013-&gt;'!$K:$K,MATCH($D348,'Lopettaneet 2013-&gt;'!$D:$D,0)),"Continues")</f>
        <v>Merged</v>
      </c>
      <c r="K348">
        <f ca="1">IF($J348="Continues",DATEDIF($B348,TODAY(),"Y"),INDEX('Lopettaneet 2013-&gt;'!$L:$L,MATCH($D348,'Lopettaneet 2013-&gt;'!$D:$D,0)))</f>
        <v>4</v>
      </c>
      <c r="L348">
        <v>174</v>
      </c>
    </row>
    <row r="349" spans="1:12" x14ac:dyDescent="0.25">
      <c r="A349" t="s">
        <v>0</v>
      </c>
      <c r="B349" s="1">
        <v>42005</v>
      </c>
      <c r="C349" s="1">
        <v>44255</v>
      </c>
      <c r="D349" s="4" t="s">
        <v>580</v>
      </c>
      <c r="E349" t="s">
        <v>3</v>
      </c>
      <c r="F349" t="s">
        <v>4</v>
      </c>
      <c r="G349" t="s">
        <v>2917</v>
      </c>
      <c r="H349" t="s">
        <v>2953</v>
      </c>
      <c r="I349" t="s">
        <v>2909</v>
      </c>
      <c r="J349" t="str">
        <f>IF(ISNUMBER(MATCH($D349,'Lopettaneet 2013-&gt;'!$D:$D,0)),INDEX('Lopettaneet 2013-&gt;'!$K:$K,MATCH($D349,'Lopettaneet 2013-&gt;'!$D:$D,0)),"Continues")</f>
        <v>Merged</v>
      </c>
      <c r="K349">
        <f ca="1">IF($J349="Continues",DATEDIF($B349,TODAY(),"Y"),INDEX('Lopettaneet 2013-&gt;'!$L:$L,MATCH($D349,'Lopettaneet 2013-&gt;'!$D:$D,0)))</f>
        <v>6</v>
      </c>
      <c r="L349">
        <v>174</v>
      </c>
    </row>
    <row r="350" spans="1:12" x14ac:dyDescent="0.25">
      <c r="A350" t="s">
        <v>0</v>
      </c>
      <c r="B350" s="1">
        <v>39783</v>
      </c>
      <c r="C350" s="1">
        <v>41364</v>
      </c>
      <c r="D350" s="4" t="s">
        <v>2544</v>
      </c>
      <c r="E350" t="s">
        <v>3</v>
      </c>
      <c r="F350" t="s">
        <v>4</v>
      </c>
      <c r="G350" t="s">
        <v>2917</v>
      </c>
      <c r="H350" t="s">
        <v>2975</v>
      </c>
      <c r="I350" t="s">
        <v>2909</v>
      </c>
      <c r="J350" t="str">
        <f>IF(ISNUMBER(MATCH($D350,'Lopettaneet 2013-&gt;'!$D:$D,0)),INDEX('Lopettaneet 2013-&gt;'!$K:$K,MATCH($D350,'Lopettaneet 2013-&gt;'!$D:$D,0)),"Continues")</f>
        <v>Merged</v>
      </c>
      <c r="K350">
        <f ca="1">IF($J350="Continues",DATEDIF($B350,TODAY(),"Y"),INDEX('Lopettaneet 2013-&gt;'!$L:$L,MATCH($D350,'Lopettaneet 2013-&gt;'!$D:$D,0)))</f>
        <v>4</v>
      </c>
      <c r="L350">
        <v>175</v>
      </c>
    </row>
    <row r="351" spans="1:12" x14ac:dyDescent="0.25">
      <c r="A351" t="s">
        <v>0</v>
      </c>
      <c r="B351" s="1">
        <v>42036</v>
      </c>
      <c r="C351" s="1">
        <v>55153</v>
      </c>
      <c r="D351" s="4" t="s">
        <v>582</v>
      </c>
      <c r="E351" t="s">
        <v>3</v>
      </c>
      <c r="F351" t="s">
        <v>4</v>
      </c>
      <c r="G351" t="s">
        <v>2917</v>
      </c>
      <c r="H351" t="s">
        <v>2948</v>
      </c>
      <c r="I351" t="s">
        <v>2894</v>
      </c>
      <c r="J351" t="str">
        <f>IF(ISNUMBER(MATCH($D351,'Lopettaneet 2013-&gt;'!$D:$D,0)),INDEX('Lopettaneet 2013-&gt;'!$K:$K,MATCH($D351,'Lopettaneet 2013-&gt;'!$D:$D,0)),"Continues")</f>
        <v>Continues</v>
      </c>
      <c r="K351">
        <f ca="1">IF($J351="Continues",DATEDIF($B351,TODAY(),"Y"),INDEX('Lopettaneet 2013-&gt;'!$L:$L,MATCH($D351,'Lopettaneet 2013-&gt;'!$D:$D,0)))</f>
        <v>10</v>
      </c>
      <c r="L351">
        <v>175</v>
      </c>
    </row>
    <row r="352" spans="1:12" x14ac:dyDescent="0.25">
      <c r="A352" t="s">
        <v>0</v>
      </c>
      <c r="B352" s="1">
        <v>40299</v>
      </c>
      <c r="C352" s="1">
        <v>41851</v>
      </c>
      <c r="D352" s="4" t="s">
        <v>2546</v>
      </c>
      <c r="E352" t="s">
        <v>3</v>
      </c>
      <c r="F352" t="s">
        <v>4</v>
      </c>
      <c r="G352" t="s">
        <v>2917</v>
      </c>
      <c r="H352" t="s">
        <v>2946</v>
      </c>
      <c r="I352" t="s">
        <v>2909</v>
      </c>
      <c r="J352" t="str">
        <f>IF(ISNUMBER(MATCH($D352,'Lopettaneet 2013-&gt;'!$D:$D,0)),INDEX('Lopettaneet 2013-&gt;'!$K:$K,MATCH($D352,'Lopettaneet 2013-&gt;'!$D:$D,0)),"Continues")</f>
        <v>Merged</v>
      </c>
      <c r="K352">
        <f ca="1">IF($J352="Continues",DATEDIF($B352,TODAY(),"Y"),INDEX('Lopettaneet 2013-&gt;'!$L:$L,MATCH($D352,'Lopettaneet 2013-&gt;'!$D:$D,0)))</f>
        <v>4</v>
      </c>
      <c r="L352">
        <v>176</v>
      </c>
    </row>
    <row r="353" spans="1:12" x14ac:dyDescent="0.25">
      <c r="A353" t="s">
        <v>0</v>
      </c>
      <c r="B353" s="1">
        <v>41974</v>
      </c>
      <c r="C353" s="1">
        <v>43434</v>
      </c>
      <c r="D353" s="4" t="s">
        <v>584</v>
      </c>
      <c r="E353" t="s">
        <v>3</v>
      </c>
      <c r="F353" t="s">
        <v>4</v>
      </c>
      <c r="G353" t="s">
        <v>2917</v>
      </c>
      <c r="H353" t="s">
        <v>2948</v>
      </c>
      <c r="I353" t="s">
        <v>2909</v>
      </c>
      <c r="J353" t="str">
        <f>IF(ISNUMBER(MATCH($D353,'Lopettaneet 2013-&gt;'!$D:$D,0)),INDEX('Lopettaneet 2013-&gt;'!$K:$K,MATCH($D353,'Lopettaneet 2013-&gt;'!$D:$D,0)),"Continues")</f>
        <v>Merged</v>
      </c>
      <c r="K353">
        <f ca="1">IF($J353="Continues",DATEDIF($B353,TODAY(),"Y"),INDEX('Lopettaneet 2013-&gt;'!$L:$L,MATCH($D353,'Lopettaneet 2013-&gt;'!$D:$D,0)))</f>
        <v>3</v>
      </c>
      <c r="L353">
        <v>176</v>
      </c>
    </row>
    <row r="354" spans="1:12" x14ac:dyDescent="0.25">
      <c r="A354" t="s">
        <v>0</v>
      </c>
      <c r="B354" s="1">
        <v>39783</v>
      </c>
      <c r="C354" s="1">
        <v>44926</v>
      </c>
      <c r="D354" s="4" t="s">
        <v>2548</v>
      </c>
      <c r="E354" t="s">
        <v>3</v>
      </c>
      <c r="F354" t="s">
        <v>4</v>
      </c>
      <c r="G354" t="s">
        <v>2917</v>
      </c>
      <c r="H354" t="s">
        <v>2953</v>
      </c>
      <c r="I354" t="s">
        <v>2909</v>
      </c>
      <c r="J354" t="str">
        <f>IF(ISNUMBER(MATCH($D354,'Lopettaneet 2013-&gt;'!$D:$D,0)),INDEX('Lopettaneet 2013-&gt;'!$K:$K,MATCH($D354,'Lopettaneet 2013-&gt;'!$D:$D,0)),"Continues")</f>
        <v>Merged</v>
      </c>
      <c r="K354">
        <f ca="1">IF($J354="Continues",DATEDIF($B354,TODAY(),"Y"),INDEX('Lopettaneet 2013-&gt;'!$L:$L,MATCH($D354,'Lopettaneet 2013-&gt;'!$D:$D,0)))</f>
        <v>14</v>
      </c>
      <c r="L354">
        <v>177</v>
      </c>
    </row>
    <row r="355" spans="1:12" x14ac:dyDescent="0.25">
      <c r="A355" t="s">
        <v>0</v>
      </c>
      <c r="B355" s="1">
        <v>42064</v>
      </c>
      <c r="C355" s="1">
        <v>43465</v>
      </c>
      <c r="D355" s="4" t="s">
        <v>586</v>
      </c>
      <c r="E355" t="s">
        <v>3</v>
      </c>
      <c r="F355" t="s">
        <v>4</v>
      </c>
      <c r="G355" t="s">
        <v>2917</v>
      </c>
      <c r="H355" t="s">
        <v>2948</v>
      </c>
      <c r="I355" t="s">
        <v>2909</v>
      </c>
      <c r="J355" t="str">
        <f>IF(ISNUMBER(MATCH($D355,'Lopettaneet 2013-&gt;'!$D:$D,0)),INDEX('Lopettaneet 2013-&gt;'!$K:$K,MATCH($D355,'Lopettaneet 2013-&gt;'!$D:$D,0)),"Continues")</f>
        <v>Merged</v>
      </c>
      <c r="K355">
        <f ca="1">IF($J355="Continues",DATEDIF($B355,TODAY(),"Y"),INDEX('Lopettaneet 2013-&gt;'!$L:$L,MATCH($D355,'Lopettaneet 2013-&gt;'!$D:$D,0)))</f>
        <v>3</v>
      </c>
      <c r="L355">
        <v>177</v>
      </c>
    </row>
    <row r="356" spans="1:12" x14ac:dyDescent="0.25">
      <c r="A356" t="s">
        <v>0</v>
      </c>
      <c r="B356" s="1">
        <v>39873</v>
      </c>
      <c r="C356" s="1">
        <v>43281</v>
      </c>
      <c r="D356" s="4" t="s">
        <v>2550</v>
      </c>
      <c r="E356" t="s">
        <v>3</v>
      </c>
      <c r="F356" t="s">
        <v>4</v>
      </c>
      <c r="G356" t="s">
        <v>2920</v>
      </c>
      <c r="H356" t="s">
        <v>2953</v>
      </c>
      <c r="I356" t="s">
        <v>2909</v>
      </c>
      <c r="J356" t="str">
        <f>IF(ISNUMBER(MATCH($D356,'Lopettaneet 2013-&gt;'!$D:$D,0)),INDEX('Lopettaneet 2013-&gt;'!$K:$K,MATCH($D356,'Lopettaneet 2013-&gt;'!$D:$D,0)),"Continues")</f>
        <v>Merged</v>
      </c>
      <c r="K356">
        <f ca="1">IF($J356="Continues",DATEDIF($B356,TODAY(),"Y"),INDEX('Lopettaneet 2013-&gt;'!$L:$L,MATCH($D356,'Lopettaneet 2013-&gt;'!$D:$D,0)))</f>
        <v>9</v>
      </c>
      <c r="L356">
        <v>178</v>
      </c>
    </row>
    <row r="357" spans="1:12" x14ac:dyDescent="0.25">
      <c r="A357" t="s">
        <v>7</v>
      </c>
      <c r="B357" s="1">
        <v>41974</v>
      </c>
      <c r="C357" s="1">
        <v>43190</v>
      </c>
      <c r="D357" s="4" t="s">
        <v>588</v>
      </c>
      <c r="E357" t="s">
        <v>10</v>
      </c>
      <c r="F357" t="s">
        <v>11</v>
      </c>
      <c r="G357" t="s">
        <v>2916</v>
      </c>
      <c r="H357" t="s">
        <v>2909</v>
      </c>
      <c r="I357" t="s">
        <v>2909</v>
      </c>
      <c r="J357" t="str">
        <f>IF(ISNUMBER(MATCH($D357,'Lopettaneet 2013-&gt;'!$D:$D,0)),INDEX('Lopettaneet 2013-&gt;'!$K:$K,MATCH($D357,'Lopettaneet 2013-&gt;'!$D:$D,0)),"Continues")</f>
        <v>Closed</v>
      </c>
      <c r="K357">
        <f ca="1">IF($J357="Continues",DATEDIF($B357,TODAY(),"Y"),INDEX('Lopettaneet 2013-&gt;'!$L:$L,MATCH($D357,'Lopettaneet 2013-&gt;'!$D:$D,0)))</f>
        <v>3</v>
      </c>
      <c r="L357">
        <v>178</v>
      </c>
    </row>
    <row r="358" spans="1:12" x14ac:dyDescent="0.25">
      <c r="A358" t="s">
        <v>0</v>
      </c>
      <c r="B358" s="1">
        <v>39783</v>
      </c>
      <c r="C358" s="1">
        <v>42674</v>
      </c>
      <c r="D358" s="4" t="s">
        <v>2552</v>
      </c>
      <c r="E358" t="s">
        <v>3</v>
      </c>
      <c r="F358" t="s">
        <v>4</v>
      </c>
      <c r="G358" t="s">
        <v>2917</v>
      </c>
      <c r="H358" t="s">
        <v>2957</v>
      </c>
      <c r="I358" t="s">
        <v>2909</v>
      </c>
      <c r="J358" t="str">
        <f>IF(ISNUMBER(MATCH($D358,'Lopettaneet 2013-&gt;'!$D:$D,0)),INDEX('Lopettaneet 2013-&gt;'!$K:$K,MATCH($D358,'Lopettaneet 2013-&gt;'!$D:$D,0)),"Continues")</f>
        <v>Closed</v>
      </c>
      <c r="K358">
        <f ca="1">IF($J358="Continues",DATEDIF($B358,TODAY(),"Y"),INDEX('Lopettaneet 2013-&gt;'!$L:$L,MATCH($D358,'Lopettaneet 2013-&gt;'!$D:$D,0)))</f>
        <v>7</v>
      </c>
      <c r="L358">
        <v>179</v>
      </c>
    </row>
    <row r="359" spans="1:12" x14ac:dyDescent="0.25">
      <c r="A359" t="s">
        <v>7</v>
      </c>
      <c r="B359" s="1">
        <v>41974</v>
      </c>
      <c r="C359" s="1">
        <v>55153</v>
      </c>
      <c r="D359" s="4" t="s">
        <v>590</v>
      </c>
      <c r="E359" t="s">
        <v>10</v>
      </c>
      <c r="F359" t="s">
        <v>11</v>
      </c>
      <c r="G359" t="s">
        <v>2912</v>
      </c>
      <c r="H359" t="s">
        <v>3012</v>
      </c>
      <c r="I359" t="s">
        <v>2895</v>
      </c>
      <c r="J359" t="str">
        <f>IF(ISNUMBER(MATCH($D359,'Lopettaneet 2013-&gt;'!$D:$D,0)),INDEX('Lopettaneet 2013-&gt;'!$K:$K,MATCH($D359,'Lopettaneet 2013-&gt;'!$D:$D,0)),"Continues")</f>
        <v>Continues</v>
      </c>
      <c r="K359">
        <f ca="1">IF($J359="Continues",DATEDIF($B359,TODAY(),"Y"),INDEX('Lopettaneet 2013-&gt;'!$L:$L,MATCH($D359,'Lopettaneet 2013-&gt;'!$D:$D,0)))</f>
        <v>10</v>
      </c>
      <c r="L359">
        <v>179</v>
      </c>
    </row>
    <row r="360" spans="1:12" x14ac:dyDescent="0.25">
      <c r="A360" t="s">
        <v>0</v>
      </c>
      <c r="B360" s="1">
        <v>39783</v>
      </c>
      <c r="C360" s="1">
        <v>41820</v>
      </c>
      <c r="D360" s="4" t="s">
        <v>2554</v>
      </c>
      <c r="E360" t="s">
        <v>3</v>
      </c>
      <c r="F360" t="s">
        <v>4</v>
      </c>
      <c r="G360" t="s">
        <v>2915</v>
      </c>
      <c r="H360" t="s">
        <v>2942</v>
      </c>
      <c r="I360" t="s">
        <v>2909</v>
      </c>
      <c r="J360" t="str">
        <f>IF(ISNUMBER(MATCH($D360,'Lopettaneet 2013-&gt;'!$D:$D,0)),INDEX('Lopettaneet 2013-&gt;'!$K:$K,MATCH($D360,'Lopettaneet 2013-&gt;'!$D:$D,0)),"Continues")</f>
        <v>Closed</v>
      </c>
      <c r="K360">
        <f ca="1">IF($J360="Continues",DATEDIF($B360,TODAY(),"Y"),INDEX('Lopettaneet 2013-&gt;'!$L:$L,MATCH($D360,'Lopettaneet 2013-&gt;'!$D:$D,0)))</f>
        <v>5</v>
      </c>
      <c r="L360">
        <v>180</v>
      </c>
    </row>
    <row r="361" spans="1:12" x14ac:dyDescent="0.25">
      <c r="A361" t="s">
        <v>7</v>
      </c>
      <c r="B361" s="1">
        <v>41974</v>
      </c>
      <c r="C361" s="1">
        <v>55153</v>
      </c>
      <c r="D361" s="4" t="s">
        <v>592</v>
      </c>
      <c r="E361" t="s">
        <v>10</v>
      </c>
      <c r="F361" t="s">
        <v>11</v>
      </c>
      <c r="G361" t="s">
        <v>2912</v>
      </c>
      <c r="H361" t="s">
        <v>2766</v>
      </c>
      <c r="I361" t="s">
        <v>2894</v>
      </c>
      <c r="J361" t="str">
        <f>IF(ISNUMBER(MATCH($D361,'Lopettaneet 2013-&gt;'!$D:$D,0)),INDEX('Lopettaneet 2013-&gt;'!$K:$K,MATCH($D361,'Lopettaneet 2013-&gt;'!$D:$D,0)),"Continues")</f>
        <v>Continues</v>
      </c>
      <c r="K361">
        <f ca="1">IF($J361="Continues",DATEDIF($B361,TODAY(),"Y"),INDEX('Lopettaneet 2013-&gt;'!$L:$L,MATCH($D361,'Lopettaneet 2013-&gt;'!$D:$D,0)))</f>
        <v>10</v>
      </c>
      <c r="L361">
        <v>180</v>
      </c>
    </row>
    <row r="362" spans="1:12" x14ac:dyDescent="0.25">
      <c r="A362" t="s">
        <v>0</v>
      </c>
      <c r="B362" s="1">
        <v>39783</v>
      </c>
      <c r="C362" s="1">
        <v>41639</v>
      </c>
      <c r="D362" s="4" t="s">
        <v>2556</v>
      </c>
      <c r="E362" t="s">
        <v>10</v>
      </c>
      <c r="F362" t="s">
        <v>4</v>
      </c>
      <c r="G362" t="s">
        <v>2915</v>
      </c>
      <c r="H362" t="s">
        <v>2952</v>
      </c>
      <c r="I362" t="s">
        <v>2909</v>
      </c>
      <c r="J362" t="str">
        <f>IF(ISNUMBER(MATCH($D362,'Lopettaneet 2013-&gt;'!$D:$D,0)),INDEX('Lopettaneet 2013-&gt;'!$K:$K,MATCH($D362,'Lopettaneet 2013-&gt;'!$D:$D,0)),"Continues")</f>
        <v>Closed</v>
      </c>
      <c r="K362">
        <f ca="1">IF($J362="Continues",DATEDIF($B362,TODAY(),"Y"),INDEX('Lopettaneet 2013-&gt;'!$L:$L,MATCH($D362,'Lopettaneet 2013-&gt;'!$D:$D,0)))</f>
        <v>5</v>
      </c>
      <c r="L362">
        <v>181</v>
      </c>
    </row>
    <row r="363" spans="1:12" x14ac:dyDescent="0.25">
      <c r="A363" t="s">
        <v>7</v>
      </c>
      <c r="B363" s="1">
        <v>41974</v>
      </c>
      <c r="C363" s="1">
        <v>55153</v>
      </c>
      <c r="D363" s="4" t="s">
        <v>594</v>
      </c>
      <c r="E363" t="s">
        <v>10</v>
      </c>
      <c r="F363" t="s">
        <v>11</v>
      </c>
      <c r="G363" t="s">
        <v>2912</v>
      </c>
      <c r="H363" t="s">
        <v>2766</v>
      </c>
      <c r="I363" t="s">
        <v>2895</v>
      </c>
      <c r="J363" t="str">
        <f>IF(ISNUMBER(MATCH($D363,'Lopettaneet 2013-&gt;'!$D:$D,0)),INDEX('Lopettaneet 2013-&gt;'!$K:$K,MATCH($D363,'Lopettaneet 2013-&gt;'!$D:$D,0)),"Continues")</f>
        <v>Continues</v>
      </c>
      <c r="K363">
        <f ca="1">IF($J363="Continues",DATEDIF($B363,TODAY(),"Y"),INDEX('Lopettaneet 2013-&gt;'!$L:$L,MATCH($D363,'Lopettaneet 2013-&gt;'!$D:$D,0)))</f>
        <v>10</v>
      </c>
      <c r="L363">
        <v>181</v>
      </c>
    </row>
    <row r="364" spans="1:12" x14ac:dyDescent="0.25">
      <c r="A364" t="s">
        <v>0</v>
      </c>
      <c r="B364" s="1">
        <v>40057</v>
      </c>
      <c r="C364" s="1">
        <v>44530</v>
      </c>
      <c r="D364" s="4" t="s">
        <v>2558</v>
      </c>
      <c r="E364" t="s">
        <v>10</v>
      </c>
      <c r="F364" t="s">
        <v>4</v>
      </c>
      <c r="G364" t="s">
        <v>2917</v>
      </c>
      <c r="H364" t="s">
        <v>2958</v>
      </c>
      <c r="I364" t="s">
        <v>2909</v>
      </c>
      <c r="J364" t="str">
        <f>IF(ISNUMBER(MATCH($D364,'Lopettaneet 2013-&gt;'!$D:$D,0)),INDEX('Lopettaneet 2013-&gt;'!$K:$K,MATCH($D364,'Lopettaneet 2013-&gt;'!$D:$D,0)),"Continues")</f>
        <v>Merged</v>
      </c>
      <c r="K364">
        <f ca="1">IF($J364="Continues",DATEDIF($B364,TODAY(),"Y"),INDEX('Lopettaneet 2013-&gt;'!$L:$L,MATCH($D364,'Lopettaneet 2013-&gt;'!$D:$D,0)))</f>
        <v>12</v>
      </c>
      <c r="L364">
        <v>182</v>
      </c>
    </row>
    <row r="365" spans="1:12" x14ac:dyDescent="0.25">
      <c r="A365" t="s">
        <v>7</v>
      </c>
      <c r="B365" s="1">
        <v>41974</v>
      </c>
      <c r="C365" s="1">
        <v>55153</v>
      </c>
      <c r="D365" s="4" t="s">
        <v>596</v>
      </c>
      <c r="E365" t="s">
        <v>10</v>
      </c>
      <c r="F365" t="s">
        <v>11</v>
      </c>
      <c r="G365" t="s">
        <v>2916</v>
      </c>
      <c r="H365" t="s">
        <v>3016</v>
      </c>
      <c r="I365" t="s">
        <v>2895</v>
      </c>
      <c r="J365" t="str">
        <f>IF(ISNUMBER(MATCH($D365,'Lopettaneet 2013-&gt;'!$D:$D,0)),INDEX('Lopettaneet 2013-&gt;'!$K:$K,MATCH($D365,'Lopettaneet 2013-&gt;'!$D:$D,0)),"Continues")</f>
        <v>Continues</v>
      </c>
      <c r="K365">
        <f ca="1">IF($J365="Continues",DATEDIF($B365,TODAY(),"Y"),INDEX('Lopettaneet 2013-&gt;'!$L:$L,MATCH($D365,'Lopettaneet 2013-&gt;'!$D:$D,0)))</f>
        <v>10</v>
      </c>
      <c r="L365">
        <v>182</v>
      </c>
    </row>
    <row r="366" spans="1:12" x14ac:dyDescent="0.25">
      <c r="A366" t="s">
        <v>0</v>
      </c>
      <c r="B366" s="1">
        <v>39783</v>
      </c>
      <c r="C366" s="1">
        <v>41455</v>
      </c>
      <c r="D366" s="4" t="s">
        <v>2560</v>
      </c>
      <c r="E366" t="s">
        <v>3</v>
      </c>
      <c r="F366" t="s">
        <v>4</v>
      </c>
      <c r="G366" t="s">
        <v>2915</v>
      </c>
      <c r="H366" t="s">
        <v>2924</v>
      </c>
      <c r="I366" t="s">
        <v>2909</v>
      </c>
      <c r="J366" t="str">
        <f>IF(ISNUMBER(MATCH($D366,'Lopettaneet 2013-&gt;'!$D:$D,0)),INDEX('Lopettaneet 2013-&gt;'!$K:$K,MATCH($D366,'Lopettaneet 2013-&gt;'!$D:$D,0)),"Continues")</f>
        <v>Closed</v>
      </c>
      <c r="K366">
        <f ca="1">IF($J366="Continues",DATEDIF($B366,TODAY(),"Y"),INDEX('Lopettaneet 2013-&gt;'!$L:$L,MATCH($D366,'Lopettaneet 2013-&gt;'!$D:$D,0)))</f>
        <v>4</v>
      </c>
      <c r="L366">
        <v>183</v>
      </c>
    </row>
    <row r="367" spans="1:12" x14ac:dyDescent="0.25">
      <c r="A367" t="s">
        <v>0</v>
      </c>
      <c r="B367" s="1">
        <v>41883</v>
      </c>
      <c r="C367" s="1">
        <v>44439</v>
      </c>
      <c r="D367" s="4" t="s">
        <v>598</v>
      </c>
      <c r="E367" t="s">
        <v>10</v>
      </c>
      <c r="F367" t="s">
        <v>4</v>
      </c>
      <c r="G367" t="s">
        <v>2915</v>
      </c>
      <c r="H367" t="s">
        <v>2980</v>
      </c>
      <c r="I367" t="s">
        <v>2909</v>
      </c>
      <c r="J367" t="str">
        <f>IF(ISNUMBER(MATCH($D367,'Lopettaneet 2013-&gt;'!$D:$D,0)),INDEX('Lopettaneet 2013-&gt;'!$K:$K,MATCH($D367,'Lopettaneet 2013-&gt;'!$D:$D,0)),"Continues")</f>
        <v>Merged</v>
      </c>
      <c r="K367">
        <f ca="1">IF($J367="Continues",DATEDIF($B367,TODAY(),"Y"),INDEX('Lopettaneet 2013-&gt;'!$L:$L,MATCH($D367,'Lopettaneet 2013-&gt;'!$D:$D,0)))</f>
        <v>6</v>
      </c>
      <c r="L367">
        <v>183</v>
      </c>
    </row>
    <row r="368" spans="1:12" x14ac:dyDescent="0.25">
      <c r="A368" t="s">
        <v>0</v>
      </c>
      <c r="B368" s="1">
        <v>39783</v>
      </c>
      <c r="C368" s="1">
        <v>41455</v>
      </c>
      <c r="D368" s="4" t="s">
        <v>2562</v>
      </c>
      <c r="E368" t="s">
        <v>3</v>
      </c>
      <c r="F368" t="s">
        <v>4</v>
      </c>
      <c r="G368" t="s">
        <v>2915</v>
      </c>
      <c r="H368" t="s">
        <v>2924</v>
      </c>
      <c r="I368" t="s">
        <v>2909</v>
      </c>
      <c r="J368" t="str">
        <f>IF(ISNUMBER(MATCH($D368,'Lopettaneet 2013-&gt;'!$D:$D,0)),INDEX('Lopettaneet 2013-&gt;'!$K:$K,MATCH($D368,'Lopettaneet 2013-&gt;'!$D:$D,0)),"Continues")</f>
        <v>Closed</v>
      </c>
      <c r="K368">
        <f ca="1">IF($J368="Continues",DATEDIF($B368,TODAY(),"Y"),INDEX('Lopettaneet 2013-&gt;'!$L:$L,MATCH($D368,'Lopettaneet 2013-&gt;'!$D:$D,0)))</f>
        <v>4</v>
      </c>
      <c r="L368">
        <v>184</v>
      </c>
    </row>
    <row r="369" spans="1:12" x14ac:dyDescent="0.25">
      <c r="A369" t="s">
        <v>0</v>
      </c>
      <c r="B369" s="1">
        <v>41913</v>
      </c>
      <c r="C369" s="1">
        <v>55153</v>
      </c>
      <c r="D369" s="4" t="s">
        <v>3243</v>
      </c>
      <c r="E369" t="s">
        <v>3</v>
      </c>
      <c r="F369" t="s">
        <v>4</v>
      </c>
      <c r="G369" t="s">
        <v>2917</v>
      </c>
      <c r="H369" t="s">
        <v>2777</v>
      </c>
      <c r="I369" t="s">
        <v>2894</v>
      </c>
      <c r="J369" t="str">
        <f>IF(ISNUMBER(MATCH($D369,'Lopettaneet 2013-&gt;'!$D:$D,0)),INDEX('Lopettaneet 2013-&gt;'!$K:$K,MATCH($D369,'Lopettaneet 2013-&gt;'!$D:$D,0)),"Continues")</f>
        <v>Continues</v>
      </c>
      <c r="K369">
        <f ca="1">IF($J369="Continues",DATEDIF($B369,TODAY(),"Y"),INDEX('Lopettaneet 2013-&gt;'!$L:$L,MATCH($D369,'Lopettaneet 2013-&gt;'!$D:$D,0)))</f>
        <v>10</v>
      </c>
      <c r="L369">
        <v>184</v>
      </c>
    </row>
    <row r="370" spans="1:12" x14ac:dyDescent="0.25">
      <c r="A370" t="s">
        <v>0</v>
      </c>
      <c r="B370" s="1">
        <v>39783</v>
      </c>
      <c r="C370" s="1">
        <v>41455</v>
      </c>
      <c r="D370" s="4" t="s">
        <v>2564</v>
      </c>
      <c r="E370" t="s">
        <v>3</v>
      </c>
      <c r="F370" t="s">
        <v>4</v>
      </c>
      <c r="G370" t="s">
        <v>2915</v>
      </c>
      <c r="H370" t="s">
        <v>2924</v>
      </c>
      <c r="I370" t="s">
        <v>2909</v>
      </c>
      <c r="J370" t="str">
        <f>IF(ISNUMBER(MATCH($D370,'Lopettaneet 2013-&gt;'!$D:$D,0)),INDEX('Lopettaneet 2013-&gt;'!$K:$K,MATCH($D370,'Lopettaneet 2013-&gt;'!$D:$D,0)),"Continues")</f>
        <v>Closed</v>
      </c>
      <c r="K370">
        <f ca="1">IF($J370="Continues",DATEDIF($B370,TODAY(),"Y"),INDEX('Lopettaneet 2013-&gt;'!$L:$L,MATCH($D370,'Lopettaneet 2013-&gt;'!$D:$D,0)))</f>
        <v>4</v>
      </c>
      <c r="L370">
        <v>185</v>
      </c>
    </row>
    <row r="371" spans="1:12" x14ac:dyDescent="0.25">
      <c r="A371" t="s">
        <v>7</v>
      </c>
      <c r="B371" s="1">
        <v>41974</v>
      </c>
      <c r="C371" s="1">
        <v>55153</v>
      </c>
      <c r="D371" s="4" t="s">
        <v>602</v>
      </c>
      <c r="E371" t="s">
        <v>10</v>
      </c>
      <c r="F371" t="s">
        <v>11</v>
      </c>
      <c r="G371" t="s">
        <v>2918</v>
      </c>
      <c r="H371" t="s">
        <v>2980</v>
      </c>
      <c r="I371" t="s">
        <v>2895</v>
      </c>
      <c r="J371" t="str">
        <f>IF(ISNUMBER(MATCH($D371,'Lopettaneet 2013-&gt;'!$D:$D,0)),INDEX('Lopettaneet 2013-&gt;'!$K:$K,MATCH($D371,'Lopettaneet 2013-&gt;'!$D:$D,0)),"Continues")</f>
        <v>Continues</v>
      </c>
      <c r="K371">
        <f ca="1">IF($J371="Continues",DATEDIF($B371,TODAY(),"Y"),INDEX('Lopettaneet 2013-&gt;'!$L:$L,MATCH($D371,'Lopettaneet 2013-&gt;'!$D:$D,0)))</f>
        <v>10</v>
      </c>
      <c r="L371">
        <v>185</v>
      </c>
    </row>
    <row r="372" spans="1:12" x14ac:dyDescent="0.25">
      <c r="A372" t="s">
        <v>0</v>
      </c>
      <c r="B372" s="1">
        <v>39783</v>
      </c>
      <c r="C372" s="1">
        <v>41455</v>
      </c>
      <c r="D372" s="4" t="s">
        <v>2566</v>
      </c>
      <c r="E372" t="s">
        <v>3</v>
      </c>
      <c r="F372" t="s">
        <v>4</v>
      </c>
      <c r="G372" t="s">
        <v>2915</v>
      </c>
      <c r="H372" t="s">
        <v>2924</v>
      </c>
      <c r="I372" t="s">
        <v>2909</v>
      </c>
      <c r="J372" t="str">
        <f>IF(ISNUMBER(MATCH($D372,'Lopettaneet 2013-&gt;'!$D:$D,0)),INDEX('Lopettaneet 2013-&gt;'!$K:$K,MATCH($D372,'Lopettaneet 2013-&gt;'!$D:$D,0)),"Continues")</f>
        <v>Closed</v>
      </c>
      <c r="K372">
        <f ca="1">IF($J372="Continues",DATEDIF($B372,TODAY(),"Y"),INDEX('Lopettaneet 2013-&gt;'!$L:$L,MATCH($D372,'Lopettaneet 2013-&gt;'!$D:$D,0)))</f>
        <v>4</v>
      </c>
      <c r="L372">
        <v>186</v>
      </c>
    </row>
    <row r="373" spans="1:12" x14ac:dyDescent="0.25">
      <c r="A373" t="s">
        <v>0</v>
      </c>
      <c r="B373" s="1">
        <v>41944</v>
      </c>
      <c r="C373" s="1">
        <v>44530</v>
      </c>
      <c r="D373" s="4" t="s">
        <v>3182</v>
      </c>
      <c r="E373" t="s">
        <v>3</v>
      </c>
      <c r="F373" t="s">
        <v>4</v>
      </c>
      <c r="G373" t="s">
        <v>2917</v>
      </c>
      <c r="H373" t="s">
        <v>2777</v>
      </c>
      <c r="I373" t="s">
        <v>2909</v>
      </c>
      <c r="J373" t="str">
        <f>IF(ISNUMBER(MATCH($D373,'Lopettaneet 2013-&gt;'!$D:$D,0)),INDEX('Lopettaneet 2013-&gt;'!$K:$K,MATCH($D373,'Lopettaneet 2013-&gt;'!$D:$D,0)),"Continues")</f>
        <v>Continues</v>
      </c>
      <c r="K373">
        <f ca="1">IF($J373="Continues",DATEDIF($B373,TODAY(),"Y"),INDEX('Lopettaneet 2013-&gt;'!$L:$L,MATCH($D373,'Lopettaneet 2013-&gt;'!$D:$D,0)))</f>
        <v>10</v>
      </c>
      <c r="L373">
        <v>186</v>
      </c>
    </row>
    <row r="374" spans="1:12" x14ac:dyDescent="0.25">
      <c r="A374" t="s">
        <v>0</v>
      </c>
      <c r="B374" s="1">
        <v>39783</v>
      </c>
      <c r="C374" s="1">
        <v>41425</v>
      </c>
      <c r="D374" s="4" t="s">
        <v>2568</v>
      </c>
      <c r="E374" t="s">
        <v>3</v>
      </c>
      <c r="F374" t="s">
        <v>4</v>
      </c>
      <c r="G374" t="s">
        <v>2915</v>
      </c>
      <c r="H374" t="s">
        <v>2924</v>
      </c>
      <c r="I374" t="s">
        <v>2909</v>
      </c>
      <c r="J374" t="str">
        <f>IF(ISNUMBER(MATCH($D374,'Lopettaneet 2013-&gt;'!$D:$D,0)),INDEX('Lopettaneet 2013-&gt;'!$K:$K,MATCH($D374,'Lopettaneet 2013-&gt;'!$D:$D,0)),"Continues")</f>
        <v>Closed</v>
      </c>
      <c r="K374">
        <f ca="1">IF($J374="Continues",DATEDIF($B374,TODAY(),"Y"),INDEX('Lopettaneet 2013-&gt;'!$L:$L,MATCH($D374,'Lopettaneet 2013-&gt;'!$D:$D,0)))</f>
        <v>4</v>
      </c>
      <c r="L374">
        <v>187</v>
      </c>
    </row>
    <row r="375" spans="1:12" x14ac:dyDescent="0.25">
      <c r="A375" t="s">
        <v>7</v>
      </c>
      <c r="B375" s="1">
        <v>41974</v>
      </c>
      <c r="C375" s="1">
        <v>55153</v>
      </c>
      <c r="D375" s="4" t="s">
        <v>606</v>
      </c>
      <c r="E375" t="s">
        <v>10</v>
      </c>
      <c r="F375" t="s">
        <v>11</v>
      </c>
      <c r="G375" t="s">
        <v>2912</v>
      </c>
      <c r="H375" t="s">
        <v>2766</v>
      </c>
      <c r="I375" t="s">
        <v>2895</v>
      </c>
      <c r="J375" t="str">
        <f>IF(ISNUMBER(MATCH($D375,'Lopettaneet 2013-&gt;'!$D:$D,0)),INDEX('Lopettaneet 2013-&gt;'!$K:$K,MATCH($D375,'Lopettaneet 2013-&gt;'!$D:$D,0)),"Continues")</f>
        <v>Continues</v>
      </c>
      <c r="K375">
        <f ca="1">IF($J375="Continues",DATEDIF($B375,TODAY(),"Y"),INDEX('Lopettaneet 2013-&gt;'!$L:$L,MATCH($D375,'Lopettaneet 2013-&gt;'!$D:$D,0)))</f>
        <v>10</v>
      </c>
      <c r="L375">
        <v>187</v>
      </c>
    </row>
    <row r="376" spans="1:12" x14ac:dyDescent="0.25">
      <c r="A376" t="s">
        <v>0</v>
      </c>
      <c r="B376" s="1">
        <v>39845</v>
      </c>
      <c r="C376" s="1">
        <v>43738</v>
      </c>
      <c r="D376" s="4" t="s">
        <v>2534</v>
      </c>
      <c r="E376" t="s">
        <v>3</v>
      </c>
      <c r="F376" t="s">
        <v>4</v>
      </c>
      <c r="G376" t="s">
        <v>2917</v>
      </c>
      <c r="H376" t="s">
        <v>2980</v>
      </c>
      <c r="I376" t="s">
        <v>2909</v>
      </c>
      <c r="J376" t="str">
        <f>IF(ISNUMBER(MATCH($D376,'Lopettaneet 2013-&gt;'!$D:$D,0)),INDEX('Lopettaneet 2013-&gt;'!$K:$K,MATCH($D376,'Lopettaneet 2013-&gt;'!$D:$D,0)),"Continues")</f>
        <v>Merged</v>
      </c>
      <c r="K376">
        <f ca="1">IF($J376="Continues",DATEDIF($B376,TODAY(),"Y"),INDEX('Lopettaneet 2013-&gt;'!$L:$L,MATCH($D376,'Lopettaneet 2013-&gt;'!$D:$D,0)))</f>
        <v>10</v>
      </c>
      <c r="L376">
        <v>188</v>
      </c>
    </row>
    <row r="377" spans="1:12" x14ac:dyDescent="0.25">
      <c r="A377" t="s">
        <v>7</v>
      </c>
      <c r="B377" s="1">
        <v>41974</v>
      </c>
      <c r="C377" s="1">
        <v>45016</v>
      </c>
      <c r="D377" s="4" t="s">
        <v>21</v>
      </c>
      <c r="E377" t="s">
        <v>10</v>
      </c>
      <c r="F377" t="s">
        <v>11</v>
      </c>
      <c r="G377" t="s">
        <v>2912</v>
      </c>
      <c r="H377" t="s">
        <v>2766</v>
      </c>
      <c r="I377" t="s">
        <v>2909</v>
      </c>
      <c r="J377" t="str">
        <f>IF(ISNUMBER(MATCH($D377,'Lopettaneet 2013-&gt;'!$D:$D,0)),INDEX('Lopettaneet 2013-&gt;'!$K:$K,MATCH($D377,'Lopettaneet 2013-&gt;'!$D:$D,0)),"Continues")</f>
        <v>Closed</v>
      </c>
      <c r="K377">
        <f ca="1">IF($J377="Continues",DATEDIF($B377,TODAY(),"Y"),INDEX('Lopettaneet 2013-&gt;'!$L:$L,MATCH($D377,'Lopettaneet 2013-&gt;'!$D:$D,0)))</f>
        <v>8</v>
      </c>
      <c r="L377">
        <v>188</v>
      </c>
    </row>
    <row r="378" spans="1:12" x14ac:dyDescent="0.25">
      <c r="A378" t="s">
        <v>0</v>
      </c>
      <c r="B378" s="1">
        <v>39845</v>
      </c>
      <c r="C378" s="1">
        <v>41820</v>
      </c>
      <c r="D378" s="4" t="s">
        <v>2570</v>
      </c>
      <c r="E378" t="s">
        <v>10</v>
      </c>
      <c r="F378" t="s">
        <v>4</v>
      </c>
      <c r="G378" t="s">
        <v>2919</v>
      </c>
      <c r="H378" t="s">
        <v>2942</v>
      </c>
      <c r="I378" t="s">
        <v>2909</v>
      </c>
      <c r="J378" t="str">
        <f>IF(ISNUMBER(MATCH($D378,'Lopettaneet 2013-&gt;'!$D:$D,0)),INDEX('Lopettaneet 2013-&gt;'!$K:$K,MATCH($D378,'Lopettaneet 2013-&gt;'!$D:$D,0)),"Continues")</f>
        <v>Closed</v>
      </c>
      <c r="K378">
        <f ca="1">IF($J378="Continues",DATEDIF($B378,TODAY(),"Y"),INDEX('Lopettaneet 2013-&gt;'!$L:$L,MATCH($D378,'Lopettaneet 2013-&gt;'!$D:$D,0)))</f>
        <v>5</v>
      </c>
      <c r="L378">
        <v>189</v>
      </c>
    </row>
    <row r="379" spans="1:12" x14ac:dyDescent="0.25">
      <c r="A379" t="s">
        <v>7</v>
      </c>
      <c r="B379" s="1">
        <v>41974</v>
      </c>
      <c r="C379" s="1">
        <v>45016</v>
      </c>
      <c r="D379" s="4" t="s">
        <v>23</v>
      </c>
      <c r="E379" t="s">
        <v>10</v>
      </c>
      <c r="F379" t="s">
        <v>11</v>
      </c>
      <c r="G379" t="s">
        <v>2912</v>
      </c>
      <c r="H379" t="s">
        <v>2766</v>
      </c>
      <c r="I379" t="s">
        <v>2909</v>
      </c>
      <c r="J379" t="str">
        <f>IF(ISNUMBER(MATCH($D379,'Lopettaneet 2013-&gt;'!$D:$D,0)),INDEX('Lopettaneet 2013-&gt;'!$K:$K,MATCH($D379,'Lopettaneet 2013-&gt;'!$D:$D,0)),"Continues")</f>
        <v>Closed</v>
      </c>
      <c r="K379">
        <f ca="1">IF($J379="Continues",DATEDIF($B379,TODAY(),"Y"),INDEX('Lopettaneet 2013-&gt;'!$L:$L,MATCH($D379,'Lopettaneet 2013-&gt;'!$D:$D,0)))</f>
        <v>8</v>
      </c>
      <c r="L379">
        <v>189</v>
      </c>
    </row>
    <row r="380" spans="1:12" x14ac:dyDescent="0.25">
      <c r="A380" t="s">
        <v>0</v>
      </c>
      <c r="B380" s="1">
        <v>39856</v>
      </c>
      <c r="C380" s="1">
        <v>43465</v>
      </c>
      <c r="D380" s="4" t="s">
        <v>269</v>
      </c>
      <c r="E380" t="s">
        <v>3</v>
      </c>
      <c r="F380" t="s">
        <v>4</v>
      </c>
      <c r="G380" t="s">
        <v>2913</v>
      </c>
      <c r="H380" t="s">
        <v>2952</v>
      </c>
      <c r="I380" t="s">
        <v>2894</v>
      </c>
      <c r="J380" t="str">
        <f>IF(ISNUMBER(MATCH($D380,'Lopettaneet 2013-&gt;'!$D:$D,0)),INDEX('Lopettaneet 2013-&gt;'!$K:$K,MATCH($D380,'Lopettaneet 2013-&gt;'!$D:$D,0)),"Continues")</f>
        <v>Closed</v>
      </c>
      <c r="K380">
        <f ca="1">IF($J380="Continues",DATEDIF($B380,TODAY(),"Y"),INDEX('Lopettaneet 2013-&gt;'!$L:$L,MATCH($D380,'Lopettaneet 2013-&gt;'!$D:$D,0)))</f>
        <v>9</v>
      </c>
      <c r="L380">
        <v>190</v>
      </c>
    </row>
    <row r="381" spans="1:12" x14ac:dyDescent="0.25">
      <c r="A381" t="s">
        <v>7</v>
      </c>
      <c r="B381" s="1">
        <v>41974</v>
      </c>
      <c r="C381" s="1">
        <v>45016</v>
      </c>
      <c r="D381" s="4" t="s">
        <v>25</v>
      </c>
      <c r="E381" t="s">
        <v>10</v>
      </c>
      <c r="F381" t="s">
        <v>11</v>
      </c>
      <c r="G381" t="s">
        <v>2912</v>
      </c>
      <c r="H381" t="s">
        <v>2766</v>
      </c>
      <c r="I381" t="s">
        <v>2909</v>
      </c>
      <c r="J381" t="str">
        <f>IF(ISNUMBER(MATCH($D381,'Lopettaneet 2013-&gt;'!$D:$D,0)),INDEX('Lopettaneet 2013-&gt;'!$K:$K,MATCH($D381,'Lopettaneet 2013-&gt;'!$D:$D,0)),"Continues")</f>
        <v>Closed</v>
      </c>
      <c r="K381">
        <f ca="1">IF($J381="Continues",DATEDIF($B381,TODAY(),"Y"),INDEX('Lopettaneet 2013-&gt;'!$L:$L,MATCH($D381,'Lopettaneet 2013-&gt;'!$D:$D,0)))</f>
        <v>8</v>
      </c>
      <c r="L381">
        <v>190</v>
      </c>
    </row>
    <row r="382" spans="1:12" x14ac:dyDescent="0.25">
      <c r="A382" t="s">
        <v>0</v>
      </c>
      <c r="B382" s="1">
        <v>39873</v>
      </c>
      <c r="C382" s="1">
        <v>43830</v>
      </c>
      <c r="D382" s="4" t="s">
        <v>2572</v>
      </c>
      <c r="E382" t="s">
        <v>3</v>
      </c>
      <c r="F382" t="s">
        <v>4</v>
      </c>
      <c r="G382" t="s">
        <v>2917</v>
      </c>
      <c r="H382" t="s">
        <v>2766</v>
      </c>
      <c r="I382" t="s">
        <v>2909</v>
      </c>
      <c r="J382" t="str">
        <f>IF(ISNUMBER(MATCH($D382,'Lopettaneet 2013-&gt;'!$D:$D,0)),INDEX('Lopettaneet 2013-&gt;'!$K:$K,MATCH($D382,'Lopettaneet 2013-&gt;'!$D:$D,0)),"Continues")</f>
        <v>Merged</v>
      </c>
      <c r="K382">
        <f ca="1">IF($J382="Continues",DATEDIF($B382,TODAY(),"Y"),INDEX('Lopettaneet 2013-&gt;'!$L:$L,MATCH($D382,'Lopettaneet 2013-&gt;'!$D:$D,0)))</f>
        <v>10</v>
      </c>
      <c r="L382">
        <v>191</v>
      </c>
    </row>
    <row r="383" spans="1:12" x14ac:dyDescent="0.25">
      <c r="A383" t="s">
        <v>7</v>
      </c>
      <c r="B383" s="1">
        <v>41974</v>
      </c>
      <c r="C383" s="1">
        <v>55153</v>
      </c>
      <c r="D383" s="4" t="s">
        <v>608</v>
      </c>
      <c r="E383" t="s">
        <v>10</v>
      </c>
      <c r="F383" t="s">
        <v>11</v>
      </c>
      <c r="G383" t="s">
        <v>2912</v>
      </c>
      <c r="H383" t="s">
        <v>2766</v>
      </c>
      <c r="I383" t="s">
        <v>2895</v>
      </c>
      <c r="J383" t="str">
        <f>IF(ISNUMBER(MATCH($D383,'Lopettaneet 2013-&gt;'!$D:$D,0)),INDEX('Lopettaneet 2013-&gt;'!$K:$K,MATCH($D383,'Lopettaneet 2013-&gt;'!$D:$D,0)),"Continues")</f>
        <v>Continues</v>
      </c>
      <c r="K383">
        <f ca="1">IF($J383="Continues",DATEDIF($B383,TODAY(),"Y"),INDEX('Lopettaneet 2013-&gt;'!$L:$L,MATCH($D383,'Lopettaneet 2013-&gt;'!$D:$D,0)))</f>
        <v>10</v>
      </c>
      <c r="L383">
        <v>191</v>
      </c>
    </row>
    <row r="384" spans="1:12" x14ac:dyDescent="0.25">
      <c r="A384" t="s">
        <v>0</v>
      </c>
      <c r="B384" s="1">
        <v>39934</v>
      </c>
      <c r="C384" s="1">
        <v>43465</v>
      </c>
      <c r="D384" s="4" t="s">
        <v>271</v>
      </c>
      <c r="E384" t="s">
        <v>3</v>
      </c>
      <c r="F384" t="s">
        <v>4</v>
      </c>
      <c r="G384" t="s">
        <v>2913</v>
      </c>
      <c r="H384" t="s">
        <v>2952</v>
      </c>
      <c r="I384" t="s">
        <v>2894</v>
      </c>
      <c r="J384" t="str">
        <f>IF(ISNUMBER(MATCH($D384,'Lopettaneet 2013-&gt;'!$D:$D,0)),INDEX('Lopettaneet 2013-&gt;'!$K:$K,MATCH($D384,'Lopettaneet 2013-&gt;'!$D:$D,0)),"Continues")</f>
        <v>Closed</v>
      </c>
      <c r="K384">
        <f ca="1">IF($J384="Continues",DATEDIF($B384,TODAY(),"Y"),INDEX('Lopettaneet 2013-&gt;'!$L:$L,MATCH($D384,'Lopettaneet 2013-&gt;'!$D:$D,0)))</f>
        <v>9</v>
      </c>
      <c r="L384">
        <v>192</v>
      </c>
    </row>
    <row r="385" spans="1:12" x14ac:dyDescent="0.25">
      <c r="A385" t="s">
        <v>0</v>
      </c>
      <c r="B385" s="1">
        <v>41974</v>
      </c>
      <c r="C385" s="1">
        <v>55153</v>
      </c>
      <c r="D385" s="4" t="s">
        <v>610</v>
      </c>
      <c r="E385" t="s">
        <v>3</v>
      </c>
      <c r="F385" t="s">
        <v>4</v>
      </c>
      <c r="G385" t="s">
        <v>2914</v>
      </c>
      <c r="H385" t="s">
        <v>2956</v>
      </c>
      <c r="I385" t="s">
        <v>2894</v>
      </c>
      <c r="J385" t="str">
        <f>IF(ISNUMBER(MATCH($D385,'Lopettaneet 2013-&gt;'!$D:$D,0)),INDEX('Lopettaneet 2013-&gt;'!$K:$K,MATCH($D385,'Lopettaneet 2013-&gt;'!$D:$D,0)),"Continues")</f>
        <v>Continues</v>
      </c>
      <c r="K385">
        <f ca="1">IF($J385="Continues",DATEDIF($B385,TODAY(),"Y"),INDEX('Lopettaneet 2013-&gt;'!$L:$L,MATCH($D385,'Lopettaneet 2013-&gt;'!$D:$D,0)))</f>
        <v>10</v>
      </c>
      <c r="L385">
        <v>192</v>
      </c>
    </row>
    <row r="386" spans="1:12" x14ac:dyDescent="0.25">
      <c r="A386" t="s">
        <v>0</v>
      </c>
      <c r="B386" s="1">
        <v>39965</v>
      </c>
      <c r="C386" s="1">
        <v>42400</v>
      </c>
      <c r="D386" s="4" t="s">
        <v>2574</v>
      </c>
      <c r="E386" t="s">
        <v>3</v>
      </c>
      <c r="F386" t="s">
        <v>4</v>
      </c>
      <c r="G386" t="s">
        <v>2915</v>
      </c>
      <c r="H386" t="s">
        <v>2946</v>
      </c>
      <c r="I386" t="s">
        <v>2909</v>
      </c>
      <c r="J386" t="str">
        <f>IF(ISNUMBER(MATCH($D386,'Lopettaneet 2013-&gt;'!$D:$D,0)),INDEX('Lopettaneet 2013-&gt;'!$K:$K,MATCH($D386,'Lopettaneet 2013-&gt;'!$D:$D,0)),"Continues")</f>
        <v>Closed</v>
      </c>
      <c r="K386">
        <f ca="1">IF($J386="Continues",DATEDIF($B386,TODAY(),"Y"),INDEX('Lopettaneet 2013-&gt;'!$L:$L,MATCH($D386,'Lopettaneet 2013-&gt;'!$D:$D,0)))</f>
        <v>6</v>
      </c>
      <c r="L386">
        <v>193</v>
      </c>
    </row>
    <row r="387" spans="1:12" x14ac:dyDescent="0.25">
      <c r="A387" t="s">
        <v>0</v>
      </c>
      <c r="B387" s="1">
        <v>41974</v>
      </c>
      <c r="C387" s="1">
        <v>55153</v>
      </c>
      <c r="D387" s="4" t="s">
        <v>3183</v>
      </c>
      <c r="E387" t="s">
        <v>3</v>
      </c>
      <c r="F387" t="s">
        <v>4</v>
      </c>
      <c r="G387" t="s">
        <v>2917</v>
      </c>
      <c r="H387" t="s">
        <v>2777</v>
      </c>
      <c r="I387" t="s">
        <v>2894</v>
      </c>
      <c r="J387" t="str">
        <f>IF(ISNUMBER(MATCH($D387,'Lopettaneet 2013-&gt;'!$D:$D,0)),INDEX('Lopettaneet 2013-&gt;'!$K:$K,MATCH($D387,'Lopettaneet 2013-&gt;'!$D:$D,0)),"Continues")</f>
        <v>Continues</v>
      </c>
      <c r="K387">
        <f ca="1">IF($J387="Continues",DATEDIF($B387,TODAY(),"Y"),INDEX('Lopettaneet 2013-&gt;'!$L:$L,MATCH($D387,'Lopettaneet 2013-&gt;'!$D:$D,0)))</f>
        <v>10</v>
      </c>
      <c r="L387">
        <v>193</v>
      </c>
    </row>
    <row r="388" spans="1:12" x14ac:dyDescent="0.25">
      <c r="A388" t="s">
        <v>0</v>
      </c>
      <c r="B388" s="1">
        <v>40057</v>
      </c>
      <c r="C388" s="1">
        <v>43220</v>
      </c>
      <c r="D388" s="4" t="s">
        <v>2576</v>
      </c>
      <c r="E388" t="s">
        <v>3</v>
      </c>
      <c r="F388" t="s">
        <v>4</v>
      </c>
      <c r="G388" t="s">
        <v>2915</v>
      </c>
      <c r="H388" t="s">
        <v>2946</v>
      </c>
      <c r="I388" t="s">
        <v>2909</v>
      </c>
      <c r="J388" t="str">
        <f>IF(ISNUMBER(MATCH($D388,'Lopettaneet 2013-&gt;'!$D:$D,0)),INDEX('Lopettaneet 2013-&gt;'!$K:$K,MATCH($D388,'Lopettaneet 2013-&gt;'!$D:$D,0)),"Continues")</f>
        <v>Merged</v>
      </c>
      <c r="K388">
        <f ca="1">IF($J388="Continues",DATEDIF($B388,TODAY(),"Y"),INDEX('Lopettaneet 2013-&gt;'!$L:$L,MATCH($D388,'Lopettaneet 2013-&gt;'!$D:$D,0)))</f>
        <v>8</v>
      </c>
      <c r="L388">
        <v>194</v>
      </c>
    </row>
    <row r="389" spans="1:12" x14ac:dyDescent="0.25">
      <c r="A389" t="s">
        <v>0</v>
      </c>
      <c r="B389" s="1">
        <v>41944</v>
      </c>
      <c r="C389" s="1">
        <v>43039</v>
      </c>
      <c r="D389" s="4" t="s">
        <v>614</v>
      </c>
      <c r="E389" t="s">
        <v>10</v>
      </c>
      <c r="F389" t="s">
        <v>4</v>
      </c>
      <c r="G389" t="s">
        <v>2918</v>
      </c>
      <c r="H389" t="s">
        <v>2842</v>
      </c>
      <c r="I389" t="s">
        <v>2909</v>
      </c>
      <c r="J389" t="str">
        <f>IF(ISNUMBER(MATCH($D389,'Lopettaneet 2013-&gt;'!$D:$D,0)),INDEX('Lopettaneet 2013-&gt;'!$K:$K,MATCH($D389,'Lopettaneet 2013-&gt;'!$D:$D,0)),"Continues")</f>
        <v>Closed</v>
      </c>
      <c r="K389">
        <f ca="1">IF($J389="Continues",DATEDIF($B389,TODAY(),"Y"),INDEX('Lopettaneet 2013-&gt;'!$L:$L,MATCH($D389,'Lopettaneet 2013-&gt;'!$D:$D,0)))</f>
        <v>2</v>
      </c>
      <c r="L389">
        <v>194</v>
      </c>
    </row>
    <row r="390" spans="1:12" x14ac:dyDescent="0.25">
      <c r="A390" t="s">
        <v>0</v>
      </c>
      <c r="B390" s="1">
        <v>40057</v>
      </c>
      <c r="C390" s="1">
        <v>41790</v>
      </c>
      <c r="D390" s="4" t="s">
        <v>2578</v>
      </c>
      <c r="E390" t="s">
        <v>10</v>
      </c>
      <c r="F390" t="s">
        <v>4</v>
      </c>
      <c r="G390" t="s">
        <v>2917</v>
      </c>
      <c r="H390" t="s">
        <v>2967</v>
      </c>
      <c r="I390" t="s">
        <v>2909</v>
      </c>
      <c r="J390" t="str">
        <f>IF(ISNUMBER(MATCH($D390,'Lopettaneet 2013-&gt;'!$D:$D,0)),INDEX('Lopettaneet 2013-&gt;'!$K:$K,MATCH($D390,'Lopettaneet 2013-&gt;'!$D:$D,0)),"Continues")</f>
        <v>Merged</v>
      </c>
      <c r="K390">
        <f ca="1">IF($J390="Continues",DATEDIF($B390,TODAY(),"Y"),INDEX('Lopettaneet 2013-&gt;'!$L:$L,MATCH($D390,'Lopettaneet 2013-&gt;'!$D:$D,0)))</f>
        <v>4</v>
      </c>
      <c r="L390">
        <v>195</v>
      </c>
    </row>
    <row r="391" spans="1:12" x14ac:dyDescent="0.25">
      <c r="A391" t="s">
        <v>0</v>
      </c>
      <c r="B391" s="1">
        <v>42095</v>
      </c>
      <c r="C391" s="1">
        <v>55153</v>
      </c>
      <c r="D391" s="4" t="s">
        <v>616</v>
      </c>
      <c r="E391" t="s">
        <v>10</v>
      </c>
      <c r="F391" t="s">
        <v>4</v>
      </c>
      <c r="G391" t="s">
        <v>2918</v>
      </c>
      <c r="H391" t="s">
        <v>2953</v>
      </c>
      <c r="I391" t="s">
        <v>2894</v>
      </c>
      <c r="J391" t="str">
        <f>IF(ISNUMBER(MATCH($D391,'Lopettaneet 2013-&gt;'!$D:$D,0)),INDEX('Lopettaneet 2013-&gt;'!$K:$K,MATCH($D391,'Lopettaneet 2013-&gt;'!$D:$D,0)),"Continues")</f>
        <v>Continues</v>
      </c>
      <c r="K391">
        <f ca="1">IF($J391="Continues",DATEDIF($B391,TODAY(),"Y"),INDEX('Lopettaneet 2013-&gt;'!$L:$L,MATCH($D391,'Lopettaneet 2013-&gt;'!$D:$D,0)))</f>
        <v>10</v>
      </c>
      <c r="L391">
        <v>195</v>
      </c>
    </row>
    <row r="392" spans="1:12" x14ac:dyDescent="0.25">
      <c r="A392" t="s">
        <v>0</v>
      </c>
      <c r="B392" s="1">
        <v>40118</v>
      </c>
      <c r="C392" s="1">
        <v>41486</v>
      </c>
      <c r="D392" s="4" t="s">
        <v>2580</v>
      </c>
      <c r="E392" t="s">
        <v>10</v>
      </c>
      <c r="F392" t="s">
        <v>4</v>
      </c>
      <c r="G392" t="s">
        <v>2917</v>
      </c>
      <c r="H392" t="s">
        <v>2956</v>
      </c>
      <c r="I392" t="s">
        <v>2909</v>
      </c>
      <c r="J392" t="str">
        <f>IF(ISNUMBER(MATCH($D392,'Lopettaneet 2013-&gt;'!$D:$D,0)),INDEX('Lopettaneet 2013-&gt;'!$K:$K,MATCH($D392,'Lopettaneet 2013-&gt;'!$D:$D,0)),"Continues")</f>
        <v>Merged</v>
      </c>
      <c r="K392">
        <f ca="1">IF($J392="Continues",DATEDIF($B392,TODAY(),"Y"),INDEX('Lopettaneet 2013-&gt;'!$L:$L,MATCH($D392,'Lopettaneet 2013-&gt;'!$D:$D,0)))</f>
        <v>3</v>
      </c>
      <c r="L392">
        <v>196</v>
      </c>
    </row>
    <row r="393" spans="1:12" x14ac:dyDescent="0.25">
      <c r="A393" t="s">
        <v>7</v>
      </c>
      <c r="B393" s="1">
        <v>41974</v>
      </c>
      <c r="C393" s="1">
        <v>55153</v>
      </c>
      <c r="D393" s="4" t="s">
        <v>618</v>
      </c>
      <c r="E393" t="s">
        <v>10</v>
      </c>
      <c r="F393" t="s">
        <v>11</v>
      </c>
      <c r="G393" t="s">
        <v>2914</v>
      </c>
      <c r="H393" t="s">
        <v>2949</v>
      </c>
      <c r="I393" t="s">
        <v>2895</v>
      </c>
      <c r="J393" t="str">
        <f>IF(ISNUMBER(MATCH($D393,'Lopettaneet 2013-&gt;'!$D:$D,0)),INDEX('Lopettaneet 2013-&gt;'!$K:$K,MATCH($D393,'Lopettaneet 2013-&gt;'!$D:$D,0)),"Continues")</f>
        <v>Continues</v>
      </c>
      <c r="K393">
        <f ca="1">IF($J393="Continues",DATEDIF($B393,TODAY(),"Y"),INDEX('Lopettaneet 2013-&gt;'!$L:$L,MATCH($D393,'Lopettaneet 2013-&gt;'!$D:$D,0)))</f>
        <v>10</v>
      </c>
      <c r="L393">
        <v>196</v>
      </c>
    </row>
    <row r="394" spans="1:12" x14ac:dyDescent="0.25">
      <c r="A394" t="s">
        <v>0</v>
      </c>
      <c r="B394" s="1">
        <v>40238</v>
      </c>
      <c r="C394" s="1">
        <v>42004</v>
      </c>
      <c r="D394" s="4" t="s">
        <v>3184</v>
      </c>
      <c r="E394" t="s">
        <v>3</v>
      </c>
      <c r="F394" t="s">
        <v>4</v>
      </c>
      <c r="G394" t="s">
        <v>2917</v>
      </c>
      <c r="H394" t="s">
        <v>2777</v>
      </c>
      <c r="I394" t="s">
        <v>2909</v>
      </c>
      <c r="J394" t="str">
        <f>IF(ISNUMBER(MATCH($D394,'Lopettaneet 2013-&gt;'!$D:$D,0)),INDEX('Lopettaneet 2013-&gt;'!$K:$K,MATCH($D394,'Lopettaneet 2013-&gt;'!$D:$D,0)),"Continues")</f>
        <v>Continues</v>
      </c>
      <c r="K394">
        <f ca="1">IF($J394="Continues",DATEDIF($B394,TODAY(),"Y"),INDEX('Lopettaneet 2013-&gt;'!$L:$L,MATCH($D394,'Lopettaneet 2013-&gt;'!$D:$D,0)))</f>
        <v>15</v>
      </c>
      <c r="L394">
        <v>197</v>
      </c>
    </row>
    <row r="395" spans="1:12" x14ac:dyDescent="0.25">
      <c r="A395" t="s">
        <v>7</v>
      </c>
      <c r="B395" s="1">
        <v>41974</v>
      </c>
      <c r="C395" s="1">
        <v>55153</v>
      </c>
      <c r="D395" s="4" t="s">
        <v>620</v>
      </c>
      <c r="E395" t="s">
        <v>10</v>
      </c>
      <c r="F395" t="s">
        <v>11</v>
      </c>
      <c r="G395" t="s">
        <v>2914</v>
      </c>
      <c r="H395" t="s">
        <v>2949</v>
      </c>
      <c r="I395" t="s">
        <v>2895</v>
      </c>
      <c r="J395" t="str">
        <f>IF(ISNUMBER(MATCH($D395,'Lopettaneet 2013-&gt;'!$D:$D,0)),INDEX('Lopettaneet 2013-&gt;'!$K:$K,MATCH($D395,'Lopettaneet 2013-&gt;'!$D:$D,0)),"Continues")</f>
        <v>Continues</v>
      </c>
      <c r="K395">
        <f ca="1">IF($J395="Continues",DATEDIF($B395,TODAY(),"Y"),INDEX('Lopettaneet 2013-&gt;'!$L:$L,MATCH($D395,'Lopettaneet 2013-&gt;'!$D:$D,0)))</f>
        <v>10</v>
      </c>
      <c r="L395">
        <v>197</v>
      </c>
    </row>
    <row r="396" spans="1:12" x14ac:dyDescent="0.25">
      <c r="A396" t="s">
        <v>0</v>
      </c>
      <c r="B396" s="1">
        <v>40179</v>
      </c>
      <c r="C396" s="1">
        <v>41943</v>
      </c>
      <c r="D396" s="4" t="s">
        <v>2584</v>
      </c>
      <c r="E396" t="s">
        <v>3</v>
      </c>
      <c r="F396" t="s">
        <v>4</v>
      </c>
      <c r="G396" t="s">
        <v>2913</v>
      </c>
      <c r="H396" t="s">
        <v>2924</v>
      </c>
      <c r="I396" t="s">
        <v>2909</v>
      </c>
      <c r="J396" t="str">
        <f>IF(ISNUMBER(MATCH($D396,'Lopettaneet 2013-&gt;'!$D:$D,0)),INDEX('Lopettaneet 2013-&gt;'!$K:$K,MATCH($D396,'Lopettaneet 2013-&gt;'!$D:$D,0)),"Continues")</f>
        <v>Closed</v>
      </c>
      <c r="K396">
        <f ca="1">IF($J396="Continues",DATEDIF($B396,TODAY(),"Y"),INDEX('Lopettaneet 2013-&gt;'!$L:$L,MATCH($D396,'Lopettaneet 2013-&gt;'!$D:$D,0)))</f>
        <v>4</v>
      </c>
      <c r="L396">
        <v>198</v>
      </c>
    </row>
    <row r="397" spans="1:12" x14ac:dyDescent="0.25">
      <c r="A397" t="s">
        <v>7</v>
      </c>
      <c r="B397" s="1">
        <v>41974</v>
      </c>
      <c r="C397" s="1">
        <v>55153</v>
      </c>
      <c r="D397" s="4" t="s">
        <v>622</v>
      </c>
      <c r="E397" t="s">
        <v>10</v>
      </c>
      <c r="F397" t="s">
        <v>11</v>
      </c>
      <c r="G397" t="s">
        <v>2918</v>
      </c>
      <c r="H397" t="s">
        <v>2980</v>
      </c>
      <c r="I397" t="s">
        <v>2895</v>
      </c>
      <c r="J397" t="str">
        <f>IF(ISNUMBER(MATCH($D397,'Lopettaneet 2013-&gt;'!$D:$D,0)),INDEX('Lopettaneet 2013-&gt;'!$K:$K,MATCH($D397,'Lopettaneet 2013-&gt;'!$D:$D,0)),"Continues")</f>
        <v>Continues</v>
      </c>
      <c r="K397">
        <f ca="1">IF($J397="Continues",DATEDIF($B397,TODAY(),"Y"),INDEX('Lopettaneet 2013-&gt;'!$L:$L,MATCH($D397,'Lopettaneet 2013-&gt;'!$D:$D,0)))</f>
        <v>10</v>
      </c>
      <c r="L397">
        <v>198</v>
      </c>
    </row>
    <row r="398" spans="1:12" x14ac:dyDescent="0.25">
      <c r="A398" t="s">
        <v>0</v>
      </c>
      <c r="B398" s="1">
        <v>40148</v>
      </c>
      <c r="C398" s="1">
        <v>41790</v>
      </c>
      <c r="D398" s="4" t="s">
        <v>2586</v>
      </c>
      <c r="E398" t="s">
        <v>3</v>
      </c>
      <c r="F398" t="s">
        <v>4</v>
      </c>
      <c r="G398" t="s">
        <v>2917</v>
      </c>
      <c r="H398" t="s">
        <v>2933</v>
      </c>
      <c r="I398" t="s">
        <v>2909</v>
      </c>
      <c r="J398" t="str">
        <f>IF(ISNUMBER(MATCH($D398,'Lopettaneet 2013-&gt;'!$D:$D,0)),INDEX('Lopettaneet 2013-&gt;'!$K:$K,MATCH($D398,'Lopettaneet 2013-&gt;'!$D:$D,0)),"Continues")</f>
        <v>Merged</v>
      </c>
      <c r="K398">
        <f ca="1">IF($J398="Continues",DATEDIF($B398,TODAY(),"Y"),INDEX('Lopettaneet 2013-&gt;'!$L:$L,MATCH($D398,'Lopettaneet 2013-&gt;'!$D:$D,0)))</f>
        <v>4</v>
      </c>
      <c r="L398">
        <v>199</v>
      </c>
    </row>
    <row r="399" spans="1:12" x14ac:dyDescent="0.25">
      <c r="A399" t="s">
        <v>7</v>
      </c>
      <c r="B399" s="1">
        <v>41974</v>
      </c>
      <c r="C399" s="1">
        <v>43738</v>
      </c>
      <c r="D399" s="4" t="s">
        <v>624</v>
      </c>
      <c r="E399" t="s">
        <v>10</v>
      </c>
      <c r="F399" t="s">
        <v>11</v>
      </c>
      <c r="G399" t="s">
        <v>2916</v>
      </c>
      <c r="H399" t="s">
        <v>2980</v>
      </c>
      <c r="I399" t="s">
        <v>2909</v>
      </c>
      <c r="J399" t="str">
        <f>IF(ISNUMBER(MATCH($D399,'Lopettaneet 2013-&gt;'!$D:$D,0)),INDEX('Lopettaneet 2013-&gt;'!$K:$K,MATCH($D399,'Lopettaneet 2013-&gt;'!$D:$D,0)),"Continues")</f>
        <v>Closed</v>
      </c>
      <c r="K399">
        <f ca="1">IF($J399="Continues",DATEDIF($B399,TODAY(),"Y"),INDEX('Lopettaneet 2013-&gt;'!$L:$L,MATCH($D399,'Lopettaneet 2013-&gt;'!$D:$D,0)))</f>
        <v>4</v>
      </c>
      <c r="L399">
        <v>199</v>
      </c>
    </row>
    <row r="400" spans="1:12" x14ac:dyDescent="0.25">
      <c r="A400" t="s">
        <v>0</v>
      </c>
      <c r="B400" s="1">
        <v>40179</v>
      </c>
      <c r="C400" s="1">
        <v>42124</v>
      </c>
      <c r="D400" s="4" t="s">
        <v>2588</v>
      </c>
      <c r="E400" t="s">
        <v>10</v>
      </c>
      <c r="F400" t="s">
        <v>4</v>
      </c>
      <c r="G400" t="s">
        <v>2915</v>
      </c>
      <c r="H400" t="s">
        <v>2953</v>
      </c>
      <c r="I400" t="s">
        <v>2909</v>
      </c>
      <c r="J400" t="str">
        <f>IF(ISNUMBER(MATCH($D400,'Lopettaneet 2013-&gt;'!$D:$D,0)),INDEX('Lopettaneet 2013-&gt;'!$K:$K,MATCH($D400,'Lopettaneet 2013-&gt;'!$D:$D,0)),"Continues")</f>
        <v>Merged</v>
      </c>
      <c r="K400">
        <f ca="1">IF($J400="Continues",DATEDIF($B400,TODAY(),"Y"),INDEX('Lopettaneet 2013-&gt;'!$L:$L,MATCH($D400,'Lopettaneet 2013-&gt;'!$D:$D,0)))</f>
        <v>5</v>
      </c>
      <c r="L400">
        <v>200</v>
      </c>
    </row>
    <row r="401" spans="1:12" x14ac:dyDescent="0.25">
      <c r="A401" t="s">
        <v>7</v>
      </c>
      <c r="B401" s="1">
        <v>41974</v>
      </c>
      <c r="C401" s="1">
        <v>43738</v>
      </c>
      <c r="D401" s="4" t="s">
        <v>626</v>
      </c>
      <c r="E401" t="s">
        <v>10</v>
      </c>
      <c r="F401" t="s">
        <v>11</v>
      </c>
      <c r="G401" t="s">
        <v>2916</v>
      </c>
      <c r="H401" t="s">
        <v>2980</v>
      </c>
      <c r="I401" t="s">
        <v>2909</v>
      </c>
      <c r="J401" t="str">
        <f>IF(ISNUMBER(MATCH($D401,'Lopettaneet 2013-&gt;'!$D:$D,0)),INDEX('Lopettaneet 2013-&gt;'!$K:$K,MATCH($D401,'Lopettaneet 2013-&gt;'!$D:$D,0)),"Continues")</f>
        <v>Closed</v>
      </c>
      <c r="K401">
        <f ca="1">IF($J401="Continues",DATEDIF($B401,TODAY(),"Y"),INDEX('Lopettaneet 2013-&gt;'!$L:$L,MATCH($D401,'Lopettaneet 2013-&gt;'!$D:$D,0)))</f>
        <v>4</v>
      </c>
      <c r="L401">
        <v>200</v>
      </c>
    </row>
    <row r="402" spans="1:12" x14ac:dyDescent="0.25">
      <c r="A402" t="s">
        <v>0</v>
      </c>
      <c r="B402" s="1">
        <v>40179</v>
      </c>
      <c r="C402" s="1">
        <v>41305</v>
      </c>
      <c r="D402" s="4" t="s">
        <v>2590</v>
      </c>
      <c r="E402" t="s">
        <v>10</v>
      </c>
      <c r="F402" t="s">
        <v>4</v>
      </c>
      <c r="G402" t="s">
        <v>2913</v>
      </c>
      <c r="H402" t="s">
        <v>2953</v>
      </c>
      <c r="I402" t="s">
        <v>2909</v>
      </c>
      <c r="J402" t="str">
        <f>IF(ISNUMBER(MATCH($D402,'Lopettaneet 2013-&gt;'!$D:$D,0)),INDEX('Lopettaneet 2013-&gt;'!$K:$K,MATCH($D402,'Lopettaneet 2013-&gt;'!$D:$D,0)),"Continues")</f>
        <v>Merged</v>
      </c>
      <c r="K402">
        <f ca="1">IF($J402="Continues",DATEDIF($B402,TODAY(),"Y"),INDEX('Lopettaneet 2013-&gt;'!$L:$L,MATCH($D402,'Lopettaneet 2013-&gt;'!$D:$D,0)))</f>
        <v>3</v>
      </c>
      <c r="L402">
        <v>201</v>
      </c>
    </row>
    <row r="403" spans="1:12" x14ac:dyDescent="0.25">
      <c r="A403" t="s">
        <v>7</v>
      </c>
      <c r="B403" s="1">
        <v>41974</v>
      </c>
      <c r="C403" s="1">
        <v>43890</v>
      </c>
      <c r="D403" s="4" t="s">
        <v>628</v>
      </c>
      <c r="E403" t="s">
        <v>10</v>
      </c>
      <c r="F403" t="s">
        <v>11</v>
      </c>
      <c r="G403" t="s">
        <v>2916</v>
      </c>
      <c r="H403" t="s">
        <v>2980</v>
      </c>
      <c r="I403" t="s">
        <v>2909</v>
      </c>
      <c r="J403" t="str">
        <f>IF(ISNUMBER(MATCH($D403,'Lopettaneet 2013-&gt;'!$D:$D,0)),INDEX('Lopettaneet 2013-&gt;'!$K:$K,MATCH($D403,'Lopettaneet 2013-&gt;'!$D:$D,0)),"Continues")</f>
        <v>Closed</v>
      </c>
      <c r="K403">
        <f ca="1">IF($J403="Continues",DATEDIF($B403,TODAY(),"Y"),INDEX('Lopettaneet 2013-&gt;'!$L:$L,MATCH($D403,'Lopettaneet 2013-&gt;'!$D:$D,0)))</f>
        <v>5</v>
      </c>
      <c r="L403">
        <v>201</v>
      </c>
    </row>
    <row r="404" spans="1:12" x14ac:dyDescent="0.25">
      <c r="A404" t="s">
        <v>0</v>
      </c>
      <c r="B404" s="1">
        <v>40299</v>
      </c>
      <c r="C404" s="1">
        <v>44530</v>
      </c>
      <c r="D404" s="4" t="s">
        <v>3185</v>
      </c>
      <c r="E404" t="s">
        <v>3</v>
      </c>
      <c r="F404" t="s">
        <v>4</v>
      </c>
      <c r="G404" t="s">
        <v>2917</v>
      </c>
      <c r="H404" t="s">
        <v>2777</v>
      </c>
      <c r="I404" t="s">
        <v>2909</v>
      </c>
      <c r="J404" t="str">
        <f>IF(ISNUMBER(MATCH($D404,'Lopettaneet 2013-&gt;'!$D:$D,0)),INDEX('Lopettaneet 2013-&gt;'!$K:$K,MATCH($D404,'Lopettaneet 2013-&gt;'!$D:$D,0)),"Continues")</f>
        <v>Continues</v>
      </c>
      <c r="K404">
        <f ca="1">IF($J404="Continues",DATEDIF($B404,TODAY(),"Y"),INDEX('Lopettaneet 2013-&gt;'!$L:$L,MATCH($D404,'Lopettaneet 2013-&gt;'!$D:$D,0)))</f>
        <v>15</v>
      </c>
      <c r="L404">
        <v>202</v>
      </c>
    </row>
    <row r="405" spans="1:12" x14ac:dyDescent="0.25">
      <c r="A405" t="s">
        <v>7</v>
      </c>
      <c r="B405" s="1">
        <v>41974</v>
      </c>
      <c r="C405" s="1">
        <v>45107</v>
      </c>
      <c r="D405" s="4" t="s">
        <v>27</v>
      </c>
      <c r="E405" t="s">
        <v>10</v>
      </c>
      <c r="F405" t="s">
        <v>11</v>
      </c>
      <c r="G405" t="s">
        <v>2918</v>
      </c>
      <c r="H405" t="s">
        <v>2980</v>
      </c>
      <c r="I405" t="s">
        <v>2909</v>
      </c>
      <c r="J405" t="str">
        <f>IF(ISNUMBER(MATCH($D405,'Lopettaneet 2013-&gt;'!$D:$D,0)),INDEX('Lopettaneet 2013-&gt;'!$K:$K,MATCH($D405,'Lopettaneet 2013-&gt;'!$D:$D,0)),"Continues")</f>
        <v>Closed</v>
      </c>
      <c r="K405">
        <f ca="1">IF($J405="Continues",DATEDIF($B405,TODAY(),"Y"),INDEX('Lopettaneet 2013-&gt;'!$L:$L,MATCH($D405,'Lopettaneet 2013-&gt;'!$D:$D,0)))</f>
        <v>8</v>
      </c>
      <c r="L405">
        <v>202</v>
      </c>
    </row>
    <row r="406" spans="1:12" x14ac:dyDescent="0.25">
      <c r="A406" t="s">
        <v>0</v>
      </c>
      <c r="B406" s="1">
        <v>40299</v>
      </c>
      <c r="C406" s="1">
        <v>43830</v>
      </c>
      <c r="D406" s="4" t="s">
        <v>2594</v>
      </c>
      <c r="E406" t="s">
        <v>3</v>
      </c>
      <c r="F406" t="s">
        <v>4</v>
      </c>
      <c r="G406" t="s">
        <v>2917</v>
      </c>
      <c r="H406" t="s">
        <v>2766</v>
      </c>
      <c r="I406" t="s">
        <v>2909</v>
      </c>
      <c r="J406" t="str">
        <f>IF(ISNUMBER(MATCH($D406,'Lopettaneet 2013-&gt;'!$D:$D,0)),INDEX('Lopettaneet 2013-&gt;'!$K:$K,MATCH($D406,'Lopettaneet 2013-&gt;'!$D:$D,0)),"Continues")</f>
        <v>Merged</v>
      </c>
      <c r="K406">
        <f ca="1">IF($J406="Continues",DATEDIF($B406,TODAY(),"Y"),INDEX('Lopettaneet 2013-&gt;'!$L:$L,MATCH($D406,'Lopettaneet 2013-&gt;'!$D:$D,0)))</f>
        <v>9</v>
      </c>
      <c r="L406">
        <v>203</v>
      </c>
    </row>
    <row r="407" spans="1:12" x14ac:dyDescent="0.25">
      <c r="A407" t="s">
        <v>7</v>
      </c>
      <c r="B407" s="1">
        <v>41974</v>
      </c>
      <c r="C407" s="1">
        <v>55153</v>
      </c>
      <c r="D407" s="4" t="s">
        <v>630</v>
      </c>
      <c r="E407" t="s">
        <v>10</v>
      </c>
      <c r="F407" t="s">
        <v>11</v>
      </c>
      <c r="G407" t="s">
        <v>2914</v>
      </c>
      <c r="H407" t="s">
        <v>2955</v>
      </c>
      <c r="I407" t="s">
        <v>2894</v>
      </c>
      <c r="J407" t="str">
        <f>IF(ISNUMBER(MATCH($D407,'Lopettaneet 2013-&gt;'!$D:$D,0)),INDEX('Lopettaneet 2013-&gt;'!$K:$K,MATCH($D407,'Lopettaneet 2013-&gt;'!$D:$D,0)),"Continues")</f>
        <v>Continues</v>
      </c>
      <c r="K407">
        <f ca="1">IF($J407="Continues",DATEDIF($B407,TODAY(),"Y"),INDEX('Lopettaneet 2013-&gt;'!$L:$L,MATCH($D407,'Lopettaneet 2013-&gt;'!$D:$D,0)))</f>
        <v>10</v>
      </c>
      <c r="L407">
        <v>203</v>
      </c>
    </row>
    <row r="408" spans="1:12" x14ac:dyDescent="0.25">
      <c r="A408" t="s">
        <v>0</v>
      </c>
      <c r="B408" s="1">
        <v>40269</v>
      </c>
      <c r="C408" s="1">
        <v>41912</v>
      </c>
      <c r="D408" s="4" t="s">
        <v>2596</v>
      </c>
      <c r="E408" t="s">
        <v>3</v>
      </c>
      <c r="F408" t="s">
        <v>4</v>
      </c>
      <c r="G408" t="s">
        <v>2915</v>
      </c>
      <c r="H408" t="s">
        <v>2953</v>
      </c>
      <c r="I408" t="s">
        <v>2909</v>
      </c>
      <c r="J408" t="str">
        <f>IF(ISNUMBER(MATCH($D408,'Lopettaneet 2013-&gt;'!$D:$D,0)),INDEX('Lopettaneet 2013-&gt;'!$K:$K,MATCH($D408,'Lopettaneet 2013-&gt;'!$D:$D,0)),"Continues")</f>
        <v>Merged</v>
      </c>
      <c r="K408">
        <f ca="1">IF($J408="Continues",DATEDIF($B408,TODAY(),"Y"),INDEX('Lopettaneet 2013-&gt;'!$L:$L,MATCH($D408,'Lopettaneet 2013-&gt;'!$D:$D,0)))</f>
        <v>4</v>
      </c>
      <c r="L408">
        <v>204</v>
      </c>
    </row>
    <row r="409" spans="1:12" x14ac:dyDescent="0.25">
      <c r="A409" t="s">
        <v>7</v>
      </c>
      <c r="B409" s="1">
        <v>41974</v>
      </c>
      <c r="C409" s="1">
        <v>55153</v>
      </c>
      <c r="D409" s="4" t="s">
        <v>632</v>
      </c>
      <c r="E409" t="s">
        <v>10</v>
      </c>
      <c r="F409" t="s">
        <v>11</v>
      </c>
      <c r="G409" t="s">
        <v>2914</v>
      </c>
      <c r="H409" t="s">
        <v>2955</v>
      </c>
      <c r="I409" t="s">
        <v>2894</v>
      </c>
      <c r="J409" t="str">
        <f>IF(ISNUMBER(MATCH($D409,'Lopettaneet 2013-&gt;'!$D:$D,0)),INDEX('Lopettaneet 2013-&gt;'!$K:$K,MATCH($D409,'Lopettaneet 2013-&gt;'!$D:$D,0)),"Continues")</f>
        <v>Continues</v>
      </c>
      <c r="K409">
        <f ca="1">IF($J409="Continues",DATEDIF($B409,TODAY(),"Y"),INDEX('Lopettaneet 2013-&gt;'!$L:$L,MATCH($D409,'Lopettaneet 2013-&gt;'!$D:$D,0)))</f>
        <v>10</v>
      </c>
      <c r="L409">
        <v>204</v>
      </c>
    </row>
    <row r="410" spans="1:12" x14ac:dyDescent="0.25">
      <c r="A410" t="s">
        <v>0</v>
      </c>
      <c r="B410" s="1">
        <v>40330</v>
      </c>
      <c r="C410" s="1">
        <v>41973</v>
      </c>
      <c r="D410" s="4" t="s">
        <v>2598</v>
      </c>
      <c r="E410" t="s">
        <v>10</v>
      </c>
      <c r="F410" t="s">
        <v>4</v>
      </c>
      <c r="G410" t="s">
        <v>2919</v>
      </c>
      <c r="H410" t="s">
        <v>2960</v>
      </c>
      <c r="I410" t="s">
        <v>2909</v>
      </c>
      <c r="J410" t="str">
        <f>IF(ISNUMBER(MATCH($D410,'Lopettaneet 2013-&gt;'!$D:$D,0)),INDEX('Lopettaneet 2013-&gt;'!$K:$K,MATCH($D410,'Lopettaneet 2013-&gt;'!$D:$D,0)),"Continues")</f>
        <v>Closed</v>
      </c>
      <c r="K410">
        <f ca="1">IF($J410="Continues",DATEDIF($B410,TODAY(),"Y"),INDEX('Lopettaneet 2013-&gt;'!$L:$L,MATCH($D410,'Lopettaneet 2013-&gt;'!$D:$D,0)))</f>
        <v>4</v>
      </c>
      <c r="L410">
        <v>205</v>
      </c>
    </row>
    <row r="411" spans="1:12" x14ac:dyDescent="0.25">
      <c r="A411" t="s">
        <v>0</v>
      </c>
      <c r="B411" s="1">
        <v>42005</v>
      </c>
      <c r="C411" s="1">
        <v>44773</v>
      </c>
      <c r="D411" s="4" t="s">
        <v>634</v>
      </c>
      <c r="E411" t="s">
        <v>10</v>
      </c>
      <c r="F411" t="s">
        <v>4</v>
      </c>
      <c r="G411" t="s">
        <v>2917</v>
      </c>
      <c r="H411" t="s">
        <v>2946</v>
      </c>
      <c r="I411" t="s">
        <v>2909</v>
      </c>
      <c r="J411" t="str">
        <f>IF(ISNUMBER(MATCH($D411,'Lopettaneet 2013-&gt;'!$D:$D,0)),INDEX('Lopettaneet 2013-&gt;'!$K:$K,MATCH($D411,'Lopettaneet 2013-&gt;'!$D:$D,0)),"Continues")</f>
        <v>Merged</v>
      </c>
      <c r="K411">
        <f ca="1">IF($J411="Continues",DATEDIF($B411,TODAY(),"Y"),INDEX('Lopettaneet 2013-&gt;'!$L:$L,MATCH($D411,'Lopettaneet 2013-&gt;'!$D:$D,0)))</f>
        <v>7</v>
      </c>
      <c r="L411">
        <v>205</v>
      </c>
    </row>
    <row r="412" spans="1:12" x14ac:dyDescent="0.25">
      <c r="A412" t="s">
        <v>0</v>
      </c>
      <c r="B412" s="1">
        <v>40330</v>
      </c>
      <c r="C412" s="1">
        <v>41394</v>
      </c>
      <c r="D412" s="4" t="s">
        <v>2600</v>
      </c>
      <c r="E412" t="s">
        <v>3</v>
      </c>
      <c r="F412" t="s">
        <v>4</v>
      </c>
      <c r="G412" t="s">
        <v>2917</v>
      </c>
      <c r="H412" t="s">
        <v>2944</v>
      </c>
      <c r="I412" t="s">
        <v>2909</v>
      </c>
      <c r="J412" t="str">
        <f>IF(ISNUMBER(MATCH($D412,'Lopettaneet 2013-&gt;'!$D:$D,0)),INDEX('Lopettaneet 2013-&gt;'!$K:$K,MATCH($D412,'Lopettaneet 2013-&gt;'!$D:$D,0)),"Continues")</f>
        <v>Merged</v>
      </c>
      <c r="K412">
        <f ca="1">IF($J412="Continues",DATEDIF($B412,TODAY(),"Y"),INDEX('Lopettaneet 2013-&gt;'!$L:$L,MATCH($D412,'Lopettaneet 2013-&gt;'!$D:$D,0)))</f>
        <v>2</v>
      </c>
      <c r="L412">
        <v>206</v>
      </c>
    </row>
    <row r="413" spans="1:12" x14ac:dyDescent="0.25">
      <c r="A413" t="s">
        <v>7</v>
      </c>
      <c r="B413" s="1">
        <v>41974</v>
      </c>
      <c r="C413" s="1">
        <v>55153</v>
      </c>
      <c r="D413" s="4" t="s">
        <v>636</v>
      </c>
      <c r="E413" t="s">
        <v>10</v>
      </c>
      <c r="F413" t="s">
        <v>11</v>
      </c>
      <c r="G413" t="s">
        <v>2918</v>
      </c>
      <c r="H413" t="s">
        <v>2962</v>
      </c>
      <c r="I413" t="s">
        <v>2895</v>
      </c>
      <c r="J413" t="str">
        <f>IF(ISNUMBER(MATCH($D413,'Lopettaneet 2013-&gt;'!$D:$D,0)),INDEX('Lopettaneet 2013-&gt;'!$K:$K,MATCH($D413,'Lopettaneet 2013-&gt;'!$D:$D,0)),"Continues")</f>
        <v>Continues</v>
      </c>
      <c r="K413">
        <f ca="1">IF($J413="Continues",DATEDIF($B413,TODAY(),"Y"),INDEX('Lopettaneet 2013-&gt;'!$L:$L,MATCH($D413,'Lopettaneet 2013-&gt;'!$D:$D,0)))</f>
        <v>10</v>
      </c>
      <c r="L413">
        <v>206</v>
      </c>
    </row>
    <row r="414" spans="1:12" x14ac:dyDescent="0.25">
      <c r="A414" t="s">
        <v>0</v>
      </c>
      <c r="B414" s="1">
        <v>40360</v>
      </c>
      <c r="C414" s="1">
        <v>42551</v>
      </c>
      <c r="D414" s="4" t="s">
        <v>2604</v>
      </c>
      <c r="E414" t="s">
        <v>3</v>
      </c>
      <c r="F414" t="s">
        <v>4</v>
      </c>
      <c r="G414" t="s">
        <v>2917</v>
      </c>
      <c r="H414" t="s">
        <v>2959</v>
      </c>
      <c r="I414" t="s">
        <v>2909</v>
      </c>
      <c r="J414" t="str">
        <f>IF(ISNUMBER(MATCH($D414,'Lopettaneet 2013-&gt;'!$D:$D,0)),INDEX('Lopettaneet 2013-&gt;'!$K:$K,MATCH($D414,'Lopettaneet 2013-&gt;'!$D:$D,0)),"Continues")</f>
        <v>Merged</v>
      </c>
      <c r="K414">
        <f ca="1">IF($J414="Continues",DATEDIF($B414,TODAY(),"Y"),INDEX('Lopettaneet 2013-&gt;'!$L:$L,MATCH($D414,'Lopettaneet 2013-&gt;'!$D:$D,0)))</f>
        <v>5</v>
      </c>
      <c r="L414">
        <v>207</v>
      </c>
    </row>
    <row r="415" spans="1:12" x14ac:dyDescent="0.25">
      <c r="A415" t="s">
        <v>7</v>
      </c>
      <c r="B415" s="1">
        <v>41974</v>
      </c>
      <c r="C415" s="1">
        <v>55153</v>
      </c>
      <c r="D415" s="4" t="s">
        <v>638</v>
      </c>
      <c r="E415" t="s">
        <v>10</v>
      </c>
      <c r="F415" t="s">
        <v>11</v>
      </c>
      <c r="G415" t="s">
        <v>2914</v>
      </c>
      <c r="H415" t="s">
        <v>2946</v>
      </c>
      <c r="I415" t="s">
        <v>2895</v>
      </c>
      <c r="J415" t="str">
        <f>IF(ISNUMBER(MATCH($D415,'Lopettaneet 2013-&gt;'!$D:$D,0)),INDEX('Lopettaneet 2013-&gt;'!$K:$K,MATCH($D415,'Lopettaneet 2013-&gt;'!$D:$D,0)),"Continues")</f>
        <v>Continues</v>
      </c>
      <c r="K415">
        <f ca="1">IF($J415="Continues",DATEDIF($B415,TODAY(),"Y"),INDEX('Lopettaneet 2013-&gt;'!$L:$L,MATCH($D415,'Lopettaneet 2013-&gt;'!$D:$D,0)))</f>
        <v>10</v>
      </c>
      <c r="L415">
        <v>207</v>
      </c>
    </row>
    <row r="416" spans="1:12" x14ac:dyDescent="0.25">
      <c r="A416" t="s">
        <v>0</v>
      </c>
      <c r="B416" s="1">
        <v>40360</v>
      </c>
      <c r="C416" s="1">
        <v>42551</v>
      </c>
      <c r="D416" s="4" t="s">
        <v>2606</v>
      </c>
      <c r="E416" t="s">
        <v>3</v>
      </c>
      <c r="F416" t="s">
        <v>4</v>
      </c>
      <c r="G416" t="s">
        <v>2917</v>
      </c>
      <c r="H416" t="s">
        <v>2959</v>
      </c>
      <c r="I416" t="s">
        <v>2909</v>
      </c>
      <c r="J416" t="str">
        <f>IF(ISNUMBER(MATCH($D416,'Lopettaneet 2013-&gt;'!$D:$D,0)),INDEX('Lopettaneet 2013-&gt;'!$K:$K,MATCH($D416,'Lopettaneet 2013-&gt;'!$D:$D,0)),"Continues")</f>
        <v>Merged</v>
      </c>
      <c r="K416">
        <f ca="1">IF($J416="Continues",DATEDIF($B416,TODAY(),"Y"),INDEX('Lopettaneet 2013-&gt;'!$L:$L,MATCH($D416,'Lopettaneet 2013-&gt;'!$D:$D,0)))</f>
        <v>5</v>
      </c>
      <c r="L416">
        <v>208</v>
      </c>
    </row>
    <row r="417" spans="1:12" x14ac:dyDescent="0.25">
      <c r="A417" t="s">
        <v>7</v>
      </c>
      <c r="B417" s="1">
        <v>41974</v>
      </c>
      <c r="C417" s="1">
        <v>43830</v>
      </c>
      <c r="D417" s="4" t="s">
        <v>640</v>
      </c>
      <c r="E417" t="s">
        <v>10</v>
      </c>
      <c r="F417" t="s">
        <v>11</v>
      </c>
      <c r="G417" t="s">
        <v>2914</v>
      </c>
      <c r="H417" t="s">
        <v>2955</v>
      </c>
      <c r="I417" t="s">
        <v>2909</v>
      </c>
      <c r="J417" t="str">
        <f>IF(ISNUMBER(MATCH($D417,'Lopettaneet 2013-&gt;'!$D:$D,0)),INDEX('Lopettaneet 2013-&gt;'!$K:$K,MATCH($D417,'Lopettaneet 2013-&gt;'!$D:$D,0)),"Continues")</f>
        <v>Closed</v>
      </c>
      <c r="K417">
        <f ca="1">IF($J417="Continues",DATEDIF($B417,TODAY(),"Y"),INDEX('Lopettaneet 2013-&gt;'!$L:$L,MATCH($D417,'Lopettaneet 2013-&gt;'!$D:$D,0)))</f>
        <v>5</v>
      </c>
      <c r="L417">
        <v>208</v>
      </c>
    </row>
    <row r="418" spans="1:12" x14ac:dyDescent="0.25">
      <c r="A418" t="s">
        <v>0</v>
      </c>
      <c r="B418" s="1">
        <v>40360</v>
      </c>
      <c r="C418" s="1">
        <v>42551</v>
      </c>
      <c r="D418" s="4" t="s">
        <v>2608</v>
      </c>
      <c r="E418" t="s">
        <v>3</v>
      </c>
      <c r="F418" t="s">
        <v>4</v>
      </c>
      <c r="G418" t="s">
        <v>2917</v>
      </c>
      <c r="H418" t="s">
        <v>2959</v>
      </c>
      <c r="I418" t="s">
        <v>2909</v>
      </c>
      <c r="J418" t="str">
        <f>IF(ISNUMBER(MATCH($D418,'Lopettaneet 2013-&gt;'!$D:$D,0)),INDEX('Lopettaneet 2013-&gt;'!$K:$K,MATCH($D418,'Lopettaneet 2013-&gt;'!$D:$D,0)),"Continues")</f>
        <v>Merged</v>
      </c>
      <c r="K418">
        <f ca="1">IF($J418="Continues",DATEDIF($B418,TODAY(),"Y"),INDEX('Lopettaneet 2013-&gt;'!$L:$L,MATCH($D418,'Lopettaneet 2013-&gt;'!$D:$D,0)))</f>
        <v>5</v>
      </c>
      <c r="L418">
        <v>209</v>
      </c>
    </row>
    <row r="419" spans="1:12" x14ac:dyDescent="0.25">
      <c r="A419" t="s">
        <v>7</v>
      </c>
      <c r="B419" s="1">
        <v>41974</v>
      </c>
      <c r="C419" s="1">
        <v>42916</v>
      </c>
      <c r="D419" s="4" t="s">
        <v>642</v>
      </c>
      <c r="E419" t="s">
        <v>10</v>
      </c>
      <c r="F419" t="s">
        <v>11</v>
      </c>
      <c r="G419" t="s">
        <v>2914</v>
      </c>
      <c r="H419" t="s">
        <v>2938</v>
      </c>
      <c r="I419" t="s">
        <v>2909</v>
      </c>
      <c r="J419" t="str">
        <f>IF(ISNUMBER(MATCH($D419,'Lopettaneet 2013-&gt;'!$D:$D,0)),INDEX('Lopettaneet 2013-&gt;'!$K:$K,MATCH($D419,'Lopettaneet 2013-&gt;'!$D:$D,0)),"Continues")</f>
        <v>Closed</v>
      </c>
      <c r="K419">
        <f ca="1">IF($J419="Continues",DATEDIF($B419,TODAY(),"Y"),INDEX('Lopettaneet 2013-&gt;'!$L:$L,MATCH($D419,'Lopettaneet 2013-&gt;'!$D:$D,0)))</f>
        <v>2</v>
      </c>
      <c r="L419">
        <v>209</v>
      </c>
    </row>
    <row r="420" spans="1:12" x14ac:dyDescent="0.25">
      <c r="A420" t="s">
        <v>0</v>
      </c>
      <c r="B420" s="1">
        <v>40360</v>
      </c>
      <c r="C420" s="1">
        <v>42551</v>
      </c>
      <c r="D420" s="4" t="s">
        <v>2610</v>
      </c>
      <c r="E420" t="s">
        <v>3</v>
      </c>
      <c r="F420" t="s">
        <v>4</v>
      </c>
      <c r="G420" t="s">
        <v>2917</v>
      </c>
      <c r="H420" t="s">
        <v>2959</v>
      </c>
      <c r="I420" t="s">
        <v>2909</v>
      </c>
      <c r="J420" t="str">
        <f>IF(ISNUMBER(MATCH($D420,'Lopettaneet 2013-&gt;'!$D:$D,0)),INDEX('Lopettaneet 2013-&gt;'!$K:$K,MATCH($D420,'Lopettaneet 2013-&gt;'!$D:$D,0)),"Continues")</f>
        <v>Merged</v>
      </c>
      <c r="K420">
        <f ca="1">IF($J420="Continues",DATEDIF($B420,TODAY(),"Y"),INDEX('Lopettaneet 2013-&gt;'!$L:$L,MATCH($D420,'Lopettaneet 2013-&gt;'!$D:$D,0)))</f>
        <v>5</v>
      </c>
      <c r="L420">
        <v>210</v>
      </c>
    </row>
    <row r="421" spans="1:12" x14ac:dyDescent="0.25">
      <c r="A421" t="s">
        <v>7</v>
      </c>
      <c r="B421" s="1">
        <v>41974</v>
      </c>
      <c r="C421" s="1">
        <v>42916</v>
      </c>
      <c r="D421" s="4" t="s">
        <v>644</v>
      </c>
      <c r="E421" t="s">
        <v>10</v>
      </c>
      <c r="F421" t="s">
        <v>11</v>
      </c>
      <c r="G421" t="s">
        <v>2914</v>
      </c>
      <c r="H421" t="s">
        <v>2938</v>
      </c>
      <c r="I421" t="s">
        <v>2909</v>
      </c>
      <c r="J421" t="str">
        <f>IF(ISNUMBER(MATCH($D421,'Lopettaneet 2013-&gt;'!$D:$D,0)),INDEX('Lopettaneet 2013-&gt;'!$K:$K,MATCH($D421,'Lopettaneet 2013-&gt;'!$D:$D,0)),"Continues")</f>
        <v>Closed</v>
      </c>
      <c r="K421">
        <f ca="1">IF($J421="Continues",DATEDIF($B421,TODAY(),"Y"),INDEX('Lopettaneet 2013-&gt;'!$L:$L,MATCH($D421,'Lopettaneet 2013-&gt;'!$D:$D,0)))</f>
        <v>2</v>
      </c>
      <c r="L421">
        <v>210</v>
      </c>
    </row>
    <row r="422" spans="1:12" x14ac:dyDescent="0.25">
      <c r="A422" t="s">
        <v>0</v>
      </c>
      <c r="B422" s="1">
        <v>40360</v>
      </c>
      <c r="C422" s="1">
        <v>42551</v>
      </c>
      <c r="D422" s="4" t="s">
        <v>2612</v>
      </c>
      <c r="E422" t="s">
        <v>3</v>
      </c>
      <c r="F422" t="s">
        <v>4</v>
      </c>
      <c r="G422" t="s">
        <v>2917</v>
      </c>
      <c r="H422" t="s">
        <v>2959</v>
      </c>
      <c r="I422" t="s">
        <v>2909</v>
      </c>
      <c r="J422" t="str">
        <f>IF(ISNUMBER(MATCH($D422,'Lopettaneet 2013-&gt;'!$D:$D,0)),INDEX('Lopettaneet 2013-&gt;'!$K:$K,MATCH($D422,'Lopettaneet 2013-&gt;'!$D:$D,0)),"Continues")</f>
        <v>Merged</v>
      </c>
      <c r="K422">
        <f ca="1">IF($J422="Continues",DATEDIF($B422,TODAY(),"Y"),INDEX('Lopettaneet 2013-&gt;'!$L:$L,MATCH($D422,'Lopettaneet 2013-&gt;'!$D:$D,0)))</f>
        <v>5</v>
      </c>
      <c r="L422">
        <v>211</v>
      </c>
    </row>
    <row r="423" spans="1:12" x14ac:dyDescent="0.25">
      <c r="A423" t="s">
        <v>7</v>
      </c>
      <c r="B423" s="1">
        <v>41974</v>
      </c>
      <c r="C423" s="1">
        <v>42916</v>
      </c>
      <c r="D423" s="4" t="s">
        <v>646</v>
      </c>
      <c r="E423" t="s">
        <v>10</v>
      </c>
      <c r="F423" t="s">
        <v>11</v>
      </c>
      <c r="G423" t="s">
        <v>2914</v>
      </c>
      <c r="H423" t="s">
        <v>2938</v>
      </c>
      <c r="I423" t="s">
        <v>2909</v>
      </c>
      <c r="J423" t="str">
        <f>IF(ISNUMBER(MATCH($D423,'Lopettaneet 2013-&gt;'!$D:$D,0)),INDEX('Lopettaneet 2013-&gt;'!$K:$K,MATCH($D423,'Lopettaneet 2013-&gt;'!$D:$D,0)),"Continues")</f>
        <v>Closed</v>
      </c>
      <c r="K423">
        <f ca="1">IF($J423="Continues",DATEDIF($B423,TODAY(),"Y"),INDEX('Lopettaneet 2013-&gt;'!$L:$L,MATCH($D423,'Lopettaneet 2013-&gt;'!$D:$D,0)))</f>
        <v>2</v>
      </c>
      <c r="L423">
        <v>211</v>
      </c>
    </row>
    <row r="424" spans="1:12" x14ac:dyDescent="0.25">
      <c r="A424" t="s">
        <v>0</v>
      </c>
      <c r="B424" s="1">
        <v>40634</v>
      </c>
      <c r="C424" s="1">
        <v>42551</v>
      </c>
      <c r="D424" s="4" t="s">
        <v>2614</v>
      </c>
      <c r="E424" t="s">
        <v>3</v>
      </c>
      <c r="F424" t="s">
        <v>4</v>
      </c>
      <c r="G424" t="s">
        <v>2917</v>
      </c>
      <c r="H424" t="s">
        <v>2959</v>
      </c>
      <c r="I424" t="s">
        <v>2909</v>
      </c>
      <c r="J424" t="str">
        <f>IF(ISNUMBER(MATCH($D424,'Lopettaneet 2013-&gt;'!$D:$D,0)),INDEX('Lopettaneet 2013-&gt;'!$K:$K,MATCH($D424,'Lopettaneet 2013-&gt;'!$D:$D,0)),"Continues")</f>
        <v>Merged</v>
      </c>
      <c r="K424">
        <f ca="1">IF($J424="Continues",DATEDIF($B424,TODAY(),"Y"),INDEX('Lopettaneet 2013-&gt;'!$L:$L,MATCH($D424,'Lopettaneet 2013-&gt;'!$D:$D,0)))</f>
        <v>5</v>
      </c>
      <c r="L424">
        <v>212</v>
      </c>
    </row>
    <row r="425" spans="1:12" x14ac:dyDescent="0.25">
      <c r="A425" t="s">
        <v>7</v>
      </c>
      <c r="B425" s="1">
        <v>41974</v>
      </c>
      <c r="C425" s="1">
        <v>55153</v>
      </c>
      <c r="D425" s="4" t="s">
        <v>648</v>
      </c>
      <c r="E425" t="s">
        <v>10</v>
      </c>
      <c r="F425" t="s">
        <v>11</v>
      </c>
      <c r="G425" t="s">
        <v>2916</v>
      </c>
      <c r="H425" t="s">
        <v>3015</v>
      </c>
      <c r="I425" t="s">
        <v>2895</v>
      </c>
      <c r="J425" t="str">
        <f>IF(ISNUMBER(MATCH($D425,'Lopettaneet 2013-&gt;'!$D:$D,0)),INDEX('Lopettaneet 2013-&gt;'!$K:$K,MATCH($D425,'Lopettaneet 2013-&gt;'!$D:$D,0)),"Continues")</f>
        <v>Continues</v>
      </c>
      <c r="K425">
        <f ca="1">IF($J425="Continues",DATEDIF($B425,TODAY(),"Y"),INDEX('Lopettaneet 2013-&gt;'!$L:$L,MATCH($D425,'Lopettaneet 2013-&gt;'!$D:$D,0)))</f>
        <v>10</v>
      </c>
      <c r="L425">
        <v>212</v>
      </c>
    </row>
    <row r="426" spans="1:12" x14ac:dyDescent="0.25">
      <c r="A426" t="s">
        <v>0</v>
      </c>
      <c r="B426" s="1">
        <v>40360</v>
      </c>
      <c r="C426" s="1">
        <v>42551</v>
      </c>
      <c r="D426" s="4" t="s">
        <v>2616</v>
      </c>
      <c r="E426" t="s">
        <v>3</v>
      </c>
      <c r="F426" t="s">
        <v>4</v>
      </c>
      <c r="G426" t="s">
        <v>2917</v>
      </c>
      <c r="H426" t="s">
        <v>2959</v>
      </c>
      <c r="I426" t="s">
        <v>2909</v>
      </c>
      <c r="J426" t="str">
        <f>IF(ISNUMBER(MATCH($D426,'Lopettaneet 2013-&gt;'!$D:$D,0)),INDEX('Lopettaneet 2013-&gt;'!$K:$K,MATCH($D426,'Lopettaneet 2013-&gt;'!$D:$D,0)),"Continues")</f>
        <v>Merged</v>
      </c>
      <c r="K426">
        <f ca="1">IF($J426="Continues",DATEDIF($B426,TODAY(),"Y"),INDEX('Lopettaneet 2013-&gt;'!$L:$L,MATCH($D426,'Lopettaneet 2013-&gt;'!$D:$D,0)))</f>
        <v>5</v>
      </c>
      <c r="L426">
        <v>213</v>
      </c>
    </row>
    <row r="427" spans="1:12" x14ac:dyDescent="0.25">
      <c r="A427" t="s">
        <v>7</v>
      </c>
      <c r="B427" s="1">
        <v>41974</v>
      </c>
      <c r="C427" s="1">
        <v>55153</v>
      </c>
      <c r="D427" s="4" t="s">
        <v>650</v>
      </c>
      <c r="E427" t="s">
        <v>10</v>
      </c>
      <c r="F427" t="s">
        <v>11</v>
      </c>
      <c r="G427" t="s">
        <v>2916</v>
      </c>
      <c r="H427" t="s">
        <v>3016</v>
      </c>
      <c r="I427" t="s">
        <v>2895</v>
      </c>
      <c r="J427" t="str">
        <f>IF(ISNUMBER(MATCH($D427,'Lopettaneet 2013-&gt;'!$D:$D,0)),INDEX('Lopettaneet 2013-&gt;'!$K:$K,MATCH($D427,'Lopettaneet 2013-&gt;'!$D:$D,0)),"Continues")</f>
        <v>Continues</v>
      </c>
      <c r="K427">
        <f ca="1">IF($J427="Continues",DATEDIF($B427,TODAY(),"Y"),INDEX('Lopettaneet 2013-&gt;'!$L:$L,MATCH($D427,'Lopettaneet 2013-&gt;'!$D:$D,0)))</f>
        <v>10</v>
      </c>
      <c r="L427">
        <v>213</v>
      </c>
    </row>
    <row r="428" spans="1:12" x14ac:dyDescent="0.25">
      <c r="A428" t="s">
        <v>0</v>
      </c>
      <c r="B428" s="1">
        <v>40422</v>
      </c>
      <c r="C428" s="1">
        <v>42551</v>
      </c>
      <c r="D428" s="4" t="s">
        <v>2618</v>
      </c>
      <c r="E428" t="s">
        <v>10</v>
      </c>
      <c r="F428" t="s">
        <v>4</v>
      </c>
      <c r="G428" t="s">
        <v>2917</v>
      </c>
      <c r="H428" t="s">
        <v>2959</v>
      </c>
      <c r="I428" t="s">
        <v>2909</v>
      </c>
      <c r="J428" t="str">
        <f>IF(ISNUMBER(MATCH($D428,'Lopettaneet 2013-&gt;'!$D:$D,0)),INDEX('Lopettaneet 2013-&gt;'!$K:$K,MATCH($D428,'Lopettaneet 2013-&gt;'!$D:$D,0)),"Continues")</f>
        <v>Merged</v>
      </c>
      <c r="K428">
        <f ca="1">IF($J428="Continues",DATEDIF($B428,TODAY(),"Y"),INDEX('Lopettaneet 2013-&gt;'!$L:$L,MATCH($D428,'Lopettaneet 2013-&gt;'!$D:$D,0)))</f>
        <v>5</v>
      </c>
      <c r="L428">
        <v>214</v>
      </c>
    </row>
    <row r="429" spans="1:12" x14ac:dyDescent="0.25">
      <c r="A429" t="s">
        <v>7</v>
      </c>
      <c r="B429" s="1">
        <v>41974</v>
      </c>
      <c r="C429" s="1">
        <v>55153</v>
      </c>
      <c r="D429" s="4" t="s">
        <v>652</v>
      </c>
      <c r="E429" t="s">
        <v>10</v>
      </c>
      <c r="F429" t="s">
        <v>11</v>
      </c>
      <c r="G429" t="s">
        <v>2916</v>
      </c>
      <c r="H429" t="s">
        <v>2807</v>
      </c>
      <c r="I429" t="s">
        <v>2895</v>
      </c>
      <c r="J429" t="str">
        <f>IF(ISNUMBER(MATCH($D429,'Lopettaneet 2013-&gt;'!$D:$D,0)),INDEX('Lopettaneet 2013-&gt;'!$K:$K,MATCH($D429,'Lopettaneet 2013-&gt;'!$D:$D,0)),"Continues")</f>
        <v>Continues</v>
      </c>
      <c r="K429">
        <f ca="1">IF($J429="Continues",DATEDIF($B429,TODAY(),"Y"),INDEX('Lopettaneet 2013-&gt;'!$L:$L,MATCH($D429,'Lopettaneet 2013-&gt;'!$D:$D,0)))</f>
        <v>10</v>
      </c>
      <c r="L429">
        <v>214</v>
      </c>
    </row>
    <row r="430" spans="1:12" x14ac:dyDescent="0.25">
      <c r="A430" t="s">
        <v>0</v>
      </c>
      <c r="B430" s="1">
        <v>40360</v>
      </c>
      <c r="C430" s="1">
        <v>41517</v>
      </c>
      <c r="D430" s="4" t="s">
        <v>2620</v>
      </c>
      <c r="E430" t="s">
        <v>10</v>
      </c>
      <c r="F430" t="s">
        <v>4</v>
      </c>
      <c r="G430" t="s">
        <v>2917</v>
      </c>
      <c r="H430" t="s">
        <v>2959</v>
      </c>
      <c r="I430" t="s">
        <v>2909</v>
      </c>
      <c r="J430" t="str">
        <f>IF(ISNUMBER(MATCH($D430,'Lopettaneet 2013-&gt;'!$D:$D,0)),INDEX('Lopettaneet 2013-&gt;'!$K:$K,MATCH($D430,'Lopettaneet 2013-&gt;'!$D:$D,0)),"Continues")</f>
        <v>Merged</v>
      </c>
      <c r="K430">
        <f ca="1">IF($J430="Continues",DATEDIF($B430,TODAY(),"Y"),INDEX('Lopettaneet 2013-&gt;'!$L:$L,MATCH($D430,'Lopettaneet 2013-&gt;'!$D:$D,0)))</f>
        <v>3</v>
      </c>
      <c r="L430">
        <v>215</v>
      </c>
    </row>
    <row r="431" spans="1:12" x14ac:dyDescent="0.25">
      <c r="A431" t="s">
        <v>0</v>
      </c>
      <c r="B431" s="1">
        <v>42156</v>
      </c>
      <c r="C431" s="1">
        <v>55153</v>
      </c>
      <c r="D431" s="4" t="s">
        <v>654</v>
      </c>
      <c r="E431" t="s">
        <v>10</v>
      </c>
      <c r="F431" t="s">
        <v>4</v>
      </c>
      <c r="G431" t="s">
        <v>2914</v>
      </c>
      <c r="H431" t="s">
        <v>2766</v>
      </c>
      <c r="I431" t="s">
        <v>2894</v>
      </c>
      <c r="J431" t="str">
        <f>IF(ISNUMBER(MATCH($D431,'Lopettaneet 2013-&gt;'!$D:$D,0)),INDEX('Lopettaneet 2013-&gt;'!$K:$K,MATCH($D431,'Lopettaneet 2013-&gt;'!$D:$D,0)),"Continues")</f>
        <v>Continues</v>
      </c>
      <c r="K431">
        <f ca="1">IF($J431="Continues",DATEDIF($B431,TODAY(),"Y"),INDEX('Lopettaneet 2013-&gt;'!$L:$L,MATCH($D431,'Lopettaneet 2013-&gt;'!$D:$D,0)))</f>
        <v>9</v>
      </c>
      <c r="L431">
        <v>215</v>
      </c>
    </row>
    <row r="432" spans="1:12" x14ac:dyDescent="0.25">
      <c r="A432" t="s">
        <v>0</v>
      </c>
      <c r="B432" s="1">
        <v>40360</v>
      </c>
      <c r="C432" s="1">
        <v>41517</v>
      </c>
      <c r="D432" s="4" t="s">
        <v>2622</v>
      </c>
      <c r="E432" t="s">
        <v>10</v>
      </c>
      <c r="F432" t="s">
        <v>4</v>
      </c>
      <c r="G432" t="s">
        <v>2917</v>
      </c>
      <c r="H432" t="s">
        <v>2959</v>
      </c>
      <c r="I432" t="s">
        <v>2909</v>
      </c>
      <c r="J432" t="str">
        <f>IF(ISNUMBER(MATCH($D432,'Lopettaneet 2013-&gt;'!$D:$D,0)),INDEX('Lopettaneet 2013-&gt;'!$K:$K,MATCH($D432,'Lopettaneet 2013-&gt;'!$D:$D,0)),"Continues")</f>
        <v>Merged</v>
      </c>
      <c r="K432">
        <f ca="1">IF($J432="Continues",DATEDIF($B432,TODAY(),"Y"),INDEX('Lopettaneet 2013-&gt;'!$L:$L,MATCH($D432,'Lopettaneet 2013-&gt;'!$D:$D,0)))</f>
        <v>3</v>
      </c>
      <c r="L432">
        <v>216</v>
      </c>
    </row>
    <row r="433" spans="1:12" x14ac:dyDescent="0.25">
      <c r="A433" t="s">
        <v>7</v>
      </c>
      <c r="B433" s="1">
        <v>41974</v>
      </c>
      <c r="C433" s="1">
        <v>55153</v>
      </c>
      <c r="D433" s="4" t="s">
        <v>656</v>
      </c>
      <c r="E433" t="s">
        <v>10</v>
      </c>
      <c r="F433" t="s">
        <v>11</v>
      </c>
      <c r="G433" t="s">
        <v>2914</v>
      </c>
      <c r="H433" t="s">
        <v>2766</v>
      </c>
      <c r="I433" t="s">
        <v>2895</v>
      </c>
      <c r="J433" t="str">
        <f>IF(ISNUMBER(MATCH($D433,'Lopettaneet 2013-&gt;'!$D:$D,0)),INDEX('Lopettaneet 2013-&gt;'!$K:$K,MATCH($D433,'Lopettaneet 2013-&gt;'!$D:$D,0)),"Continues")</f>
        <v>Continues</v>
      </c>
      <c r="K433">
        <f ca="1">IF($J433="Continues",DATEDIF($B433,TODAY(),"Y"),INDEX('Lopettaneet 2013-&gt;'!$L:$L,MATCH($D433,'Lopettaneet 2013-&gt;'!$D:$D,0)))</f>
        <v>10</v>
      </c>
      <c r="L433">
        <v>216</v>
      </c>
    </row>
    <row r="434" spans="1:12" x14ac:dyDescent="0.25">
      <c r="A434" t="s">
        <v>0</v>
      </c>
      <c r="B434" s="1">
        <v>40695</v>
      </c>
      <c r="C434" s="1">
        <v>43769</v>
      </c>
      <c r="D434" s="4" t="s">
        <v>3186</v>
      </c>
      <c r="E434" t="s">
        <v>3</v>
      </c>
      <c r="F434" t="s">
        <v>4</v>
      </c>
      <c r="G434" t="s">
        <v>2913</v>
      </c>
      <c r="H434" t="s">
        <v>2777</v>
      </c>
      <c r="I434" t="s">
        <v>2909</v>
      </c>
      <c r="J434" t="str">
        <f>IF(ISNUMBER(MATCH($D434,'Lopettaneet 2013-&gt;'!$D:$D,0)),INDEX('Lopettaneet 2013-&gt;'!$K:$K,MATCH($D434,'Lopettaneet 2013-&gt;'!$D:$D,0)),"Continues")</f>
        <v>Continues</v>
      </c>
      <c r="K434">
        <f ca="1">IF($J434="Continues",DATEDIF($B434,TODAY(),"Y"),INDEX('Lopettaneet 2013-&gt;'!$L:$L,MATCH($D434,'Lopettaneet 2013-&gt;'!$D:$D,0)))</f>
        <v>13</v>
      </c>
      <c r="L434">
        <v>217</v>
      </c>
    </row>
    <row r="435" spans="1:12" x14ac:dyDescent="0.25">
      <c r="A435" t="s">
        <v>0</v>
      </c>
      <c r="B435" s="1">
        <v>42125</v>
      </c>
      <c r="C435" s="1">
        <v>55153</v>
      </c>
      <c r="D435" s="4" t="s">
        <v>658</v>
      </c>
      <c r="E435" t="s">
        <v>10</v>
      </c>
      <c r="F435" t="s">
        <v>4</v>
      </c>
      <c r="G435" t="s">
        <v>2913</v>
      </c>
      <c r="H435" t="s">
        <v>2953</v>
      </c>
      <c r="I435" t="s">
        <v>2894</v>
      </c>
      <c r="J435" t="str">
        <f>IF(ISNUMBER(MATCH($D435,'Lopettaneet 2013-&gt;'!$D:$D,0)),INDEX('Lopettaneet 2013-&gt;'!$K:$K,MATCH($D435,'Lopettaneet 2013-&gt;'!$D:$D,0)),"Continues")</f>
        <v>Continues</v>
      </c>
      <c r="K435">
        <f ca="1">IF($J435="Continues",DATEDIF($B435,TODAY(),"Y"),INDEX('Lopettaneet 2013-&gt;'!$L:$L,MATCH($D435,'Lopettaneet 2013-&gt;'!$D:$D,0)))</f>
        <v>10</v>
      </c>
      <c r="L435">
        <v>217</v>
      </c>
    </row>
    <row r="436" spans="1:12" x14ac:dyDescent="0.25">
      <c r="A436" t="s">
        <v>0</v>
      </c>
      <c r="B436" s="1">
        <v>40513</v>
      </c>
      <c r="C436" s="1">
        <v>41698</v>
      </c>
      <c r="D436" s="4" t="s">
        <v>2626</v>
      </c>
      <c r="E436" t="s">
        <v>3</v>
      </c>
      <c r="F436" t="s">
        <v>4</v>
      </c>
      <c r="G436" t="s">
        <v>2915</v>
      </c>
      <c r="H436" t="s">
        <v>2909</v>
      </c>
      <c r="I436" t="s">
        <v>2909</v>
      </c>
      <c r="J436" t="str">
        <f>IF(ISNUMBER(MATCH($D436,'Lopettaneet 2013-&gt;'!$D:$D,0)),INDEX('Lopettaneet 2013-&gt;'!$K:$K,MATCH($D436,'Lopettaneet 2013-&gt;'!$D:$D,0)),"Continues")</f>
        <v>Merged</v>
      </c>
      <c r="K436">
        <f ca="1">IF($J436="Continues",DATEDIF($B436,TODAY(),"Y"),INDEX('Lopettaneet 2013-&gt;'!$L:$L,MATCH($D436,'Lopettaneet 2013-&gt;'!$D:$D,0)))</f>
        <v>3</v>
      </c>
      <c r="L436">
        <v>218</v>
      </c>
    </row>
    <row r="437" spans="1:12" x14ac:dyDescent="0.25">
      <c r="A437" t="s">
        <v>0</v>
      </c>
      <c r="B437" s="1">
        <v>42125</v>
      </c>
      <c r="C437" s="1">
        <v>55153</v>
      </c>
      <c r="D437" s="4" t="s">
        <v>660</v>
      </c>
      <c r="E437" t="s">
        <v>10</v>
      </c>
      <c r="F437" t="s">
        <v>4</v>
      </c>
      <c r="G437" t="s">
        <v>2913</v>
      </c>
      <c r="H437" t="s">
        <v>2953</v>
      </c>
      <c r="I437" t="s">
        <v>2894</v>
      </c>
      <c r="J437" t="str">
        <f>IF(ISNUMBER(MATCH($D437,'Lopettaneet 2013-&gt;'!$D:$D,0)),INDEX('Lopettaneet 2013-&gt;'!$K:$K,MATCH($D437,'Lopettaneet 2013-&gt;'!$D:$D,0)),"Continues")</f>
        <v>Continues</v>
      </c>
      <c r="K437">
        <f ca="1">IF($J437="Continues",DATEDIF($B437,TODAY(),"Y"),INDEX('Lopettaneet 2013-&gt;'!$L:$L,MATCH($D437,'Lopettaneet 2013-&gt;'!$D:$D,0)))</f>
        <v>10</v>
      </c>
      <c r="L437">
        <v>218</v>
      </c>
    </row>
    <row r="438" spans="1:12" x14ac:dyDescent="0.25">
      <c r="A438" t="s">
        <v>0</v>
      </c>
      <c r="B438" s="1">
        <v>40391</v>
      </c>
      <c r="C438" s="1">
        <v>42674</v>
      </c>
      <c r="D438" s="4" t="s">
        <v>2628</v>
      </c>
      <c r="E438" t="s">
        <v>3</v>
      </c>
      <c r="F438" t="s">
        <v>4</v>
      </c>
      <c r="G438" t="s">
        <v>2917</v>
      </c>
      <c r="H438" t="s">
        <v>2909</v>
      </c>
      <c r="I438" t="s">
        <v>2909</v>
      </c>
      <c r="J438" t="str">
        <f>IF(ISNUMBER(MATCH($D438,'Lopettaneet 2013-&gt;'!$D:$D,0)),INDEX('Lopettaneet 2013-&gt;'!$K:$K,MATCH($D438,'Lopettaneet 2013-&gt;'!$D:$D,0)),"Continues")</f>
        <v>Closed</v>
      </c>
      <c r="K438">
        <f ca="1">IF($J438="Continues",DATEDIF($B438,TODAY(),"Y"),INDEX('Lopettaneet 2013-&gt;'!$L:$L,MATCH($D438,'Lopettaneet 2013-&gt;'!$D:$D,0)))</f>
        <v>6</v>
      </c>
      <c r="L438">
        <v>219</v>
      </c>
    </row>
    <row r="439" spans="1:12" x14ac:dyDescent="0.25">
      <c r="A439" t="s">
        <v>0</v>
      </c>
      <c r="B439" s="1">
        <v>42125</v>
      </c>
      <c r="C439" s="1">
        <v>55153</v>
      </c>
      <c r="D439" s="4" t="s">
        <v>662</v>
      </c>
      <c r="E439" t="s">
        <v>10</v>
      </c>
      <c r="F439" t="s">
        <v>4</v>
      </c>
      <c r="G439" t="s">
        <v>2915</v>
      </c>
      <c r="H439" t="s">
        <v>2953</v>
      </c>
      <c r="I439" t="s">
        <v>2894</v>
      </c>
      <c r="J439" t="str">
        <f>IF(ISNUMBER(MATCH($D439,'Lopettaneet 2013-&gt;'!$D:$D,0)),INDEX('Lopettaneet 2013-&gt;'!$K:$K,MATCH($D439,'Lopettaneet 2013-&gt;'!$D:$D,0)),"Continues")</f>
        <v>Continues</v>
      </c>
      <c r="K439">
        <f ca="1">IF($J439="Continues",DATEDIF($B439,TODAY(),"Y"),INDEX('Lopettaneet 2013-&gt;'!$L:$L,MATCH($D439,'Lopettaneet 2013-&gt;'!$D:$D,0)))</f>
        <v>10</v>
      </c>
      <c r="L439">
        <v>219</v>
      </c>
    </row>
    <row r="440" spans="1:12" x14ac:dyDescent="0.25">
      <c r="A440" t="s">
        <v>0</v>
      </c>
      <c r="B440" s="1">
        <v>40452</v>
      </c>
      <c r="C440" s="1">
        <v>41759</v>
      </c>
      <c r="D440" s="4" t="s">
        <v>2630</v>
      </c>
      <c r="E440" t="s">
        <v>3</v>
      </c>
      <c r="F440" t="s">
        <v>4</v>
      </c>
      <c r="G440" t="s">
        <v>2917</v>
      </c>
      <c r="H440" t="s">
        <v>2948</v>
      </c>
      <c r="I440" t="s">
        <v>2909</v>
      </c>
      <c r="J440" t="str">
        <f>IF(ISNUMBER(MATCH($D440,'Lopettaneet 2013-&gt;'!$D:$D,0)),INDEX('Lopettaneet 2013-&gt;'!$K:$K,MATCH($D440,'Lopettaneet 2013-&gt;'!$D:$D,0)),"Continues")</f>
        <v>Merged</v>
      </c>
      <c r="K440">
        <f ca="1">IF($J440="Continues",DATEDIF($B440,TODAY(),"Y"),INDEX('Lopettaneet 2013-&gt;'!$L:$L,MATCH($D440,'Lopettaneet 2013-&gt;'!$D:$D,0)))</f>
        <v>3</v>
      </c>
      <c r="L440">
        <v>220</v>
      </c>
    </row>
    <row r="441" spans="1:12" x14ac:dyDescent="0.25">
      <c r="A441" t="s">
        <v>0</v>
      </c>
      <c r="B441" s="1">
        <v>42125</v>
      </c>
      <c r="C441" s="1">
        <v>55153</v>
      </c>
      <c r="D441" s="4" t="s">
        <v>664</v>
      </c>
      <c r="E441" t="s">
        <v>10</v>
      </c>
      <c r="F441" t="s">
        <v>4</v>
      </c>
      <c r="G441" t="s">
        <v>2917</v>
      </c>
      <c r="H441" t="s">
        <v>2953</v>
      </c>
      <c r="I441" t="s">
        <v>2894</v>
      </c>
      <c r="J441" t="str">
        <f>IF(ISNUMBER(MATCH($D441,'Lopettaneet 2013-&gt;'!$D:$D,0)),INDEX('Lopettaneet 2013-&gt;'!$K:$K,MATCH($D441,'Lopettaneet 2013-&gt;'!$D:$D,0)),"Continues")</f>
        <v>Continues</v>
      </c>
      <c r="K441">
        <f ca="1">IF($J441="Continues",DATEDIF($B441,TODAY(),"Y"),INDEX('Lopettaneet 2013-&gt;'!$L:$L,MATCH($D441,'Lopettaneet 2013-&gt;'!$D:$D,0)))</f>
        <v>10</v>
      </c>
      <c r="L441">
        <v>220</v>
      </c>
    </row>
    <row r="442" spans="1:12" x14ac:dyDescent="0.25">
      <c r="A442" t="s">
        <v>0</v>
      </c>
      <c r="B442" s="1">
        <v>40483</v>
      </c>
      <c r="C442" s="1">
        <v>42643</v>
      </c>
      <c r="D442" s="4" t="s">
        <v>2632</v>
      </c>
      <c r="E442" t="s">
        <v>10</v>
      </c>
      <c r="F442" t="s">
        <v>4</v>
      </c>
      <c r="G442" t="s">
        <v>2913</v>
      </c>
      <c r="H442" t="s">
        <v>2956</v>
      </c>
      <c r="I442" t="s">
        <v>2909</v>
      </c>
      <c r="J442" t="str">
        <f>IF(ISNUMBER(MATCH($D442,'Lopettaneet 2013-&gt;'!$D:$D,0)),INDEX('Lopettaneet 2013-&gt;'!$K:$K,MATCH($D442,'Lopettaneet 2013-&gt;'!$D:$D,0)),"Continues")</f>
        <v>Merged</v>
      </c>
      <c r="K442">
        <f ca="1">IF($J442="Continues",DATEDIF($B442,TODAY(),"Y"),INDEX('Lopettaneet 2013-&gt;'!$L:$L,MATCH($D442,'Lopettaneet 2013-&gt;'!$D:$D,0)))</f>
        <v>5</v>
      </c>
      <c r="L442">
        <v>221</v>
      </c>
    </row>
    <row r="443" spans="1:12" x14ac:dyDescent="0.25">
      <c r="A443" t="s">
        <v>0</v>
      </c>
      <c r="B443" s="1">
        <v>42125</v>
      </c>
      <c r="C443" s="1">
        <v>55153</v>
      </c>
      <c r="D443" s="4" t="s">
        <v>666</v>
      </c>
      <c r="E443" t="s">
        <v>10</v>
      </c>
      <c r="F443" t="s">
        <v>4</v>
      </c>
      <c r="G443" t="s">
        <v>2917</v>
      </c>
      <c r="H443" t="s">
        <v>2953</v>
      </c>
      <c r="I443" t="s">
        <v>2894</v>
      </c>
      <c r="J443" t="str">
        <f>IF(ISNUMBER(MATCH($D443,'Lopettaneet 2013-&gt;'!$D:$D,0)),INDEX('Lopettaneet 2013-&gt;'!$K:$K,MATCH($D443,'Lopettaneet 2013-&gt;'!$D:$D,0)),"Continues")</f>
        <v>Continues</v>
      </c>
      <c r="K443">
        <f ca="1">IF($J443="Continues",DATEDIF($B443,TODAY(),"Y"),INDEX('Lopettaneet 2013-&gt;'!$L:$L,MATCH($D443,'Lopettaneet 2013-&gt;'!$D:$D,0)))</f>
        <v>10</v>
      </c>
      <c r="L443">
        <v>221</v>
      </c>
    </row>
    <row r="444" spans="1:12" x14ac:dyDescent="0.25">
      <c r="A444" t="s">
        <v>0</v>
      </c>
      <c r="B444" s="1">
        <v>40422</v>
      </c>
      <c r="C444" s="1">
        <v>42308</v>
      </c>
      <c r="D444" s="4" t="s">
        <v>2634</v>
      </c>
      <c r="E444" t="s">
        <v>10</v>
      </c>
      <c r="F444" t="s">
        <v>4</v>
      </c>
      <c r="G444" t="s">
        <v>2915</v>
      </c>
      <c r="H444" t="s">
        <v>2935</v>
      </c>
      <c r="I444" t="s">
        <v>2909</v>
      </c>
      <c r="J444" t="str">
        <f>IF(ISNUMBER(MATCH($D444,'Lopettaneet 2013-&gt;'!$D:$D,0)),INDEX('Lopettaneet 2013-&gt;'!$K:$K,MATCH($D444,'Lopettaneet 2013-&gt;'!$D:$D,0)),"Continues")</f>
        <v>Merged</v>
      </c>
      <c r="K444">
        <f ca="1">IF($J444="Continues",DATEDIF($B444,TODAY(),"Y"),INDEX('Lopettaneet 2013-&gt;'!$L:$L,MATCH($D444,'Lopettaneet 2013-&gt;'!$D:$D,0)))</f>
        <v>5</v>
      </c>
      <c r="L444">
        <v>222</v>
      </c>
    </row>
    <row r="445" spans="1:12" x14ac:dyDescent="0.25">
      <c r="A445" t="s">
        <v>0</v>
      </c>
      <c r="B445" s="1">
        <v>42064</v>
      </c>
      <c r="C445" s="1">
        <v>55153</v>
      </c>
      <c r="D445" s="4" t="s">
        <v>668</v>
      </c>
      <c r="E445" t="s">
        <v>3</v>
      </c>
      <c r="F445" t="s">
        <v>4</v>
      </c>
      <c r="G445" t="s">
        <v>2917</v>
      </c>
      <c r="H445" t="s">
        <v>2952</v>
      </c>
      <c r="I445" t="s">
        <v>2894</v>
      </c>
      <c r="J445" t="str">
        <f>IF(ISNUMBER(MATCH($D445,'Lopettaneet 2013-&gt;'!$D:$D,0)),INDEX('Lopettaneet 2013-&gt;'!$K:$K,MATCH($D445,'Lopettaneet 2013-&gt;'!$D:$D,0)),"Continues")</f>
        <v>Continues</v>
      </c>
      <c r="K445">
        <f ca="1">IF($J445="Continues",DATEDIF($B445,TODAY(),"Y"),INDEX('Lopettaneet 2013-&gt;'!$L:$L,MATCH($D445,'Lopettaneet 2013-&gt;'!$D:$D,0)))</f>
        <v>10</v>
      </c>
      <c r="L445">
        <v>222</v>
      </c>
    </row>
    <row r="446" spans="1:12" x14ac:dyDescent="0.25">
      <c r="A446" t="s">
        <v>0</v>
      </c>
      <c r="B446" s="1">
        <v>40422</v>
      </c>
      <c r="C446" s="1">
        <v>44012</v>
      </c>
      <c r="D446" s="4" t="s">
        <v>2636</v>
      </c>
      <c r="E446" t="s">
        <v>3</v>
      </c>
      <c r="F446" t="s">
        <v>4</v>
      </c>
      <c r="G446" t="s">
        <v>2915</v>
      </c>
      <c r="H446" t="s">
        <v>2935</v>
      </c>
      <c r="I446" t="s">
        <v>2909</v>
      </c>
      <c r="J446" t="str">
        <f>IF(ISNUMBER(MATCH($D446,'Lopettaneet 2013-&gt;'!$D:$D,0)),INDEX('Lopettaneet 2013-&gt;'!$K:$K,MATCH($D446,'Lopettaneet 2013-&gt;'!$D:$D,0)),"Continues")</f>
        <v>Closed</v>
      </c>
      <c r="K446">
        <f ca="1">IF($J446="Continues",DATEDIF($B446,TODAY(),"Y"),INDEX('Lopettaneet 2013-&gt;'!$L:$L,MATCH($D446,'Lopettaneet 2013-&gt;'!$D:$D,0)))</f>
        <v>9</v>
      </c>
      <c r="L446">
        <v>223</v>
      </c>
    </row>
    <row r="447" spans="1:12" x14ac:dyDescent="0.25">
      <c r="A447" t="s">
        <v>0</v>
      </c>
      <c r="B447" s="1">
        <v>42064</v>
      </c>
      <c r="C447" s="1">
        <v>55153</v>
      </c>
      <c r="D447" s="4" t="s">
        <v>670</v>
      </c>
      <c r="E447" t="s">
        <v>3</v>
      </c>
      <c r="F447" t="s">
        <v>4</v>
      </c>
      <c r="G447" t="s">
        <v>2917</v>
      </c>
      <c r="H447" t="s">
        <v>2952</v>
      </c>
      <c r="I447" t="s">
        <v>2894</v>
      </c>
      <c r="J447" t="str">
        <f>IF(ISNUMBER(MATCH($D447,'Lopettaneet 2013-&gt;'!$D:$D,0)),INDEX('Lopettaneet 2013-&gt;'!$K:$K,MATCH($D447,'Lopettaneet 2013-&gt;'!$D:$D,0)),"Continues")</f>
        <v>Continues</v>
      </c>
      <c r="K447">
        <f ca="1">IF($J447="Continues",DATEDIF($B447,TODAY(),"Y"),INDEX('Lopettaneet 2013-&gt;'!$L:$L,MATCH($D447,'Lopettaneet 2013-&gt;'!$D:$D,0)))</f>
        <v>10</v>
      </c>
      <c r="L447">
        <v>223</v>
      </c>
    </row>
    <row r="448" spans="1:12" x14ac:dyDescent="0.25">
      <c r="A448" t="s">
        <v>0</v>
      </c>
      <c r="B448" s="1">
        <v>40483</v>
      </c>
      <c r="C448" s="1">
        <v>42338</v>
      </c>
      <c r="D448" s="4" t="s">
        <v>2300</v>
      </c>
      <c r="E448" t="s">
        <v>3</v>
      </c>
      <c r="F448" t="s">
        <v>4</v>
      </c>
      <c r="G448" t="s">
        <v>2917</v>
      </c>
      <c r="H448" t="s">
        <v>2953</v>
      </c>
      <c r="I448" t="s">
        <v>2909</v>
      </c>
      <c r="J448" t="str">
        <f>IF(ISNUMBER(MATCH($D448,'Lopettaneet 2013-&gt;'!$D:$D,0)),INDEX('Lopettaneet 2013-&gt;'!$K:$K,MATCH($D448,'Lopettaneet 2013-&gt;'!$D:$D,0)),"Continues")</f>
        <v>Closed</v>
      </c>
      <c r="K448">
        <f ca="1">IF($J448="Continues",DATEDIF($B448,TODAY(),"Y"),INDEX('Lopettaneet 2013-&gt;'!$L:$L,MATCH($D448,'Lopettaneet 2013-&gt;'!$D:$D,0)))</f>
        <v>5</v>
      </c>
      <c r="L448">
        <v>224</v>
      </c>
    </row>
    <row r="449" spans="1:12" x14ac:dyDescent="0.25">
      <c r="A449" t="s">
        <v>0</v>
      </c>
      <c r="B449" s="1">
        <v>42064</v>
      </c>
      <c r="C449" s="1">
        <v>55153</v>
      </c>
      <c r="D449" s="4" t="s">
        <v>672</v>
      </c>
      <c r="E449" t="s">
        <v>3</v>
      </c>
      <c r="F449" t="s">
        <v>4</v>
      </c>
      <c r="G449" t="s">
        <v>2913</v>
      </c>
      <c r="H449" t="s">
        <v>2952</v>
      </c>
      <c r="I449" t="s">
        <v>2909</v>
      </c>
      <c r="J449" t="str">
        <f>IF(ISNUMBER(MATCH($D449,'Lopettaneet 2013-&gt;'!$D:$D,0)),INDEX('Lopettaneet 2013-&gt;'!$K:$K,MATCH($D449,'Lopettaneet 2013-&gt;'!$D:$D,0)),"Continues")</f>
        <v>Continues</v>
      </c>
      <c r="K449">
        <f ca="1">IF($J449="Continues",DATEDIF($B449,TODAY(),"Y"),INDEX('Lopettaneet 2013-&gt;'!$L:$L,MATCH($D449,'Lopettaneet 2013-&gt;'!$D:$D,0)))</f>
        <v>10</v>
      </c>
      <c r="L449">
        <v>224</v>
      </c>
    </row>
    <row r="450" spans="1:12" x14ac:dyDescent="0.25">
      <c r="A450" t="s">
        <v>0</v>
      </c>
      <c r="B450" s="1">
        <v>40483</v>
      </c>
      <c r="C450" s="1">
        <v>41670</v>
      </c>
      <c r="D450" s="4" t="s">
        <v>2638</v>
      </c>
      <c r="E450" t="s">
        <v>10</v>
      </c>
      <c r="F450" t="s">
        <v>4</v>
      </c>
      <c r="G450" t="s">
        <v>2919</v>
      </c>
      <c r="H450" t="s">
        <v>2933</v>
      </c>
      <c r="I450" t="s">
        <v>2909</v>
      </c>
      <c r="J450" t="str">
        <f>IF(ISNUMBER(MATCH($D450,'Lopettaneet 2013-&gt;'!$D:$D,0)),INDEX('Lopettaneet 2013-&gt;'!$K:$K,MATCH($D450,'Lopettaneet 2013-&gt;'!$D:$D,0)),"Continues")</f>
        <v>Merged</v>
      </c>
      <c r="K450">
        <f ca="1">IF($J450="Continues",DATEDIF($B450,TODAY(),"Y"),INDEX('Lopettaneet 2013-&gt;'!$L:$L,MATCH($D450,'Lopettaneet 2013-&gt;'!$D:$D,0)))</f>
        <v>3</v>
      </c>
      <c r="L450">
        <v>225</v>
      </c>
    </row>
    <row r="451" spans="1:12" x14ac:dyDescent="0.25">
      <c r="A451" t="s">
        <v>7</v>
      </c>
      <c r="B451" s="1">
        <v>41974</v>
      </c>
      <c r="C451" s="1">
        <v>43251</v>
      </c>
      <c r="D451" s="4" t="s">
        <v>674</v>
      </c>
      <c r="E451" t="s">
        <v>10</v>
      </c>
      <c r="F451" t="s">
        <v>11</v>
      </c>
      <c r="G451" t="s">
        <v>2914</v>
      </c>
      <c r="H451" t="s">
        <v>2909</v>
      </c>
      <c r="I451" t="s">
        <v>2909</v>
      </c>
      <c r="J451" t="str">
        <f>IF(ISNUMBER(MATCH($D451,'Lopettaneet 2013-&gt;'!$D:$D,0)),INDEX('Lopettaneet 2013-&gt;'!$K:$K,MATCH($D451,'Lopettaneet 2013-&gt;'!$D:$D,0)),"Continues")</f>
        <v>Merged</v>
      </c>
      <c r="K451">
        <f ca="1">IF($J451="Continues",DATEDIF($B451,TODAY(),"Y"),INDEX('Lopettaneet 2013-&gt;'!$L:$L,MATCH($D451,'Lopettaneet 2013-&gt;'!$D:$D,0)))</f>
        <v>3</v>
      </c>
      <c r="L451">
        <v>225</v>
      </c>
    </row>
    <row r="452" spans="1:12" x14ac:dyDescent="0.25">
      <c r="A452" t="s">
        <v>0</v>
      </c>
      <c r="B452" s="1">
        <v>40483</v>
      </c>
      <c r="C452" s="1">
        <v>43465</v>
      </c>
      <c r="D452" s="4" t="s">
        <v>2642</v>
      </c>
      <c r="E452" t="s">
        <v>3</v>
      </c>
      <c r="F452" t="s">
        <v>4</v>
      </c>
      <c r="G452" t="s">
        <v>2917</v>
      </c>
      <c r="H452" t="s">
        <v>2952</v>
      </c>
      <c r="I452" t="s">
        <v>2909</v>
      </c>
      <c r="J452" t="str">
        <f>IF(ISNUMBER(MATCH($D452,'Lopettaneet 2013-&gt;'!$D:$D,0)),INDEX('Lopettaneet 2013-&gt;'!$K:$K,MATCH($D452,'Lopettaneet 2013-&gt;'!$D:$D,0)),"Continues")</f>
        <v>Merged</v>
      </c>
      <c r="K452">
        <f ca="1">IF($J452="Continues",DATEDIF($B452,TODAY(),"Y"),INDEX('Lopettaneet 2013-&gt;'!$L:$L,MATCH($D452,'Lopettaneet 2013-&gt;'!$D:$D,0)))</f>
        <v>8</v>
      </c>
      <c r="L452">
        <v>226</v>
      </c>
    </row>
    <row r="453" spans="1:12" x14ac:dyDescent="0.25">
      <c r="A453" t="s">
        <v>7</v>
      </c>
      <c r="B453" s="1">
        <v>41974</v>
      </c>
      <c r="C453" s="1">
        <v>44651</v>
      </c>
      <c r="D453" s="4" t="s">
        <v>676</v>
      </c>
      <c r="E453" t="s">
        <v>10</v>
      </c>
      <c r="F453" t="s">
        <v>11</v>
      </c>
      <c r="G453" t="s">
        <v>2914</v>
      </c>
      <c r="H453" t="s">
        <v>2909</v>
      </c>
      <c r="I453" t="s">
        <v>2909</v>
      </c>
      <c r="J453" t="str">
        <f>IF(ISNUMBER(MATCH($D453,'Lopettaneet 2013-&gt;'!$D:$D,0)),INDEX('Lopettaneet 2013-&gt;'!$K:$K,MATCH($D453,'Lopettaneet 2013-&gt;'!$D:$D,0)),"Continues")</f>
        <v>Merged</v>
      </c>
      <c r="K453">
        <f ca="1">IF($J453="Continues",DATEDIF($B453,TODAY(),"Y"),INDEX('Lopettaneet 2013-&gt;'!$L:$L,MATCH($D453,'Lopettaneet 2013-&gt;'!$D:$D,0)))</f>
        <v>7</v>
      </c>
      <c r="L453">
        <v>226</v>
      </c>
    </row>
    <row r="454" spans="1:12" x14ac:dyDescent="0.25">
      <c r="A454" t="s">
        <v>0</v>
      </c>
      <c r="B454" s="1">
        <v>40483</v>
      </c>
      <c r="C454" s="1">
        <v>44530</v>
      </c>
      <c r="D454" s="4" t="s">
        <v>2644</v>
      </c>
      <c r="E454" t="s">
        <v>3</v>
      </c>
      <c r="F454" t="s">
        <v>4</v>
      </c>
      <c r="G454" t="s">
        <v>2913</v>
      </c>
      <c r="H454" t="s">
        <v>2952</v>
      </c>
      <c r="I454" t="s">
        <v>2909</v>
      </c>
      <c r="J454" t="str">
        <f>IF(ISNUMBER(MATCH($D454,'Lopettaneet 2013-&gt;'!$D:$D,0)),INDEX('Lopettaneet 2013-&gt;'!$K:$K,MATCH($D454,'Lopettaneet 2013-&gt;'!$D:$D,0)),"Continues")</f>
        <v>Merged</v>
      </c>
      <c r="K454">
        <f ca="1">IF($J454="Continues",DATEDIF($B454,TODAY(),"Y"),INDEX('Lopettaneet 2013-&gt;'!$L:$L,MATCH($D454,'Lopettaneet 2013-&gt;'!$D:$D,0)))</f>
        <v>11</v>
      </c>
      <c r="L454">
        <v>227</v>
      </c>
    </row>
    <row r="455" spans="1:12" x14ac:dyDescent="0.25">
      <c r="A455" t="s">
        <v>7</v>
      </c>
      <c r="B455" s="1">
        <v>41974</v>
      </c>
      <c r="C455" s="1">
        <v>55153</v>
      </c>
      <c r="D455" s="4" t="s">
        <v>678</v>
      </c>
      <c r="E455" t="s">
        <v>10</v>
      </c>
      <c r="F455" t="s">
        <v>11</v>
      </c>
      <c r="G455" t="s">
        <v>2912</v>
      </c>
      <c r="H455" t="s">
        <v>2962</v>
      </c>
      <c r="I455" t="s">
        <v>2895</v>
      </c>
      <c r="J455" t="str">
        <f>IF(ISNUMBER(MATCH($D455,'Lopettaneet 2013-&gt;'!$D:$D,0)),INDEX('Lopettaneet 2013-&gt;'!$K:$K,MATCH($D455,'Lopettaneet 2013-&gt;'!$D:$D,0)),"Continues")</f>
        <v>Continues</v>
      </c>
      <c r="K455">
        <f ca="1">IF($J455="Continues",DATEDIF($B455,TODAY(),"Y"),INDEX('Lopettaneet 2013-&gt;'!$L:$L,MATCH($D455,'Lopettaneet 2013-&gt;'!$D:$D,0)))</f>
        <v>10</v>
      </c>
      <c r="L455">
        <v>227</v>
      </c>
    </row>
    <row r="456" spans="1:12" x14ac:dyDescent="0.25">
      <c r="A456" t="s">
        <v>0</v>
      </c>
      <c r="B456" s="1">
        <v>40544</v>
      </c>
      <c r="C456" s="1">
        <v>41425</v>
      </c>
      <c r="D456" s="4" t="s">
        <v>2646</v>
      </c>
      <c r="E456" t="s">
        <v>10</v>
      </c>
      <c r="F456" t="s">
        <v>4</v>
      </c>
      <c r="G456" t="s">
        <v>2917</v>
      </c>
      <c r="H456" t="s">
        <v>2932</v>
      </c>
      <c r="I456" t="s">
        <v>2909</v>
      </c>
      <c r="J456" t="str">
        <f>IF(ISNUMBER(MATCH($D456,'Lopettaneet 2013-&gt;'!$D:$D,0)),INDEX('Lopettaneet 2013-&gt;'!$K:$K,MATCH($D456,'Lopettaneet 2013-&gt;'!$D:$D,0)),"Continues")</f>
        <v>Merged</v>
      </c>
      <c r="K456">
        <f ca="1">IF($J456="Continues",DATEDIF($B456,TODAY(),"Y"),INDEX('Lopettaneet 2013-&gt;'!$L:$L,MATCH($D456,'Lopettaneet 2013-&gt;'!$D:$D,0)))</f>
        <v>2</v>
      </c>
      <c r="L456">
        <v>228</v>
      </c>
    </row>
    <row r="457" spans="1:12" x14ac:dyDescent="0.25">
      <c r="A457" t="s">
        <v>7</v>
      </c>
      <c r="B457" s="1">
        <v>41974</v>
      </c>
      <c r="C457" s="1">
        <v>42551</v>
      </c>
      <c r="D457" s="4" t="s">
        <v>680</v>
      </c>
      <c r="E457" t="s">
        <v>10</v>
      </c>
      <c r="F457" t="s">
        <v>11</v>
      </c>
      <c r="G457" t="s">
        <v>2916</v>
      </c>
      <c r="H457" t="s">
        <v>2925</v>
      </c>
      <c r="I457" t="s">
        <v>2909</v>
      </c>
      <c r="J457" t="str">
        <f>IF(ISNUMBER(MATCH($D457,'Lopettaneet 2013-&gt;'!$D:$D,0)),INDEX('Lopettaneet 2013-&gt;'!$K:$K,MATCH($D457,'Lopettaneet 2013-&gt;'!$D:$D,0)),"Continues")</f>
        <v>Closed</v>
      </c>
      <c r="K457">
        <f ca="1">IF($J457="Continues",DATEDIF($B457,TODAY(),"Y"),INDEX('Lopettaneet 2013-&gt;'!$L:$L,MATCH($D457,'Lopettaneet 2013-&gt;'!$D:$D,0)))</f>
        <v>1</v>
      </c>
      <c r="L457">
        <v>228</v>
      </c>
    </row>
    <row r="458" spans="1:12" x14ac:dyDescent="0.25">
      <c r="A458" t="s">
        <v>0</v>
      </c>
      <c r="B458" s="1">
        <v>40513</v>
      </c>
      <c r="C458" s="1">
        <v>42521</v>
      </c>
      <c r="D458" s="4" t="s">
        <v>2650</v>
      </c>
      <c r="E458" t="s">
        <v>10</v>
      </c>
      <c r="F458" t="s">
        <v>4</v>
      </c>
      <c r="G458" t="s">
        <v>2913</v>
      </c>
      <c r="H458" t="s">
        <v>2959</v>
      </c>
      <c r="I458" t="s">
        <v>2909</v>
      </c>
      <c r="J458" t="str">
        <f>IF(ISNUMBER(MATCH($D458,'Lopettaneet 2013-&gt;'!$D:$D,0)),INDEX('Lopettaneet 2013-&gt;'!$K:$K,MATCH($D458,'Lopettaneet 2013-&gt;'!$D:$D,0)),"Continues")</f>
        <v>Closed</v>
      </c>
      <c r="K458">
        <f ca="1">IF($J458="Continues",DATEDIF($B458,TODAY(),"Y"),INDEX('Lopettaneet 2013-&gt;'!$L:$L,MATCH($D458,'Lopettaneet 2013-&gt;'!$D:$D,0)))</f>
        <v>5</v>
      </c>
      <c r="L458">
        <v>229</v>
      </c>
    </row>
    <row r="459" spans="1:12" x14ac:dyDescent="0.25">
      <c r="A459" t="s">
        <v>7</v>
      </c>
      <c r="B459" s="1">
        <v>41974</v>
      </c>
      <c r="C459" s="1">
        <v>42369</v>
      </c>
      <c r="D459" s="4" t="s">
        <v>682</v>
      </c>
      <c r="E459" t="s">
        <v>10</v>
      </c>
      <c r="F459" t="s">
        <v>11</v>
      </c>
      <c r="G459" t="s">
        <v>2916</v>
      </c>
      <c r="H459" t="s">
        <v>2925</v>
      </c>
      <c r="I459" t="s">
        <v>2909</v>
      </c>
      <c r="J459" t="str">
        <f>IF(ISNUMBER(MATCH($D459,'Lopettaneet 2013-&gt;'!$D:$D,0)),INDEX('Lopettaneet 2013-&gt;'!$K:$K,MATCH($D459,'Lopettaneet 2013-&gt;'!$D:$D,0)),"Continues")</f>
        <v>Closed</v>
      </c>
      <c r="K459">
        <f ca="1">IF($J459="Continues",DATEDIF($B459,TODAY(),"Y"),INDEX('Lopettaneet 2013-&gt;'!$L:$L,MATCH($D459,'Lopettaneet 2013-&gt;'!$D:$D,0)))</f>
        <v>1</v>
      </c>
      <c r="L459">
        <v>229</v>
      </c>
    </row>
    <row r="460" spans="1:12" x14ac:dyDescent="0.25">
      <c r="A460" t="s">
        <v>0</v>
      </c>
      <c r="B460" s="1">
        <v>40513</v>
      </c>
      <c r="C460" s="1">
        <v>42521</v>
      </c>
      <c r="D460" s="4" t="s">
        <v>2652</v>
      </c>
      <c r="E460" t="s">
        <v>10</v>
      </c>
      <c r="F460" t="s">
        <v>4</v>
      </c>
      <c r="G460" t="s">
        <v>2913</v>
      </c>
      <c r="H460" t="s">
        <v>2959</v>
      </c>
      <c r="I460" t="s">
        <v>2909</v>
      </c>
      <c r="J460" t="str">
        <f>IF(ISNUMBER(MATCH($D460,'Lopettaneet 2013-&gt;'!$D:$D,0)),INDEX('Lopettaneet 2013-&gt;'!$K:$K,MATCH($D460,'Lopettaneet 2013-&gt;'!$D:$D,0)),"Continues")</f>
        <v>Closed</v>
      </c>
      <c r="K460">
        <f ca="1">IF($J460="Continues",DATEDIF($B460,TODAY(),"Y"),INDEX('Lopettaneet 2013-&gt;'!$L:$L,MATCH($D460,'Lopettaneet 2013-&gt;'!$D:$D,0)))</f>
        <v>5</v>
      </c>
      <c r="L460">
        <v>230</v>
      </c>
    </row>
    <row r="461" spans="1:12" x14ac:dyDescent="0.25">
      <c r="A461" t="s">
        <v>7</v>
      </c>
      <c r="B461" s="1">
        <v>41974</v>
      </c>
      <c r="C461" s="1">
        <v>43190</v>
      </c>
      <c r="D461" s="4" t="s">
        <v>684</v>
      </c>
      <c r="E461" t="s">
        <v>10</v>
      </c>
      <c r="F461" t="s">
        <v>11</v>
      </c>
      <c r="G461" t="s">
        <v>2916</v>
      </c>
      <c r="H461" t="s">
        <v>2909</v>
      </c>
      <c r="I461" t="s">
        <v>2909</v>
      </c>
      <c r="J461" t="str">
        <f>IF(ISNUMBER(MATCH($D461,'Lopettaneet 2013-&gt;'!$D:$D,0)),INDEX('Lopettaneet 2013-&gt;'!$K:$K,MATCH($D461,'Lopettaneet 2013-&gt;'!$D:$D,0)),"Continues")</f>
        <v>Closed</v>
      </c>
      <c r="K461">
        <f ca="1">IF($J461="Continues",DATEDIF($B461,TODAY(),"Y"),INDEX('Lopettaneet 2013-&gt;'!$L:$L,MATCH($D461,'Lopettaneet 2013-&gt;'!$D:$D,0)))</f>
        <v>3</v>
      </c>
      <c r="L461">
        <v>230</v>
      </c>
    </row>
    <row r="462" spans="1:12" x14ac:dyDescent="0.25">
      <c r="A462" t="s">
        <v>0</v>
      </c>
      <c r="B462" s="1">
        <v>40513</v>
      </c>
      <c r="C462" s="1">
        <v>41394</v>
      </c>
      <c r="D462" s="4" t="s">
        <v>2654</v>
      </c>
      <c r="E462" t="s">
        <v>3</v>
      </c>
      <c r="F462" t="s">
        <v>4</v>
      </c>
      <c r="G462" t="s">
        <v>2917</v>
      </c>
      <c r="H462" t="s">
        <v>2944</v>
      </c>
      <c r="I462" t="s">
        <v>2909</v>
      </c>
      <c r="J462" t="str">
        <f>IF(ISNUMBER(MATCH($D462,'Lopettaneet 2013-&gt;'!$D:$D,0)),INDEX('Lopettaneet 2013-&gt;'!$K:$K,MATCH($D462,'Lopettaneet 2013-&gt;'!$D:$D,0)),"Continues")</f>
        <v>Merged</v>
      </c>
      <c r="K462">
        <f ca="1">IF($J462="Continues",DATEDIF($B462,TODAY(),"Y"),INDEX('Lopettaneet 2013-&gt;'!$L:$L,MATCH($D462,'Lopettaneet 2013-&gt;'!$D:$D,0)))</f>
        <v>2</v>
      </c>
      <c r="L462">
        <v>231</v>
      </c>
    </row>
    <row r="463" spans="1:12" x14ac:dyDescent="0.25">
      <c r="A463" t="s">
        <v>7</v>
      </c>
      <c r="B463" s="1">
        <v>41974</v>
      </c>
      <c r="C463" s="1">
        <v>55153</v>
      </c>
      <c r="D463" s="4" t="s">
        <v>686</v>
      </c>
      <c r="E463" t="s">
        <v>10</v>
      </c>
      <c r="F463" t="s">
        <v>11</v>
      </c>
      <c r="G463" t="s">
        <v>2912</v>
      </c>
      <c r="H463" t="s">
        <v>2965</v>
      </c>
      <c r="I463" t="s">
        <v>2895</v>
      </c>
      <c r="J463" t="str">
        <f>IF(ISNUMBER(MATCH($D463,'Lopettaneet 2013-&gt;'!$D:$D,0)),INDEX('Lopettaneet 2013-&gt;'!$K:$K,MATCH($D463,'Lopettaneet 2013-&gt;'!$D:$D,0)),"Continues")</f>
        <v>Continues</v>
      </c>
      <c r="K463">
        <f ca="1">IF($J463="Continues",DATEDIF($B463,TODAY(),"Y"),INDEX('Lopettaneet 2013-&gt;'!$L:$L,MATCH($D463,'Lopettaneet 2013-&gt;'!$D:$D,0)))</f>
        <v>10</v>
      </c>
      <c r="L463">
        <v>231</v>
      </c>
    </row>
    <row r="464" spans="1:12" x14ac:dyDescent="0.25">
      <c r="A464" t="s">
        <v>0</v>
      </c>
      <c r="B464" s="1">
        <v>40544</v>
      </c>
      <c r="C464" s="1">
        <v>43921</v>
      </c>
      <c r="D464" s="4" t="s">
        <v>2656</v>
      </c>
      <c r="E464" t="s">
        <v>3</v>
      </c>
      <c r="F464" t="s">
        <v>4</v>
      </c>
      <c r="G464" t="s">
        <v>2917</v>
      </c>
      <c r="H464" t="s">
        <v>2966</v>
      </c>
      <c r="I464" t="s">
        <v>2909</v>
      </c>
      <c r="J464" t="str">
        <f>IF(ISNUMBER(MATCH($D464,'Lopettaneet 2013-&gt;'!$D:$D,0)),INDEX('Lopettaneet 2013-&gt;'!$K:$K,MATCH($D464,'Lopettaneet 2013-&gt;'!$D:$D,0)),"Continues")</f>
        <v>Merged</v>
      </c>
      <c r="K464">
        <f ca="1">IF($J464="Continues",DATEDIF($B464,TODAY(),"Y"),INDEX('Lopettaneet 2013-&gt;'!$L:$L,MATCH($D464,'Lopettaneet 2013-&gt;'!$D:$D,0)))</f>
        <v>9</v>
      </c>
      <c r="L464">
        <v>232</v>
      </c>
    </row>
    <row r="465" spans="1:12" x14ac:dyDescent="0.25">
      <c r="A465" t="s">
        <v>7</v>
      </c>
      <c r="B465" s="1">
        <v>41974</v>
      </c>
      <c r="C465" s="1">
        <v>55153</v>
      </c>
      <c r="D465" s="4" t="s">
        <v>688</v>
      </c>
      <c r="E465" t="s">
        <v>10</v>
      </c>
      <c r="F465" t="s">
        <v>11</v>
      </c>
      <c r="G465" t="s">
        <v>2914</v>
      </c>
      <c r="H465" t="s">
        <v>2980</v>
      </c>
      <c r="I465" t="s">
        <v>2895</v>
      </c>
      <c r="J465" t="str">
        <f>IF(ISNUMBER(MATCH($D465,'Lopettaneet 2013-&gt;'!$D:$D,0)),INDEX('Lopettaneet 2013-&gt;'!$K:$K,MATCH($D465,'Lopettaneet 2013-&gt;'!$D:$D,0)),"Continues")</f>
        <v>Continues</v>
      </c>
      <c r="K465">
        <f ca="1">IF($J465="Continues",DATEDIF($B465,TODAY(),"Y"),INDEX('Lopettaneet 2013-&gt;'!$L:$L,MATCH($D465,'Lopettaneet 2013-&gt;'!$D:$D,0)))</f>
        <v>10</v>
      </c>
      <c r="L465">
        <v>232</v>
      </c>
    </row>
    <row r="466" spans="1:12" x14ac:dyDescent="0.25">
      <c r="A466" t="s">
        <v>0</v>
      </c>
      <c r="B466" s="1">
        <v>40634</v>
      </c>
      <c r="C466" s="1">
        <v>41912</v>
      </c>
      <c r="D466" s="4" t="s">
        <v>2658</v>
      </c>
      <c r="E466" t="s">
        <v>10</v>
      </c>
      <c r="F466" t="s">
        <v>4</v>
      </c>
      <c r="G466" t="s">
        <v>2917</v>
      </c>
      <c r="H466" t="s">
        <v>2952</v>
      </c>
      <c r="I466" t="s">
        <v>2909</v>
      </c>
      <c r="J466" t="str">
        <f>IF(ISNUMBER(MATCH($D466,'Lopettaneet 2013-&gt;'!$D:$D,0)),INDEX('Lopettaneet 2013-&gt;'!$K:$K,MATCH($D466,'Lopettaneet 2013-&gt;'!$D:$D,0)),"Continues")</f>
        <v>Merged</v>
      </c>
      <c r="K466">
        <f ca="1">IF($J466="Continues",DATEDIF($B466,TODAY(),"Y"),INDEX('Lopettaneet 2013-&gt;'!$L:$L,MATCH($D466,'Lopettaneet 2013-&gt;'!$D:$D,0)))</f>
        <v>3</v>
      </c>
      <c r="L466">
        <v>233</v>
      </c>
    </row>
    <row r="467" spans="1:12" x14ac:dyDescent="0.25">
      <c r="A467" t="s">
        <v>7</v>
      </c>
      <c r="B467" s="1">
        <v>41974</v>
      </c>
      <c r="C467" s="1">
        <v>44561</v>
      </c>
      <c r="D467" s="4" t="s">
        <v>690</v>
      </c>
      <c r="E467" t="s">
        <v>10</v>
      </c>
      <c r="F467" t="s">
        <v>11</v>
      </c>
      <c r="G467" t="s">
        <v>2918</v>
      </c>
      <c r="H467" t="s">
        <v>2980</v>
      </c>
      <c r="I467" t="s">
        <v>2909</v>
      </c>
      <c r="J467" t="str">
        <f>IF(ISNUMBER(MATCH($D467,'Lopettaneet 2013-&gt;'!$D:$D,0)),INDEX('Lopettaneet 2013-&gt;'!$K:$K,MATCH($D467,'Lopettaneet 2013-&gt;'!$D:$D,0)),"Continues")</f>
        <v>Closed</v>
      </c>
      <c r="K467">
        <f ca="1">IF($J467="Continues",DATEDIF($B467,TODAY(),"Y"),INDEX('Lopettaneet 2013-&gt;'!$L:$L,MATCH($D467,'Lopettaneet 2013-&gt;'!$D:$D,0)))</f>
        <v>7</v>
      </c>
      <c r="L467">
        <v>233</v>
      </c>
    </row>
    <row r="468" spans="1:12" x14ac:dyDescent="0.25">
      <c r="A468" t="s">
        <v>0</v>
      </c>
      <c r="B468" s="1">
        <v>40634</v>
      </c>
      <c r="C468" s="1">
        <v>43220</v>
      </c>
      <c r="D468" s="4" t="s">
        <v>2660</v>
      </c>
      <c r="E468" t="s">
        <v>10</v>
      </c>
      <c r="F468" t="s">
        <v>4</v>
      </c>
      <c r="G468" t="s">
        <v>2917</v>
      </c>
      <c r="H468" t="s">
        <v>2952</v>
      </c>
      <c r="I468" t="s">
        <v>2909</v>
      </c>
      <c r="J468" t="str">
        <f>IF(ISNUMBER(MATCH($D468,'Lopettaneet 2013-&gt;'!$D:$D,0)),INDEX('Lopettaneet 2013-&gt;'!$K:$K,MATCH($D468,'Lopettaneet 2013-&gt;'!$D:$D,0)),"Continues")</f>
        <v>Merged</v>
      </c>
      <c r="K468">
        <f ca="1">IF($J468="Continues",DATEDIF($B468,TODAY(),"Y"),INDEX('Lopettaneet 2013-&gt;'!$L:$L,MATCH($D468,'Lopettaneet 2013-&gt;'!$D:$D,0)))</f>
        <v>7</v>
      </c>
      <c r="L468">
        <v>234</v>
      </c>
    </row>
    <row r="469" spans="1:12" x14ac:dyDescent="0.25">
      <c r="A469" t="s">
        <v>7</v>
      </c>
      <c r="B469" s="1">
        <v>41974</v>
      </c>
      <c r="C469" s="1">
        <v>55153</v>
      </c>
      <c r="D469" s="4" t="s">
        <v>692</v>
      </c>
      <c r="E469" t="s">
        <v>10</v>
      </c>
      <c r="F469" t="s">
        <v>11</v>
      </c>
      <c r="G469" t="s">
        <v>2918</v>
      </c>
      <c r="H469" t="s">
        <v>2980</v>
      </c>
      <c r="I469" t="s">
        <v>2894</v>
      </c>
      <c r="J469" t="str">
        <f>IF(ISNUMBER(MATCH($D469,'Lopettaneet 2013-&gt;'!$D:$D,0)),INDEX('Lopettaneet 2013-&gt;'!$K:$K,MATCH($D469,'Lopettaneet 2013-&gt;'!$D:$D,0)),"Continues")</f>
        <v>Continues</v>
      </c>
      <c r="K469">
        <f ca="1">IF($J469="Continues",DATEDIF($B469,TODAY(),"Y"),INDEX('Lopettaneet 2013-&gt;'!$L:$L,MATCH($D469,'Lopettaneet 2013-&gt;'!$D:$D,0)))</f>
        <v>10</v>
      </c>
      <c r="L469">
        <v>234</v>
      </c>
    </row>
    <row r="470" spans="1:12" x14ac:dyDescent="0.25">
      <c r="A470" t="s">
        <v>0</v>
      </c>
      <c r="B470" s="1">
        <v>40634</v>
      </c>
      <c r="C470" s="1">
        <v>41425</v>
      </c>
      <c r="D470" s="4" t="s">
        <v>2662</v>
      </c>
      <c r="E470" t="s">
        <v>10</v>
      </c>
      <c r="F470" t="s">
        <v>4</v>
      </c>
      <c r="G470" t="s">
        <v>2917</v>
      </c>
      <c r="H470" t="s">
        <v>2952</v>
      </c>
      <c r="I470" t="s">
        <v>2909</v>
      </c>
      <c r="J470" t="str">
        <f>IF(ISNUMBER(MATCH($D470,'Lopettaneet 2013-&gt;'!$D:$D,0)),INDEX('Lopettaneet 2013-&gt;'!$K:$K,MATCH($D470,'Lopettaneet 2013-&gt;'!$D:$D,0)),"Continues")</f>
        <v>Merged</v>
      </c>
      <c r="K470">
        <f ca="1">IF($J470="Continues",DATEDIF($B470,TODAY(),"Y"),INDEX('Lopettaneet 2013-&gt;'!$L:$L,MATCH($D470,'Lopettaneet 2013-&gt;'!$D:$D,0)))</f>
        <v>2</v>
      </c>
      <c r="L470">
        <v>235</v>
      </c>
    </row>
    <row r="471" spans="1:12" x14ac:dyDescent="0.25">
      <c r="A471" t="s">
        <v>7</v>
      </c>
      <c r="B471" s="1">
        <v>41974</v>
      </c>
      <c r="C471" s="1">
        <v>44561</v>
      </c>
      <c r="D471" s="4" t="s">
        <v>694</v>
      </c>
      <c r="E471" t="s">
        <v>10</v>
      </c>
      <c r="F471" t="s">
        <v>11</v>
      </c>
      <c r="G471" t="s">
        <v>2914</v>
      </c>
      <c r="H471" t="s">
        <v>2980</v>
      </c>
      <c r="I471" t="s">
        <v>2909</v>
      </c>
      <c r="J471" t="str">
        <f>IF(ISNUMBER(MATCH($D471,'Lopettaneet 2013-&gt;'!$D:$D,0)),INDEX('Lopettaneet 2013-&gt;'!$K:$K,MATCH($D471,'Lopettaneet 2013-&gt;'!$D:$D,0)),"Continues")</f>
        <v>Closed</v>
      </c>
      <c r="K471">
        <f ca="1">IF($J471="Continues",DATEDIF($B471,TODAY(),"Y"),INDEX('Lopettaneet 2013-&gt;'!$L:$L,MATCH($D471,'Lopettaneet 2013-&gt;'!$D:$D,0)))</f>
        <v>7</v>
      </c>
      <c r="L471">
        <v>235</v>
      </c>
    </row>
    <row r="472" spans="1:12" x14ac:dyDescent="0.25">
      <c r="A472" t="s">
        <v>0</v>
      </c>
      <c r="B472" s="1">
        <v>40603</v>
      </c>
      <c r="C472" s="1">
        <v>43496</v>
      </c>
      <c r="D472" s="4" t="s">
        <v>2342</v>
      </c>
      <c r="E472" t="s">
        <v>3</v>
      </c>
      <c r="F472" t="s">
        <v>4</v>
      </c>
      <c r="G472" t="s">
        <v>2917</v>
      </c>
      <c r="H472" t="s">
        <v>2975</v>
      </c>
      <c r="I472" t="s">
        <v>2909</v>
      </c>
      <c r="J472" t="str">
        <f>IF(ISNUMBER(MATCH($D472,'Lopettaneet 2013-&gt;'!$D:$D,0)),INDEX('Lopettaneet 2013-&gt;'!$K:$K,MATCH($D472,'Lopettaneet 2013-&gt;'!$D:$D,0)),"Continues")</f>
        <v>Merged</v>
      </c>
      <c r="K472">
        <f ca="1">IF($J472="Continues",DATEDIF($B472,TODAY(),"Y"),INDEX('Lopettaneet 2013-&gt;'!$L:$L,MATCH($D472,'Lopettaneet 2013-&gt;'!$D:$D,0)))</f>
        <v>7</v>
      </c>
      <c r="L472">
        <v>236</v>
      </c>
    </row>
    <row r="473" spans="1:12" x14ac:dyDescent="0.25">
      <c r="A473" t="s">
        <v>7</v>
      </c>
      <c r="B473" s="1">
        <v>41974</v>
      </c>
      <c r="C473" s="1">
        <v>44561</v>
      </c>
      <c r="D473" s="4" t="s">
        <v>696</v>
      </c>
      <c r="E473" t="s">
        <v>10</v>
      </c>
      <c r="F473" t="s">
        <v>11</v>
      </c>
      <c r="G473" t="s">
        <v>2918</v>
      </c>
      <c r="H473" t="s">
        <v>2980</v>
      </c>
      <c r="I473" t="s">
        <v>2909</v>
      </c>
      <c r="J473" t="str">
        <f>IF(ISNUMBER(MATCH($D473,'Lopettaneet 2013-&gt;'!$D:$D,0)),INDEX('Lopettaneet 2013-&gt;'!$K:$K,MATCH($D473,'Lopettaneet 2013-&gt;'!$D:$D,0)),"Continues")</f>
        <v>Closed</v>
      </c>
      <c r="K473">
        <f ca="1">IF($J473="Continues",DATEDIF($B473,TODAY(),"Y"),INDEX('Lopettaneet 2013-&gt;'!$L:$L,MATCH($D473,'Lopettaneet 2013-&gt;'!$D:$D,0)))</f>
        <v>7</v>
      </c>
      <c r="L473">
        <v>236</v>
      </c>
    </row>
    <row r="474" spans="1:12" x14ac:dyDescent="0.25">
      <c r="A474" t="s">
        <v>0</v>
      </c>
      <c r="B474" s="1">
        <v>40664</v>
      </c>
      <c r="C474" s="1">
        <v>42766</v>
      </c>
      <c r="D474" s="4" t="s">
        <v>2664</v>
      </c>
      <c r="E474" t="s">
        <v>3</v>
      </c>
      <c r="F474" t="s">
        <v>4</v>
      </c>
      <c r="G474" t="s">
        <v>2917</v>
      </c>
      <c r="H474" t="s">
        <v>2980</v>
      </c>
      <c r="I474" t="s">
        <v>2909</v>
      </c>
      <c r="J474" t="str">
        <f>IF(ISNUMBER(MATCH($D474,'Lopettaneet 2013-&gt;'!$D:$D,0)),INDEX('Lopettaneet 2013-&gt;'!$K:$K,MATCH($D474,'Lopettaneet 2013-&gt;'!$D:$D,0)),"Continues")</f>
        <v>Merged</v>
      </c>
      <c r="K474">
        <f ca="1">IF($J474="Continues",DATEDIF($B474,TODAY(),"Y"),INDEX('Lopettaneet 2013-&gt;'!$L:$L,MATCH($D474,'Lopettaneet 2013-&gt;'!$D:$D,0)))</f>
        <v>5</v>
      </c>
      <c r="L474">
        <v>237</v>
      </c>
    </row>
    <row r="475" spans="1:12" x14ac:dyDescent="0.25">
      <c r="A475" t="s">
        <v>7</v>
      </c>
      <c r="B475" s="1">
        <v>41974</v>
      </c>
      <c r="C475" s="1">
        <v>43890</v>
      </c>
      <c r="D475" s="4" t="s">
        <v>698</v>
      </c>
      <c r="E475" t="s">
        <v>10</v>
      </c>
      <c r="F475" t="s">
        <v>11</v>
      </c>
      <c r="G475" t="s">
        <v>2916</v>
      </c>
      <c r="H475" t="s">
        <v>2980</v>
      </c>
      <c r="I475" t="s">
        <v>2909</v>
      </c>
      <c r="J475" t="str">
        <f>IF(ISNUMBER(MATCH($D475,'Lopettaneet 2013-&gt;'!$D:$D,0)),INDEX('Lopettaneet 2013-&gt;'!$K:$K,MATCH($D475,'Lopettaneet 2013-&gt;'!$D:$D,0)),"Continues")</f>
        <v>Closed</v>
      </c>
      <c r="K475">
        <f ca="1">IF($J475="Continues",DATEDIF($B475,TODAY(),"Y"),INDEX('Lopettaneet 2013-&gt;'!$L:$L,MATCH($D475,'Lopettaneet 2013-&gt;'!$D:$D,0)))</f>
        <v>5</v>
      </c>
      <c r="L475">
        <v>237</v>
      </c>
    </row>
    <row r="476" spans="1:12" x14ac:dyDescent="0.25">
      <c r="A476" t="s">
        <v>0</v>
      </c>
      <c r="B476" s="1">
        <v>40634</v>
      </c>
      <c r="C476" s="1">
        <v>40908</v>
      </c>
      <c r="D476" s="4" t="s">
        <v>2666</v>
      </c>
      <c r="E476" t="s">
        <v>3</v>
      </c>
      <c r="F476" t="s">
        <v>4</v>
      </c>
      <c r="G476" t="s">
        <v>2913</v>
      </c>
      <c r="H476" t="s">
        <v>2958</v>
      </c>
      <c r="I476" t="s">
        <v>2909</v>
      </c>
      <c r="J476" t="str">
        <f>IF(ISNUMBER(MATCH($D476,'Lopettaneet 2013-&gt;'!$D:$D,0)),INDEX('Lopettaneet 2013-&gt;'!$K:$K,MATCH($D476,'Lopettaneet 2013-&gt;'!$D:$D,0)),"Continues")</f>
        <v>Merged</v>
      </c>
      <c r="K476">
        <f ca="1">IF($J476="Continues",DATEDIF($B476,TODAY(),"Y"),INDEX('Lopettaneet 2013-&gt;'!$L:$L,MATCH($D476,'Lopettaneet 2013-&gt;'!$D:$D,0)))</f>
        <v>0</v>
      </c>
      <c r="L476">
        <v>238</v>
      </c>
    </row>
    <row r="477" spans="1:12" x14ac:dyDescent="0.25">
      <c r="A477" t="s">
        <v>7</v>
      </c>
      <c r="B477" s="1">
        <v>41974</v>
      </c>
      <c r="C477" s="1">
        <v>55153</v>
      </c>
      <c r="D477" s="4" t="s">
        <v>700</v>
      </c>
      <c r="E477" t="s">
        <v>10</v>
      </c>
      <c r="F477" t="s">
        <v>11</v>
      </c>
      <c r="G477" t="s">
        <v>2914</v>
      </c>
      <c r="H477" t="s">
        <v>2980</v>
      </c>
      <c r="I477" t="s">
        <v>2895</v>
      </c>
      <c r="J477" t="str">
        <f>IF(ISNUMBER(MATCH($D477,'Lopettaneet 2013-&gt;'!$D:$D,0)),INDEX('Lopettaneet 2013-&gt;'!$K:$K,MATCH($D477,'Lopettaneet 2013-&gt;'!$D:$D,0)),"Continues")</f>
        <v>Continues</v>
      </c>
      <c r="K477">
        <f ca="1">IF($J477="Continues",DATEDIF($B477,TODAY(),"Y"),INDEX('Lopettaneet 2013-&gt;'!$L:$L,MATCH($D477,'Lopettaneet 2013-&gt;'!$D:$D,0)))</f>
        <v>10</v>
      </c>
      <c r="L477">
        <v>238</v>
      </c>
    </row>
    <row r="478" spans="1:12" x14ac:dyDescent="0.25">
      <c r="A478" t="s">
        <v>0</v>
      </c>
      <c r="B478" s="1">
        <v>40909</v>
      </c>
      <c r="C478" s="1">
        <v>42094</v>
      </c>
      <c r="D478" s="4" t="s">
        <v>2666</v>
      </c>
      <c r="E478" t="s">
        <v>3</v>
      </c>
      <c r="F478" t="s">
        <v>4</v>
      </c>
      <c r="G478" t="s">
        <v>2913</v>
      </c>
      <c r="H478" t="s">
        <v>2958</v>
      </c>
      <c r="I478" t="s">
        <v>2909</v>
      </c>
      <c r="J478" t="str">
        <f>IF(ISNUMBER(MATCH($D478,'Lopettaneet 2013-&gt;'!$D:$D,0)),INDEX('Lopettaneet 2013-&gt;'!$K:$K,MATCH($D478,'Lopettaneet 2013-&gt;'!$D:$D,0)),"Continues")</f>
        <v>Merged</v>
      </c>
      <c r="K478">
        <f ca="1">IF($J478="Continues",DATEDIF($B478,TODAY(),"Y"),INDEX('Lopettaneet 2013-&gt;'!$L:$L,MATCH($D478,'Lopettaneet 2013-&gt;'!$D:$D,0)))</f>
        <v>0</v>
      </c>
      <c r="L478">
        <v>239</v>
      </c>
    </row>
    <row r="479" spans="1:12" x14ac:dyDescent="0.25">
      <c r="A479" t="s">
        <v>7</v>
      </c>
      <c r="B479" s="1">
        <v>41974</v>
      </c>
      <c r="C479" s="1">
        <v>43100</v>
      </c>
      <c r="D479" s="4" t="s">
        <v>702</v>
      </c>
      <c r="E479" t="s">
        <v>10</v>
      </c>
      <c r="F479" t="s">
        <v>11</v>
      </c>
      <c r="G479" t="s">
        <v>2918</v>
      </c>
      <c r="H479" t="s">
        <v>2980</v>
      </c>
      <c r="I479" t="s">
        <v>2909</v>
      </c>
      <c r="J479" t="str">
        <f>IF(ISNUMBER(MATCH($D479,'Lopettaneet 2013-&gt;'!$D:$D,0)),INDEX('Lopettaneet 2013-&gt;'!$K:$K,MATCH($D479,'Lopettaneet 2013-&gt;'!$D:$D,0)),"Continues")</f>
        <v>Closed</v>
      </c>
      <c r="K479">
        <f ca="1">IF($J479="Continues",DATEDIF($B479,TODAY(),"Y"),INDEX('Lopettaneet 2013-&gt;'!$L:$L,MATCH($D479,'Lopettaneet 2013-&gt;'!$D:$D,0)))</f>
        <v>3</v>
      </c>
      <c r="L479">
        <v>239</v>
      </c>
    </row>
    <row r="480" spans="1:12" x14ac:dyDescent="0.25">
      <c r="A480" t="s">
        <v>0</v>
      </c>
      <c r="B480" s="1">
        <v>40787</v>
      </c>
      <c r="C480" s="1">
        <v>42247</v>
      </c>
      <c r="D480" s="4" t="s">
        <v>2668</v>
      </c>
      <c r="E480" t="s">
        <v>3</v>
      </c>
      <c r="F480" t="s">
        <v>4</v>
      </c>
      <c r="G480" t="s">
        <v>2917</v>
      </c>
      <c r="H480" t="s">
        <v>2980</v>
      </c>
      <c r="I480" t="s">
        <v>2909</v>
      </c>
      <c r="J480" t="str">
        <f>IF(ISNUMBER(MATCH($D480,'Lopettaneet 2013-&gt;'!$D:$D,0)),INDEX('Lopettaneet 2013-&gt;'!$K:$K,MATCH($D480,'Lopettaneet 2013-&gt;'!$D:$D,0)),"Continues")</f>
        <v>Closed</v>
      </c>
      <c r="K480">
        <f ca="1">IF($J480="Continues",DATEDIF($B480,TODAY(),"Y"),INDEX('Lopettaneet 2013-&gt;'!$L:$L,MATCH($D480,'Lopettaneet 2013-&gt;'!$D:$D,0)))</f>
        <v>3</v>
      </c>
      <c r="L480">
        <v>240</v>
      </c>
    </row>
    <row r="481" spans="1:12" x14ac:dyDescent="0.25">
      <c r="A481" t="s">
        <v>7</v>
      </c>
      <c r="B481" s="1">
        <v>41974</v>
      </c>
      <c r="C481" s="1">
        <v>55153</v>
      </c>
      <c r="D481" s="4" t="s">
        <v>704</v>
      </c>
      <c r="E481" t="s">
        <v>10</v>
      </c>
      <c r="F481" t="s">
        <v>11</v>
      </c>
      <c r="G481" t="s">
        <v>2914</v>
      </c>
      <c r="H481" t="s">
        <v>2980</v>
      </c>
      <c r="I481" t="s">
        <v>2895</v>
      </c>
      <c r="J481" t="str">
        <f>IF(ISNUMBER(MATCH($D481,'Lopettaneet 2013-&gt;'!$D:$D,0)),INDEX('Lopettaneet 2013-&gt;'!$K:$K,MATCH($D481,'Lopettaneet 2013-&gt;'!$D:$D,0)),"Continues")</f>
        <v>Continues</v>
      </c>
      <c r="K481">
        <f ca="1">IF($J481="Continues",DATEDIF($B481,TODAY(),"Y"),INDEX('Lopettaneet 2013-&gt;'!$L:$L,MATCH($D481,'Lopettaneet 2013-&gt;'!$D:$D,0)))</f>
        <v>10</v>
      </c>
      <c r="L481">
        <v>240</v>
      </c>
    </row>
    <row r="482" spans="1:12" x14ac:dyDescent="0.25">
      <c r="A482" t="s">
        <v>0</v>
      </c>
      <c r="B482" s="1">
        <v>40634</v>
      </c>
      <c r="C482" s="1">
        <v>41790</v>
      </c>
      <c r="D482" s="4" t="s">
        <v>2670</v>
      </c>
      <c r="E482" t="s">
        <v>10</v>
      </c>
      <c r="F482" t="s">
        <v>4</v>
      </c>
      <c r="G482" t="s">
        <v>2915</v>
      </c>
      <c r="H482" t="s">
        <v>2933</v>
      </c>
      <c r="I482" t="s">
        <v>2909</v>
      </c>
      <c r="J482" t="str">
        <f>IF(ISNUMBER(MATCH($D482,'Lopettaneet 2013-&gt;'!$D:$D,0)),INDEX('Lopettaneet 2013-&gt;'!$K:$K,MATCH($D482,'Lopettaneet 2013-&gt;'!$D:$D,0)),"Continues")</f>
        <v>Merged</v>
      </c>
      <c r="K482">
        <f ca="1">IF($J482="Continues",DATEDIF($B482,TODAY(),"Y"),INDEX('Lopettaneet 2013-&gt;'!$L:$L,MATCH($D482,'Lopettaneet 2013-&gt;'!$D:$D,0)))</f>
        <v>3</v>
      </c>
      <c r="L482">
        <v>241</v>
      </c>
    </row>
    <row r="483" spans="1:12" x14ac:dyDescent="0.25">
      <c r="A483" t="s">
        <v>7</v>
      </c>
      <c r="B483" s="1">
        <v>41974</v>
      </c>
      <c r="C483" s="1">
        <v>44834</v>
      </c>
      <c r="D483" s="4" t="s">
        <v>706</v>
      </c>
      <c r="E483" t="s">
        <v>10</v>
      </c>
      <c r="F483" t="s">
        <v>11</v>
      </c>
      <c r="G483" t="s">
        <v>2914</v>
      </c>
      <c r="H483" t="s">
        <v>2980</v>
      </c>
      <c r="I483" t="s">
        <v>2909</v>
      </c>
      <c r="J483" t="str">
        <f>IF(ISNUMBER(MATCH($D483,'Lopettaneet 2013-&gt;'!$D:$D,0)),INDEX('Lopettaneet 2013-&gt;'!$K:$K,MATCH($D483,'Lopettaneet 2013-&gt;'!$D:$D,0)),"Continues")</f>
        <v>Closed</v>
      </c>
      <c r="K483">
        <f ca="1">IF($J483="Continues",DATEDIF($B483,TODAY(),"Y"),INDEX('Lopettaneet 2013-&gt;'!$L:$L,MATCH($D483,'Lopettaneet 2013-&gt;'!$D:$D,0)))</f>
        <v>7</v>
      </c>
      <c r="L483">
        <v>241</v>
      </c>
    </row>
    <row r="484" spans="1:12" x14ac:dyDescent="0.25">
      <c r="A484" t="s">
        <v>0</v>
      </c>
      <c r="B484" s="1">
        <v>40878</v>
      </c>
      <c r="C484" s="1">
        <v>42124</v>
      </c>
      <c r="D484" s="4" t="s">
        <v>2672</v>
      </c>
      <c r="E484" t="s">
        <v>10</v>
      </c>
      <c r="F484" t="s">
        <v>4</v>
      </c>
      <c r="G484" t="s">
        <v>2919</v>
      </c>
      <c r="H484" t="s">
        <v>2933</v>
      </c>
      <c r="I484" t="s">
        <v>2909</v>
      </c>
      <c r="J484" t="str">
        <f>IF(ISNUMBER(MATCH($D484,'Lopettaneet 2013-&gt;'!$D:$D,0)),INDEX('Lopettaneet 2013-&gt;'!$K:$K,MATCH($D484,'Lopettaneet 2013-&gt;'!$D:$D,0)),"Continues")</f>
        <v>Merged</v>
      </c>
      <c r="K484">
        <f ca="1">IF($J484="Continues",DATEDIF($B484,TODAY(),"Y"),INDEX('Lopettaneet 2013-&gt;'!$L:$L,MATCH($D484,'Lopettaneet 2013-&gt;'!$D:$D,0)))</f>
        <v>3</v>
      </c>
      <c r="L484">
        <v>242</v>
      </c>
    </row>
    <row r="485" spans="1:12" x14ac:dyDescent="0.25">
      <c r="A485" t="s">
        <v>7</v>
      </c>
      <c r="B485" s="1">
        <v>41974</v>
      </c>
      <c r="C485" s="1">
        <v>55153</v>
      </c>
      <c r="D485" s="4" t="s">
        <v>708</v>
      </c>
      <c r="E485" t="s">
        <v>10</v>
      </c>
      <c r="F485" t="s">
        <v>11</v>
      </c>
      <c r="G485" t="s">
        <v>2918</v>
      </c>
      <c r="H485" t="s">
        <v>2980</v>
      </c>
      <c r="I485" t="s">
        <v>2895</v>
      </c>
      <c r="J485" t="str">
        <f>IF(ISNUMBER(MATCH($D485,'Lopettaneet 2013-&gt;'!$D:$D,0)),INDEX('Lopettaneet 2013-&gt;'!$K:$K,MATCH($D485,'Lopettaneet 2013-&gt;'!$D:$D,0)),"Continues")</f>
        <v>Continues</v>
      </c>
      <c r="K485">
        <f ca="1">IF($J485="Continues",DATEDIF($B485,TODAY(),"Y"),INDEX('Lopettaneet 2013-&gt;'!$L:$L,MATCH($D485,'Lopettaneet 2013-&gt;'!$D:$D,0)))</f>
        <v>10</v>
      </c>
      <c r="L485">
        <v>242</v>
      </c>
    </row>
    <row r="486" spans="1:12" x14ac:dyDescent="0.25">
      <c r="A486" t="s">
        <v>0</v>
      </c>
      <c r="B486" s="1">
        <v>40756</v>
      </c>
      <c r="C486" s="1">
        <v>43159</v>
      </c>
      <c r="D486" s="4" t="s">
        <v>2674</v>
      </c>
      <c r="E486" t="s">
        <v>3</v>
      </c>
      <c r="F486" t="s">
        <v>4</v>
      </c>
      <c r="G486" t="s">
        <v>2917</v>
      </c>
      <c r="H486" t="s">
        <v>2929</v>
      </c>
      <c r="I486" t="s">
        <v>2909</v>
      </c>
      <c r="J486" t="str">
        <f>IF(ISNUMBER(MATCH($D486,'Lopettaneet 2013-&gt;'!$D:$D,0)),INDEX('Lopettaneet 2013-&gt;'!$K:$K,MATCH($D486,'Lopettaneet 2013-&gt;'!$D:$D,0)),"Continues")</f>
        <v>Closed</v>
      </c>
      <c r="K486">
        <f ca="1">IF($J486="Continues",DATEDIF($B486,TODAY(),"Y"),INDEX('Lopettaneet 2013-&gt;'!$L:$L,MATCH($D486,'Lopettaneet 2013-&gt;'!$D:$D,0)))</f>
        <v>6</v>
      </c>
      <c r="L486">
        <v>243</v>
      </c>
    </row>
    <row r="487" spans="1:12" x14ac:dyDescent="0.25">
      <c r="A487" t="s">
        <v>7</v>
      </c>
      <c r="B487" s="1">
        <v>41974</v>
      </c>
      <c r="C487" s="1">
        <v>44469</v>
      </c>
      <c r="D487" s="4" t="s">
        <v>710</v>
      </c>
      <c r="E487" t="s">
        <v>10</v>
      </c>
      <c r="F487" t="s">
        <v>11</v>
      </c>
      <c r="G487" t="s">
        <v>2914</v>
      </c>
      <c r="H487" t="s">
        <v>2980</v>
      </c>
      <c r="I487" t="s">
        <v>2909</v>
      </c>
      <c r="J487" t="str">
        <f>IF(ISNUMBER(MATCH($D487,'Lopettaneet 2013-&gt;'!$D:$D,0)),INDEX('Lopettaneet 2013-&gt;'!$K:$K,MATCH($D487,'Lopettaneet 2013-&gt;'!$D:$D,0)),"Continues")</f>
        <v>Closed</v>
      </c>
      <c r="K487">
        <f ca="1">IF($J487="Continues",DATEDIF($B487,TODAY(),"Y"),INDEX('Lopettaneet 2013-&gt;'!$L:$L,MATCH($D487,'Lopettaneet 2013-&gt;'!$D:$D,0)))</f>
        <v>6</v>
      </c>
      <c r="L487">
        <v>243</v>
      </c>
    </row>
    <row r="488" spans="1:12" x14ac:dyDescent="0.25">
      <c r="A488" t="s">
        <v>0</v>
      </c>
      <c r="B488" s="1">
        <v>40756</v>
      </c>
      <c r="C488" s="1">
        <v>43159</v>
      </c>
      <c r="D488" s="4" t="s">
        <v>2676</v>
      </c>
      <c r="E488" t="s">
        <v>3</v>
      </c>
      <c r="F488" t="s">
        <v>4</v>
      </c>
      <c r="G488" t="s">
        <v>2913</v>
      </c>
      <c r="H488" t="s">
        <v>2929</v>
      </c>
      <c r="I488" t="s">
        <v>2909</v>
      </c>
      <c r="J488" t="str">
        <f>IF(ISNUMBER(MATCH($D488,'Lopettaneet 2013-&gt;'!$D:$D,0)),INDEX('Lopettaneet 2013-&gt;'!$K:$K,MATCH($D488,'Lopettaneet 2013-&gt;'!$D:$D,0)),"Continues")</f>
        <v>Closed</v>
      </c>
      <c r="K488">
        <f ca="1">IF($J488="Continues",DATEDIF($B488,TODAY(),"Y"),INDEX('Lopettaneet 2013-&gt;'!$L:$L,MATCH($D488,'Lopettaneet 2013-&gt;'!$D:$D,0)))</f>
        <v>6</v>
      </c>
      <c r="L488">
        <v>244</v>
      </c>
    </row>
    <row r="489" spans="1:12" x14ac:dyDescent="0.25">
      <c r="A489" t="s">
        <v>7</v>
      </c>
      <c r="B489" s="1">
        <v>41974</v>
      </c>
      <c r="C489" s="1">
        <v>43100</v>
      </c>
      <c r="D489" s="4" t="s">
        <v>712</v>
      </c>
      <c r="E489" t="s">
        <v>10</v>
      </c>
      <c r="F489" t="s">
        <v>11</v>
      </c>
      <c r="G489" t="s">
        <v>2918</v>
      </c>
      <c r="H489" t="s">
        <v>2980</v>
      </c>
      <c r="I489" t="s">
        <v>2909</v>
      </c>
      <c r="J489" t="str">
        <f>IF(ISNUMBER(MATCH($D489,'Lopettaneet 2013-&gt;'!$D:$D,0)),INDEX('Lopettaneet 2013-&gt;'!$K:$K,MATCH($D489,'Lopettaneet 2013-&gt;'!$D:$D,0)),"Continues")</f>
        <v>Closed</v>
      </c>
      <c r="K489">
        <f ca="1">IF($J489="Continues",DATEDIF($B489,TODAY(),"Y"),INDEX('Lopettaneet 2013-&gt;'!$L:$L,MATCH($D489,'Lopettaneet 2013-&gt;'!$D:$D,0)))</f>
        <v>3</v>
      </c>
      <c r="L489">
        <v>244</v>
      </c>
    </row>
    <row r="490" spans="1:12" x14ac:dyDescent="0.25">
      <c r="A490" t="s">
        <v>0</v>
      </c>
      <c r="B490" s="1">
        <v>41183</v>
      </c>
      <c r="C490" s="1">
        <v>44681</v>
      </c>
      <c r="D490" s="4" t="s">
        <v>2678</v>
      </c>
      <c r="E490" t="s">
        <v>10</v>
      </c>
      <c r="F490" t="s">
        <v>4</v>
      </c>
      <c r="G490" t="s">
        <v>2913</v>
      </c>
      <c r="H490" t="s">
        <v>2975</v>
      </c>
      <c r="I490" t="s">
        <v>2909</v>
      </c>
      <c r="J490" t="str">
        <f>IF(ISNUMBER(MATCH($D490,'Lopettaneet 2013-&gt;'!$D:$D,0)),INDEX('Lopettaneet 2013-&gt;'!$K:$K,MATCH($D490,'Lopettaneet 2013-&gt;'!$D:$D,0)),"Continues")</f>
        <v>Merged</v>
      </c>
      <c r="K490">
        <f ca="1">IF($J490="Continues",DATEDIF($B490,TODAY(),"Y"),INDEX('Lopettaneet 2013-&gt;'!$L:$L,MATCH($D490,'Lopettaneet 2013-&gt;'!$D:$D,0)))</f>
        <v>9</v>
      </c>
      <c r="L490">
        <v>245</v>
      </c>
    </row>
    <row r="491" spans="1:12" x14ac:dyDescent="0.25">
      <c r="A491" t="s">
        <v>7</v>
      </c>
      <c r="B491" s="1">
        <v>41974</v>
      </c>
      <c r="C491" s="1">
        <v>43830</v>
      </c>
      <c r="D491" s="4" t="s">
        <v>714</v>
      </c>
      <c r="E491" t="s">
        <v>10</v>
      </c>
      <c r="F491" t="s">
        <v>11</v>
      </c>
      <c r="G491" t="s">
        <v>2914</v>
      </c>
      <c r="H491" t="s">
        <v>2980</v>
      </c>
      <c r="I491" t="s">
        <v>2909</v>
      </c>
      <c r="J491" t="str">
        <f>IF(ISNUMBER(MATCH($D491,'Lopettaneet 2013-&gt;'!$D:$D,0)),INDEX('Lopettaneet 2013-&gt;'!$K:$K,MATCH($D491,'Lopettaneet 2013-&gt;'!$D:$D,0)),"Continues")</f>
        <v>Closed</v>
      </c>
      <c r="K491">
        <f ca="1">IF($J491="Continues",DATEDIF($B491,TODAY(),"Y"),INDEX('Lopettaneet 2013-&gt;'!$L:$L,MATCH($D491,'Lopettaneet 2013-&gt;'!$D:$D,0)))</f>
        <v>5</v>
      </c>
      <c r="L491">
        <v>245</v>
      </c>
    </row>
    <row r="492" spans="1:12" x14ac:dyDescent="0.25">
      <c r="A492" t="s">
        <v>0</v>
      </c>
      <c r="B492" s="1">
        <v>40878</v>
      </c>
      <c r="C492" s="1">
        <v>41425</v>
      </c>
      <c r="D492" s="4" t="s">
        <v>2680</v>
      </c>
      <c r="E492" t="s">
        <v>10</v>
      </c>
      <c r="F492" t="s">
        <v>4</v>
      </c>
      <c r="G492" t="s">
        <v>2917</v>
      </c>
      <c r="H492" t="s">
        <v>2932</v>
      </c>
      <c r="I492" t="s">
        <v>2909</v>
      </c>
      <c r="J492" t="str">
        <f>IF(ISNUMBER(MATCH($D492,'Lopettaneet 2013-&gt;'!$D:$D,0)),INDEX('Lopettaneet 2013-&gt;'!$K:$K,MATCH($D492,'Lopettaneet 2013-&gt;'!$D:$D,0)),"Continues")</f>
        <v>Merged</v>
      </c>
      <c r="K492">
        <f ca="1">IF($J492="Continues",DATEDIF($B492,TODAY(),"Y"),INDEX('Lopettaneet 2013-&gt;'!$L:$L,MATCH($D492,'Lopettaneet 2013-&gt;'!$D:$D,0)))</f>
        <v>1</v>
      </c>
      <c r="L492">
        <v>246</v>
      </c>
    </row>
    <row r="493" spans="1:12" x14ac:dyDescent="0.25">
      <c r="A493" t="s">
        <v>7</v>
      </c>
      <c r="B493" s="1">
        <v>41974</v>
      </c>
      <c r="C493" s="1">
        <v>55153</v>
      </c>
      <c r="D493" s="4" t="s">
        <v>716</v>
      </c>
      <c r="E493" t="s">
        <v>10</v>
      </c>
      <c r="F493" t="s">
        <v>11</v>
      </c>
      <c r="G493" t="s">
        <v>2914</v>
      </c>
      <c r="H493" t="s">
        <v>2980</v>
      </c>
      <c r="I493" t="s">
        <v>2895</v>
      </c>
      <c r="J493" t="str">
        <f>IF(ISNUMBER(MATCH($D493,'Lopettaneet 2013-&gt;'!$D:$D,0)),INDEX('Lopettaneet 2013-&gt;'!$K:$K,MATCH($D493,'Lopettaneet 2013-&gt;'!$D:$D,0)),"Continues")</f>
        <v>Continues</v>
      </c>
      <c r="K493">
        <f ca="1">IF($J493="Continues",DATEDIF($B493,TODAY(),"Y"),INDEX('Lopettaneet 2013-&gt;'!$L:$L,MATCH($D493,'Lopettaneet 2013-&gt;'!$D:$D,0)))</f>
        <v>10</v>
      </c>
      <c r="L493">
        <v>246</v>
      </c>
    </row>
    <row r="494" spans="1:12" x14ac:dyDescent="0.25">
      <c r="A494" t="s">
        <v>0</v>
      </c>
      <c r="B494" s="1">
        <v>40940</v>
      </c>
      <c r="C494" s="1">
        <v>42916</v>
      </c>
      <c r="D494" s="4" t="s">
        <v>2682</v>
      </c>
      <c r="E494" t="s">
        <v>10</v>
      </c>
      <c r="F494" t="s">
        <v>4</v>
      </c>
      <c r="G494" t="s">
        <v>2919</v>
      </c>
      <c r="H494" t="s">
        <v>2958</v>
      </c>
      <c r="I494" t="s">
        <v>2909</v>
      </c>
      <c r="J494" t="str">
        <f>IF(ISNUMBER(MATCH($D494,'Lopettaneet 2013-&gt;'!$D:$D,0)),INDEX('Lopettaneet 2013-&gt;'!$K:$K,MATCH($D494,'Lopettaneet 2013-&gt;'!$D:$D,0)),"Continues")</f>
        <v>Closed</v>
      </c>
      <c r="K494">
        <f ca="1">IF($J494="Continues",DATEDIF($B494,TODAY(),"Y"),INDEX('Lopettaneet 2013-&gt;'!$L:$L,MATCH($D494,'Lopettaneet 2013-&gt;'!$D:$D,0)))</f>
        <v>5</v>
      </c>
      <c r="L494">
        <v>247</v>
      </c>
    </row>
    <row r="495" spans="1:12" x14ac:dyDescent="0.25">
      <c r="A495" t="s">
        <v>7</v>
      </c>
      <c r="B495" s="1">
        <v>41974</v>
      </c>
      <c r="C495" s="1">
        <v>44561</v>
      </c>
      <c r="D495" s="4" t="s">
        <v>718</v>
      </c>
      <c r="E495" t="s">
        <v>10</v>
      </c>
      <c r="F495" t="s">
        <v>11</v>
      </c>
      <c r="G495" t="s">
        <v>2912</v>
      </c>
      <c r="H495" t="s">
        <v>2909</v>
      </c>
      <c r="I495" t="s">
        <v>2909</v>
      </c>
      <c r="J495" t="str">
        <f>IF(ISNUMBER(MATCH($D495,'Lopettaneet 2013-&gt;'!$D:$D,0)),INDEX('Lopettaneet 2013-&gt;'!$K:$K,MATCH($D495,'Lopettaneet 2013-&gt;'!$D:$D,0)),"Continues")</f>
        <v>Closed</v>
      </c>
      <c r="K495">
        <f ca="1">IF($J495="Continues",DATEDIF($B495,TODAY(),"Y"),INDEX('Lopettaneet 2013-&gt;'!$L:$L,MATCH($D495,'Lopettaneet 2013-&gt;'!$D:$D,0)))</f>
        <v>7</v>
      </c>
      <c r="L495">
        <v>247</v>
      </c>
    </row>
    <row r="496" spans="1:12" x14ac:dyDescent="0.25">
      <c r="A496" t="s">
        <v>0</v>
      </c>
      <c r="B496" s="1">
        <v>41000</v>
      </c>
      <c r="C496" s="1">
        <v>43799</v>
      </c>
      <c r="D496" s="4" t="s">
        <v>2684</v>
      </c>
      <c r="E496" t="s">
        <v>3</v>
      </c>
      <c r="F496" t="s">
        <v>4</v>
      </c>
      <c r="G496" t="s">
        <v>2917</v>
      </c>
      <c r="H496" t="s">
        <v>2953</v>
      </c>
      <c r="I496" t="s">
        <v>2909</v>
      </c>
      <c r="J496" t="str">
        <f>IF(ISNUMBER(MATCH($D496,'Lopettaneet 2013-&gt;'!$D:$D,0)),INDEX('Lopettaneet 2013-&gt;'!$K:$K,MATCH($D496,'Lopettaneet 2013-&gt;'!$D:$D,0)),"Continues")</f>
        <v>Merged</v>
      </c>
      <c r="K496">
        <f ca="1">IF($J496="Continues",DATEDIF($B496,TODAY(),"Y"),INDEX('Lopettaneet 2013-&gt;'!$L:$L,MATCH($D496,'Lopettaneet 2013-&gt;'!$D:$D,0)))</f>
        <v>7</v>
      </c>
      <c r="L496">
        <v>248</v>
      </c>
    </row>
    <row r="497" spans="1:12" x14ac:dyDescent="0.25">
      <c r="A497" t="s">
        <v>7</v>
      </c>
      <c r="B497" s="1">
        <v>41974</v>
      </c>
      <c r="C497" s="1">
        <v>55153</v>
      </c>
      <c r="D497" s="4" t="s">
        <v>720</v>
      </c>
      <c r="E497" t="s">
        <v>10</v>
      </c>
      <c r="F497" t="s">
        <v>11</v>
      </c>
      <c r="G497" t="s">
        <v>2916</v>
      </c>
      <c r="H497" t="s">
        <v>2991</v>
      </c>
      <c r="I497" t="s">
        <v>2895</v>
      </c>
      <c r="J497" t="str">
        <f>IF(ISNUMBER(MATCH($D497,'Lopettaneet 2013-&gt;'!$D:$D,0)),INDEX('Lopettaneet 2013-&gt;'!$K:$K,MATCH($D497,'Lopettaneet 2013-&gt;'!$D:$D,0)),"Continues")</f>
        <v>Continues</v>
      </c>
      <c r="K497">
        <f ca="1">IF($J497="Continues",DATEDIF($B497,TODAY(),"Y"),INDEX('Lopettaneet 2013-&gt;'!$L:$L,MATCH($D497,'Lopettaneet 2013-&gt;'!$D:$D,0)))</f>
        <v>10</v>
      </c>
      <c r="L497">
        <v>248</v>
      </c>
    </row>
    <row r="498" spans="1:12" x14ac:dyDescent="0.25">
      <c r="A498" t="s">
        <v>0</v>
      </c>
      <c r="B498" s="1">
        <v>40969</v>
      </c>
      <c r="C498" s="1">
        <v>42460</v>
      </c>
      <c r="D498" s="4" t="s">
        <v>2686</v>
      </c>
      <c r="E498" t="s">
        <v>3</v>
      </c>
      <c r="F498" t="s">
        <v>4</v>
      </c>
      <c r="G498" t="s">
        <v>2913</v>
      </c>
      <c r="H498" t="s">
        <v>2923</v>
      </c>
      <c r="I498" t="s">
        <v>2909</v>
      </c>
      <c r="J498" t="str">
        <f>IF(ISNUMBER(MATCH($D498,'Lopettaneet 2013-&gt;'!$D:$D,0)),INDEX('Lopettaneet 2013-&gt;'!$K:$K,MATCH($D498,'Lopettaneet 2013-&gt;'!$D:$D,0)),"Continues")</f>
        <v>Merged</v>
      </c>
      <c r="K498">
        <f ca="1">IF($J498="Continues",DATEDIF($B498,TODAY(),"Y"),INDEX('Lopettaneet 2013-&gt;'!$L:$L,MATCH($D498,'Lopettaneet 2013-&gt;'!$D:$D,0)))</f>
        <v>4</v>
      </c>
      <c r="L498">
        <v>249</v>
      </c>
    </row>
    <row r="499" spans="1:12" x14ac:dyDescent="0.25">
      <c r="A499" t="s">
        <v>7</v>
      </c>
      <c r="B499" s="1">
        <v>41974</v>
      </c>
      <c r="C499" s="1">
        <v>55153</v>
      </c>
      <c r="D499" s="4" t="s">
        <v>722</v>
      </c>
      <c r="E499" t="s">
        <v>10</v>
      </c>
      <c r="F499" t="s">
        <v>11</v>
      </c>
      <c r="G499" t="s">
        <v>2912</v>
      </c>
      <c r="H499" t="s">
        <v>3001</v>
      </c>
      <c r="I499" t="s">
        <v>2895</v>
      </c>
      <c r="J499" t="str">
        <f>IF(ISNUMBER(MATCH($D499,'Lopettaneet 2013-&gt;'!$D:$D,0)),INDEX('Lopettaneet 2013-&gt;'!$K:$K,MATCH($D499,'Lopettaneet 2013-&gt;'!$D:$D,0)),"Continues")</f>
        <v>Continues</v>
      </c>
      <c r="K499">
        <f ca="1">IF($J499="Continues",DATEDIF($B499,TODAY(),"Y"),INDEX('Lopettaneet 2013-&gt;'!$L:$L,MATCH($D499,'Lopettaneet 2013-&gt;'!$D:$D,0)))</f>
        <v>10</v>
      </c>
      <c r="L499">
        <v>249</v>
      </c>
    </row>
    <row r="500" spans="1:12" x14ac:dyDescent="0.25">
      <c r="A500" t="s">
        <v>0</v>
      </c>
      <c r="B500" s="1">
        <v>40969</v>
      </c>
      <c r="C500" s="1">
        <v>42094</v>
      </c>
      <c r="D500" s="4" t="s">
        <v>3187</v>
      </c>
      <c r="E500" t="s">
        <v>10</v>
      </c>
      <c r="F500" t="s">
        <v>4</v>
      </c>
      <c r="G500" t="s">
        <v>2917</v>
      </c>
      <c r="H500" t="s">
        <v>2777</v>
      </c>
      <c r="I500" t="s">
        <v>2909</v>
      </c>
      <c r="J500" t="str">
        <f>IF(ISNUMBER(MATCH($D500,'Lopettaneet 2013-&gt;'!$D:$D,0)),INDEX('Lopettaneet 2013-&gt;'!$K:$K,MATCH($D500,'Lopettaneet 2013-&gt;'!$D:$D,0)),"Continues")</f>
        <v>Continues</v>
      </c>
      <c r="K500">
        <f ca="1">IF($J500="Continues",DATEDIF($B500,TODAY(),"Y"),INDEX('Lopettaneet 2013-&gt;'!$L:$L,MATCH($D500,'Lopettaneet 2013-&gt;'!$D:$D,0)))</f>
        <v>13</v>
      </c>
      <c r="L500">
        <v>250</v>
      </c>
    </row>
    <row r="501" spans="1:12" x14ac:dyDescent="0.25">
      <c r="A501" t="s">
        <v>7</v>
      </c>
      <c r="B501" s="1">
        <v>41974</v>
      </c>
      <c r="C501" s="1">
        <v>55153</v>
      </c>
      <c r="D501" s="4" t="s">
        <v>724</v>
      </c>
      <c r="E501" t="s">
        <v>10</v>
      </c>
      <c r="F501" t="s">
        <v>11</v>
      </c>
      <c r="G501" t="s">
        <v>2914</v>
      </c>
      <c r="H501" t="s">
        <v>2950</v>
      </c>
      <c r="I501" t="s">
        <v>2895</v>
      </c>
      <c r="J501" t="str">
        <f>IF(ISNUMBER(MATCH($D501,'Lopettaneet 2013-&gt;'!$D:$D,0)),INDEX('Lopettaneet 2013-&gt;'!$K:$K,MATCH($D501,'Lopettaneet 2013-&gt;'!$D:$D,0)),"Continues")</f>
        <v>Continues</v>
      </c>
      <c r="K501">
        <f ca="1">IF($J501="Continues",DATEDIF($B501,TODAY(),"Y"),INDEX('Lopettaneet 2013-&gt;'!$L:$L,MATCH($D501,'Lopettaneet 2013-&gt;'!$D:$D,0)))</f>
        <v>10</v>
      </c>
      <c r="L501">
        <v>250</v>
      </c>
    </row>
    <row r="502" spans="1:12" x14ac:dyDescent="0.25">
      <c r="A502" t="s">
        <v>0</v>
      </c>
      <c r="B502" s="1">
        <v>40969</v>
      </c>
      <c r="C502" s="1">
        <v>41912</v>
      </c>
      <c r="D502" s="4" t="s">
        <v>2690</v>
      </c>
      <c r="E502" t="s">
        <v>3</v>
      </c>
      <c r="F502" t="s">
        <v>4</v>
      </c>
      <c r="G502" t="s">
        <v>2915</v>
      </c>
      <c r="H502" t="s">
        <v>2953</v>
      </c>
      <c r="I502" t="s">
        <v>2909</v>
      </c>
      <c r="J502" t="str">
        <f>IF(ISNUMBER(MATCH($D502,'Lopettaneet 2013-&gt;'!$D:$D,0)),INDEX('Lopettaneet 2013-&gt;'!$K:$K,MATCH($D502,'Lopettaneet 2013-&gt;'!$D:$D,0)),"Continues")</f>
        <v>Merged</v>
      </c>
      <c r="K502">
        <f ca="1">IF($J502="Continues",DATEDIF($B502,TODAY(),"Y"),INDEX('Lopettaneet 2013-&gt;'!$L:$L,MATCH($D502,'Lopettaneet 2013-&gt;'!$D:$D,0)))</f>
        <v>2</v>
      </c>
      <c r="L502">
        <v>251</v>
      </c>
    </row>
    <row r="503" spans="1:12" x14ac:dyDescent="0.25">
      <c r="A503" t="s">
        <v>7</v>
      </c>
      <c r="B503" s="1">
        <v>41974</v>
      </c>
      <c r="C503" s="1">
        <v>44834</v>
      </c>
      <c r="D503" s="4" t="s">
        <v>726</v>
      </c>
      <c r="E503" t="s">
        <v>10</v>
      </c>
      <c r="F503" t="s">
        <v>11</v>
      </c>
      <c r="G503" t="s">
        <v>2914</v>
      </c>
      <c r="H503" t="s">
        <v>2978</v>
      </c>
      <c r="I503" t="s">
        <v>2909</v>
      </c>
      <c r="J503" t="str">
        <f>IF(ISNUMBER(MATCH($D503,'Lopettaneet 2013-&gt;'!$D:$D,0)),INDEX('Lopettaneet 2013-&gt;'!$K:$K,MATCH($D503,'Lopettaneet 2013-&gt;'!$D:$D,0)),"Continues")</f>
        <v>Closed</v>
      </c>
      <c r="K503">
        <f ca="1">IF($J503="Continues",DATEDIF($B503,TODAY(),"Y"),INDEX('Lopettaneet 2013-&gt;'!$L:$L,MATCH($D503,'Lopettaneet 2013-&gt;'!$D:$D,0)))</f>
        <v>7</v>
      </c>
      <c r="L503">
        <v>251</v>
      </c>
    </row>
    <row r="504" spans="1:12" x14ac:dyDescent="0.25">
      <c r="A504" t="s">
        <v>0</v>
      </c>
      <c r="B504" s="1">
        <v>40969</v>
      </c>
      <c r="C504" s="1">
        <v>43465</v>
      </c>
      <c r="D504" s="4" t="s">
        <v>307</v>
      </c>
      <c r="E504" t="s">
        <v>3</v>
      </c>
      <c r="F504" t="s">
        <v>4</v>
      </c>
      <c r="G504" t="s">
        <v>2913</v>
      </c>
      <c r="H504" t="s">
        <v>2953</v>
      </c>
      <c r="I504" t="s">
        <v>2909</v>
      </c>
      <c r="J504" t="str">
        <f>IF(ISNUMBER(MATCH($D504,'Lopettaneet 2013-&gt;'!$D:$D,0)),INDEX('Lopettaneet 2013-&gt;'!$K:$K,MATCH($D504,'Lopettaneet 2013-&gt;'!$D:$D,0)),"Continues")</f>
        <v>Merged</v>
      </c>
      <c r="K504">
        <f ca="1">IF($J504="Continues",DATEDIF($B504,TODAY(),"Y"),INDEX('Lopettaneet 2013-&gt;'!$L:$L,MATCH($D504,'Lopettaneet 2013-&gt;'!$D:$D,0)))</f>
        <v>6</v>
      </c>
      <c r="L504">
        <v>252</v>
      </c>
    </row>
    <row r="505" spans="1:12" x14ac:dyDescent="0.25">
      <c r="A505" t="s">
        <v>7</v>
      </c>
      <c r="B505" s="1">
        <v>41974</v>
      </c>
      <c r="C505" s="1">
        <v>55153</v>
      </c>
      <c r="D505" s="4" t="s">
        <v>728</v>
      </c>
      <c r="E505" t="s">
        <v>10</v>
      </c>
      <c r="F505" t="s">
        <v>11</v>
      </c>
      <c r="G505" t="s">
        <v>2916</v>
      </c>
      <c r="H505" t="s">
        <v>2811</v>
      </c>
      <c r="I505" t="s">
        <v>2895</v>
      </c>
      <c r="J505" t="str">
        <f>IF(ISNUMBER(MATCH($D505,'Lopettaneet 2013-&gt;'!$D:$D,0)),INDEX('Lopettaneet 2013-&gt;'!$K:$K,MATCH($D505,'Lopettaneet 2013-&gt;'!$D:$D,0)),"Continues")</f>
        <v>Continues</v>
      </c>
      <c r="K505">
        <f ca="1">IF($J505="Continues",DATEDIF($B505,TODAY(),"Y"),INDEX('Lopettaneet 2013-&gt;'!$L:$L,MATCH($D505,'Lopettaneet 2013-&gt;'!$D:$D,0)))</f>
        <v>10</v>
      </c>
      <c r="L505">
        <v>252</v>
      </c>
    </row>
    <row r="506" spans="1:12" x14ac:dyDescent="0.25">
      <c r="A506" t="s">
        <v>0</v>
      </c>
      <c r="B506" s="1">
        <v>41030</v>
      </c>
      <c r="C506" s="1">
        <v>42551</v>
      </c>
      <c r="D506" s="4" t="s">
        <v>3188</v>
      </c>
      <c r="E506" t="s">
        <v>3</v>
      </c>
      <c r="F506" t="s">
        <v>4</v>
      </c>
      <c r="G506" t="s">
        <v>2913</v>
      </c>
      <c r="H506" t="s">
        <v>2777</v>
      </c>
      <c r="I506" t="s">
        <v>2909</v>
      </c>
      <c r="J506" t="str">
        <f>IF(ISNUMBER(MATCH($D506,'Lopettaneet 2013-&gt;'!$D:$D,0)),INDEX('Lopettaneet 2013-&gt;'!$K:$K,MATCH($D506,'Lopettaneet 2013-&gt;'!$D:$D,0)),"Continues")</f>
        <v>Continues</v>
      </c>
      <c r="K506">
        <f ca="1">IF($J506="Continues",DATEDIF($B506,TODAY(),"Y"),INDEX('Lopettaneet 2013-&gt;'!$L:$L,MATCH($D506,'Lopettaneet 2013-&gt;'!$D:$D,0)))</f>
        <v>13</v>
      </c>
      <c r="L506">
        <v>253</v>
      </c>
    </row>
    <row r="507" spans="1:12" x14ac:dyDescent="0.25">
      <c r="A507" t="s">
        <v>7</v>
      </c>
      <c r="B507" s="1">
        <v>41974</v>
      </c>
      <c r="C507" s="1">
        <v>55153</v>
      </c>
      <c r="D507" s="4" t="s">
        <v>730</v>
      </c>
      <c r="E507" t="s">
        <v>10</v>
      </c>
      <c r="F507" t="s">
        <v>11</v>
      </c>
      <c r="G507" t="s">
        <v>2914</v>
      </c>
      <c r="H507" t="s">
        <v>2966</v>
      </c>
      <c r="I507" t="s">
        <v>2895</v>
      </c>
      <c r="J507" t="str">
        <f>IF(ISNUMBER(MATCH($D507,'Lopettaneet 2013-&gt;'!$D:$D,0)),INDEX('Lopettaneet 2013-&gt;'!$K:$K,MATCH($D507,'Lopettaneet 2013-&gt;'!$D:$D,0)),"Continues")</f>
        <v>Continues</v>
      </c>
      <c r="K507">
        <f ca="1">IF($J507="Continues",DATEDIF($B507,TODAY(),"Y"),INDEX('Lopettaneet 2013-&gt;'!$L:$L,MATCH($D507,'Lopettaneet 2013-&gt;'!$D:$D,0)))</f>
        <v>10</v>
      </c>
      <c r="L507">
        <v>253</v>
      </c>
    </row>
    <row r="508" spans="1:12" x14ac:dyDescent="0.25">
      <c r="A508" t="s">
        <v>0</v>
      </c>
      <c r="B508" s="1">
        <v>40969</v>
      </c>
      <c r="C508" s="1">
        <v>41790</v>
      </c>
      <c r="D508" s="4" t="s">
        <v>2648</v>
      </c>
      <c r="E508" t="s">
        <v>3</v>
      </c>
      <c r="F508" t="s">
        <v>4</v>
      </c>
      <c r="G508" t="s">
        <v>2917</v>
      </c>
      <c r="H508" t="s">
        <v>2932</v>
      </c>
      <c r="I508" t="s">
        <v>2909</v>
      </c>
      <c r="J508" t="str">
        <f>IF(ISNUMBER(MATCH($D508,'Lopettaneet 2013-&gt;'!$D:$D,0)),INDEX('Lopettaneet 2013-&gt;'!$K:$K,MATCH($D508,'Lopettaneet 2013-&gt;'!$D:$D,0)),"Continues")</f>
        <v>Merged</v>
      </c>
      <c r="K508">
        <f ca="1">IF($J508="Continues",DATEDIF($B508,TODAY(),"Y"),INDEX('Lopettaneet 2013-&gt;'!$L:$L,MATCH($D508,'Lopettaneet 2013-&gt;'!$D:$D,0)))</f>
        <v>2</v>
      </c>
      <c r="L508">
        <v>254</v>
      </c>
    </row>
    <row r="509" spans="1:12" x14ac:dyDescent="0.25">
      <c r="A509" t="s">
        <v>7</v>
      </c>
      <c r="B509" s="1">
        <v>41974</v>
      </c>
      <c r="C509" s="1">
        <v>43830</v>
      </c>
      <c r="D509" s="4" t="s">
        <v>732</v>
      </c>
      <c r="E509" t="s">
        <v>10</v>
      </c>
      <c r="F509" t="s">
        <v>11</v>
      </c>
      <c r="G509" t="s">
        <v>2914</v>
      </c>
      <c r="H509" t="s">
        <v>2926</v>
      </c>
      <c r="I509" t="s">
        <v>2909</v>
      </c>
      <c r="J509" t="str">
        <f>IF(ISNUMBER(MATCH($D509,'Lopettaneet 2013-&gt;'!$D:$D,0)),INDEX('Lopettaneet 2013-&gt;'!$K:$K,MATCH($D509,'Lopettaneet 2013-&gt;'!$D:$D,0)),"Continues")</f>
        <v>Closed</v>
      </c>
      <c r="K509">
        <f ca="1">IF($J509="Continues",DATEDIF($B509,TODAY(),"Y"),INDEX('Lopettaneet 2013-&gt;'!$L:$L,MATCH($D509,'Lopettaneet 2013-&gt;'!$D:$D,0)))</f>
        <v>5</v>
      </c>
      <c r="L509">
        <v>254</v>
      </c>
    </row>
    <row r="510" spans="1:12" x14ac:dyDescent="0.25">
      <c r="A510" t="s">
        <v>0</v>
      </c>
      <c r="B510" s="1">
        <v>39783</v>
      </c>
      <c r="C510" s="1">
        <v>42886</v>
      </c>
      <c r="D510" s="4" t="s">
        <v>2694</v>
      </c>
      <c r="E510" t="s">
        <v>3</v>
      </c>
      <c r="F510" t="s">
        <v>4</v>
      </c>
      <c r="G510" t="s">
        <v>2915</v>
      </c>
      <c r="H510" t="s">
        <v>2956</v>
      </c>
      <c r="I510" t="s">
        <v>2909</v>
      </c>
      <c r="J510" t="str">
        <f>IF(ISNUMBER(MATCH($D510,'Lopettaneet 2013-&gt;'!$D:$D,0)),INDEX('Lopettaneet 2013-&gt;'!$K:$K,MATCH($D510,'Lopettaneet 2013-&gt;'!$D:$D,0)),"Continues")</f>
        <v>Closed</v>
      </c>
      <c r="K510">
        <f ca="1">IF($J510="Continues",DATEDIF($B510,TODAY(),"Y"),INDEX('Lopettaneet 2013-&gt;'!$L:$L,MATCH($D510,'Lopettaneet 2013-&gt;'!$D:$D,0)))</f>
        <v>8</v>
      </c>
      <c r="L510">
        <v>255</v>
      </c>
    </row>
    <row r="511" spans="1:12" x14ac:dyDescent="0.25">
      <c r="A511" t="s">
        <v>7</v>
      </c>
      <c r="B511" s="1">
        <v>41974</v>
      </c>
      <c r="C511" s="1">
        <v>42369</v>
      </c>
      <c r="D511" s="4" t="s">
        <v>734</v>
      </c>
      <c r="E511" t="s">
        <v>10</v>
      </c>
      <c r="F511" t="s">
        <v>11</v>
      </c>
      <c r="G511" t="s">
        <v>2914</v>
      </c>
      <c r="H511" t="s">
        <v>2926</v>
      </c>
      <c r="I511" t="s">
        <v>2909</v>
      </c>
      <c r="J511" t="str">
        <f>IF(ISNUMBER(MATCH($D511,'Lopettaneet 2013-&gt;'!$D:$D,0)),INDEX('Lopettaneet 2013-&gt;'!$K:$K,MATCH($D511,'Lopettaneet 2013-&gt;'!$D:$D,0)),"Continues")</f>
        <v>Closed</v>
      </c>
      <c r="K511">
        <f ca="1">IF($J511="Continues",DATEDIF($B511,TODAY(),"Y"),INDEX('Lopettaneet 2013-&gt;'!$L:$L,MATCH($D511,'Lopettaneet 2013-&gt;'!$D:$D,0)))</f>
        <v>1</v>
      </c>
      <c r="L511">
        <v>255</v>
      </c>
    </row>
    <row r="512" spans="1:12" x14ac:dyDescent="0.25">
      <c r="A512" t="s">
        <v>0</v>
      </c>
      <c r="B512" s="1">
        <v>39783</v>
      </c>
      <c r="C512" s="1">
        <v>42063</v>
      </c>
      <c r="D512" s="4" t="s">
        <v>2696</v>
      </c>
      <c r="E512" t="s">
        <v>3</v>
      </c>
      <c r="F512" t="s">
        <v>4</v>
      </c>
      <c r="G512" t="s">
        <v>2917</v>
      </c>
      <c r="H512" t="s">
        <v>2956</v>
      </c>
      <c r="I512" t="s">
        <v>2909</v>
      </c>
      <c r="J512" t="str">
        <f>IF(ISNUMBER(MATCH($D512,'Lopettaneet 2013-&gt;'!$D:$D,0)),INDEX('Lopettaneet 2013-&gt;'!$K:$K,MATCH($D512,'Lopettaneet 2013-&gt;'!$D:$D,0)),"Continues")</f>
        <v>Merged</v>
      </c>
      <c r="K512">
        <f ca="1">IF($J512="Continues",DATEDIF($B512,TODAY(),"Y"),INDEX('Lopettaneet 2013-&gt;'!$L:$L,MATCH($D512,'Lopettaneet 2013-&gt;'!$D:$D,0)))</f>
        <v>6</v>
      </c>
      <c r="L512">
        <v>256</v>
      </c>
    </row>
    <row r="513" spans="1:12" x14ac:dyDescent="0.25">
      <c r="A513" t="s">
        <v>7</v>
      </c>
      <c r="B513" s="1">
        <v>41974</v>
      </c>
      <c r="C513" s="1">
        <v>43646</v>
      </c>
      <c r="D513" s="4" t="s">
        <v>736</v>
      </c>
      <c r="E513" t="s">
        <v>10</v>
      </c>
      <c r="F513" t="s">
        <v>11</v>
      </c>
      <c r="G513" t="s">
        <v>2914</v>
      </c>
      <c r="H513" t="s">
        <v>2926</v>
      </c>
      <c r="I513" t="s">
        <v>2909</v>
      </c>
      <c r="J513" t="str">
        <f>IF(ISNUMBER(MATCH($D513,'Lopettaneet 2013-&gt;'!$D:$D,0)),INDEX('Lopettaneet 2013-&gt;'!$K:$K,MATCH($D513,'Lopettaneet 2013-&gt;'!$D:$D,0)),"Continues")</f>
        <v>Closed</v>
      </c>
      <c r="K513">
        <f ca="1">IF($J513="Continues",DATEDIF($B513,TODAY(),"Y"),INDEX('Lopettaneet 2013-&gt;'!$L:$L,MATCH($D513,'Lopettaneet 2013-&gt;'!$D:$D,0)))</f>
        <v>4</v>
      </c>
      <c r="L513">
        <v>256</v>
      </c>
    </row>
    <row r="514" spans="1:12" x14ac:dyDescent="0.25">
      <c r="A514" t="s">
        <v>0</v>
      </c>
      <c r="B514" s="1">
        <v>40969</v>
      </c>
      <c r="C514" s="1">
        <v>41547</v>
      </c>
      <c r="D514" s="4" t="s">
        <v>2698</v>
      </c>
      <c r="E514" t="s">
        <v>10</v>
      </c>
      <c r="F514" t="s">
        <v>4</v>
      </c>
      <c r="G514" t="s">
        <v>2919</v>
      </c>
      <c r="H514" t="s">
        <v>2953</v>
      </c>
      <c r="I514" t="s">
        <v>2909</v>
      </c>
      <c r="J514" t="str">
        <f>IF(ISNUMBER(MATCH($D514,'Lopettaneet 2013-&gt;'!$D:$D,0)),INDEX('Lopettaneet 2013-&gt;'!$K:$K,MATCH($D514,'Lopettaneet 2013-&gt;'!$D:$D,0)),"Continues")</f>
        <v>Closed</v>
      </c>
      <c r="K514">
        <f ca="1">IF($J514="Continues",DATEDIF($B514,TODAY(),"Y"),INDEX('Lopettaneet 2013-&gt;'!$L:$L,MATCH($D514,'Lopettaneet 2013-&gt;'!$D:$D,0)))</f>
        <v>1</v>
      </c>
      <c r="L514">
        <v>257</v>
      </c>
    </row>
    <row r="515" spans="1:12" x14ac:dyDescent="0.25">
      <c r="A515" t="s">
        <v>7</v>
      </c>
      <c r="B515" s="1">
        <v>41974</v>
      </c>
      <c r="C515" s="1">
        <v>44196</v>
      </c>
      <c r="D515" s="4" t="s">
        <v>738</v>
      </c>
      <c r="E515" t="s">
        <v>10</v>
      </c>
      <c r="F515" t="s">
        <v>11</v>
      </c>
      <c r="G515" t="s">
        <v>2914</v>
      </c>
      <c r="H515" t="s">
        <v>2926</v>
      </c>
      <c r="I515" t="s">
        <v>2909</v>
      </c>
      <c r="J515" t="str">
        <f>IF(ISNUMBER(MATCH($D515,'Lopettaneet 2013-&gt;'!$D:$D,0)),INDEX('Lopettaneet 2013-&gt;'!$K:$K,MATCH($D515,'Lopettaneet 2013-&gt;'!$D:$D,0)),"Continues")</f>
        <v>Closed</v>
      </c>
      <c r="K515">
        <f ca="1">IF($J515="Continues",DATEDIF($B515,TODAY(),"Y"),INDEX('Lopettaneet 2013-&gt;'!$L:$L,MATCH($D515,'Lopettaneet 2013-&gt;'!$D:$D,0)))</f>
        <v>6</v>
      </c>
      <c r="L515">
        <v>257</v>
      </c>
    </row>
    <row r="516" spans="1:12" x14ac:dyDescent="0.25">
      <c r="A516" t="s">
        <v>0</v>
      </c>
      <c r="B516" s="1">
        <v>41000</v>
      </c>
      <c r="C516" s="1">
        <v>41455</v>
      </c>
      <c r="D516" s="4" t="s">
        <v>2700</v>
      </c>
      <c r="E516" t="s">
        <v>10</v>
      </c>
      <c r="F516" t="s">
        <v>4</v>
      </c>
      <c r="G516" t="s">
        <v>2919</v>
      </c>
      <c r="H516" t="s">
        <v>2932</v>
      </c>
      <c r="I516" t="s">
        <v>2909</v>
      </c>
      <c r="J516" t="str">
        <f>IF(ISNUMBER(MATCH($D516,'Lopettaneet 2013-&gt;'!$D:$D,0)),INDEX('Lopettaneet 2013-&gt;'!$K:$K,MATCH($D516,'Lopettaneet 2013-&gt;'!$D:$D,0)),"Continues")</f>
        <v>Merged</v>
      </c>
      <c r="K516">
        <f ca="1">IF($J516="Continues",DATEDIF($B516,TODAY(),"Y"),INDEX('Lopettaneet 2013-&gt;'!$L:$L,MATCH($D516,'Lopettaneet 2013-&gt;'!$D:$D,0)))</f>
        <v>1</v>
      </c>
      <c r="L516">
        <v>258</v>
      </c>
    </row>
    <row r="517" spans="1:12" x14ac:dyDescent="0.25">
      <c r="A517" t="s">
        <v>7</v>
      </c>
      <c r="B517" s="1">
        <v>41974</v>
      </c>
      <c r="C517" s="1">
        <v>55153</v>
      </c>
      <c r="D517" s="4" t="s">
        <v>740</v>
      </c>
      <c r="E517" t="s">
        <v>10</v>
      </c>
      <c r="F517" t="s">
        <v>11</v>
      </c>
      <c r="G517" t="s">
        <v>2914</v>
      </c>
      <c r="H517" t="s">
        <v>2953</v>
      </c>
      <c r="I517" t="s">
        <v>2895</v>
      </c>
      <c r="J517" t="str">
        <f>IF(ISNUMBER(MATCH($D517,'Lopettaneet 2013-&gt;'!$D:$D,0)),INDEX('Lopettaneet 2013-&gt;'!$K:$K,MATCH($D517,'Lopettaneet 2013-&gt;'!$D:$D,0)),"Continues")</f>
        <v>Continues</v>
      </c>
      <c r="K517">
        <f ca="1">IF($J517="Continues",DATEDIF($B517,TODAY(),"Y"),INDEX('Lopettaneet 2013-&gt;'!$L:$L,MATCH($D517,'Lopettaneet 2013-&gt;'!$D:$D,0)))</f>
        <v>10</v>
      </c>
      <c r="L517">
        <v>258</v>
      </c>
    </row>
    <row r="518" spans="1:12" x14ac:dyDescent="0.25">
      <c r="A518" t="s">
        <v>0</v>
      </c>
      <c r="B518" s="1">
        <v>41061</v>
      </c>
      <c r="C518" s="1">
        <v>44012</v>
      </c>
      <c r="D518" s="4" t="s">
        <v>2702</v>
      </c>
      <c r="E518" t="s">
        <v>10</v>
      </c>
      <c r="F518" t="s">
        <v>4</v>
      </c>
      <c r="G518" t="s">
        <v>2914</v>
      </c>
      <c r="H518" t="s">
        <v>2956</v>
      </c>
      <c r="I518" t="s">
        <v>2909</v>
      </c>
      <c r="J518" t="str">
        <f>IF(ISNUMBER(MATCH($D518,'Lopettaneet 2013-&gt;'!$D:$D,0)),INDEX('Lopettaneet 2013-&gt;'!$K:$K,MATCH($D518,'Lopettaneet 2013-&gt;'!$D:$D,0)),"Continues")</f>
        <v>Merged</v>
      </c>
      <c r="K518">
        <f ca="1">IF($J518="Continues",DATEDIF($B518,TODAY(),"Y"),INDEX('Lopettaneet 2013-&gt;'!$L:$L,MATCH($D518,'Lopettaneet 2013-&gt;'!$D:$D,0)))</f>
        <v>8</v>
      </c>
      <c r="L518">
        <v>259</v>
      </c>
    </row>
    <row r="519" spans="1:12" x14ac:dyDescent="0.25">
      <c r="A519" t="s">
        <v>7</v>
      </c>
      <c r="B519" s="1">
        <v>41974</v>
      </c>
      <c r="C519" s="1">
        <v>44286</v>
      </c>
      <c r="D519" s="4" t="s">
        <v>742</v>
      </c>
      <c r="E519" t="s">
        <v>10</v>
      </c>
      <c r="F519" t="s">
        <v>11</v>
      </c>
      <c r="G519" t="s">
        <v>2914</v>
      </c>
      <c r="H519" t="s">
        <v>2975</v>
      </c>
      <c r="I519" t="s">
        <v>2909</v>
      </c>
      <c r="J519" t="str">
        <f>IF(ISNUMBER(MATCH($D519,'Lopettaneet 2013-&gt;'!$D:$D,0)),INDEX('Lopettaneet 2013-&gt;'!$K:$K,MATCH($D519,'Lopettaneet 2013-&gt;'!$D:$D,0)),"Continues")</f>
        <v>Closed</v>
      </c>
      <c r="K519">
        <f ca="1">IF($J519="Continues",DATEDIF($B519,TODAY(),"Y"),INDEX('Lopettaneet 2013-&gt;'!$L:$L,MATCH($D519,'Lopettaneet 2013-&gt;'!$D:$D,0)))</f>
        <v>6</v>
      </c>
      <c r="L519">
        <v>259</v>
      </c>
    </row>
    <row r="520" spans="1:12" x14ac:dyDescent="0.25">
      <c r="A520" t="s">
        <v>0</v>
      </c>
      <c r="B520" s="1">
        <v>39965</v>
      </c>
      <c r="C520" s="1">
        <v>42094</v>
      </c>
      <c r="D520" s="4" t="s">
        <v>2640</v>
      </c>
      <c r="E520" t="s">
        <v>10</v>
      </c>
      <c r="F520" t="s">
        <v>4</v>
      </c>
      <c r="G520" t="s">
        <v>2919</v>
      </c>
      <c r="H520" t="s">
        <v>2932</v>
      </c>
      <c r="I520" t="s">
        <v>2909</v>
      </c>
      <c r="J520" t="str">
        <f>IF(ISNUMBER(MATCH($D520,'Lopettaneet 2013-&gt;'!$D:$D,0)),INDEX('Lopettaneet 2013-&gt;'!$K:$K,MATCH($D520,'Lopettaneet 2013-&gt;'!$D:$D,0)),"Continues")</f>
        <v>Closed</v>
      </c>
      <c r="K520">
        <f ca="1">IF($J520="Continues",DATEDIF($B520,TODAY(),"Y"),INDEX('Lopettaneet 2013-&gt;'!$L:$L,MATCH($D520,'Lopettaneet 2013-&gt;'!$D:$D,0)))</f>
        <v>5</v>
      </c>
      <c r="L520">
        <v>260</v>
      </c>
    </row>
    <row r="521" spans="1:12" x14ac:dyDescent="0.25">
      <c r="A521" t="s">
        <v>7</v>
      </c>
      <c r="B521" s="1">
        <v>41974</v>
      </c>
      <c r="C521" s="1">
        <v>55153</v>
      </c>
      <c r="D521" s="4" t="s">
        <v>744</v>
      </c>
      <c r="E521" t="s">
        <v>10</v>
      </c>
      <c r="F521" t="s">
        <v>11</v>
      </c>
      <c r="G521" t="s">
        <v>2916</v>
      </c>
      <c r="H521" t="s">
        <v>3006</v>
      </c>
      <c r="I521" t="s">
        <v>2895</v>
      </c>
      <c r="J521" t="str">
        <f>IF(ISNUMBER(MATCH($D521,'Lopettaneet 2013-&gt;'!$D:$D,0)),INDEX('Lopettaneet 2013-&gt;'!$K:$K,MATCH($D521,'Lopettaneet 2013-&gt;'!$D:$D,0)),"Continues")</f>
        <v>Continues</v>
      </c>
      <c r="K521">
        <f ca="1">IF($J521="Continues",DATEDIF($B521,TODAY(),"Y"),INDEX('Lopettaneet 2013-&gt;'!$L:$L,MATCH($D521,'Lopettaneet 2013-&gt;'!$D:$D,0)))</f>
        <v>10</v>
      </c>
      <c r="L521">
        <v>260</v>
      </c>
    </row>
    <row r="522" spans="1:12" x14ac:dyDescent="0.25">
      <c r="A522" t="s">
        <v>0</v>
      </c>
      <c r="B522" s="1">
        <v>41183</v>
      </c>
      <c r="C522" s="1">
        <v>43616</v>
      </c>
      <c r="D522" s="4" t="s">
        <v>2704</v>
      </c>
      <c r="E522" t="s">
        <v>10</v>
      </c>
      <c r="F522" t="s">
        <v>4</v>
      </c>
      <c r="G522" t="s">
        <v>2919</v>
      </c>
      <c r="H522" t="s">
        <v>2975</v>
      </c>
      <c r="I522" t="s">
        <v>2909</v>
      </c>
      <c r="J522" t="str">
        <f>IF(ISNUMBER(MATCH($D522,'Lopettaneet 2013-&gt;'!$D:$D,0)),INDEX('Lopettaneet 2013-&gt;'!$K:$K,MATCH($D522,'Lopettaneet 2013-&gt;'!$D:$D,0)),"Continues")</f>
        <v>Closed</v>
      </c>
      <c r="K522">
        <f ca="1">IF($J522="Continues",DATEDIF($B522,TODAY(),"Y"),INDEX('Lopettaneet 2013-&gt;'!$L:$L,MATCH($D522,'Lopettaneet 2013-&gt;'!$D:$D,0)))</f>
        <v>6</v>
      </c>
      <c r="L522">
        <v>261</v>
      </c>
    </row>
    <row r="523" spans="1:12" x14ac:dyDescent="0.25">
      <c r="A523" t="s">
        <v>7</v>
      </c>
      <c r="B523" s="1">
        <v>41974</v>
      </c>
      <c r="C523" s="1">
        <v>55153</v>
      </c>
      <c r="D523" s="4" t="s">
        <v>746</v>
      </c>
      <c r="E523" t="s">
        <v>10</v>
      </c>
      <c r="F523" t="s">
        <v>11</v>
      </c>
      <c r="G523" t="s">
        <v>2916</v>
      </c>
      <c r="H523" t="s">
        <v>2983</v>
      </c>
      <c r="I523" t="s">
        <v>2895</v>
      </c>
      <c r="J523" t="str">
        <f>IF(ISNUMBER(MATCH($D523,'Lopettaneet 2013-&gt;'!$D:$D,0)),INDEX('Lopettaneet 2013-&gt;'!$K:$K,MATCH($D523,'Lopettaneet 2013-&gt;'!$D:$D,0)),"Continues")</f>
        <v>Continues</v>
      </c>
      <c r="K523">
        <f ca="1">IF($J523="Continues",DATEDIF($B523,TODAY(),"Y"),INDEX('Lopettaneet 2013-&gt;'!$L:$L,MATCH($D523,'Lopettaneet 2013-&gt;'!$D:$D,0)))</f>
        <v>10</v>
      </c>
      <c r="L523">
        <v>261</v>
      </c>
    </row>
    <row r="524" spans="1:12" x14ac:dyDescent="0.25">
      <c r="A524" t="s">
        <v>0</v>
      </c>
      <c r="B524" s="1">
        <v>41153</v>
      </c>
      <c r="C524" s="1">
        <v>42766</v>
      </c>
      <c r="D524" s="4" t="s">
        <v>2706</v>
      </c>
      <c r="E524" t="s">
        <v>3</v>
      </c>
      <c r="F524" t="s">
        <v>4</v>
      </c>
      <c r="G524" t="s">
        <v>2917</v>
      </c>
      <c r="H524" t="s">
        <v>2909</v>
      </c>
      <c r="I524" t="s">
        <v>2909</v>
      </c>
      <c r="J524" t="str">
        <f>IF(ISNUMBER(MATCH($D524,'Lopettaneet 2013-&gt;'!$D:$D,0)),INDEX('Lopettaneet 2013-&gt;'!$K:$K,MATCH($D524,'Lopettaneet 2013-&gt;'!$D:$D,0)),"Continues")</f>
        <v>Merged</v>
      </c>
      <c r="K524">
        <f ca="1">IF($J524="Continues",DATEDIF($B524,TODAY(),"Y"),INDEX('Lopettaneet 2013-&gt;'!$L:$L,MATCH($D524,'Lopettaneet 2013-&gt;'!$D:$D,0)))</f>
        <v>4</v>
      </c>
      <c r="L524">
        <v>262</v>
      </c>
    </row>
    <row r="525" spans="1:12" x14ac:dyDescent="0.25">
      <c r="A525" t="s">
        <v>7</v>
      </c>
      <c r="B525" s="1">
        <v>41974</v>
      </c>
      <c r="C525" s="1">
        <v>55153</v>
      </c>
      <c r="D525" s="4" t="s">
        <v>748</v>
      </c>
      <c r="E525" t="s">
        <v>10</v>
      </c>
      <c r="F525" t="s">
        <v>11</v>
      </c>
      <c r="G525" t="s">
        <v>2916</v>
      </c>
      <c r="H525" t="s">
        <v>2983</v>
      </c>
      <c r="I525" t="s">
        <v>2895</v>
      </c>
      <c r="J525" t="str">
        <f>IF(ISNUMBER(MATCH($D525,'Lopettaneet 2013-&gt;'!$D:$D,0)),INDEX('Lopettaneet 2013-&gt;'!$K:$K,MATCH($D525,'Lopettaneet 2013-&gt;'!$D:$D,0)),"Continues")</f>
        <v>Continues</v>
      </c>
      <c r="K525">
        <f ca="1">IF($J525="Continues",DATEDIF($B525,TODAY(),"Y"),INDEX('Lopettaneet 2013-&gt;'!$L:$L,MATCH($D525,'Lopettaneet 2013-&gt;'!$D:$D,0)))</f>
        <v>10</v>
      </c>
      <c r="L525">
        <v>262</v>
      </c>
    </row>
    <row r="526" spans="1:12" x14ac:dyDescent="0.25">
      <c r="A526" t="s">
        <v>0</v>
      </c>
      <c r="B526" s="1">
        <v>41153</v>
      </c>
      <c r="C526" s="1">
        <v>42247</v>
      </c>
      <c r="D526" s="4" t="s">
        <v>2708</v>
      </c>
      <c r="E526" t="s">
        <v>3</v>
      </c>
      <c r="F526" t="s">
        <v>4</v>
      </c>
      <c r="G526" t="s">
        <v>2915</v>
      </c>
      <c r="H526" t="s">
        <v>2980</v>
      </c>
      <c r="I526" t="s">
        <v>2909</v>
      </c>
      <c r="J526" t="str">
        <f>IF(ISNUMBER(MATCH($D526,'Lopettaneet 2013-&gt;'!$D:$D,0)),INDEX('Lopettaneet 2013-&gt;'!$K:$K,MATCH($D526,'Lopettaneet 2013-&gt;'!$D:$D,0)),"Continues")</f>
        <v>Closed</v>
      </c>
      <c r="K526">
        <f ca="1">IF($J526="Continues",DATEDIF($B526,TODAY(),"Y"),INDEX('Lopettaneet 2013-&gt;'!$L:$L,MATCH($D526,'Lopettaneet 2013-&gt;'!$D:$D,0)))</f>
        <v>2</v>
      </c>
      <c r="L526">
        <v>263</v>
      </c>
    </row>
    <row r="527" spans="1:12" x14ac:dyDescent="0.25">
      <c r="A527" t="s">
        <v>7</v>
      </c>
      <c r="B527" s="1">
        <v>41974</v>
      </c>
      <c r="C527" s="1">
        <v>55153</v>
      </c>
      <c r="D527" s="4" t="s">
        <v>750</v>
      </c>
      <c r="E527" t="s">
        <v>10</v>
      </c>
      <c r="F527" t="s">
        <v>11</v>
      </c>
      <c r="G527" t="s">
        <v>2912</v>
      </c>
      <c r="H527" t="s">
        <v>2965</v>
      </c>
      <c r="I527" t="s">
        <v>2895</v>
      </c>
      <c r="J527" t="str">
        <f>IF(ISNUMBER(MATCH($D527,'Lopettaneet 2013-&gt;'!$D:$D,0)),INDEX('Lopettaneet 2013-&gt;'!$K:$K,MATCH($D527,'Lopettaneet 2013-&gt;'!$D:$D,0)),"Continues")</f>
        <v>Continues</v>
      </c>
      <c r="K527">
        <f ca="1">IF($J527="Continues",DATEDIF($B527,TODAY(),"Y"),INDEX('Lopettaneet 2013-&gt;'!$L:$L,MATCH($D527,'Lopettaneet 2013-&gt;'!$D:$D,0)))</f>
        <v>10</v>
      </c>
      <c r="L527">
        <v>263</v>
      </c>
    </row>
    <row r="528" spans="1:12" x14ac:dyDescent="0.25">
      <c r="A528" t="s">
        <v>0</v>
      </c>
      <c r="B528" s="1">
        <v>41244</v>
      </c>
      <c r="C528" s="1">
        <v>43830</v>
      </c>
      <c r="D528" s="4" t="s">
        <v>2602</v>
      </c>
      <c r="E528" t="s">
        <v>3</v>
      </c>
      <c r="F528" t="s">
        <v>4</v>
      </c>
      <c r="G528" t="s">
        <v>2917</v>
      </c>
      <c r="H528" t="s">
        <v>2946</v>
      </c>
      <c r="I528" t="s">
        <v>2909</v>
      </c>
      <c r="J528" t="str">
        <f>IF(ISNUMBER(MATCH($D528,'Lopettaneet 2013-&gt;'!$D:$D,0)),INDEX('Lopettaneet 2013-&gt;'!$K:$K,MATCH($D528,'Lopettaneet 2013-&gt;'!$D:$D,0)),"Continues")</f>
        <v>Merged</v>
      </c>
      <c r="K528">
        <f ca="1">IF($J528="Continues",DATEDIF($B528,TODAY(),"Y"),INDEX('Lopettaneet 2013-&gt;'!$L:$L,MATCH($D528,'Lopettaneet 2013-&gt;'!$D:$D,0)))</f>
        <v>7</v>
      </c>
      <c r="L528">
        <v>264</v>
      </c>
    </row>
    <row r="529" spans="1:12" x14ac:dyDescent="0.25">
      <c r="A529" t="s">
        <v>7</v>
      </c>
      <c r="B529" s="1">
        <v>41974</v>
      </c>
      <c r="C529" s="1">
        <v>55153</v>
      </c>
      <c r="D529" s="4" t="s">
        <v>752</v>
      </c>
      <c r="E529" t="s">
        <v>10</v>
      </c>
      <c r="F529" t="s">
        <v>11</v>
      </c>
      <c r="G529" t="s">
        <v>2914</v>
      </c>
      <c r="H529" t="s">
        <v>2995</v>
      </c>
      <c r="I529" t="s">
        <v>2895</v>
      </c>
      <c r="J529" t="str">
        <f>IF(ISNUMBER(MATCH($D529,'Lopettaneet 2013-&gt;'!$D:$D,0)),INDEX('Lopettaneet 2013-&gt;'!$K:$K,MATCH($D529,'Lopettaneet 2013-&gt;'!$D:$D,0)),"Continues")</f>
        <v>Continues</v>
      </c>
      <c r="K529">
        <f ca="1">IF($J529="Continues",DATEDIF($B529,TODAY(),"Y"),INDEX('Lopettaneet 2013-&gt;'!$L:$L,MATCH($D529,'Lopettaneet 2013-&gt;'!$D:$D,0)))</f>
        <v>10</v>
      </c>
      <c r="L529">
        <v>264</v>
      </c>
    </row>
    <row r="530" spans="1:12" x14ac:dyDescent="0.25">
      <c r="A530" t="s">
        <v>0</v>
      </c>
      <c r="B530" s="1">
        <v>41244</v>
      </c>
      <c r="C530" s="1">
        <v>43646</v>
      </c>
      <c r="D530" s="4" t="s">
        <v>2710</v>
      </c>
      <c r="E530" t="s">
        <v>3</v>
      </c>
      <c r="F530" t="s">
        <v>4</v>
      </c>
      <c r="G530" t="s">
        <v>2915</v>
      </c>
      <c r="H530" t="s">
        <v>2842</v>
      </c>
      <c r="I530" t="s">
        <v>2909</v>
      </c>
      <c r="J530" t="str">
        <f>IF(ISNUMBER(MATCH($D530,'Lopettaneet 2013-&gt;'!$D:$D,0)),INDEX('Lopettaneet 2013-&gt;'!$K:$K,MATCH($D530,'Lopettaneet 2013-&gt;'!$D:$D,0)),"Continues")</f>
        <v>Closed</v>
      </c>
      <c r="K530">
        <f ca="1">IF($J530="Continues",DATEDIF($B530,TODAY(),"Y"),INDEX('Lopettaneet 2013-&gt;'!$L:$L,MATCH($D530,'Lopettaneet 2013-&gt;'!$D:$D,0)))</f>
        <v>6</v>
      </c>
      <c r="L530">
        <v>265</v>
      </c>
    </row>
    <row r="531" spans="1:12" x14ac:dyDescent="0.25">
      <c r="A531" t="s">
        <v>7</v>
      </c>
      <c r="B531" s="1">
        <v>41974</v>
      </c>
      <c r="C531" s="1">
        <v>43100</v>
      </c>
      <c r="D531" s="4" t="s">
        <v>754</v>
      </c>
      <c r="E531" t="s">
        <v>10</v>
      </c>
      <c r="F531" t="s">
        <v>11</v>
      </c>
      <c r="G531" t="s">
        <v>2914</v>
      </c>
      <c r="H531" t="s">
        <v>2976</v>
      </c>
      <c r="I531" t="s">
        <v>2909</v>
      </c>
      <c r="J531" t="str">
        <f>IF(ISNUMBER(MATCH($D531,'Lopettaneet 2013-&gt;'!$D:$D,0)),INDEX('Lopettaneet 2013-&gt;'!$K:$K,MATCH($D531,'Lopettaneet 2013-&gt;'!$D:$D,0)),"Continues")</f>
        <v>Closed</v>
      </c>
      <c r="K531">
        <f ca="1">IF($J531="Continues",DATEDIF($B531,TODAY(),"Y"),INDEX('Lopettaneet 2013-&gt;'!$L:$L,MATCH($D531,'Lopettaneet 2013-&gt;'!$D:$D,0)))</f>
        <v>3</v>
      </c>
      <c r="L531">
        <v>266</v>
      </c>
    </row>
    <row r="532" spans="1:12" x14ac:dyDescent="0.25">
      <c r="A532" t="s">
        <v>7</v>
      </c>
      <c r="B532" s="1">
        <v>41974</v>
      </c>
      <c r="C532" s="1">
        <v>55153</v>
      </c>
      <c r="D532" s="4" t="s">
        <v>756</v>
      </c>
      <c r="E532" t="s">
        <v>10</v>
      </c>
      <c r="F532" t="s">
        <v>11</v>
      </c>
      <c r="G532" t="s">
        <v>2914</v>
      </c>
      <c r="H532" t="s">
        <v>2953</v>
      </c>
      <c r="I532" t="s">
        <v>2895</v>
      </c>
      <c r="J532" t="str">
        <f>IF(ISNUMBER(MATCH($D532,'Lopettaneet 2013-&gt;'!$D:$D,0)),INDEX('Lopettaneet 2013-&gt;'!$K:$K,MATCH($D532,'Lopettaneet 2013-&gt;'!$D:$D,0)),"Continues")</f>
        <v>Continues</v>
      </c>
      <c r="K532">
        <f ca="1">IF($J532="Continues",DATEDIF($B532,TODAY(),"Y"),INDEX('Lopettaneet 2013-&gt;'!$L:$L,MATCH($D532,'Lopettaneet 2013-&gt;'!$D:$D,0)))</f>
        <v>10</v>
      </c>
      <c r="L532">
        <v>267</v>
      </c>
    </row>
    <row r="533" spans="1:12" x14ac:dyDescent="0.25">
      <c r="A533" t="s">
        <v>7</v>
      </c>
      <c r="B533" s="1">
        <v>41974</v>
      </c>
      <c r="C533" s="1">
        <v>43100</v>
      </c>
      <c r="D533" s="4" t="s">
        <v>758</v>
      </c>
      <c r="E533" t="s">
        <v>10</v>
      </c>
      <c r="F533" t="s">
        <v>11</v>
      </c>
      <c r="G533" t="s">
        <v>2914</v>
      </c>
      <c r="H533" t="s">
        <v>2976</v>
      </c>
      <c r="I533" t="s">
        <v>2909</v>
      </c>
      <c r="J533" t="str">
        <f>IF(ISNUMBER(MATCH($D533,'Lopettaneet 2013-&gt;'!$D:$D,0)),INDEX('Lopettaneet 2013-&gt;'!$K:$K,MATCH($D533,'Lopettaneet 2013-&gt;'!$D:$D,0)),"Continues")</f>
        <v>Closed</v>
      </c>
      <c r="K533">
        <f ca="1">IF($J533="Continues",DATEDIF($B533,TODAY(),"Y"),INDEX('Lopettaneet 2013-&gt;'!$L:$L,MATCH($D533,'Lopettaneet 2013-&gt;'!$D:$D,0)))</f>
        <v>3</v>
      </c>
      <c r="L533">
        <v>268</v>
      </c>
    </row>
    <row r="534" spans="1:12" x14ac:dyDescent="0.25">
      <c r="A534" t="s">
        <v>7</v>
      </c>
      <c r="B534" s="1">
        <v>41974</v>
      </c>
      <c r="C534" s="1">
        <v>42277</v>
      </c>
      <c r="D534" s="4" t="s">
        <v>760</v>
      </c>
      <c r="E534" t="s">
        <v>10</v>
      </c>
      <c r="F534" t="s">
        <v>11</v>
      </c>
      <c r="G534" t="s">
        <v>2914</v>
      </c>
      <c r="H534" t="s">
        <v>2909</v>
      </c>
      <c r="I534" t="s">
        <v>2909</v>
      </c>
      <c r="J534" t="str">
        <f>IF(ISNUMBER(MATCH($D534,'Lopettaneet 2013-&gt;'!$D:$D,0)),INDEX('Lopettaneet 2013-&gt;'!$K:$K,MATCH($D534,'Lopettaneet 2013-&gt;'!$D:$D,0)),"Continues")</f>
        <v>Closed</v>
      </c>
      <c r="K534">
        <f ca="1">IF($J534="Continues",DATEDIF($B534,TODAY(),"Y"),INDEX('Lopettaneet 2013-&gt;'!$L:$L,MATCH($D534,'Lopettaneet 2013-&gt;'!$D:$D,0)))</f>
        <v>0</v>
      </c>
      <c r="L534">
        <v>269</v>
      </c>
    </row>
    <row r="535" spans="1:12" x14ac:dyDescent="0.25">
      <c r="A535" t="s">
        <v>7</v>
      </c>
      <c r="B535" s="1">
        <v>41974</v>
      </c>
      <c r="C535" s="1">
        <v>42277</v>
      </c>
      <c r="D535" s="4" t="s">
        <v>762</v>
      </c>
      <c r="E535" t="s">
        <v>10</v>
      </c>
      <c r="F535" t="s">
        <v>11</v>
      </c>
      <c r="G535" t="s">
        <v>2914</v>
      </c>
      <c r="H535" t="s">
        <v>2909</v>
      </c>
      <c r="I535" t="s">
        <v>2909</v>
      </c>
      <c r="J535" t="str">
        <f>IF(ISNUMBER(MATCH($D535,'Lopettaneet 2013-&gt;'!$D:$D,0)),INDEX('Lopettaneet 2013-&gt;'!$K:$K,MATCH($D535,'Lopettaneet 2013-&gt;'!$D:$D,0)),"Continues")</f>
        <v>Closed</v>
      </c>
      <c r="K535">
        <f ca="1">IF($J535="Continues",DATEDIF($B535,TODAY(),"Y"),INDEX('Lopettaneet 2013-&gt;'!$L:$L,MATCH($D535,'Lopettaneet 2013-&gt;'!$D:$D,0)))</f>
        <v>0</v>
      </c>
      <c r="L535">
        <v>270</v>
      </c>
    </row>
    <row r="536" spans="1:12" x14ac:dyDescent="0.25">
      <c r="A536" t="s">
        <v>7</v>
      </c>
      <c r="B536" s="1">
        <v>41974</v>
      </c>
      <c r="C536" s="1">
        <v>42277</v>
      </c>
      <c r="D536" s="4" t="s">
        <v>764</v>
      </c>
      <c r="E536" t="s">
        <v>10</v>
      </c>
      <c r="F536" t="s">
        <v>11</v>
      </c>
      <c r="G536" t="s">
        <v>2914</v>
      </c>
      <c r="H536" t="s">
        <v>2940</v>
      </c>
      <c r="I536" t="s">
        <v>2909</v>
      </c>
      <c r="J536" t="str">
        <f>IF(ISNUMBER(MATCH($D536,'Lopettaneet 2013-&gt;'!$D:$D,0)),INDEX('Lopettaneet 2013-&gt;'!$K:$K,MATCH($D536,'Lopettaneet 2013-&gt;'!$D:$D,0)),"Continues")</f>
        <v>Closed</v>
      </c>
      <c r="K536">
        <f ca="1">IF($J536="Continues",DATEDIF($B536,TODAY(),"Y"),INDEX('Lopettaneet 2013-&gt;'!$L:$L,MATCH($D536,'Lopettaneet 2013-&gt;'!$D:$D,0)))</f>
        <v>0</v>
      </c>
      <c r="L536">
        <v>271</v>
      </c>
    </row>
    <row r="537" spans="1:12" x14ac:dyDescent="0.25">
      <c r="A537" t="s">
        <v>7</v>
      </c>
      <c r="B537" s="1">
        <v>41974</v>
      </c>
      <c r="C537" s="1">
        <v>42277</v>
      </c>
      <c r="D537" s="4" t="s">
        <v>766</v>
      </c>
      <c r="E537" t="s">
        <v>10</v>
      </c>
      <c r="F537" t="s">
        <v>11</v>
      </c>
      <c r="G537" t="s">
        <v>2914</v>
      </c>
      <c r="H537" t="s">
        <v>2940</v>
      </c>
      <c r="I537" t="s">
        <v>2909</v>
      </c>
      <c r="J537" t="str">
        <f>IF(ISNUMBER(MATCH($D537,'Lopettaneet 2013-&gt;'!$D:$D,0)),INDEX('Lopettaneet 2013-&gt;'!$K:$K,MATCH($D537,'Lopettaneet 2013-&gt;'!$D:$D,0)),"Continues")</f>
        <v>Closed</v>
      </c>
      <c r="K537">
        <f ca="1">IF($J537="Continues",DATEDIF($B537,TODAY(),"Y"),INDEX('Lopettaneet 2013-&gt;'!$L:$L,MATCH($D537,'Lopettaneet 2013-&gt;'!$D:$D,0)))</f>
        <v>0</v>
      </c>
      <c r="L537">
        <v>272</v>
      </c>
    </row>
    <row r="538" spans="1:12" x14ac:dyDescent="0.25">
      <c r="A538" t="s">
        <v>7</v>
      </c>
      <c r="B538" s="1">
        <v>41974</v>
      </c>
      <c r="C538" s="1">
        <v>42277</v>
      </c>
      <c r="D538" s="4" t="s">
        <v>768</v>
      </c>
      <c r="E538" t="s">
        <v>10</v>
      </c>
      <c r="F538" t="s">
        <v>11</v>
      </c>
      <c r="G538" t="s">
        <v>2914</v>
      </c>
      <c r="H538" t="s">
        <v>2909</v>
      </c>
      <c r="I538" t="s">
        <v>2909</v>
      </c>
      <c r="J538" t="str">
        <f>IF(ISNUMBER(MATCH($D538,'Lopettaneet 2013-&gt;'!$D:$D,0)),INDEX('Lopettaneet 2013-&gt;'!$K:$K,MATCH($D538,'Lopettaneet 2013-&gt;'!$D:$D,0)),"Continues")</f>
        <v>Closed</v>
      </c>
      <c r="K538">
        <f ca="1">IF($J538="Continues",DATEDIF($B538,TODAY(),"Y"),INDEX('Lopettaneet 2013-&gt;'!$L:$L,MATCH($D538,'Lopettaneet 2013-&gt;'!$D:$D,0)))</f>
        <v>0</v>
      </c>
      <c r="L538">
        <v>273</v>
      </c>
    </row>
    <row r="539" spans="1:12" x14ac:dyDescent="0.25">
      <c r="A539" t="s">
        <v>7</v>
      </c>
      <c r="B539" s="1">
        <v>41974</v>
      </c>
      <c r="C539" s="1">
        <v>42277</v>
      </c>
      <c r="D539" s="4" t="s">
        <v>770</v>
      </c>
      <c r="E539" t="s">
        <v>10</v>
      </c>
      <c r="F539" t="s">
        <v>11</v>
      </c>
      <c r="G539" t="s">
        <v>2914</v>
      </c>
      <c r="H539" t="s">
        <v>2940</v>
      </c>
      <c r="I539" t="s">
        <v>2909</v>
      </c>
      <c r="J539" t="str">
        <f>IF(ISNUMBER(MATCH($D539,'Lopettaneet 2013-&gt;'!$D:$D,0)),INDEX('Lopettaneet 2013-&gt;'!$K:$K,MATCH($D539,'Lopettaneet 2013-&gt;'!$D:$D,0)),"Continues")</f>
        <v>Closed</v>
      </c>
      <c r="K539">
        <f ca="1">IF($J539="Continues",DATEDIF($B539,TODAY(),"Y"),INDEX('Lopettaneet 2013-&gt;'!$L:$L,MATCH($D539,'Lopettaneet 2013-&gt;'!$D:$D,0)))</f>
        <v>0</v>
      </c>
      <c r="L539">
        <v>274</v>
      </c>
    </row>
    <row r="540" spans="1:12" x14ac:dyDescent="0.25">
      <c r="A540" t="s">
        <v>7</v>
      </c>
      <c r="B540" s="1">
        <v>41974</v>
      </c>
      <c r="C540" s="1">
        <v>42277</v>
      </c>
      <c r="D540" s="4" t="s">
        <v>772</v>
      </c>
      <c r="E540" t="s">
        <v>10</v>
      </c>
      <c r="F540" t="s">
        <v>11</v>
      </c>
      <c r="G540" t="s">
        <v>2914</v>
      </c>
      <c r="H540" t="s">
        <v>2940</v>
      </c>
      <c r="I540" t="s">
        <v>2909</v>
      </c>
      <c r="J540" t="str">
        <f>IF(ISNUMBER(MATCH($D540,'Lopettaneet 2013-&gt;'!$D:$D,0)),INDEX('Lopettaneet 2013-&gt;'!$K:$K,MATCH($D540,'Lopettaneet 2013-&gt;'!$D:$D,0)),"Continues")</f>
        <v>Closed</v>
      </c>
      <c r="K540">
        <f ca="1">IF($J540="Continues",DATEDIF($B540,TODAY(),"Y"),INDEX('Lopettaneet 2013-&gt;'!$L:$L,MATCH($D540,'Lopettaneet 2013-&gt;'!$D:$D,0)))</f>
        <v>0</v>
      </c>
      <c r="L540">
        <v>275</v>
      </c>
    </row>
    <row r="541" spans="1:12" x14ac:dyDescent="0.25">
      <c r="A541" t="s">
        <v>7</v>
      </c>
      <c r="B541" s="1">
        <v>41974</v>
      </c>
      <c r="C541" s="1">
        <v>55153</v>
      </c>
      <c r="D541" s="4" t="s">
        <v>774</v>
      </c>
      <c r="E541" t="s">
        <v>10</v>
      </c>
      <c r="F541" t="s">
        <v>11</v>
      </c>
      <c r="G541" t="s">
        <v>2916</v>
      </c>
      <c r="H541" t="s">
        <v>2977</v>
      </c>
      <c r="I541" t="s">
        <v>2895</v>
      </c>
      <c r="J541" t="str">
        <f>IF(ISNUMBER(MATCH($D541,'Lopettaneet 2013-&gt;'!$D:$D,0)),INDEX('Lopettaneet 2013-&gt;'!$K:$K,MATCH($D541,'Lopettaneet 2013-&gt;'!$D:$D,0)),"Continues")</f>
        <v>Continues</v>
      </c>
      <c r="K541">
        <f ca="1">IF($J541="Continues",DATEDIF($B541,TODAY(),"Y"),INDEX('Lopettaneet 2013-&gt;'!$L:$L,MATCH($D541,'Lopettaneet 2013-&gt;'!$D:$D,0)))</f>
        <v>10</v>
      </c>
      <c r="L541">
        <v>276</v>
      </c>
    </row>
    <row r="542" spans="1:12" x14ac:dyDescent="0.25">
      <c r="A542" t="s">
        <v>7</v>
      </c>
      <c r="B542" s="1">
        <v>41974</v>
      </c>
      <c r="C542" s="1">
        <v>43830</v>
      </c>
      <c r="D542" s="4" t="s">
        <v>776</v>
      </c>
      <c r="E542" t="s">
        <v>10</v>
      </c>
      <c r="F542" t="s">
        <v>11</v>
      </c>
      <c r="G542" t="s">
        <v>2914</v>
      </c>
      <c r="H542" t="s">
        <v>2953</v>
      </c>
      <c r="I542" t="s">
        <v>2909</v>
      </c>
      <c r="J542" t="str">
        <f>IF(ISNUMBER(MATCH($D542,'Lopettaneet 2013-&gt;'!$D:$D,0)),INDEX('Lopettaneet 2013-&gt;'!$K:$K,MATCH($D542,'Lopettaneet 2013-&gt;'!$D:$D,0)),"Continues")</f>
        <v>Closed</v>
      </c>
      <c r="K542">
        <f ca="1">IF($J542="Continues",DATEDIF($B542,TODAY(),"Y"),INDEX('Lopettaneet 2013-&gt;'!$L:$L,MATCH($D542,'Lopettaneet 2013-&gt;'!$D:$D,0)))</f>
        <v>5</v>
      </c>
      <c r="L542">
        <v>277</v>
      </c>
    </row>
    <row r="543" spans="1:12" x14ac:dyDescent="0.25">
      <c r="A543" t="s">
        <v>7</v>
      </c>
      <c r="B543" s="1">
        <v>41974</v>
      </c>
      <c r="C543" s="1">
        <v>55153</v>
      </c>
      <c r="D543" s="4" t="s">
        <v>778</v>
      </c>
      <c r="E543" t="s">
        <v>10</v>
      </c>
      <c r="F543" t="s">
        <v>11</v>
      </c>
      <c r="G543" t="s">
        <v>2916</v>
      </c>
      <c r="H543" t="s">
        <v>3066</v>
      </c>
      <c r="I543" t="s">
        <v>2895</v>
      </c>
      <c r="J543" t="str">
        <f>IF(ISNUMBER(MATCH($D543,'Lopettaneet 2013-&gt;'!$D:$D,0)),INDEX('Lopettaneet 2013-&gt;'!$K:$K,MATCH($D543,'Lopettaneet 2013-&gt;'!$D:$D,0)),"Continues")</f>
        <v>Continues</v>
      </c>
      <c r="K543">
        <f ca="1">IF($J543="Continues",DATEDIF($B543,TODAY(),"Y"),INDEX('Lopettaneet 2013-&gt;'!$L:$L,MATCH($D543,'Lopettaneet 2013-&gt;'!$D:$D,0)))</f>
        <v>10</v>
      </c>
      <c r="L543">
        <v>278</v>
      </c>
    </row>
    <row r="544" spans="1:12" x14ac:dyDescent="0.25">
      <c r="A544" t="s">
        <v>7</v>
      </c>
      <c r="B544" s="1">
        <v>41974</v>
      </c>
      <c r="C544" s="1">
        <v>55153</v>
      </c>
      <c r="D544" s="4" t="s">
        <v>780</v>
      </c>
      <c r="E544" t="s">
        <v>10</v>
      </c>
      <c r="F544" t="s">
        <v>11</v>
      </c>
      <c r="G544" t="s">
        <v>2916</v>
      </c>
      <c r="H544" t="s">
        <v>3066</v>
      </c>
      <c r="I544" t="s">
        <v>2895</v>
      </c>
      <c r="J544" t="str">
        <f>IF(ISNUMBER(MATCH($D544,'Lopettaneet 2013-&gt;'!$D:$D,0)),INDEX('Lopettaneet 2013-&gt;'!$K:$K,MATCH($D544,'Lopettaneet 2013-&gt;'!$D:$D,0)),"Continues")</f>
        <v>Continues</v>
      </c>
      <c r="K544">
        <f ca="1">IF($J544="Continues",DATEDIF($B544,TODAY(),"Y"),INDEX('Lopettaneet 2013-&gt;'!$L:$L,MATCH($D544,'Lopettaneet 2013-&gt;'!$D:$D,0)))</f>
        <v>10</v>
      </c>
      <c r="L544">
        <v>279</v>
      </c>
    </row>
    <row r="545" spans="1:12" x14ac:dyDescent="0.25">
      <c r="A545" t="s">
        <v>7</v>
      </c>
      <c r="B545" s="1">
        <v>41974</v>
      </c>
      <c r="C545" s="1">
        <v>43830</v>
      </c>
      <c r="D545" s="4" t="s">
        <v>782</v>
      </c>
      <c r="E545" t="s">
        <v>10</v>
      </c>
      <c r="F545" t="s">
        <v>11</v>
      </c>
      <c r="G545" t="s">
        <v>2914</v>
      </c>
      <c r="H545" t="s">
        <v>2953</v>
      </c>
      <c r="I545" t="s">
        <v>2909</v>
      </c>
      <c r="J545" t="str">
        <f>IF(ISNUMBER(MATCH($D545,'Lopettaneet 2013-&gt;'!$D:$D,0)),INDEX('Lopettaneet 2013-&gt;'!$K:$K,MATCH($D545,'Lopettaneet 2013-&gt;'!$D:$D,0)),"Continues")</f>
        <v>Closed</v>
      </c>
      <c r="K545">
        <f ca="1">IF($J545="Continues",DATEDIF($B545,TODAY(),"Y"),INDEX('Lopettaneet 2013-&gt;'!$L:$L,MATCH($D545,'Lopettaneet 2013-&gt;'!$D:$D,0)))</f>
        <v>5</v>
      </c>
      <c r="L545">
        <v>280</v>
      </c>
    </row>
    <row r="546" spans="1:12" x14ac:dyDescent="0.25">
      <c r="A546" t="s">
        <v>7</v>
      </c>
      <c r="B546" s="1">
        <v>41974</v>
      </c>
      <c r="C546" s="1">
        <v>43830</v>
      </c>
      <c r="D546" s="4" t="s">
        <v>784</v>
      </c>
      <c r="E546" t="s">
        <v>10</v>
      </c>
      <c r="F546" t="s">
        <v>11</v>
      </c>
      <c r="G546" t="s">
        <v>2914</v>
      </c>
      <c r="H546" t="s">
        <v>2953</v>
      </c>
      <c r="I546" t="s">
        <v>2909</v>
      </c>
      <c r="J546" t="str">
        <f>IF(ISNUMBER(MATCH($D546,'Lopettaneet 2013-&gt;'!$D:$D,0)),INDEX('Lopettaneet 2013-&gt;'!$K:$K,MATCH($D546,'Lopettaneet 2013-&gt;'!$D:$D,0)),"Continues")</f>
        <v>Closed</v>
      </c>
      <c r="K546">
        <f ca="1">IF($J546="Continues",DATEDIF($B546,TODAY(),"Y"),INDEX('Lopettaneet 2013-&gt;'!$L:$L,MATCH($D546,'Lopettaneet 2013-&gt;'!$D:$D,0)))</f>
        <v>5</v>
      </c>
      <c r="L546">
        <v>281</v>
      </c>
    </row>
    <row r="547" spans="1:12" x14ac:dyDescent="0.25">
      <c r="A547" t="s">
        <v>7</v>
      </c>
      <c r="B547" s="1">
        <v>41974</v>
      </c>
      <c r="C547" s="1">
        <v>55153</v>
      </c>
      <c r="D547" s="4" t="s">
        <v>786</v>
      </c>
      <c r="E547" t="s">
        <v>10</v>
      </c>
      <c r="F547" t="s">
        <v>11</v>
      </c>
      <c r="G547" t="s">
        <v>2914</v>
      </c>
      <c r="H547" t="s">
        <v>2953</v>
      </c>
      <c r="I547" t="s">
        <v>2895</v>
      </c>
      <c r="J547" t="str">
        <f>IF(ISNUMBER(MATCH($D547,'Lopettaneet 2013-&gt;'!$D:$D,0)),INDEX('Lopettaneet 2013-&gt;'!$K:$K,MATCH($D547,'Lopettaneet 2013-&gt;'!$D:$D,0)),"Continues")</f>
        <v>Continues</v>
      </c>
      <c r="K547">
        <f ca="1">IF($J547="Continues",DATEDIF($B547,TODAY(),"Y"),INDEX('Lopettaneet 2013-&gt;'!$L:$L,MATCH($D547,'Lopettaneet 2013-&gt;'!$D:$D,0)))</f>
        <v>10</v>
      </c>
      <c r="L547">
        <v>282</v>
      </c>
    </row>
    <row r="548" spans="1:12" x14ac:dyDescent="0.25">
      <c r="A548" t="s">
        <v>7</v>
      </c>
      <c r="B548" s="1">
        <v>41974</v>
      </c>
      <c r="C548" s="1">
        <v>43921</v>
      </c>
      <c r="D548" s="4" t="s">
        <v>788</v>
      </c>
      <c r="E548" t="s">
        <v>10</v>
      </c>
      <c r="F548" t="s">
        <v>11</v>
      </c>
      <c r="G548" t="s">
        <v>2914</v>
      </c>
      <c r="H548" t="s">
        <v>2909</v>
      </c>
      <c r="I548" t="s">
        <v>2909</v>
      </c>
      <c r="J548" t="str">
        <f>IF(ISNUMBER(MATCH($D548,'Lopettaneet 2013-&gt;'!$D:$D,0)),INDEX('Lopettaneet 2013-&gt;'!$K:$K,MATCH($D548,'Lopettaneet 2013-&gt;'!$D:$D,0)),"Continues")</f>
        <v>Closed</v>
      </c>
      <c r="K548">
        <f ca="1">IF($J548="Continues",DATEDIF($B548,TODAY(),"Y"),INDEX('Lopettaneet 2013-&gt;'!$L:$L,MATCH($D548,'Lopettaneet 2013-&gt;'!$D:$D,0)))</f>
        <v>5</v>
      </c>
      <c r="L548">
        <v>283</v>
      </c>
    </row>
    <row r="549" spans="1:12" x14ac:dyDescent="0.25">
      <c r="A549" t="s">
        <v>7</v>
      </c>
      <c r="B549" s="1">
        <v>41974</v>
      </c>
      <c r="C549" s="1">
        <v>43921</v>
      </c>
      <c r="D549" s="4" t="s">
        <v>790</v>
      </c>
      <c r="E549" t="s">
        <v>10</v>
      </c>
      <c r="F549" t="s">
        <v>11</v>
      </c>
      <c r="G549" t="s">
        <v>2914</v>
      </c>
      <c r="H549" t="s">
        <v>2909</v>
      </c>
      <c r="I549" t="s">
        <v>2909</v>
      </c>
      <c r="J549" t="str">
        <f>IF(ISNUMBER(MATCH($D549,'Lopettaneet 2013-&gt;'!$D:$D,0)),INDEX('Lopettaneet 2013-&gt;'!$K:$K,MATCH($D549,'Lopettaneet 2013-&gt;'!$D:$D,0)),"Continues")</f>
        <v>Closed</v>
      </c>
      <c r="K549">
        <f ca="1">IF($J549="Continues",DATEDIF($B549,TODAY(),"Y"),INDEX('Lopettaneet 2013-&gt;'!$L:$L,MATCH($D549,'Lopettaneet 2013-&gt;'!$D:$D,0)))</f>
        <v>5</v>
      </c>
      <c r="L549">
        <v>284</v>
      </c>
    </row>
    <row r="550" spans="1:12" x14ac:dyDescent="0.25">
      <c r="A550" t="s">
        <v>7</v>
      </c>
      <c r="B550" s="1">
        <v>41974</v>
      </c>
      <c r="C550" s="1">
        <v>43921</v>
      </c>
      <c r="D550" s="4" t="s">
        <v>792</v>
      </c>
      <c r="E550" t="s">
        <v>10</v>
      </c>
      <c r="F550" t="s">
        <v>11</v>
      </c>
      <c r="G550" t="s">
        <v>2914</v>
      </c>
      <c r="H550" t="s">
        <v>2909</v>
      </c>
      <c r="I550" t="s">
        <v>2909</v>
      </c>
      <c r="J550" t="str">
        <f>IF(ISNUMBER(MATCH($D550,'Lopettaneet 2013-&gt;'!$D:$D,0)),INDEX('Lopettaneet 2013-&gt;'!$K:$K,MATCH($D550,'Lopettaneet 2013-&gt;'!$D:$D,0)),"Continues")</f>
        <v>Closed</v>
      </c>
      <c r="K550">
        <f ca="1">IF($J550="Continues",DATEDIF($B550,TODAY(),"Y"),INDEX('Lopettaneet 2013-&gt;'!$L:$L,MATCH($D550,'Lopettaneet 2013-&gt;'!$D:$D,0)))</f>
        <v>5</v>
      </c>
      <c r="L550">
        <v>285</v>
      </c>
    </row>
    <row r="551" spans="1:12" x14ac:dyDescent="0.25">
      <c r="A551" t="s">
        <v>7</v>
      </c>
      <c r="B551" s="1">
        <v>41974</v>
      </c>
      <c r="C551" s="1">
        <v>43465</v>
      </c>
      <c r="D551" s="4" t="s">
        <v>794</v>
      </c>
      <c r="E551" t="s">
        <v>10</v>
      </c>
      <c r="F551" t="s">
        <v>11</v>
      </c>
      <c r="G551" t="s">
        <v>2914</v>
      </c>
      <c r="H551" t="s">
        <v>2955</v>
      </c>
      <c r="I551" t="s">
        <v>2909</v>
      </c>
      <c r="J551" t="str">
        <f>IF(ISNUMBER(MATCH($D551,'Lopettaneet 2013-&gt;'!$D:$D,0)),INDEX('Lopettaneet 2013-&gt;'!$K:$K,MATCH($D551,'Lopettaneet 2013-&gt;'!$D:$D,0)),"Continues")</f>
        <v>Closed</v>
      </c>
      <c r="K551">
        <f ca="1">IF($J551="Continues",DATEDIF($B551,TODAY(),"Y"),INDEX('Lopettaneet 2013-&gt;'!$L:$L,MATCH($D551,'Lopettaneet 2013-&gt;'!$D:$D,0)))</f>
        <v>4</v>
      </c>
      <c r="L551">
        <v>286</v>
      </c>
    </row>
    <row r="552" spans="1:12" x14ac:dyDescent="0.25">
      <c r="A552" t="s">
        <v>7</v>
      </c>
      <c r="B552" s="1">
        <v>41974</v>
      </c>
      <c r="C552" s="1">
        <v>42735</v>
      </c>
      <c r="D552" s="4" t="s">
        <v>796</v>
      </c>
      <c r="E552" t="s">
        <v>10</v>
      </c>
      <c r="F552" t="s">
        <v>11</v>
      </c>
      <c r="G552" t="s">
        <v>2912</v>
      </c>
      <c r="H552" t="s">
        <v>2909</v>
      </c>
      <c r="I552" t="s">
        <v>2909</v>
      </c>
      <c r="J552" t="str">
        <f>IF(ISNUMBER(MATCH($D552,'Lopettaneet 2013-&gt;'!$D:$D,0)),INDEX('Lopettaneet 2013-&gt;'!$K:$K,MATCH($D552,'Lopettaneet 2013-&gt;'!$D:$D,0)),"Continues")</f>
        <v>Closed</v>
      </c>
      <c r="K552">
        <f ca="1">IF($J552="Continues",DATEDIF($B552,TODAY(),"Y"),INDEX('Lopettaneet 2013-&gt;'!$L:$L,MATCH($D552,'Lopettaneet 2013-&gt;'!$D:$D,0)))</f>
        <v>2</v>
      </c>
      <c r="L552">
        <v>287</v>
      </c>
    </row>
    <row r="553" spans="1:12" x14ac:dyDescent="0.25">
      <c r="A553" t="s">
        <v>7</v>
      </c>
      <c r="B553" s="1">
        <v>41974</v>
      </c>
      <c r="C553" s="1">
        <v>42369</v>
      </c>
      <c r="D553" s="4" t="s">
        <v>798</v>
      </c>
      <c r="E553" t="s">
        <v>10</v>
      </c>
      <c r="F553" t="s">
        <v>11</v>
      </c>
      <c r="G553" t="s">
        <v>2914</v>
      </c>
      <c r="H553" t="s">
        <v>2942</v>
      </c>
      <c r="I553" t="s">
        <v>2909</v>
      </c>
      <c r="J553" t="str">
        <f>IF(ISNUMBER(MATCH($D553,'Lopettaneet 2013-&gt;'!$D:$D,0)),INDEX('Lopettaneet 2013-&gt;'!$K:$K,MATCH($D553,'Lopettaneet 2013-&gt;'!$D:$D,0)),"Continues")</f>
        <v>Closed</v>
      </c>
      <c r="K553">
        <f ca="1">IF($J553="Continues",DATEDIF($B553,TODAY(),"Y"),INDEX('Lopettaneet 2013-&gt;'!$L:$L,MATCH($D553,'Lopettaneet 2013-&gt;'!$D:$D,0)))</f>
        <v>1</v>
      </c>
      <c r="L553">
        <v>288</v>
      </c>
    </row>
    <row r="554" spans="1:12" x14ac:dyDescent="0.25">
      <c r="A554" t="s">
        <v>7</v>
      </c>
      <c r="B554" s="1">
        <v>41974</v>
      </c>
      <c r="C554" s="1">
        <v>45291</v>
      </c>
      <c r="D554" s="4" t="s">
        <v>30</v>
      </c>
      <c r="E554" t="s">
        <v>10</v>
      </c>
      <c r="F554" t="s">
        <v>11</v>
      </c>
      <c r="G554" t="s">
        <v>2914</v>
      </c>
      <c r="H554" t="s">
        <v>2946</v>
      </c>
      <c r="I554" t="s">
        <v>2909</v>
      </c>
      <c r="J554" t="str">
        <f>IF(ISNUMBER(MATCH($D554,'Lopettaneet 2013-&gt;'!$D:$D,0)),INDEX('Lopettaneet 2013-&gt;'!$K:$K,MATCH($D554,'Lopettaneet 2013-&gt;'!$D:$D,0)),"Continues")</f>
        <v>Closed</v>
      </c>
      <c r="K554">
        <f ca="1">IF($J554="Continues",DATEDIF($B554,TODAY(),"Y"),INDEX('Lopettaneet 2013-&gt;'!$L:$L,MATCH($D554,'Lopettaneet 2013-&gt;'!$D:$D,0)))</f>
        <v>9</v>
      </c>
      <c r="L554">
        <v>289</v>
      </c>
    </row>
    <row r="555" spans="1:12" x14ac:dyDescent="0.25">
      <c r="A555" t="s">
        <v>7</v>
      </c>
      <c r="B555" s="1">
        <v>41974</v>
      </c>
      <c r="C555" s="1">
        <v>55153</v>
      </c>
      <c r="D555" s="4" t="s">
        <v>800</v>
      </c>
      <c r="E555" t="s">
        <v>10</v>
      </c>
      <c r="F555" t="s">
        <v>11</v>
      </c>
      <c r="G555" t="s">
        <v>2918</v>
      </c>
      <c r="H555" t="s">
        <v>2962</v>
      </c>
      <c r="I555" t="s">
        <v>2895</v>
      </c>
      <c r="J555" t="str">
        <f>IF(ISNUMBER(MATCH($D555,'Lopettaneet 2013-&gt;'!$D:$D,0)),INDEX('Lopettaneet 2013-&gt;'!$K:$K,MATCH($D555,'Lopettaneet 2013-&gt;'!$D:$D,0)),"Continues")</f>
        <v>Continues</v>
      </c>
      <c r="K555">
        <f ca="1">IF($J555="Continues",DATEDIF($B555,TODAY(),"Y"),INDEX('Lopettaneet 2013-&gt;'!$L:$L,MATCH($D555,'Lopettaneet 2013-&gt;'!$D:$D,0)))</f>
        <v>10</v>
      </c>
      <c r="L555">
        <v>290</v>
      </c>
    </row>
    <row r="556" spans="1:12" x14ac:dyDescent="0.25">
      <c r="A556" t="s">
        <v>7</v>
      </c>
      <c r="B556" s="1">
        <v>41974</v>
      </c>
      <c r="C556" s="1">
        <v>42369</v>
      </c>
      <c r="D556" s="4" t="s">
        <v>802</v>
      </c>
      <c r="E556" t="s">
        <v>10</v>
      </c>
      <c r="F556" t="s">
        <v>11</v>
      </c>
      <c r="G556" t="s">
        <v>2914</v>
      </c>
      <c r="H556" t="s">
        <v>2942</v>
      </c>
      <c r="I556" t="s">
        <v>2909</v>
      </c>
      <c r="J556" t="str">
        <f>IF(ISNUMBER(MATCH($D556,'Lopettaneet 2013-&gt;'!$D:$D,0)),INDEX('Lopettaneet 2013-&gt;'!$K:$K,MATCH($D556,'Lopettaneet 2013-&gt;'!$D:$D,0)),"Continues")</f>
        <v>Closed</v>
      </c>
      <c r="K556">
        <f ca="1">IF($J556="Continues",DATEDIF($B556,TODAY(),"Y"),INDEX('Lopettaneet 2013-&gt;'!$L:$L,MATCH($D556,'Lopettaneet 2013-&gt;'!$D:$D,0)))</f>
        <v>1</v>
      </c>
      <c r="L556">
        <v>291</v>
      </c>
    </row>
    <row r="557" spans="1:12" x14ac:dyDescent="0.25">
      <c r="A557" t="s">
        <v>7</v>
      </c>
      <c r="B557" s="1">
        <v>41974</v>
      </c>
      <c r="C557" s="1">
        <v>42460</v>
      </c>
      <c r="D557" s="4" t="s">
        <v>804</v>
      </c>
      <c r="E557" t="s">
        <v>10</v>
      </c>
      <c r="F557" t="s">
        <v>11</v>
      </c>
      <c r="G557" t="s">
        <v>2914</v>
      </c>
      <c r="H557" t="s">
        <v>2931</v>
      </c>
      <c r="I557" t="s">
        <v>2909</v>
      </c>
      <c r="J557" t="str">
        <f>IF(ISNUMBER(MATCH($D557,'Lopettaneet 2013-&gt;'!$D:$D,0)),INDEX('Lopettaneet 2013-&gt;'!$K:$K,MATCH($D557,'Lopettaneet 2013-&gt;'!$D:$D,0)),"Continues")</f>
        <v>Closed</v>
      </c>
      <c r="K557">
        <f ca="1">IF($J557="Continues",DATEDIF($B557,TODAY(),"Y"),INDEX('Lopettaneet 2013-&gt;'!$L:$L,MATCH($D557,'Lopettaneet 2013-&gt;'!$D:$D,0)))</f>
        <v>1</v>
      </c>
      <c r="L557">
        <v>292</v>
      </c>
    </row>
    <row r="558" spans="1:12" x14ac:dyDescent="0.25">
      <c r="A558" t="s">
        <v>7</v>
      </c>
      <c r="B558" s="1">
        <v>41974</v>
      </c>
      <c r="C558" s="1">
        <v>43100</v>
      </c>
      <c r="D558" s="4" t="s">
        <v>806</v>
      </c>
      <c r="E558" t="s">
        <v>10</v>
      </c>
      <c r="F558" t="s">
        <v>11</v>
      </c>
      <c r="G558" t="s">
        <v>2919</v>
      </c>
      <c r="H558" t="s">
        <v>2909</v>
      </c>
      <c r="I558" t="s">
        <v>2909</v>
      </c>
      <c r="J558" t="str">
        <f>IF(ISNUMBER(MATCH($D558,'Lopettaneet 2013-&gt;'!$D:$D,0)),INDEX('Lopettaneet 2013-&gt;'!$K:$K,MATCH($D558,'Lopettaneet 2013-&gt;'!$D:$D,0)),"Continues")</f>
        <v>Closed</v>
      </c>
      <c r="K558">
        <f ca="1">IF($J558="Continues",DATEDIF($B558,TODAY(),"Y"),INDEX('Lopettaneet 2013-&gt;'!$L:$L,MATCH($D558,'Lopettaneet 2013-&gt;'!$D:$D,0)))</f>
        <v>3</v>
      </c>
      <c r="L558">
        <v>293</v>
      </c>
    </row>
    <row r="559" spans="1:12" x14ac:dyDescent="0.25">
      <c r="A559" t="s">
        <v>7</v>
      </c>
      <c r="B559" s="1">
        <v>41974</v>
      </c>
      <c r="C559" s="1">
        <v>43373</v>
      </c>
      <c r="D559" s="4" t="s">
        <v>808</v>
      </c>
      <c r="E559" t="s">
        <v>10</v>
      </c>
      <c r="F559" t="s">
        <v>11</v>
      </c>
      <c r="G559" t="s">
        <v>2912</v>
      </c>
      <c r="H559" t="s">
        <v>3242</v>
      </c>
      <c r="I559" t="s">
        <v>2909</v>
      </c>
      <c r="J559" t="str">
        <f>IF(ISNUMBER(MATCH($D559,'Lopettaneet 2013-&gt;'!$D:$D,0)),INDEX('Lopettaneet 2013-&gt;'!$K:$K,MATCH($D559,'Lopettaneet 2013-&gt;'!$D:$D,0)),"Continues")</f>
        <v>Closed</v>
      </c>
      <c r="K559">
        <f ca="1">IF($J559="Continues",DATEDIF($B559,TODAY(),"Y"),INDEX('Lopettaneet 2013-&gt;'!$L:$L,MATCH($D559,'Lopettaneet 2013-&gt;'!$D:$D,0)))</f>
        <v>3</v>
      </c>
      <c r="L559">
        <v>294</v>
      </c>
    </row>
    <row r="560" spans="1:12" x14ac:dyDescent="0.25">
      <c r="A560" t="s">
        <v>7</v>
      </c>
      <c r="B560" s="1">
        <v>41974</v>
      </c>
      <c r="C560" s="1">
        <v>55153</v>
      </c>
      <c r="D560" s="4" t="s">
        <v>810</v>
      </c>
      <c r="E560" t="s">
        <v>10</v>
      </c>
      <c r="F560" t="s">
        <v>11</v>
      </c>
      <c r="G560" t="s">
        <v>2914</v>
      </c>
      <c r="H560" t="s">
        <v>3013</v>
      </c>
      <c r="I560" t="s">
        <v>2895</v>
      </c>
      <c r="J560" t="str">
        <f>IF(ISNUMBER(MATCH($D560,'Lopettaneet 2013-&gt;'!$D:$D,0)),INDEX('Lopettaneet 2013-&gt;'!$K:$K,MATCH($D560,'Lopettaneet 2013-&gt;'!$D:$D,0)),"Continues")</f>
        <v>Continues</v>
      </c>
      <c r="K560">
        <f ca="1">IF($J560="Continues",DATEDIF($B560,TODAY(),"Y"),INDEX('Lopettaneet 2013-&gt;'!$L:$L,MATCH($D560,'Lopettaneet 2013-&gt;'!$D:$D,0)))</f>
        <v>10</v>
      </c>
      <c r="L560">
        <v>295</v>
      </c>
    </row>
    <row r="561" spans="1:12" x14ac:dyDescent="0.25">
      <c r="A561" t="s">
        <v>7</v>
      </c>
      <c r="B561" s="1">
        <v>41974</v>
      </c>
      <c r="C561" s="1">
        <v>55153</v>
      </c>
      <c r="D561" s="4" t="s">
        <v>812</v>
      </c>
      <c r="E561" t="s">
        <v>10</v>
      </c>
      <c r="F561" t="s">
        <v>11</v>
      </c>
      <c r="G561" t="s">
        <v>2914</v>
      </c>
      <c r="H561" t="s">
        <v>2966</v>
      </c>
      <c r="I561" t="s">
        <v>2895</v>
      </c>
      <c r="J561" t="str">
        <f>IF(ISNUMBER(MATCH($D561,'Lopettaneet 2013-&gt;'!$D:$D,0)),INDEX('Lopettaneet 2013-&gt;'!$K:$K,MATCH($D561,'Lopettaneet 2013-&gt;'!$D:$D,0)),"Continues")</f>
        <v>Continues</v>
      </c>
      <c r="K561">
        <f ca="1">IF($J561="Continues",DATEDIF($B561,TODAY(),"Y"),INDEX('Lopettaneet 2013-&gt;'!$L:$L,MATCH($D561,'Lopettaneet 2013-&gt;'!$D:$D,0)))</f>
        <v>10</v>
      </c>
      <c r="L561">
        <v>296</v>
      </c>
    </row>
    <row r="562" spans="1:12" x14ac:dyDescent="0.25">
      <c r="A562" t="s">
        <v>7</v>
      </c>
      <c r="B562" s="1">
        <v>41974</v>
      </c>
      <c r="C562" s="1">
        <v>43646</v>
      </c>
      <c r="D562" s="4" t="s">
        <v>814</v>
      </c>
      <c r="E562" t="s">
        <v>10</v>
      </c>
      <c r="F562" t="s">
        <v>11</v>
      </c>
      <c r="G562" t="s">
        <v>2916</v>
      </c>
      <c r="H562" t="s">
        <v>2909</v>
      </c>
      <c r="I562" t="s">
        <v>2909</v>
      </c>
      <c r="J562" t="str">
        <f>IF(ISNUMBER(MATCH($D562,'Lopettaneet 2013-&gt;'!$D:$D,0)),INDEX('Lopettaneet 2013-&gt;'!$K:$K,MATCH($D562,'Lopettaneet 2013-&gt;'!$D:$D,0)),"Continues")</f>
        <v>Closed</v>
      </c>
      <c r="K562">
        <f ca="1">IF($J562="Continues",DATEDIF($B562,TODAY(),"Y"),INDEX('Lopettaneet 2013-&gt;'!$L:$L,MATCH($D562,'Lopettaneet 2013-&gt;'!$D:$D,0)))</f>
        <v>4</v>
      </c>
      <c r="L562">
        <v>297</v>
      </c>
    </row>
    <row r="563" spans="1:12" x14ac:dyDescent="0.25">
      <c r="A563" t="s">
        <v>7</v>
      </c>
      <c r="B563" s="1">
        <v>41974</v>
      </c>
      <c r="C563" s="1">
        <v>55153</v>
      </c>
      <c r="D563" s="4" t="s">
        <v>816</v>
      </c>
      <c r="E563" t="s">
        <v>10</v>
      </c>
      <c r="F563" t="s">
        <v>11</v>
      </c>
      <c r="G563" t="s">
        <v>2914</v>
      </c>
      <c r="H563" t="s">
        <v>2966</v>
      </c>
      <c r="I563" t="s">
        <v>2895</v>
      </c>
      <c r="J563" t="str">
        <f>IF(ISNUMBER(MATCH($D563,'Lopettaneet 2013-&gt;'!$D:$D,0)),INDEX('Lopettaneet 2013-&gt;'!$K:$K,MATCH($D563,'Lopettaneet 2013-&gt;'!$D:$D,0)),"Continues")</f>
        <v>Continues</v>
      </c>
      <c r="K563">
        <f ca="1">IF($J563="Continues",DATEDIF($B563,TODAY(),"Y"),INDEX('Lopettaneet 2013-&gt;'!$L:$L,MATCH($D563,'Lopettaneet 2013-&gt;'!$D:$D,0)))</f>
        <v>10</v>
      </c>
      <c r="L563">
        <v>298</v>
      </c>
    </row>
    <row r="564" spans="1:12" x14ac:dyDescent="0.25">
      <c r="A564" t="s">
        <v>7</v>
      </c>
      <c r="B564" s="1">
        <v>41974</v>
      </c>
      <c r="C564" s="1">
        <v>42735</v>
      </c>
      <c r="D564" s="4" t="s">
        <v>818</v>
      </c>
      <c r="E564" t="s">
        <v>10</v>
      </c>
      <c r="F564" t="s">
        <v>11</v>
      </c>
      <c r="G564" t="s">
        <v>2916</v>
      </c>
      <c r="H564" t="s">
        <v>2925</v>
      </c>
      <c r="I564" t="s">
        <v>2909</v>
      </c>
      <c r="J564" t="str">
        <f>IF(ISNUMBER(MATCH($D564,'Lopettaneet 2013-&gt;'!$D:$D,0)),INDEX('Lopettaneet 2013-&gt;'!$K:$K,MATCH($D564,'Lopettaneet 2013-&gt;'!$D:$D,0)),"Continues")</f>
        <v>Closed</v>
      </c>
      <c r="K564">
        <f ca="1">IF($J564="Continues",DATEDIF($B564,TODAY(),"Y"),INDEX('Lopettaneet 2013-&gt;'!$L:$L,MATCH($D564,'Lopettaneet 2013-&gt;'!$D:$D,0)))</f>
        <v>2</v>
      </c>
      <c r="L564">
        <v>299</v>
      </c>
    </row>
    <row r="565" spans="1:12" x14ac:dyDescent="0.25">
      <c r="A565" t="s">
        <v>7</v>
      </c>
      <c r="B565" s="1">
        <v>41974</v>
      </c>
      <c r="C565" s="1">
        <v>55153</v>
      </c>
      <c r="D565" s="4" t="s">
        <v>820</v>
      </c>
      <c r="E565" t="s">
        <v>10</v>
      </c>
      <c r="F565" t="s">
        <v>11</v>
      </c>
      <c r="G565" t="s">
        <v>2912</v>
      </c>
      <c r="H565" t="s">
        <v>2962</v>
      </c>
      <c r="I565" t="s">
        <v>2895</v>
      </c>
      <c r="J565" t="str">
        <f>IF(ISNUMBER(MATCH($D565,'Lopettaneet 2013-&gt;'!$D:$D,0)),INDEX('Lopettaneet 2013-&gt;'!$K:$K,MATCH($D565,'Lopettaneet 2013-&gt;'!$D:$D,0)),"Continues")</f>
        <v>Continues</v>
      </c>
      <c r="K565">
        <f ca="1">IF($J565="Continues",DATEDIF($B565,TODAY(),"Y"),INDEX('Lopettaneet 2013-&gt;'!$L:$L,MATCH($D565,'Lopettaneet 2013-&gt;'!$D:$D,0)))</f>
        <v>10</v>
      </c>
      <c r="L565">
        <v>300</v>
      </c>
    </row>
    <row r="566" spans="1:12" x14ac:dyDescent="0.25">
      <c r="A566" t="s">
        <v>7</v>
      </c>
      <c r="B566" s="1">
        <v>41974</v>
      </c>
      <c r="C566" s="1">
        <v>42369</v>
      </c>
      <c r="D566" s="4" t="s">
        <v>822</v>
      </c>
      <c r="E566" t="s">
        <v>10</v>
      </c>
      <c r="F566" t="s">
        <v>11</v>
      </c>
      <c r="G566" t="s">
        <v>2916</v>
      </c>
      <c r="H566" t="s">
        <v>2925</v>
      </c>
      <c r="I566" t="s">
        <v>2909</v>
      </c>
      <c r="J566" t="str">
        <f>IF(ISNUMBER(MATCH($D566,'Lopettaneet 2013-&gt;'!$D:$D,0)),INDEX('Lopettaneet 2013-&gt;'!$K:$K,MATCH($D566,'Lopettaneet 2013-&gt;'!$D:$D,0)),"Continues")</f>
        <v>Closed</v>
      </c>
      <c r="K566">
        <f ca="1">IF($J566="Continues",DATEDIF($B566,TODAY(),"Y"),INDEX('Lopettaneet 2013-&gt;'!$L:$L,MATCH($D566,'Lopettaneet 2013-&gt;'!$D:$D,0)))</f>
        <v>1</v>
      </c>
      <c r="L566">
        <v>301</v>
      </c>
    </row>
    <row r="567" spans="1:12" x14ac:dyDescent="0.25">
      <c r="A567" t="s">
        <v>7</v>
      </c>
      <c r="B567" s="1">
        <v>41974</v>
      </c>
      <c r="C567" s="1">
        <v>43100</v>
      </c>
      <c r="D567" s="4" t="s">
        <v>824</v>
      </c>
      <c r="E567" t="s">
        <v>10</v>
      </c>
      <c r="F567" t="s">
        <v>11</v>
      </c>
      <c r="G567" t="s">
        <v>2916</v>
      </c>
      <c r="H567" t="s">
        <v>2925</v>
      </c>
      <c r="I567" t="s">
        <v>2909</v>
      </c>
      <c r="J567" t="str">
        <f>IF(ISNUMBER(MATCH($D567,'Lopettaneet 2013-&gt;'!$D:$D,0)),INDEX('Lopettaneet 2013-&gt;'!$K:$K,MATCH($D567,'Lopettaneet 2013-&gt;'!$D:$D,0)),"Continues")</f>
        <v>Closed</v>
      </c>
      <c r="K567">
        <f ca="1">IF($J567="Continues",DATEDIF($B567,TODAY(),"Y"),INDEX('Lopettaneet 2013-&gt;'!$L:$L,MATCH($D567,'Lopettaneet 2013-&gt;'!$D:$D,0)))</f>
        <v>3</v>
      </c>
      <c r="L567">
        <v>302</v>
      </c>
    </row>
    <row r="568" spans="1:12" x14ac:dyDescent="0.25">
      <c r="A568" t="s">
        <v>7</v>
      </c>
      <c r="B568" s="1">
        <v>41974</v>
      </c>
      <c r="C568" s="1">
        <v>44742</v>
      </c>
      <c r="D568" s="4" t="s">
        <v>826</v>
      </c>
      <c r="E568" t="s">
        <v>10</v>
      </c>
      <c r="F568" t="s">
        <v>11</v>
      </c>
      <c r="G568" t="s">
        <v>2912</v>
      </c>
      <c r="H568" t="s">
        <v>2925</v>
      </c>
      <c r="I568" t="s">
        <v>2909</v>
      </c>
      <c r="J568" t="str">
        <f>IF(ISNUMBER(MATCH($D568,'Lopettaneet 2013-&gt;'!$D:$D,0)),INDEX('Lopettaneet 2013-&gt;'!$K:$K,MATCH($D568,'Lopettaneet 2013-&gt;'!$D:$D,0)),"Continues")</f>
        <v>Closed</v>
      </c>
      <c r="K568">
        <f ca="1">IF($J568="Continues",DATEDIF($B568,TODAY(),"Y"),INDEX('Lopettaneet 2013-&gt;'!$L:$L,MATCH($D568,'Lopettaneet 2013-&gt;'!$D:$D,0)))</f>
        <v>7</v>
      </c>
      <c r="L568">
        <v>303</v>
      </c>
    </row>
    <row r="569" spans="1:12" x14ac:dyDescent="0.25">
      <c r="A569" t="s">
        <v>7</v>
      </c>
      <c r="B569" s="1">
        <v>41974</v>
      </c>
      <c r="C569" s="1">
        <v>43008</v>
      </c>
      <c r="D569" s="4" t="s">
        <v>828</v>
      </c>
      <c r="E569" t="s">
        <v>10</v>
      </c>
      <c r="F569" t="s">
        <v>11</v>
      </c>
      <c r="G569" t="s">
        <v>2916</v>
      </c>
      <c r="H569" t="s">
        <v>2909</v>
      </c>
      <c r="I569" t="s">
        <v>2909</v>
      </c>
      <c r="J569" t="str">
        <f>IF(ISNUMBER(MATCH($D569,'Lopettaneet 2013-&gt;'!$D:$D,0)),INDEX('Lopettaneet 2013-&gt;'!$K:$K,MATCH($D569,'Lopettaneet 2013-&gt;'!$D:$D,0)),"Continues")</f>
        <v>Closed</v>
      </c>
      <c r="K569">
        <f ca="1">IF($J569="Continues",DATEDIF($B569,TODAY(),"Y"),INDEX('Lopettaneet 2013-&gt;'!$L:$L,MATCH($D569,'Lopettaneet 2013-&gt;'!$D:$D,0)))</f>
        <v>2</v>
      </c>
      <c r="L569">
        <v>304</v>
      </c>
    </row>
    <row r="570" spans="1:12" x14ac:dyDescent="0.25">
      <c r="A570" t="s">
        <v>7</v>
      </c>
      <c r="B570" s="1">
        <v>41974</v>
      </c>
      <c r="C570" s="1">
        <v>42369</v>
      </c>
      <c r="D570" s="4" t="s">
        <v>830</v>
      </c>
      <c r="E570" t="s">
        <v>10</v>
      </c>
      <c r="F570" t="s">
        <v>11</v>
      </c>
      <c r="G570" t="s">
        <v>2916</v>
      </c>
      <c r="H570" t="s">
        <v>2925</v>
      </c>
      <c r="I570" t="s">
        <v>2909</v>
      </c>
      <c r="J570" t="str">
        <f>IF(ISNUMBER(MATCH($D570,'Lopettaneet 2013-&gt;'!$D:$D,0)),INDEX('Lopettaneet 2013-&gt;'!$K:$K,MATCH($D570,'Lopettaneet 2013-&gt;'!$D:$D,0)),"Continues")</f>
        <v>Closed</v>
      </c>
      <c r="K570">
        <f ca="1">IF($J570="Continues",DATEDIF($B570,TODAY(),"Y"),INDEX('Lopettaneet 2013-&gt;'!$L:$L,MATCH($D570,'Lopettaneet 2013-&gt;'!$D:$D,0)))</f>
        <v>1</v>
      </c>
      <c r="L570">
        <v>305</v>
      </c>
    </row>
    <row r="571" spans="1:12" x14ac:dyDescent="0.25">
      <c r="A571" t="s">
        <v>7</v>
      </c>
      <c r="B571" s="1">
        <v>41974</v>
      </c>
      <c r="C571" s="1">
        <v>42735</v>
      </c>
      <c r="D571" s="4" t="s">
        <v>832</v>
      </c>
      <c r="E571" t="s">
        <v>10</v>
      </c>
      <c r="F571" t="s">
        <v>11</v>
      </c>
      <c r="G571" t="s">
        <v>2916</v>
      </c>
      <c r="H571" t="s">
        <v>2925</v>
      </c>
      <c r="I571" t="s">
        <v>2909</v>
      </c>
      <c r="J571" t="str">
        <f>IF(ISNUMBER(MATCH($D571,'Lopettaneet 2013-&gt;'!$D:$D,0)),INDEX('Lopettaneet 2013-&gt;'!$K:$K,MATCH($D571,'Lopettaneet 2013-&gt;'!$D:$D,0)),"Continues")</f>
        <v>Closed</v>
      </c>
      <c r="K571">
        <f ca="1">IF($J571="Continues",DATEDIF($B571,TODAY(),"Y"),INDEX('Lopettaneet 2013-&gt;'!$L:$L,MATCH($D571,'Lopettaneet 2013-&gt;'!$D:$D,0)))</f>
        <v>2</v>
      </c>
      <c r="L571">
        <v>306</v>
      </c>
    </row>
    <row r="572" spans="1:12" x14ac:dyDescent="0.25">
      <c r="A572" t="s">
        <v>7</v>
      </c>
      <c r="B572" s="1">
        <v>41974</v>
      </c>
      <c r="C572" s="1">
        <v>42369</v>
      </c>
      <c r="D572" s="4" t="s">
        <v>834</v>
      </c>
      <c r="E572" t="s">
        <v>10</v>
      </c>
      <c r="F572" t="s">
        <v>11</v>
      </c>
      <c r="G572" t="s">
        <v>2916</v>
      </c>
      <c r="H572" t="s">
        <v>2925</v>
      </c>
      <c r="I572" t="s">
        <v>2909</v>
      </c>
      <c r="J572" t="str">
        <f>IF(ISNUMBER(MATCH($D572,'Lopettaneet 2013-&gt;'!$D:$D,0)),INDEX('Lopettaneet 2013-&gt;'!$K:$K,MATCH($D572,'Lopettaneet 2013-&gt;'!$D:$D,0)),"Continues")</f>
        <v>Closed</v>
      </c>
      <c r="K572">
        <f ca="1">IF($J572="Continues",DATEDIF($B572,TODAY(),"Y"),INDEX('Lopettaneet 2013-&gt;'!$L:$L,MATCH($D572,'Lopettaneet 2013-&gt;'!$D:$D,0)))</f>
        <v>1</v>
      </c>
      <c r="L572">
        <v>307</v>
      </c>
    </row>
    <row r="573" spans="1:12" x14ac:dyDescent="0.25">
      <c r="A573" t="s">
        <v>7</v>
      </c>
      <c r="B573" s="1">
        <v>41974</v>
      </c>
      <c r="C573" s="1">
        <v>42369</v>
      </c>
      <c r="D573" s="4" t="s">
        <v>836</v>
      </c>
      <c r="E573" t="s">
        <v>10</v>
      </c>
      <c r="F573" t="s">
        <v>11</v>
      </c>
      <c r="G573" t="s">
        <v>2916</v>
      </c>
      <c r="H573" t="s">
        <v>2925</v>
      </c>
      <c r="I573" t="s">
        <v>2909</v>
      </c>
      <c r="J573" t="str">
        <f>IF(ISNUMBER(MATCH($D573,'Lopettaneet 2013-&gt;'!$D:$D,0)),INDEX('Lopettaneet 2013-&gt;'!$K:$K,MATCH($D573,'Lopettaneet 2013-&gt;'!$D:$D,0)),"Continues")</f>
        <v>Closed</v>
      </c>
      <c r="K573">
        <f ca="1">IF($J573="Continues",DATEDIF($B573,TODAY(),"Y"),INDEX('Lopettaneet 2013-&gt;'!$L:$L,MATCH($D573,'Lopettaneet 2013-&gt;'!$D:$D,0)))</f>
        <v>1</v>
      </c>
      <c r="L573">
        <v>308</v>
      </c>
    </row>
    <row r="574" spans="1:12" x14ac:dyDescent="0.25">
      <c r="A574" t="s">
        <v>7</v>
      </c>
      <c r="B574" s="1">
        <v>41974</v>
      </c>
      <c r="C574" s="1">
        <v>42369</v>
      </c>
      <c r="D574" s="4" t="s">
        <v>838</v>
      </c>
      <c r="E574" t="s">
        <v>10</v>
      </c>
      <c r="F574" t="s">
        <v>11</v>
      </c>
      <c r="G574" t="s">
        <v>2916</v>
      </c>
      <c r="H574" t="s">
        <v>2925</v>
      </c>
      <c r="I574" t="s">
        <v>2909</v>
      </c>
      <c r="J574" t="str">
        <f>IF(ISNUMBER(MATCH($D574,'Lopettaneet 2013-&gt;'!$D:$D,0)),INDEX('Lopettaneet 2013-&gt;'!$K:$K,MATCH($D574,'Lopettaneet 2013-&gt;'!$D:$D,0)),"Continues")</f>
        <v>Closed</v>
      </c>
      <c r="K574">
        <f ca="1">IF($J574="Continues",DATEDIF($B574,TODAY(),"Y"),INDEX('Lopettaneet 2013-&gt;'!$L:$L,MATCH($D574,'Lopettaneet 2013-&gt;'!$D:$D,0)))</f>
        <v>1</v>
      </c>
      <c r="L574">
        <v>309</v>
      </c>
    </row>
    <row r="575" spans="1:12" x14ac:dyDescent="0.25">
      <c r="A575" t="s">
        <v>7</v>
      </c>
      <c r="B575" s="1">
        <v>41974</v>
      </c>
      <c r="C575" s="1">
        <v>43190</v>
      </c>
      <c r="D575" s="4" t="s">
        <v>840</v>
      </c>
      <c r="E575" t="s">
        <v>10</v>
      </c>
      <c r="F575" t="s">
        <v>11</v>
      </c>
      <c r="G575" t="s">
        <v>2914</v>
      </c>
      <c r="H575" t="s">
        <v>2930</v>
      </c>
      <c r="I575" t="s">
        <v>2909</v>
      </c>
      <c r="J575" t="str">
        <f>IF(ISNUMBER(MATCH($D575,'Lopettaneet 2013-&gt;'!$D:$D,0)),INDEX('Lopettaneet 2013-&gt;'!$K:$K,MATCH($D575,'Lopettaneet 2013-&gt;'!$D:$D,0)),"Continues")</f>
        <v>Closed</v>
      </c>
      <c r="K575">
        <f ca="1">IF($J575="Continues",DATEDIF($B575,TODAY(),"Y"),INDEX('Lopettaneet 2013-&gt;'!$L:$L,MATCH($D575,'Lopettaneet 2013-&gt;'!$D:$D,0)))</f>
        <v>3</v>
      </c>
      <c r="L575">
        <v>310</v>
      </c>
    </row>
    <row r="576" spans="1:12" x14ac:dyDescent="0.25">
      <c r="A576" t="s">
        <v>7</v>
      </c>
      <c r="B576" s="1">
        <v>41974</v>
      </c>
      <c r="C576" s="1">
        <v>43190</v>
      </c>
      <c r="D576" s="4" t="s">
        <v>842</v>
      </c>
      <c r="E576" t="s">
        <v>10</v>
      </c>
      <c r="F576" t="s">
        <v>11</v>
      </c>
      <c r="G576" t="s">
        <v>2918</v>
      </c>
      <c r="H576" t="s">
        <v>2964</v>
      </c>
      <c r="I576" t="s">
        <v>2909</v>
      </c>
      <c r="J576" t="str">
        <f>IF(ISNUMBER(MATCH($D576,'Lopettaneet 2013-&gt;'!$D:$D,0)),INDEX('Lopettaneet 2013-&gt;'!$K:$K,MATCH($D576,'Lopettaneet 2013-&gt;'!$D:$D,0)),"Continues")</f>
        <v>Closed</v>
      </c>
      <c r="K576">
        <f ca="1">IF($J576="Continues",DATEDIF($B576,TODAY(),"Y"),INDEX('Lopettaneet 2013-&gt;'!$L:$L,MATCH($D576,'Lopettaneet 2013-&gt;'!$D:$D,0)))</f>
        <v>3</v>
      </c>
      <c r="L576">
        <v>311</v>
      </c>
    </row>
    <row r="577" spans="1:12" x14ac:dyDescent="0.25">
      <c r="A577" t="s">
        <v>7</v>
      </c>
      <c r="B577" s="1">
        <v>41974</v>
      </c>
      <c r="C577" s="1">
        <v>44012</v>
      </c>
      <c r="D577" s="4" t="s">
        <v>844</v>
      </c>
      <c r="E577" t="s">
        <v>10</v>
      </c>
      <c r="F577" t="s">
        <v>11</v>
      </c>
      <c r="G577" t="s">
        <v>2918</v>
      </c>
      <c r="H577" t="s">
        <v>2956</v>
      </c>
      <c r="I577" t="s">
        <v>2909</v>
      </c>
      <c r="J577" t="str">
        <f>IF(ISNUMBER(MATCH($D577,'Lopettaneet 2013-&gt;'!$D:$D,0)),INDEX('Lopettaneet 2013-&gt;'!$K:$K,MATCH($D577,'Lopettaneet 2013-&gt;'!$D:$D,0)),"Continues")</f>
        <v>Closed</v>
      </c>
      <c r="K577">
        <f ca="1">IF($J577="Continues",DATEDIF($B577,TODAY(),"Y"),INDEX('Lopettaneet 2013-&gt;'!$L:$L,MATCH($D577,'Lopettaneet 2013-&gt;'!$D:$D,0)))</f>
        <v>5</v>
      </c>
      <c r="L577">
        <v>312</v>
      </c>
    </row>
    <row r="578" spans="1:12" x14ac:dyDescent="0.25">
      <c r="A578" t="s">
        <v>7</v>
      </c>
      <c r="B578" s="1">
        <v>41974</v>
      </c>
      <c r="C578" s="1">
        <v>55153</v>
      </c>
      <c r="D578" s="4" t="s">
        <v>846</v>
      </c>
      <c r="E578" t="s">
        <v>10</v>
      </c>
      <c r="F578" t="s">
        <v>11</v>
      </c>
      <c r="G578" t="s">
        <v>2912</v>
      </c>
      <c r="H578" t="s">
        <v>2950</v>
      </c>
      <c r="I578" t="s">
        <v>2895</v>
      </c>
      <c r="J578" t="str">
        <f>IF(ISNUMBER(MATCH($D578,'Lopettaneet 2013-&gt;'!$D:$D,0)),INDEX('Lopettaneet 2013-&gt;'!$K:$K,MATCH($D578,'Lopettaneet 2013-&gt;'!$D:$D,0)),"Continues")</f>
        <v>Continues</v>
      </c>
      <c r="K578">
        <f ca="1">IF($J578="Continues",DATEDIF($B578,TODAY(),"Y"),INDEX('Lopettaneet 2013-&gt;'!$L:$L,MATCH($D578,'Lopettaneet 2013-&gt;'!$D:$D,0)))</f>
        <v>10</v>
      </c>
      <c r="L578">
        <v>313</v>
      </c>
    </row>
    <row r="579" spans="1:12" x14ac:dyDescent="0.25">
      <c r="A579" t="s">
        <v>7</v>
      </c>
      <c r="B579" s="1">
        <v>41974</v>
      </c>
      <c r="C579" s="1">
        <v>55153</v>
      </c>
      <c r="D579" s="4" t="s">
        <v>848</v>
      </c>
      <c r="E579" t="s">
        <v>10</v>
      </c>
      <c r="F579" t="s">
        <v>11</v>
      </c>
      <c r="G579" t="s">
        <v>2914</v>
      </c>
      <c r="H579" t="s">
        <v>2922</v>
      </c>
      <c r="I579" t="s">
        <v>2895</v>
      </c>
      <c r="J579" t="str">
        <f>IF(ISNUMBER(MATCH($D579,'Lopettaneet 2013-&gt;'!$D:$D,0)),INDEX('Lopettaneet 2013-&gt;'!$K:$K,MATCH($D579,'Lopettaneet 2013-&gt;'!$D:$D,0)),"Continues")</f>
        <v>Continues</v>
      </c>
      <c r="K579">
        <f ca="1">IF($J579="Continues",DATEDIF($B579,TODAY(),"Y"),INDEX('Lopettaneet 2013-&gt;'!$L:$L,MATCH($D579,'Lopettaneet 2013-&gt;'!$D:$D,0)))</f>
        <v>10</v>
      </c>
      <c r="L579">
        <v>314</v>
      </c>
    </row>
    <row r="580" spans="1:12" x14ac:dyDescent="0.25">
      <c r="A580" t="s">
        <v>7</v>
      </c>
      <c r="B580" s="1">
        <v>41974</v>
      </c>
      <c r="C580" s="1">
        <v>43738</v>
      </c>
      <c r="D580" s="4" t="s">
        <v>850</v>
      </c>
      <c r="E580" t="s">
        <v>10</v>
      </c>
      <c r="F580" t="s">
        <v>11</v>
      </c>
      <c r="G580" t="s">
        <v>2914</v>
      </c>
      <c r="H580" t="s">
        <v>2909</v>
      </c>
      <c r="I580" t="s">
        <v>2909</v>
      </c>
      <c r="J580" t="str">
        <f>IF(ISNUMBER(MATCH($D580,'Lopettaneet 2013-&gt;'!$D:$D,0)),INDEX('Lopettaneet 2013-&gt;'!$K:$K,MATCH($D580,'Lopettaneet 2013-&gt;'!$D:$D,0)),"Continues")</f>
        <v>Closed</v>
      </c>
      <c r="K580">
        <f ca="1">IF($J580="Continues",DATEDIF($B580,TODAY(),"Y"),INDEX('Lopettaneet 2013-&gt;'!$L:$L,MATCH($D580,'Lopettaneet 2013-&gt;'!$D:$D,0)))</f>
        <v>4</v>
      </c>
      <c r="L580">
        <v>315</v>
      </c>
    </row>
    <row r="581" spans="1:12" x14ac:dyDescent="0.25">
      <c r="A581" t="s">
        <v>7</v>
      </c>
      <c r="B581" s="1">
        <v>41974</v>
      </c>
      <c r="C581" s="1">
        <v>55153</v>
      </c>
      <c r="D581" s="4" t="s">
        <v>852</v>
      </c>
      <c r="E581" t="s">
        <v>10</v>
      </c>
      <c r="F581" t="s">
        <v>11</v>
      </c>
      <c r="G581" t="s">
        <v>2914</v>
      </c>
      <c r="H581" t="s">
        <v>2922</v>
      </c>
      <c r="I581" t="s">
        <v>2895</v>
      </c>
      <c r="J581" t="str">
        <f>IF(ISNUMBER(MATCH($D581,'Lopettaneet 2013-&gt;'!$D:$D,0)),INDEX('Lopettaneet 2013-&gt;'!$K:$K,MATCH($D581,'Lopettaneet 2013-&gt;'!$D:$D,0)),"Continues")</f>
        <v>Continues</v>
      </c>
      <c r="K581">
        <f ca="1">IF($J581="Continues",DATEDIF($B581,TODAY(),"Y"),INDEX('Lopettaneet 2013-&gt;'!$L:$L,MATCH($D581,'Lopettaneet 2013-&gt;'!$D:$D,0)))</f>
        <v>10</v>
      </c>
      <c r="L581">
        <v>316</v>
      </c>
    </row>
    <row r="582" spans="1:12" x14ac:dyDescent="0.25">
      <c r="A582" t="s">
        <v>7</v>
      </c>
      <c r="B582" s="1">
        <v>41974</v>
      </c>
      <c r="C582" s="1">
        <v>44651</v>
      </c>
      <c r="D582" s="4" t="s">
        <v>854</v>
      </c>
      <c r="E582" t="s">
        <v>10</v>
      </c>
      <c r="F582" t="s">
        <v>11</v>
      </c>
      <c r="G582" t="s">
        <v>2912</v>
      </c>
      <c r="H582" t="s">
        <v>2909</v>
      </c>
      <c r="I582" t="s">
        <v>2909</v>
      </c>
      <c r="J582" t="str">
        <f>IF(ISNUMBER(MATCH($D582,'Lopettaneet 2013-&gt;'!$D:$D,0)),INDEX('Lopettaneet 2013-&gt;'!$K:$K,MATCH($D582,'Lopettaneet 2013-&gt;'!$D:$D,0)),"Continues")</f>
        <v>Closed</v>
      </c>
      <c r="K582">
        <f ca="1">IF($J582="Continues",DATEDIF($B582,TODAY(),"Y"),INDEX('Lopettaneet 2013-&gt;'!$L:$L,MATCH($D582,'Lopettaneet 2013-&gt;'!$D:$D,0)))</f>
        <v>7</v>
      </c>
      <c r="L582">
        <v>317</v>
      </c>
    </row>
    <row r="583" spans="1:12" x14ac:dyDescent="0.25">
      <c r="A583" t="s">
        <v>7</v>
      </c>
      <c r="B583" s="1">
        <v>41974</v>
      </c>
      <c r="C583" s="1">
        <v>55153</v>
      </c>
      <c r="D583" s="4" t="s">
        <v>856</v>
      </c>
      <c r="E583" t="s">
        <v>10</v>
      </c>
      <c r="F583" t="s">
        <v>11</v>
      </c>
      <c r="G583" t="s">
        <v>2914</v>
      </c>
      <c r="H583" t="s">
        <v>2949</v>
      </c>
      <c r="I583" t="s">
        <v>2895</v>
      </c>
      <c r="J583" t="str">
        <f>IF(ISNUMBER(MATCH($D583,'Lopettaneet 2013-&gt;'!$D:$D,0)),INDEX('Lopettaneet 2013-&gt;'!$K:$K,MATCH($D583,'Lopettaneet 2013-&gt;'!$D:$D,0)),"Continues")</f>
        <v>Continues</v>
      </c>
      <c r="K583">
        <f ca="1">IF($J583="Continues",DATEDIF($B583,TODAY(),"Y"),INDEX('Lopettaneet 2013-&gt;'!$L:$L,MATCH($D583,'Lopettaneet 2013-&gt;'!$D:$D,0)))</f>
        <v>10</v>
      </c>
      <c r="L583">
        <v>318</v>
      </c>
    </row>
    <row r="584" spans="1:12" x14ac:dyDescent="0.25">
      <c r="A584" t="s">
        <v>7</v>
      </c>
      <c r="B584" s="1">
        <v>41974</v>
      </c>
      <c r="C584" s="1">
        <v>42460</v>
      </c>
      <c r="D584" s="4" t="s">
        <v>858</v>
      </c>
      <c r="E584" t="s">
        <v>10</v>
      </c>
      <c r="F584" t="s">
        <v>11</v>
      </c>
      <c r="G584" t="s">
        <v>2914</v>
      </c>
      <c r="H584" t="s">
        <v>2909</v>
      </c>
      <c r="I584" t="s">
        <v>2909</v>
      </c>
      <c r="J584" t="str">
        <f>IF(ISNUMBER(MATCH($D584,'Lopettaneet 2013-&gt;'!$D:$D,0)),INDEX('Lopettaneet 2013-&gt;'!$K:$K,MATCH($D584,'Lopettaneet 2013-&gt;'!$D:$D,0)),"Continues")</f>
        <v>Closed</v>
      </c>
      <c r="K584">
        <f ca="1">IF($J584="Continues",DATEDIF($B584,TODAY(),"Y"),INDEX('Lopettaneet 2013-&gt;'!$L:$L,MATCH($D584,'Lopettaneet 2013-&gt;'!$D:$D,0)))</f>
        <v>1</v>
      </c>
      <c r="L584">
        <v>319</v>
      </c>
    </row>
    <row r="585" spans="1:12" x14ac:dyDescent="0.25">
      <c r="A585" t="s">
        <v>7</v>
      </c>
      <c r="B585" s="1">
        <v>41974</v>
      </c>
      <c r="C585" s="1">
        <v>55153</v>
      </c>
      <c r="D585" s="4" t="s">
        <v>860</v>
      </c>
      <c r="E585" t="s">
        <v>10</v>
      </c>
      <c r="F585" t="s">
        <v>11</v>
      </c>
      <c r="G585" t="s">
        <v>2916</v>
      </c>
      <c r="H585" t="s">
        <v>2973</v>
      </c>
      <c r="I585" t="s">
        <v>2895</v>
      </c>
      <c r="J585" t="str">
        <f>IF(ISNUMBER(MATCH($D585,'Lopettaneet 2013-&gt;'!$D:$D,0)),INDEX('Lopettaneet 2013-&gt;'!$K:$K,MATCH($D585,'Lopettaneet 2013-&gt;'!$D:$D,0)),"Continues")</f>
        <v>Continues</v>
      </c>
      <c r="K585">
        <f ca="1">IF($J585="Continues",DATEDIF($B585,TODAY(),"Y"),INDEX('Lopettaneet 2013-&gt;'!$L:$L,MATCH($D585,'Lopettaneet 2013-&gt;'!$D:$D,0)))</f>
        <v>10</v>
      </c>
      <c r="L585">
        <v>320</v>
      </c>
    </row>
    <row r="586" spans="1:12" x14ac:dyDescent="0.25">
      <c r="A586" t="s">
        <v>0</v>
      </c>
      <c r="B586" s="1">
        <v>42095</v>
      </c>
      <c r="C586" s="1">
        <v>55153</v>
      </c>
      <c r="D586" s="4" t="s">
        <v>862</v>
      </c>
      <c r="E586" t="s">
        <v>3</v>
      </c>
      <c r="F586" t="s">
        <v>4</v>
      </c>
      <c r="G586" t="s">
        <v>2917</v>
      </c>
      <c r="H586" t="s">
        <v>2953</v>
      </c>
      <c r="I586" t="s">
        <v>2894</v>
      </c>
      <c r="J586" t="str">
        <f>IF(ISNUMBER(MATCH($D586,'Lopettaneet 2013-&gt;'!$D:$D,0)),INDEX('Lopettaneet 2013-&gt;'!$K:$K,MATCH($D586,'Lopettaneet 2013-&gt;'!$D:$D,0)),"Continues")</f>
        <v>Continues</v>
      </c>
      <c r="K586">
        <f ca="1">IF($J586="Continues",DATEDIF($B586,TODAY(),"Y"),INDEX('Lopettaneet 2013-&gt;'!$L:$L,MATCH($D586,'Lopettaneet 2013-&gt;'!$D:$D,0)))</f>
        <v>10</v>
      </c>
      <c r="L586">
        <v>321</v>
      </c>
    </row>
    <row r="587" spans="1:12" x14ac:dyDescent="0.25">
      <c r="A587" t="s">
        <v>0</v>
      </c>
      <c r="B587" s="1">
        <v>42064</v>
      </c>
      <c r="C587" s="1">
        <v>44012</v>
      </c>
      <c r="D587" s="4" t="s">
        <v>864</v>
      </c>
      <c r="E587" t="s">
        <v>3</v>
      </c>
      <c r="F587" t="s">
        <v>4</v>
      </c>
      <c r="G587" t="s">
        <v>2913</v>
      </c>
      <c r="H587" t="s">
        <v>2935</v>
      </c>
      <c r="I587" t="s">
        <v>2909</v>
      </c>
      <c r="J587" t="str">
        <f>IF(ISNUMBER(MATCH($D587,'Lopettaneet 2013-&gt;'!$D:$D,0)),INDEX('Lopettaneet 2013-&gt;'!$K:$K,MATCH($D587,'Lopettaneet 2013-&gt;'!$D:$D,0)),"Continues")</f>
        <v>Closed</v>
      </c>
      <c r="K587">
        <f ca="1">IF($J587="Continues",DATEDIF($B587,TODAY(),"Y"),INDEX('Lopettaneet 2013-&gt;'!$L:$L,MATCH($D587,'Lopettaneet 2013-&gt;'!$D:$D,0)))</f>
        <v>5</v>
      </c>
      <c r="L587">
        <v>322</v>
      </c>
    </row>
    <row r="588" spans="1:12" x14ac:dyDescent="0.25">
      <c r="A588" t="s">
        <v>7</v>
      </c>
      <c r="B588" s="1">
        <v>41974</v>
      </c>
      <c r="C588" s="1">
        <v>44286</v>
      </c>
      <c r="D588" s="4" t="s">
        <v>866</v>
      </c>
      <c r="E588" t="s">
        <v>10</v>
      </c>
      <c r="F588" t="s">
        <v>11</v>
      </c>
      <c r="G588" t="s">
        <v>2914</v>
      </c>
      <c r="H588" t="s">
        <v>2975</v>
      </c>
      <c r="I588" t="s">
        <v>2909</v>
      </c>
      <c r="J588" t="str">
        <f>IF(ISNUMBER(MATCH($D588,'Lopettaneet 2013-&gt;'!$D:$D,0)),INDEX('Lopettaneet 2013-&gt;'!$K:$K,MATCH($D588,'Lopettaneet 2013-&gt;'!$D:$D,0)),"Continues")</f>
        <v>Closed</v>
      </c>
      <c r="K588">
        <f ca="1">IF($J588="Continues",DATEDIF($B588,TODAY(),"Y"),INDEX('Lopettaneet 2013-&gt;'!$L:$L,MATCH($D588,'Lopettaneet 2013-&gt;'!$D:$D,0)))</f>
        <v>6</v>
      </c>
      <c r="L588">
        <v>323</v>
      </c>
    </row>
    <row r="589" spans="1:12" x14ac:dyDescent="0.25">
      <c r="A589" t="s">
        <v>7</v>
      </c>
      <c r="B589" s="1">
        <v>41974</v>
      </c>
      <c r="C589" s="1">
        <v>44286</v>
      </c>
      <c r="D589" s="4" t="s">
        <v>868</v>
      </c>
      <c r="E589" t="s">
        <v>10</v>
      </c>
      <c r="F589" t="s">
        <v>11</v>
      </c>
      <c r="G589" t="s">
        <v>2914</v>
      </c>
      <c r="H589" t="s">
        <v>2975</v>
      </c>
      <c r="I589" t="s">
        <v>2909</v>
      </c>
      <c r="J589" t="str">
        <f>IF(ISNUMBER(MATCH($D589,'Lopettaneet 2013-&gt;'!$D:$D,0)),INDEX('Lopettaneet 2013-&gt;'!$K:$K,MATCH($D589,'Lopettaneet 2013-&gt;'!$D:$D,0)),"Continues")</f>
        <v>Closed</v>
      </c>
      <c r="K589">
        <f ca="1">IF($J589="Continues",DATEDIF($B589,TODAY(),"Y"),INDEX('Lopettaneet 2013-&gt;'!$L:$L,MATCH($D589,'Lopettaneet 2013-&gt;'!$D:$D,0)))</f>
        <v>6</v>
      </c>
      <c r="L589">
        <v>324</v>
      </c>
    </row>
    <row r="590" spans="1:12" x14ac:dyDescent="0.25">
      <c r="A590" t="s">
        <v>7</v>
      </c>
      <c r="B590" s="1">
        <v>41974</v>
      </c>
      <c r="C590" s="1">
        <v>44286</v>
      </c>
      <c r="D590" s="4" t="s">
        <v>870</v>
      </c>
      <c r="E590" t="s">
        <v>10</v>
      </c>
      <c r="F590" t="s">
        <v>11</v>
      </c>
      <c r="G590" t="s">
        <v>2914</v>
      </c>
      <c r="H590" t="s">
        <v>2975</v>
      </c>
      <c r="I590" t="s">
        <v>2909</v>
      </c>
      <c r="J590" t="str">
        <f>IF(ISNUMBER(MATCH($D590,'Lopettaneet 2013-&gt;'!$D:$D,0)),INDEX('Lopettaneet 2013-&gt;'!$K:$K,MATCH($D590,'Lopettaneet 2013-&gt;'!$D:$D,0)),"Continues")</f>
        <v>Closed</v>
      </c>
      <c r="K590">
        <f ca="1">IF($J590="Continues",DATEDIF($B590,TODAY(),"Y"),INDEX('Lopettaneet 2013-&gt;'!$L:$L,MATCH($D590,'Lopettaneet 2013-&gt;'!$D:$D,0)))</f>
        <v>6</v>
      </c>
      <c r="L590">
        <v>325</v>
      </c>
    </row>
    <row r="591" spans="1:12" x14ac:dyDescent="0.25">
      <c r="A591" t="s">
        <v>7</v>
      </c>
      <c r="B591" s="1">
        <v>41974</v>
      </c>
      <c r="C591" s="1">
        <v>44286</v>
      </c>
      <c r="D591" s="4" t="s">
        <v>872</v>
      </c>
      <c r="E591" t="s">
        <v>10</v>
      </c>
      <c r="F591" t="s">
        <v>11</v>
      </c>
      <c r="G591" t="s">
        <v>2914</v>
      </c>
      <c r="H591" t="s">
        <v>2975</v>
      </c>
      <c r="I591" t="s">
        <v>2909</v>
      </c>
      <c r="J591" t="str">
        <f>IF(ISNUMBER(MATCH($D591,'Lopettaneet 2013-&gt;'!$D:$D,0)),INDEX('Lopettaneet 2013-&gt;'!$K:$K,MATCH($D591,'Lopettaneet 2013-&gt;'!$D:$D,0)),"Continues")</f>
        <v>Closed</v>
      </c>
      <c r="K591">
        <f ca="1">IF($J591="Continues",DATEDIF($B591,TODAY(),"Y"),INDEX('Lopettaneet 2013-&gt;'!$L:$L,MATCH($D591,'Lopettaneet 2013-&gt;'!$D:$D,0)))</f>
        <v>6</v>
      </c>
      <c r="L591">
        <v>326</v>
      </c>
    </row>
    <row r="592" spans="1:12" x14ac:dyDescent="0.25">
      <c r="A592" t="s">
        <v>7</v>
      </c>
      <c r="B592" s="1">
        <v>42156</v>
      </c>
      <c r="C592" s="1">
        <v>55153</v>
      </c>
      <c r="D592" s="4" t="s">
        <v>874</v>
      </c>
      <c r="E592" t="s">
        <v>10</v>
      </c>
      <c r="F592" t="s">
        <v>11</v>
      </c>
      <c r="G592" t="s">
        <v>2912</v>
      </c>
      <c r="H592" t="s">
        <v>2766</v>
      </c>
      <c r="I592" t="s">
        <v>2894</v>
      </c>
      <c r="J592" t="str">
        <f>IF(ISNUMBER(MATCH($D592,'Lopettaneet 2013-&gt;'!$D:$D,0)),INDEX('Lopettaneet 2013-&gt;'!$K:$K,MATCH($D592,'Lopettaneet 2013-&gt;'!$D:$D,0)),"Continues")</f>
        <v>Continues</v>
      </c>
      <c r="K592">
        <f ca="1">IF($J592="Continues",DATEDIF($B592,TODAY(),"Y"),INDEX('Lopettaneet 2013-&gt;'!$L:$L,MATCH($D592,'Lopettaneet 2013-&gt;'!$D:$D,0)))</f>
        <v>9</v>
      </c>
      <c r="L592">
        <v>327</v>
      </c>
    </row>
    <row r="593" spans="1:12" x14ac:dyDescent="0.25">
      <c r="A593" t="s">
        <v>7</v>
      </c>
      <c r="B593" s="1">
        <v>42156</v>
      </c>
      <c r="C593" s="1">
        <v>55153</v>
      </c>
      <c r="D593" s="4" t="s">
        <v>876</v>
      </c>
      <c r="E593" t="s">
        <v>10</v>
      </c>
      <c r="F593" t="s">
        <v>11</v>
      </c>
      <c r="G593" t="s">
        <v>2912</v>
      </c>
      <c r="H593" t="s">
        <v>2766</v>
      </c>
      <c r="I593" t="s">
        <v>2894</v>
      </c>
      <c r="J593" t="str">
        <f>IF(ISNUMBER(MATCH($D593,'Lopettaneet 2013-&gt;'!$D:$D,0)),INDEX('Lopettaneet 2013-&gt;'!$K:$K,MATCH($D593,'Lopettaneet 2013-&gt;'!$D:$D,0)),"Continues")</f>
        <v>Continues</v>
      </c>
      <c r="K593">
        <f ca="1">IF($J593="Continues",DATEDIF($B593,TODAY(),"Y"),INDEX('Lopettaneet 2013-&gt;'!$L:$L,MATCH($D593,'Lopettaneet 2013-&gt;'!$D:$D,0)))</f>
        <v>9</v>
      </c>
      <c r="L593">
        <v>328</v>
      </c>
    </row>
    <row r="594" spans="1:12" x14ac:dyDescent="0.25">
      <c r="A594" t="s">
        <v>7</v>
      </c>
      <c r="B594" s="1">
        <v>42156</v>
      </c>
      <c r="C594" s="1">
        <v>55153</v>
      </c>
      <c r="D594" s="4" t="s">
        <v>878</v>
      </c>
      <c r="E594" t="s">
        <v>10</v>
      </c>
      <c r="F594" t="s">
        <v>11</v>
      </c>
      <c r="G594" t="s">
        <v>2912</v>
      </c>
      <c r="H594" t="s">
        <v>2766</v>
      </c>
      <c r="I594" t="s">
        <v>2894</v>
      </c>
      <c r="J594" t="str">
        <f>IF(ISNUMBER(MATCH($D594,'Lopettaneet 2013-&gt;'!$D:$D,0)),INDEX('Lopettaneet 2013-&gt;'!$K:$K,MATCH($D594,'Lopettaneet 2013-&gt;'!$D:$D,0)),"Continues")</f>
        <v>Continues</v>
      </c>
      <c r="K594">
        <f ca="1">IF($J594="Continues",DATEDIF($B594,TODAY(),"Y"),INDEX('Lopettaneet 2013-&gt;'!$L:$L,MATCH($D594,'Lopettaneet 2013-&gt;'!$D:$D,0)))</f>
        <v>9</v>
      </c>
      <c r="L594">
        <v>329</v>
      </c>
    </row>
    <row r="595" spans="1:12" x14ac:dyDescent="0.25">
      <c r="A595" t="s">
        <v>0</v>
      </c>
      <c r="B595" s="1">
        <v>42095</v>
      </c>
      <c r="C595" s="1">
        <v>55153</v>
      </c>
      <c r="D595" s="4" t="s">
        <v>33</v>
      </c>
      <c r="E595" t="s">
        <v>3</v>
      </c>
      <c r="F595" t="s">
        <v>4</v>
      </c>
      <c r="G595" t="s">
        <v>2915</v>
      </c>
      <c r="H595" t="s">
        <v>2976</v>
      </c>
      <c r="I595" t="s">
        <v>2894</v>
      </c>
      <c r="J595" t="str">
        <f>IF(ISNUMBER(MATCH($D595,'Lopettaneet 2013-&gt;'!$D:$D,0)),INDEX('Lopettaneet 2013-&gt;'!$K:$K,MATCH($D595,'Lopettaneet 2013-&gt;'!$D:$D,0)),"Continues")</f>
        <v>Closed</v>
      </c>
      <c r="K595">
        <f ca="1">IF($J595="Continues",DATEDIF($B595,TODAY(),"Y"),INDEX('Lopettaneet 2013-&gt;'!$L:$L,MATCH($D595,'Lopettaneet 2013-&gt;'!$D:$D,0)))</f>
        <v>35</v>
      </c>
      <c r="L595">
        <v>330</v>
      </c>
    </row>
    <row r="596" spans="1:12" x14ac:dyDescent="0.25">
      <c r="A596" t="s">
        <v>7</v>
      </c>
      <c r="B596" s="1">
        <v>41974</v>
      </c>
      <c r="C596" s="1">
        <v>43373</v>
      </c>
      <c r="D596" s="4" t="s">
        <v>881</v>
      </c>
      <c r="E596" t="s">
        <v>10</v>
      </c>
      <c r="F596" t="s">
        <v>11</v>
      </c>
      <c r="G596" t="s">
        <v>2916</v>
      </c>
      <c r="H596" t="s">
        <v>2943</v>
      </c>
      <c r="I596" t="s">
        <v>2909</v>
      </c>
      <c r="J596" t="str">
        <f>IF(ISNUMBER(MATCH($D596,'Lopettaneet 2013-&gt;'!$D:$D,0)),INDEX('Lopettaneet 2013-&gt;'!$K:$K,MATCH($D596,'Lopettaneet 2013-&gt;'!$D:$D,0)),"Continues")</f>
        <v>Closed</v>
      </c>
      <c r="K596">
        <f ca="1">IF($J596="Continues",DATEDIF($B596,TODAY(),"Y"),INDEX('Lopettaneet 2013-&gt;'!$L:$L,MATCH($D596,'Lopettaneet 2013-&gt;'!$D:$D,0)))</f>
        <v>3</v>
      </c>
      <c r="L596">
        <v>331</v>
      </c>
    </row>
    <row r="597" spans="1:12" x14ac:dyDescent="0.25">
      <c r="A597" t="s">
        <v>7</v>
      </c>
      <c r="B597" s="1">
        <v>41974</v>
      </c>
      <c r="C597" s="1">
        <v>43373</v>
      </c>
      <c r="D597" s="4" t="s">
        <v>883</v>
      </c>
      <c r="E597" t="s">
        <v>10</v>
      </c>
      <c r="F597" t="s">
        <v>11</v>
      </c>
      <c r="G597" t="s">
        <v>2916</v>
      </c>
      <c r="H597" t="s">
        <v>2943</v>
      </c>
      <c r="I597" t="s">
        <v>2909</v>
      </c>
      <c r="J597" t="str">
        <f>IF(ISNUMBER(MATCH($D597,'Lopettaneet 2013-&gt;'!$D:$D,0)),INDEX('Lopettaneet 2013-&gt;'!$K:$K,MATCH($D597,'Lopettaneet 2013-&gt;'!$D:$D,0)),"Continues")</f>
        <v>Closed</v>
      </c>
      <c r="K597">
        <f ca="1">IF($J597="Continues",DATEDIF($B597,TODAY(),"Y"),INDEX('Lopettaneet 2013-&gt;'!$L:$L,MATCH($D597,'Lopettaneet 2013-&gt;'!$D:$D,0)))</f>
        <v>3</v>
      </c>
      <c r="L597">
        <v>332</v>
      </c>
    </row>
    <row r="598" spans="1:12" x14ac:dyDescent="0.25">
      <c r="A598" t="s">
        <v>7</v>
      </c>
      <c r="B598" s="1">
        <v>41974</v>
      </c>
      <c r="C598" s="1">
        <v>55153</v>
      </c>
      <c r="D598" s="4" t="s">
        <v>885</v>
      </c>
      <c r="E598" t="s">
        <v>10</v>
      </c>
      <c r="F598" t="s">
        <v>11</v>
      </c>
      <c r="G598" t="s">
        <v>2916</v>
      </c>
      <c r="H598" t="s">
        <v>2954</v>
      </c>
      <c r="I598" t="s">
        <v>2895</v>
      </c>
      <c r="J598" t="str">
        <f>IF(ISNUMBER(MATCH($D598,'Lopettaneet 2013-&gt;'!$D:$D,0)),INDEX('Lopettaneet 2013-&gt;'!$K:$K,MATCH($D598,'Lopettaneet 2013-&gt;'!$D:$D,0)),"Continues")</f>
        <v>Continues</v>
      </c>
      <c r="K598">
        <f ca="1">IF($J598="Continues",DATEDIF($B598,TODAY(),"Y"),INDEX('Lopettaneet 2013-&gt;'!$L:$L,MATCH($D598,'Lopettaneet 2013-&gt;'!$D:$D,0)))</f>
        <v>10</v>
      </c>
      <c r="L598">
        <v>333</v>
      </c>
    </row>
    <row r="599" spans="1:12" x14ac:dyDescent="0.25">
      <c r="A599" t="s">
        <v>7</v>
      </c>
      <c r="B599" s="1">
        <v>42430</v>
      </c>
      <c r="C599" s="1">
        <v>55153</v>
      </c>
      <c r="D599" s="4" t="s">
        <v>887</v>
      </c>
      <c r="E599" t="s">
        <v>10</v>
      </c>
      <c r="F599" t="s">
        <v>11</v>
      </c>
      <c r="G599" t="s">
        <v>2912</v>
      </c>
      <c r="H599" t="s">
        <v>2962</v>
      </c>
      <c r="I599" t="s">
        <v>2895</v>
      </c>
      <c r="J599" t="str">
        <f>IF(ISNUMBER(MATCH($D599,'Lopettaneet 2013-&gt;'!$D:$D,0)),INDEX('Lopettaneet 2013-&gt;'!$K:$K,MATCH($D599,'Lopettaneet 2013-&gt;'!$D:$D,0)),"Continues")</f>
        <v>Continues</v>
      </c>
      <c r="K599">
        <f ca="1">IF($J599="Continues",DATEDIF($B599,TODAY(),"Y"),INDEX('Lopettaneet 2013-&gt;'!$L:$L,MATCH($D599,'Lopettaneet 2013-&gt;'!$D:$D,0)))</f>
        <v>9</v>
      </c>
      <c r="L599">
        <v>334</v>
      </c>
    </row>
    <row r="600" spans="1:12" x14ac:dyDescent="0.25">
      <c r="A600" t="s">
        <v>0</v>
      </c>
      <c r="B600" s="1">
        <v>42278</v>
      </c>
      <c r="C600" s="1">
        <v>55153</v>
      </c>
      <c r="D600" s="4" t="s">
        <v>889</v>
      </c>
      <c r="E600" t="s">
        <v>3</v>
      </c>
      <c r="F600" t="s">
        <v>4</v>
      </c>
      <c r="G600" t="s">
        <v>2917</v>
      </c>
      <c r="H600" t="s">
        <v>2946</v>
      </c>
      <c r="I600" t="s">
        <v>2894</v>
      </c>
      <c r="J600" t="str">
        <f>IF(ISNUMBER(MATCH($D600,'Lopettaneet 2013-&gt;'!$D:$D,0)),INDEX('Lopettaneet 2013-&gt;'!$K:$K,MATCH($D600,'Lopettaneet 2013-&gt;'!$D:$D,0)),"Continues")</f>
        <v>Continues</v>
      </c>
      <c r="K600">
        <f ca="1">IF($J600="Continues",DATEDIF($B600,TODAY(),"Y"),INDEX('Lopettaneet 2013-&gt;'!$L:$L,MATCH($D600,'Lopettaneet 2013-&gt;'!$D:$D,0)))</f>
        <v>9</v>
      </c>
      <c r="L600">
        <v>335</v>
      </c>
    </row>
    <row r="601" spans="1:12" x14ac:dyDescent="0.25">
      <c r="A601" t="s">
        <v>0</v>
      </c>
      <c r="B601" s="1">
        <v>42156</v>
      </c>
      <c r="C601" s="1">
        <v>55153</v>
      </c>
      <c r="D601" s="4" t="s">
        <v>891</v>
      </c>
      <c r="E601" t="s">
        <v>3</v>
      </c>
      <c r="F601" t="s">
        <v>4</v>
      </c>
      <c r="G601" t="s">
        <v>2913</v>
      </c>
      <c r="H601" t="s">
        <v>2953</v>
      </c>
      <c r="I601" t="s">
        <v>2894</v>
      </c>
      <c r="J601" t="str">
        <f>IF(ISNUMBER(MATCH($D601,'Lopettaneet 2013-&gt;'!$D:$D,0)),INDEX('Lopettaneet 2013-&gt;'!$K:$K,MATCH($D601,'Lopettaneet 2013-&gt;'!$D:$D,0)),"Continues")</f>
        <v>Continues</v>
      </c>
      <c r="K601">
        <f ca="1">IF($J601="Continues",DATEDIF($B601,TODAY(),"Y"),INDEX('Lopettaneet 2013-&gt;'!$L:$L,MATCH($D601,'Lopettaneet 2013-&gt;'!$D:$D,0)))</f>
        <v>9</v>
      </c>
      <c r="L601">
        <v>336</v>
      </c>
    </row>
    <row r="602" spans="1:12" x14ac:dyDescent="0.25">
      <c r="A602" t="s">
        <v>7</v>
      </c>
      <c r="B602" s="1">
        <v>42522</v>
      </c>
      <c r="C602" s="1">
        <v>55153</v>
      </c>
      <c r="D602" s="4" t="s">
        <v>893</v>
      </c>
      <c r="E602" t="s">
        <v>10</v>
      </c>
      <c r="F602" t="s">
        <v>11</v>
      </c>
      <c r="G602" t="s">
        <v>2918</v>
      </c>
      <c r="H602" t="s">
        <v>2956</v>
      </c>
      <c r="I602" t="s">
        <v>2895</v>
      </c>
      <c r="J602" t="str">
        <f>IF(ISNUMBER(MATCH($D602,'Lopettaneet 2013-&gt;'!$D:$D,0)),INDEX('Lopettaneet 2013-&gt;'!$K:$K,MATCH($D602,'Lopettaneet 2013-&gt;'!$D:$D,0)),"Continues")</f>
        <v>Continues</v>
      </c>
      <c r="K602">
        <f ca="1">IF($J602="Continues",DATEDIF($B602,TODAY(),"Y"),INDEX('Lopettaneet 2013-&gt;'!$L:$L,MATCH($D602,'Lopettaneet 2013-&gt;'!$D:$D,0)))</f>
        <v>8</v>
      </c>
      <c r="L602">
        <v>337</v>
      </c>
    </row>
    <row r="603" spans="1:12" x14ac:dyDescent="0.25">
      <c r="A603" t="s">
        <v>7</v>
      </c>
      <c r="B603" s="1">
        <v>42095</v>
      </c>
      <c r="C603" s="1">
        <v>44377</v>
      </c>
      <c r="D603" s="4" t="s">
        <v>895</v>
      </c>
      <c r="E603" t="s">
        <v>10</v>
      </c>
      <c r="F603" t="s">
        <v>11</v>
      </c>
      <c r="G603" t="s">
        <v>2914</v>
      </c>
      <c r="H603" t="s">
        <v>2955</v>
      </c>
      <c r="I603" t="s">
        <v>2909</v>
      </c>
      <c r="J603" t="str">
        <f>IF(ISNUMBER(MATCH($D603,'Lopettaneet 2013-&gt;'!$D:$D,0)),INDEX('Lopettaneet 2013-&gt;'!$K:$K,MATCH($D603,'Lopettaneet 2013-&gt;'!$D:$D,0)),"Continues")</f>
        <v>Closed</v>
      </c>
      <c r="K603">
        <f ca="1">IF($J603="Continues",DATEDIF($B603,TODAY(),"Y"),INDEX('Lopettaneet 2013-&gt;'!$L:$L,MATCH($D603,'Lopettaneet 2013-&gt;'!$D:$D,0)))</f>
        <v>6</v>
      </c>
      <c r="L603">
        <v>338</v>
      </c>
    </row>
    <row r="604" spans="1:12" x14ac:dyDescent="0.25">
      <c r="A604" t="s">
        <v>7</v>
      </c>
      <c r="B604" s="1">
        <v>42095</v>
      </c>
      <c r="C604" s="1">
        <v>44377</v>
      </c>
      <c r="D604" s="4" t="s">
        <v>897</v>
      </c>
      <c r="E604" t="s">
        <v>10</v>
      </c>
      <c r="F604" t="s">
        <v>11</v>
      </c>
      <c r="G604" t="s">
        <v>2914</v>
      </c>
      <c r="H604" t="s">
        <v>2955</v>
      </c>
      <c r="I604" t="s">
        <v>2909</v>
      </c>
      <c r="J604" t="str">
        <f>IF(ISNUMBER(MATCH($D604,'Lopettaneet 2013-&gt;'!$D:$D,0)),INDEX('Lopettaneet 2013-&gt;'!$K:$K,MATCH($D604,'Lopettaneet 2013-&gt;'!$D:$D,0)),"Continues")</f>
        <v>Closed</v>
      </c>
      <c r="K604">
        <f ca="1">IF($J604="Continues",DATEDIF($B604,TODAY(),"Y"),INDEX('Lopettaneet 2013-&gt;'!$L:$L,MATCH($D604,'Lopettaneet 2013-&gt;'!$D:$D,0)))</f>
        <v>6</v>
      </c>
      <c r="L604">
        <v>339</v>
      </c>
    </row>
    <row r="605" spans="1:12" x14ac:dyDescent="0.25">
      <c r="A605" t="s">
        <v>7</v>
      </c>
      <c r="B605" s="1">
        <v>42795</v>
      </c>
      <c r="C605" s="1">
        <v>43465</v>
      </c>
      <c r="D605" s="4" t="s">
        <v>899</v>
      </c>
      <c r="E605" t="s">
        <v>10</v>
      </c>
      <c r="F605" t="s">
        <v>11</v>
      </c>
      <c r="G605" t="s">
        <v>2914</v>
      </c>
      <c r="H605" t="s">
        <v>2930</v>
      </c>
      <c r="I605" t="s">
        <v>2909</v>
      </c>
      <c r="J605" t="str">
        <f>IF(ISNUMBER(MATCH($D605,'Lopettaneet 2013-&gt;'!$D:$D,0)),INDEX('Lopettaneet 2013-&gt;'!$K:$K,MATCH($D605,'Lopettaneet 2013-&gt;'!$D:$D,0)),"Continues")</f>
        <v>Closed</v>
      </c>
      <c r="K605">
        <f ca="1">IF($J605="Continues",DATEDIF($B605,TODAY(),"Y"),INDEX('Lopettaneet 2013-&gt;'!$L:$L,MATCH($D605,'Lopettaneet 2013-&gt;'!$D:$D,0)))</f>
        <v>1</v>
      </c>
      <c r="L605">
        <v>340</v>
      </c>
    </row>
    <row r="606" spans="1:12" x14ac:dyDescent="0.25">
      <c r="A606" t="s">
        <v>0</v>
      </c>
      <c r="B606" s="1">
        <v>42370</v>
      </c>
      <c r="C606" s="1">
        <v>55153</v>
      </c>
      <c r="D606" s="4" t="s">
        <v>901</v>
      </c>
      <c r="E606" t="s">
        <v>3</v>
      </c>
      <c r="F606" t="s">
        <v>4</v>
      </c>
      <c r="G606" t="s">
        <v>2917</v>
      </c>
      <c r="H606" t="s">
        <v>2946</v>
      </c>
      <c r="I606" t="s">
        <v>2894</v>
      </c>
      <c r="J606" t="str">
        <f>IF(ISNUMBER(MATCH($D606,'Lopettaneet 2013-&gt;'!$D:$D,0)),INDEX('Lopettaneet 2013-&gt;'!$K:$K,MATCH($D606,'Lopettaneet 2013-&gt;'!$D:$D,0)),"Continues")</f>
        <v>Continues</v>
      </c>
      <c r="K606">
        <f ca="1">IF($J606="Continues",DATEDIF($B606,TODAY(),"Y"),INDEX('Lopettaneet 2013-&gt;'!$L:$L,MATCH($D606,'Lopettaneet 2013-&gt;'!$D:$D,0)))</f>
        <v>9</v>
      </c>
      <c r="L606">
        <v>341</v>
      </c>
    </row>
    <row r="607" spans="1:12" x14ac:dyDescent="0.25">
      <c r="A607" t="s">
        <v>7</v>
      </c>
      <c r="B607" s="1">
        <v>42430</v>
      </c>
      <c r="C607" s="1">
        <v>55153</v>
      </c>
      <c r="D607" s="4" t="s">
        <v>903</v>
      </c>
      <c r="E607" t="s">
        <v>10</v>
      </c>
      <c r="F607" t="s">
        <v>11</v>
      </c>
      <c r="G607" t="s">
        <v>2914</v>
      </c>
      <c r="H607" t="s">
        <v>2975</v>
      </c>
      <c r="I607" t="s">
        <v>2894</v>
      </c>
      <c r="J607" t="str">
        <f>IF(ISNUMBER(MATCH($D607,'Lopettaneet 2013-&gt;'!$D:$D,0)),INDEX('Lopettaneet 2013-&gt;'!$K:$K,MATCH($D607,'Lopettaneet 2013-&gt;'!$D:$D,0)),"Continues")</f>
        <v>Continues</v>
      </c>
      <c r="K607">
        <f ca="1">IF($J607="Continues",DATEDIF($B607,TODAY(),"Y"),INDEX('Lopettaneet 2013-&gt;'!$L:$L,MATCH($D607,'Lopettaneet 2013-&gt;'!$D:$D,0)))</f>
        <v>9</v>
      </c>
      <c r="L607">
        <v>342</v>
      </c>
    </row>
    <row r="608" spans="1:12" x14ac:dyDescent="0.25">
      <c r="A608" t="s">
        <v>7</v>
      </c>
      <c r="B608" s="1">
        <v>42156</v>
      </c>
      <c r="C608" s="1">
        <v>55153</v>
      </c>
      <c r="D608" s="4" t="s">
        <v>905</v>
      </c>
      <c r="E608" t="s">
        <v>10</v>
      </c>
      <c r="F608" t="s">
        <v>11</v>
      </c>
      <c r="G608" t="s">
        <v>2914</v>
      </c>
      <c r="H608" t="s">
        <v>2975</v>
      </c>
      <c r="I608" t="s">
        <v>2894</v>
      </c>
      <c r="J608" t="str">
        <f>IF(ISNUMBER(MATCH($D608,'Lopettaneet 2013-&gt;'!$D:$D,0)),INDEX('Lopettaneet 2013-&gt;'!$K:$K,MATCH($D608,'Lopettaneet 2013-&gt;'!$D:$D,0)),"Continues")</f>
        <v>Continues</v>
      </c>
      <c r="K608">
        <f ca="1">IF($J608="Continues",DATEDIF($B608,TODAY(),"Y"),INDEX('Lopettaneet 2013-&gt;'!$L:$L,MATCH($D608,'Lopettaneet 2013-&gt;'!$D:$D,0)))</f>
        <v>9</v>
      </c>
      <c r="L608">
        <v>343</v>
      </c>
    </row>
    <row r="609" spans="1:12" x14ac:dyDescent="0.25">
      <c r="A609" t="s">
        <v>7</v>
      </c>
      <c r="B609" s="1">
        <v>42278</v>
      </c>
      <c r="C609" s="1">
        <v>55153</v>
      </c>
      <c r="D609" s="4" t="s">
        <v>907</v>
      </c>
      <c r="E609" t="s">
        <v>10</v>
      </c>
      <c r="F609" t="s">
        <v>11</v>
      </c>
      <c r="G609" t="s">
        <v>2914</v>
      </c>
      <c r="H609" t="s">
        <v>2946</v>
      </c>
      <c r="I609" t="s">
        <v>2895</v>
      </c>
      <c r="J609" t="str">
        <f>IF(ISNUMBER(MATCH($D609,'Lopettaneet 2013-&gt;'!$D:$D,0)),INDEX('Lopettaneet 2013-&gt;'!$K:$K,MATCH($D609,'Lopettaneet 2013-&gt;'!$D:$D,0)),"Continues")</f>
        <v>Continues</v>
      </c>
      <c r="K609">
        <f ca="1">IF($J609="Continues",DATEDIF($B609,TODAY(),"Y"),INDEX('Lopettaneet 2013-&gt;'!$L:$L,MATCH($D609,'Lopettaneet 2013-&gt;'!$D:$D,0)))</f>
        <v>9</v>
      </c>
      <c r="L609">
        <v>344</v>
      </c>
    </row>
    <row r="610" spans="1:12" x14ac:dyDescent="0.25">
      <c r="A610" t="s">
        <v>7</v>
      </c>
      <c r="B610" s="1">
        <v>42156</v>
      </c>
      <c r="C610" s="1">
        <v>55153</v>
      </c>
      <c r="D610" s="4" t="s">
        <v>909</v>
      </c>
      <c r="E610" t="s">
        <v>10</v>
      </c>
      <c r="F610" t="s">
        <v>11</v>
      </c>
      <c r="G610" t="s">
        <v>2914</v>
      </c>
      <c r="H610" t="s">
        <v>2980</v>
      </c>
      <c r="I610" t="s">
        <v>2894</v>
      </c>
      <c r="J610" t="str">
        <f>IF(ISNUMBER(MATCH($D610,'Lopettaneet 2013-&gt;'!$D:$D,0)),INDEX('Lopettaneet 2013-&gt;'!$K:$K,MATCH($D610,'Lopettaneet 2013-&gt;'!$D:$D,0)),"Continues")</f>
        <v>Continues</v>
      </c>
      <c r="K610">
        <f ca="1">IF($J610="Continues",DATEDIF($B610,TODAY(),"Y"),INDEX('Lopettaneet 2013-&gt;'!$L:$L,MATCH($D610,'Lopettaneet 2013-&gt;'!$D:$D,0)))</f>
        <v>9</v>
      </c>
      <c r="L610">
        <v>345</v>
      </c>
    </row>
    <row r="611" spans="1:12" x14ac:dyDescent="0.25">
      <c r="A611" t="s">
        <v>7</v>
      </c>
      <c r="B611" s="1">
        <v>42156</v>
      </c>
      <c r="C611" s="1">
        <v>55153</v>
      </c>
      <c r="D611" s="4" t="s">
        <v>911</v>
      </c>
      <c r="E611" t="s">
        <v>10</v>
      </c>
      <c r="F611" t="s">
        <v>11</v>
      </c>
      <c r="G611" t="s">
        <v>2914</v>
      </c>
      <c r="H611" t="s">
        <v>2980</v>
      </c>
      <c r="I611" t="s">
        <v>2894</v>
      </c>
      <c r="J611" t="str">
        <f>IF(ISNUMBER(MATCH($D611,'Lopettaneet 2013-&gt;'!$D:$D,0)),INDEX('Lopettaneet 2013-&gt;'!$K:$K,MATCH($D611,'Lopettaneet 2013-&gt;'!$D:$D,0)),"Continues")</f>
        <v>Continues</v>
      </c>
      <c r="K611">
        <f ca="1">IF($J611="Continues",DATEDIF($B611,TODAY(),"Y"),INDEX('Lopettaneet 2013-&gt;'!$L:$L,MATCH($D611,'Lopettaneet 2013-&gt;'!$D:$D,0)))</f>
        <v>9</v>
      </c>
      <c r="L611">
        <v>346</v>
      </c>
    </row>
    <row r="612" spans="1:12" x14ac:dyDescent="0.25">
      <c r="A612" t="s">
        <v>7</v>
      </c>
      <c r="B612" s="1">
        <v>42156</v>
      </c>
      <c r="C612" s="1">
        <v>55153</v>
      </c>
      <c r="D612" s="4" t="s">
        <v>913</v>
      </c>
      <c r="E612" t="s">
        <v>10</v>
      </c>
      <c r="F612" t="s">
        <v>11</v>
      </c>
      <c r="G612" t="s">
        <v>2914</v>
      </c>
      <c r="H612" t="s">
        <v>2966</v>
      </c>
      <c r="I612" t="s">
        <v>2895</v>
      </c>
      <c r="J612" t="str">
        <f>IF(ISNUMBER(MATCH($D612,'Lopettaneet 2013-&gt;'!$D:$D,0)),INDEX('Lopettaneet 2013-&gt;'!$K:$K,MATCH($D612,'Lopettaneet 2013-&gt;'!$D:$D,0)),"Continues")</f>
        <v>Continues</v>
      </c>
      <c r="K612">
        <f ca="1">IF($J612="Continues",DATEDIF($B612,TODAY(),"Y"),INDEX('Lopettaneet 2013-&gt;'!$L:$L,MATCH($D612,'Lopettaneet 2013-&gt;'!$D:$D,0)))</f>
        <v>9</v>
      </c>
      <c r="L612">
        <v>347</v>
      </c>
    </row>
    <row r="613" spans="1:12" x14ac:dyDescent="0.25">
      <c r="A613" t="s">
        <v>7</v>
      </c>
      <c r="B613" s="1">
        <v>42248</v>
      </c>
      <c r="C613" s="1">
        <v>55153</v>
      </c>
      <c r="D613" s="4" t="s">
        <v>915</v>
      </c>
      <c r="E613" t="s">
        <v>10</v>
      </c>
      <c r="F613" t="s">
        <v>11</v>
      </c>
      <c r="G613" t="s">
        <v>2918</v>
      </c>
      <c r="H613" t="s">
        <v>2964</v>
      </c>
      <c r="I613" t="s">
        <v>2895</v>
      </c>
      <c r="J613" t="str">
        <f>IF(ISNUMBER(MATCH($D613,'Lopettaneet 2013-&gt;'!$D:$D,0)),INDEX('Lopettaneet 2013-&gt;'!$K:$K,MATCH($D613,'Lopettaneet 2013-&gt;'!$D:$D,0)),"Continues")</f>
        <v>Continues</v>
      </c>
      <c r="K613">
        <f ca="1">IF($J613="Continues",DATEDIF($B613,TODAY(),"Y"),INDEX('Lopettaneet 2013-&gt;'!$L:$L,MATCH($D613,'Lopettaneet 2013-&gt;'!$D:$D,0)))</f>
        <v>9</v>
      </c>
      <c r="L613">
        <v>348</v>
      </c>
    </row>
    <row r="614" spans="1:12" x14ac:dyDescent="0.25">
      <c r="A614" t="s">
        <v>7</v>
      </c>
      <c r="B614" s="1">
        <v>42156</v>
      </c>
      <c r="C614" s="1">
        <v>44104</v>
      </c>
      <c r="D614" s="4" t="s">
        <v>917</v>
      </c>
      <c r="E614" t="s">
        <v>10</v>
      </c>
      <c r="F614" t="s">
        <v>11</v>
      </c>
      <c r="G614" t="s">
        <v>2918</v>
      </c>
      <c r="H614" t="s">
        <v>2909</v>
      </c>
      <c r="I614" t="s">
        <v>2909</v>
      </c>
      <c r="J614" t="str">
        <f>IF(ISNUMBER(MATCH($D614,'Lopettaneet 2013-&gt;'!$D:$D,0)),INDEX('Lopettaneet 2013-&gt;'!$K:$K,MATCH($D614,'Lopettaneet 2013-&gt;'!$D:$D,0)),"Continues")</f>
        <v>Closed</v>
      </c>
      <c r="K614">
        <f ca="1">IF($J614="Continues",DATEDIF($B614,TODAY(),"Y"),INDEX('Lopettaneet 2013-&gt;'!$L:$L,MATCH($D614,'Lopettaneet 2013-&gt;'!$D:$D,0)))</f>
        <v>5</v>
      </c>
      <c r="L614">
        <v>349</v>
      </c>
    </row>
    <row r="615" spans="1:12" x14ac:dyDescent="0.25">
      <c r="A615" t="s">
        <v>7</v>
      </c>
      <c r="B615" s="1">
        <v>42156</v>
      </c>
      <c r="C615" s="1">
        <v>55153</v>
      </c>
      <c r="D615" s="4" t="s">
        <v>919</v>
      </c>
      <c r="E615" t="s">
        <v>10</v>
      </c>
      <c r="F615" t="s">
        <v>11</v>
      </c>
      <c r="G615" t="s">
        <v>2918</v>
      </c>
      <c r="H615" t="s">
        <v>2986</v>
      </c>
      <c r="I615" t="s">
        <v>2895</v>
      </c>
      <c r="J615" t="str">
        <f>IF(ISNUMBER(MATCH($D615,'Lopettaneet 2013-&gt;'!$D:$D,0)),INDEX('Lopettaneet 2013-&gt;'!$K:$K,MATCH($D615,'Lopettaneet 2013-&gt;'!$D:$D,0)),"Continues")</f>
        <v>Continues</v>
      </c>
      <c r="K615">
        <f ca="1">IF($J615="Continues",DATEDIF($B615,TODAY(),"Y"),INDEX('Lopettaneet 2013-&gt;'!$L:$L,MATCH($D615,'Lopettaneet 2013-&gt;'!$D:$D,0)))</f>
        <v>9</v>
      </c>
      <c r="L615">
        <v>350</v>
      </c>
    </row>
    <row r="616" spans="1:12" x14ac:dyDescent="0.25">
      <c r="A616" t="s">
        <v>7</v>
      </c>
      <c r="B616" s="1">
        <v>42248</v>
      </c>
      <c r="C616" s="1">
        <v>55153</v>
      </c>
      <c r="D616" s="4" t="s">
        <v>921</v>
      </c>
      <c r="E616" t="s">
        <v>10</v>
      </c>
      <c r="F616" t="s">
        <v>11</v>
      </c>
      <c r="G616" t="s">
        <v>2918</v>
      </c>
      <c r="H616" t="s">
        <v>2997</v>
      </c>
      <c r="I616" t="s">
        <v>2895</v>
      </c>
      <c r="J616" t="str">
        <f>IF(ISNUMBER(MATCH($D616,'Lopettaneet 2013-&gt;'!$D:$D,0)),INDEX('Lopettaneet 2013-&gt;'!$K:$K,MATCH($D616,'Lopettaneet 2013-&gt;'!$D:$D,0)),"Continues")</f>
        <v>Continues</v>
      </c>
      <c r="K616">
        <f ca="1">IF($J616="Continues",DATEDIF($B616,TODAY(),"Y"),INDEX('Lopettaneet 2013-&gt;'!$L:$L,MATCH($D616,'Lopettaneet 2013-&gt;'!$D:$D,0)))</f>
        <v>9</v>
      </c>
      <c r="L616">
        <v>351</v>
      </c>
    </row>
    <row r="617" spans="1:12" x14ac:dyDescent="0.25">
      <c r="A617" t="s">
        <v>7</v>
      </c>
      <c r="B617" s="1">
        <v>42156</v>
      </c>
      <c r="C617" s="1">
        <v>45382</v>
      </c>
      <c r="D617" s="4" t="s">
        <v>237</v>
      </c>
      <c r="E617" t="s">
        <v>10</v>
      </c>
      <c r="F617" t="s">
        <v>11</v>
      </c>
      <c r="G617" t="s">
        <v>2918</v>
      </c>
      <c r="H617" t="s">
        <v>2956</v>
      </c>
      <c r="I617" t="s">
        <v>2895</v>
      </c>
      <c r="J617" t="str">
        <f>IF(ISNUMBER(MATCH($D617,'Lopettaneet 2013-&gt;'!$D:$D,0)),INDEX('Lopettaneet 2013-&gt;'!$K:$K,MATCH($D617,'Lopettaneet 2013-&gt;'!$D:$D,0)),"Continues")</f>
        <v>Closed</v>
      </c>
      <c r="K617">
        <f ca="1">IF($J617="Continues",DATEDIF($B617,TODAY(),"Y"),INDEX('Lopettaneet 2013-&gt;'!$L:$L,MATCH($D617,'Lopettaneet 2013-&gt;'!$D:$D,0)))</f>
        <v>8</v>
      </c>
      <c r="L617">
        <v>352</v>
      </c>
    </row>
    <row r="618" spans="1:12" x14ac:dyDescent="0.25">
      <c r="A618" t="s">
        <v>7</v>
      </c>
      <c r="B618" s="1">
        <v>42461</v>
      </c>
      <c r="C618" s="1">
        <v>55153</v>
      </c>
      <c r="D618" s="4" t="s">
        <v>923</v>
      </c>
      <c r="E618" t="s">
        <v>10</v>
      </c>
      <c r="F618" t="s">
        <v>11</v>
      </c>
      <c r="G618" t="s">
        <v>2916</v>
      </c>
      <c r="H618" t="s">
        <v>2987</v>
      </c>
      <c r="I618" t="s">
        <v>2895</v>
      </c>
      <c r="J618" t="str">
        <f>IF(ISNUMBER(MATCH($D618,'Lopettaneet 2013-&gt;'!$D:$D,0)),INDEX('Lopettaneet 2013-&gt;'!$K:$K,MATCH($D618,'Lopettaneet 2013-&gt;'!$D:$D,0)),"Continues")</f>
        <v>Continues</v>
      </c>
      <c r="K618">
        <f ca="1">IF($J618="Continues",DATEDIF($B618,TODAY(),"Y"),INDEX('Lopettaneet 2013-&gt;'!$L:$L,MATCH($D618,'Lopettaneet 2013-&gt;'!$D:$D,0)))</f>
        <v>9</v>
      </c>
      <c r="L618">
        <v>353</v>
      </c>
    </row>
    <row r="619" spans="1:12" x14ac:dyDescent="0.25">
      <c r="A619" t="s">
        <v>7</v>
      </c>
      <c r="B619" s="1">
        <v>42156</v>
      </c>
      <c r="C619" s="1">
        <v>55153</v>
      </c>
      <c r="D619" s="4" t="s">
        <v>925</v>
      </c>
      <c r="E619" t="s">
        <v>10</v>
      </c>
      <c r="F619" t="s">
        <v>11</v>
      </c>
      <c r="G619" t="s">
        <v>2914</v>
      </c>
      <c r="H619" t="s">
        <v>2949</v>
      </c>
      <c r="I619" t="s">
        <v>2895</v>
      </c>
      <c r="J619" t="str">
        <f>IF(ISNUMBER(MATCH($D619,'Lopettaneet 2013-&gt;'!$D:$D,0)),INDEX('Lopettaneet 2013-&gt;'!$K:$K,MATCH($D619,'Lopettaneet 2013-&gt;'!$D:$D,0)),"Continues")</f>
        <v>Continues</v>
      </c>
      <c r="K619">
        <f ca="1">IF($J619="Continues",DATEDIF($B619,TODAY(),"Y"),INDEX('Lopettaneet 2013-&gt;'!$L:$L,MATCH($D619,'Lopettaneet 2013-&gt;'!$D:$D,0)))</f>
        <v>9</v>
      </c>
      <c r="L619">
        <v>354</v>
      </c>
    </row>
    <row r="620" spans="1:12" x14ac:dyDescent="0.25">
      <c r="A620" t="s">
        <v>7</v>
      </c>
      <c r="B620" s="1">
        <v>42186</v>
      </c>
      <c r="C620" s="1">
        <v>55153</v>
      </c>
      <c r="D620" s="4" t="s">
        <v>927</v>
      </c>
      <c r="E620" t="s">
        <v>10</v>
      </c>
      <c r="F620" t="s">
        <v>11</v>
      </c>
      <c r="G620" t="s">
        <v>2914</v>
      </c>
      <c r="H620" t="s">
        <v>3010</v>
      </c>
      <c r="I620" t="s">
        <v>2895</v>
      </c>
      <c r="J620" t="str">
        <f>IF(ISNUMBER(MATCH($D620,'Lopettaneet 2013-&gt;'!$D:$D,0)),INDEX('Lopettaneet 2013-&gt;'!$K:$K,MATCH($D620,'Lopettaneet 2013-&gt;'!$D:$D,0)),"Continues")</f>
        <v>Continues</v>
      </c>
      <c r="K620">
        <f ca="1">IF($J620="Continues",DATEDIF($B620,TODAY(),"Y"),INDEX('Lopettaneet 2013-&gt;'!$L:$L,MATCH($D620,'Lopettaneet 2013-&gt;'!$D:$D,0)))</f>
        <v>9</v>
      </c>
      <c r="L620">
        <v>355</v>
      </c>
    </row>
    <row r="621" spans="1:12" x14ac:dyDescent="0.25">
      <c r="A621" t="s">
        <v>7</v>
      </c>
      <c r="B621" s="1">
        <v>42186</v>
      </c>
      <c r="C621" s="1">
        <v>55153</v>
      </c>
      <c r="D621" s="4" t="s">
        <v>929</v>
      </c>
      <c r="E621" t="s">
        <v>10</v>
      </c>
      <c r="F621" t="s">
        <v>11</v>
      </c>
      <c r="G621" t="s">
        <v>2914</v>
      </c>
      <c r="H621" t="s">
        <v>2980</v>
      </c>
      <c r="I621" t="s">
        <v>2894</v>
      </c>
      <c r="J621" t="str">
        <f>IF(ISNUMBER(MATCH($D621,'Lopettaneet 2013-&gt;'!$D:$D,0)),INDEX('Lopettaneet 2013-&gt;'!$K:$K,MATCH($D621,'Lopettaneet 2013-&gt;'!$D:$D,0)),"Continues")</f>
        <v>Continues</v>
      </c>
      <c r="K621">
        <f ca="1">IF($J621="Continues",DATEDIF($B621,TODAY(),"Y"),INDEX('Lopettaneet 2013-&gt;'!$L:$L,MATCH($D621,'Lopettaneet 2013-&gt;'!$D:$D,0)))</f>
        <v>9</v>
      </c>
      <c r="L621">
        <v>356</v>
      </c>
    </row>
    <row r="622" spans="1:12" x14ac:dyDescent="0.25">
      <c r="A622" t="s">
        <v>7</v>
      </c>
      <c r="B622" s="1">
        <v>42186</v>
      </c>
      <c r="C622" s="1">
        <v>55153</v>
      </c>
      <c r="D622" s="4" t="s">
        <v>931</v>
      </c>
      <c r="E622" t="s">
        <v>10</v>
      </c>
      <c r="F622" t="s">
        <v>11</v>
      </c>
      <c r="G622" t="s">
        <v>2914</v>
      </c>
      <c r="H622" t="s">
        <v>2980</v>
      </c>
      <c r="I622" t="s">
        <v>2894</v>
      </c>
      <c r="J622" t="str">
        <f>IF(ISNUMBER(MATCH($D622,'Lopettaneet 2013-&gt;'!$D:$D,0)),INDEX('Lopettaneet 2013-&gt;'!$K:$K,MATCH($D622,'Lopettaneet 2013-&gt;'!$D:$D,0)),"Continues")</f>
        <v>Continues</v>
      </c>
      <c r="K622">
        <f ca="1">IF($J622="Continues",DATEDIF($B622,TODAY(),"Y"),INDEX('Lopettaneet 2013-&gt;'!$L:$L,MATCH($D622,'Lopettaneet 2013-&gt;'!$D:$D,0)))</f>
        <v>9</v>
      </c>
      <c r="L622">
        <v>357</v>
      </c>
    </row>
    <row r="623" spans="1:12" x14ac:dyDescent="0.25">
      <c r="A623" t="s">
        <v>7</v>
      </c>
      <c r="B623" s="1">
        <v>42186</v>
      </c>
      <c r="C623" s="1">
        <v>55153</v>
      </c>
      <c r="D623" s="4" t="s">
        <v>933</v>
      </c>
      <c r="E623" t="s">
        <v>10</v>
      </c>
      <c r="F623" t="s">
        <v>11</v>
      </c>
      <c r="G623" t="s">
        <v>2914</v>
      </c>
      <c r="H623" t="s">
        <v>2980</v>
      </c>
      <c r="I623" t="s">
        <v>2894</v>
      </c>
      <c r="J623" t="str">
        <f>IF(ISNUMBER(MATCH($D623,'Lopettaneet 2013-&gt;'!$D:$D,0)),INDEX('Lopettaneet 2013-&gt;'!$K:$K,MATCH($D623,'Lopettaneet 2013-&gt;'!$D:$D,0)),"Continues")</f>
        <v>Continues</v>
      </c>
      <c r="K623">
        <f ca="1">IF($J623="Continues",DATEDIF($B623,TODAY(),"Y"),INDEX('Lopettaneet 2013-&gt;'!$L:$L,MATCH($D623,'Lopettaneet 2013-&gt;'!$D:$D,0)))</f>
        <v>9</v>
      </c>
      <c r="L623">
        <v>358</v>
      </c>
    </row>
    <row r="624" spans="1:12" x14ac:dyDescent="0.25">
      <c r="A624" t="s">
        <v>7</v>
      </c>
      <c r="B624" s="1">
        <v>42186</v>
      </c>
      <c r="C624" s="1">
        <v>42551</v>
      </c>
      <c r="D624" s="4" t="s">
        <v>935</v>
      </c>
      <c r="E624" t="s">
        <v>10</v>
      </c>
      <c r="F624" t="s">
        <v>11</v>
      </c>
      <c r="G624" t="s">
        <v>2916</v>
      </c>
      <c r="H624" t="s">
        <v>2939</v>
      </c>
      <c r="I624" t="s">
        <v>2909</v>
      </c>
      <c r="J624" t="str">
        <f>IF(ISNUMBER(MATCH($D624,'Lopettaneet 2013-&gt;'!$D:$D,0)),INDEX('Lopettaneet 2013-&gt;'!$K:$K,MATCH($D624,'Lopettaneet 2013-&gt;'!$D:$D,0)),"Continues")</f>
        <v>Closed</v>
      </c>
      <c r="K624">
        <f ca="1">IF($J624="Continues",DATEDIF($B624,TODAY(),"Y"),INDEX('Lopettaneet 2013-&gt;'!$L:$L,MATCH($D624,'Lopettaneet 2013-&gt;'!$D:$D,0)))</f>
        <v>0</v>
      </c>
      <c r="L624">
        <v>359</v>
      </c>
    </row>
    <row r="625" spans="1:12" x14ac:dyDescent="0.25">
      <c r="A625" t="s">
        <v>7</v>
      </c>
      <c r="B625" s="1">
        <v>42186</v>
      </c>
      <c r="C625" s="1">
        <v>42521</v>
      </c>
      <c r="D625" s="4" t="s">
        <v>937</v>
      </c>
      <c r="E625" t="s">
        <v>10</v>
      </c>
      <c r="F625" t="s">
        <v>11</v>
      </c>
      <c r="G625" t="s">
        <v>2916</v>
      </c>
      <c r="H625" t="s">
        <v>2909</v>
      </c>
      <c r="I625" t="s">
        <v>2909</v>
      </c>
      <c r="J625" t="str">
        <f>IF(ISNUMBER(MATCH($D625,'Lopettaneet 2013-&gt;'!$D:$D,0)),INDEX('Lopettaneet 2013-&gt;'!$K:$K,MATCH($D625,'Lopettaneet 2013-&gt;'!$D:$D,0)),"Continues")</f>
        <v>Closed</v>
      </c>
      <c r="K625">
        <f ca="1">IF($J625="Continues",DATEDIF($B625,TODAY(),"Y"),INDEX('Lopettaneet 2013-&gt;'!$L:$L,MATCH($D625,'Lopettaneet 2013-&gt;'!$D:$D,0)))</f>
        <v>0</v>
      </c>
      <c r="L625">
        <v>360</v>
      </c>
    </row>
    <row r="626" spans="1:12" x14ac:dyDescent="0.25">
      <c r="A626" t="s">
        <v>7</v>
      </c>
      <c r="B626" s="1">
        <v>42156</v>
      </c>
      <c r="C626" s="1">
        <v>55153</v>
      </c>
      <c r="D626" s="4" t="s">
        <v>939</v>
      </c>
      <c r="E626" t="s">
        <v>10</v>
      </c>
      <c r="F626" t="s">
        <v>11</v>
      </c>
      <c r="G626" t="s">
        <v>2912</v>
      </c>
      <c r="H626" t="s">
        <v>2970</v>
      </c>
      <c r="I626" t="s">
        <v>2895</v>
      </c>
      <c r="J626" t="str">
        <f>IF(ISNUMBER(MATCH($D626,'Lopettaneet 2013-&gt;'!$D:$D,0)),INDEX('Lopettaneet 2013-&gt;'!$K:$K,MATCH($D626,'Lopettaneet 2013-&gt;'!$D:$D,0)),"Continues")</f>
        <v>Continues</v>
      </c>
      <c r="K626">
        <f ca="1">IF($J626="Continues",DATEDIF($B626,TODAY(),"Y"),INDEX('Lopettaneet 2013-&gt;'!$L:$L,MATCH($D626,'Lopettaneet 2013-&gt;'!$D:$D,0)))</f>
        <v>9</v>
      </c>
      <c r="L626">
        <v>361</v>
      </c>
    </row>
    <row r="627" spans="1:12" x14ac:dyDescent="0.25">
      <c r="A627" t="s">
        <v>7</v>
      </c>
      <c r="B627" s="1">
        <v>42248</v>
      </c>
      <c r="C627" s="1">
        <v>55153</v>
      </c>
      <c r="D627" s="4" t="s">
        <v>941</v>
      </c>
      <c r="E627" t="s">
        <v>10</v>
      </c>
      <c r="F627" t="s">
        <v>11</v>
      </c>
      <c r="G627" t="s">
        <v>2916</v>
      </c>
      <c r="H627" t="s">
        <v>3066</v>
      </c>
      <c r="I627" t="s">
        <v>2895</v>
      </c>
      <c r="J627" t="str">
        <f>IF(ISNUMBER(MATCH($D627,'Lopettaneet 2013-&gt;'!$D:$D,0)),INDEX('Lopettaneet 2013-&gt;'!$K:$K,MATCH($D627,'Lopettaneet 2013-&gt;'!$D:$D,0)),"Continues")</f>
        <v>Continues</v>
      </c>
      <c r="K627">
        <f ca="1">IF($J627="Continues",DATEDIF($B627,TODAY(),"Y"),INDEX('Lopettaneet 2013-&gt;'!$L:$L,MATCH($D627,'Lopettaneet 2013-&gt;'!$D:$D,0)))</f>
        <v>9</v>
      </c>
      <c r="L627">
        <v>362</v>
      </c>
    </row>
    <row r="628" spans="1:12" x14ac:dyDescent="0.25">
      <c r="A628" t="s">
        <v>0</v>
      </c>
      <c r="B628" s="1">
        <v>42186</v>
      </c>
      <c r="C628" s="1">
        <v>55153</v>
      </c>
      <c r="D628" s="4" t="s">
        <v>3189</v>
      </c>
      <c r="E628" t="s">
        <v>10</v>
      </c>
      <c r="F628" t="s">
        <v>4</v>
      </c>
      <c r="G628" t="s">
        <v>2917</v>
      </c>
      <c r="H628" t="s">
        <v>2777</v>
      </c>
      <c r="I628" t="s">
        <v>2895</v>
      </c>
      <c r="J628" t="str">
        <f>IF(ISNUMBER(MATCH($D628,'Lopettaneet 2013-&gt;'!$D:$D,0)),INDEX('Lopettaneet 2013-&gt;'!$K:$K,MATCH($D628,'Lopettaneet 2013-&gt;'!$D:$D,0)),"Continues")</f>
        <v>Continues</v>
      </c>
      <c r="K628">
        <f ca="1">IF($J628="Continues",DATEDIF($B628,TODAY(),"Y"),INDEX('Lopettaneet 2013-&gt;'!$L:$L,MATCH($D628,'Lopettaneet 2013-&gt;'!$D:$D,0)))</f>
        <v>9</v>
      </c>
      <c r="L628">
        <v>363</v>
      </c>
    </row>
    <row r="629" spans="1:12" x14ac:dyDescent="0.25">
      <c r="A629" t="s">
        <v>7</v>
      </c>
      <c r="B629" s="1">
        <v>42217</v>
      </c>
      <c r="C629" s="1">
        <v>55153</v>
      </c>
      <c r="D629" s="4" t="s">
        <v>945</v>
      </c>
      <c r="E629" t="s">
        <v>10</v>
      </c>
      <c r="F629" t="s">
        <v>11</v>
      </c>
      <c r="G629" t="s">
        <v>2914</v>
      </c>
      <c r="H629" t="s">
        <v>2978</v>
      </c>
      <c r="I629" t="s">
        <v>2895</v>
      </c>
      <c r="J629" t="str">
        <f>IF(ISNUMBER(MATCH($D629,'Lopettaneet 2013-&gt;'!$D:$D,0)),INDEX('Lopettaneet 2013-&gt;'!$K:$K,MATCH($D629,'Lopettaneet 2013-&gt;'!$D:$D,0)),"Continues")</f>
        <v>Continues</v>
      </c>
      <c r="K629">
        <f ca="1">IF($J629="Continues",DATEDIF($B629,TODAY(),"Y"),INDEX('Lopettaneet 2013-&gt;'!$L:$L,MATCH($D629,'Lopettaneet 2013-&gt;'!$D:$D,0)))</f>
        <v>9</v>
      </c>
      <c r="L629">
        <v>364</v>
      </c>
    </row>
    <row r="630" spans="1:12" x14ac:dyDescent="0.25">
      <c r="A630" t="s">
        <v>7</v>
      </c>
      <c r="B630" s="1">
        <v>42217</v>
      </c>
      <c r="C630" s="1">
        <v>55153</v>
      </c>
      <c r="D630" s="4" t="s">
        <v>947</v>
      </c>
      <c r="E630" t="s">
        <v>10</v>
      </c>
      <c r="F630" t="s">
        <v>11</v>
      </c>
      <c r="G630" t="s">
        <v>2914</v>
      </c>
      <c r="H630" t="s">
        <v>2978</v>
      </c>
      <c r="I630" t="s">
        <v>2895</v>
      </c>
      <c r="J630" t="str">
        <f>IF(ISNUMBER(MATCH($D630,'Lopettaneet 2013-&gt;'!$D:$D,0)),INDEX('Lopettaneet 2013-&gt;'!$K:$K,MATCH($D630,'Lopettaneet 2013-&gt;'!$D:$D,0)),"Continues")</f>
        <v>Continues</v>
      </c>
      <c r="K630">
        <f ca="1">IF($J630="Continues",DATEDIF($B630,TODAY(),"Y"),INDEX('Lopettaneet 2013-&gt;'!$L:$L,MATCH($D630,'Lopettaneet 2013-&gt;'!$D:$D,0)))</f>
        <v>9</v>
      </c>
      <c r="L630">
        <v>365</v>
      </c>
    </row>
    <row r="631" spans="1:12" x14ac:dyDescent="0.25">
      <c r="A631" t="s">
        <v>7</v>
      </c>
      <c r="B631" s="1">
        <v>42217</v>
      </c>
      <c r="C631" s="1">
        <v>55153</v>
      </c>
      <c r="D631" s="4" t="s">
        <v>949</v>
      </c>
      <c r="E631" t="s">
        <v>10</v>
      </c>
      <c r="F631" t="s">
        <v>11</v>
      </c>
      <c r="G631" t="s">
        <v>2914</v>
      </c>
      <c r="H631" t="s">
        <v>2980</v>
      </c>
      <c r="I631" t="s">
        <v>2894</v>
      </c>
      <c r="J631" t="str">
        <f>IF(ISNUMBER(MATCH($D631,'Lopettaneet 2013-&gt;'!$D:$D,0)),INDEX('Lopettaneet 2013-&gt;'!$K:$K,MATCH($D631,'Lopettaneet 2013-&gt;'!$D:$D,0)),"Continues")</f>
        <v>Continues</v>
      </c>
      <c r="K631">
        <f ca="1">IF($J631="Continues",DATEDIF($B631,TODAY(),"Y"),INDEX('Lopettaneet 2013-&gt;'!$L:$L,MATCH($D631,'Lopettaneet 2013-&gt;'!$D:$D,0)))</f>
        <v>9</v>
      </c>
      <c r="L631">
        <v>366</v>
      </c>
    </row>
    <row r="632" spans="1:12" x14ac:dyDescent="0.25">
      <c r="A632" t="s">
        <v>0</v>
      </c>
      <c r="B632" s="1">
        <v>42248</v>
      </c>
      <c r="C632" s="1">
        <v>43434</v>
      </c>
      <c r="D632" s="4" t="s">
        <v>951</v>
      </c>
      <c r="E632" t="s">
        <v>3</v>
      </c>
      <c r="F632" t="s">
        <v>4</v>
      </c>
      <c r="G632" t="s">
        <v>2913</v>
      </c>
      <c r="H632" t="s">
        <v>2948</v>
      </c>
      <c r="I632" t="s">
        <v>2909</v>
      </c>
      <c r="J632" t="str">
        <f>IF(ISNUMBER(MATCH($D632,'Lopettaneet 2013-&gt;'!$D:$D,0)),INDEX('Lopettaneet 2013-&gt;'!$K:$K,MATCH($D632,'Lopettaneet 2013-&gt;'!$D:$D,0)),"Continues")</f>
        <v>Merged</v>
      </c>
      <c r="K632">
        <f ca="1">IF($J632="Continues",DATEDIF($B632,TODAY(),"Y"),INDEX('Lopettaneet 2013-&gt;'!$L:$L,MATCH($D632,'Lopettaneet 2013-&gt;'!$D:$D,0)))</f>
        <v>3</v>
      </c>
      <c r="L632">
        <v>367</v>
      </c>
    </row>
    <row r="633" spans="1:12" x14ac:dyDescent="0.25">
      <c r="A633" t="s">
        <v>0</v>
      </c>
      <c r="B633" s="1">
        <v>42309</v>
      </c>
      <c r="C633" s="1">
        <v>43404</v>
      </c>
      <c r="D633" s="4" t="s">
        <v>953</v>
      </c>
      <c r="E633" t="s">
        <v>3</v>
      </c>
      <c r="F633" t="s">
        <v>4</v>
      </c>
      <c r="G633" t="s">
        <v>2913</v>
      </c>
      <c r="H633" t="s">
        <v>2948</v>
      </c>
      <c r="I633" t="s">
        <v>2909</v>
      </c>
      <c r="J633" t="str">
        <f>IF(ISNUMBER(MATCH($D633,'Lopettaneet 2013-&gt;'!$D:$D,0)),INDEX('Lopettaneet 2013-&gt;'!$K:$K,MATCH($D633,'Lopettaneet 2013-&gt;'!$D:$D,0)),"Continues")</f>
        <v>Merged</v>
      </c>
      <c r="K633">
        <f ca="1">IF($J633="Continues",DATEDIF($B633,TODAY(),"Y"),INDEX('Lopettaneet 2013-&gt;'!$L:$L,MATCH($D633,'Lopettaneet 2013-&gt;'!$D:$D,0)))</f>
        <v>2</v>
      </c>
      <c r="L633">
        <v>368</v>
      </c>
    </row>
    <row r="634" spans="1:12" x14ac:dyDescent="0.25">
      <c r="A634" t="s">
        <v>0</v>
      </c>
      <c r="B634" s="1">
        <v>42309</v>
      </c>
      <c r="C634" s="1">
        <v>55153</v>
      </c>
      <c r="D634" s="4" t="s">
        <v>955</v>
      </c>
      <c r="E634" t="s">
        <v>3</v>
      </c>
      <c r="F634" t="s">
        <v>4</v>
      </c>
      <c r="G634" t="s">
        <v>2917</v>
      </c>
      <c r="H634" t="s">
        <v>2957</v>
      </c>
      <c r="I634" t="s">
        <v>2894</v>
      </c>
      <c r="J634" t="str">
        <f>IF(ISNUMBER(MATCH($D634,'Lopettaneet 2013-&gt;'!$D:$D,0)),INDEX('Lopettaneet 2013-&gt;'!$K:$K,MATCH($D634,'Lopettaneet 2013-&gt;'!$D:$D,0)),"Continues")</f>
        <v>Continues</v>
      </c>
      <c r="K634">
        <f ca="1">IF($J634="Continues",DATEDIF($B634,TODAY(),"Y"),INDEX('Lopettaneet 2013-&gt;'!$L:$L,MATCH($D634,'Lopettaneet 2013-&gt;'!$D:$D,0)))</f>
        <v>9</v>
      </c>
      <c r="L634">
        <v>369</v>
      </c>
    </row>
    <row r="635" spans="1:12" x14ac:dyDescent="0.25">
      <c r="A635" t="s">
        <v>7</v>
      </c>
      <c r="B635" s="1">
        <v>42278</v>
      </c>
      <c r="C635" s="1">
        <v>55153</v>
      </c>
      <c r="D635" s="4" t="s">
        <v>957</v>
      </c>
      <c r="E635" t="s">
        <v>10</v>
      </c>
      <c r="F635" t="s">
        <v>11</v>
      </c>
      <c r="G635" t="s">
        <v>2914</v>
      </c>
      <c r="H635" t="s">
        <v>2946</v>
      </c>
      <c r="I635" t="s">
        <v>2895</v>
      </c>
      <c r="J635" t="str">
        <f>IF(ISNUMBER(MATCH($D635,'Lopettaneet 2013-&gt;'!$D:$D,0)),INDEX('Lopettaneet 2013-&gt;'!$K:$K,MATCH($D635,'Lopettaneet 2013-&gt;'!$D:$D,0)),"Continues")</f>
        <v>Continues</v>
      </c>
      <c r="K635">
        <f ca="1">IF($J635="Continues",DATEDIF($B635,TODAY(),"Y"),INDEX('Lopettaneet 2013-&gt;'!$L:$L,MATCH($D635,'Lopettaneet 2013-&gt;'!$D:$D,0)))</f>
        <v>9</v>
      </c>
      <c r="L635">
        <v>370</v>
      </c>
    </row>
    <row r="636" spans="1:12" x14ac:dyDescent="0.25">
      <c r="A636" t="s">
        <v>7</v>
      </c>
      <c r="B636" s="1">
        <v>42278</v>
      </c>
      <c r="C636" s="1">
        <v>55153</v>
      </c>
      <c r="D636" s="4" t="s">
        <v>959</v>
      </c>
      <c r="E636" t="s">
        <v>10</v>
      </c>
      <c r="F636" t="s">
        <v>11</v>
      </c>
      <c r="G636" t="s">
        <v>2914</v>
      </c>
      <c r="H636" t="s">
        <v>2946</v>
      </c>
      <c r="I636" t="s">
        <v>2895</v>
      </c>
      <c r="J636" t="str">
        <f>IF(ISNUMBER(MATCH($D636,'Lopettaneet 2013-&gt;'!$D:$D,0)),INDEX('Lopettaneet 2013-&gt;'!$K:$K,MATCH($D636,'Lopettaneet 2013-&gt;'!$D:$D,0)),"Continues")</f>
        <v>Continues</v>
      </c>
      <c r="K636">
        <f ca="1">IF($J636="Continues",DATEDIF($B636,TODAY(),"Y"),INDEX('Lopettaneet 2013-&gt;'!$L:$L,MATCH($D636,'Lopettaneet 2013-&gt;'!$D:$D,0)))</f>
        <v>9</v>
      </c>
      <c r="L636">
        <v>371</v>
      </c>
    </row>
    <row r="637" spans="1:12" x14ac:dyDescent="0.25">
      <c r="A637" t="s">
        <v>7</v>
      </c>
      <c r="B637" s="1">
        <v>42278</v>
      </c>
      <c r="C637" s="1">
        <v>55153</v>
      </c>
      <c r="D637" s="4" t="s">
        <v>961</v>
      </c>
      <c r="E637" t="s">
        <v>10</v>
      </c>
      <c r="F637" t="s">
        <v>11</v>
      </c>
      <c r="G637" t="s">
        <v>2912</v>
      </c>
      <c r="H637" t="s">
        <v>3005</v>
      </c>
      <c r="I637" t="s">
        <v>2895</v>
      </c>
      <c r="J637" t="str">
        <f>IF(ISNUMBER(MATCH($D637,'Lopettaneet 2013-&gt;'!$D:$D,0)),INDEX('Lopettaneet 2013-&gt;'!$K:$K,MATCH($D637,'Lopettaneet 2013-&gt;'!$D:$D,0)),"Continues")</f>
        <v>Continues</v>
      </c>
      <c r="K637">
        <f ca="1">IF($J637="Continues",DATEDIF($B637,TODAY(),"Y"),INDEX('Lopettaneet 2013-&gt;'!$L:$L,MATCH($D637,'Lopettaneet 2013-&gt;'!$D:$D,0)))</f>
        <v>9</v>
      </c>
      <c r="L637">
        <v>372</v>
      </c>
    </row>
    <row r="638" spans="1:12" x14ac:dyDescent="0.25">
      <c r="A638" t="s">
        <v>7</v>
      </c>
      <c r="B638" s="1">
        <v>42278</v>
      </c>
      <c r="C638" s="1">
        <v>55153</v>
      </c>
      <c r="D638" s="4" t="s">
        <v>963</v>
      </c>
      <c r="E638" t="s">
        <v>10</v>
      </c>
      <c r="F638" t="s">
        <v>11</v>
      </c>
      <c r="G638" t="s">
        <v>2916</v>
      </c>
      <c r="H638" t="s">
        <v>3011</v>
      </c>
      <c r="I638" t="s">
        <v>2895</v>
      </c>
      <c r="J638" t="str">
        <f>IF(ISNUMBER(MATCH($D638,'Lopettaneet 2013-&gt;'!$D:$D,0)),INDEX('Lopettaneet 2013-&gt;'!$K:$K,MATCH($D638,'Lopettaneet 2013-&gt;'!$D:$D,0)),"Continues")</f>
        <v>Continues</v>
      </c>
      <c r="K638">
        <f ca="1">IF($J638="Continues",DATEDIF($B638,TODAY(),"Y"),INDEX('Lopettaneet 2013-&gt;'!$L:$L,MATCH($D638,'Lopettaneet 2013-&gt;'!$D:$D,0)))</f>
        <v>9</v>
      </c>
      <c r="L638">
        <v>373</v>
      </c>
    </row>
    <row r="639" spans="1:12" x14ac:dyDescent="0.25">
      <c r="A639" t="s">
        <v>7</v>
      </c>
      <c r="B639" s="1">
        <v>42278</v>
      </c>
      <c r="C639" s="1">
        <v>55153</v>
      </c>
      <c r="D639" s="4" t="s">
        <v>965</v>
      </c>
      <c r="E639" t="s">
        <v>10</v>
      </c>
      <c r="F639" t="s">
        <v>11</v>
      </c>
      <c r="G639" t="s">
        <v>2914</v>
      </c>
      <c r="H639" t="s">
        <v>2982</v>
      </c>
      <c r="I639" t="s">
        <v>2895</v>
      </c>
      <c r="J639" t="str">
        <f>IF(ISNUMBER(MATCH($D639,'Lopettaneet 2013-&gt;'!$D:$D,0)),INDEX('Lopettaneet 2013-&gt;'!$K:$K,MATCH($D639,'Lopettaneet 2013-&gt;'!$D:$D,0)),"Continues")</f>
        <v>Continues</v>
      </c>
      <c r="K639">
        <f ca="1">IF($J639="Continues",DATEDIF($B639,TODAY(),"Y"),INDEX('Lopettaneet 2013-&gt;'!$L:$L,MATCH($D639,'Lopettaneet 2013-&gt;'!$D:$D,0)))</f>
        <v>9</v>
      </c>
      <c r="L639">
        <v>374</v>
      </c>
    </row>
    <row r="640" spans="1:12" x14ac:dyDescent="0.25">
      <c r="A640" t="s">
        <v>7</v>
      </c>
      <c r="B640" s="1">
        <v>42248</v>
      </c>
      <c r="C640" s="1">
        <v>44742</v>
      </c>
      <c r="D640" s="4" t="s">
        <v>967</v>
      </c>
      <c r="E640" t="s">
        <v>10</v>
      </c>
      <c r="F640" t="s">
        <v>11</v>
      </c>
      <c r="G640" t="s">
        <v>2912</v>
      </c>
      <c r="H640" t="s">
        <v>2925</v>
      </c>
      <c r="I640" t="s">
        <v>2909</v>
      </c>
      <c r="J640" t="str">
        <f>IF(ISNUMBER(MATCH($D640,'Lopettaneet 2013-&gt;'!$D:$D,0)),INDEX('Lopettaneet 2013-&gt;'!$K:$K,MATCH($D640,'Lopettaneet 2013-&gt;'!$D:$D,0)),"Continues")</f>
        <v>Closed</v>
      </c>
      <c r="K640">
        <f ca="1">IF($J640="Continues",DATEDIF($B640,TODAY(),"Y"),INDEX('Lopettaneet 2013-&gt;'!$L:$L,MATCH($D640,'Lopettaneet 2013-&gt;'!$D:$D,0)))</f>
        <v>6</v>
      </c>
      <c r="L640">
        <v>375</v>
      </c>
    </row>
    <row r="641" spans="1:12" x14ac:dyDescent="0.25">
      <c r="A641" t="s">
        <v>0</v>
      </c>
      <c r="B641" s="1">
        <v>42339</v>
      </c>
      <c r="C641" s="1">
        <v>55153</v>
      </c>
      <c r="D641" s="4" t="s">
        <v>969</v>
      </c>
      <c r="E641" t="s">
        <v>10</v>
      </c>
      <c r="F641" t="s">
        <v>4</v>
      </c>
      <c r="G641" t="s">
        <v>2918</v>
      </c>
      <c r="H641" t="s">
        <v>2956</v>
      </c>
      <c r="I641" t="s">
        <v>2894</v>
      </c>
      <c r="J641" t="str">
        <f>IF(ISNUMBER(MATCH($D641,'Lopettaneet 2013-&gt;'!$D:$D,0)),INDEX('Lopettaneet 2013-&gt;'!$K:$K,MATCH($D641,'Lopettaneet 2013-&gt;'!$D:$D,0)),"Continues")</f>
        <v>Continues</v>
      </c>
      <c r="K641">
        <f ca="1">IF($J641="Continues",DATEDIF($B641,TODAY(),"Y"),INDEX('Lopettaneet 2013-&gt;'!$L:$L,MATCH($D641,'Lopettaneet 2013-&gt;'!$D:$D,0)))</f>
        <v>9</v>
      </c>
      <c r="L641">
        <v>376</v>
      </c>
    </row>
    <row r="642" spans="1:12" x14ac:dyDescent="0.25">
      <c r="A642" t="s">
        <v>0</v>
      </c>
      <c r="B642" s="1">
        <v>42309</v>
      </c>
      <c r="C642" s="1">
        <v>55153</v>
      </c>
      <c r="D642" s="4" t="s">
        <v>971</v>
      </c>
      <c r="E642" t="s">
        <v>3</v>
      </c>
      <c r="F642" t="s">
        <v>4</v>
      </c>
      <c r="G642" t="s">
        <v>2917</v>
      </c>
      <c r="H642" t="s">
        <v>2953</v>
      </c>
      <c r="I642" t="s">
        <v>2894</v>
      </c>
      <c r="J642" t="str">
        <f>IF(ISNUMBER(MATCH($D642,'Lopettaneet 2013-&gt;'!$D:$D,0)),INDEX('Lopettaneet 2013-&gt;'!$K:$K,MATCH($D642,'Lopettaneet 2013-&gt;'!$D:$D,0)),"Continues")</f>
        <v>Closed</v>
      </c>
      <c r="K642">
        <f ca="1">IF($J642="Continues",DATEDIF($B642,TODAY(),"Y"),INDEX('Lopettaneet 2013-&gt;'!$L:$L,MATCH($D642,'Lopettaneet 2013-&gt;'!$D:$D,0)))</f>
        <v>7</v>
      </c>
      <c r="L642">
        <v>377</v>
      </c>
    </row>
    <row r="643" spans="1:12" x14ac:dyDescent="0.25">
      <c r="A643" t="s">
        <v>7</v>
      </c>
      <c r="B643" s="1">
        <v>42339</v>
      </c>
      <c r="C643" s="1">
        <v>55153</v>
      </c>
      <c r="D643" s="4" t="s">
        <v>973</v>
      </c>
      <c r="E643" t="s">
        <v>10</v>
      </c>
      <c r="F643" t="s">
        <v>11</v>
      </c>
      <c r="G643" t="s">
        <v>2918</v>
      </c>
      <c r="H643" t="s">
        <v>2830</v>
      </c>
      <c r="I643" t="s">
        <v>2895</v>
      </c>
      <c r="J643" t="str">
        <f>IF(ISNUMBER(MATCH($D643,'Lopettaneet 2013-&gt;'!$D:$D,0)),INDEX('Lopettaneet 2013-&gt;'!$K:$K,MATCH($D643,'Lopettaneet 2013-&gt;'!$D:$D,0)),"Continues")</f>
        <v>Continues</v>
      </c>
      <c r="K643">
        <f ca="1">IF($J643="Continues",DATEDIF($B643,TODAY(),"Y"),INDEX('Lopettaneet 2013-&gt;'!$L:$L,MATCH($D643,'Lopettaneet 2013-&gt;'!$D:$D,0)))</f>
        <v>9</v>
      </c>
      <c r="L643">
        <v>378</v>
      </c>
    </row>
    <row r="644" spans="1:12" x14ac:dyDescent="0.25">
      <c r="A644" t="s">
        <v>0</v>
      </c>
      <c r="B644" s="1">
        <v>42644</v>
      </c>
      <c r="C644" s="1">
        <v>55153</v>
      </c>
      <c r="D644" s="4" t="s">
        <v>975</v>
      </c>
      <c r="E644" t="s">
        <v>10</v>
      </c>
      <c r="F644" t="s">
        <v>4</v>
      </c>
      <c r="G644" t="s">
        <v>2914</v>
      </c>
      <c r="H644" t="s">
        <v>2946</v>
      </c>
      <c r="I644" t="s">
        <v>2894</v>
      </c>
      <c r="J644" t="str">
        <f>IF(ISNUMBER(MATCH($D644,'Lopettaneet 2013-&gt;'!$D:$D,0)),INDEX('Lopettaneet 2013-&gt;'!$K:$K,MATCH($D644,'Lopettaneet 2013-&gt;'!$D:$D,0)),"Continues")</f>
        <v>Continues</v>
      </c>
      <c r="K644">
        <f ca="1">IF($J644="Continues",DATEDIF($B644,TODAY(),"Y"),INDEX('Lopettaneet 2013-&gt;'!$L:$L,MATCH($D644,'Lopettaneet 2013-&gt;'!$D:$D,0)))</f>
        <v>8</v>
      </c>
      <c r="L644">
        <v>379</v>
      </c>
    </row>
    <row r="645" spans="1:12" x14ac:dyDescent="0.25">
      <c r="A645" t="s">
        <v>0</v>
      </c>
      <c r="B645" s="1">
        <v>42278</v>
      </c>
      <c r="C645" s="1">
        <v>55153</v>
      </c>
      <c r="D645" s="4" t="s">
        <v>977</v>
      </c>
      <c r="E645" t="s">
        <v>3</v>
      </c>
      <c r="F645" t="s">
        <v>4</v>
      </c>
      <c r="G645" t="s">
        <v>2913</v>
      </c>
      <c r="H645" t="s">
        <v>2956</v>
      </c>
      <c r="I645" t="s">
        <v>2894</v>
      </c>
      <c r="J645" t="str">
        <f>IF(ISNUMBER(MATCH($D645,'Lopettaneet 2013-&gt;'!$D:$D,0)),INDEX('Lopettaneet 2013-&gt;'!$K:$K,MATCH($D645,'Lopettaneet 2013-&gt;'!$D:$D,0)),"Continues")</f>
        <v>Continues</v>
      </c>
      <c r="K645">
        <f ca="1">IF($J645="Continues",DATEDIF($B645,TODAY(),"Y"),INDEX('Lopettaneet 2013-&gt;'!$L:$L,MATCH($D645,'Lopettaneet 2013-&gt;'!$D:$D,0)))</f>
        <v>9</v>
      </c>
      <c r="L645">
        <v>380</v>
      </c>
    </row>
    <row r="646" spans="1:12" x14ac:dyDescent="0.25">
      <c r="A646" t="s">
        <v>0</v>
      </c>
      <c r="B646" s="1">
        <v>42309</v>
      </c>
      <c r="C646" s="1">
        <v>55153</v>
      </c>
      <c r="D646" s="4" t="s">
        <v>3190</v>
      </c>
      <c r="E646" t="s">
        <v>10</v>
      </c>
      <c r="F646" t="s">
        <v>4</v>
      </c>
      <c r="G646" t="s">
        <v>2917</v>
      </c>
      <c r="H646" t="s">
        <v>2777</v>
      </c>
      <c r="I646" t="s">
        <v>2894</v>
      </c>
      <c r="J646" t="str">
        <f>IF(ISNUMBER(MATCH($D646,'Lopettaneet 2013-&gt;'!$D:$D,0)),INDEX('Lopettaneet 2013-&gt;'!$K:$K,MATCH($D646,'Lopettaneet 2013-&gt;'!$D:$D,0)),"Continues")</f>
        <v>Continues</v>
      </c>
      <c r="K646">
        <f ca="1">IF($J646="Continues",DATEDIF($B646,TODAY(),"Y"),INDEX('Lopettaneet 2013-&gt;'!$L:$L,MATCH($D646,'Lopettaneet 2013-&gt;'!$D:$D,0)))</f>
        <v>9</v>
      </c>
      <c r="L646">
        <v>381</v>
      </c>
    </row>
    <row r="647" spans="1:12" x14ac:dyDescent="0.25">
      <c r="A647" t="s">
        <v>7</v>
      </c>
      <c r="B647" s="1">
        <v>42278</v>
      </c>
      <c r="C647" s="1">
        <v>43830</v>
      </c>
      <c r="D647" s="4" t="s">
        <v>981</v>
      </c>
      <c r="E647" t="s">
        <v>10</v>
      </c>
      <c r="F647" t="s">
        <v>11</v>
      </c>
      <c r="G647" t="s">
        <v>2914</v>
      </c>
      <c r="H647" t="s">
        <v>2937</v>
      </c>
      <c r="I647" t="s">
        <v>2909</v>
      </c>
      <c r="J647" t="str">
        <f>IF(ISNUMBER(MATCH($D647,'Lopettaneet 2013-&gt;'!$D:$D,0)),INDEX('Lopettaneet 2013-&gt;'!$K:$K,MATCH($D647,'Lopettaneet 2013-&gt;'!$D:$D,0)),"Continues")</f>
        <v>Closed</v>
      </c>
      <c r="K647">
        <f ca="1">IF($J647="Continues",DATEDIF($B647,TODAY(),"Y"),INDEX('Lopettaneet 2013-&gt;'!$L:$L,MATCH($D647,'Lopettaneet 2013-&gt;'!$D:$D,0)))</f>
        <v>4</v>
      </c>
      <c r="L647">
        <v>382</v>
      </c>
    </row>
    <row r="648" spans="1:12" x14ac:dyDescent="0.25">
      <c r="A648" t="s">
        <v>7</v>
      </c>
      <c r="B648" s="1">
        <v>42278</v>
      </c>
      <c r="C648" s="1">
        <v>44742</v>
      </c>
      <c r="D648" s="4" t="s">
        <v>983</v>
      </c>
      <c r="E648" t="s">
        <v>10</v>
      </c>
      <c r="F648" t="s">
        <v>11</v>
      </c>
      <c r="G648" t="s">
        <v>2912</v>
      </c>
      <c r="H648" t="s">
        <v>2968</v>
      </c>
      <c r="I648" t="s">
        <v>2909</v>
      </c>
      <c r="J648" t="str">
        <f>IF(ISNUMBER(MATCH($D648,'Lopettaneet 2013-&gt;'!$D:$D,0)),INDEX('Lopettaneet 2013-&gt;'!$K:$K,MATCH($D648,'Lopettaneet 2013-&gt;'!$D:$D,0)),"Continues")</f>
        <v>Closed</v>
      </c>
      <c r="K648">
        <f ca="1">IF($J648="Continues",DATEDIF($B648,TODAY(),"Y"),INDEX('Lopettaneet 2013-&gt;'!$L:$L,MATCH($D648,'Lopettaneet 2013-&gt;'!$D:$D,0)))</f>
        <v>6</v>
      </c>
      <c r="L648">
        <v>383</v>
      </c>
    </row>
    <row r="649" spans="1:12" x14ac:dyDescent="0.25">
      <c r="A649" t="s">
        <v>7</v>
      </c>
      <c r="B649" s="1">
        <v>42278</v>
      </c>
      <c r="C649" s="1">
        <v>55153</v>
      </c>
      <c r="D649" s="4" t="s">
        <v>985</v>
      </c>
      <c r="E649" t="s">
        <v>10</v>
      </c>
      <c r="F649" t="s">
        <v>11</v>
      </c>
      <c r="G649" t="s">
        <v>2918</v>
      </c>
      <c r="H649" t="s">
        <v>2986</v>
      </c>
      <c r="I649" t="s">
        <v>2895</v>
      </c>
      <c r="J649" t="str">
        <f>IF(ISNUMBER(MATCH($D649,'Lopettaneet 2013-&gt;'!$D:$D,0)),INDEX('Lopettaneet 2013-&gt;'!$K:$K,MATCH($D649,'Lopettaneet 2013-&gt;'!$D:$D,0)),"Continues")</f>
        <v>Continues</v>
      </c>
      <c r="K649">
        <f ca="1">IF($J649="Continues",DATEDIF($B649,TODAY(),"Y"),INDEX('Lopettaneet 2013-&gt;'!$L:$L,MATCH($D649,'Lopettaneet 2013-&gt;'!$D:$D,0)))</f>
        <v>9</v>
      </c>
      <c r="L649">
        <v>384</v>
      </c>
    </row>
    <row r="650" spans="1:12" x14ac:dyDescent="0.25">
      <c r="A650" t="s">
        <v>7</v>
      </c>
      <c r="B650" s="1">
        <v>42370</v>
      </c>
      <c r="C650" s="1">
        <v>55153</v>
      </c>
      <c r="D650" s="4" t="s">
        <v>987</v>
      </c>
      <c r="E650" t="s">
        <v>10</v>
      </c>
      <c r="F650" t="s">
        <v>11</v>
      </c>
      <c r="G650" t="s">
        <v>2912</v>
      </c>
      <c r="H650" t="s">
        <v>2766</v>
      </c>
      <c r="I650" t="s">
        <v>2895</v>
      </c>
      <c r="J650" t="str">
        <f>IF(ISNUMBER(MATCH($D650,'Lopettaneet 2013-&gt;'!$D:$D,0)),INDEX('Lopettaneet 2013-&gt;'!$K:$K,MATCH($D650,'Lopettaneet 2013-&gt;'!$D:$D,0)),"Continues")</f>
        <v>Continues</v>
      </c>
      <c r="K650">
        <f ca="1">IF($J650="Continues",DATEDIF($B650,TODAY(),"Y"),INDEX('Lopettaneet 2013-&gt;'!$L:$L,MATCH($D650,'Lopettaneet 2013-&gt;'!$D:$D,0)))</f>
        <v>9</v>
      </c>
      <c r="L650">
        <v>385</v>
      </c>
    </row>
    <row r="651" spans="1:12" x14ac:dyDescent="0.25">
      <c r="A651" t="s">
        <v>0</v>
      </c>
      <c r="B651" s="1">
        <v>42339</v>
      </c>
      <c r="C651" s="1">
        <v>55153</v>
      </c>
      <c r="D651" s="4" t="s">
        <v>3191</v>
      </c>
      <c r="E651" t="s">
        <v>3</v>
      </c>
      <c r="F651" t="s">
        <v>4</v>
      </c>
      <c r="G651" t="s">
        <v>2913</v>
      </c>
      <c r="H651" t="s">
        <v>2777</v>
      </c>
      <c r="I651" t="s">
        <v>2894</v>
      </c>
      <c r="J651" t="str">
        <f>IF(ISNUMBER(MATCH($D651,'Lopettaneet 2013-&gt;'!$D:$D,0)),INDEX('Lopettaneet 2013-&gt;'!$K:$K,MATCH($D651,'Lopettaneet 2013-&gt;'!$D:$D,0)),"Continues")</f>
        <v>Continues</v>
      </c>
      <c r="K651">
        <f ca="1">IF($J651="Continues",DATEDIF($B651,TODAY(),"Y"),INDEX('Lopettaneet 2013-&gt;'!$L:$L,MATCH($D651,'Lopettaneet 2013-&gt;'!$D:$D,0)))</f>
        <v>9</v>
      </c>
      <c r="L651">
        <v>386</v>
      </c>
    </row>
    <row r="652" spans="1:12" x14ac:dyDescent="0.25">
      <c r="A652" t="s">
        <v>7</v>
      </c>
      <c r="B652" s="1">
        <v>42064</v>
      </c>
      <c r="C652" s="1">
        <v>43465</v>
      </c>
      <c r="D652" s="4" t="s">
        <v>991</v>
      </c>
      <c r="E652" t="s">
        <v>10</v>
      </c>
      <c r="F652" t="s">
        <v>11</v>
      </c>
      <c r="G652" t="s">
        <v>2914</v>
      </c>
      <c r="H652" t="s">
        <v>2930</v>
      </c>
      <c r="I652" t="s">
        <v>2909</v>
      </c>
      <c r="J652" t="str">
        <f>IF(ISNUMBER(MATCH($D652,'Lopettaneet 2013-&gt;'!$D:$D,0)),INDEX('Lopettaneet 2013-&gt;'!$K:$K,MATCH($D652,'Lopettaneet 2013-&gt;'!$D:$D,0)),"Continues")</f>
        <v>Closed</v>
      </c>
      <c r="K652">
        <f ca="1">IF($J652="Continues",DATEDIF($B652,TODAY(),"Y"),INDEX('Lopettaneet 2013-&gt;'!$L:$L,MATCH($D652,'Lopettaneet 2013-&gt;'!$D:$D,0)))</f>
        <v>3</v>
      </c>
      <c r="L652">
        <v>387</v>
      </c>
    </row>
    <row r="653" spans="1:12" x14ac:dyDescent="0.25">
      <c r="A653" t="s">
        <v>7</v>
      </c>
      <c r="B653" s="1">
        <v>42795</v>
      </c>
      <c r="C653" s="1">
        <v>43465</v>
      </c>
      <c r="D653" s="4" t="s">
        <v>993</v>
      </c>
      <c r="E653" t="s">
        <v>10</v>
      </c>
      <c r="F653" t="s">
        <v>11</v>
      </c>
      <c r="G653" t="s">
        <v>2914</v>
      </c>
      <c r="H653" t="s">
        <v>2930</v>
      </c>
      <c r="I653" t="s">
        <v>2909</v>
      </c>
      <c r="J653" t="str">
        <f>IF(ISNUMBER(MATCH($D653,'Lopettaneet 2013-&gt;'!$D:$D,0)),INDEX('Lopettaneet 2013-&gt;'!$K:$K,MATCH($D653,'Lopettaneet 2013-&gt;'!$D:$D,0)),"Continues")</f>
        <v>Closed</v>
      </c>
      <c r="K653">
        <f ca="1">IF($J653="Continues",DATEDIF($B653,TODAY(),"Y"),INDEX('Lopettaneet 2013-&gt;'!$L:$L,MATCH($D653,'Lopettaneet 2013-&gt;'!$D:$D,0)))</f>
        <v>1</v>
      </c>
      <c r="L653">
        <v>388</v>
      </c>
    </row>
    <row r="654" spans="1:12" x14ac:dyDescent="0.25">
      <c r="A654" t="s">
        <v>0</v>
      </c>
      <c r="B654" s="1">
        <v>42339</v>
      </c>
      <c r="C654" s="1">
        <v>44074</v>
      </c>
      <c r="D654" s="4" t="s">
        <v>995</v>
      </c>
      <c r="E654" t="s">
        <v>10</v>
      </c>
      <c r="F654" t="s">
        <v>4</v>
      </c>
      <c r="G654" t="s">
        <v>2915</v>
      </c>
      <c r="H654" t="s">
        <v>2953</v>
      </c>
      <c r="I654" t="s">
        <v>2909</v>
      </c>
      <c r="J654" t="str">
        <f>IF(ISNUMBER(MATCH($D654,'Lopettaneet 2013-&gt;'!$D:$D,0)),INDEX('Lopettaneet 2013-&gt;'!$K:$K,MATCH($D654,'Lopettaneet 2013-&gt;'!$D:$D,0)),"Continues")</f>
        <v>Merged</v>
      </c>
      <c r="K654">
        <f ca="1">IF($J654="Continues",DATEDIF($B654,TODAY(),"Y"),INDEX('Lopettaneet 2013-&gt;'!$L:$L,MATCH($D654,'Lopettaneet 2013-&gt;'!$D:$D,0)))</f>
        <v>4</v>
      </c>
      <c r="L654">
        <v>389</v>
      </c>
    </row>
    <row r="655" spans="1:12" x14ac:dyDescent="0.25">
      <c r="A655" t="s">
        <v>0</v>
      </c>
      <c r="B655" s="1">
        <v>42339</v>
      </c>
      <c r="C655" s="1">
        <v>44074</v>
      </c>
      <c r="D655" s="4" t="s">
        <v>997</v>
      </c>
      <c r="E655" t="s">
        <v>10</v>
      </c>
      <c r="F655" t="s">
        <v>4</v>
      </c>
      <c r="G655" t="s">
        <v>2915</v>
      </c>
      <c r="H655" t="s">
        <v>2953</v>
      </c>
      <c r="I655" t="s">
        <v>2909</v>
      </c>
      <c r="J655" t="str">
        <f>IF(ISNUMBER(MATCH($D655,'Lopettaneet 2013-&gt;'!$D:$D,0)),INDEX('Lopettaneet 2013-&gt;'!$K:$K,MATCH($D655,'Lopettaneet 2013-&gt;'!$D:$D,0)),"Continues")</f>
        <v>Merged</v>
      </c>
      <c r="K655">
        <f ca="1">IF($J655="Continues",DATEDIF($B655,TODAY(),"Y"),INDEX('Lopettaneet 2013-&gt;'!$L:$L,MATCH($D655,'Lopettaneet 2013-&gt;'!$D:$D,0)))</f>
        <v>4</v>
      </c>
      <c r="L655">
        <v>390</v>
      </c>
    </row>
    <row r="656" spans="1:12" x14ac:dyDescent="0.25">
      <c r="A656" t="s">
        <v>7</v>
      </c>
      <c r="B656" s="1">
        <v>42339</v>
      </c>
      <c r="C656" s="1">
        <v>55153</v>
      </c>
      <c r="D656" s="4" t="s">
        <v>999</v>
      </c>
      <c r="E656" t="s">
        <v>10</v>
      </c>
      <c r="F656" t="s">
        <v>11</v>
      </c>
      <c r="G656" t="s">
        <v>2914</v>
      </c>
      <c r="H656" t="s">
        <v>2953</v>
      </c>
      <c r="I656" t="s">
        <v>2895</v>
      </c>
      <c r="J656" t="str">
        <f>IF(ISNUMBER(MATCH($D656,'Lopettaneet 2013-&gt;'!$D:$D,0)),INDEX('Lopettaneet 2013-&gt;'!$K:$K,MATCH($D656,'Lopettaneet 2013-&gt;'!$D:$D,0)),"Continues")</f>
        <v>Continues</v>
      </c>
      <c r="K656">
        <f ca="1">IF($J656="Continues",DATEDIF($B656,TODAY(),"Y"),INDEX('Lopettaneet 2013-&gt;'!$L:$L,MATCH($D656,'Lopettaneet 2013-&gt;'!$D:$D,0)))</f>
        <v>9</v>
      </c>
      <c r="L656">
        <v>391</v>
      </c>
    </row>
    <row r="657" spans="1:12" x14ac:dyDescent="0.25">
      <c r="A657" t="s">
        <v>7</v>
      </c>
      <c r="B657" s="1">
        <v>42339</v>
      </c>
      <c r="C657" s="1">
        <v>55153</v>
      </c>
      <c r="D657" s="4" t="s">
        <v>1001</v>
      </c>
      <c r="E657" t="s">
        <v>10</v>
      </c>
      <c r="F657" t="s">
        <v>11</v>
      </c>
      <c r="G657" t="s">
        <v>2914</v>
      </c>
      <c r="H657" t="s">
        <v>2953</v>
      </c>
      <c r="I657" t="s">
        <v>2895</v>
      </c>
      <c r="J657" t="str">
        <f>IF(ISNUMBER(MATCH($D657,'Lopettaneet 2013-&gt;'!$D:$D,0)),INDEX('Lopettaneet 2013-&gt;'!$K:$K,MATCH($D657,'Lopettaneet 2013-&gt;'!$D:$D,0)),"Continues")</f>
        <v>Continues</v>
      </c>
      <c r="K657">
        <f ca="1">IF($J657="Continues",DATEDIF($B657,TODAY(),"Y"),INDEX('Lopettaneet 2013-&gt;'!$L:$L,MATCH($D657,'Lopettaneet 2013-&gt;'!$D:$D,0)))</f>
        <v>9</v>
      </c>
      <c r="L657">
        <v>392</v>
      </c>
    </row>
    <row r="658" spans="1:12" x14ac:dyDescent="0.25">
      <c r="A658" t="s">
        <v>0</v>
      </c>
      <c r="B658" s="1">
        <v>42370</v>
      </c>
      <c r="C658" s="1">
        <v>55153</v>
      </c>
      <c r="D658" s="4" t="s">
        <v>1003</v>
      </c>
      <c r="E658" t="s">
        <v>3</v>
      </c>
      <c r="F658" t="s">
        <v>4</v>
      </c>
      <c r="G658" t="s">
        <v>2917</v>
      </c>
      <c r="H658" t="s">
        <v>2946</v>
      </c>
      <c r="I658" t="s">
        <v>2894</v>
      </c>
      <c r="J658" t="str">
        <f>IF(ISNUMBER(MATCH($D658,'Lopettaneet 2013-&gt;'!$D:$D,0)),INDEX('Lopettaneet 2013-&gt;'!$K:$K,MATCH($D658,'Lopettaneet 2013-&gt;'!$D:$D,0)),"Continues")</f>
        <v>Continues</v>
      </c>
      <c r="K658">
        <f ca="1">IF($J658="Continues",DATEDIF($B658,TODAY(),"Y"),INDEX('Lopettaneet 2013-&gt;'!$L:$L,MATCH($D658,'Lopettaneet 2013-&gt;'!$D:$D,0)))</f>
        <v>9</v>
      </c>
      <c r="L658">
        <v>393</v>
      </c>
    </row>
    <row r="659" spans="1:12" x14ac:dyDescent="0.25">
      <c r="A659" t="s">
        <v>7</v>
      </c>
      <c r="B659" s="1">
        <v>42430</v>
      </c>
      <c r="C659" s="1">
        <v>55153</v>
      </c>
      <c r="D659" s="4" t="s">
        <v>1005</v>
      </c>
      <c r="E659" t="s">
        <v>10</v>
      </c>
      <c r="F659" t="s">
        <v>11</v>
      </c>
      <c r="G659" t="s">
        <v>2912</v>
      </c>
      <c r="H659" t="s">
        <v>3000</v>
      </c>
      <c r="I659" t="s">
        <v>2895</v>
      </c>
      <c r="J659" t="str">
        <f>IF(ISNUMBER(MATCH($D659,'Lopettaneet 2013-&gt;'!$D:$D,0)),INDEX('Lopettaneet 2013-&gt;'!$K:$K,MATCH($D659,'Lopettaneet 2013-&gt;'!$D:$D,0)),"Continues")</f>
        <v>Continues</v>
      </c>
      <c r="K659">
        <f ca="1">IF($J659="Continues",DATEDIF($B659,TODAY(),"Y"),INDEX('Lopettaneet 2013-&gt;'!$L:$L,MATCH($D659,'Lopettaneet 2013-&gt;'!$D:$D,0)))</f>
        <v>9</v>
      </c>
      <c r="L659">
        <v>394</v>
      </c>
    </row>
    <row r="660" spans="1:12" x14ac:dyDescent="0.25">
      <c r="A660" t="s">
        <v>7</v>
      </c>
      <c r="B660" s="1">
        <v>42339</v>
      </c>
      <c r="C660" s="1">
        <v>43830</v>
      </c>
      <c r="D660" s="4" t="s">
        <v>1007</v>
      </c>
      <c r="E660" t="s">
        <v>10</v>
      </c>
      <c r="F660" t="s">
        <v>11</v>
      </c>
      <c r="G660" t="s">
        <v>2914</v>
      </c>
      <c r="H660" t="s">
        <v>2937</v>
      </c>
      <c r="I660" t="s">
        <v>2909</v>
      </c>
      <c r="J660" t="str">
        <f>IF(ISNUMBER(MATCH($D660,'Lopettaneet 2013-&gt;'!$D:$D,0)),INDEX('Lopettaneet 2013-&gt;'!$K:$K,MATCH($D660,'Lopettaneet 2013-&gt;'!$D:$D,0)),"Continues")</f>
        <v>Closed</v>
      </c>
      <c r="K660">
        <f ca="1">IF($J660="Continues",DATEDIF($B660,TODAY(),"Y"),INDEX('Lopettaneet 2013-&gt;'!$L:$L,MATCH($D660,'Lopettaneet 2013-&gt;'!$D:$D,0)))</f>
        <v>4</v>
      </c>
      <c r="L660">
        <v>395</v>
      </c>
    </row>
    <row r="661" spans="1:12" x14ac:dyDescent="0.25">
      <c r="A661" t="s">
        <v>7</v>
      </c>
      <c r="B661" s="1">
        <v>42370</v>
      </c>
      <c r="C661" s="1">
        <v>55153</v>
      </c>
      <c r="D661" s="4" t="s">
        <v>1009</v>
      </c>
      <c r="E661" t="s">
        <v>10</v>
      </c>
      <c r="F661" t="s">
        <v>11</v>
      </c>
      <c r="G661" t="s">
        <v>2916</v>
      </c>
      <c r="H661" t="s">
        <v>2973</v>
      </c>
      <c r="I661" t="s">
        <v>2895</v>
      </c>
      <c r="J661" t="str">
        <f>IF(ISNUMBER(MATCH($D661,'Lopettaneet 2013-&gt;'!$D:$D,0)),INDEX('Lopettaneet 2013-&gt;'!$K:$K,MATCH($D661,'Lopettaneet 2013-&gt;'!$D:$D,0)),"Continues")</f>
        <v>Continues</v>
      </c>
      <c r="K661">
        <f ca="1">IF($J661="Continues",DATEDIF($B661,TODAY(),"Y"),INDEX('Lopettaneet 2013-&gt;'!$L:$L,MATCH($D661,'Lopettaneet 2013-&gt;'!$D:$D,0)))</f>
        <v>9</v>
      </c>
      <c r="L661">
        <v>396</v>
      </c>
    </row>
    <row r="662" spans="1:12" x14ac:dyDescent="0.25">
      <c r="A662" t="s">
        <v>0</v>
      </c>
      <c r="B662" s="1">
        <v>42491</v>
      </c>
      <c r="C662" s="1">
        <v>55153</v>
      </c>
      <c r="D662" s="4" t="s">
        <v>1011</v>
      </c>
      <c r="E662" t="s">
        <v>10</v>
      </c>
      <c r="F662" t="s">
        <v>4</v>
      </c>
      <c r="G662" t="s">
        <v>2914</v>
      </c>
      <c r="H662" t="s">
        <v>2956</v>
      </c>
      <c r="I662" t="s">
        <v>2894</v>
      </c>
      <c r="J662" t="str">
        <f>IF(ISNUMBER(MATCH($D662,'Lopettaneet 2013-&gt;'!$D:$D,0)),INDEX('Lopettaneet 2013-&gt;'!$K:$K,MATCH($D662,'Lopettaneet 2013-&gt;'!$D:$D,0)),"Continues")</f>
        <v>Continues</v>
      </c>
      <c r="K662">
        <f ca="1">IF($J662="Continues",DATEDIF($B662,TODAY(),"Y"),INDEX('Lopettaneet 2013-&gt;'!$L:$L,MATCH($D662,'Lopettaneet 2013-&gt;'!$D:$D,0)))</f>
        <v>9</v>
      </c>
      <c r="L662">
        <v>397</v>
      </c>
    </row>
    <row r="663" spans="1:12" x14ac:dyDescent="0.25">
      <c r="A663" t="s">
        <v>0</v>
      </c>
      <c r="B663" s="1">
        <v>42370</v>
      </c>
      <c r="C663" s="1">
        <v>55153</v>
      </c>
      <c r="D663" s="4" t="s">
        <v>1013</v>
      </c>
      <c r="E663" t="s">
        <v>10</v>
      </c>
      <c r="F663" t="s">
        <v>4</v>
      </c>
      <c r="G663" t="s">
        <v>2914</v>
      </c>
      <c r="H663" t="s">
        <v>2948</v>
      </c>
      <c r="I663" t="s">
        <v>2894</v>
      </c>
      <c r="J663" t="str">
        <f>IF(ISNUMBER(MATCH($D663,'Lopettaneet 2013-&gt;'!$D:$D,0)),INDEX('Lopettaneet 2013-&gt;'!$K:$K,MATCH($D663,'Lopettaneet 2013-&gt;'!$D:$D,0)),"Continues")</f>
        <v>Continues</v>
      </c>
      <c r="K663">
        <f ca="1">IF($J663="Continues",DATEDIF($B663,TODAY(),"Y"),INDEX('Lopettaneet 2013-&gt;'!$L:$L,MATCH($D663,'Lopettaneet 2013-&gt;'!$D:$D,0)))</f>
        <v>9</v>
      </c>
      <c r="L663">
        <v>398</v>
      </c>
    </row>
    <row r="664" spans="1:12" x14ac:dyDescent="0.25">
      <c r="A664" t="s">
        <v>7</v>
      </c>
      <c r="B664" s="1">
        <v>42430</v>
      </c>
      <c r="C664" s="1">
        <v>55153</v>
      </c>
      <c r="D664" s="4" t="s">
        <v>1015</v>
      </c>
      <c r="E664" t="s">
        <v>10</v>
      </c>
      <c r="F664" t="s">
        <v>11</v>
      </c>
      <c r="G664" t="s">
        <v>2914</v>
      </c>
      <c r="H664" t="s">
        <v>2966</v>
      </c>
      <c r="I664" t="s">
        <v>2895</v>
      </c>
      <c r="J664" t="str">
        <f>IF(ISNUMBER(MATCH($D664,'Lopettaneet 2013-&gt;'!$D:$D,0)),INDEX('Lopettaneet 2013-&gt;'!$K:$K,MATCH($D664,'Lopettaneet 2013-&gt;'!$D:$D,0)),"Continues")</f>
        <v>Continues</v>
      </c>
      <c r="K664">
        <f ca="1">IF($J664="Continues",DATEDIF($B664,TODAY(),"Y"),INDEX('Lopettaneet 2013-&gt;'!$L:$L,MATCH($D664,'Lopettaneet 2013-&gt;'!$D:$D,0)))</f>
        <v>9</v>
      </c>
      <c r="L664">
        <v>399</v>
      </c>
    </row>
    <row r="665" spans="1:12" x14ac:dyDescent="0.25">
      <c r="A665" t="s">
        <v>0</v>
      </c>
      <c r="B665" s="1">
        <v>42370</v>
      </c>
      <c r="C665" s="1">
        <v>55153</v>
      </c>
      <c r="D665" s="4" t="s">
        <v>3192</v>
      </c>
      <c r="E665" t="s">
        <v>10</v>
      </c>
      <c r="F665" t="s">
        <v>4</v>
      </c>
      <c r="G665" t="s">
        <v>2915</v>
      </c>
      <c r="H665" t="s">
        <v>2777</v>
      </c>
      <c r="I665" t="s">
        <v>2894</v>
      </c>
      <c r="J665" t="str">
        <f>IF(ISNUMBER(MATCH($D665,'Lopettaneet 2013-&gt;'!$D:$D,0)),INDEX('Lopettaneet 2013-&gt;'!$K:$K,MATCH($D665,'Lopettaneet 2013-&gt;'!$D:$D,0)),"Continues")</f>
        <v>Continues</v>
      </c>
      <c r="K665">
        <f ca="1">IF($J665="Continues",DATEDIF($B665,TODAY(),"Y"),INDEX('Lopettaneet 2013-&gt;'!$L:$L,MATCH($D665,'Lopettaneet 2013-&gt;'!$D:$D,0)))</f>
        <v>9</v>
      </c>
      <c r="L665">
        <v>400</v>
      </c>
    </row>
    <row r="666" spans="1:12" x14ac:dyDescent="0.25">
      <c r="A666" t="s">
        <v>0</v>
      </c>
      <c r="B666" s="1">
        <v>42370</v>
      </c>
      <c r="C666" s="1">
        <v>55153</v>
      </c>
      <c r="D666" s="4" t="s">
        <v>3193</v>
      </c>
      <c r="E666" t="s">
        <v>10</v>
      </c>
      <c r="F666" t="s">
        <v>4</v>
      </c>
      <c r="G666" t="s">
        <v>2917</v>
      </c>
      <c r="H666" t="s">
        <v>2777</v>
      </c>
      <c r="I666" t="s">
        <v>2894</v>
      </c>
      <c r="J666" t="str">
        <f>IF(ISNUMBER(MATCH($D666,'Lopettaneet 2013-&gt;'!$D:$D,0)),INDEX('Lopettaneet 2013-&gt;'!$K:$K,MATCH($D666,'Lopettaneet 2013-&gt;'!$D:$D,0)),"Continues")</f>
        <v>Continues</v>
      </c>
      <c r="K666">
        <f ca="1">IF($J666="Continues",DATEDIF($B666,TODAY(),"Y"),INDEX('Lopettaneet 2013-&gt;'!$L:$L,MATCH($D666,'Lopettaneet 2013-&gt;'!$D:$D,0)))</f>
        <v>9</v>
      </c>
      <c r="L666">
        <v>401</v>
      </c>
    </row>
    <row r="667" spans="1:12" x14ac:dyDescent="0.25">
      <c r="A667" t="s">
        <v>0</v>
      </c>
      <c r="B667" s="1">
        <v>42370</v>
      </c>
      <c r="C667" s="1">
        <v>55153</v>
      </c>
      <c r="D667" s="4" t="s">
        <v>3194</v>
      </c>
      <c r="E667" t="s">
        <v>10</v>
      </c>
      <c r="F667" t="s">
        <v>4</v>
      </c>
      <c r="G667" t="s">
        <v>2913</v>
      </c>
      <c r="H667" t="s">
        <v>2777</v>
      </c>
      <c r="I667" t="s">
        <v>2894</v>
      </c>
      <c r="J667" t="str">
        <f>IF(ISNUMBER(MATCH($D667,'Lopettaneet 2013-&gt;'!$D:$D,0)),INDEX('Lopettaneet 2013-&gt;'!$K:$K,MATCH($D667,'Lopettaneet 2013-&gt;'!$D:$D,0)),"Continues")</f>
        <v>Continues</v>
      </c>
      <c r="K667">
        <f ca="1">IF($J667="Continues",DATEDIF($B667,TODAY(),"Y"),INDEX('Lopettaneet 2013-&gt;'!$L:$L,MATCH($D667,'Lopettaneet 2013-&gt;'!$D:$D,0)))</f>
        <v>9</v>
      </c>
      <c r="L667">
        <v>402</v>
      </c>
    </row>
    <row r="668" spans="1:12" x14ac:dyDescent="0.25">
      <c r="A668" t="s">
        <v>0</v>
      </c>
      <c r="B668" s="1">
        <v>42370</v>
      </c>
      <c r="C668" s="1">
        <v>55153</v>
      </c>
      <c r="D668" s="4" t="s">
        <v>1023</v>
      </c>
      <c r="E668" t="s">
        <v>10</v>
      </c>
      <c r="F668" t="s">
        <v>4</v>
      </c>
      <c r="G668" t="s">
        <v>2915</v>
      </c>
      <c r="H668" t="s">
        <v>2766</v>
      </c>
      <c r="I668" t="s">
        <v>2894</v>
      </c>
      <c r="J668" t="str">
        <f>IF(ISNUMBER(MATCH($D668,'Lopettaneet 2013-&gt;'!$D:$D,0)),INDEX('Lopettaneet 2013-&gt;'!$K:$K,MATCH($D668,'Lopettaneet 2013-&gt;'!$D:$D,0)),"Continues")</f>
        <v>Continues</v>
      </c>
      <c r="K668">
        <f ca="1">IF($J668="Continues",DATEDIF($B668,TODAY(),"Y"),INDEX('Lopettaneet 2013-&gt;'!$L:$L,MATCH($D668,'Lopettaneet 2013-&gt;'!$D:$D,0)))</f>
        <v>9</v>
      </c>
      <c r="L668">
        <v>403</v>
      </c>
    </row>
    <row r="669" spans="1:12" x14ac:dyDescent="0.25">
      <c r="A669" t="s">
        <v>7</v>
      </c>
      <c r="B669" s="1">
        <v>42430</v>
      </c>
      <c r="C669" s="1">
        <v>45199</v>
      </c>
      <c r="D669" s="4" t="s">
        <v>34</v>
      </c>
      <c r="E669" t="s">
        <v>10</v>
      </c>
      <c r="F669" t="s">
        <v>11</v>
      </c>
      <c r="G669" t="s">
        <v>2914</v>
      </c>
      <c r="H669" t="s">
        <v>2946</v>
      </c>
      <c r="I669" t="s">
        <v>2909</v>
      </c>
      <c r="J669" t="str">
        <f>IF(ISNUMBER(MATCH($D669,'Lopettaneet 2013-&gt;'!$D:$D,0)),INDEX('Lopettaneet 2013-&gt;'!$K:$K,MATCH($D669,'Lopettaneet 2013-&gt;'!$D:$D,0)),"Continues")</f>
        <v>Closed</v>
      </c>
      <c r="K669">
        <f ca="1">IF($J669="Continues",DATEDIF($B669,TODAY(),"Y"),INDEX('Lopettaneet 2013-&gt;'!$L:$L,MATCH($D669,'Lopettaneet 2013-&gt;'!$D:$D,0)))</f>
        <v>7</v>
      </c>
      <c r="L669">
        <v>404</v>
      </c>
    </row>
    <row r="670" spans="1:12" x14ac:dyDescent="0.25">
      <c r="A670" t="s">
        <v>7</v>
      </c>
      <c r="B670" s="1">
        <v>42430</v>
      </c>
      <c r="C670" s="1">
        <v>43251</v>
      </c>
      <c r="D670" s="4" t="s">
        <v>1025</v>
      </c>
      <c r="E670" t="s">
        <v>10</v>
      </c>
      <c r="F670" t="s">
        <v>11</v>
      </c>
      <c r="G670" t="s">
        <v>2912</v>
      </c>
      <c r="H670" t="s">
        <v>3010</v>
      </c>
      <c r="I670" t="s">
        <v>2909</v>
      </c>
      <c r="J670" t="str">
        <f>IF(ISNUMBER(MATCH($D670,'Lopettaneet 2013-&gt;'!$D:$D,0)),INDEX('Lopettaneet 2013-&gt;'!$K:$K,MATCH($D670,'Lopettaneet 2013-&gt;'!$D:$D,0)),"Continues")</f>
        <v>Closed</v>
      </c>
      <c r="K670">
        <f ca="1">IF($J670="Continues",DATEDIF($B670,TODAY(),"Y"),INDEX('Lopettaneet 2013-&gt;'!$L:$L,MATCH($D670,'Lopettaneet 2013-&gt;'!$D:$D,0)))</f>
        <v>2</v>
      </c>
      <c r="L670">
        <v>405</v>
      </c>
    </row>
    <row r="671" spans="1:12" x14ac:dyDescent="0.25">
      <c r="A671" t="s">
        <v>0</v>
      </c>
      <c r="B671" s="1">
        <v>42401</v>
      </c>
      <c r="C671" s="1">
        <v>45230</v>
      </c>
      <c r="D671" s="4" t="s">
        <v>3195</v>
      </c>
      <c r="E671" t="s">
        <v>10</v>
      </c>
      <c r="F671" t="s">
        <v>4</v>
      </c>
      <c r="G671" t="s">
        <v>2918</v>
      </c>
      <c r="H671" t="s">
        <v>2777</v>
      </c>
      <c r="I671" t="s">
        <v>2909</v>
      </c>
      <c r="J671" t="str">
        <f>IF(ISNUMBER(MATCH($D671,'Lopettaneet 2013-&gt;'!$D:$D,0)),INDEX('Lopettaneet 2013-&gt;'!$K:$K,MATCH($D671,'Lopettaneet 2013-&gt;'!$D:$D,0)),"Continues")</f>
        <v>Continues</v>
      </c>
      <c r="K671">
        <f ca="1">IF($J671="Continues",DATEDIF($B671,TODAY(),"Y"),INDEX('Lopettaneet 2013-&gt;'!$L:$L,MATCH($D671,'Lopettaneet 2013-&gt;'!$D:$D,0)))</f>
        <v>9</v>
      </c>
      <c r="L671">
        <v>406</v>
      </c>
    </row>
    <row r="672" spans="1:12" x14ac:dyDescent="0.25">
      <c r="A672" t="s">
        <v>7</v>
      </c>
      <c r="B672" s="1">
        <v>42461</v>
      </c>
      <c r="C672" s="1">
        <v>55153</v>
      </c>
      <c r="D672" s="4" t="s">
        <v>1028</v>
      </c>
      <c r="E672" t="s">
        <v>10</v>
      </c>
      <c r="F672" t="s">
        <v>11</v>
      </c>
      <c r="G672" t="s">
        <v>2914</v>
      </c>
      <c r="H672" t="s">
        <v>2946</v>
      </c>
      <c r="I672" t="s">
        <v>2894</v>
      </c>
      <c r="J672" t="str">
        <f>IF(ISNUMBER(MATCH($D672,'Lopettaneet 2013-&gt;'!$D:$D,0)),INDEX('Lopettaneet 2013-&gt;'!$K:$K,MATCH($D672,'Lopettaneet 2013-&gt;'!$D:$D,0)),"Continues")</f>
        <v>Continues</v>
      </c>
      <c r="K672">
        <f ca="1">IF($J672="Continues",DATEDIF($B672,TODAY(),"Y"),INDEX('Lopettaneet 2013-&gt;'!$L:$L,MATCH($D672,'Lopettaneet 2013-&gt;'!$D:$D,0)))</f>
        <v>9</v>
      </c>
      <c r="L672">
        <v>407</v>
      </c>
    </row>
    <row r="673" spans="1:12" x14ac:dyDescent="0.25">
      <c r="A673" t="s">
        <v>0</v>
      </c>
      <c r="B673" s="1">
        <v>42522</v>
      </c>
      <c r="C673" s="1">
        <v>43677</v>
      </c>
      <c r="D673" s="4" t="s">
        <v>1030</v>
      </c>
      <c r="E673" t="s">
        <v>3</v>
      </c>
      <c r="F673" t="s">
        <v>4</v>
      </c>
      <c r="G673" t="s">
        <v>2917</v>
      </c>
      <c r="H673" t="s">
        <v>2960</v>
      </c>
      <c r="I673" t="s">
        <v>2909</v>
      </c>
      <c r="J673" t="str">
        <f>IF(ISNUMBER(MATCH($D673,'Lopettaneet 2013-&gt;'!$D:$D,0)),INDEX('Lopettaneet 2013-&gt;'!$K:$K,MATCH($D673,'Lopettaneet 2013-&gt;'!$D:$D,0)),"Continues")</f>
        <v>Closed</v>
      </c>
      <c r="K673">
        <f ca="1">IF($J673="Continues",DATEDIF($B673,TODAY(),"Y"),INDEX('Lopettaneet 2013-&gt;'!$L:$L,MATCH($D673,'Lopettaneet 2013-&gt;'!$D:$D,0)))</f>
        <v>3</v>
      </c>
      <c r="L673">
        <v>408</v>
      </c>
    </row>
    <row r="674" spans="1:12" x14ac:dyDescent="0.25">
      <c r="A674" t="s">
        <v>0</v>
      </c>
      <c r="B674" s="1">
        <v>42491</v>
      </c>
      <c r="C674" s="1">
        <v>43404</v>
      </c>
      <c r="D674" s="4" t="s">
        <v>1032</v>
      </c>
      <c r="E674" t="s">
        <v>3</v>
      </c>
      <c r="F674" t="s">
        <v>4</v>
      </c>
      <c r="G674" t="s">
        <v>2917</v>
      </c>
      <c r="H674" t="s">
        <v>2948</v>
      </c>
      <c r="I674" t="s">
        <v>2909</v>
      </c>
      <c r="J674" t="str">
        <f>IF(ISNUMBER(MATCH($D674,'Lopettaneet 2013-&gt;'!$D:$D,0)),INDEX('Lopettaneet 2013-&gt;'!$K:$K,MATCH($D674,'Lopettaneet 2013-&gt;'!$D:$D,0)),"Continues")</f>
        <v>Closed</v>
      </c>
      <c r="K674">
        <f ca="1">IF($J674="Continues",DATEDIF($B674,TODAY(),"Y"),INDEX('Lopettaneet 2013-&gt;'!$L:$L,MATCH($D674,'Lopettaneet 2013-&gt;'!$D:$D,0)))</f>
        <v>2</v>
      </c>
      <c r="L674">
        <v>409</v>
      </c>
    </row>
    <row r="675" spans="1:12" x14ac:dyDescent="0.25">
      <c r="A675" t="s">
        <v>0</v>
      </c>
      <c r="B675" s="1">
        <v>42491</v>
      </c>
      <c r="C675" s="1">
        <v>43404</v>
      </c>
      <c r="D675" s="4" t="s">
        <v>1034</v>
      </c>
      <c r="E675" t="s">
        <v>3</v>
      </c>
      <c r="F675" t="s">
        <v>4</v>
      </c>
      <c r="G675" t="s">
        <v>2913</v>
      </c>
      <c r="H675" t="s">
        <v>2948</v>
      </c>
      <c r="I675" t="s">
        <v>2909</v>
      </c>
      <c r="J675" t="str">
        <f>IF(ISNUMBER(MATCH($D675,'Lopettaneet 2013-&gt;'!$D:$D,0)),INDEX('Lopettaneet 2013-&gt;'!$K:$K,MATCH($D675,'Lopettaneet 2013-&gt;'!$D:$D,0)),"Continues")</f>
        <v>Closed</v>
      </c>
      <c r="K675">
        <f ca="1">IF($J675="Continues",DATEDIF($B675,TODAY(),"Y"),INDEX('Lopettaneet 2013-&gt;'!$L:$L,MATCH($D675,'Lopettaneet 2013-&gt;'!$D:$D,0)))</f>
        <v>2</v>
      </c>
      <c r="L675">
        <v>410</v>
      </c>
    </row>
    <row r="676" spans="1:12" x14ac:dyDescent="0.25">
      <c r="A676" t="s">
        <v>0</v>
      </c>
      <c r="B676" s="1">
        <v>42491</v>
      </c>
      <c r="C676" s="1">
        <v>55153</v>
      </c>
      <c r="D676" s="4" t="s">
        <v>1036</v>
      </c>
      <c r="E676" t="s">
        <v>3</v>
      </c>
      <c r="F676" t="s">
        <v>4</v>
      </c>
      <c r="G676" t="s">
        <v>2914</v>
      </c>
      <c r="H676" t="s">
        <v>2958</v>
      </c>
      <c r="I676" t="s">
        <v>2894</v>
      </c>
      <c r="J676" t="str">
        <f>IF(ISNUMBER(MATCH($D676,'Lopettaneet 2013-&gt;'!$D:$D,0)),INDEX('Lopettaneet 2013-&gt;'!$K:$K,MATCH($D676,'Lopettaneet 2013-&gt;'!$D:$D,0)),"Continues")</f>
        <v>Continues</v>
      </c>
      <c r="K676">
        <f ca="1">IF($J676="Continues",DATEDIF($B676,TODAY(),"Y"),INDEX('Lopettaneet 2013-&gt;'!$L:$L,MATCH($D676,'Lopettaneet 2013-&gt;'!$D:$D,0)))</f>
        <v>9</v>
      </c>
      <c r="L676">
        <v>411</v>
      </c>
    </row>
    <row r="677" spans="1:12" x14ac:dyDescent="0.25">
      <c r="A677" t="s">
        <v>7</v>
      </c>
      <c r="B677" s="1">
        <v>42430</v>
      </c>
      <c r="C677" s="1">
        <v>55153</v>
      </c>
      <c r="D677" s="4" t="s">
        <v>1038</v>
      </c>
      <c r="E677" t="s">
        <v>10</v>
      </c>
      <c r="F677" t="s">
        <v>11</v>
      </c>
      <c r="G677" t="s">
        <v>2916</v>
      </c>
      <c r="H677" t="s">
        <v>2980</v>
      </c>
      <c r="I677" t="s">
        <v>2894</v>
      </c>
      <c r="J677" t="str">
        <f>IF(ISNUMBER(MATCH($D677,'Lopettaneet 2013-&gt;'!$D:$D,0)),INDEX('Lopettaneet 2013-&gt;'!$K:$K,MATCH($D677,'Lopettaneet 2013-&gt;'!$D:$D,0)),"Continues")</f>
        <v>Continues</v>
      </c>
      <c r="K677">
        <f ca="1">IF($J677="Continues",DATEDIF($B677,TODAY(),"Y"),INDEX('Lopettaneet 2013-&gt;'!$L:$L,MATCH($D677,'Lopettaneet 2013-&gt;'!$D:$D,0)))</f>
        <v>9</v>
      </c>
      <c r="L677">
        <v>412</v>
      </c>
    </row>
    <row r="678" spans="1:12" x14ac:dyDescent="0.25">
      <c r="A678" t="s">
        <v>7</v>
      </c>
      <c r="B678" s="1">
        <v>42430</v>
      </c>
      <c r="C678" s="1">
        <v>55153</v>
      </c>
      <c r="D678" s="4" t="s">
        <v>1040</v>
      </c>
      <c r="E678" t="s">
        <v>10</v>
      </c>
      <c r="F678" t="s">
        <v>11</v>
      </c>
      <c r="G678" t="s">
        <v>2916</v>
      </c>
      <c r="H678" t="s">
        <v>2980</v>
      </c>
      <c r="I678" t="s">
        <v>2894</v>
      </c>
      <c r="J678" t="str">
        <f>IF(ISNUMBER(MATCH($D678,'Lopettaneet 2013-&gt;'!$D:$D,0)),INDEX('Lopettaneet 2013-&gt;'!$K:$K,MATCH($D678,'Lopettaneet 2013-&gt;'!$D:$D,0)),"Continues")</f>
        <v>Continues</v>
      </c>
      <c r="K678">
        <f ca="1">IF($J678="Continues",DATEDIF($B678,TODAY(),"Y"),INDEX('Lopettaneet 2013-&gt;'!$L:$L,MATCH($D678,'Lopettaneet 2013-&gt;'!$D:$D,0)))</f>
        <v>9</v>
      </c>
      <c r="L678">
        <v>413</v>
      </c>
    </row>
    <row r="679" spans="1:12" x14ac:dyDescent="0.25">
      <c r="A679" t="s">
        <v>7</v>
      </c>
      <c r="B679" s="1">
        <v>42430</v>
      </c>
      <c r="C679" s="1">
        <v>55153</v>
      </c>
      <c r="D679" s="4" t="s">
        <v>1042</v>
      </c>
      <c r="E679" t="s">
        <v>10</v>
      </c>
      <c r="F679" t="s">
        <v>11</v>
      </c>
      <c r="G679" t="s">
        <v>2916</v>
      </c>
      <c r="H679" t="s">
        <v>2980</v>
      </c>
      <c r="I679" t="s">
        <v>2894</v>
      </c>
      <c r="J679" t="str">
        <f>IF(ISNUMBER(MATCH($D679,'Lopettaneet 2013-&gt;'!$D:$D,0)),INDEX('Lopettaneet 2013-&gt;'!$K:$K,MATCH($D679,'Lopettaneet 2013-&gt;'!$D:$D,0)),"Continues")</f>
        <v>Continues</v>
      </c>
      <c r="K679">
        <f ca="1">IF($J679="Continues",DATEDIF($B679,TODAY(),"Y"),INDEX('Lopettaneet 2013-&gt;'!$L:$L,MATCH($D679,'Lopettaneet 2013-&gt;'!$D:$D,0)))</f>
        <v>9</v>
      </c>
      <c r="L679">
        <v>414</v>
      </c>
    </row>
    <row r="680" spans="1:12" x14ac:dyDescent="0.25">
      <c r="A680" t="s">
        <v>7</v>
      </c>
      <c r="B680" s="1">
        <v>42430</v>
      </c>
      <c r="C680" s="1">
        <v>55153</v>
      </c>
      <c r="D680" s="4" t="s">
        <v>1044</v>
      </c>
      <c r="E680" t="s">
        <v>10</v>
      </c>
      <c r="F680" t="s">
        <v>11</v>
      </c>
      <c r="G680" t="s">
        <v>2916</v>
      </c>
      <c r="H680" t="s">
        <v>2983</v>
      </c>
      <c r="I680" t="s">
        <v>2895</v>
      </c>
      <c r="J680" t="str">
        <f>IF(ISNUMBER(MATCH($D680,'Lopettaneet 2013-&gt;'!$D:$D,0)),INDEX('Lopettaneet 2013-&gt;'!$K:$K,MATCH($D680,'Lopettaneet 2013-&gt;'!$D:$D,0)),"Continues")</f>
        <v>Continues</v>
      </c>
      <c r="K680">
        <f ca="1">IF($J680="Continues",DATEDIF($B680,TODAY(),"Y"),INDEX('Lopettaneet 2013-&gt;'!$L:$L,MATCH($D680,'Lopettaneet 2013-&gt;'!$D:$D,0)))</f>
        <v>9</v>
      </c>
      <c r="L680">
        <v>415</v>
      </c>
    </row>
    <row r="681" spans="1:12" x14ac:dyDescent="0.25">
      <c r="A681" t="s">
        <v>0</v>
      </c>
      <c r="B681" s="1">
        <v>42461</v>
      </c>
      <c r="C681" s="1">
        <v>43465</v>
      </c>
      <c r="D681" s="4" t="s">
        <v>1046</v>
      </c>
      <c r="E681" t="s">
        <v>10</v>
      </c>
      <c r="F681" t="s">
        <v>4</v>
      </c>
      <c r="G681" t="s">
        <v>2918</v>
      </c>
      <c r="H681" t="s">
        <v>2946</v>
      </c>
      <c r="I681" t="s">
        <v>2909</v>
      </c>
      <c r="J681" t="str">
        <f>IF(ISNUMBER(MATCH($D681,'Lopettaneet 2013-&gt;'!$D:$D,0)),INDEX('Lopettaneet 2013-&gt;'!$K:$K,MATCH($D681,'Lopettaneet 2013-&gt;'!$D:$D,0)),"Continues")</f>
        <v>Merged</v>
      </c>
      <c r="K681">
        <f ca="1">IF($J681="Continues",DATEDIF($B681,TODAY(),"Y"),INDEX('Lopettaneet 2013-&gt;'!$L:$L,MATCH($D681,'Lopettaneet 2013-&gt;'!$D:$D,0)))</f>
        <v>2</v>
      </c>
      <c r="L681">
        <v>416</v>
      </c>
    </row>
    <row r="682" spans="1:12" x14ac:dyDescent="0.25">
      <c r="A682" t="s">
        <v>0</v>
      </c>
      <c r="B682" s="1">
        <v>42522</v>
      </c>
      <c r="C682" s="1">
        <v>55153</v>
      </c>
      <c r="D682" s="4" t="s">
        <v>1048</v>
      </c>
      <c r="E682" t="s">
        <v>10</v>
      </c>
      <c r="F682" t="s">
        <v>4</v>
      </c>
      <c r="G682" t="s">
        <v>2914</v>
      </c>
      <c r="H682" t="s">
        <v>2960</v>
      </c>
      <c r="I682" t="s">
        <v>2894</v>
      </c>
      <c r="J682" t="str">
        <f>IF(ISNUMBER(MATCH($D682,'Lopettaneet 2013-&gt;'!$D:$D,0)),INDEX('Lopettaneet 2013-&gt;'!$K:$K,MATCH($D682,'Lopettaneet 2013-&gt;'!$D:$D,0)),"Continues")</f>
        <v>Continues</v>
      </c>
      <c r="K682">
        <f ca="1">IF($J682="Continues",DATEDIF($B682,TODAY(),"Y"),INDEX('Lopettaneet 2013-&gt;'!$L:$L,MATCH($D682,'Lopettaneet 2013-&gt;'!$D:$D,0)))</f>
        <v>8</v>
      </c>
      <c r="L682">
        <v>417</v>
      </c>
    </row>
    <row r="683" spans="1:12" x14ac:dyDescent="0.25">
      <c r="A683" t="s">
        <v>0</v>
      </c>
      <c r="B683" s="1">
        <v>42522</v>
      </c>
      <c r="C683" s="1">
        <v>55153</v>
      </c>
      <c r="D683" s="4" t="s">
        <v>1050</v>
      </c>
      <c r="E683" t="s">
        <v>10</v>
      </c>
      <c r="F683" t="s">
        <v>11</v>
      </c>
      <c r="G683" t="s">
        <v>2917</v>
      </c>
      <c r="H683" t="s">
        <v>2766</v>
      </c>
      <c r="I683" t="s">
        <v>2895</v>
      </c>
      <c r="J683" t="str">
        <f>IF(ISNUMBER(MATCH($D683,'Lopettaneet 2013-&gt;'!$D:$D,0)),INDEX('Lopettaneet 2013-&gt;'!$K:$K,MATCH($D683,'Lopettaneet 2013-&gt;'!$D:$D,0)),"Continues")</f>
        <v>Continues</v>
      </c>
      <c r="K683">
        <f ca="1">IF($J683="Continues",DATEDIF($B683,TODAY(),"Y"),INDEX('Lopettaneet 2013-&gt;'!$L:$L,MATCH($D683,'Lopettaneet 2013-&gt;'!$D:$D,0)))</f>
        <v>8</v>
      </c>
      <c r="L683">
        <v>418</v>
      </c>
    </row>
    <row r="684" spans="1:12" x14ac:dyDescent="0.25">
      <c r="A684" t="s">
        <v>0</v>
      </c>
      <c r="B684" s="1">
        <v>42491</v>
      </c>
      <c r="C684" s="1">
        <v>55153</v>
      </c>
      <c r="D684" s="4" t="s">
        <v>1052</v>
      </c>
      <c r="E684" t="s">
        <v>3</v>
      </c>
      <c r="F684" t="s">
        <v>4</v>
      </c>
      <c r="G684" t="s">
        <v>2917</v>
      </c>
      <c r="H684" t="s">
        <v>2957</v>
      </c>
      <c r="I684" t="s">
        <v>2894</v>
      </c>
      <c r="J684" t="str">
        <f>IF(ISNUMBER(MATCH($D684,'Lopettaneet 2013-&gt;'!$D:$D,0)),INDEX('Lopettaneet 2013-&gt;'!$K:$K,MATCH($D684,'Lopettaneet 2013-&gt;'!$D:$D,0)),"Continues")</f>
        <v>Continues</v>
      </c>
      <c r="K684">
        <f ca="1">IF($J684="Continues",DATEDIF($B684,TODAY(),"Y"),INDEX('Lopettaneet 2013-&gt;'!$L:$L,MATCH($D684,'Lopettaneet 2013-&gt;'!$D:$D,0)))</f>
        <v>9</v>
      </c>
      <c r="L684">
        <v>419</v>
      </c>
    </row>
    <row r="685" spans="1:12" x14ac:dyDescent="0.25">
      <c r="A685" t="s">
        <v>0</v>
      </c>
      <c r="B685" s="1">
        <v>42522</v>
      </c>
      <c r="C685" s="1">
        <v>55153</v>
      </c>
      <c r="D685" s="4" t="s">
        <v>1054</v>
      </c>
      <c r="E685" t="s">
        <v>3</v>
      </c>
      <c r="F685" t="s">
        <v>4</v>
      </c>
      <c r="G685" t="s">
        <v>2917</v>
      </c>
      <c r="H685" t="s">
        <v>2959</v>
      </c>
      <c r="I685" t="s">
        <v>2894</v>
      </c>
      <c r="J685" t="str">
        <f>IF(ISNUMBER(MATCH($D685,'Lopettaneet 2013-&gt;'!$D:$D,0)),INDEX('Lopettaneet 2013-&gt;'!$K:$K,MATCH($D685,'Lopettaneet 2013-&gt;'!$D:$D,0)),"Continues")</f>
        <v>Continues</v>
      </c>
      <c r="K685">
        <f ca="1">IF($J685="Continues",DATEDIF($B685,TODAY(),"Y"),INDEX('Lopettaneet 2013-&gt;'!$L:$L,MATCH($D685,'Lopettaneet 2013-&gt;'!$D:$D,0)))</f>
        <v>8</v>
      </c>
      <c r="L685">
        <v>420</v>
      </c>
    </row>
    <row r="686" spans="1:12" x14ac:dyDescent="0.25">
      <c r="A686" t="s">
        <v>7</v>
      </c>
      <c r="B686" s="1">
        <v>43160</v>
      </c>
      <c r="C686" s="1">
        <v>55153</v>
      </c>
      <c r="D686" s="4" t="s">
        <v>1056</v>
      </c>
      <c r="E686" t="s">
        <v>10</v>
      </c>
      <c r="F686" t="s">
        <v>11</v>
      </c>
      <c r="G686" t="s">
        <v>2912</v>
      </c>
      <c r="H686" t="s">
        <v>3009</v>
      </c>
      <c r="I686" t="s">
        <v>2895</v>
      </c>
      <c r="J686" t="str">
        <f>IF(ISNUMBER(MATCH($D686,'Lopettaneet 2013-&gt;'!$D:$D,0)),INDEX('Lopettaneet 2013-&gt;'!$K:$K,MATCH($D686,'Lopettaneet 2013-&gt;'!$D:$D,0)),"Continues")</f>
        <v>Continues</v>
      </c>
      <c r="K686">
        <f ca="1">IF($J686="Continues",DATEDIF($B686,TODAY(),"Y"),INDEX('Lopettaneet 2013-&gt;'!$L:$L,MATCH($D686,'Lopettaneet 2013-&gt;'!$D:$D,0)))</f>
        <v>7</v>
      </c>
      <c r="L686">
        <v>421</v>
      </c>
    </row>
    <row r="687" spans="1:12" x14ac:dyDescent="0.25">
      <c r="A687" t="s">
        <v>0</v>
      </c>
      <c r="B687" s="1">
        <v>42491</v>
      </c>
      <c r="C687" s="1">
        <v>55153</v>
      </c>
      <c r="D687" s="4" t="s">
        <v>1058</v>
      </c>
      <c r="E687" t="s">
        <v>10</v>
      </c>
      <c r="F687" t="s">
        <v>11</v>
      </c>
      <c r="G687" t="s">
        <v>2917</v>
      </c>
      <c r="H687" t="s">
        <v>2766</v>
      </c>
      <c r="I687" t="s">
        <v>2895</v>
      </c>
      <c r="J687" t="str">
        <f>IF(ISNUMBER(MATCH($D687,'Lopettaneet 2013-&gt;'!$D:$D,0)),INDEX('Lopettaneet 2013-&gt;'!$K:$K,MATCH($D687,'Lopettaneet 2013-&gt;'!$D:$D,0)),"Continues")</f>
        <v>Continues</v>
      </c>
      <c r="K687">
        <f ca="1">IF($J687="Continues",DATEDIF($B687,TODAY(),"Y"),INDEX('Lopettaneet 2013-&gt;'!$L:$L,MATCH($D687,'Lopettaneet 2013-&gt;'!$D:$D,0)))</f>
        <v>9</v>
      </c>
      <c r="L687">
        <v>422</v>
      </c>
    </row>
    <row r="688" spans="1:12" x14ac:dyDescent="0.25">
      <c r="A688" t="s">
        <v>7</v>
      </c>
      <c r="B688" s="1">
        <v>42614</v>
      </c>
      <c r="C688" s="1">
        <v>55153</v>
      </c>
      <c r="D688" s="4" t="s">
        <v>1060</v>
      </c>
      <c r="E688" t="s">
        <v>10</v>
      </c>
      <c r="F688" t="s">
        <v>11</v>
      </c>
      <c r="G688" t="s">
        <v>2914</v>
      </c>
      <c r="H688" t="s">
        <v>2946</v>
      </c>
      <c r="I688" t="s">
        <v>2895</v>
      </c>
      <c r="J688" t="str">
        <f>IF(ISNUMBER(MATCH($D688,'Lopettaneet 2013-&gt;'!$D:$D,0)),INDEX('Lopettaneet 2013-&gt;'!$K:$K,MATCH($D688,'Lopettaneet 2013-&gt;'!$D:$D,0)),"Continues")</f>
        <v>Continues</v>
      </c>
      <c r="K688">
        <f ca="1">IF($J688="Continues",DATEDIF($B688,TODAY(),"Y"),INDEX('Lopettaneet 2013-&gt;'!$L:$L,MATCH($D688,'Lopettaneet 2013-&gt;'!$D:$D,0)))</f>
        <v>8</v>
      </c>
      <c r="L688">
        <v>423</v>
      </c>
    </row>
    <row r="689" spans="1:12" x14ac:dyDescent="0.25">
      <c r="A689" t="s">
        <v>0</v>
      </c>
      <c r="B689" s="1">
        <v>42522</v>
      </c>
      <c r="C689" s="1">
        <v>55153</v>
      </c>
      <c r="D689" s="4" t="s">
        <v>1062</v>
      </c>
      <c r="E689" t="s">
        <v>3</v>
      </c>
      <c r="F689" t="s">
        <v>4</v>
      </c>
      <c r="G689" t="s">
        <v>2917</v>
      </c>
      <c r="H689" t="s">
        <v>2959</v>
      </c>
      <c r="I689" t="s">
        <v>2894</v>
      </c>
      <c r="J689" t="str">
        <f>IF(ISNUMBER(MATCH($D689,'Lopettaneet 2013-&gt;'!$D:$D,0)),INDEX('Lopettaneet 2013-&gt;'!$K:$K,MATCH($D689,'Lopettaneet 2013-&gt;'!$D:$D,0)),"Continues")</f>
        <v>Continues</v>
      </c>
      <c r="K689">
        <f ca="1">IF($J689="Continues",DATEDIF($B689,TODAY(),"Y"),INDEX('Lopettaneet 2013-&gt;'!$L:$L,MATCH($D689,'Lopettaneet 2013-&gt;'!$D:$D,0)))</f>
        <v>8</v>
      </c>
      <c r="L689">
        <v>424</v>
      </c>
    </row>
    <row r="690" spans="1:12" x14ac:dyDescent="0.25">
      <c r="A690" t="s">
        <v>7</v>
      </c>
      <c r="B690" s="1">
        <v>42522</v>
      </c>
      <c r="C690" s="1">
        <v>55153</v>
      </c>
      <c r="D690" s="4" t="s">
        <v>1064</v>
      </c>
      <c r="E690" t="s">
        <v>10</v>
      </c>
      <c r="F690" t="s">
        <v>11</v>
      </c>
      <c r="G690" t="s">
        <v>2912</v>
      </c>
      <c r="H690" t="s">
        <v>2945</v>
      </c>
      <c r="I690" t="s">
        <v>2895</v>
      </c>
      <c r="J690" t="str">
        <f>IF(ISNUMBER(MATCH($D690,'Lopettaneet 2013-&gt;'!$D:$D,0)),INDEX('Lopettaneet 2013-&gt;'!$K:$K,MATCH($D690,'Lopettaneet 2013-&gt;'!$D:$D,0)),"Continues")</f>
        <v>Continues</v>
      </c>
      <c r="K690">
        <f ca="1">IF($J690="Continues",DATEDIF($B690,TODAY(),"Y"),INDEX('Lopettaneet 2013-&gt;'!$L:$L,MATCH($D690,'Lopettaneet 2013-&gt;'!$D:$D,0)))</f>
        <v>8</v>
      </c>
      <c r="L690">
        <v>425</v>
      </c>
    </row>
    <row r="691" spans="1:12" x14ac:dyDescent="0.25">
      <c r="A691" t="s">
        <v>7</v>
      </c>
      <c r="B691" s="1">
        <v>42705</v>
      </c>
      <c r="C691" s="1">
        <v>43100</v>
      </c>
      <c r="D691" s="4" t="s">
        <v>1066</v>
      </c>
      <c r="E691" t="s">
        <v>10</v>
      </c>
      <c r="F691" t="s">
        <v>11</v>
      </c>
      <c r="G691" t="s">
        <v>2916</v>
      </c>
      <c r="H691" t="s">
        <v>2909</v>
      </c>
      <c r="I691" t="s">
        <v>2909</v>
      </c>
      <c r="J691" t="str">
        <f>IF(ISNUMBER(MATCH($D691,'Lopettaneet 2013-&gt;'!$D:$D,0)),INDEX('Lopettaneet 2013-&gt;'!$K:$K,MATCH($D691,'Lopettaneet 2013-&gt;'!$D:$D,0)),"Continues")</f>
        <v>Closed</v>
      </c>
      <c r="K691">
        <f ca="1">IF($J691="Continues",DATEDIF($B691,TODAY(),"Y"),INDEX('Lopettaneet 2013-&gt;'!$L:$L,MATCH($D691,'Lopettaneet 2013-&gt;'!$D:$D,0)))</f>
        <v>1</v>
      </c>
      <c r="L691">
        <v>426</v>
      </c>
    </row>
    <row r="692" spans="1:12" x14ac:dyDescent="0.25">
      <c r="A692" t="s">
        <v>0</v>
      </c>
      <c r="B692" s="1">
        <v>42583</v>
      </c>
      <c r="C692" s="1">
        <v>43190</v>
      </c>
      <c r="D692" s="4" t="s">
        <v>1068</v>
      </c>
      <c r="E692" t="s">
        <v>10</v>
      </c>
      <c r="F692" t="s">
        <v>4</v>
      </c>
      <c r="G692" t="s">
        <v>2918</v>
      </c>
      <c r="H692" t="s">
        <v>2766</v>
      </c>
      <c r="I692" t="s">
        <v>2909</v>
      </c>
      <c r="J692" t="str">
        <f>IF(ISNUMBER(MATCH($D692,'Lopettaneet 2013-&gt;'!$D:$D,0)),INDEX('Lopettaneet 2013-&gt;'!$K:$K,MATCH($D692,'Lopettaneet 2013-&gt;'!$D:$D,0)),"Continues")</f>
        <v>Closed</v>
      </c>
      <c r="K692">
        <f ca="1">IF($J692="Continues",DATEDIF($B692,TODAY(),"Y"),INDEX('Lopettaneet 2013-&gt;'!$L:$L,MATCH($D692,'Lopettaneet 2013-&gt;'!$D:$D,0)))</f>
        <v>1</v>
      </c>
      <c r="L692">
        <v>427</v>
      </c>
    </row>
    <row r="693" spans="1:12" x14ac:dyDescent="0.25">
      <c r="A693" t="s">
        <v>0</v>
      </c>
      <c r="B693" s="1">
        <v>42552</v>
      </c>
      <c r="C693" s="1">
        <v>43190</v>
      </c>
      <c r="D693" s="4" t="s">
        <v>1070</v>
      </c>
      <c r="E693" t="s">
        <v>10</v>
      </c>
      <c r="F693" t="s">
        <v>4</v>
      </c>
      <c r="G693" t="s">
        <v>2915</v>
      </c>
      <c r="H693" t="s">
        <v>2935</v>
      </c>
      <c r="I693" t="s">
        <v>2909</v>
      </c>
      <c r="J693" t="str">
        <f>IF(ISNUMBER(MATCH($D693,'Lopettaneet 2013-&gt;'!$D:$D,0)),INDEX('Lopettaneet 2013-&gt;'!$K:$K,MATCH($D693,'Lopettaneet 2013-&gt;'!$D:$D,0)),"Continues")</f>
        <v>Closed</v>
      </c>
      <c r="K693">
        <f ca="1">IF($J693="Continues",DATEDIF($B693,TODAY(),"Y"),INDEX('Lopettaneet 2013-&gt;'!$L:$L,MATCH($D693,'Lopettaneet 2013-&gt;'!$D:$D,0)))</f>
        <v>1</v>
      </c>
      <c r="L693">
        <v>428</v>
      </c>
    </row>
    <row r="694" spans="1:12" x14ac:dyDescent="0.25">
      <c r="A694" t="s">
        <v>7</v>
      </c>
      <c r="B694" s="1">
        <v>42552</v>
      </c>
      <c r="C694" s="1">
        <v>55153</v>
      </c>
      <c r="D694" s="4" t="s">
        <v>1072</v>
      </c>
      <c r="E694" t="s">
        <v>10</v>
      </c>
      <c r="F694" t="s">
        <v>11</v>
      </c>
      <c r="G694" t="s">
        <v>2918</v>
      </c>
      <c r="H694" t="s">
        <v>2980</v>
      </c>
      <c r="I694" t="s">
        <v>2894</v>
      </c>
      <c r="J694" t="str">
        <f>IF(ISNUMBER(MATCH($D694,'Lopettaneet 2013-&gt;'!$D:$D,0)),INDEX('Lopettaneet 2013-&gt;'!$K:$K,MATCH($D694,'Lopettaneet 2013-&gt;'!$D:$D,0)),"Continues")</f>
        <v>Continues</v>
      </c>
      <c r="K694">
        <f ca="1">IF($J694="Continues",DATEDIF($B694,TODAY(),"Y"),INDEX('Lopettaneet 2013-&gt;'!$L:$L,MATCH($D694,'Lopettaneet 2013-&gt;'!$D:$D,0)))</f>
        <v>8</v>
      </c>
      <c r="L694">
        <v>429</v>
      </c>
    </row>
    <row r="695" spans="1:12" x14ac:dyDescent="0.25">
      <c r="A695" t="s">
        <v>7</v>
      </c>
      <c r="B695" s="1">
        <v>42552</v>
      </c>
      <c r="C695" s="1">
        <v>55153</v>
      </c>
      <c r="D695" s="4" t="s">
        <v>1074</v>
      </c>
      <c r="E695" t="s">
        <v>10</v>
      </c>
      <c r="F695" t="s">
        <v>11</v>
      </c>
      <c r="G695" t="s">
        <v>2918</v>
      </c>
      <c r="H695" t="s">
        <v>2980</v>
      </c>
      <c r="I695" t="s">
        <v>2894</v>
      </c>
      <c r="J695" t="str">
        <f>IF(ISNUMBER(MATCH($D695,'Lopettaneet 2013-&gt;'!$D:$D,0)),INDEX('Lopettaneet 2013-&gt;'!$K:$K,MATCH($D695,'Lopettaneet 2013-&gt;'!$D:$D,0)),"Continues")</f>
        <v>Continues</v>
      </c>
      <c r="K695">
        <f ca="1">IF($J695="Continues",DATEDIF($B695,TODAY(),"Y"),INDEX('Lopettaneet 2013-&gt;'!$L:$L,MATCH($D695,'Lopettaneet 2013-&gt;'!$D:$D,0)))</f>
        <v>8</v>
      </c>
      <c r="L695">
        <v>430</v>
      </c>
    </row>
    <row r="696" spans="1:12" x14ac:dyDescent="0.25">
      <c r="A696" t="s">
        <v>7</v>
      </c>
      <c r="B696" s="1">
        <v>42552</v>
      </c>
      <c r="C696" s="1">
        <v>55153</v>
      </c>
      <c r="D696" s="4" t="s">
        <v>1076</v>
      </c>
      <c r="E696" t="s">
        <v>10</v>
      </c>
      <c r="F696" t="s">
        <v>11</v>
      </c>
      <c r="G696" t="s">
        <v>2918</v>
      </c>
      <c r="H696" t="s">
        <v>2980</v>
      </c>
      <c r="I696" t="s">
        <v>2894</v>
      </c>
      <c r="J696" t="str">
        <f>IF(ISNUMBER(MATCH($D696,'Lopettaneet 2013-&gt;'!$D:$D,0)),INDEX('Lopettaneet 2013-&gt;'!$K:$K,MATCH($D696,'Lopettaneet 2013-&gt;'!$D:$D,0)),"Continues")</f>
        <v>Continues</v>
      </c>
      <c r="K696">
        <f ca="1">IF($J696="Continues",DATEDIF($B696,TODAY(),"Y"),INDEX('Lopettaneet 2013-&gt;'!$L:$L,MATCH($D696,'Lopettaneet 2013-&gt;'!$D:$D,0)))</f>
        <v>8</v>
      </c>
      <c r="L696">
        <v>431</v>
      </c>
    </row>
    <row r="697" spans="1:12" x14ac:dyDescent="0.25">
      <c r="A697" t="s">
        <v>7</v>
      </c>
      <c r="B697" s="1">
        <v>42522</v>
      </c>
      <c r="C697" s="1">
        <v>55153</v>
      </c>
      <c r="D697" s="4" t="s">
        <v>1078</v>
      </c>
      <c r="E697" t="s">
        <v>10</v>
      </c>
      <c r="F697" t="s">
        <v>11</v>
      </c>
      <c r="G697" t="s">
        <v>2918</v>
      </c>
      <c r="H697" t="s">
        <v>2950</v>
      </c>
      <c r="I697" t="s">
        <v>2895</v>
      </c>
      <c r="J697" t="str">
        <f>IF(ISNUMBER(MATCH($D697,'Lopettaneet 2013-&gt;'!$D:$D,0)),INDEX('Lopettaneet 2013-&gt;'!$K:$K,MATCH($D697,'Lopettaneet 2013-&gt;'!$D:$D,0)),"Continues")</f>
        <v>Continues</v>
      </c>
      <c r="K697">
        <f ca="1">IF($J697="Continues",DATEDIF($B697,TODAY(),"Y"),INDEX('Lopettaneet 2013-&gt;'!$L:$L,MATCH($D697,'Lopettaneet 2013-&gt;'!$D:$D,0)))</f>
        <v>8</v>
      </c>
      <c r="L697">
        <v>432</v>
      </c>
    </row>
    <row r="698" spans="1:12" x14ac:dyDescent="0.25">
      <c r="A698" t="s">
        <v>0</v>
      </c>
      <c r="B698" s="1">
        <v>42552</v>
      </c>
      <c r="C698" s="1">
        <v>55153</v>
      </c>
      <c r="D698" s="4" t="s">
        <v>1080</v>
      </c>
      <c r="E698" t="s">
        <v>10</v>
      </c>
      <c r="F698" t="s">
        <v>11</v>
      </c>
      <c r="G698" t="s">
        <v>2917</v>
      </c>
      <c r="H698" t="s">
        <v>2766</v>
      </c>
      <c r="I698" t="s">
        <v>2895</v>
      </c>
      <c r="J698" t="str">
        <f>IF(ISNUMBER(MATCH($D698,'Lopettaneet 2013-&gt;'!$D:$D,0)),INDEX('Lopettaneet 2013-&gt;'!$K:$K,MATCH($D698,'Lopettaneet 2013-&gt;'!$D:$D,0)),"Continues")</f>
        <v>Continues</v>
      </c>
      <c r="K698">
        <f ca="1">IF($J698="Continues",DATEDIF($B698,TODAY(),"Y"),INDEX('Lopettaneet 2013-&gt;'!$L:$L,MATCH($D698,'Lopettaneet 2013-&gt;'!$D:$D,0)))</f>
        <v>8</v>
      </c>
      <c r="L698">
        <v>433</v>
      </c>
    </row>
    <row r="699" spans="1:12" x14ac:dyDescent="0.25">
      <c r="A699" t="s">
        <v>0</v>
      </c>
      <c r="B699" s="1">
        <v>42583</v>
      </c>
      <c r="C699" s="1">
        <v>55153</v>
      </c>
      <c r="D699" s="4" t="s">
        <v>1082</v>
      </c>
      <c r="E699" t="s">
        <v>3</v>
      </c>
      <c r="F699" t="s">
        <v>4</v>
      </c>
      <c r="G699" t="s">
        <v>2917</v>
      </c>
      <c r="H699" t="s">
        <v>2946</v>
      </c>
      <c r="I699" t="s">
        <v>2894</v>
      </c>
      <c r="J699" t="str">
        <f>IF(ISNUMBER(MATCH($D699,'Lopettaneet 2013-&gt;'!$D:$D,0)),INDEX('Lopettaneet 2013-&gt;'!$K:$K,MATCH($D699,'Lopettaneet 2013-&gt;'!$D:$D,0)),"Continues")</f>
        <v>Continues</v>
      </c>
      <c r="K699">
        <f ca="1">IF($J699="Continues",DATEDIF($B699,TODAY(),"Y"),INDEX('Lopettaneet 2013-&gt;'!$L:$L,MATCH($D699,'Lopettaneet 2013-&gt;'!$D:$D,0)))</f>
        <v>8</v>
      </c>
      <c r="L699">
        <v>434</v>
      </c>
    </row>
    <row r="700" spans="1:12" x14ac:dyDescent="0.25">
      <c r="A700" t="s">
        <v>0</v>
      </c>
      <c r="B700" s="1">
        <v>42614</v>
      </c>
      <c r="C700" s="1">
        <v>55153</v>
      </c>
      <c r="D700" s="4" t="s">
        <v>1084</v>
      </c>
      <c r="E700" t="s">
        <v>3</v>
      </c>
      <c r="F700" t="s">
        <v>4</v>
      </c>
      <c r="G700" t="s">
        <v>2915</v>
      </c>
      <c r="H700" t="s">
        <v>2953</v>
      </c>
      <c r="I700" t="s">
        <v>2894</v>
      </c>
      <c r="J700" t="str">
        <f>IF(ISNUMBER(MATCH($D700,'Lopettaneet 2013-&gt;'!$D:$D,0)),INDEX('Lopettaneet 2013-&gt;'!$K:$K,MATCH($D700,'Lopettaneet 2013-&gt;'!$D:$D,0)),"Continues")</f>
        <v>Continues</v>
      </c>
      <c r="K700">
        <f ca="1">IF($J700="Continues",DATEDIF($B700,TODAY(),"Y"),INDEX('Lopettaneet 2013-&gt;'!$L:$L,MATCH($D700,'Lopettaneet 2013-&gt;'!$D:$D,0)))</f>
        <v>8</v>
      </c>
      <c r="L700">
        <v>435</v>
      </c>
    </row>
    <row r="701" spans="1:12" x14ac:dyDescent="0.25">
      <c r="A701" t="s">
        <v>7</v>
      </c>
      <c r="B701" s="1">
        <v>42552</v>
      </c>
      <c r="C701" s="1">
        <v>45199</v>
      </c>
      <c r="D701" s="4" t="s">
        <v>37</v>
      </c>
      <c r="E701" t="s">
        <v>10</v>
      </c>
      <c r="F701" t="s">
        <v>11</v>
      </c>
      <c r="G701" t="s">
        <v>2914</v>
      </c>
      <c r="H701" t="s">
        <v>2946</v>
      </c>
      <c r="I701" t="s">
        <v>2909</v>
      </c>
      <c r="J701" t="str">
        <f>IF(ISNUMBER(MATCH($D701,'Lopettaneet 2013-&gt;'!$D:$D,0)),INDEX('Lopettaneet 2013-&gt;'!$K:$K,MATCH($D701,'Lopettaneet 2013-&gt;'!$D:$D,0)),"Continues")</f>
        <v>Closed</v>
      </c>
      <c r="K701">
        <f ca="1">IF($J701="Continues",DATEDIF($B701,TODAY(),"Y"),INDEX('Lopettaneet 2013-&gt;'!$L:$L,MATCH($D701,'Lopettaneet 2013-&gt;'!$D:$D,0)))</f>
        <v>7</v>
      </c>
      <c r="L701">
        <v>436</v>
      </c>
    </row>
    <row r="702" spans="1:12" x14ac:dyDescent="0.25">
      <c r="A702" t="s">
        <v>7</v>
      </c>
      <c r="B702" s="1">
        <v>42705</v>
      </c>
      <c r="C702" s="1">
        <v>43343</v>
      </c>
      <c r="D702" s="4" t="s">
        <v>1086</v>
      </c>
      <c r="E702" t="s">
        <v>10</v>
      </c>
      <c r="F702" t="s">
        <v>11</v>
      </c>
      <c r="G702" t="s">
        <v>2914</v>
      </c>
      <c r="H702" t="s">
        <v>2956</v>
      </c>
      <c r="I702" t="s">
        <v>2909</v>
      </c>
      <c r="J702" t="str">
        <f>IF(ISNUMBER(MATCH($D702,'Lopettaneet 2013-&gt;'!$D:$D,0)),INDEX('Lopettaneet 2013-&gt;'!$K:$K,MATCH($D702,'Lopettaneet 2013-&gt;'!$D:$D,0)),"Continues")</f>
        <v>Closed</v>
      </c>
      <c r="K702">
        <f ca="1">IF($J702="Continues",DATEDIF($B702,TODAY(),"Y"),INDEX('Lopettaneet 2013-&gt;'!$L:$L,MATCH($D702,'Lopettaneet 2013-&gt;'!$D:$D,0)))</f>
        <v>1</v>
      </c>
      <c r="L702">
        <v>437</v>
      </c>
    </row>
    <row r="703" spans="1:12" x14ac:dyDescent="0.25">
      <c r="A703" t="s">
        <v>7</v>
      </c>
      <c r="B703" s="1">
        <v>42705</v>
      </c>
      <c r="C703" s="1">
        <v>55153</v>
      </c>
      <c r="D703" s="4" t="s">
        <v>1088</v>
      </c>
      <c r="E703" t="s">
        <v>10</v>
      </c>
      <c r="F703" t="s">
        <v>11</v>
      </c>
      <c r="G703" t="s">
        <v>2916</v>
      </c>
      <c r="H703" t="s">
        <v>3002</v>
      </c>
      <c r="I703" t="s">
        <v>2895</v>
      </c>
      <c r="J703" t="str">
        <f>IF(ISNUMBER(MATCH($D703,'Lopettaneet 2013-&gt;'!$D:$D,0)),INDEX('Lopettaneet 2013-&gt;'!$K:$K,MATCH($D703,'Lopettaneet 2013-&gt;'!$D:$D,0)),"Continues")</f>
        <v>Continues</v>
      </c>
      <c r="K703">
        <f ca="1">IF($J703="Continues",DATEDIF($B703,TODAY(),"Y"),INDEX('Lopettaneet 2013-&gt;'!$L:$L,MATCH($D703,'Lopettaneet 2013-&gt;'!$D:$D,0)))</f>
        <v>8</v>
      </c>
      <c r="L703">
        <v>438</v>
      </c>
    </row>
    <row r="704" spans="1:12" x14ac:dyDescent="0.25">
      <c r="A704" t="s">
        <v>0</v>
      </c>
      <c r="B704" s="1">
        <v>43252</v>
      </c>
      <c r="C704" s="1">
        <v>55153</v>
      </c>
      <c r="D704" s="4" t="s">
        <v>1090</v>
      </c>
      <c r="E704" t="s">
        <v>3</v>
      </c>
      <c r="F704" t="s">
        <v>4</v>
      </c>
      <c r="G704" t="s">
        <v>2915</v>
      </c>
      <c r="H704" t="s">
        <v>2952</v>
      </c>
      <c r="I704" t="s">
        <v>2894</v>
      </c>
      <c r="J704" t="str">
        <f>IF(ISNUMBER(MATCH($D704,'Lopettaneet 2013-&gt;'!$D:$D,0)),INDEX('Lopettaneet 2013-&gt;'!$K:$K,MATCH($D704,'Lopettaneet 2013-&gt;'!$D:$D,0)),"Continues")</f>
        <v>Continues</v>
      </c>
      <c r="K704">
        <f ca="1">IF($J704="Continues",DATEDIF($B704,TODAY(),"Y"),INDEX('Lopettaneet 2013-&gt;'!$L:$L,MATCH($D704,'Lopettaneet 2013-&gt;'!$D:$D,0)))</f>
        <v>6</v>
      </c>
      <c r="L704">
        <v>439</v>
      </c>
    </row>
    <row r="705" spans="1:12" x14ac:dyDescent="0.25">
      <c r="A705" t="s">
        <v>0</v>
      </c>
      <c r="B705" s="1">
        <v>42614</v>
      </c>
      <c r="C705" s="1">
        <v>55153</v>
      </c>
      <c r="D705" s="4" t="s">
        <v>1092</v>
      </c>
      <c r="E705" t="s">
        <v>3</v>
      </c>
      <c r="F705" t="s">
        <v>4</v>
      </c>
      <c r="G705" t="s">
        <v>2917</v>
      </c>
      <c r="H705" t="s">
        <v>2952</v>
      </c>
      <c r="I705" t="s">
        <v>2894</v>
      </c>
      <c r="J705" t="str">
        <f>IF(ISNUMBER(MATCH($D705,'Lopettaneet 2013-&gt;'!$D:$D,0)),INDEX('Lopettaneet 2013-&gt;'!$K:$K,MATCH($D705,'Lopettaneet 2013-&gt;'!$D:$D,0)),"Continues")</f>
        <v>Continues</v>
      </c>
      <c r="K705">
        <f ca="1">IF($J705="Continues",DATEDIF($B705,TODAY(),"Y"),INDEX('Lopettaneet 2013-&gt;'!$L:$L,MATCH($D705,'Lopettaneet 2013-&gt;'!$D:$D,0)))</f>
        <v>8</v>
      </c>
      <c r="L705">
        <v>440</v>
      </c>
    </row>
    <row r="706" spans="1:12" x14ac:dyDescent="0.25">
      <c r="A706" t="s">
        <v>0</v>
      </c>
      <c r="B706" s="1">
        <v>42614</v>
      </c>
      <c r="C706" s="1">
        <v>55153</v>
      </c>
      <c r="D706" s="4" t="s">
        <v>1094</v>
      </c>
      <c r="E706" t="s">
        <v>3</v>
      </c>
      <c r="F706" t="s">
        <v>4</v>
      </c>
      <c r="G706" t="s">
        <v>2915</v>
      </c>
      <c r="H706" t="s">
        <v>2952</v>
      </c>
      <c r="I706" t="s">
        <v>2894</v>
      </c>
      <c r="J706" t="str">
        <f>IF(ISNUMBER(MATCH($D706,'Lopettaneet 2013-&gt;'!$D:$D,0)),INDEX('Lopettaneet 2013-&gt;'!$K:$K,MATCH($D706,'Lopettaneet 2013-&gt;'!$D:$D,0)),"Continues")</f>
        <v>Continues</v>
      </c>
      <c r="K706">
        <f ca="1">IF($J706="Continues",DATEDIF($B706,TODAY(),"Y"),INDEX('Lopettaneet 2013-&gt;'!$L:$L,MATCH($D706,'Lopettaneet 2013-&gt;'!$D:$D,0)))</f>
        <v>8</v>
      </c>
      <c r="L706">
        <v>441</v>
      </c>
    </row>
    <row r="707" spans="1:12" x14ac:dyDescent="0.25">
      <c r="A707" t="s">
        <v>0</v>
      </c>
      <c r="B707" s="1">
        <v>42614</v>
      </c>
      <c r="C707" s="1">
        <v>55153</v>
      </c>
      <c r="D707" s="4" t="s">
        <v>1096</v>
      </c>
      <c r="E707" t="s">
        <v>3</v>
      </c>
      <c r="F707" t="s">
        <v>4</v>
      </c>
      <c r="G707" t="s">
        <v>2915</v>
      </c>
      <c r="H707" t="s">
        <v>2952</v>
      </c>
      <c r="I707" t="s">
        <v>2894</v>
      </c>
      <c r="J707" t="str">
        <f>IF(ISNUMBER(MATCH($D707,'Lopettaneet 2013-&gt;'!$D:$D,0)),INDEX('Lopettaneet 2013-&gt;'!$K:$K,MATCH($D707,'Lopettaneet 2013-&gt;'!$D:$D,0)),"Continues")</f>
        <v>Continues</v>
      </c>
      <c r="K707">
        <f ca="1">IF($J707="Continues",DATEDIF($B707,TODAY(),"Y"),INDEX('Lopettaneet 2013-&gt;'!$L:$L,MATCH($D707,'Lopettaneet 2013-&gt;'!$D:$D,0)))</f>
        <v>8</v>
      </c>
      <c r="L707">
        <v>442</v>
      </c>
    </row>
    <row r="708" spans="1:12" x14ac:dyDescent="0.25">
      <c r="A708" t="s">
        <v>7</v>
      </c>
      <c r="B708" s="1">
        <v>42522</v>
      </c>
      <c r="C708" s="1">
        <v>55153</v>
      </c>
      <c r="D708" s="4" t="s">
        <v>1098</v>
      </c>
      <c r="E708" t="s">
        <v>10</v>
      </c>
      <c r="F708" t="s">
        <v>11</v>
      </c>
      <c r="G708" t="s">
        <v>2916</v>
      </c>
      <c r="H708" t="s">
        <v>2954</v>
      </c>
      <c r="I708" t="s">
        <v>2895</v>
      </c>
      <c r="J708" t="str">
        <f>IF(ISNUMBER(MATCH($D708,'Lopettaneet 2013-&gt;'!$D:$D,0)),INDEX('Lopettaneet 2013-&gt;'!$K:$K,MATCH($D708,'Lopettaneet 2013-&gt;'!$D:$D,0)),"Continues")</f>
        <v>Continues</v>
      </c>
      <c r="K708">
        <f ca="1">IF($J708="Continues",DATEDIF($B708,TODAY(),"Y"),INDEX('Lopettaneet 2013-&gt;'!$L:$L,MATCH($D708,'Lopettaneet 2013-&gt;'!$D:$D,0)))</f>
        <v>8</v>
      </c>
      <c r="L708">
        <v>443</v>
      </c>
    </row>
    <row r="709" spans="1:12" x14ac:dyDescent="0.25">
      <c r="A709" t="s">
        <v>7</v>
      </c>
      <c r="B709" s="1">
        <v>42705</v>
      </c>
      <c r="C709" s="1">
        <v>55153</v>
      </c>
      <c r="D709" s="4" t="s">
        <v>1100</v>
      </c>
      <c r="E709" t="s">
        <v>10</v>
      </c>
      <c r="F709" t="s">
        <v>11</v>
      </c>
      <c r="G709" t="s">
        <v>2914</v>
      </c>
      <c r="H709" t="s">
        <v>3007</v>
      </c>
      <c r="I709" t="s">
        <v>2895</v>
      </c>
      <c r="J709" t="str">
        <f>IF(ISNUMBER(MATCH($D709,'Lopettaneet 2013-&gt;'!$D:$D,0)),INDEX('Lopettaneet 2013-&gt;'!$K:$K,MATCH($D709,'Lopettaneet 2013-&gt;'!$D:$D,0)),"Continues")</f>
        <v>Continues</v>
      </c>
      <c r="K709">
        <f ca="1">IF($J709="Continues",DATEDIF($B709,TODAY(),"Y"),INDEX('Lopettaneet 2013-&gt;'!$L:$L,MATCH($D709,'Lopettaneet 2013-&gt;'!$D:$D,0)))</f>
        <v>8</v>
      </c>
      <c r="L709">
        <v>444</v>
      </c>
    </row>
    <row r="710" spans="1:12" x14ac:dyDescent="0.25">
      <c r="A710" t="s">
        <v>7</v>
      </c>
      <c r="B710" s="1">
        <v>42705</v>
      </c>
      <c r="C710" s="1">
        <v>55153</v>
      </c>
      <c r="D710" s="4" t="s">
        <v>1102</v>
      </c>
      <c r="E710" t="s">
        <v>10</v>
      </c>
      <c r="F710" t="s">
        <v>11</v>
      </c>
      <c r="G710" t="s">
        <v>2914</v>
      </c>
      <c r="H710" t="s">
        <v>2992</v>
      </c>
      <c r="I710" t="s">
        <v>2895</v>
      </c>
      <c r="J710" t="str">
        <f>IF(ISNUMBER(MATCH($D710,'Lopettaneet 2013-&gt;'!$D:$D,0)),INDEX('Lopettaneet 2013-&gt;'!$K:$K,MATCH($D710,'Lopettaneet 2013-&gt;'!$D:$D,0)),"Continues")</f>
        <v>Continues</v>
      </c>
      <c r="K710">
        <f ca="1">IF($J710="Continues",DATEDIF($B710,TODAY(),"Y"),INDEX('Lopettaneet 2013-&gt;'!$L:$L,MATCH($D710,'Lopettaneet 2013-&gt;'!$D:$D,0)))</f>
        <v>8</v>
      </c>
      <c r="L710">
        <v>445</v>
      </c>
    </row>
    <row r="711" spans="1:12" x14ac:dyDescent="0.25">
      <c r="A711" t="s">
        <v>7</v>
      </c>
      <c r="B711" s="1">
        <v>42614</v>
      </c>
      <c r="C711" s="1">
        <v>43830</v>
      </c>
      <c r="D711" s="4" t="s">
        <v>1104</v>
      </c>
      <c r="E711" t="s">
        <v>10</v>
      </c>
      <c r="F711" t="s">
        <v>11</v>
      </c>
      <c r="G711" t="s">
        <v>2912</v>
      </c>
      <c r="H711" t="s">
        <v>2925</v>
      </c>
      <c r="I711" t="s">
        <v>2909</v>
      </c>
      <c r="J711" t="str">
        <f>IF(ISNUMBER(MATCH($D711,'Lopettaneet 2013-&gt;'!$D:$D,0)),INDEX('Lopettaneet 2013-&gt;'!$K:$K,MATCH($D711,'Lopettaneet 2013-&gt;'!$D:$D,0)),"Continues")</f>
        <v>Closed</v>
      </c>
      <c r="K711">
        <f ca="1">IF($J711="Continues",DATEDIF($B711,TODAY(),"Y"),INDEX('Lopettaneet 2013-&gt;'!$L:$L,MATCH($D711,'Lopettaneet 2013-&gt;'!$D:$D,0)))</f>
        <v>3</v>
      </c>
      <c r="L711">
        <v>446</v>
      </c>
    </row>
    <row r="712" spans="1:12" x14ac:dyDescent="0.25">
      <c r="A712" t="s">
        <v>7</v>
      </c>
      <c r="B712" s="1">
        <v>42614</v>
      </c>
      <c r="C712" s="1">
        <v>55153</v>
      </c>
      <c r="D712" s="4" t="s">
        <v>1106</v>
      </c>
      <c r="E712" t="s">
        <v>10</v>
      </c>
      <c r="F712" t="s">
        <v>11</v>
      </c>
      <c r="G712" t="s">
        <v>2916</v>
      </c>
      <c r="H712" t="s">
        <v>2983</v>
      </c>
      <c r="I712" t="s">
        <v>2895</v>
      </c>
      <c r="J712" t="str">
        <f>IF(ISNUMBER(MATCH($D712,'Lopettaneet 2013-&gt;'!$D:$D,0)),INDEX('Lopettaneet 2013-&gt;'!$K:$K,MATCH($D712,'Lopettaneet 2013-&gt;'!$D:$D,0)),"Continues")</f>
        <v>Continues</v>
      </c>
      <c r="K712">
        <f ca="1">IF($J712="Continues",DATEDIF($B712,TODAY(),"Y"),INDEX('Lopettaneet 2013-&gt;'!$L:$L,MATCH($D712,'Lopettaneet 2013-&gt;'!$D:$D,0)))</f>
        <v>8</v>
      </c>
      <c r="L712">
        <v>447</v>
      </c>
    </row>
    <row r="713" spans="1:12" x14ac:dyDescent="0.25">
      <c r="A713" t="s">
        <v>0</v>
      </c>
      <c r="B713" s="1">
        <v>42583</v>
      </c>
      <c r="C713" s="1">
        <v>55153</v>
      </c>
      <c r="D713" s="4" t="s">
        <v>1108</v>
      </c>
      <c r="E713" t="s">
        <v>3</v>
      </c>
      <c r="F713" t="s">
        <v>4</v>
      </c>
      <c r="G713" t="s">
        <v>2917</v>
      </c>
      <c r="H713" t="s">
        <v>2766</v>
      </c>
      <c r="I713" t="s">
        <v>2894</v>
      </c>
      <c r="J713" t="str">
        <f>IF(ISNUMBER(MATCH($D713,'Lopettaneet 2013-&gt;'!$D:$D,0)),INDEX('Lopettaneet 2013-&gt;'!$K:$K,MATCH($D713,'Lopettaneet 2013-&gt;'!$D:$D,0)),"Continues")</f>
        <v>Continues</v>
      </c>
      <c r="K713">
        <f ca="1">IF($J713="Continues",DATEDIF($B713,TODAY(),"Y"),INDEX('Lopettaneet 2013-&gt;'!$L:$L,MATCH($D713,'Lopettaneet 2013-&gt;'!$D:$D,0)))</f>
        <v>8</v>
      </c>
      <c r="L713">
        <v>448</v>
      </c>
    </row>
    <row r="714" spans="1:12" x14ac:dyDescent="0.25">
      <c r="A714" t="s">
        <v>0</v>
      </c>
      <c r="B714" s="1">
        <v>43191</v>
      </c>
      <c r="C714" s="1">
        <v>43708</v>
      </c>
      <c r="D714" s="4" t="s">
        <v>3196</v>
      </c>
      <c r="E714" t="s">
        <v>10</v>
      </c>
      <c r="F714" t="s">
        <v>4</v>
      </c>
      <c r="G714" t="s">
        <v>2919</v>
      </c>
      <c r="H714" t="s">
        <v>2777</v>
      </c>
      <c r="I714" t="s">
        <v>2909</v>
      </c>
      <c r="J714" t="str">
        <f>IF(ISNUMBER(MATCH($D714,'Lopettaneet 2013-&gt;'!$D:$D,0)),INDEX('Lopettaneet 2013-&gt;'!$K:$K,MATCH($D714,'Lopettaneet 2013-&gt;'!$D:$D,0)),"Continues")</f>
        <v>Continues</v>
      </c>
      <c r="K714">
        <f ca="1">IF($J714="Continues",DATEDIF($B714,TODAY(),"Y"),INDEX('Lopettaneet 2013-&gt;'!$L:$L,MATCH($D714,'Lopettaneet 2013-&gt;'!$D:$D,0)))</f>
        <v>7</v>
      </c>
      <c r="L714">
        <v>449</v>
      </c>
    </row>
    <row r="715" spans="1:12" x14ac:dyDescent="0.25">
      <c r="A715" t="s">
        <v>0</v>
      </c>
      <c r="B715" s="1">
        <v>42644</v>
      </c>
      <c r="C715" s="1">
        <v>55153</v>
      </c>
      <c r="D715" s="4" t="s">
        <v>1112</v>
      </c>
      <c r="E715" t="s">
        <v>10</v>
      </c>
      <c r="F715" t="s">
        <v>4</v>
      </c>
      <c r="G715" t="s">
        <v>2915</v>
      </c>
      <c r="H715" t="s">
        <v>2946</v>
      </c>
      <c r="I715" t="s">
        <v>2894</v>
      </c>
      <c r="J715" t="str">
        <f>IF(ISNUMBER(MATCH($D715,'Lopettaneet 2013-&gt;'!$D:$D,0)),INDEX('Lopettaneet 2013-&gt;'!$K:$K,MATCH($D715,'Lopettaneet 2013-&gt;'!$D:$D,0)),"Continues")</f>
        <v>Continues</v>
      </c>
      <c r="K715">
        <f ca="1">IF($J715="Continues",DATEDIF($B715,TODAY(),"Y"),INDEX('Lopettaneet 2013-&gt;'!$L:$L,MATCH($D715,'Lopettaneet 2013-&gt;'!$D:$D,0)))</f>
        <v>8</v>
      </c>
      <c r="L715">
        <v>450</v>
      </c>
    </row>
    <row r="716" spans="1:12" x14ac:dyDescent="0.25">
      <c r="A716" t="s">
        <v>7</v>
      </c>
      <c r="B716" s="1">
        <v>42705</v>
      </c>
      <c r="C716" s="1">
        <v>43100</v>
      </c>
      <c r="D716" s="4" t="s">
        <v>1114</v>
      </c>
      <c r="E716" t="s">
        <v>10</v>
      </c>
      <c r="F716" t="s">
        <v>11</v>
      </c>
      <c r="G716" t="s">
        <v>2916</v>
      </c>
      <c r="H716" t="s">
        <v>2909</v>
      </c>
      <c r="I716" t="s">
        <v>2909</v>
      </c>
      <c r="J716" t="str">
        <f>IF(ISNUMBER(MATCH($D716,'Lopettaneet 2013-&gt;'!$D:$D,0)),INDEX('Lopettaneet 2013-&gt;'!$K:$K,MATCH($D716,'Lopettaneet 2013-&gt;'!$D:$D,0)),"Continues")</f>
        <v>Closed</v>
      </c>
      <c r="K716">
        <f ca="1">IF($J716="Continues",DATEDIF($B716,TODAY(),"Y"),INDEX('Lopettaneet 2013-&gt;'!$L:$L,MATCH($D716,'Lopettaneet 2013-&gt;'!$D:$D,0)))</f>
        <v>1</v>
      </c>
      <c r="L716">
        <v>451</v>
      </c>
    </row>
    <row r="717" spans="1:12" x14ac:dyDescent="0.25">
      <c r="A717" t="s">
        <v>0</v>
      </c>
      <c r="B717" s="1">
        <v>42705</v>
      </c>
      <c r="C717" s="1">
        <v>55153</v>
      </c>
      <c r="D717" s="4" t="s">
        <v>1116</v>
      </c>
      <c r="E717" t="s">
        <v>3</v>
      </c>
      <c r="F717" t="s">
        <v>4</v>
      </c>
      <c r="G717" t="s">
        <v>2917</v>
      </c>
      <c r="H717" t="s">
        <v>2998</v>
      </c>
      <c r="I717" t="s">
        <v>2894</v>
      </c>
      <c r="J717" t="str">
        <f>IF(ISNUMBER(MATCH($D717,'Lopettaneet 2013-&gt;'!$D:$D,0)),INDEX('Lopettaneet 2013-&gt;'!$K:$K,MATCH($D717,'Lopettaneet 2013-&gt;'!$D:$D,0)),"Continues")</f>
        <v>Continues</v>
      </c>
      <c r="K717">
        <f ca="1">IF($J717="Continues",DATEDIF($B717,TODAY(),"Y"),INDEX('Lopettaneet 2013-&gt;'!$L:$L,MATCH($D717,'Lopettaneet 2013-&gt;'!$D:$D,0)))</f>
        <v>8</v>
      </c>
      <c r="L717">
        <v>452</v>
      </c>
    </row>
    <row r="718" spans="1:12" x14ac:dyDescent="0.25">
      <c r="A718" t="s">
        <v>0</v>
      </c>
      <c r="B718" s="1">
        <v>42795</v>
      </c>
      <c r="C718" s="1">
        <v>55153</v>
      </c>
      <c r="D718" s="4" t="s">
        <v>1118</v>
      </c>
      <c r="E718" t="s">
        <v>3</v>
      </c>
      <c r="F718" t="s">
        <v>4</v>
      </c>
      <c r="G718" t="s">
        <v>2917</v>
      </c>
      <c r="H718" t="s">
        <v>2952</v>
      </c>
      <c r="I718" t="s">
        <v>2894</v>
      </c>
      <c r="J718" t="str">
        <f>IF(ISNUMBER(MATCH($D718,'Lopettaneet 2013-&gt;'!$D:$D,0)),INDEX('Lopettaneet 2013-&gt;'!$K:$K,MATCH($D718,'Lopettaneet 2013-&gt;'!$D:$D,0)),"Continues")</f>
        <v>Continues</v>
      </c>
      <c r="K718">
        <f ca="1">IF($J718="Continues",DATEDIF($B718,TODAY(),"Y"),INDEX('Lopettaneet 2013-&gt;'!$L:$L,MATCH($D718,'Lopettaneet 2013-&gt;'!$D:$D,0)))</f>
        <v>8</v>
      </c>
      <c r="L718">
        <v>453</v>
      </c>
    </row>
    <row r="719" spans="1:12" x14ac:dyDescent="0.25">
      <c r="A719" t="s">
        <v>0</v>
      </c>
      <c r="B719" s="1">
        <v>42795</v>
      </c>
      <c r="C719" s="1">
        <v>55153</v>
      </c>
      <c r="D719" s="4" t="s">
        <v>1120</v>
      </c>
      <c r="E719" t="s">
        <v>3</v>
      </c>
      <c r="F719" t="s">
        <v>4</v>
      </c>
      <c r="G719" t="s">
        <v>2915</v>
      </c>
      <c r="H719" t="s">
        <v>2952</v>
      </c>
      <c r="I719" t="s">
        <v>2909</v>
      </c>
      <c r="J719" t="str">
        <f>IF(ISNUMBER(MATCH($D719,'Lopettaneet 2013-&gt;'!$D:$D,0)),INDEX('Lopettaneet 2013-&gt;'!$K:$K,MATCH($D719,'Lopettaneet 2013-&gt;'!$D:$D,0)),"Continues")</f>
        <v>Continues</v>
      </c>
      <c r="K719">
        <f ca="1">IF($J719="Continues",DATEDIF($B719,TODAY(),"Y"),INDEX('Lopettaneet 2013-&gt;'!$L:$L,MATCH($D719,'Lopettaneet 2013-&gt;'!$D:$D,0)))</f>
        <v>8</v>
      </c>
      <c r="L719">
        <v>454</v>
      </c>
    </row>
    <row r="720" spans="1:12" x14ac:dyDescent="0.25">
      <c r="A720" t="s">
        <v>0</v>
      </c>
      <c r="B720" s="1">
        <v>42795</v>
      </c>
      <c r="C720" s="1">
        <v>55153</v>
      </c>
      <c r="D720" s="4" t="s">
        <v>1122</v>
      </c>
      <c r="E720" t="s">
        <v>3</v>
      </c>
      <c r="F720" t="s">
        <v>4</v>
      </c>
      <c r="G720" t="s">
        <v>2913</v>
      </c>
      <c r="H720" t="s">
        <v>2952</v>
      </c>
      <c r="I720" t="s">
        <v>2894</v>
      </c>
      <c r="J720" t="str">
        <f>IF(ISNUMBER(MATCH($D720,'Lopettaneet 2013-&gt;'!$D:$D,0)),INDEX('Lopettaneet 2013-&gt;'!$K:$K,MATCH($D720,'Lopettaneet 2013-&gt;'!$D:$D,0)),"Continues")</f>
        <v>Continues</v>
      </c>
      <c r="K720">
        <f ca="1">IF($J720="Continues",DATEDIF($B720,TODAY(),"Y"),INDEX('Lopettaneet 2013-&gt;'!$L:$L,MATCH($D720,'Lopettaneet 2013-&gt;'!$D:$D,0)))</f>
        <v>8</v>
      </c>
      <c r="L720">
        <v>455</v>
      </c>
    </row>
    <row r="721" spans="1:12" x14ac:dyDescent="0.25">
      <c r="A721" t="s">
        <v>0</v>
      </c>
      <c r="B721" s="1">
        <v>42795</v>
      </c>
      <c r="C721" s="1">
        <v>55153</v>
      </c>
      <c r="D721" s="4" t="s">
        <v>1124</v>
      </c>
      <c r="E721" t="s">
        <v>3</v>
      </c>
      <c r="F721" t="s">
        <v>4</v>
      </c>
      <c r="G721" t="s">
        <v>2917</v>
      </c>
      <c r="H721" t="s">
        <v>2952</v>
      </c>
      <c r="I721" t="s">
        <v>2894</v>
      </c>
      <c r="J721" t="str">
        <f>IF(ISNUMBER(MATCH($D721,'Lopettaneet 2013-&gt;'!$D:$D,0)),INDEX('Lopettaneet 2013-&gt;'!$K:$K,MATCH($D721,'Lopettaneet 2013-&gt;'!$D:$D,0)),"Continues")</f>
        <v>Continues</v>
      </c>
      <c r="K721">
        <f ca="1">IF($J721="Continues",DATEDIF($B721,TODAY(),"Y"),INDEX('Lopettaneet 2013-&gt;'!$L:$L,MATCH($D721,'Lopettaneet 2013-&gt;'!$D:$D,0)))</f>
        <v>8</v>
      </c>
      <c r="L721">
        <v>456</v>
      </c>
    </row>
    <row r="722" spans="1:12" x14ac:dyDescent="0.25">
      <c r="A722" t="s">
        <v>7</v>
      </c>
      <c r="B722" s="1">
        <v>42614</v>
      </c>
      <c r="C722" s="1">
        <v>55153</v>
      </c>
      <c r="D722" s="4" t="s">
        <v>1126</v>
      </c>
      <c r="E722" t="s">
        <v>10</v>
      </c>
      <c r="F722" t="s">
        <v>11</v>
      </c>
      <c r="G722" t="s">
        <v>2914</v>
      </c>
      <c r="H722" t="s">
        <v>2966</v>
      </c>
      <c r="I722" t="s">
        <v>2895</v>
      </c>
      <c r="J722" t="str">
        <f>IF(ISNUMBER(MATCH($D722,'Lopettaneet 2013-&gt;'!$D:$D,0)),INDEX('Lopettaneet 2013-&gt;'!$K:$K,MATCH($D722,'Lopettaneet 2013-&gt;'!$D:$D,0)),"Continues")</f>
        <v>Continues</v>
      </c>
      <c r="K722">
        <f ca="1">IF($J722="Continues",DATEDIF($B722,TODAY(),"Y"),INDEX('Lopettaneet 2013-&gt;'!$L:$L,MATCH($D722,'Lopettaneet 2013-&gt;'!$D:$D,0)))</f>
        <v>8</v>
      </c>
      <c r="L722">
        <v>457</v>
      </c>
    </row>
    <row r="723" spans="1:12" x14ac:dyDescent="0.25">
      <c r="A723" t="s">
        <v>7</v>
      </c>
      <c r="B723" s="1">
        <v>42705</v>
      </c>
      <c r="C723" s="1">
        <v>55153</v>
      </c>
      <c r="D723" s="4" t="s">
        <v>1128</v>
      </c>
      <c r="E723" t="s">
        <v>10</v>
      </c>
      <c r="F723" t="s">
        <v>11</v>
      </c>
      <c r="G723" t="s">
        <v>2916</v>
      </c>
      <c r="H723" t="s">
        <v>2996</v>
      </c>
      <c r="I723" t="s">
        <v>2894</v>
      </c>
      <c r="J723" t="str">
        <f>IF(ISNUMBER(MATCH($D723,'Lopettaneet 2013-&gt;'!$D:$D,0)),INDEX('Lopettaneet 2013-&gt;'!$K:$K,MATCH($D723,'Lopettaneet 2013-&gt;'!$D:$D,0)),"Continues")</f>
        <v>Continues</v>
      </c>
      <c r="K723">
        <f ca="1">IF($J723="Continues",DATEDIF($B723,TODAY(),"Y"),INDEX('Lopettaneet 2013-&gt;'!$L:$L,MATCH($D723,'Lopettaneet 2013-&gt;'!$D:$D,0)))</f>
        <v>8</v>
      </c>
      <c r="L723">
        <v>458</v>
      </c>
    </row>
    <row r="724" spans="1:12" x14ac:dyDescent="0.25">
      <c r="A724" t="s">
        <v>7</v>
      </c>
      <c r="B724" s="1">
        <v>42705</v>
      </c>
      <c r="C724" s="1">
        <v>43921</v>
      </c>
      <c r="D724" s="4" t="s">
        <v>1130</v>
      </c>
      <c r="E724" t="s">
        <v>10</v>
      </c>
      <c r="F724" t="s">
        <v>11</v>
      </c>
      <c r="G724" t="s">
        <v>2916</v>
      </c>
      <c r="H724" t="s">
        <v>2909</v>
      </c>
      <c r="I724" t="s">
        <v>2909</v>
      </c>
      <c r="J724" t="str">
        <f>IF(ISNUMBER(MATCH($D724,'Lopettaneet 2013-&gt;'!$D:$D,0)),INDEX('Lopettaneet 2013-&gt;'!$K:$K,MATCH($D724,'Lopettaneet 2013-&gt;'!$D:$D,0)),"Continues")</f>
        <v>Closed</v>
      </c>
      <c r="K724">
        <f ca="1">IF($J724="Continues",DATEDIF($B724,TODAY(),"Y"),INDEX('Lopettaneet 2013-&gt;'!$L:$L,MATCH($D724,'Lopettaneet 2013-&gt;'!$D:$D,0)))</f>
        <v>3</v>
      </c>
      <c r="L724">
        <v>459</v>
      </c>
    </row>
    <row r="725" spans="1:12" x14ac:dyDescent="0.25">
      <c r="A725" t="s">
        <v>7</v>
      </c>
      <c r="B725" s="1">
        <v>42705</v>
      </c>
      <c r="C725" s="1">
        <v>43921</v>
      </c>
      <c r="D725" s="4" t="s">
        <v>1132</v>
      </c>
      <c r="E725" t="s">
        <v>10</v>
      </c>
      <c r="F725" t="s">
        <v>11</v>
      </c>
      <c r="G725" t="s">
        <v>2914</v>
      </c>
      <c r="H725" t="s">
        <v>2909</v>
      </c>
      <c r="I725" t="s">
        <v>2909</v>
      </c>
      <c r="J725" t="str">
        <f>IF(ISNUMBER(MATCH($D725,'Lopettaneet 2013-&gt;'!$D:$D,0)),INDEX('Lopettaneet 2013-&gt;'!$K:$K,MATCH($D725,'Lopettaneet 2013-&gt;'!$D:$D,0)),"Continues")</f>
        <v>Closed</v>
      </c>
      <c r="K725">
        <f ca="1">IF($J725="Continues",DATEDIF($B725,TODAY(),"Y"),INDEX('Lopettaneet 2013-&gt;'!$L:$L,MATCH($D725,'Lopettaneet 2013-&gt;'!$D:$D,0)))</f>
        <v>3</v>
      </c>
      <c r="L725">
        <v>460</v>
      </c>
    </row>
    <row r="726" spans="1:12" x14ac:dyDescent="0.25">
      <c r="A726" t="s">
        <v>7</v>
      </c>
      <c r="B726" s="1">
        <v>42705</v>
      </c>
      <c r="C726" s="1">
        <v>44926</v>
      </c>
      <c r="D726" s="4" t="s">
        <v>1134</v>
      </c>
      <c r="E726" t="s">
        <v>10</v>
      </c>
      <c r="F726" t="s">
        <v>11</v>
      </c>
      <c r="G726" t="s">
        <v>2914</v>
      </c>
      <c r="H726" t="s">
        <v>2909</v>
      </c>
      <c r="I726" t="s">
        <v>2909</v>
      </c>
      <c r="J726" t="str">
        <f>IF(ISNUMBER(MATCH($D726,'Lopettaneet 2013-&gt;'!$D:$D,0)),INDEX('Lopettaneet 2013-&gt;'!$K:$K,MATCH($D726,'Lopettaneet 2013-&gt;'!$D:$D,0)),"Continues")</f>
        <v>Closed</v>
      </c>
      <c r="K726">
        <f ca="1">IF($J726="Continues",DATEDIF($B726,TODAY(),"Y"),INDEX('Lopettaneet 2013-&gt;'!$L:$L,MATCH($D726,'Lopettaneet 2013-&gt;'!$D:$D,0)))</f>
        <v>6</v>
      </c>
      <c r="L726">
        <v>461</v>
      </c>
    </row>
    <row r="727" spans="1:12" x14ac:dyDescent="0.25">
      <c r="A727" t="s">
        <v>7</v>
      </c>
      <c r="B727" s="1">
        <v>42826</v>
      </c>
      <c r="C727" s="1">
        <v>42827</v>
      </c>
      <c r="D727" s="4" t="s">
        <v>1136</v>
      </c>
      <c r="E727" t="s">
        <v>10</v>
      </c>
      <c r="F727" t="s">
        <v>11</v>
      </c>
      <c r="G727" t="s">
        <v>2916</v>
      </c>
      <c r="H727" t="s">
        <v>2976</v>
      </c>
      <c r="I727" t="s">
        <v>2909</v>
      </c>
      <c r="J727" t="str">
        <f>IF(ISNUMBER(MATCH($D727,'Lopettaneet 2013-&gt;'!$D:$D,0)),INDEX('Lopettaneet 2013-&gt;'!$K:$K,MATCH($D727,'Lopettaneet 2013-&gt;'!$D:$D,0)),"Continues")</f>
        <v>Closed</v>
      </c>
      <c r="K727">
        <f ca="1">IF($J727="Continues",DATEDIF($B727,TODAY(),"Y"),INDEX('Lopettaneet 2013-&gt;'!$L:$L,MATCH($D727,'Lopettaneet 2013-&gt;'!$D:$D,0)))</f>
        <v>0</v>
      </c>
      <c r="L727">
        <v>462</v>
      </c>
    </row>
    <row r="728" spans="1:12" x14ac:dyDescent="0.25">
      <c r="A728" t="s">
        <v>7</v>
      </c>
      <c r="B728" s="1">
        <v>42705</v>
      </c>
      <c r="C728" s="1">
        <v>55153</v>
      </c>
      <c r="D728" s="4" t="s">
        <v>1138</v>
      </c>
      <c r="E728" t="s">
        <v>10</v>
      </c>
      <c r="F728" t="s">
        <v>11</v>
      </c>
      <c r="G728" t="s">
        <v>2912</v>
      </c>
      <c r="H728" t="s">
        <v>2965</v>
      </c>
      <c r="I728" t="s">
        <v>2895</v>
      </c>
      <c r="J728" t="str">
        <f>IF(ISNUMBER(MATCH($D728,'Lopettaneet 2013-&gt;'!$D:$D,0)),INDEX('Lopettaneet 2013-&gt;'!$K:$K,MATCH($D728,'Lopettaneet 2013-&gt;'!$D:$D,0)),"Continues")</f>
        <v>Continues</v>
      </c>
      <c r="K728">
        <f ca="1">IF($J728="Continues",DATEDIF($B728,TODAY(),"Y"),INDEX('Lopettaneet 2013-&gt;'!$L:$L,MATCH($D728,'Lopettaneet 2013-&gt;'!$D:$D,0)))</f>
        <v>8</v>
      </c>
      <c r="L728">
        <v>463</v>
      </c>
    </row>
    <row r="729" spans="1:12" x14ac:dyDescent="0.25">
      <c r="A729" t="s">
        <v>7</v>
      </c>
      <c r="B729" s="1">
        <v>42705</v>
      </c>
      <c r="C729" s="1">
        <v>55153</v>
      </c>
      <c r="D729" s="4" t="s">
        <v>1140</v>
      </c>
      <c r="E729" t="s">
        <v>10</v>
      </c>
      <c r="F729" t="s">
        <v>11</v>
      </c>
      <c r="G729" t="s">
        <v>2912</v>
      </c>
      <c r="H729" t="s">
        <v>3000</v>
      </c>
      <c r="I729" t="s">
        <v>2895</v>
      </c>
      <c r="J729" t="str">
        <f>IF(ISNUMBER(MATCH($D729,'Lopettaneet 2013-&gt;'!$D:$D,0)),INDEX('Lopettaneet 2013-&gt;'!$K:$K,MATCH($D729,'Lopettaneet 2013-&gt;'!$D:$D,0)),"Continues")</f>
        <v>Continues</v>
      </c>
      <c r="K729">
        <f ca="1">IF($J729="Continues",DATEDIF($B729,TODAY(),"Y"),INDEX('Lopettaneet 2013-&gt;'!$L:$L,MATCH($D729,'Lopettaneet 2013-&gt;'!$D:$D,0)))</f>
        <v>8</v>
      </c>
      <c r="L729">
        <v>464</v>
      </c>
    </row>
    <row r="730" spans="1:12" x14ac:dyDescent="0.25">
      <c r="A730" t="s">
        <v>7</v>
      </c>
      <c r="B730" s="1">
        <v>42614</v>
      </c>
      <c r="C730" s="1">
        <v>55153</v>
      </c>
      <c r="D730" s="4" t="s">
        <v>1142</v>
      </c>
      <c r="E730" t="s">
        <v>10</v>
      </c>
      <c r="F730" t="s">
        <v>11</v>
      </c>
      <c r="G730" t="s">
        <v>2918</v>
      </c>
      <c r="H730" t="s">
        <v>2975</v>
      </c>
      <c r="I730" t="s">
        <v>2895</v>
      </c>
      <c r="J730" t="str">
        <f>IF(ISNUMBER(MATCH($D730,'Lopettaneet 2013-&gt;'!$D:$D,0)),INDEX('Lopettaneet 2013-&gt;'!$K:$K,MATCH($D730,'Lopettaneet 2013-&gt;'!$D:$D,0)),"Continues")</f>
        <v>Closed</v>
      </c>
      <c r="K730">
        <f ca="1">IF($J730="Continues",DATEDIF($B730,TODAY(),"Y"),INDEX('Lopettaneet 2013-&gt;'!$L:$L,MATCH($D730,'Lopettaneet 2013-&gt;'!$D:$D,0)))</f>
        <v>7</v>
      </c>
      <c r="L730">
        <v>465</v>
      </c>
    </row>
    <row r="731" spans="1:12" x14ac:dyDescent="0.25">
      <c r="A731" t="s">
        <v>0</v>
      </c>
      <c r="B731" s="1">
        <v>42675</v>
      </c>
      <c r="C731" s="1">
        <v>55153</v>
      </c>
      <c r="D731" s="4" t="s">
        <v>3197</v>
      </c>
      <c r="E731" t="s">
        <v>3</v>
      </c>
      <c r="F731" t="s">
        <v>4</v>
      </c>
      <c r="G731" t="s">
        <v>2917</v>
      </c>
      <c r="H731" t="s">
        <v>2777</v>
      </c>
      <c r="I731" t="s">
        <v>2894</v>
      </c>
      <c r="J731" t="str">
        <f>IF(ISNUMBER(MATCH($D731,'Lopettaneet 2013-&gt;'!$D:$D,0)),INDEX('Lopettaneet 2013-&gt;'!$K:$K,MATCH($D731,'Lopettaneet 2013-&gt;'!$D:$D,0)),"Continues")</f>
        <v>Continues</v>
      </c>
      <c r="K731">
        <f ca="1">IF($J731="Continues",DATEDIF($B731,TODAY(),"Y"),INDEX('Lopettaneet 2013-&gt;'!$L:$L,MATCH($D731,'Lopettaneet 2013-&gt;'!$D:$D,0)))</f>
        <v>8</v>
      </c>
      <c r="L731">
        <v>466</v>
      </c>
    </row>
    <row r="732" spans="1:12" x14ac:dyDescent="0.25">
      <c r="A732" t="s">
        <v>0</v>
      </c>
      <c r="B732" s="1">
        <v>42705</v>
      </c>
      <c r="C732" s="1">
        <v>55153</v>
      </c>
      <c r="D732" s="4" t="s">
        <v>1146</v>
      </c>
      <c r="E732" t="s">
        <v>10</v>
      </c>
      <c r="F732" t="s">
        <v>4</v>
      </c>
      <c r="G732" t="s">
        <v>2918</v>
      </c>
      <c r="H732" t="s">
        <v>2975</v>
      </c>
      <c r="I732" t="s">
        <v>2894</v>
      </c>
      <c r="J732" t="str">
        <f>IF(ISNUMBER(MATCH($D732,'Lopettaneet 2013-&gt;'!$D:$D,0)),INDEX('Lopettaneet 2013-&gt;'!$K:$K,MATCH($D732,'Lopettaneet 2013-&gt;'!$D:$D,0)),"Continues")</f>
        <v>Continues</v>
      </c>
      <c r="K732">
        <f ca="1">IF($J732="Continues",DATEDIF($B732,TODAY(),"Y"),INDEX('Lopettaneet 2013-&gt;'!$L:$L,MATCH($D732,'Lopettaneet 2013-&gt;'!$D:$D,0)))</f>
        <v>8</v>
      </c>
      <c r="L732">
        <v>467</v>
      </c>
    </row>
    <row r="733" spans="1:12" x14ac:dyDescent="0.25">
      <c r="A733" t="s">
        <v>7</v>
      </c>
      <c r="B733" s="1">
        <v>42552</v>
      </c>
      <c r="C733" s="1">
        <v>44469</v>
      </c>
      <c r="D733" s="4" t="s">
        <v>1148</v>
      </c>
      <c r="E733" t="s">
        <v>10</v>
      </c>
      <c r="F733" t="s">
        <v>11</v>
      </c>
      <c r="G733" t="s">
        <v>2912</v>
      </c>
      <c r="H733" t="s">
        <v>2909</v>
      </c>
      <c r="I733" t="s">
        <v>2909</v>
      </c>
      <c r="J733" t="str">
        <f>IF(ISNUMBER(MATCH($D733,'Lopettaneet 2013-&gt;'!$D:$D,0)),INDEX('Lopettaneet 2013-&gt;'!$K:$K,MATCH($D733,'Lopettaneet 2013-&gt;'!$D:$D,0)),"Continues")</f>
        <v>Closed</v>
      </c>
      <c r="K733">
        <f ca="1">IF($J733="Continues",DATEDIF($B733,TODAY(),"Y"),INDEX('Lopettaneet 2013-&gt;'!$L:$L,MATCH($D733,'Lopettaneet 2013-&gt;'!$D:$D,0)))</f>
        <v>5</v>
      </c>
      <c r="L733">
        <v>468</v>
      </c>
    </row>
    <row r="734" spans="1:12" x14ac:dyDescent="0.25">
      <c r="A734" t="s">
        <v>7</v>
      </c>
      <c r="B734" s="1">
        <v>42644</v>
      </c>
      <c r="C734" s="1">
        <v>45199</v>
      </c>
      <c r="D734" s="4" t="s">
        <v>39</v>
      </c>
      <c r="E734" t="s">
        <v>10</v>
      </c>
      <c r="F734" t="s">
        <v>11</v>
      </c>
      <c r="G734" t="s">
        <v>2918</v>
      </c>
      <c r="H734" t="s">
        <v>3021</v>
      </c>
      <c r="I734" t="s">
        <v>2909</v>
      </c>
      <c r="J734" t="str">
        <f>IF(ISNUMBER(MATCH($D734,'Lopettaneet 2013-&gt;'!$D:$D,0)),INDEX('Lopettaneet 2013-&gt;'!$K:$K,MATCH($D734,'Lopettaneet 2013-&gt;'!$D:$D,0)),"Continues")</f>
        <v>Closed</v>
      </c>
      <c r="K734">
        <f ca="1">IF($J734="Continues",DATEDIF($B734,TODAY(),"Y"),INDEX('Lopettaneet 2013-&gt;'!$L:$L,MATCH($D734,'Lopettaneet 2013-&gt;'!$D:$D,0)))</f>
        <v>6</v>
      </c>
      <c r="L734">
        <v>469</v>
      </c>
    </row>
    <row r="735" spans="1:12" x14ac:dyDescent="0.25">
      <c r="A735" t="s">
        <v>7</v>
      </c>
      <c r="B735" s="1">
        <v>42644</v>
      </c>
      <c r="C735" s="1">
        <v>55153</v>
      </c>
      <c r="D735" s="4" t="s">
        <v>1150</v>
      </c>
      <c r="E735" t="s">
        <v>10</v>
      </c>
      <c r="F735" t="s">
        <v>11</v>
      </c>
      <c r="G735" t="s">
        <v>2914</v>
      </c>
      <c r="H735" t="s">
        <v>2980</v>
      </c>
      <c r="I735" t="s">
        <v>2894</v>
      </c>
      <c r="J735" t="str">
        <f>IF(ISNUMBER(MATCH($D735,'Lopettaneet 2013-&gt;'!$D:$D,0)),INDEX('Lopettaneet 2013-&gt;'!$K:$K,MATCH($D735,'Lopettaneet 2013-&gt;'!$D:$D,0)),"Continues")</f>
        <v>Continues</v>
      </c>
      <c r="K735">
        <f ca="1">IF($J735="Continues",DATEDIF($B735,TODAY(),"Y"),INDEX('Lopettaneet 2013-&gt;'!$L:$L,MATCH($D735,'Lopettaneet 2013-&gt;'!$D:$D,0)))</f>
        <v>8</v>
      </c>
      <c r="L735">
        <v>470</v>
      </c>
    </row>
    <row r="736" spans="1:12" x14ac:dyDescent="0.25">
      <c r="A736" t="s">
        <v>7</v>
      </c>
      <c r="B736" s="1">
        <v>42705</v>
      </c>
      <c r="C736" s="1">
        <v>55153</v>
      </c>
      <c r="D736" s="4" t="s">
        <v>1152</v>
      </c>
      <c r="E736" t="s">
        <v>10</v>
      </c>
      <c r="F736" t="s">
        <v>11</v>
      </c>
      <c r="G736" t="s">
        <v>2914</v>
      </c>
      <c r="H736" t="s">
        <v>2980</v>
      </c>
      <c r="I736" t="s">
        <v>2894</v>
      </c>
      <c r="J736" t="str">
        <f>IF(ISNUMBER(MATCH($D736,'Lopettaneet 2013-&gt;'!$D:$D,0)),INDEX('Lopettaneet 2013-&gt;'!$K:$K,MATCH($D736,'Lopettaneet 2013-&gt;'!$D:$D,0)),"Continues")</f>
        <v>Continues</v>
      </c>
      <c r="K736">
        <f ca="1">IF($J736="Continues",DATEDIF($B736,TODAY(),"Y"),INDEX('Lopettaneet 2013-&gt;'!$L:$L,MATCH($D736,'Lopettaneet 2013-&gt;'!$D:$D,0)))</f>
        <v>8</v>
      </c>
      <c r="L736">
        <v>471</v>
      </c>
    </row>
    <row r="737" spans="1:12" x14ac:dyDescent="0.25">
      <c r="A737" t="s">
        <v>7</v>
      </c>
      <c r="B737" s="1">
        <v>42644</v>
      </c>
      <c r="C737" s="1">
        <v>55153</v>
      </c>
      <c r="D737" s="4" t="s">
        <v>1154</v>
      </c>
      <c r="E737" t="s">
        <v>10</v>
      </c>
      <c r="F737" t="s">
        <v>11</v>
      </c>
      <c r="G737" t="s">
        <v>2914</v>
      </c>
      <c r="H737" t="s">
        <v>2980</v>
      </c>
      <c r="I737" t="s">
        <v>2894</v>
      </c>
      <c r="J737" t="str">
        <f>IF(ISNUMBER(MATCH($D737,'Lopettaneet 2013-&gt;'!$D:$D,0)),INDEX('Lopettaneet 2013-&gt;'!$K:$K,MATCH($D737,'Lopettaneet 2013-&gt;'!$D:$D,0)),"Continues")</f>
        <v>Continues</v>
      </c>
      <c r="K737">
        <f ca="1">IF($J737="Continues",DATEDIF($B737,TODAY(),"Y"),INDEX('Lopettaneet 2013-&gt;'!$L:$L,MATCH($D737,'Lopettaneet 2013-&gt;'!$D:$D,0)))</f>
        <v>8</v>
      </c>
      <c r="L737">
        <v>472</v>
      </c>
    </row>
    <row r="738" spans="1:12" x14ac:dyDescent="0.25">
      <c r="A738" t="s">
        <v>7</v>
      </c>
      <c r="B738" s="1">
        <v>42644</v>
      </c>
      <c r="C738" s="1">
        <v>55153</v>
      </c>
      <c r="D738" s="4" t="s">
        <v>1156</v>
      </c>
      <c r="E738" t="s">
        <v>10</v>
      </c>
      <c r="F738" t="s">
        <v>11</v>
      </c>
      <c r="G738" t="s">
        <v>2914</v>
      </c>
      <c r="H738" t="s">
        <v>2980</v>
      </c>
      <c r="I738" t="s">
        <v>2894</v>
      </c>
      <c r="J738" t="str">
        <f>IF(ISNUMBER(MATCH($D738,'Lopettaneet 2013-&gt;'!$D:$D,0)),INDEX('Lopettaneet 2013-&gt;'!$K:$K,MATCH($D738,'Lopettaneet 2013-&gt;'!$D:$D,0)),"Continues")</f>
        <v>Continues</v>
      </c>
      <c r="K738">
        <f ca="1">IF($J738="Continues",DATEDIF($B738,TODAY(),"Y"),INDEX('Lopettaneet 2013-&gt;'!$L:$L,MATCH($D738,'Lopettaneet 2013-&gt;'!$D:$D,0)))</f>
        <v>8</v>
      </c>
      <c r="L738">
        <v>473</v>
      </c>
    </row>
    <row r="739" spans="1:12" x14ac:dyDescent="0.25">
      <c r="A739" t="s">
        <v>0</v>
      </c>
      <c r="B739" s="1">
        <v>42705</v>
      </c>
      <c r="C739" s="1">
        <v>43830</v>
      </c>
      <c r="D739" s="4" t="s">
        <v>1158</v>
      </c>
      <c r="E739" t="s">
        <v>3</v>
      </c>
      <c r="F739" t="s">
        <v>4</v>
      </c>
      <c r="G739" t="s">
        <v>2917</v>
      </c>
      <c r="H739" t="s">
        <v>2946</v>
      </c>
      <c r="I739" t="s">
        <v>2909</v>
      </c>
      <c r="J739" t="str">
        <f>IF(ISNUMBER(MATCH($D739,'Lopettaneet 2013-&gt;'!$D:$D,0)),INDEX('Lopettaneet 2013-&gt;'!$K:$K,MATCH($D739,'Lopettaneet 2013-&gt;'!$D:$D,0)),"Continues")</f>
        <v>Merged</v>
      </c>
      <c r="K739">
        <f ca="1">IF($J739="Continues",DATEDIF($B739,TODAY(),"Y"),INDEX('Lopettaneet 2013-&gt;'!$L:$L,MATCH($D739,'Lopettaneet 2013-&gt;'!$D:$D,0)))</f>
        <v>3</v>
      </c>
      <c r="L739">
        <v>474</v>
      </c>
    </row>
    <row r="740" spans="1:12" x14ac:dyDescent="0.25">
      <c r="A740" t="s">
        <v>0</v>
      </c>
      <c r="B740" s="1">
        <v>42795</v>
      </c>
      <c r="C740" s="1">
        <v>55153</v>
      </c>
      <c r="D740" s="4" t="s">
        <v>3198</v>
      </c>
      <c r="E740" t="s">
        <v>3</v>
      </c>
      <c r="F740" t="s">
        <v>4</v>
      </c>
      <c r="G740" t="s">
        <v>2913</v>
      </c>
      <c r="H740" t="s">
        <v>2777</v>
      </c>
      <c r="I740" t="s">
        <v>2894</v>
      </c>
      <c r="J740" t="str">
        <f>IF(ISNUMBER(MATCH($D740,'Lopettaneet 2013-&gt;'!$D:$D,0)),INDEX('Lopettaneet 2013-&gt;'!$K:$K,MATCH($D740,'Lopettaneet 2013-&gt;'!$D:$D,0)),"Continues")</f>
        <v>Continues</v>
      </c>
      <c r="K740">
        <f ca="1">IF($J740="Continues",DATEDIF($B740,TODAY(),"Y"),INDEX('Lopettaneet 2013-&gt;'!$L:$L,MATCH($D740,'Lopettaneet 2013-&gt;'!$D:$D,0)))</f>
        <v>8</v>
      </c>
      <c r="L740">
        <v>475</v>
      </c>
    </row>
    <row r="741" spans="1:12" x14ac:dyDescent="0.25">
      <c r="A741" t="s">
        <v>0</v>
      </c>
      <c r="B741" s="1">
        <v>42705</v>
      </c>
      <c r="C741" s="1">
        <v>55153</v>
      </c>
      <c r="D741" s="4" t="s">
        <v>1162</v>
      </c>
      <c r="E741" t="s">
        <v>3</v>
      </c>
      <c r="F741" t="s">
        <v>4</v>
      </c>
      <c r="G741" t="s">
        <v>2917</v>
      </c>
      <c r="H741" t="s">
        <v>2953</v>
      </c>
      <c r="I741" t="s">
        <v>2894</v>
      </c>
      <c r="J741" t="str">
        <f>IF(ISNUMBER(MATCH($D741,'Lopettaneet 2013-&gt;'!$D:$D,0)),INDEX('Lopettaneet 2013-&gt;'!$K:$K,MATCH($D741,'Lopettaneet 2013-&gt;'!$D:$D,0)),"Continues")</f>
        <v>Merged</v>
      </c>
      <c r="K741">
        <f ca="1">IF($J741="Continues",DATEDIF($B741,TODAY(),"Y"),INDEX('Lopettaneet 2013-&gt;'!$L:$L,MATCH($D741,'Lopettaneet 2013-&gt;'!$D:$D,0)))</f>
        <v>7</v>
      </c>
      <c r="L741">
        <v>476</v>
      </c>
    </row>
    <row r="742" spans="1:12" x14ac:dyDescent="0.25">
      <c r="A742" t="s">
        <v>0</v>
      </c>
      <c r="B742" s="1">
        <v>42795</v>
      </c>
      <c r="C742" s="1">
        <v>44255</v>
      </c>
      <c r="D742" s="4" t="s">
        <v>1164</v>
      </c>
      <c r="E742" t="s">
        <v>3</v>
      </c>
      <c r="F742" t="s">
        <v>4</v>
      </c>
      <c r="G742" t="s">
        <v>2917</v>
      </c>
      <c r="H742" t="s">
        <v>2953</v>
      </c>
      <c r="I742" t="s">
        <v>2909</v>
      </c>
      <c r="J742" t="str">
        <f>IF(ISNUMBER(MATCH($D742,'Lopettaneet 2013-&gt;'!$D:$D,0)),INDEX('Lopettaneet 2013-&gt;'!$K:$K,MATCH($D742,'Lopettaneet 2013-&gt;'!$D:$D,0)),"Continues")</f>
        <v>Merged</v>
      </c>
      <c r="K742">
        <f ca="1">IF($J742="Continues",DATEDIF($B742,TODAY(),"Y"),INDEX('Lopettaneet 2013-&gt;'!$L:$L,MATCH($D742,'Lopettaneet 2013-&gt;'!$D:$D,0)))</f>
        <v>3</v>
      </c>
      <c r="L742">
        <v>477</v>
      </c>
    </row>
    <row r="743" spans="1:12" x14ac:dyDescent="0.25">
      <c r="A743" t="s">
        <v>7</v>
      </c>
      <c r="B743" s="1">
        <v>42795</v>
      </c>
      <c r="C743" s="1">
        <v>55153</v>
      </c>
      <c r="D743" s="4" t="s">
        <v>1166</v>
      </c>
      <c r="E743" t="s">
        <v>10</v>
      </c>
      <c r="F743" t="s">
        <v>11</v>
      </c>
      <c r="G743" t="s">
        <v>2916</v>
      </c>
      <c r="H743" t="s">
        <v>3020</v>
      </c>
      <c r="I743" t="s">
        <v>2895</v>
      </c>
      <c r="J743" t="str">
        <f>IF(ISNUMBER(MATCH($D743,'Lopettaneet 2013-&gt;'!$D:$D,0)),INDEX('Lopettaneet 2013-&gt;'!$K:$K,MATCH($D743,'Lopettaneet 2013-&gt;'!$D:$D,0)),"Continues")</f>
        <v>Continues</v>
      </c>
      <c r="K743">
        <f ca="1">IF($J743="Continues",DATEDIF($B743,TODAY(),"Y"),INDEX('Lopettaneet 2013-&gt;'!$L:$L,MATCH($D743,'Lopettaneet 2013-&gt;'!$D:$D,0)))</f>
        <v>8</v>
      </c>
      <c r="L743">
        <v>478</v>
      </c>
    </row>
    <row r="744" spans="1:12" x14ac:dyDescent="0.25">
      <c r="A744" t="s">
        <v>7</v>
      </c>
      <c r="B744" s="1">
        <v>42795</v>
      </c>
      <c r="C744" s="1">
        <v>55153</v>
      </c>
      <c r="D744" s="4" t="s">
        <v>1168</v>
      </c>
      <c r="E744" t="s">
        <v>10</v>
      </c>
      <c r="F744" t="s">
        <v>11</v>
      </c>
      <c r="G744" t="s">
        <v>2918</v>
      </c>
      <c r="H744" t="s">
        <v>2946</v>
      </c>
      <c r="I744" t="s">
        <v>2894</v>
      </c>
      <c r="J744" t="str">
        <f>IF(ISNUMBER(MATCH($D744,'Lopettaneet 2013-&gt;'!$D:$D,0)),INDEX('Lopettaneet 2013-&gt;'!$K:$K,MATCH($D744,'Lopettaneet 2013-&gt;'!$D:$D,0)),"Continues")</f>
        <v>Continues</v>
      </c>
      <c r="K744">
        <f ca="1">IF($J744="Continues",DATEDIF($B744,TODAY(),"Y"),INDEX('Lopettaneet 2013-&gt;'!$L:$L,MATCH($D744,'Lopettaneet 2013-&gt;'!$D:$D,0)))</f>
        <v>8</v>
      </c>
      <c r="L744">
        <v>479</v>
      </c>
    </row>
    <row r="745" spans="1:12" x14ac:dyDescent="0.25">
      <c r="A745" t="s">
        <v>7</v>
      </c>
      <c r="B745" s="1">
        <v>42644</v>
      </c>
      <c r="C745" s="1">
        <v>55153</v>
      </c>
      <c r="D745" s="4" t="s">
        <v>1170</v>
      </c>
      <c r="E745" t="s">
        <v>10</v>
      </c>
      <c r="F745" t="s">
        <v>11</v>
      </c>
      <c r="G745" t="s">
        <v>2912</v>
      </c>
      <c r="H745" t="s">
        <v>2965</v>
      </c>
      <c r="I745" t="s">
        <v>2895</v>
      </c>
      <c r="J745" t="str">
        <f>IF(ISNUMBER(MATCH($D745,'Lopettaneet 2013-&gt;'!$D:$D,0)),INDEX('Lopettaneet 2013-&gt;'!$K:$K,MATCH($D745,'Lopettaneet 2013-&gt;'!$D:$D,0)),"Continues")</f>
        <v>Continues</v>
      </c>
      <c r="K745">
        <f ca="1">IF($J745="Continues",DATEDIF($B745,TODAY(),"Y"),INDEX('Lopettaneet 2013-&gt;'!$L:$L,MATCH($D745,'Lopettaneet 2013-&gt;'!$D:$D,0)))</f>
        <v>8</v>
      </c>
      <c r="L745">
        <v>480</v>
      </c>
    </row>
    <row r="746" spans="1:12" x14ac:dyDescent="0.25">
      <c r="A746" t="s">
        <v>7</v>
      </c>
      <c r="B746" s="1">
        <v>42887</v>
      </c>
      <c r="C746" s="1">
        <v>55153</v>
      </c>
      <c r="D746" s="4" t="s">
        <v>1172</v>
      </c>
      <c r="E746" t="s">
        <v>10</v>
      </c>
      <c r="F746" t="s">
        <v>11</v>
      </c>
      <c r="G746" t="s">
        <v>2914</v>
      </c>
      <c r="H746" t="s">
        <v>2980</v>
      </c>
      <c r="I746" t="s">
        <v>2894</v>
      </c>
      <c r="J746" t="str">
        <f>IF(ISNUMBER(MATCH($D746,'Lopettaneet 2013-&gt;'!$D:$D,0)),INDEX('Lopettaneet 2013-&gt;'!$K:$K,MATCH($D746,'Lopettaneet 2013-&gt;'!$D:$D,0)),"Continues")</f>
        <v>Continues</v>
      </c>
      <c r="K746">
        <f ca="1">IF($J746="Continues",DATEDIF($B746,TODAY(),"Y"),INDEX('Lopettaneet 2013-&gt;'!$L:$L,MATCH($D746,'Lopettaneet 2013-&gt;'!$D:$D,0)))</f>
        <v>7</v>
      </c>
      <c r="L746">
        <v>481</v>
      </c>
    </row>
    <row r="747" spans="1:12" x14ac:dyDescent="0.25">
      <c r="A747" t="s">
        <v>7</v>
      </c>
      <c r="B747" s="1">
        <v>42887</v>
      </c>
      <c r="C747" s="1">
        <v>55153</v>
      </c>
      <c r="D747" s="4" t="s">
        <v>1174</v>
      </c>
      <c r="E747" t="s">
        <v>10</v>
      </c>
      <c r="F747" t="s">
        <v>11</v>
      </c>
      <c r="G747" t="s">
        <v>2914</v>
      </c>
      <c r="H747" t="s">
        <v>2980</v>
      </c>
      <c r="I747" t="s">
        <v>2894</v>
      </c>
      <c r="J747" t="str">
        <f>IF(ISNUMBER(MATCH($D747,'Lopettaneet 2013-&gt;'!$D:$D,0)),INDEX('Lopettaneet 2013-&gt;'!$K:$K,MATCH($D747,'Lopettaneet 2013-&gt;'!$D:$D,0)),"Continues")</f>
        <v>Continues</v>
      </c>
      <c r="K747">
        <f ca="1">IF($J747="Continues",DATEDIF($B747,TODAY(),"Y"),INDEX('Lopettaneet 2013-&gt;'!$L:$L,MATCH($D747,'Lopettaneet 2013-&gt;'!$D:$D,0)))</f>
        <v>7</v>
      </c>
      <c r="L747">
        <v>482</v>
      </c>
    </row>
    <row r="748" spans="1:12" x14ac:dyDescent="0.25">
      <c r="A748" t="s">
        <v>7</v>
      </c>
      <c r="B748" s="1">
        <v>42887</v>
      </c>
      <c r="C748" s="1">
        <v>55153</v>
      </c>
      <c r="D748" s="4" t="s">
        <v>1176</v>
      </c>
      <c r="E748" t="s">
        <v>10</v>
      </c>
      <c r="F748" t="s">
        <v>11</v>
      </c>
      <c r="G748" t="s">
        <v>2918</v>
      </c>
      <c r="H748" t="s">
        <v>2980</v>
      </c>
      <c r="I748" t="s">
        <v>2894</v>
      </c>
      <c r="J748" t="str">
        <f>IF(ISNUMBER(MATCH($D748,'Lopettaneet 2013-&gt;'!$D:$D,0)),INDEX('Lopettaneet 2013-&gt;'!$K:$K,MATCH($D748,'Lopettaneet 2013-&gt;'!$D:$D,0)),"Continues")</f>
        <v>Continues</v>
      </c>
      <c r="K748">
        <f ca="1">IF($J748="Continues",DATEDIF($B748,TODAY(),"Y"),INDEX('Lopettaneet 2013-&gt;'!$L:$L,MATCH($D748,'Lopettaneet 2013-&gt;'!$D:$D,0)))</f>
        <v>7</v>
      </c>
      <c r="L748">
        <v>483</v>
      </c>
    </row>
    <row r="749" spans="1:12" x14ac:dyDescent="0.25">
      <c r="A749" t="s">
        <v>7</v>
      </c>
      <c r="B749" s="1">
        <v>42887</v>
      </c>
      <c r="C749" s="1">
        <v>55153</v>
      </c>
      <c r="D749" s="4" t="s">
        <v>1178</v>
      </c>
      <c r="E749" t="s">
        <v>10</v>
      </c>
      <c r="F749" t="s">
        <v>11</v>
      </c>
      <c r="G749" t="s">
        <v>2918</v>
      </c>
      <c r="H749" t="s">
        <v>2980</v>
      </c>
      <c r="I749" t="s">
        <v>2894</v>
      </c>
      <c r="J749" t="str">
        <f>IF(ISNUMBER(MATCH($D749,'Lopettaneet 2013-&gt;'!$D:$D,0)),INDEX('Lopettaneet 2013-&gt;'!$K:$K,MATCH($D749,'Lopettaneet 2013-&gt;'!$D:$D,0)),"Continues")</f>
        <v>Continues</v>
      </c>
      <c r="K749">
        <f ca="1">IF($J749="Continues",DATEDIF($B749,TODAY(),"Y"),INDEX('Lopettaneet 2013-&gt;'!$L:$L,MATCH($D749,'Lopettaneet 2013-&gt;'!$D:$D,0)))</f>
        <v>7</v>
      </c>
      <c r="L749">
        <v>484</v>
      </c>
    </row>
    <row r="750" spans="1:12" x14ac:dyDescent="0.25">
      <c r="A750" t="s">
        <v>7</v>
      </c>
      <c r="B750" s="1">
        <v>42887</v>
      </c>
      <c r="C750" s="1">
        <v>55153</v>
      </c>
      <c r="D750" s="4" t="s">
        <v>1180</v>
      </c>
      <c r="E750" t="s">
        <v>10</v>
      </c>
      <c r="F750" t="s">
        <v>11</v>
      </c>
      <c r="G750" t="s">
        <v>2918</v>
      </c>
      <c r="H750" t="s">
        <v>2980</v>
      </c>
      <c r="I750" t="s">
        <v>2894</v>
      </c>
      <c r="J750" t="str">
        <f>IF(ISNUMBER(MATCH($D750,'Lopettaneet 2013-&gt;'!$D:$D,0)),INDEX('Lopettaneet 2013-&gt;'!$K:$K,MATCH($D750,'Lopettaneet 2013-&gt;'!$D:$D,0)),"Continues")</f>
        <v>Continues</v>
      </c>
      <c r="K750">
        <f ca="1">IF($J750="Continues",DATEDIF($B750,TODAY(),"Y"),INDEX('Lopettaneet 2013-&gt;'!$L:$L,MATCH($D750,'Lopettaneet 2013-&gt;'!$D:$D,0)))</f>
        <v>7</v>
      </c>
      <c r="L750">
        <v>485</v>
      </c>
    </row>
    <row r="751" spans="1:12" x14ac:dyDescent="0.25">
      <c r="A751" t="s">
        <v>7</v>
      </c>
      <c r="B751" s="1">
        <v>42887</v>
      </c>
      <c r="C751" s="1">
        <v>55153</v>
      </c>
      <c r="D751" s="4" t="s">
        <v>1182</v>
      </c>
      <c r="E751" t="s">
        <v>10</v>
      </c>
      <c r="F751" t="s">
        <v>11</v>
      </c>
      <c r="G751" t="s">
        <v>2918</v>
      </c>
      <c r="H751" t="s">
        <v>2980</v>
      </c>
      <c r="I751" t="s">
        <v>2894</v>
      </c>
      <c r="J751" t="str">
        <f>IF(ISNUMBER(MATCH($D751,'Lopettaneet 2013-&gt;'!$D:$D,0)),INDEX('Lopettaneet 2013-&gt;'!$K:$K,MATCH($D751,'Lopettaneet 2013-&gt;'!$D:$D,0)),"Continues")</f>
        <v>Continues</v>
      </c>
      <c r="K751">
        <f ca="1">IF($J751="Continues",DATEDIF($B751,TODAY(),"Y"),INDEX('Lopettaneet 2013-&gt;'!$L:$L,MATCH($D751,'Lopettaneet 2013-&gt;'!$D:$D,0)))</f>
        <v>7</v>
      </c>
      <c r="L751">
        <v>486</v>
      </c>
    </row>
    <row r="752" spans="1:12" x14ac:dyDescent="0.25">
      <c r="A752" t="s">
        <v>0</v>
      </c>
      <c r="B752" s="1">
        <v>42767</v>
      </c>
      <c r="C752" s="1">
        <v>55153</v>
      </c>
      <c r="D752" s="4" t="s">
        <v>1184</v>
      </c>
      <c r="E752" t="s">
        <v>10</v>
      </c>
      <c r="F752" t="s">
        <v>11</v>
      </c>
      <c r="G752" t="s">
        <v>2917</v>
      </c>
      <c r="H752" t="s">
        <v>2766</v>
      </c>
      <c r="I752" t="s">
        <v>2895</v>
      </c>
      <c r="J752" t="str">
        <f>IF(ISNUMBER(MATCH($D752,'Lopettaneet 2013-&gt;'!$D:$D,0)),INDEX('Lopettaneet 2013-&gt;'!$K:$K,MATCH($D752,'Lopettaneet 2013-&gt;'!$D:$D,0)),"Continues")</f>
        <v>Continues</v>
      </c>
      <c r="K752">
        <f ca="1">IF($J752="Continues",DATEDIF($B752,TODAY(),"Y"),INDEX('Lopettaneet 2013-&gt;'!$L:$L,MATCH($D752,'Lopettaneet 2013-&gt;'!$D:$D,0)))</f>
        <v>8</v>
      </c>
      <c r="L752">
        <v>487</v>
      </c>
    </row>
    <row r="753" spans="1:12" x14ac:dyDescent="0.25">
      <c r="A753" t="s">
        <v>7</v>
      </c>
      <c r="B753" s="1">
        <v>42795</v>
      </c>
      <c r="C753" s="1">
        <v>55153</v>
      </c>
      <c r="D753" s="4" t="s">
        <v>1186</v>
      </c>
      <c r="E753" t="s">
        <v>10</v>
      </c>
      <c r="F753" t="s">
        <v>11</v>
      </c>
      <c r="G753" t="s">
        <v>2912</v>
      </c>
      <c r="H753" t="s">
        <v>2766</v>
      </c>
      <c r="I753" t="s">
        <v>2895</v>
      </c>
      <c r="J753" t="str">
        <f>IF(ISNUMBER(MATCH($D753,'Lopettaneet 2013-&gt;'!$D:$D,0)),INDEX('Lopettaneet 2013-&gt;'!$K:$K,MATCH($D753,'Lopettaneet 2013-&gt;'!$D:$D,0)),"Continues")</f>
        <v>Continues</v>
      </c>
      <c r="K753">
        <f ca="1">IF($J753="Continues",DATEDIF($B753,TODAY(),"Y"),INDEX('Lopettaneet 2013-&gt;'!$L:$L,MATCH($D753,'Lopettaneet 2013-&gt;'!$D:$D,0)))</f>
        <v>8</v>
      </c>
      <c r="L753">
        <v>488</v>
      </c>
    </row>
    <row r="754" spans="1:12" x14ac:dyDescent="0.25">
      <c r="A754" t="s">
        <v>0</v>
      </c>
      <c r="B754" s="1">
        <v>43282</v>
      </c>
      <c r="C754" s="1">
        <v>55153</v>
      </c>
      <c r="D754" s="4" t="s">
        <v>1188</v>
      </c>
      <c r="E754" t="s">
        <v>10</v>
      </c>
      <c r="F754" t="s">
        <v>11</v>
      </c>
      <c r="G754" t="s">
        <v>2917</v>
      </c>
      <c r="H754" t="s">
        <v>2766</v>
      </c>
      <c r="I754" t="s">
        <v>2895</v>
      </c>
      <c r="J754" t="str">
        <f>IF(ISNUMBER(MATCH($D754,'Lopettaneet 2013-&gt;'!$D:$D,0)),INDEX('Lopettaneet 2013-&gt;'!$K:$K,MATCH($D754,'Lopettaneet 2013-&gt;'!$D:$D,0)),"Continues")</f>
        <v>Continues</v>
      </c>
      <c r="K754">
        <f ca="1">IF($J754="Continues",DATEDIF($B754,TODAY(),"Y"),INDEX('Lopettaneet 2013-&gt;'!$L:$L,MATCH($D754,'Lopettaneet 2013-&gt;'!$D:$D,0)))</f>
        <v>6</v>
      </c>
      <c r="L754">
        <v>489</v>
      </c>
    </row>
    <row r="755" spans="1:12" x14ac:dyDescent="0.25">
      <c r="A755" t="s">
        <v>7</v>
      </c>
      <c r="B755" s="1">
        <v>42795</v>
      </c>
      <c r="C755" s="1">
        <v>55153</v>
      </c>
      <c r="D755" s="4" t="s">
        <v>1190</v>
      </c>
      <c r="E755" t="s">
        <v>10</v>
      </c>
      <c r="F755" t="s">
        <v>11</v>
      </c>
      <c r="G755" t="s">
        <v>2914</v>
      </c>
      <c r="H755" t="s">
        <v>3013</v>
      </c>
      <c r="I755" t="s">
        <v>2895</v>
      </c>
      <c r="J755" t="str">
        <f>IF(ISNUMBER(MATCH($D755,'Lopettaneet 2013-&gt;'!$D:$D,0)),INDEX('Lopettaneet 2013-&gt;'!$K:$K,MATCH($D755,'Lopettaneet 2013-&gt;'!$D:$D,0)),"Continues")</f>
        <v>Continues</v>
      </c>
      <c r="K755">
        <f ca="1">IF($J755="Continues",DATEDIF($B755,TODAY(),"Y"),INDEX('Lopettaneet 2013-&gt;'!$L:$L,MATCH($D755,'Lopettaneet 2013-&gt;'!$D:$D,0)))</f>
        <v>8</v>
      </c>
      <c r="L755">
        <v>490</v>
      </c>
    </row>
    <row r="756" spans="1:12" x14ac:dyDescent="0.25">
      <c r="A756" t="s">
        <v>0</v>
      </c>
      <c r="B756" s="1">
        <v>42795</v>
      </c>
      <c r="C756" s="1">
        <v>55153</v>
      </c>
      <c r="D756" s="4" t="s">
        <v>1192</v>
      </c>
      <c r="E756" t="s">
        <v>10</v>
      </c>
      <c r="F756" t="s">
        <v>4</v>
      </c>
      <c r="G756" t="s">
        <v>2919</v>
      </c>
      <c r="H756" t="s">
        <v>2842</v>
      </c>
      <c r="I756" t="s">
        <v>2894</v>
      </c>
      <c r="J756" t="str">
        <f>IF(ISNUMBER(MATCH($D756,'Lopettaneet 2013-&gt;'!$D:$D,0)),INDEX('Lopettaneet 2013-&gt;'!$K:$K,MATCH($D756,'Lopettaneet 2013-&gt;'!$D:$D,0)),"Continues")</f>
        <v>Continues</v>
      </c>
      <c r="K756">
        <f ca="1">IF($J756="Continues",DATEDIF($B756,TODAY(),"Y"),INDEX('Lopettaneet 2013-&gt;'!$L:$L,MATCH($D756,'Lopettaneet 2013-&gt;'!$D:$D,0)))</f>
        <v>8</v>
      </c>
      <c r="L756">
        <v>491</v>
      </c>
    </row>
    <row r="757" spans="1:12" x14ac:dyDescent="0.25">
      <c r="A757" t="s">
        <v>0</v>
      </c>
      <c r="B757" s="1">
        <v>42795</v>
      </c>
      <c r="C757" s="1">
        <v>43404</v>
      </c>
      <c r="D757" s="4" t="s">
        <v>1194</v>
      </c>
      <c r="E757" t="s">
        <v>10</v>
      </c>
      <c r="F757" t="s">
        <v>4</v>
      </c>
      <c r="G757" t="s">
        <v>2919</v>
      </c>
      <c r="H757" t="s">
        <v>2842</v>
      </c>
      <c r="I757" t="s">
        <v>2909</v>
      </c>
      <c r="J757" t="str">
        <f>IF(ISNUMBER(MATCH($D757,'Lopettaneet 2013-&gt;'!$D:$D,0)),INDEX('Lopettaneet 2013-&gt;'!$K:$K,MATCH($D757,'Lopettaneet 2013-&gt;'!$D:$D,0)),"Continues")</f>
        <v>Closed</v>
      </c>
      <c r="K757">
        <f ca="1">IF($J757="Continues",DATEDIF($B757,TODAY(),"Y"),INDEX('Lopettaneet 2013-&gt;'!$L:$L,MATCH($D757,'Lopettaneet 2013-&gt;'!$D:$D,0)))</f>
        <v>1</v>
      </c>
      <c r="L757">
        <v>492</v>
      </c>
    </row>
    <row r="758" spans="1:12" x14ac:dyDescent="0.25">
      <c r="A758" t="s">
        <v>0</v>
      </c>
      <c r="B758" s="1">
        <v>42767</v>
      </c>
      <c r="C758" s="1">
        <v>43830</v>
      </c>
      <c r="D758" s="4" t="s">
        <v>1196</v>
      </c>
      <c r="E758" t="s">
        <v>10</v>
      </c>
      <c r="F758" t="s">
        <v>4</v>
      </c>
      <c r="G758" t="s">
        <v>2917</v>
      </c>
      <c r="H758" t="s">
        <v>2946</v>
      </c>
      <c r="I758" t="s">
        <v>2909</v>
      </c>
      <c r="J758" t="str">
        <f>IF(ISNUMBER(MATCH($D758,'Lopettaneet 2013-&gt;'!$D:$D,0)),INDEX('Lopettaneet 2013-&gt;'!$K:$K,MATCH($D758,'Lopettaneet 2013-&gt;'!$D:$D,0)),"Continues")</f>
        <v>Merged</v>
      </c>
      <c r="K758">
        <f ca="1">IF($J758="Continues",DATEDIF($B758,TODAY(),"Y"),INDEX('Lopettaneet 2013-&gt;'!$L:$L,MATCH($D758,'Lopettaneet 2013-&gt;'!$D:$D,0)))</f>
        <v>2</v>
      </c>
      <c r="L758">
        <v>493</v>
      </c>
    </row>
    <row r="759" spans="1:12" x14ac:dyDescent="0.25">
      <c r="A759" t="s">
        <v>7</v>
      </c>
      <c r="B759" s="1">
        <v>42887</v>
      </c>
      <c r="C759" s="1">
        <v>55153</v>
      </c>
      <c r="D759" s="4" t="s">
        <v>1198</v>
      </c>
      <c r="E759" t="s">
        <v>10</v>
      </c>
      <c r="F759" t="s">
        <v>11</v>
      </c>
      <c r="G759" t="s">
        <v>2914</v>
      </c>
      <c r="H759" t="s">
        <v>2980</v>
      </c>
      <c r="I759" t="s">
        <v>2894</v>
      </c>
      <c r="J759" t="str">
        <f>IF(ISNUMBER(MATCH($D759,'Lopettaneet 2013-&gt;'!$D:$D,0)),INDEX('Lopettaneet 2013-&gt;'!$K:$K,MATCH($D759,'Lopettaneet 2013-&gt;'!$D:$D,0)),"Continues")</f>
        <v>Continues</v>
      </c>
      <c r="K759">
        <f ca="1">IF($J759="Continues",DATEDIF($B759,TODAY(),"Y"),INDEX('Lopettaneet 2013-&gt;'!$L:$L,MATCH($D759,'Lopettaneet 2013-&gt;'!$D:$D,0)))</f>
        <v>7</v>
      </c>
      <c r="L759">
        <v>494</v>
      </c>
    </row>
    <row r="760" spans="1:12" x14ac:dyDescent="0.25">
      <c r="A760" t="s">
        <v>7</v>
      </c>
      <c r="B760" s="1">
        <v>42887</v>
      </c>
      <c r="C760" s="1">
        <v>55153</v>
      </c>
      <c r="D760" s="4" t="s">
        <v>1200</v>
      </c>
      <c r="E760" t="s">
        <v>10</v>
      </c>
      <c r="F760" t="s">
        <v>11</v>
      </c>
      <c r="G760" t="s">
        <v>2914</v>
      </c>
      <c r="H760" t="s">
        <v>2980</v>
      </c>
      <c r="I760" t="s">
        <v>2894</v>
      </c>
      <c r="J760" t="str">
        <f>IF(ISNUMBER(MATCH($D760,'Lopettaneet 2013-&gt;'!$D:$D,0)),INDEX('Lopettaneet 2013-&gt;'!$K:$K,MATCH($D760,'Lopettaneet 2013-&gt;'!$D:$D,0)),"Continues")</f>
        <v>Continues</v>
      </c>
      <c r="K760">
        <f ca="1">IF($J760="Continues",DATEDIF($B760,TODAY(),"Y"),INDEX('Lopettaneet 2013-&gt;'!$L:$L,MATCH($D760,'Lopettaneet 2013-&gt;'!$D:$D,0)))</f>
        <v>7</v>
      </c>
      <c r="L760">
        <v>495</v>
      </c>
    </row>
    <row r="761" spans="1:12" x14ac:dyDescent="0.25">
      <c r="A761" t="s">
        <v>7</v>
      </c>
      <c r="B761" s="1">
        <v>42887</v>
      </c>
      <c r="C761" s="1">
        <v>55153</v>
      </c>
      <c r="D761" s="4" t="s">
        <v>1202</v>
      </c>
      <c r="E761" t="s">
        <v>10</v>
      </c>
      <c r="F761" t="s">
        <v>11</v>
      </c>
      <c r="G761" t="s">
        <v>2914</v>
      </c>
      <c r="H761" t="s">
        <v>2980</v>
      </c>
      <c r="I761" t="s">
        <v>2894</v>
      </c>
      <c r="J761" t="str">
        <f>IF(ISNUMBER(MATCH($D761,'Lopettaneet 2013-&gt;'!$D:$D,0)),INDEX('Lopettaneet 2013-&gt;'!$K:$K,MATCH($D761,'Lopettaneet 2013-&gt;'!$D:$D,0)),"Continues")</f>
        <v>Continues</v>
      </c>
      <c r="K761">
        <f ca="1">IF($J761="Continues",DATEDIF($B761,TODAY(),"Y"),INDEX('Lopettaneet 2013-&gt;'!$L:$L,MATCH($D761,'Lopettaneet 2013-&gt;'!$D:$D,0)))</f>
        <v>7</v>
      </c>
      <c r="L761">
        <v>496</v>
      </c>
    </row>
    <row r="762" spans="1:12" x14ac:dyDescent="0.25">
      <c r="A762" t="s">
        <v>7</v>
      </c>
      <c r="B762" s="1">
        <v>42887</v>
      </c>
      <c r="C762" s="1">
        <v>55153</v>
      </c>
      <c r="D762" s="4" t="s">
        <v>1204</v>
      </c>
      <c r="E762" t="s">
        <v>10</v>
      </c>
      <c r="F762" t="s">
        <v>11</v>
      </c>
      <c r="G762" t="s">
        <v>2914</v>
      </c>
      <c r="H762" t="s">
        <v>2980</v>
      </c>
      <c r="I762" t="s">
        <v>2894</v>
      </c>
      <c r="J762" t="str">
        <f>IF(ISNUMBER(MATCH($D762,'Lopettaneet 2013-&gt;'!$D:$D,0)),INDEX('Lopettaneet 2013-&gt;'!$K:$K,MATCH($D762,'Lopettaneet 2013-&gt;'!$D:$D,0)),"Continues")</f>
        <v>Continues</v>
      </c>
      <c r="K762">
        <f ca="1">IF($J762="Continues",DATEDIF($B762,TODAY(),"Y"),INDEX('Lopettaneet 2013-&gt;'!$L:$L,MATCH($D762,'Lopettaneet 2013-&gt;'!$D:$D,0)))</f>
        <v>7</v>
      </c>
      <c r="L762">
        <v>497</v>
      </c>
    </row>
    <row r="763" spans="1:12" x14ac:dyDescent="0.25">
      <c r="A763" t="s">
        <v>7</v>
      </c>
      <c r="B763" s="1">
        <v>42887</v>
      </c>
      <c r="C763" s="1">
        <v>55153</v>
      </c>
      <c r="D763" s="4" t="s">
        <v>1206</v>
      </c>
      <c r="E763" t="s">
        <v>10</v>
      </c>
      <c r="F763" t="s">
        <v>11</v>
      </c>
      <c r="G763" t="s">
        <v>2916</v>
      </c>
      <c r="H763" t="s">
        <v>3015</v>
      </c>
      <c r="I763" t="s">
        <v>2895</v>
      </c>
      <c r="J763" t="str">
        <f>IF(ISNUMBER(MATCH($D763,'Lopettaneet 2013-&gt;'!$D:$D,0)),INDEX('Lopettaneet 2013-&gt;'!$K:$K,MATCH($D763,'Lopettaneet 2013-&gt;'!$D:$D,0)),"Continues")</f>
        <v>Continues</v>
      </c>
      <c r="K763">
        <f ca="1">IF($J763="Continues",DATEDIF($B763,TODAY(),"Y"),INDEX('Lopettaneet 2013-&gt;'!$L:$L,MATCH($D763,'Lopettaneet 2013-&gt;'!$D:$D,0)))</f>
        <v>7</v>
      </c>
      <c r="L763">
        <v>498</v>
      </c>
    </row>
    <row r="764" spans="1:12" x14ac:dyDescent="0.25">
      <c r="A764" t="s">
        <v>7</v>
      </c>
      <c r="B764" s="1">
        <v>42736</v>
      </c>
      <c r="C764" s="1">
        <v>55153</v>
      </c>
      <c r="D764" s="4" t="s">
        <v>1208</v>
      </c>
      <c r="E764" t="s">
        <v>10</v>
      </c>
      <c r="F764" t="s">
        <v>11</v>
      </c>
      <c r="G764" t="s">
        <v>2914</v>
      </c>
      <c r="H764" t="s">
        <v>3013</v>
      </c>
      <c r="I764" t="s">
        <v>2895</v>
      </c>
      <c r="J764" t="str">
        <f>IF(ISNUMBER(MATCH($D764,'Lopettaneet 2013-&gt;'!$D:$D,0)),INDEX('Lopettaneet 2013-&gt;'!$K:$K,MATCH($D764,'Lopettaneet 2013-&gt;'!$D:$D,0)),"Continues")</f>
        <v>Continues</v>
      </c>
      <c r="K764">
        <f ca="1">IF($J764="Continues",DATEDIF($B764,TODAY(),"Y"),INDEX('Lopettaneet 2013-&gt;'!$L:$L,MATCH($D764,'Lopettaneet 2013-&gt;'!$D:$D,0)))</f>
        <v>8</v>
      </c>
      <c r="L764">
        <v>499</v>
      </c>
    </row>
    <row r="765" spans="1:12" x14ac:dyDescent="0.25">
      <c r="A765" t="s">
        <v>7</v>
      </c>
      <c r="B765" s="1">
        <v>42795</v>
      </c>
      <c r="C765" s="1">
        <v>44926</v>
      </c>
      <c r="D765" s="4" t="s">
        <v>1210</v>
      </c>
      <c r="E765" t="s">
        <v>10</v>
      </c>
      <c r="F765" t="s">
        <v>11</v>
      </c>
      <c r="G765" t="s">
        <v>2914</v>
      </c>
      <c r="H765" t="s">
        <v>2909</v>
      </c>
      <c r="I765" t="s">
        <v>2909</v>
      </c>
      <c r="J765" t="str">
        <f>IF(ISNUMBER(MATCH($D765,'Lopettaneet 2013-&gt;'!$D:$D,0)),INDEX('Lopettaneet 2013-&gt;'!$K:$K,MATCH($D765,'Lopettaneet 2013-&gt;'!$D:$D,0)),"Continues")</f>
        <v>Closed</v>
      </c>
      <c r="K765">
        <f ca="1">IF($J765="Continues",DATEDIF($B765,TODAY(),"Y"),INDEX('Lopettaneet 2013-&gt;'!$L:$L,MATCH($D765,'Lopettaneet 2013-&gt;'!$D:$D,0)))</f>
        <v>5</v>
      </c>
      <c r="L765">
        <v>500</v>
      </c>
    </row>
    <row r="766" spans="1:12" x14ac:dyDescent="0.25">
      <c r="A766" t="s">
        <v>0</v>
      </c>
      <c r="B766" s="1">
        <v>42795</v>
      </c>
      <c r="C766" s="1">
        <v>55153</v>
      </c>
      <c r="D766" s="4" t="s">
        <v>1212</v>
      </c>
      <c r="E766" t="s">
        <v>3</v>
      </c>
      <c r="F766" t="s">
        <v>4</v>
      </c>
      <c r="G766" t="s">
        <v>2917</v>
      </c>
      <c r="H766" t="s">
        <v>2994</v>
      </c>
      <c r="I766" t="s">
        <v>2894</v>
      </c>
      <c r="J766" t="str">
        <f>IF(ISNUMBER(MATCH($D766,'Lopettaneet 2013-&gt;'!$D:$D,0)),INDEX('Lopettaneet 2013-&gt;'!$K:$K,MATCH($D766,'Lopettaneet 2013-&gt;'!$D:$D,0)),"Continues")</f>
        <v>Continues</v>
      </c>
      <c r="K766">
        <f ca="1">IF($J766="Continues",DATEDIF($B766,TODAY(),"Y"),INDEX('Lopettaneet 2013-&gt;'!$L:$L,MATCH($D766,'Lopettaneet 2013-&gt;'!$D:$D,0)))</f>
        <v>8</v>
      </c>
      <c r="L766">
        <v>501</v>
      </c>
    </row>
    <row r="767" spans="1:12" x14ac:dyDescent="0.25">
      <c r="A767" t="s">
        <v>7</v>
      </c>
      <c r="B767" s="1">
        <v>42795</v>
      </c>
      <c r="C767" s="1">
        <v>55153</v>
      </c>
      <c r="D767" s="4" t="s">
        <v>1214</v>
      </c>
      <c r="E767" t="s">
        <v>10</v>
      </c>
      <c r="F767" t="s">
        <v>11</v>
      </c>
      <c r="G767" t="s">
        <v>2912</v>
      </c>
      <c r="H767" t="s">
        <v>2972</v>
      </c>
      <c r="I767" t="s">
        <v>2895</v>
      </c>
      <c r="J767" t="str">
        <f>IF(ISNUMBER(MATCH($D767,'Lopettaneet 2013-&gt;'!$D:$D,0)),INDEX('Lopettaneet 2013-&gt;'!$K:$K,MATCH($D767,'Lopettaneet 2013-&gt;'!$D:$D,0)),"Continues")</f>
        <v>Continues</v>
      </c>
      <c r="K767">
        <f ca="1">IF($J767="Continues",DATEDIF($B767,TODAY(),"Y"),INDEX('Lopettaneet 2013-&gt;'!$L:$L,MATCH($D767,'Lopettaneet 2013-&gt;'!$D:$D,0)))</f>
        <v>8</v>
      </c>
      <c r="L767">
        <v>502</v>
      </c>
    </row>
    <row r="768" spans="1:12" x14ac:dyDescent="0.25">
      <c r="A768" t="s">
        <v>0</v>
      </c>
      <c r="B768" s="1">
        <v>42948</v>
      </c>
      <c r="C768" s="1">
        <v>55153</v>
      </c>
      <c r="D768" s="4" t="s">
        <v>1216</v>
      </c>
      <c r="E768" t="s">
        <v>10</v>
      </c>
      <c r="F768" t="s">
        <v>11</v>
      </c>
      <c r="G768" t="s">
        <v>2918</v>
      </c>
      <c r="H768" t="s">
        <v>2766</v>
      </c>
      <c r="I768" t="s">
        <v>2895</v>
      </c>
      <c r="J768" t="str">
        <f>IF(ISNUMBER(MATCH($D768,'Lopettaneet 2013-&gt;'!$D:$D,0)),INDEX('Lopettaneet 2013-&gt;'!$K:$K,MATCH($D768,'Lopettaneet 2013-&gt;'!$D:$D,0)),"Continues")</f>
        <v>Continues</v>
      </c>
      <c r="K768">
        <f ca="1">IF($J768="Continues",DATEDIF($B768,TODAY(),"Y"),INDEX('Lopettaneet 2013-&gt;'!$L:$L,MATCH($D768,'Lopettaneet 2013-&gt;'!$D:$D,0)))</f>
        <v>7</v>
      </c>
      <c r="L768">
        <v>503</v>
      </c>
    </row>
    <row r="769" spans="1:12" x14ac:dyDescent="0.25">
      <c r="A769" t="s">
        <v>7</v>
      </c>
      <c r="B769" s="1">
        <v>42887</v>
      </c>
      <c r="C769" s="1">
        <v>55153</v>
      </c>
      <c r="D769" s="4" t="s">
        <v>1218</v>
      </c>
      <c r="E769" t="s">
        <v>10</v>
      </c>
      <c r="F769" t="s">
        <v>11</v>
      </c>
      <c r="G769" t="s">
        <v>2914</v>
      </c>
      <c r="H769" t="s">
        <v>2976</v>
      </c>
      <c r="I769" t="s">
        <v>2895</v>
      </c>
      <c r="J769" t="str">
        <f>IF(ISNUMBER(MATCH($D769,'Lopettaneet 2013-&gt;'!$D:$D,0)),INDEX('Lopettaneet 2013-&gt;'!$K:$K,MATCH($D769,'Lopettaneet 2013-&gt;'!$D:$D,0)),"Continues")</f>
        <v>Continues</v>
      </c>
      <c r="K769">
        <f ca="1">IF($J769="Continues",DATEDIF($B769,TODAY(),"Y"),INDEX('Lopettaneet 2013-&gt;'!$L:$L,MATCH($D769,'Lopettaneet 2013-&gt;'!$D:$D,0)))</f>
        <v>7</v>
      </c>
      <c r="L769">
        <v>504</v>
      </c>
    </row>
    <row r="770" spans="1:12" x14ac:dyDescent="0.25">
      <c r="A770" t="s">
        <v>7</v>
      </c>
      <c r="B770" s="1">
        <v>42887</v>
      </c>
      <c r="C770" s="1">
        <v>55153</v>
      </c>
      <c r="D770" s="4" t="s">
        <v>1220</v>
      </c>
      <c r="E770" t="s">
        <v>10</v>
      </c>
      <c r="F770" t="s">
        <v>11</v>
      </c>
      <c r="G770" t="s">
        <v>2918</v>
      </c>
      <c r="H770" t="s">
        <v>2980</v>
      </c>
      <c r="I770" t="s">
        <v>2894</v>
      </c>
      <c r="J770" t="str">
        <f>IF(ISNUMBER(MATCH($D770,'Lopettaneet 2013-&gt;'!$D:$D,0)),INDEX('Lopettaneet 2013-&gt;'!$K:$K,MATCH($D770,'Lopettaneet 2013-&gt;'!$D:$D,0)),"Continues")</f>
        <v>Continues</v>
      </c>
      <c r="K770">
        <f ca="1">IF($J770="Continues",DATEDIF($B770,TODAY(),"Y"),INDEX('Lopettaneet 2013-&gt;'!$L:$L,MATCH($D770,'Lopettaneet 2013-&gt;'!$D:$D,0)))</f>
        <v>7</v>
      </c>
      <c r="L770">
        <v>505</v>
      </c>
    </row>
    <row r="771" spans="1:12" x14ac:dyDescent="0.25">
      <c r="A771" t="s">
        <v>7</v>
      </c>
      <c r="B771" s="1">
        <v>42795</v>
      </c>
      <c r="C771" s="1">
        <v>55153</v>
      </c>
      <c r="D771" s="4" t="s">
        <v>1222</v>
      </c>
      <c r="E771" t="s">
        <v>10</v>
      </c>
      <c r="F771" t="s">
        <v>11</v>
      </c>
      <c r="G771" t="s">
        <v>2912</v>
      </c>
      <c r="H771" t="s">
        <v>2972</v>
      </c>
      <c r="I771" t="s">
        <v>2895</v>
      </c>
      <c r="J771" t="str">
        <f>IF(ISNUMBER(MATCH($D771,'Lopettaneet 2013-&gt;'!$D:$D,0)),INDEX('Lopettaneet 2013-&gt;'!$K:$K,MATCH($D771,'Lopettaneet 2013-&gt;'!$D:$D,0)),"Continues")</f>
        <v>Continues</v>
      </c>
      <c r="K771">
        <f ca="1">IF($J771="Continues",DATEDIF($B771,TODAY(),"Y"),INDEX('Lopettaneet 2013-&gt;'!$L:$L,MATCH($D771,'Lopettaneet 2013-&gt;'!$D:$D,0)))</f>
        <v>8</v>
      </c>
      <c r="L771">
        <v>506</v>
      </c>
    </row>
    <row r="772" spans="1:12" x14ac:dyDescent="0.25">
      <c r="A772" t="s">
        <v>7</v>
      </c>
      <c r="B772" s="1">
        <v>42795</v>
      </c>
      <c r="C772" s="1">
        <v>55153</v>
      </c>
      <c r="D772" s="4" t="s">
        <v>1224</v>
      </c>
      <c r="E772" t="s">
        <v>10</v>
      </c>
      <c r="F772" t="s">
        <v>11</v>
      </c>
      <c r="G772" t="s">
        <v>2914</v>
      </c>
      <c r="H772" t="s">
        <v>3010</v>
      </c>
      <c r="I772" t="s">
        <v>2895</v>
      </c>
      <c r="J772" t="str">
        <f>IF(ISNUMBER(MATCH($D772,'Lopettaneet 2013-&gt;'!$D:$D,0)),INDEX('Lopettaneet 2013-&gt;'!$K:$K,MATCH($D772,'Lopettaneet 2013-&gt;'!$D:$D,0)),"Continues")</f>
        <v>Continues</v>
      </c>
      <c r="K772">
        <f ca="1">IF($J772="Continues",DATEDIF($B772,TODAY(),"Y"),INDEX('Lopettaneet 2013-&gt;'!$L:$L,MATCH($D772,'Lopettaneet 2013-&gt;'!$D:$D,0)))</f>
        <v>8</v>
      </c>
      <c r="L772">
        <v>507</v>
      </c>
    </row>
    <row r="773" spans="1:12" x14ac:dyDescent="0.25">
      <c r="A773" t="s">
        <v>0</v>
      </c>
      <c r="B773" s="1">
        <v>42795</v>
      </c>
      <c r="C773" s="1">
        <v>43434</v>
      </c>
      <c r="D773" s="4" t="s">
        <v>1226</v>
      </c>
      <c r="E773" t="s">
        <v>3</v>
      </c>
      <c r="F773" t="s">
        <v>4</v>
      </c>
      <c r="G773" t="s">
        <v>2913</v>
      </c>
      <c r="H773" t="s">
        <v>2948</v>
      </c>
      <c r="I773" t="s">
        <v>2909</v>
      </c>
      <c r="J773" t="str">
        <f>IF(ISNUMBER(MATCH($D773,'Lopettaneet 2013-&gt;'!$D:$D,0)),INDEX('Lopettaneet 2013-&gt;'!$K:$K,MATCH($D773,'Lopettaneet 2013-&gt;'!$D:$D,0)),"Continues")</f>
        <v>Merged</v>
      </c>
      <c r="K773">
        <f ca="1">IF($J773="Continues",DATEDIF($B773,TODAY(),"Y"),INDEX('Lopettaneet 2013-&gt;'!$L:$L,MATCH($D773,'Lopettaneet 2013-&gt;'!$D:$D,0)))</f>
        <v>1</v>
      </c>
      <c r="L773">
        <v>508</v>
      </c>
    </row>
    <row r="774" spans="1:12" x14ac:dyDescent="0.25">
      <c r="A774" t="s">
        <v>0</v>
      </c>
      <c r="B774" s="1">
        <v>42795</v>
      </c>
      <c r="C774" s="1">
        <v>43830</v>
      </c>
      <c r="D774" s="4" t="s">
        <v>1228</v>
      </c>
      <c r="E774" t="s">
        <v>10</v>
      </c>
      <c r="F774" t="s">
        <v>4</v>
      </c>
      <c r="G774" t="s">
        <v>2914</v>
      </c>
      <c r="H774" t="s">
        <v>2956</v>
      </c>
      <c r="I774" t="s">
        <v>2909</v>
      </c>
      <c r="J774" t="str">
        <f>IF(ISNUMBER(MATCH($D774,'Lopettaneet 2013-&gt;'!$D:$D,0)),INDEX('Lopettaneet 2013-&gt;'!$K:$K,MATCH($D774,'Lopettaneet 2013-&gt;'!$D:$D,0)),"Continues")</f>
        <v>Merged</v>
      </c>
      <c r="K774">
        <f ca="1">IF($J774="Continues",DATEDIF($B774,TODAY(),"Y"),INDEX('Lopettaneet 2013-&gt;'!$L:$L,MATCH($D774,'Lopettaneet 2013-&gt;'!$D:$D,0)))</f>
        <v>2</v>
      </c>
      <c r="L774">
        <v>509</v>
      </c>
    </row>
    <row r="775" spans="1:12" x14ac:dyDescent="0.25">
      <c r="A775" t="s">
        <v>7</v>
      </c>
      <c r="B775" s="1">
        <v>43070</v>
      </c>
      <c r="C775" s="1">
        <v>55153</v>
      </c>
      <c r="D775" s="4" t="s">
        <v>1230</v>
      </c>
      <c r="E775" t="s">
        <v>10</v>
      </c>
      <c r="F775" t="s">
        <v>11</v>
      </c>
      <c r="G775" t="s">
        <v>2916</v>
      </c>
      <c r="H775" t="s">
        <v>3014</v>
      </c>
      <c r="I775" t="s">
        <v>2895</v>
      </c>
      <c r="J775" t="str">
        <f>IF(ISNUMBER(MATCH($D775,'Lopettaneet 2013-&gt;'!$D:$D,0)),INDEX('Lopettaneet 2013-&gt;'!$K:$K,MATCH($D775,'Lopettaneet 2013-&gt;'!$D:$D,0)),"Continues")</f>
        <v>Continues</v>
      </c>
      <c r="K775">
        <f ca="1">IF($J775="Continues",DATEDIF($B775,TODAY(),"Y"),INDEX('Lopettaneet 2013-&gt;'!$L:$L,MATCH($D775,'Lopettaneet 2013-&gt;'!$D:$D,0)))</f>
        <v>7</v>
      </c>
      <c r="L775">
        <v>510</v>
      </c>
    </row>
    <row r="776" spans="1:12" x14ac:dyDescent="0.25">
      <c r="A776" t="s">
        <v>0</v>
      </c>
      <c r="B776" s="1">
        <v>42826</v>
      </c>
      <c r="C776" s="1">
        <v>55153</v>
      </c>
      <c r="D776" s="4" t="s">
        <v>3199</v>
      </c>
      <c r="E776" t="s">
        <v>10</v>
      </c>
      <c r="F776" t="s">
        <v>4</v>
      </c>
      <c r="G776" t="s">
        <v>2913</v>
      </c>
      <c r="H776" t="s">
        <v>2777</v>
      </c>
      <c r="I776" t="s">
        <v>2895</v>
      </c>
      <c r="J776" t="str">
        <f>IF(ISNUMBER(MATCH($D776,'Lopettaneet 2013-&gt;'!$D:$D,0)),INDEX('Lopettaneet 2013-&gt;'!$K:$K,MATCH($D776,'Lopettaneet 2013-&gt;'!$D:$D,0)),"Continues")</f>
        <v>Continues</v>
      </c>
      <c r="K776">
        <f ca="1">IF($J776="Continues",DATEDIF($B776,TODAY(),"Y"),INDEX('Lopettaneet 2013-&gt;'!$L:$L,MATCH($D776,'Lopettaneet 2013-&gt;'!$D:$D,0)))</f>
        <v>8</v>
      </c>
      <c r="L776">
        <v>511</v>
      </c>
    </row>
    <row r="777" spans="1:12" x14ac:dyDescent="0.25">
      <c r="A777" t="s">
        <v>0</v>
      </c>
      <c r="B777" s="1">
        <v>42887</v>
      </c>
      <c r="C777" s="1">
        <v>55153</v>
      </c>
      <c r="D777" s="4" t="s">
        <v>1234</v>
      </c>
      <c r="E777" t="s">
        <v>10</v>
      </c>
      <c r="F777" t="s">
        <v>4</v>
      </c>
      <c r="G777" t="s">
        <v>2917</v>
      </c>
      <c r="H777" t="s">
        <v>2766</v>
      </c>
      <c r="I777" t="s">
        <v>2894</v>
      </c>
      <c r="J777" t="str">
        <f>IF(ISNUMBER(MATCH($D777,'Lopettaneet 2013-&gt;'!$D:$D,0)),INDEX('Lopettaneet 2013-&gt;'!$K:$K,MATCH($D777,'Lopettaneet 2013-&gt;'!$D:$D,0)),"Continues")</f>
        <v>Continues</v>
      </c>
      <c r="K777">
        <f ca="1">IF($J777="Continues",DATEDIF($B777,TODAY(),"Y"),INDEX('Lopettaneet 2013-&gt;'!$L:$L,MATCH($D777,'Lopettaneet 2013-&gt;'!$D:$D,0)))</f>
        <v>7</v>
      </c>
      <c r="L777">
        <v>512</v>
      </c>
    </row>
    <row r="778" spans="1:12" x14ac:dyDescent="0.25">
      <c r="A778" t="s">
        <v>7</v>
      </c>
      <c r="B778" s="1">
        <v>42795</v>
      </c>
      <c r="C778" s="1">
        <v>55153</v>
      </c>
      <c r="D778" s="4" t="s">
        <v>1236</v>
      </c>
      <c r="E778" t="s">
        <v>10</v>
      </c>
      <c r="F778" t="s">
        <v>11</v>
      </c>
      <c r="G778" t="s">
        <v>2912</v>
      </c>
      <c r="H778" t="s">
        <v>2993</v>
      </c>
      <c r="I778" t="s">
        <v>2895</v>
      </c>
      <c r="J778" t="str">
        <f>IF(ISNUMBER(MATCH($D778,'Lopettaneet 2013-&gt;'!$D:$D,0)),INDEX('Lopettaneet 2013-&gt;'!$K:$K,MATCH($D778,'Lopettaneet 2013-&gt;'!$D:$D,0)),"Continues")</f>
        <v>Continues</v>
      </c>
      <c r="K778">
        <f ca="1">IF($J778="Continues",DATEDIF($B778,TODAY(),"Y"),INDEX('Lopettaneet 2013-&gt;'!$L:$L,MATCH($D778,'Lopettaneet 2013-&gt;'!$D:$D,0)))</f>
        <v>8</v>
      </c>
      <c r="L778">
        <v>513</v>
      </c>
    </row>
    <row r="779" spans="1:12" x14ac:dyDescent="0.25">
      <c r="A779" t="s">
        <v>7</v>
      </c>
      <c r="B779" s="1">
        <v>42795</v>
      </c>
      <c r="C779" s="1">
        <v>55153</v>
      </c>
      <c r="D779" s="4" t="s">
        <v>1238</v>
      </c>
      <c r="E779" t="s">
        <v>10</v>
      </c>
      <c r="F779" t="s">
        <v>11</v>
      </c>
      <c r="G779" t="s">
        <v>2914</v>
      </c>
      <c r="H779" t="s">
        <v>2966</v>
      </c>
      <c r="I779" t="s">
        <v>2894</v>
      </c>
      <c r="J779" t="str">
        <f>IF(ISNUMBER(MATCH($D779,'Lopettaneet 2013-&gt;'!$D:$D,0)),INDEX('Lopettaneet 2013-&gt;'!$K:$K,MATCH($D779,'Lopettaneet 2013-&gt;'!$D:$D,0)),"Continues")</f>
        <v>Continues</v>
      </c>
      <c r="K779">
        <f ca="1">IF($J779="Continues",DATEDIF($B779,TODAY(),"Y"),INDEX('Lopettaneet 2013-&gt;'!$L:$L,MATCH($D779,'Lopettaneet 2013-&gt;'!$D:$D,0)))</f>
        <v>8</v>
      </c>
      <c r="L779">
        <v>514</v>
      </c>
    </row>
    <row r="780" spans="1:12" x14ac:dyDescent="0.25">
      <c r="A780" t="s">
        <v>7</v>
      </c>
      <c r="B780" s="1">
        <v>42887</v>
      </c>
      <c r="C780" s="1">
        <v>55153</v>
      </c>
      <c r="D780" s="4" t="s">
        <v>1240</v>
      </c>
      <c r="E780" t="s">
        <v>10</v>
      </c>
      <c r="F780" t="s">
        <v>11</v>
      </c>
      <c r="G780" t="s">
        <v>2916</v>
      </c>
      <c r="H780" t="s">
        <v>3015</v>
      </c>
      <c r="I780" t="s">
        <v>2895</v>
      </c>
      <c r="J780" t="str">
        <f>IF(ISNUMBER(MATCH($D780,'Lopettaneet 2013-&gt;'!$D:$D,0)),INDEX('Lopettaneet 2013-&gt;'!$K:$K,MATCH($D780,'Lopettaneet 2013-&gt;'!$D:$D,0)),"Continues")</f>
        <v>Continues</v>
      </c>
      <c r="K780">
        <f ca="1">IF($J780="Continues",DATEDIF($B780,TODAY(),"Y"),INDEX('Lopettaneet 2013-&gt;'!$L:$L,MATCH($D780,'Lopettaneet 2013-&gt;'!$D:$D,0)))</f>
        <v>7</v>
      </c>
      <c r="L780">
        <v>515</v>
      </c>
    </row>
    <row r="781" spans="1:12" x14ac:dyDescent="0.25">
      <c r="A781" t="s">
        <v>7</v>
      </c>
      <c r="B781" s="1">
        <v>42979</v>
      </c>
      <c r="C781" s="1">
        <v>55153</v>
      </c>
      <c r="D781" s="4" t="s">
        <v>1242</v>
      </c>
      <c r="E781" t="s">
        <v>10</v>
      </c>
      <c r="F781" t="s">
        <v>11</v>
      </c>
      <c r="G781" t="s">
        <v>2912</v>
      </c>
      <c r="H781" t="s">
        <v>2766</v>
      </c>
      <c r="I781" t="s">
        <v>2895</v>
      </c>
      <c r="J781" t="str">
        <f>IF(ISNUMBER(MATCH($D781,'Lopettaneet 2013-&gt;'!$D:$D,0)),INDEX('Lopettaneet 2013-&gt;'!$K:$K,MATCH($D781,'Lopettaneet 2013-&gt;'!$D:$D,0)),"Continues")</f>
        <v>Continues</v>
      </c>
      <c r="K781">
        <f ca="1">IF($J781="Continues",DATEDIF($B781,TODAY(),"Y"),INDEX('Lopettaneet 2013-&gt;'!$L:$L,MATCH($D781,'Lopettaneet 2013-&gt;'!$D:$D,0)))</f>
        <v>7</v>
      </c>
      <c r="L781">
        <v>516</v>
      </c>
    </row>
    <row r="782" spans="1:12" x14ac:dyDescent="0.25">
      <c r="A782" t="s">
        <v>0</v>
      </c>
      <c r="B782" s="1">
        <v>42887</v>
      </c>
      <c r="C782" s="1">
        <v>43465</v>
      </c>
      <c r="D782" s="4" t="s">
        <v>1244</v>
      </c>
      <c r="E782" t="s">
        <v>3</v>
      </c>
      <c r="F782" t="s">
        <v>4</v>
      </c>
      <c r="G782" t="s">
        <v>2917</v>
      </c>
      <c r="H782" t="s">
        <v>2948</v>
      </c>
      <c r="I782" t="s">
        <v>2909</v>
      </c>
      <c r="J782" t="str">
        <f>IF(ISNUMBER(MATCH($D782,'Lopettaneet 2013-&gt;'!$D:$D,0)),INDEX('Lopettaneet 2013-&gt;'!$K:$K,MATCH($D782,'Lopettaneet 2013-&gt;'!$D:$D,0)),"Continues")</f>
        <v>Merged</v>
      </c>
      <c r="K782">
        <f ca="1">IF($J782="Continues",DATEDIF($B782,TODAY(),"Y"),INDEX('Lopettaneet 2013-&gt;'!$L:$L,MATCH($D782,'Lopettaneet 2013-&gt;'!$D:$D,0)))</f>
        <v>1</v>
      </c>
      <c r="L782">
        <v>517</v>
      </c>
    </row>
    <row r="783" spans="1:12" x14ac:dyDescent="0.25">
      <c r="A783" t="s">
        <v>0</v>
      </c>
      <c r="B783" s="1">
        <v>42887</v>
      </c>
      <c r="C783" s="1">
        <v>55153</v>
      </c>
      <c r="D783" s="4" t="s">
        <v>1246</v>
      </c>
      <c r="E783" t="s">
        <v>3</v>
      </c>
      <c r="F783" t="s">
        <v>4</v>
      </c>
      <c r="G783" t="s">
        <v>2917</v>
      </c>
      <c r="H783" t="s">
        <v>2952</v>
      </c>
      <c r="I783" t="s">
        <v>2894</v>
      </c>
      <c r="J783" t="str">
        <f>IF(ISNUMBER(MATCH($D783,'Lopettaneet 2013-&gt;'!$D:$D,0)),INDEX('Lopettaneet 2013-&gt;'!$K:$K,MATCH($D783,'Lopettaneet 2013-&gt;'!$D:$D,0)),"Continues")</f>
        <v>Continues</v>
      </c>
      <c r="K783">
        <f ca="1">IF($J783="Continues",DATEDIF($B783,TODAY(),"Y"),INDEX('Lopettaneet 2013-&gt;'!$L:$L,MATCH($D783,'Lopettaneet 2013-&gt;'!$D:$D,0)))</f>
        <v>7</v>
      </c>
      <c r="L783">
        <v>518</v>
      </c>
    </row>
    <row r="784" spans="1:12" x14ac:dyDescent="0.25">
      <c r="A784" t="s">
        <v>0</v>
      </c>
      <c r="B784" s="1">
        <v>42887</v>
      </c>
      <c r="C784" s="1">
        <v>55153</v>
      </c>
      <c r="D784" s="4" t="s">
        <v>1248</v>
      </c>
      <c r="E784" t="s">
        <v>3</v>
      </c>
      <c r="F784" t="s">
        <v>4</v>
      </c>
      <c r="G784" t="s">
        <v>2917</v>
      </c>
      <c r="H784" t="s">
        <v>2952</v>
      </c>
      <c r="I784" t="s">
        <v>2894</v>
      </c>
      <c r="J784" t="str">
        <f>IF(ISNUMBER(MATCH($D784,'Lopettaneet 2013-&gt;'!$D:$D,0)),INDEX('Lopettaneet 2013-&gt;'!$K:$K,MATCH($D784,'Lopettaneet 2013-&gt;'!$D:$D,0)),"Continues")</f>
        <v>Continues</v>
      </c>
      <c r="K784">
        <f ca="1">IF($J784="Continues",DATEDIF($B784,TODAY(),"Y"),INDEX('Lopettaneet 2013-&gt;'!$L:$L,MATCH($D784,'Lopettaneet 2013-&gt;'!$D:$D,0)))</f>
        <v>7</v>
      </c>
      <c r="L784">
        <v>519</v>
      </c>
    </row>
    <row r="785" spans="1:12" x14ac:dyDescent="0.25">
      <c r="A785" t="s">
        <v>0</v>
      </c>
      <c r="B785" s="1">
        <v>43221</v>
      </c>
      <c r="C785" s="1">
        <v>44377</v>
      </c>
      <c r="D785" s="4" t="s">
        <v>1250</v>
      </c>
      <c r="E785" t="s">
        <v>3</v>
      </c>
      <c r="F785" t="s">
        <v>4</v>
      </c>
      <c r="G785" t="s">
        <v>2917</v>
      </c>
      <c r="H785" t="s">
        <v>2956</v>
      </c>
      <c r="I785" t="s">
        <v>2909</v>
      </c>
      <c r="J785" t="str">
        <f>IF(ISNUMBER(MATCH($D785,'Lopettaneet 2013-&gt;'!$D:$D,0)),INDEX('Lopettaneet 2013-&gt;'!$K:$K,MATCH($D785,'Lopettaneet 2013-&gt;'!$D:$D,0)),"Continues")</f>
        <v>Merged</v>
      </c>
      <c r="K785">
        <f ca="1">IF($J785="Continues",DATEDIF($B785,TODAY(),"Y"),INDEX('Lopettaneet 2013-&gt;'!$L:$L,MATCH($D785,'Lopettaneet 2013-&gt;'!$D:$D,0)))</f>
        <v>3</v>
      </c>
      <c r="L785">
        <v>520</v>
      </c>
    </row>
    <row r="786" spans="1:12" x14ac:dyDescent="0.25">
      <c r="A786" t="s">
        <v>0</v>
      </c>
      <c r="B786" s="1">
        <v>42979</v>
      </c>
      <c r="C786" s="1">
        <v>55153</v>
      </c>
      <c r="D786" s="4" t="s">
        <v>1252</v>
      </c>
      <c r="E786" t="s">
        <v>3</v>
      </c>
      <c r="F786" t="s">
        <v>4</v>
      </c>
      <c r="G786" t="s">
        <v>2917</v>
      </c>
      <c r="H786" t="s">
        <v>2953</v>
      </c>
      <c r="I786" t="s">
        <v>2894</v>
      </c>
      <c r="J786" t="str">
        <f>IF(ISNUMBER(MATCH($D786,'Lopettaneet 2013-&gt;'!$D:$D,0)),INDEX('Lopettaneet 2013-&gt;'!$K:$K,MATCH($D786,'Lopettaneet 2013-&gt;'!$D:$D,0)),"Continues")</f>
        <v>Continues</v>
      </c>
      <c r="K786">
        <f ca="1">IF($J786="Continues",DATEDIF($B786,TODAY(),"Y"),INDEX('Lopettaneet 2013-&gt;'!$L:$L,MATCH($D786,'Lopettaneet 2013-&gt;'!$D:$D,0)))</f>
        <v>7</v>
      </c>
      <c r="L786">
        <v>521</v>
      </c>
    </row>
    <row r="787" spans="1:12" x14ac:dyDescent="0.25">
      <c r="A787" t="s">
        <v>7</v>
      </c>
      <c r="B787" s="1">
        <v>42887</v>
      </c>
      <c r="C787" s="1">
        <v>55153</v>
      </c>
      <c r="D787" s="4" t="s">
        <v>1254</v>
      </c>
      <c r="E787" t="s">
        <v>10</v>
      </c>
      <c r="F787" t="s">
        <v>11</v>
      </c>
      <c r="G787" t="s">
        <v>2914</v>
      </c>
      <c r="H787" t="s">
        <v>3013</v>
      </c>
      <c r="I787" t="s">
        <v>2895</v>
      </c>
      <c r="J787" t="str">
        <f>IF(ISNUMBER(MATCH($D787,'Lopettaneet 2013-&gt;'!$D:$D,0)),INDEX('Lopettaneet 2013-&gt;'!$K:$K,MATCH($D787,'Lopettaneet 2013-&gt;'!$D:$D,0)),"Continues")</f>
        <v>Continues</v>
      </c>
      <c r="K787">
        <f ca="1">IF($J787="Continues",DATEDIF($B787,TODAY(),"Y"),INDEX('Lopettaneet 2013-&gt;'!$L:$L,MATCH($D787,'Lopettaneet 2013-&gt;'!$D:$D,0)))</f>
        <v>7</v>
      </c>
      <c r="L787">
        <v>522</v>
      </c>
    </row>
    <row r="788" spans="1:12" x14ac:dyDescent="0.25">
      <c r="A788" t="s">
        <v>7</v>
      </c>
      <c r="B788" s="1">
        <v>42887</v>
      </c>
      <c r="C788" s="1">
        <v>55153</v>
      </c>
      <c r="D788" s="4" t="s">
        <v>1256</v>
      </c>
      <c r="E788" t="s">
        <v>10</v>
      </c>
      <c r="F788" t="s">
        <v>11</v>
      </c>
      <c r="G788" t="s">
        <v>2912</v>
      </c>
      <c r="H788" t="s">
        <v>2946</v>
      </c>
      <c r="I788" t="s">
        <v>2895</v>
      </c>
      <c r="J788" t="str">
        <f>IF(ISNUMBER(MATCH($D788,'Lopettaneet 2013-&gt;'!$D:$D,0)),INDEX('Lopettaneet 2013-&gt;'!$K:$K,MATCH($D788,'Lopettaneet 2013-&gt;'!$D:$D,0)),"Continues")</f>
        <v>Continues</v>
      </c>
      <c r="K788">
        <f ca="1">IF($J788="Continues",DATEDIF($B788,TODAY(),"Y"),INDEX('Lopettaneet 2013-&gt;'!$L:$L,MATCH($D788,'Lopettaneet 2013-&gt;'!$D:$D,0)))</f>
        <v>7</v>
      </c>
      <c r="L788">
        <v>523</v>
      </c>
    </row>
    <row r="789" spans="1:12" x14ac:dyDescent="0.25">
      <c r="A789" t="s">
        <v>0</v>
      </c>
      <c r="B789" s="1">
        <v>42917</v>
      </c>
      <c r="C789" s="1">
        <v>55153</v>
      </c>
      <c r="D789" s="4" t="s">
        <v>1258</v>
      </c>
      <c r="E789" t="s">
        <v>10</v>
      </c>
      <c r="F789" t="s">
        <v>4</v>
      </c>
      <c r="G789" t="s">
        <v>2913</v>
      </c>
      <c r="H789" t="s">
        <v>2842</v>
      </c>
      <c r="I789" t="s">
        <v>2894</v>
      </c>
      <c r="J789" t="str">
        <f>IF(ISNUMBER(MATCH($D789,'Lopettaneet 2013-&gt;'!$D:$D,0)),INDEX('Lopettaneet 2013-&gt;'!$K:$K,MATCH($D789,'Lopettaneet 2013-&gt;'!$D:$D,0)),"Continues")</f>
        <v>Continues</v>
      </c>
      <c r="K789">
        <f ca="1">IF($J789="Continues",DATEDIF($B789,TODAY(),"Y"),INDEX('Lopettaneet 2013-&gt;'!$L:$L,MATCH($D789,'Lopettaneet 2013-&gt;'!$D:$D,0)))</f>
        <v>7</v>
      </c>
      <c r="L789">
        <v>524</v>
      </c>
    </row>
    <row r="790" spans="1:12" x14ac:dyDescent="0.25">
      <c r="A790" t="s">
        <v>0</v>
      </c>
      <c r="B790" s="1">
        <v>42979</v>
      </c>
      <c r="C790" s="1">
        <v>55153</v>
      </c>
      <c r="D790" s="4" t="s">
        <v>1260</v>
      </c>
      <c r="E790" t="s">
        <v>10</v>
      </c>
      <c r="F790" t="s">
        <v>4</v>
      </c>
      <c r="G790" t="s">
        <v>2914</v>
      </c>
      <c r="H790" t="s">
        <v>2979</v>
      </c>
      <c r="I790" t="s">
        <v>2894</v>
      </c>
      <c r="J790" t="str">
        <f>IF(ISNUMBER(MATCH($D790,'Lopettaneet 2013-&gt;'!$D:$D,0)),INDEX('Lopettaneet 2013-&gt;'!$K:$K,MATCH($D790,'Lopettaneet 2013-&gt;'!$D:$D,0)),"Continues")</f>
        <v>Continues</v>
      </c>
      <c r="K790">
        <f ca="1">IF($J790="Continues",DATEDIF($B790,TODAY(),"Y"),INDEX('Lopettaneet 2013-&gt;'!$L:$L,MATCH($D790,'Lopettaneet 2013-&gt;'!$D:$D,0)))</f>
        <v>7</v>
      </c>
      <c r="L790">
        <v>525</v>
      </c>
    </row>
    <row r="791" spans="1:12" x14ac:dyDescent="0.25">
      <c r="A791" t="s">
        <v>7</v>
      </c>
      <c r="B791" s="1">
        <v>42979</v>
      </c>
      <c r="C791" s="1">
        <v>55153</v>
      </c>
      <c r="D791" s="4" t="s">
        <v>1262</v>
      </c>
      <c r="E791" t="s">
        <v>10</v>
      </c>
      <c r="F791" t="s">
        <v>11</v>
      </c>
      <c r="G791" t="s">
        <v>2916</v>
      </c>
      <c r="H791" t="s">
        <v>2983</v>
      </c>
      <c r="I791" t="s">
        <v>2895</v>
      </c>
      <c r="J791" t="str">
        <f>IF(ISNUMBER(MATCH($D791,'Lopettaneet 2013-&gt;'!$D:$D,0)),INDEX('Lopettaneet 2013-&gt;'!$K:$K,MATCH($D791,'Lopettaneet 2013-&gt;'!$D:$D,0)),"Continues")</f>
        <v>Continues</v>
      </c>
      <c r="K791">
        <f ca="1">IF($J791="Continues",DATEDIF($B791,TODAY(),"Y"),INDEX('Lopettaneet 2013-&gt;'!$L:$L,MATCH($D791,'Lopettaneet 2013-&gt;'!$D:$D,0)))</f>
        <v>7</v>
      </c>
      <c r="L791">
        <v>526</v>
      </c>
    </row>
    <row r="792" spans="1:12" x14ac:dyDescent="0.25">
      <c r="A792" t="s">
        <v>7</v>
      </c>
      <c r="B792" s="1">
        <v>42979</v>
      </c>
      <c r="C792" s="1">
        <v>43281</v>
      </c>
      <c r="D792" s="4" t="s">
        <v>1264</v>
      </c>
      <c r="E792" t="s">
        <v>10</v>
      </c>
      <c r="F792" t="s">
        <v>11</v>
      </c>
      <c r="G792" t="s">
        <v>2916</v>
      </c>
      <c r="H792" t="s">
        <v>2946</v>
      </c>
      <c r="I792" t="s">
        <v>2909</v>
      </c>
      <c r="J792" t="str">
        <f>IF(ISNUMBER(MATCH($D792,'Lopettaneet 2013-&gt;'!$D:$D,0)),INDEX('Lopettaneet 2013-&gt;'!$K:$K,MATCH($D792,'Lopettaneet 2013-&gt;'!$D:$D,0)),"Continues")</f>
        <v>Closed</v>
      </c>
      <c r="K792">
        <f ca="1">IF($J792="Continues",DATEDIF($B792,TODAY(),"Y"),INDEX('Lopettaneet 2013-&gt;'!$L:$L,MATCH($D792,'Lopettaneet 2013-&gt;'!$D:$D,0)))</f>
        <v>0</v>
      </c>
      <c r="L792">
        <v>527</v>
      </c>
    </row>
    <row r="793" spans="1:12" x14ac:dyDescent="0.25">
      <c r="A793" t="s">
        <v>0</v>
      </c>
      <c r="B793" s="1">
        <v>42887</v>
      </c>
      <c r="C793" s="1">
        <v>55153</v>
      </c>
      <c r="D793" s="4" t="s">
        <v>1266</v>
      </c>
      <c r="E793" t="s">
        <v>3</v>
      </c>
      <c r="F793" t="s">
        <v>4</v>
      </c>
      <c r="G793" t="s">
        <v>2913</v>
      </c>
      <c r="H793" t="s">
        <v>2957</v>
      </c>
      <c r="I793" t="s">
        <v>2894</v>
      </c>
      <c r="J793" t="str">
        <f>IF(ISNUMBER(MATCH($D793,'Lopettaneet 2013-&gt;'!$D:$D,0)),INDEX('Lopettaneet 2013-&gt;'!$K:$K,MATCH($D793,'Lopettaneet 2013-&gt;'!$D:$D,0)),"Continues")</f>
        <v>Continues</v>
      </c>
      <c r="K793">
        <f ca="1">IF($J793="Continues",DATEDIF($B793,TODAY(),"Y"),INDEX('Lopettaneet 2013-&gt;'!$L:$L,MATCH($D793,'Lopettaneet 2013-&gt;'!$D:$D,0)))</f>
        <v>7</v>
      </c>
      <c r="L793">
        <v>528</v>
      </c>
    </row>
    <row r="794" spans="1:12" x14ac:dyDescent="0.25">
      <c r="A794" t="s">
        <v>0</v>
      </c>
      <c r="B794" s="1">
        <v>42887</v>
      </c>
      <c r="C794" s="1">
        <v>55153</v>
      </c>
      <c r="D794" s="4" t="s">
        <v>1268</v>
      </c>
      <c r="E794" t="s">
        <v>3</v>
      </c>
      <c r="F794" t="s">
        <v>4</v>
      </c>
      <c r="G794" t="s">
        <v>2913</v>
      </c>
      <c r="H794" t="s">
        <v>2957</v>
      </c>
      <c r="I794" t="s">
        <v>2894</v>
      </c>
      <c r="J794" t="str">
        <f>IF(ISNUMBER(MATCH($D794,'Lopettaneet 2013-&gt;'!$D:$D,0)),INDEX('Lopettaneet 2013-&gt;'!$K:$K,MATCH($D794,'Lopettaneet 2013-&gt;'!$D:$D,0)),"Continues")</f>
        <v>Continues</v>
      </c>
      <c r="K794">
        <f ca="1">IF($J794="Continues",DATEDIF($B794,TODAY(),"Y"),INDEX('Lopettaneet 2013-&gt;'!$L:$L,MATCH($D794,'Lopettaneet 2013-&gt;'!$D:$D,0)))</f>
        <v>7</v>
      </c>
      <c r="L794">
        <v>529</v>
      </c>
    </row>
    <row r="795" spans="1:12" x14ac:dyDescent="0.25">
      <c r="A795" t="s">
        <v>0</v>
      </c>
      <c r="B795" s="1">
        <v>42887</v>
      </c>
      <c r="C795" s="1">
        <v>55153</v>
      </c>
      <c r="D795" s="4" t="s">
        <v>1270</v>
      </c>
      <c r="E795" t="s">
        <v>3</v>
      </c>
      <c r="F795" t="s">
        <v>4</v>
      </c>
      <c r="G795" t="s">
        <v>2913</v>
      </c>
      <c r="H795" t="s">
        <v>2957</v>
      </c>
      <c r="I795" t="s">
        <v>2894</v>
      </c>
      <c r="J795" t="str">
        <f>IF(ISNUMBER(MATCH($D795,'Lopettaneet 2013-&gt;'!$D:$D,0)),INDEX('Lopettaneet 2013-&gt;'!$K:$K,MATCH($D795,'Lopettaneet 2013-&gt;'!$D:$D,0)),"Continues")</f>
        <v>Continues</v>
      </c>
      <c r="K795">
        <f ca="1">IF($J795="Continues",DATEDIF($B795,TODAY(),"Y"),INDEX('Lopettaneet 2013-&gt;'!$L:$L,MATCH($D795,'Lopettaneet 2013-&gt;'!$D:$D,0)))</f>
        <v>7</v>
      </c>
      <c r="L795">
        <v>530</v>
      </c>
    </row>
    <row r="796" spans="1:12" x14ac:dyDescent="0.25">
      <c r="A796" t="s">
        <v>0</v>
      </c>
      <c r="B796" s="1">
        <v>42887</v>
      </c>
      <c r="C796" s="1">
        <v>55153</v>
      </c>
      <c r="D796" s="4" t="s">
        <v>1272</v>
      </c>
      <c r="E796" t="s">
        <v>3</v>
      </c>
      <c r="F796" t="s">
        <v>4</v>
      </c>
      <c r="G796" t="s">
        <v>2917</v>
      </c>
      <c r="H796" t="s">
        <v>2957</v>
      </c>
      <c r="I796" t="s">
        <v>2894</v>
      </c>
      <c r="J796" t="str">
        <f>IF(ISNUMBER(MATCH($D796,'Lopettaneet 2013-&gt;'!$D:$D,0)),INDEX('Lopettaneet 2013-&gt;'!$K:$K,MATCH($D796,'Lopettaneet 2013-&gt;'!$D:$D,0)),"Continues")</f>
        <v>Continues</v>
      </c>
      <c r="K796">
        <f ca="1">IF($J796="Continues",DATEDIF($B796,TODAY(),"Y"),INDEX('Lopettaneet 2013-&gt;'!$L:$L,MATCH($D796,'Lopettaneet 2013-&gt;'!$D:$D,0)))</f>
        <v>7</v>
      </c>
      <c r="L796">
        <v>531</v>
      </c>
    </row>
    <row r="797" spans="1:12" x14ac:dyDescent="0.25">
      <c r="A797" t="s">
        <v>0</v>
      </c>
      <c r="B797" s="1">
        <v>42887</v>
      </c>
      <c r="C797" s="1">
        <v>55153</v>
      </c>
      <c r="D797" s="4" t="s">
        <v>1274</v>
      </c>
      <c r="E797" t="s">
        <v>3</v>
      </c>
      <c r="F797" t="s">
        <v>4</v>
      </c>
      <c r="G797" t="s">
        <v>2917</v>
      </c>
      <c r="H797" t="s">
        <v>2957</v>
      </c>
      <c r="I797" t="s">
        <v>2894</v>
      </c>
      <c r="J797" t="str">
        <f>IF(ISNUMBER(MATCH($D797,'Lopettaneet 2013-&gt;'!$D:$D,0)),INDEX('Lopettaneet 2013-&gt;'!$K:$K,MATCH($D797,'Lopettaneet 2013-&gt;'!$D:$D,0)),"Continues")</f>
        <v>Continues</v>
      </c>
      <c r="K797">
        <f ca="1">IF($J797="Continues",DATEDIF($B797,TODAY(),"Y"),INDEX('Lopettaneet 2013-&gt;'!$L:$L,MATCH($D797,'Lopettaneet 2013-&gt;'!$D:$D,0)))</f>
        <v>7</v>
      </c>
      <c r="L797">
        <v>532</v>
      </c>
    </row>
    <row r="798" spans="1:12" x14ac:dyDescent="0.25">
      <c r="A798" t="s">
        <v>7</v>
      </c>
      <c r="B798" s="1">
        <v>43160</v>
      </c>
      <c r="C798" s="1">
        <v>55153</v>
      </c>
      <c r="D798" s="4" t="s">
        <v>1276</v>
      </c>
      <c r="E798" t="s">
        <v>10</v>
      </c>
      <c r="F798" t="s">
        <v>11</v>
      </c>
      <c r="G798" t="s">
        <v>2916</v>
      </c>
      <c r="H798" t="s">
        <v>3006</v>
      </c>
      <c r="I798" t="s">
        <v>2895</v>
      </c>
      <c r="J798" t="str">
        <f>IF(ISNUMBER(MATCH($D798,'Lopettaneet 2013-&gt;'!$D:$D,0)),INDEX('Lopettaneet 2013-&gt;'!$K:$K,MATCH($D798,'Lopettaneet 2013-&gt;'!$D:$D,0)),"Continues")</f>
        <v>Continues</v>
      </c>
      <c r="K798">
        <f ca="1">IF($J798="Continues",DATEDIF($B798,TODAY(),"Y"),INDEX('Lopettaneet 2013-&gt;'!$L:$L,MATCH($D798,'Lopettaneet 2013-&gt;'!$D:$D,0)))</f>
        <v>7</v>
      </c>
      <c r="L798">
        <v>533</v>
      </c>
    </row>
    <row r="799" spans="1:12" x14ac:dyDescent="0.25">
      <c r="A799" t="s">
        <v>0</v>
      </c>
      <c r="B799" s="1">
        <v>42979</v>
      </c>
      <c r="C799" s="1">
        <v>55153</v>
      </c>
      <c r="D799" s="4" t="s">
        <v>1278</v>
      </c>
      <c r="E799" t="s">
        <v>10</v>
      </c>
      <c r="F799" t="s">
        <v>4</v>
      </c>
      <c r="G799" t="s">
        <v>2914</v>
      </c>
      <c r="H799" t="s">
        <v>2975</v>
      </c>
      <c r="I799" t="s">
        <v>2894</v>
      </c>
      <c r="J799" t="str">
        <f>IF(ISNUMBER(MATCH($D799,'Lopettaneet 2013-&gt;'!$D:$D,0)),INDEX('Lopettaneet 2013-&gt;'!$K:$K,MATCH($D799,'Lopettaneet 2013-&gt;'!$D:$D,0)),"Continues")</f>
        <v>Continues</v>
      </c>
      <c r="K799">
        <f ca="1">IF($J799="Continues",DATEDIF($B799,TODAY(),"Y"),INDEX('Lopettaneet 2013-&gt;'!$L:$L,MATCH($D799,'Lopettaneet 2013-&gt;'!$D:$D,0)))</f>
        <v>7</v>
      </c>
      <c r="L799">
        <v>534</v>
      </c>
    </row>
    <row r="800" spans="1:12" x14ac:dyDescent="0.25">
      <c r="A800" t="s">
        <v>0</v>
      </c>
      <c r="B800" s="1">
        <v>43009</v>
      </c>
      <c r="C800" s="1">
        <v>55153</v>
      </c>
      <c r="D800" s="4" t="s">
        <v>1280</v>
      </c>
      <c r="E800" t="s">
        <v>10</v>
      </c>
      <c r="F800" t="s">
        <v>4</v>
      </c>
      <c r="G800" t="s">
        <v>2919</v>
      </c>
      <c r="H800" t="s">
        <v>2842</v>
      </c>
      <c r="I800" t="s">
        <v>2895</v>
      </c>
      <c r="J800" t="str">
        <f>IF(ISNUMBER(MATCH($D800,'Lopettaneet 2013-&gt;'!$D:$D,0)),INDEX('Lopettaneet 2013-&gt;'!$K:$K,MATCH($D800,'Lopettaneet 2013-&gt;'!$D:$D,0)),"Continues")</f>
        <v>Continues</v>
      </c>
      <c r="K800">
        <f ca="1">IF($J800="Continues",DATEDIF($B800,TODAY(),"Y"),INDEX('Lopettaneet 2013-&gt;'!$L:$L,MATCH($D800,'Lopettaneet 2013-&gt;'!$D:$D,0)))</f>
        <v>7</v>
      </c>
      <c r="L800">
        <v>535</v>
      </c>
    </row>
    <row r="801" spans="1:12" x14ac:dyDescent="0.25">
      <c r="A801" t="s">
        <v>0</v>
      </c>
      <c r="B801" s="1">
        <v>43009</v>
      </c>
      <c r="C801" s="1">
        <v>43496</v>
      </c>
      <c r="D801" s="4" t="s">
        <v>1282</v>
      </c>
      <c r="E801" t="s">
        <v>10</v>
      </c>
      <c r="F801" t="s">
        <v>4</v>
      </c>
      <c r="G801" t="s">
        <v>2919</v>
      </c>
      <c r="H801" t="s">
        <v>2842</v>
      </c>
      <c r="I801" t="s">
        <v>2909</v>
      </c>
      <c r="J801" t="str">
        <f>IF(ISNUMBER(MATCH($D801,'Lopettaneet 2013-&gt;'!$D:$D,0)),INDEX('Lopettaneet 2013-&gt;'!$K:$K,MATCH($D801,'Lopettaneet 2013-&gt;'!$D:$D,0)),"Continues")</f>
        <v>Closed</v>
      </c>
      <c r="K801">
        <f ca="1">IF($J801="Continues",DATEDIF($B801,TODAY(),"Y"),INDEX('Lopettaneet 2013-&gt;'!$L:$L,MATCH($D801,'Lopettaneet 2013-&gt;'!$D:$D,0)))</f>
        <v>1</v>
      </c>
      <c r="L801">
        <v>536</v>
      </c>
    </row>
    <row r="802" spans="1:12" x14ac:dyDescent="0.25">
      <c r="A802" t="s">
        <v>7</v>
      </c>
      <c r="B802" s="1">
        <v>42979</v>
      </c>
      <c r="C802" s="1">
        <v>55153</v>
      </c>
      <c r="D802" s="4" t="s">
        <v>1284</v>
      </c>
      <c r="E802" t="s">
        <v>10</v>
      </c>
      <c r="F802" t="s">
        <v>11</v>
      </c>
      <c r="G802" t="s">
        <v>2914</v>
      </c>
      <c r="H802" t="s">
        <v>3007</v>
      </c>
      <c r="I802" t="s">
        <v>2895</v>
      </c>
      <c r="J802" t="str">
        <f>IF(ISNUMBER(MATCH($D802,'Lopettaneet 2013-&gt;'!$D:$D,0)),INDEX('Lopettaneet 2013-&gt;'!$K:$K,MATCH($D802,'Lopettaneet 2013-&gt;'!$D:$D,0)),"Continues")</f>
        <v>Continues</v>
      </c>
      <c r="K802">
        <f ca="1">IF($J802="Continues",DATEDIF($B802,TODAY(),"Y"),INDEX('Lopettaneet 2013-&gt;'!$L:$L,MATCH($D802,'Lopettaneet 2013-&gt;'!$D:$D,0)))</f>
        <v>7</v>
      </c>
      <c r="L802">
        <v>537</v>
      </c>
    </row>
    <row r="803" spans="1:12" x14ac:dyDescent="0.25">
      <c r="A803" t="s">
        <v>0</v>
      </c>
      <c r="B803" s="1">
        <v>43101</v>
      </c>
      <c r="C803" s="1">
        <v>55153</v>
      </c>
      <c r="D803" s="4" t="s">
        <v>3200</v>
      </c>
      <c r="E803" t="s">
        <v>3</v>
      </c>
      <c r="F803" t="s">
        <v>4</v>
      </c>
      <c r="G803" t="s">
        <v>2917</v>
      </c>
      <c r="H803" t="s">
        <v>2777</v>
      </c>
      <c r="I803" t="s">
        <v>2894</v>
      </c>
      <c r="J803" t="str">
        <f>IF(ISNUMBER(MATCH($D803,'Lopettaneet 2013-&gt;'!$D:$D,0)),INDEX('Lopettaneet 2013-&gt;'!$K:$K,MATCH($D803,'Lopettaneet 2013-&gt;'!$D:$D,0)),"Continues")</f>
        <v>Continues</v>
      </c>
      <c r="K803">
        <f ca="1">IF($J803="Continues",DATEDIF($B803,TODAY(),"Y"),INDEX('Lopettaneet 2013-&gt;'!$L:$L,MATCH($D803,'Lopettaneet 2013-&gt;'!$D:$D,0)))</f>
        <v>7</v>
      </c>
      <c r="L803">
        <v>538</v>
      </c>
    </row>
    <row r="804" spans="1:12" x14ac:dyDescent="0.25">
      <c r="A804" t="s">
        <v>0</v>
      </c>
      <c r="B804" s="1">
        <v>42979</v>
      </c>
      <c r="C804" s="1">
        <v>55153</v>
      </c>
      <c r="D804" s="4" t="s">
        <v>1288</v>
      </c>
      <c r="E804" t="s">
        <v>10</v>
      </c>
      <c r="F804" t="s">
        <v>4</v>
      </c>
      <c r="G804" t="s">
        <v>2914</v>
      </c>
      <c r="H804" t="s">
        <v>2961</v>
      </c>
      <c r="I804" t="s">
        <v>2894</v>
      </c>
      <c r="J804" t="str">
        <f>IF(ISNUMBER(MATCH($D804,'Lopettaneet 2013-&gt;'!$D:$D,0)),INDEX('Lopettaneet 2013-&gt;'!$K:$K,MATCH($D804,'Lopettaneet 2013-&gt;'!$D:$D,0)),"Continues")</f>
        <v>Continues</v>
      </c>
      <c r="K804">
        <f ca="1">IF($J804="Continues",DATEDIF($B804,TODAY(),"Y"),INDEX('Lopettaneet 2013-&gt;'!$L:$L,MATCH($D804,'Lopettaneet 2013-&gt;'!$D:$D,0)))</f>
        <v>7</v>
      </c>
      <c r="L804">
        <v>539</v>
      </c>
    </row>
    <row r="805" spans="1:12" x14ac:dyDescent="0.25">
      <c r="A805" t="s">
        <v>0</v>
      </c>
      <c r="B805" s="1">
        <v>43070</v>
      </c>
      <c r="C805" s="1">
        <v>55153</v>
      </c>
      <c r="D805" s="4" t="s">
        <v>1290</v>
      </c>
      <c r="E805" t="s">
        <v>10</v>
      </c>
      <c r="F805" t="s">
        <v>4</v>
      </c>
      <c r="G805" t="s">
        <v>2914</v>
      </c>
      <c r="H805" t="s">
        <v>2950</v>
      </c>
      <c r="I805" t="s">
        <v>2894</v>
      </c>
      <c r="J805" t="str">
        <f>IF(ISNUMBER(MATCH($D805,'Lopettaneet 2013-&gt;'!$D:$D,0)),INDEX('Lopettaneet 2013-&gt;'!$K:$K,MATCH($D805,'Lopettaneet 2013-&gt;'!$D:$D,0)),"Continues")</f>
        <v>Continues</v>
      </c>
      <c r="K805">
        <f ca="1">IF($J805="Continues",DATEDIF($B805,TODAY(),"Y"),INDEX('Lopettaneet 2013-&gt;'!$L:$L,MATCH($D805,'Lopettaneet 2013-&gt;'!$D:$D,0)))</f>
        <v>7</v>
      </c>
      <c r="L805">
        <v>540</v>
      </c>
    </row>
    <row r="806" spans="1:12" x14ac:dyDescent="0.25">
      <c r="A806" t="s">
        <v>0</v>
      </c>
      <c r="B806" s="1">
        <v>43070</v>
      </c>
      <c r="C806" s="1">
        <v>43465</v>
      </c>
      <c r="D806" s="4" t="s">
        <v>1292</v>
      </c>
      <c r="E806" t="s">
        <v>10</v>
      </c>
      <c r="F806" t="s">
        <v>4</v>
      </c>
      <c r="G806" t="s">
        <v>2915</v>
      </c>
      <c r="H806" t="s">
        <v>2842</v>
      </c>
      <c r="I806" t="s">
        <v>2909</v>
      </c>
      <c r="J806" t="str">
        <f>IF(ISNUMBER(MATCH($D806,'Lopettaneet 2013-&gt;'!$D:$D,0)),INDEX('Lopettaneet 2013-&gt;'!$K:$K,MATCH($D806,'Lopettaneet 2013-&gt;'!$D:$D,0)),"Continues")</f>
        <v>Closed</v>
      </c>
      <c r="K806">
        <f ca="1">IF($J806="Continues",DATEDIF($B806,TODAY(),"Y"),INDEX('Lopettaneet 2013-&gt;'!$L:$L,MATCH($D806,'Lopettaneet 2013-&gt;'!$D:$D,0)))</f>
        <v>1</v>
      </c>
      <c r="L806">
        <v>541</v>
      </c>
    </row>
    <row r="807" spans="1:12" x14ac:dyDescent="0.25">
      <c r="A807" t="s">
        <v>0</v>
      </c>
      <c r="B807" s="1">
        <v>43070</v>
      </c>
      <c r="C807" s="1">
        <v>55153</v>
      </c>
      <c r="D807" s="4" t="s">
        <v>1294</v>
      </c>
      <c r="E807" t="s">
        <v>10</v>
      </c>
      <c r="F807" t="s">
        <v>4</v>
      </c>
      <c r="G807" t="s">
        <v>2914</v>
      </c>
      <c r="H807" t="s">
        <v>2842</v>
      </c>
      <c r="I807" t="s">
        <v>2894</v>
      </c>
      <c r="J807" t="str">
        <f>IF(ISNUMBER(MATCH($D807,'Lopettaneet 2013-&gt;'!$D:$D,0)),INDEX('Lopettaneet 2013-&gt;'!$K:$K,MATCH($D807,'Lopettaneet 2013-&gt;'!$D:$D,0)),"Continues")</f>
        <v>Continues</v>
      </c>
      <c r="K807">
        <f ca="1">IF($J807="Continues",DATEDIF($B807,TODAY(),"Y"),INDEX('Lopettaneet 2013-&gt;'!$L:$L,MATCH($D807,'Lopettaneet 2013-&gt;'!$D:$D,0)))</f>
        <v>7</v>
      </c>
      <c r="L807">
        <v>542</v>
      </c>
    </row>
    <row r="808" spans="1:12" x14ac:dyDescent="0.25">
      <c r="A808" t="s">
        <v>7</v>
      </c>
      <c r="B808" s="1">
        <v>43617</v>
      </c>
      <c r="C808" s="1">
        <v>45199</v>
      </c>
      <c r="D808" s="4" t="s">
        <v>41</v>
      </c>
      <c r="E808" t="s">
        <v>10</v>
      </c>
      <c r="F808" t="s">
        <v>11</v>
      </c>
      <c r="G808" t="s">
        <v>2918</v>
      </c>
      <c r="H808" t="s">
        <v>3021</v>
      </c>
      <c r="I808" t="s">
        <v>2909</v>
      </c>
      <c r="J808" t="str">
        <f>IF(ISNUMBER(MATCH($D808,'Lopettaneet 2013-&gt;'!$D:$D,0)),INDEX('Lopettaneet 2013-&gt;'!$K:$K,MATCH($D808,'Lopettaneet 2013-&gt;'!$D:$D,0)),"Continues")</f>
        <v>Closed</v>
      </c>
      <c r="K808">
        <f ca="1">IF($J808="Continues",DATEDIF($B808,TODAY(),"Y"),INDEX('Lopettaneet 2013-&gt;'!$L:$L,MATCH($D808,'Lopettaneet 2013-&gt;'!$D:$D,0)))</f>
        <v>4</v>
      </c>
      <c r="L808">
        <v>543</v>
      </c>
    </row>
    <row r="809" spans="1:12" x14ac:dyDescent="0.25">
      <c r="A809" t="s">
        <v>7</v>
      </c>
      <c r="B809" s="1">
        <v>42979</v>
      </c>
      <c r="C809" s="1">
        <v>55153</v>
      </c>
      <c r="D809" s="4" t="s">
        <v>1296</v>
      </c>
      <c r="E809" t="s">
        <v>10</v>
      </c>
      <c r="F809" t="s">
        <v>11</v>
      </c>
      <c r="G809" t="s">
        <v>2912</v>
      </c>
      <c r="H809" t="s">
        <v>2965</v>
      </c>
      <c r="I809" t="s">
        <v>2895</v>
      </c>
      <c r="J809" t="str">
        <f>IF(ISNUMBER(MATCH($D809,'Lopettaneet 2013-&gt;'!$D:$D,0)),INDEX('Lopettaneet 2013-&gt;'!$K:$K,MATCH($D809,'Lopettaneet 2013-&gt;'!$D:$D,0)),"Continues")</f>
        <v>Continues</v>
      </c>
      <c r="K809">
        <f ca="1">IF($J809="Continues",DATEDIF($B809,TODAY(),"Y"),INDEX('Lopettaneet 2013-&gt;'!$L:$L,MATCH($D809,'Lopettaneet 2013-&gt;'!$D:$D,0)))</f>
        <v>7</v>
      </c>
      <c r="L809">
        <v>544</v>
      </c>
    </row>
    <row r="810" spans="1:12" x14ac:dyDescent="0.25">
      <c r="A810" t="s">
        <v>7</v>
      </c>
      <c r="B810" s="1">
        <v>42979</v>
      </c>
      <c r="C810" s="1">
        <v>55153</v>
      </c>
      <c r="D810" s="4" t="s">
        <v>1298</v>
      </c>
      <c r="E810" t="s">
        <v>10</v>
      </c>
      <c r="F810" t="s">
        <v>11</v>
      </c>
      <c r="G810" t="s">
        <v>2914</v>
      </c>
      <c r="H810" t="s">
        <v>2950</v>
      </c>
      <c r="I810" t="s">
        <v>2895</v>
      </c>
      <c r="J810" t="str">
        <f>IF(ISNUMBER(MATCH($D810,'Lopettaneet 2013-&gt;'!$D:$D,0)),INDEX('Lopettaneet 2013-&gt;'!$K:$K,MATCH($D810,'Lopettaneet 2013-&gt;'!$D:$D,0)),"Continues")</f>
        <v>Continues</v>
      </c>
      <c r="K810">
        <f ca="1">IF($J810="Continues",DATEDIF($B810,TODAY(),"Y"),INDEX('Lopettaneet 2013-&gt;'!$L:$L,MATCH($D810,'Lopettaneet 2013-&gt;'!$D:$D,0)))</f>
        <v>7</v>
      </c>
      <c r="L810">
        <v>545</v>
      </c>
    </row>
    <row r="811" spans="1:12" x14ac:dyDescent="0.25">
      <c r="A811" t="s">
        <v>0</v>
      </c>
      <c r="B811" s="1">
        <v>42979</v>
      </c>
      <c r="C811" s="1">
        <v>44439</v>
      </c>
      <c r="D811" s="4" t="s">
        <v>1300</v>
      </c>
      <c r="E811" t="s">
        <v>3</v>
      </c>
      <c r="F811" t="s">
        <v>4</v>
      </c>
      <c r="G811" t="s">
        <v>2913</v>
      </c>
      <c r="H811" t="s">
        <v>2980</v>
      </c>
      <c r="I811" t="s">
        <v>2909</v>
      </c>
      <c r="J811" t="str">
        <f>IF(ISNUMBER(MATCH($D811,'Lopettaneet 2013-&gt;'!$D:$D,0)),INDEX('Lopettaneet 2013-&gt;'!$K:$K,MATCH($D811,'Lopettaneet 2013-&gt;'!$D:$D,0)),"Continues")</f>
        <v>Merged</v>
      </c>
      <c r="K811">
        <f ca="1">IF($J811="Continues",DATEDIF($B811,TODAY(),"Y"),INDEX('Lopettaneet 2013-&gt;'!$L:$L,MATCH($D811,'Lopettaneet 2013-&gt;'!$D:$D,0)))</f>
        <v>3</v>
      </c>
      <c r="L811">
        <v>546</v>
      </c>
    </row>
    <row r="812" spans="1:12" x14ac:dyDescent="0.25">
      <c r="A812" t="s">
        <v>7</v>
      </c>
      <c r="B812" s="1">
        <v>43070</v>
      </c>
      <c r="C812" s="1">
        <v>55153</v>
      </c>
      <c r="D812" s="4" t="s">
        <v>1302</v>
      </c>
      <c r="E812" t="s">
        <v>10</v>
      </c>
      <c r="F812" t="s">
        <v>11</v>
      </c>
      <c r="G812" t="s">
        <v>2916</v>
      </c>
      <c r="H812" t="s">
        <v>3004</v>
      </c>
      <c r="I812" t="s">
        <v>2895</v>
      </c>
      <c r="J812" t="str">
        <f>IF(ISNUMBER(MATCH($D812,'Lopettaneet 2013-&gt;'!$D:$D,0)),INDEX('Lopettaneet 2013-&gt;'!$K:$K,MATCH($D812,'Lopettaneet 2013-&gt;'!$D:$D,0)),"Continues")</f>
        <v>Continues</v>
      </c>
      <c r="K812">
        <f ca="1">IF($J812="Continues",DATEDIF($B812,TODAY(),"Y"),INDEX('Lopettaneet 2013-&gt;'!$L:$L,MATCH($D812,'Lopettaneet 2013-&gt;'!$D:$D,0)))</f>
        <v>7</v>
      </c>
      <c r="L812">
        <v>547</v>
      </c>
    </row>
    <row r="813" spans="1:12" x14ac:dyDescent="0.25">
      <c r="A813" t="s">
        <v>0</v>
      </c>
      <c r="B813" s="1">
        <v>43040</v>
      </c>
      <c r="C813" s="1">
        <v>55153</v>
      </c>
      <c r="D813" s="4" t="s">
        <v>1304</v>
      </c>
      <c r="E813" t="s">
        <v>10</v>
      </c>
      <c r="F813" t="s">
        <v>4</v>
      </c>
      <c r="G813" t="s">
        <v>2913</v>
      </c>
      <c r="H813" t="s">
        <v>2958</v>
      </c>
      <c r="I813" t="s">
        <v>2894</v>
      </c>
      <c r="J813" t="str">
        <f>IF(ISNUMBER(MATCH($D813,'Lopettaneet 2013-&gt;'!$D:$D,0)),INDEX('Lopettaneet 2013-&gt;'!$K:$K,MATCH($D813,'Lopettaneet 2013-&gt;'!$D:$D,0)),"Continues")</f>
        <v>Continues</v>
      </c>
      <c r="K813">
        <f ca="1">IF($J813="Continues",DATEDIF($B813,TODAY(),"Y"),INDEX('Lopettaneet 2013-&gt;'!$L:$L,MATCH($D813,'Lopettaneet 2013-&gt;'!$D:$D,0)))</f>
        <v>7</v>
      </c>
      <c r="L813">
        <v>548</v>
      </c>
    </row>
    <row r="814" spans="1:12" x14ac:dyDescent="0.25">
      <c r="A814" t="s">
        <v>0</v>
      </c>
      <c r="B814" s="1">
        <v>43040</v>
      </c>
      <c r="C814" s="1">
        <v>55153</v>
      </c>
      <c r="D814" s="4" t="s">
        <v>1306</v>
      </c>
      <c r="E814" t="s">
        <v>10</v>
      </c>
      <c r="F814" t="s">
        <v>4</v>
      </c>
      <c r="G814" t="s">
        <v>2915</v>
      </c>
      <c r="H814" t="s">
        <v>2958</v>
      </c>
      <c r="I814" t="s">
        <v>2894</v>
      </c>
      <c r="J814" t="str">
        <f>IF(ISNUMBER(MATCH($D814,'Lopettaneet 2013-&gt;'!$D:$D,0)),INDEX('Lopettaneet 2013-&gt;'!$K:$K,MATCH($D814,'Lopettaneet 2013-&gt;'!$D:$D,0)),"Continues")</f>
        <v>Continues</v>
      </c>
      <c r="K814">
        <f ca="1">IF($J814="Continues",DATEDIF($B814,TODAY(),"Y"),INDEX('Lopettaneet 2013-&gt;'!$L:$L,MATCH($D814,'Lopettaneet 2013-&gt;'!$D:$D,0)))</f>
        <v>7</v>
      </c>
      <c r="L814">
        <v>549</v>
      </c>
    </row>
    <row r="815" spans="1:12" x14ac:dyDescent="0.25">
      <c r="A815" t="s">
        <v>0</v>
      </c>
      <c r="B815" s="1">
        <v>43040</v>
      </c>
      <c r="C815" s="1">
        <v>55153</v>
      </c>
      <c r="D815" s="4" t="s">
        <v>1308</v>
      </c>
      <c r="E815" t="s">
        <v>10</v>
      </c>
      <c r="F815" t="s">
        <v>4</v>
      </c>
      <c r="G815" t="s">
        <v>2917</v>
      </c>
      <c r="H815" t="s">
        <v>2958</v>
      </c>
      <c r="I815" t="s">
        <v>2894</v>
      </c>
      <c r="J815" t="str">
        <f>IF(ISNUMBER(MATCH($D815,'Lopettaneet 2013-&gt;'!$D:$D,0)),INDEX('Lopettaneet 2013-&gt;'!$K:$K,MATCH($D815,'Lopettaneet 2013-&gt;'!$D:$D,0)),"Continues")</f>
        <v>Continues</v>
      </c>
      <c r="K815">
        <f ca="1">IF($J815="Continues",DATEDIF($B815,TODAY(),"Y"),INDEX('Lopettaneet 2013-&gt;'!$L:$L,MATCH($D815,'Lopettaneet 2013-&gt;'!$D:$D,0)))</f>
        <v>7</v>
      </c>
      <c r="L815">
        <v>550</v>
      </c>
    </row>
    <row r="816" spans="1:12" x14ac:dyDescent="0.25">
      <c r="A816" t="s">
        <v>0</v>
      </c>
      <c r="B816" s="1">
        <v>43040</v>
      </c>
      <c r="C816" s="1">
        <v>55153</v>
      </c>
      <c r="D816" s="4" t="s">
        <v>1310</v>
      </c>
      <c r="E816" t="s">
        <v>10</v>
      </c>
      <c r="F816" t="s">
        <v>4</v>
      </c>
      <c r="G816" t="s">
        <v>2917</v>
      </c>
      <c r="H816" t="s">
        <v>2958</v>
      </c>
      <c r="I816" t="s">
        <v>2894</v>
      </c>
      <c r="J816" t="str">
        <f>IF(ISNUMBER(MATCH($D816,'Lopettaneet 2013-&gt;'!$D:$D,0)),INDEX('Lopettaneet 2013-&gt;'!$K:$K,MATCH($D816,'Lopettaneet 2013-&gt;'!$D:$D,0)),"Continues")</f>
        <v>Continues</v>
      </c>
      <c r="K816">
        <f ca="1">IF($J816="Continues",DATEDIF($B816,TODAY(),"Y"),INDEX('Lopettaneet 2013-&gt;'!$L:$L,MATCH($D816,'Lopettaneet 2013-&gt;'!$D:$D,0)))</f>
        <v>7</v>
      </c>
      <c r="L816">
        <v>551</v>
      </c>
    </row>
    <row r="817" spans="1:12" x14ac:dyDescent="0.25">
      <c r="A817" t="s">
        <v>0</v>
      </c>
      <c r="B817" s="1">
        <v>43009</v>
      </c>
      <c r="C817" s="1">
        <v>55153</v>
      </c>
      <c r="D817" s="4" t="s">
        <v>1312</v>
      </c>
      <c r="E817" t="s">
        <v>3</v>
      </c>
      <c r="F817" t="s">
        <v>4</v>
      </c>
      <c r="G817" t="s">
        <v>2917</v>
      </c>
      <c r="H817" t="s">
        <v>2957</v>
      </c>
      <c r="I817" t="s">
        <v>2894</v>
      </c>
      <c r="J817" t="str">
        <f>IF(ISNUMBER(MATCH($D817,'Lopettaneet 2013-&gt;'!$D:$D,0)),INDEX('Lopettaneet 2013-&gt;'!$K:$K,MATCH($D817,'Lopettaneet 2013-&gt;'!$D:$D,0)),"Continues")</f>
        <v>Continues</v>
      </c>
      <c r="K817">
        <f ca="1">IF($J817="Continues",DATEDIF($B817,TODAY(),"Y"),INDEX('Lopettaneet 2013-&gt;'!$L:$L,MATCH($D817,'Lopettaneet 2013-&gt;'!$D:$D,0)))</f>
        <v>7</v>
      </c>
      <c r="L817">
        <v>552</v>
      </c>
    </row>
    <row r="818" spans="1:12" x14ac:dyDescent="0.25">
      <c r="A818" t="s">
        <v>0</v>
      </c>
      <c r="B818" s="1">
        <v>43009</v>
      </c>
      <c r="C818" s="1">
        <v>55153</v>
      </c>
      <c r="D818" s="4" t="s">
        <v>1314</v>
      </c>
      <c r="E818" t="s">
        <v>3</v>
      </c>
      <c r="F818" t="s">
        <v>4</v>
      </c>
      <c r="G818" t="s">
        <v>2917</v>
      </c>
      <c r="H818" t="s">
        <v>2957</v>
      </c>
      <c r="I818" t="s">
        <v>2894</v>
      </c>
      <c r="J818" t="str">
        <f>IF(ISNUMBER(MATCH($D818,'Lopettaneet 2013-&gt;'!$D:$D,0)),INDEX('Lopettaneet 2013-&gt;'!$K:$K,MATCH($D818,'Lopettaneet 2013-&gt;'!$D:$D,0)),"Continues")</f>
        <v>Continues</v>
      </c>
      <c r="K818">
        <f ca="1">IF($J818="Continues",DATEDIF($B818,TODAY(),"Y"),INDEX('Lopettaneet 2013-&gt;'!$L:$L,MATCH($D818,'Lopettaneet 2013-&gt;'!$D:$D,0)))</f>
        <v>7</v>
      </c>
      <c r="L818">
        <v>553</v>
      </c>
    </row>
    <row r="819" spans="1:12" x14ac:dyDescent="0.25">
      <c r="A819" t="s">
        <v>0</v>
      </c>
      <c r="B819" s="1">
        <v>43070</v>
      </c>
      <c r="C819" s="1">
        <v>55153</v>
      </c>
      <c r="D819" s="4" t="s">
        <v>1316</v>
      </c>
      <c r="E819" t="s">
        <v>10</v>
      </c>
      <c r="F819" t="s">
        <v>4</v>
      </c>
      <c r="G819" t="s">
        <v>2914</v>
      </c>
      <c r="H819" t="s">
        <v>2966</v>
      </c>
      <c r="I819" t="s">
        <v>2894</v>
      </c>
      <c r="J819" t="str">
        <f>IF(ISNUMBER(MATCH($D819,'Lopettaneet 2013-&gt;'!$D:$D,0)),INDEX('Lopettaneet 2013-&gt;'!$K:$K,MATCH($D819,'Lopettaneet 2013-&gt;'!$D:$D,0)),"Continues")</f>
        <v>Continues</v>
      </c>
      <c r="K819">
        <f ca="1">IF($J819="Continues",DATEDIF($B819,TODAY(),"Y"),INDEX('Lopettaneet 2013-&gt;'!$L:$L,MATCH($D819,'Lopettaneet 2013-&gt;'!$D:$D,0)))</f>
        <v>7</v>
      </c>
      <c r="L819">
        <v>554</v>
      </c>
    </row>
    <row r="820" spans="1:12" x14ac:dyDescent="0.25">
      <c r="A820" t="s">
        <v>7</v>
      </c>
      <c r="B820" s="1">
        <v>43070</v>
      </c>
      <c r="C820" s="1">
        <v>55153</v>
      </c>
      <c r="D820" s="4" t="s">
        <v>1318</v>
      </c>
      <c r="E820" t="s">
        <v>10</v>
      </c>
      <c r="F820" t="s">
        <v>11</v>
      </c>
      <c r="G820" t="s">
        <v>2916</v>
      </c>
      <c r="H820" t="s">
        <v>3002</v>
      </c>
      <c r="I820" t="s">
        <v>2895</v>
      </c>
      <c r="J820" t="str">
        <f>IF(ISNUMBER(MATCH($D820,'Lopettaneet 2013-&gt;'!$D:$D,0)),INDEX('Lopettaneet 2013-&gt;'!$K:$K,MATCH($D820,'Lopettaneet 2013-&gt;'!$D:$D,0)),"Continues")</f>
        <v>Continues</v>
      </c>
      <c r="K820">
        <f ca="1">IF($J820="Continues",DATEDIF($B820,TODAY(),"Y"),INDEX('Lopettaneet 2013-&gt;'!$L:$L,MATCH($D820,'Lopettaneet 2013-&gt;'!$D:$D,0)))</f>
        <v>7</v>
      </c>
      <c r="L820">
        <v>555</v>
      </c>
    </row>
    <row r="821" spans="1:12" x14ac:dyDescent="0.25">
      <c r="A821" t="s">
        <v>0</v>
      </c>
      <c r="B821" s="1">
        <v>43009</v>
      </c>
      <c r="C821" s="1">
        <v>43616</v>
      </c>
      <c r="D821" s="4" t="s">
        <v>1320</v>
      </c>
      <c r="E821" t="s">
        <v>3</v>
      </c>
      <c r="F821" t="s">
        <v>4</v>
      </c>
      <c r="G821" t="s">
        <v>2915</v>
      </c>
      <c r="H821" t="s">
        <v>2842</v>
      </c>
      <c r="I821" t="s">
        <v>2909</v>
      </c>
      <c r="J821" t="str">
        <f>IF(ISNUMBER(MATCH($D821,'Lopettaneet 2013-&gt;'!$D:$D,0)),INDEX('Lopettaneet 2013-&gt;'!$K:$K,MATCH($D821,'Lopettaneet 2013-&gt;'!$D:$D,0)),"Continues")</f>
        <v>Closed</v>
      </c>
      <c r="K821">
        <f ca="1">IF($J821="Continues",DATEDIF($B821,TODAY(),"Y"),INDEX('Lopettaneet 2013-&gt;'!$L:$L,MATCH($D821,'Lopettaneet 2013-&gt;'!$D:$D,0)))</f>
        <v>1</v>
      </c>
      <c r="L821">
        <v>556</v>
      </c>
    </row>
    <row r="822" spans="1:12" x14ac:dyDescent="0.25">
      <c r="A822" t="s">
        <v>0</v>
      </c>
      <c r="B822" s="1">
        <v>43040</v>
      </c>
      <c r="C822" s="1">
        <v>44530</v>
      </c>
      <c r="D822" s="4" t="s">
        <v>1322</v>
      </c>
      <c r="E822" t="s">
        <v>10</v>
      </c>
      <c r="F822" t="s">
        <v>4</v>
      </c>
      <c r="G822" t="s">
        <v>2919</v>
      </c>
      <c r="H822" t="s">
        <v>2946</v>
      </c>
      <c r="I822" t="s">
        <v>2909</v>
      </c>
      <c r="J822" t="str">
        <f>IF(ISNUMBER(MATCH($D822,'Lopettaneet 2013-&gt;'!$D:$D,0)),INDEX('Lopettaneet 2013-&gt;'!$K:$K,MATCH($D822,'Lopettaneet 2013-&gt;'!$D:$D,0)),"Continues")</f>
        <v>Closed</v>
      </c>
      <c r="K822">
        <f ca="1">IF($J822="Continues",DATEDIF($B822,TODAY(),"Y"),INDEX('Lopettaneet 2013-&gt;'!$L:$L,MATCH($D822,'Lopettaneet 2013-&gt;'!$D:$D,0)))</f>
        <v>4</v>
      </c>
      <c r="L822">
        <v>557</v>
      </c>
    </row>
    <row r="823" spans="1:12" x14ac:dyDescent="0.25">
      <c r="A823" t="s">
        <v>0</v>
      </c>
      <c r="B823" s="1">
        <v>43101</v>
      </c>
      <c r="C823" s="1">
        <v>55153</v>
      </c>
      <c r="D823" s="4" t="s">
        <v>1324</v>
      </c>
      <c r="E823" t="s">
        <v>10</v>
      </c>
      <c r="F823" t="s">
        <v>4</v>
      </c>
      <c r="G823" t="s">
        <v>2914</v>
      </c>
      <c r="H823" t="s">
        <v>2953</v>
      </c>
      <c r="I823" t="s">
        <v>2894</v>
      </c>
      <c r="J823" t="str">
        <f>IF(ISNUMBER(MATCH($D823,'Lopettaneet 2013-&gt;'!$D:$D,0)),INDEX('Lopettaneet 2013-&gt;'!$K:$K,MATCH($D823,'Lopettaneet 2013-&gt;'!$D:$D,0)),"Continues")</f>
        <v>Continues</v>
      </c>
      <c r="K823">
        <f ca="1">IF($J823="Continues",DATEDIF($B823,TODAY(),"Y"),INDEX('Lopettaneet 2013-&gt;'!$L:$L,MATCH($D823,'Lopettaneet 2013-&gt;'!$D:$D,0)))</f>
        <v>7</v>
      </c>
      <c r="L823">
        <v>558</v>
      </c>
    </row>
    <row r="824" spans="1:12" x14ac:dyDescent="0.25">
      <c r="A824" t="s">
        <v>0</v>
      </c>
      <c r="B824" s="1">
        <v>43252</v>
      </c>
      <c r="C824" s="1">
        <v>55153</v>
      </c>
      <c r="D824" s="4" t="s">
        <v>1326</v>
      </c>
      <c r="E824" t="s">
        <v>3</v>
      </c>
      <c r="F824" t="s">
        <v>4</v>
      </c>
      <c r="G824" t="s">
        <v>2913</v>
      </c>
      <c r="H824" t="s">
        <v>2975</v>
      </c>
      <c r="I824" t="s">
        <v>2894</v>
      </c>
      <c r="J824" t="str">
        <f>IF(ISNUMBER(MATCH($D824,'Lopettaneet 2013-&gt;'!$D:$D,0)),INDEX('Lopettaneet 2013-&gt;'!$K:$K,MATCH($D824,'Lopettaneet 2013-&gt;'!$D:$D,0)),"Continues")</f>
        <v>Continues</v>
      </c>
      <c r="K824">
        <f ca="1">IF($J824="Continues",DATEDIF($B824,TODAY(),"Y"),INDEX('Lopettaneet 2013-&gt;'!$L:$L,MATCH($D824,'Lopettaneet 2013-&gt;'!$D:$D,0)))</f>
        <v>6</v>
      </c>
      <c r="L824">
        <v>559</v>
      </c>
    </row>
    <row r="825" spans="1:12" x14ac:dyDescent="0.25">
      <c r="A825" t="s">
        <v>0</v>
      </c>
      <c r="B825" s="1">
        <v>43252</v>
      </c>
      <c r="C825" s="1">
        <v>55153</v>
      </c>
      <c r="D825" s="4" t="s">
        <v>1328</v>
      </c>
      <c r="E825" t="s">
        <v>3</v>
      </c>
      <c r="F825" t="s">
        <v>4</v>
      </c>
      <c r="G825" t="s">
        <v>2917</v>
      </c>
      <c r="H825" t="s">
        <v>2975</v>
      </c>
      <c r="I825" t="s">
        <v>2894</v>
      </c>
      <c r="J825" t="str">
        <f>IF(ISNUMBER(MATCH($D825,'Lopettaneet 2013-&gt;'!$D:$D,0)),INDEX('Lopettaneet 2013-&gt;'!$K:$K,MATCH($D825,'Lopettaneet 2013-&gt;'!$D:$D,0)),"Continues")</f>
        <v>Continues</v>
      </c>
      <c r="K825">
        <f ca="1">IF($J825="Continues",DATEDIF($B825,TODAY(),"Y"),INDEX('Lopettaneet 2013-&gt;'!$L:$L,MATCH($D825,'Lopettaneet 2013-&gt;'!$D:$D,0)))</f>
        <v>6</v>
      </c>
      <c r="L825">
        <v>560</v>
      </c>
    </row>
    <row r="826" spans="1:12" x14ac:dyDescent="0.25">
      <c r="A826" t="s">
        <v>7</v>
      </c>
      <c r="B826" s="1">
        <v>42979</v>
      </c>
      <c r="C826" s="1">
        <v>55153</v>
      </c>
      <c r="D826" s="4" t="s">
        <v>1330</v>
      </c>
      <c r="E826" t="s">
        <v>10</v>
      </c>
      <c r="F826" t="s">
        <v>11</v>
      </c>
      <c r="G826" t="s">
        <v>2916</v>
      </c>
      <c r="H826" t="s">
        <v>2977</v>
      </c>
      <c r="I826" t="s">
        <v>2894</v>
      </c>
      <c r="J826" t="str">
        <f>IF(ISNUMBER(MATCH($D826,'Lopettaneet 2013-&gt;'!$D:$D,0)),INDEX('Lopettaneet 2013-&gt;'!$K:$K,MATCH($D826,'Lopettaneet 2013-&gt;'!$D:$D,0)),"Continues")</f>
        <v>Continues</v>
      </c>
      <c r="K826">
        <f ca="1">IF($J826="Continues",DATEDIF($B826,TODAY(),"Y"),INDEX('Lopettaneet 2013-&gt;'!$L:$L,MATCH($D826,'Lopettaneet 2013-&gt;'!$D:$D,0)))</f>
        <v>7</v>
      </c>
      <c r="L826">
        <v>561</v>
      </c>
    </row>
    <row r="827" spans="1:12" x14ac:dyDescent="0.25">
      <c r="A827" t="s">
        <v>0</v>
      </c>
      <c r="B827" s="1">
        <v>43040</v>
      </c>
      <c r="C827" s="1">
        <v>44712</v>
      </c>
      <c r="D827" s="4" t="s">
        <v>1332</v>
      </c>
      <c r="E827" t="s">
        <v>10</v>
      </c>
      <c r="F827" t="s">
        <v>4</v>
      </c>
      <c r="G827" t="s">
        <v>2915</v>
      </c>
      <c r="H827" t="s">
        <v>2923</v>
      </c>
      <c r="I827" t="s">
        <v>2909</v>
      </c>
      <c r="J827" t="str">
        <f>IF(ISNUMBER(MATCH($D827,'Lopettaneet 2013-&gt;'!$D:$D,0)),INDEX('Lopettaneet 2013-&gt;'!$K:$K,MATCH($D827,'Lopettaneet 2013-&gt;'!$D:$D,0)),"Continues")</f>
        <v>Closed</v>
      </c>
      <c r="K827">
        <f ca="1">IF($J827="Continues",DATEDIF($B827,TODAY(),"Y"),INDEX('Lopettaneet 2013-&gt;'!$L:$L,MATCH($D827,'Lopettaneet 2013-&gt;'!$D:$D,0)))</f>
        <v>4</v>
      </c>
      <c r="L827">
        <v>562</v>
      </c>
    </row>
    <row r="828" spans="1:12" x14ac:dyDescent="0.25">
      <c r="A828" t="s">
        <v>0</v>
      </c>
      <c r="B828" s="1">
        <v>43009</v>
      </c>
      <c r="C828" s="1">
        <v>43496</v>
      </c>
      <c r="D828" s="4" t="s">
        <v>1334</v>
      </c>
      <c r="E828" t="s">
        <v>10</v>
      </c>
      <c r="F828" t="s">
        <v>4</v>
      </c>
      <c r="G828" t="s">
        <v>2918</v>
      </c>
      <c r="H828" t="s">
        <v>2842</v>
      </c>
      <c r="I828" t="s">
        <v>2909</v>
      </c>
      <c r="J828" t="str">
        <f>IF(ISNUMBER(MATCH($D828,'Lopettaneet 2013-&gt;'!$D:$D,0)),INDEX('Lopettaneet 2013-&gt;'!$K:$K,MATCH($D828,'Lopettaneet 2013-&gt;'!$D:$D,0)),"Continues")</f>
        <v>Closed</v>
      </c>
      <c r="K828">
        <f ca="1">IF($J828="Continues",DATEDIF($B828,TODAY(),"Y"),INDEX('Lopettaneet 2013-&gt;'!$L:$L,MATCH($D828,'Lopettaneet 2013-&gt;'!$D:$D,0)))</f>
        <v>1</v>
      </c>
      <c r="L828">
        <v>563</v>
      </c>
    </row>
    <row r="829" spans="1:12" x14ac:dyDescent="0.25">
      <c r="A829" t="s">
        <v>0</v>
      </c>
      <c r="B829" s="1">
        <v>43070</v>
      </c>
      <c r="C829" s="1">
        <v>44196</v>
      </c>
      <c r="D829" s="4" t="s">
        <v>1336</v>
      </c>
      <c r="E829" t="s">
        <v>3</v>
      </c>
      <c r="F829" t="s">
        <v>4</v>
      </c>
      <c r="G829" t="s">
        <v>2913</v>
      </c>
      <c r="H829" t="s">
        <v>2952</v>
      </c>
      <c r="I829" t="s">
        <v>2909</v>
      </c>
      <c r="J829" t="str">
        <f>IF(ISNUMBER(MATCH($D829,'Lopettaneet 2013-&gt;'!$D:$D,0)),INDEX('Lopettaneet 2013-&gt;'!$K:$K,MATCH($D829,'Lopettaneet 2013-&gt;'!$D:$D,0)),"Continues")</f>
        <v>Closed</v>
      </c>
      <c r="K829">
        <f ca="1">IF($J829="Continues",DATEDIF($B829,TODAY(),"Y"),INDEX('Lopettaneet 2013-&gt;'!$L:$L,MATCH($D829,'Lopettaneet 2013-&gt;'!$D:$D,0)))</f>
        <v>3</v>
      </c>
      <c r="L829">
        <v>564</v>
      </c>
    </row>
    <row r="830" spans="1:12" x14ac:dyDescent="0.25">
      <c r="A830" t="s">
        <v>0</v>
      </c>
      <c r="B830" s="1">
        <v>43070</v>
      </c>
      <c r="C830" s="1">
        <v>55153</v>
      </c>
      <c r="D830" s="4" t="s">
        <v>1338</v>
      </c>
      <c r="E830" t="s">
        <v>3</v>
      </c>
      <c r="F830" t="s">
        <v>4</v>
      </c>
      <c r="G830" t="s">
        <v>2913</v>
      </c>
      <c r="H830" t="s">
        <v>2952</v>
      </c>
      <c r="I830" t="s">
        <v>2894</v>
      </c>
      <c r="J830" t="str">
        <f>IF(ISNUMBER(MATCH($D830,'Lopettaneet 2013-&gt;'!$D:$D,0)),INDEX('Lopettaneet 2013-&gt;'!$K:$K,MATCH($D830,'Lopettaneet 2013-&gt;'!$D:$D,0)),"Continues")</f>
        <v>Continues</v>
      </c>
      <c r="K830">
        <f ca="1">IF($J830="Continues",DATEDIF($B830,TODAY(),"Y"),INDEX('Lopettaneet 2013-&gt;'!$L:$L,MATCH($D830,'Lopettaneet 2013-&gt;'!$D:$D,0)))</f>
        <v>7</v>
      </c>
      <c r="L830">
        <v>565</v>
      </c>
    </row>
    <row r="831" spans="1:12" x14ac:dyDescent="0.25">
      <c r="A831" t="s">
        <v>0</v>
      </c>
      <c r="B831" s="1">
        <v>43070</v>
      </c>
      <c r="C831" s="1">
        <v>55153</v>
      </c>
      <c r="D831" s="4" t="s">
        <v>1340</v>
      </c>
      <c r="E831" t="s">
        <v>3</v>
      </c>
      <c r="F831" t="s">
        <v>4</v>
      </c>
      <c r="G831" t="s">
        <v>2915</v>
      </c>
      <c r="H831" t="s">
        <v>2952</v>
      </c>
      <c r="I831" t="s">
        <v>2894</v>
      </c>
      <c r="J831" t="str">
        <f>IF(ISNUMBER(MATCH($D831,'Lopettaneet 2013-&gt;'!$D:$D,0)),INDEX('Lopettaneet 2013-&gt;'!$K:$K,MATCH($D831,'Lopettaneet 2013-&gt;'!$D:$D,0)),"Continues")</f>
        <v>Continues</v>
      </c>
      <c r="K831">
        <f ca="1">IF($J831="Continues",DATEDIF($B831,TODAY(),"Y"),INDEX('Lopettaneet 2013-&gt;'!$L:$L,MATCH($D831,'Lopettaneet 2013-&gt;'!$D:$D,0)))</f>
        <v>7</v>
      </c>
      <c r="L831">
        <v>566</v>
      </c>
    </row>
    <row r="832" spans="1:12" x14ac:dyDescent="0.25">
      <c r="A832" t="s">
        <v>0</v>
      </c>
      <c r="B832" s="1">
        <v>43070</v>
      </c>
      <c r="C832" s="1">
        <v>55153</v>
      </c>
      <c r="D832" s="4" t="s">
        <v>1342</v>
      </c>
      <c r="E832" t="s">
        <v>3</v>
      </c>
      <c r="F832" t="s">
        <v>4</v>
      </c>
      <c r="G832" t="s">
        <v>2917</v>
      </c>
      <c r="H832" t="s">
        <v>2952</v>
      </c>
      <c r="I832" t="s">
        <v>2894</v>
      </c>
      <c r="J832" t="str">
        <f>IF(ISNUMBER(MATCH($D832,'Lopettaneet 2013-&gt;'!$D:$D,0)),INDEX('Lopettaneet 2013-&gt;'!$K:$K,MATCH($D832,'Lopettaneet 2013-&gt;'!$D:$D,0)),"Continues")</f>
        <v>Continues</v>
      </c>
      <c r="K832">
        <f ca="1">IF($J832="Continues",DATEDIF($B832,TODAY(),"Y"),INDEX('Lopettaneet 2013-&gt;'!$L:$L,MATCH($D832,'Lopettaneet 2013-&gt;'!$D:$D,0)))</f>
        <v>7</v>
      </c>
      <c r="L832">
        <v>567</v>
      </c>
    </row>
    <row r="833" spans="1:12" x14ac:dyDescent="0.25">
      <c r="A833" t="s">
        <v>0</v>
      </c>
      <c r="B833" s="1">
        <v>43070</v>
      </c>
      <c r="C833" s="1">
        <v>55153</v>
      </c>
      <c r="D833" s="4" t="s">
        <v>1344</v>
      </c>
      <c r="E833" t="s">
        <v>3</v>
      </c>
      <c r="F833" t="s">
        <v>4</v>
      </c>
      <c r="G833" t="s">
        <v>2917</v>
      </c>
      <c r="H833" t="s">
        <v>2952</v>
      </c>
      <c r="I833" t="s">
        <v>2894</v>
      </c>
      <c r="J833" t="str">
        <f>IF(ISNUMBER(MATCH($D833,'Lopettaneet 2013-&gt;'!$D:$D,0)),INDEX('Lopettaneet 2013-&gt;'!$K:$K,MATCH($D833,'Lopettaneet 2013-&gt;'!$D:$D,0)),"Continues")</f>
        <v>Continues</v>
      </c>
      <c r="K833">
        <f ca="1">IF($J833="Continues",DATEDIF($B833,TODAY(),"Y"),INDEX('Lopettaneet 2013-&gt;'!$L:$L,MATCH($D833,'Lopettaneet 2013-&gt;'!$D:$D,0)))</f>
        <v>7</v>
      </c>
      <c r="L833">
        <v>568</v>
      </c>
    </row>
    <row r="834" spans="1:12" x14ac:dyDescent="0.25">
      <c r="A834" t="s">
        <v>0</v>
      </c>
      <c r="B834" s="1">
        <v>43160</v>
      </c>
      <c r="C834" s="1">
        <v>44196</v>
      </c>
      <c r="D834" s="4" t="s">
        <v>1346</v>
      </c>
      <c r="E834" t="s">
        <v>3</v>
      </c>
      <c r="F834" t="s">
        <v>4</v>
      </c>
      <c r="G834" t="s">
        <v>2913</v>
      </c>
      <c r="H834" t="s">
        <v>2952</v>
      </c>
      <c r="I834" t="s">
        <v>2909</v>
      </c>
      <c r="J834" t="str">
        <f>IF(ISNUMBER(MATCH($D834,'Lopettaneet 2013-&gt;'!$D:$D,0)),INDEX('Lopettaneet 2013-&gt;'!$K:$K,MATCH($D834,'Lopettaneet 2013-&gt;'!$D:$D,0)),"Continues")</f>
        <v>Closed</v>
      </c>
      <c r="K834">
        <f ca="1">IF($J834="Continues",DATEDIF($B834,TODAY(),"Y"),INDEX('Lopettaneet 2013-&gt;'!$L:$L,MATCH($D834,'Lopettaneet 2013-&gt;'!$D:$D,0)))</f>
        <v>2</v>
      </c>
      <c r="L834">
        <v>569</v>
      </c>
    </row>
    <row r="835" spans="1:12" x14ac:dyDescent="0.25">
      <c r="A835" t="s">
        <v>0</v>
      </c>
      <c r="B835" s="1">
        <v>43160</v>
      </c>
      <c r="C835" s="1">
        <v>45382</v>
      </c>
      <c r="D835" s="4" t="s">
        <v>239</v>
      </c>
      <c r="E835" t="s">
        <v>3</v>
      </c>
      <c r="F835" t="s">
        <v>4</v>
      </c>
      <c r="G835" t="s">
        <v>2913</v>
      </c>
      <c r="H835" t="s">
        <v>2952</v>
      </c>
      <c r="I835" t="s">
        <v>2894</v>
      </c>
      <c r="J835" t="str">
        <f>IF(ISNUMBER(MATCH($D835,'Lopettaneet 2013-&gt;'!$D:$D,0)),INDEX('Lopettaneet 2013-&gt;'!$K:$K,MATCH($D835,'Lopettaneet 2013-&gt;'!$D:$D,0)),"Continues")</f>
        <v>Closed</v>
      </c>
      <c r="K835">
        <f ca="1">IF($J835="Continues",DATEDIF($B835,TODAY(),"Y"),INDEX('Lopettaneet 2013-&gt;'!$L:$L,MATCH($D835,'Lopettaneet 2013-&gt;'!$D:$D,0)))</f>
        <v>6</v>
      </c>
      <c r="L835">
        <v>570</v>
      </c>
    </row>
    <row r="836" spans="1:12" x14ac:dyDescent="0.25">
      <c r="A836" t="s">
        <v>0</v>
      </c>
      <c r="B836" s="1">
        <v>43160</v>
      </c>
      <c r="C836" s="1">
        <v>55153</v>
      </c>
      <c r="D836" s="4" t="s">
        <v>1348</v>
      </c>
      <c r="E836" t="s">
        <v>3</v>
      </c>
      <c r="F836" t="s">
        <v>4</v>
      </c>
      <c r="G836" t="s">
        <v>2915</v>
      </c>
      <c r="H836" t="s">
        <v>2952</v>
      </c>
      <c r="I836" t="s">
        <v>2894</v>
      </c>
      <c r="J836" t="str">
        <f>IF(ISNUMBER(MATCH($D836,'Lopettaneet 2013-&gt;'!$D:$D,0)),INDEX('Lopettaneet 2013-&gt;'!$K:$K,MATCH($D836,'Lopettaneet 2013-&gt;'!$D:$D,0)),"Continues")</f>
        <v>Continues</v>
      </c>
      <c r="K836">
        <f ca="1">IF($J836="Continues",DATEDIF($B836,TODAY(),"Y"),INDEX('Lopettaneet 2013-&gt;'!$L:$L,MATCH($D836,'Lopettaneet 2013-&gt;'!$D:$D,0)))</f>
        <v>7</v>
      </c>
      <c r="L836">
        <v>571</v>
      </c>
    </row>
    <row r="837" spans="1:12" x14ac:dyDescent="0.25">
      <c r="A837" t="s">
        <v>0</v>
      </c>
      <c r="B837" s="1">
        <v>43160</v>
      </c>
      <c r="C837" s="1">
        <v>55153</v>
      </c>
      <c r="D837" s="4" t="s">
        <v>1350</v>
      </c>
      <c r="E837" t="s">
        <v>3</v>
      </c>
      <c r="F837" t="s">
        <v>4</v>
      </c>
      <c r="G837" t="s">
        <v>2917</v>
      </c>
      <c r="H837" t="s">
        <v>2952</v>
      </c>
      <c r="I837" t="s">
        <v>2894</v>
      </c>
      <c r="J837" t="str">
        <f>IF(ISNUMBER(MATCH($D837,'Lopettaneet 2013-&gt;'!$D:$D,0)),INDEX('Lopettaneet 2013-&gt;'!$K:$K,MATCH($D837,'Lopettaneet 2013-&gt;'!$D:$D,0)),"Continues")</f>
        <v>Continues</v>
      </c>
      <c r="K837">
        <f ca="1">IF($J837="Continues",DATEDIF($B837,TODAY(),"Y"),INDEX('Lopettaneet 2013-&gt;'!$L:$L,MATCH($D837,'Lopettaneet 2013-&gt;'!$D:$D,0)))</f>
        <v>7</v>
      </c>
      <c r="L837">
        <v>572</v>
      </c>
    </row>
    <row r="838" spans="1:12" x14ac:dyDescent="0.25">
      <c r="A838" t="s">
        <v>0</v>
      </c>
      <c r="B838" s="1">
        <v>43160</v>
      </c>
      <c r="C838" s="1">
        <v>55153</v>
      </c>
      <c r="D838" s="4" t="s">
        <v>1352</v>
      </c>
      <c r="E838" t="s">
        <v>3</v>
      </c>
      <c r="F838" t="s">
        <v>4</v>
      </c>
      <c r="G838" t="s">
        <v>2917</v>
      </c>
      <c r="H838" t="s">
        <v>2952</v>
      </c>
      <c r="I838" t="s">
        <v>2894</v>
      </c>
      <c r="J838" t="str">
        <f>IF(ISNUMBER(MATCH($D838,'Lopettaneet 2013-&gt;'!$D:$D,0)),INDEX('Lopettaneet 2013-&gt;'!$K:$K,MATCH($D838,'Lopettaneet 2013-&gt;'!$D:$D,0)),"Continues")</f>
        <v>Continues</v>
      </c>
      <c r="K838">
        <f ca="1">IF($J838="Continues",DATEDIF($B838,TODAY(),"Y"),INDEX('Lopettaneet 2013-&gt;'!$L:$L,MATCH($D838,'Lopettaneet 2013-&gt;'!$D:$D,0)))</f>
        <v>7</v>
      </c>
      <c r="L838">
        <v>573</v>
      </c>
    </row>
    <row r="839" spans="1:12" x14ac:dyDescent="0.25">
      <c r="A839" t="s">
        <v>0</v>
      </c>
      <c r="B839" s="1">
        <v>43191</v>
      </c>
      <c r="C839" s="1">
        <v>44196</v>
      </c>
      <c r="D839" s="4" t="s">
        <v>1354</v>
      </c>
      <c r="E839" t="s">
        <v>3</v>
      </c>
      <c r="F839" t="s">
        <v>4</v>
      </c>
      <c r="G839" t="s">
        <v>2913</v>
      </c>
      <c r="H839" t="s">
        <v>2952</v>
      </c>
      <c r="I839" t="s">
        <v>2909</v>
      </c>
      <c r="J839" t="str">
        <f>IF(ISNUMBER(MATCH($D839,'Lopettaneet 2013-&gt;'!$D:$D,0)),INDEX('Lopettaneet 2013-&gt;'!$K:$K,MATCH($D839,'Lopettaneet 2013-&gt;'!$D:$D,0)),"Continues")</f>
        <v>Closed</v>
      </c>
      <c r="K839">
        <f ca="1">IF($J839="Continues",DATEDIF($B839,TODAY(),"Y"),INDEX('Lopettaneet 2013-&gt;'!$L:$L,MATCH($D839,'Lopettaneet 2013-&gt;'!$D:$D,0)))</f>
        <v>2</v>
      </c>
      <c r="L839">
        <v>574</v>
      </c>
    </row>
    <row r="840" spans="1:12" x14ac:dyDescent="0.25">
      <c r="A840" t="s">
        <v>0</v>
      </c>
      <c r="B840" s="1">
        <v>43191</v>
      </c>
      <c r="C840" s="1">
        <v>45382</v>
      </c>
      <c r="D840" s="4" t="s">
        <v>241</v>
      </c>
      <c r="E840" t="s">
        <v>3</v>
      </c>
      <c r="F840" t="s">
        <v>4</v>
      </c>
      <c r="G840" t="s">
        <v>2913</v>
      </c>
      <c r="H840" t="s">
        <v>2952</v>
      </c>
      <c r="I840" t="s">
        <v>2894</v>
      </c>
      <c r="J840" t="str">
        <f>IF(ISNUMBER(MATCH($D840,'Lopettaneet 2013-&gt;'!$D:$D,0)),INDEX('Lopettaneet 2013-&gt;'!$K:$K,MATCH($D840,'Lopettaneet 2013-&gt;'!$D:$D,0)),"Continues")</f>
        <v>Closed</v>
      </c>
      <c r="K840">
        <f ca="1">IF($J840="Continues",DATEDIF($B840,TODAY(),"Y"),INDEX('Lopettaneet 2013-&gt;'!$L:$L,MATCH($D840,'Lopettaneet 2013-&gt;'!$D:$D,0)))</f>
        <v>5</v>
      </c>
      <c r="L840">
        <v>575</v>
      </c>
    </row>
    <row r="841" spans="1:12" x14ac:dyDescent="0.25">
      <c r="A841" t="s">
        <v>0</v>
      </c>
      <c r="B841" s="1">
        <v>43191</v>
      </c>
      <c r="C841" s="1">
        <v>55153</v>
      </c>
      <c r="D841" s="4" t="s">
        <v>1356</v>
      </c>
      <c r="E841" t="s">
        <v>3</v>
      </c>
      <c r="F841" t="s">
        <v>4</v>
      </c>
      <c r="G841" t="s">
        <v>2915</v>
      </c>
      <c r="H841" t="s">
        <v>2952</v>
      </c>
      <c r="I841" t="s">
        <v>2894</v>
      </c>
      <c r="J841" t="str">
        <f>IF(ISNUMBER(MATCH($D841,'Lopettaneet 2013-&gt;'!$D:$D,0)),INDEX('Lopettaneet 2013-&gt;'!$K:$K,MATCH($D841,'Lopettaneet 2013-&gt;'!$D:$D,0)),"Continues")</f>
        <v>Continues</v>
      </c>
      <c r="K841">
        <f ca="1">IF($J841="Continues",DATEDIF($B841,TODAY(),"Y"),INDEX('Lopettaneet 2013-&gt;'!$L:$L,MATCH($D841,'Lopettaneet 2013-&gt;'!$D:$D,0)))</f>
        <v>7</v>
      </c>
      <c r="L841">
        <v>576</v>
      </c>
    </row>
    <row r="842" spans="1:12" x14ac:dyDescent="0.25">
      <c r="A842" t="s">
        <v>0</v>
      </c>
      <c r="B842" s="1">
        <v>43191</v>
      </c>
      <c r="C842" s="1">
        <v>55153</v>
      </c>
      <c r="D842" s="4" t="s">
        <v>1358</v>
      </c>
      <c r="E842" t="s">
        <v>3</v>
      </c>
      <c r="F842" t="s">
        <v>4</v>
      </c>
      <c r="G842" t="s">
        <v>2917</v>
      </c>
      <c r="H842" t="s">
        <v>2952</v>
      </c>
      <c r="I842" t="s">
        <v>2894</v>
      </c>
      <c r="J842" t="str">
        <f>IF(ISNUMBER(MATCH($D842,'Lopettaneet 2013-&gt;'!$D:$D,0)),INDEX('Lopettaneet 2013-&gt;'!$K:$K,MATCH($D842,'Lopettaneet 2013-&gt;'!$D:$D,0)),"Continues")</f>
        <v>Continues</v>
      </c>
      <c r="K842">
        <f ca="1">IF($J842="Continues",DATEDIF($B842,TODAY(),"Y"),INDEX('Lopettaneet 2013-&gt;'!$L:$L,MATCH($D842,'Lopettaneet 2013-&gt;'!$D:$D,0)))</f>
        <v>7</v>
      </c>
      <c r="L842">
        <v>577</v>
      </c>
    </row>
    <row r="843" spans="1:12" x14ac:dyDescent="0.25">
      <c r="A843" t="s">
        <v>0</v>
      </c>
      <c r="B843" s="1">
        <v>43191</v>
      </c>
      <c r="C843" s="1">
        <v>43646</v>
      </c>
      <c r="D843" s="4" t="s">
        <v>1360</v>
      </c>
      <c r="E843" t="s">
        <v>3</v>
      </c>
      <c r="F843" t="s">
        <v>4</v>
      </c>
      <c r="G843" t="s">
        <v>2917</v>
      </c>
      <c r="H843" t="s">
        <v>2952</v>
      </c>
      <c r="I843" t="s">
        <v>2909</v>
      </c>
      <c r="J843" t="str">
        <f>IF(ISNUMBER(MATCH($D843,'Lopettaneet 2013-&gt;'!$D:$D,0)),INDEX('Lopettaneet 2013-&gt;'!$K:$K,MATCH($D843,'Lopettaneet 2013-&gt;'!$D:$D,0)),"Continues")</f>
        <v>Closed</v>
      </c>
      <c r="K843">
        <f ca="1">IF($J843="Continues",DATEDIF($B843,TODAY(),"Y"),INDEX('Lopettaneet 2013-&gt;'!$L:$L,MATCH($D843,'Lopettaneet 2013-&gt;'!$D:$D,0)))</f>
        <v>1</v>
      </c>
      <c r="L843">
        <v>578</v>
      </c>
    </row>
    <row r="844" spans="1:12" x14ac:dyDescent="0.25">
      <c r="A844" t="s">
        <v>0</v>
      </c>
      <c r="B844" s="1">
        <v>43070</v>
      </c>
      <c r="C844" s="1">
        <v>44196</v>
      </c>
      <c r="D844" s="4" t="s">
        <v>1362</v>
      </c>
      <c r="E844" t="s">
        <v>3</v>
      </c>
      <c r="F844" t="s">
        <v>4</v>
      </c>
      <c r="G844" t="s">
        <v>2913</v>
      </c>
      <c r="H844" t="s">
        <v>2952</v>
      </c>
      <c r="I844" t="s">
        <v>2909</v>
      </c>
      <c r="J844" t="str">
        <f>IF(ISNUMBER(MATCH($D844,'Lopettaneet 2013-&gt;'!$D:$D,0)),INDEX('Lopettaneet 2013-&gt;'!$K:$K,MATCH($D844,'Lopettaneet 2013-&gt;'!$D:$D,0)),"Continues")</f>
        <v>Closed</v>
      </c>
      <c r="K844">
        <f ca="1">IF($J844="Continues",DATEDIF($B844,TODAY(),"Y"),INDEX('Lopettaneet 2013-&gt;'!$L:$L,MATCH($D844,'Lopettaneet 2013-&gt;'!$D:$D,0)))</f>
        <v>3</v>
      </c>
      <c r="L844">
        <v>579</v>
      </c>
    </row>
    <row r="845" spans="1:12" x14ac:dyDescent="0.25">
      <c r="A845" t="s">
        <v>0</v>
      </c>
      <c r="B845" s="1">
        <v>43070</v>
      </c>
      <c r="C845" s="1">
        <v>55153</v>
      </c>
      <c r="D845" s="4" t="s">
        <v>1364</v>
      </c>
      <c r="E845" t="s">
        <v>3</v>
      </c>
      <c r="F845" t="s">
        <v>4</v>
      </c>
      <c r="G845" t="s">
        <v>2913</v>
      </c>
      <c r="H845" t="s">
        <v>2952</v>
      </c>
      <c r="I845" t="s">
        <v>2894</v>
      </c>
      <c r="J845" t="str">
        <f>IF(ISNUMBER(MATCH($D845,'Lopettaneet 2013-&gt;'!$D:$D,0)),INDEX('Lopettaneet 2013-&gt;'!$K:$K,MATCH($D845,'Lopettaneet 2013-&gt;'!$D:$D,0)),"Continues")</f>
        <v>Continues</v>
      </c>
      <c r="K845">
        <f ca="1">IF($J845="Continues",DATEDIF($B845,TODAY(),"Y"),INDEX('Lopettaneet 2013-&gt;'!$L:$L,MATCH($D845,'Lopettaneet 2013-&gt;'!$D:$D,0)))</f>
        <v>7</v>
      </c>
      <c r="L845">
        <v>580</v>
      </c>
    </row>
    <row r="846" spans="1:12" x14ac:dyDescent="0.25">
      <c r="A846" t="s">
        <v>0</v>
      </c>
      <c r="B846" s="1">
        <v>43070</v>
      </c>
      <c r="C846" s="1">
        <v>55153</v>
      </c>
      <c r="D846" s="4" t="s">
        <v>1366</v>
      </c>
      <c r="E846" t="s">
        <v>3</v>
      </c>
      <c r="F846" t="s">
        <v>4</v>
      </c>
      <c r="G846" t="s">
        <v>2915</v>
      </c>
      <c r="H846" t="s">
        <v>2952</v>
      </c>
      <c r="I846" t="s">
        <v>2894</v>
      </c>
      <c r="J846" t="str">
        <f>IF(ISNUMBER(MATCH($D846,'Lopettaneet 2013-&gt;'!$D:$D,0)),INDEX('Lopettaneet 2013-&gt;'!$K:$K,MATCH($D846,'Lopettaneet 2013-&gt;'!$D:$D,0)),"Continues")</f>
        <v>Continues</v>
      </c>
      <c r="K846">
        <f ca="1">IF($J846="Continues",DATEDIF($B846,TODAY(),"Y"),INDEX('Lopettaneet 2013-&gt;'!$L:$L,MATCH($D846,'Lopettaneet 2013-&gt;'!$D:$D,0)))</f>
        <v>7</v>
      </c>
      <c r="L846">
        <v>581</v>
      </c>
    </row>
    <row r="847" spans="1:12" x14ac:dyDescent="0.25">
      <c r="A847" t="s">
        <v>0</v>
      </c>
      <c r="B847" s="1">
        <v>43070</v>
      </c>
      <c r="C847" s="1">
        <v>55153</v>
      </c>
      <c r="D847" s="4" t="s">
        <v>1368</v>
      </c>
      <c r="E847" t="s">
        <v>3</v>
      </c>
      <c r="F847" t="s">
        <v>4</v>
      </c>
      <c r="G847" t="s">
        <v>2917</v>
      </c>
      <c r="H847" t="s">
        <v>2952</v>
      </c>
      <c r="I847" t="s">
        <v>2894</v>
      </c>
      <c r="J847" t="str">
        <f>IF(ISNUMBER(MATCH($D847,'Lopettaneet 2013-&gt;'!$D:$D,0)),INDEX('Lopettaneet 2013-&gt;'!$K:$K,MATCH($D847,'Lopettaneet 2013-&gt;'!$D:$D,0)),"Continues")</f>
        <v>Continues</v>
      </c>
      <c r="K847">
        <f ca="1">IF($J847="Continues",DATEDIF($B847,TODAY(),"Y"),INDEX('Lopettaneet 2013-&gt;'!$L:$L,MATCH($D847,'Lopettaneet 2013-&gt;'!$D:$D,0)))</f>
        <v>7</v>
      </c>
      <c r="L847">
        <v>582</v>
      </c>
    </row>
    <row r="848" spans="1:12" x14ac:dyDescent="0.25">
      <c r="A848" t="s">
        <v>0</v>
      </c>
      <c r="B848" s="1">
        <v>43070</v>
      </c>
      <c r="C848" s="1">
        <v>55153</v>
      </c>
      <c r="D848" s="4" t="s">
        <v>1370</v>
      </c>
      <c r="E848" t="s">
        <v>3</v>
      </c>
      <c r="F848" t="s">
        <v>4</v>
      </c>
      <c r="G848" t="s">
        <v>2917</v>
      </c>
      <c r="H848" t="s">
        <v>2952</v>
      </c>
      <c r="I848" t="s">
        <v>2894</v>
      </c>
      <c r="J848" t="str">
        <f>IF(ISNUMBER(MATCH($D848,'Lopettaneet 2013-&gt;'!$D:$D,0)),INDEX('Lopettaneet 2013-&gt;'!$K:$K,MATCH($D848,'Lopettaneet 2013-&gt;'!$D:$D,0)),"Continues")</f>
        <v>Continues</v>
      </c>
      <c r="K848">
        <f ca="1">IF($J848="Continues",DATEDIF($B848,TODAY(),"Y"),INDEX('Lopettaneet 2013-&gt;'!$L:$L,MATCH($D848,'Lopettaneet 2013-&gt;'!$D:$D,0)))</f>
        <v>7</v>
      </c>
      <c r="L848">
        <v>583</v>
      </c>
    </row>
    <row r="849" spans="1:12" x14ac:dyDescent="0.25">
      <c r="A849" t="s">
        <v>7</v>
      </c>
      <c r="B849" s="1">
        <v>43160</v>
      </c>
      <c r="C849" s="1">
        <v>55153</v>
      </c>
      <c r="D849" s="4" t="s">
        <v>1372</v>
      </c>
      <c r="E849" t="s">
        <v>10</v>
      </c>
      <c r="F849" t="s">
        <v>11</v>
      </c>
      <c r="G849" t="s">
        <v>2912</v>
      </c>
      <c r="H849" t="s">
        <v>2950</v>
      </c>
      <c r="I849" t="s">
        <v>2895</v>
      </c>
      <c r="J849" t="str">
        <f>IF(ISNUMBER(MATCH($D849,'Lopettaneet 2013-&gt;'!$D:$D,0)),INDEX('Lopettaneet 2013-&gt;'!$K:$K,MATCH($D849,'Lopettaneet 2013-&gt;'!$D:$D,0)),"Continues")</f>
        <v>Continues</v>
      </c>
      <c r="K849">
        <f ca="1">IF($J849="Continues",DATEDIF($B849,TODAY(),"Y"),INDEX('Lopettaneet 2013-&gt;'!$L:$L,MATCH($D849,'Lopettaneet 2013-&gt;'!$D:$D,0)))</f>
        <v>7</v>
      </c>
      <c r="L849">
        <v>584</v>
      </c>
    </row>
    <row r="850" spans="1:12" x14ac:dyDescent="0.25">
      <c r="A850" t="s">
        <v>0</v>
      </c>
      <c r="B850" s="1">
        <v>43132</v>
      </c>
      <c r="C850" s="1">
        <v>55153</v>
      </c>
      <c r="D850" s="4" t="s">
        <v>1374</v>
      </c>
      <c r="E850" t="s">
        <v>3</v>
      </c>
      <c r="F850" t="s">
        <v>4</v>
      </c>
      <c r="G850" t="s">
        <v>2917</v>
      </c>
      <c r="H850" t="s">
        <v>2976</v>
      </c>
      <c r="I850" t="s">
        <v>2894</v>
      </c>
      <c r="J850" t="str">
        <f>IF(ISNUMBER(MATCH($D850,'Lopettaneet 2013-&gt;'!$D:$D,0)),INDEX('Lopettaneet 2013-&gt;'!$K:$K,MATCH($D850,'Lopettaneet 2013-&gt;'!$D:$D,0)),"Continues")</f>
        <v>Continues</v>
      </c>
      <c r="K850">
        <f ca="1">IF($J850="Continues",DATEDIF($B850,TODAY(),"Y"),INDEX('Lopettaneet 2013-&gt;'!$L:$L,MATCH($D850,'Lopettaneet 2013-&gt;'!$D:$D,0)))</f>
        <v>7</v>
      </c>
      <c r="L850">
        <v>585</v>
      </c>
    </row>
    <row r="851" spans="1:12" x14ac:dyDescent="0.25">
      <c r="A851" t="s">
        <v>7</v>
      </c>
      <c r="B851" s="1">
        <v>43040</v>
      </c>
      <c r="C851" s="1">
        <v>55153</v>
      </c>
      <c r="D851" s="4" t="s">
        <v>1376</v>
      </c>
      <c r="E851" t="s">
        <v>10</v>
      </c>
      <c r="F851" t="s">
        <v>11</v>
      </c>
      <c r="G851" t="s">
        <v>2918</v>
      </c>
      <c r="H851" t="s">
        <v>2975</v>
      </c>
      <c r="I851" t="s">
        <v>2895</v>
      </c>
      <c r="J851" t="str">
        <f>IF(ISNUMBER(MATCH($D851,'Lopettaneet 2013-&gt;'!$D:$D,0)),INDEX('Lopettaneet 2013-&gt;'!$K:$K,MATCH($D851,'Lopettaneet 2013-&gt;'!$D:$D,0)),"Continues")</f>
        <v>Continues</v>
      </c>
      <c r="K851">
        <f ca="1">IF($J851="Continues",DATEDIF($B851,TODAY(),"Y"),INDEX('Lopettaneet 2013-&gt;'!$L:$L,MATCH($D851,'Lopettaneet 2013-&gt;'!$D:$D,0)))</f>
        <v>7</v>
      </c>
      <c r="L851">
        <v>586</v>
      </c>
    </row>
    <row r="852" spans="1:12" x14ac:dyDescent="0.25">
      <c r="A852" t="s">
        <v>7</v>
      </c>
      <c r="B852" s="1">
        <v>43525</v>
      </c>
      <c r="C852" s="1">
        <v>55153</v>
      </c>
      <c r="D852" s="4" t="s">
        <v>1378</v>
      </c>
      <c r="E852" t="s">
        <v>10</v>
      </c>
      <c r="F852" t="s">
        <v>11</v>
      </c>
      <c r="G852" t="s">
        <v>2914</v>
      </c>
      <c r="H852" t="s">
        <v>2976</v>
      </c>
      <c r="I852" t="s">
        <v>2895</v>
      </c>
      <c r="J852" t="str">
        <f>IF(ISNUMBER(MATCH($D852,'Lopettaneet 2013-&gt;'!$D:$D,0)),INDEX('Lopettaneet 2013-&gt;'!$K:$K,MATCH($D852,'Lopettaneet 2013-&gt;'!$D:$D,0)),"Continues")</f>
        <v>Continues</v>
      </c>
      <c r="K852">
        <f ca="1">IF($J852="Continues",DATEDIF($B852,TODAY(),"Y"),INDEX('Lopettaneet 2013-&gt;'!$L:$L,MATCH($D852,'Lopettaneet 2013-&gt;'!$D:$D,0)))</f>
        <v>6</v>
      </c>
      <c r="L852">
        <v>587</v>
      </c>
    </row>
    <row r="853" spans="1:12" x14ac:dyDescent="0.25">
      <c r="A853" t="s">
        <v>0</v>
      </c>
      <c r="B853" s="1">
        <v>43101</v>
      </c>
      <c r="C853" s="1">
        <v>55153</v>
      </c>
      <c r="D853" s="4" t="s">
        <v>1380</v>
      </c>
      <c r="E853" t="s">
        <v>3</v>
      </c>
      <c r="F853" t="s">
        <v>4</v>
      </c>
      <c r="G853" t="s">
        <v>2913</v>
      </c>
      <c r="H853" t="s">
        <v>2953</v>
      </c>
      <c r="I853" t="s">
        <v>2894</v>
      </c>
      <c r="J853" t="str">
        <f>IF(ISNUMBER(MATCH($D853,'Lopettaneet 2013-&gt;'!$D:$D,0)),INDEX('Lopettaneet 2013-&gt;'!$K:$K,MATCH($D853,'Lopettaneet 2013-&gt;'!$D:$D,0)),"Continues")</f>
        <v>Merged</v>
      </c>
      <c r="K853">
        <f ca="1">IF($J853="Continues",DATEDIF($B853,TODAY(),"Y"),INDEX('Lopettaneet 2013-&gt;'!$L:$L,MATCH($D853,'Lopettaneet 2013-&gt;'!$D:$D,0)))</f>
        <v>6</v>
      </c>
      <c r="L853">
        <v>588</v>
      </c>
    </row>
    <row r="854" spans="1:12" x14ac:dyDescent="0.25">
      <c r="A854" t="s">
        <v>0</v>
      </c>
      <c r="B854" s="1">
        <v>43070</v>
      </c>
      <c r="C854" s="1">
        <v>55153</v>
      </c>
      <c r="D854" s="4" t="s">
        <v>1382</v>
      </c>
      <c r="E854" t="s">
        <v>10</v>
      </c>
      <c r="F854" t="s">
        <v>4</v>
      </c>
      <c r="G854" t="s">
        <v>2917</v>
      </c>
      <c r="H854" t="s">
        <v>2766</v>
      </c>
      <c r="I854" t="s">
        <v>2894</v>
      </c>
      <c r="J854" t="str">
        <f>IF(ISNUMBER(MATCH($D854,'Lopettaneet 2013-&gt;'!$D:$D,0)),INDEX('Lopettaneet 2013-&gt;'!$K:$K,MATCH($D854,'Lopettaneet 2013-&gt;'!$D:$D,0)),"Continues")</f>
        <v>Continues</v>
      </c>
      <c r="K854">
        <f ca="1">IF($J854="Continues",DATEDIF($B854,TODAY(),"Y"),INDEX('Lopettaneet 2013-&gt;'!$L:$L,MATCH($D854,'Lopettaneet 2013-&gt;'!$D:$D,0)))</f>
        <v>7</v>
      </c>
      <c r="L854">
        <v>589</v>
      </c>
    </row>
    <row r="855" spans="1:12" x14ac:dyDescent="0.25">
      <c r="A855" t="s">
        <v>7</v>
      </c>
      <c r="B855" s="1">
        <v>43252</v>
      </c>
      <c r="C855" s="1">
        <v>55153</v>
      </c>
      <c r="D855" s="4" t="s">
        <v>1384</v>
      </c>
      <c r="E855" t="s">
        <v>10</v>
      </c>
      <c r="F855" t="s">
        <v>11</v>
      </c>
      <c r="G855" t="s">
        <v>2912</v>
      </c>
      <c r="H855" t="s">
        <v>2766</v>
      </c>
      <c r="I855" t="s">
        <v>2895</v>
      </c>
      <c r="J855" t="str">
        <f>IF(ISNUMBER(MATCH($D855,'Lopettaneet 2013-&gt;'!$D:$D,0)),INDEX('Lopettaneet 2013-&gt;'!$K:$K,MATCH($D855,'Lopettaneet 2013-&gt;'!$D:$D,0)),"Continues")</f>
        <v>Continues</v>
      </c>
      <c r="K855">
        <f ca="1">IF($J855="Continues",DATEDIF($B855,TODAY(),"Y"),INDEX('Lopettaneet 2013-&gt;'!$L:$L,MATCH($D855,'Lopettaneet 2013-&gt;'!$D:$D,0)))</f>
        <v>6</v>
      </c>
      <c r="L855">
        <v>590</v>
      </c>
    </row>
    <row r="856" spans="1:12" x14ac:dyDescent="0.25">
      <c r="A856" t="s">
        <v>0</v>
      </c>
      <c r="B856" s="1">
        <v>43221</v>
      </c>
      <c r="C856" s="1">
        <v>55153</v>
      </c>
      <c r="D856" s="4" t="s">
        <v>1386</v>
      </c>
      <c r="E856" t="s">
        <v>10</v>
      </c>
      <c r="F856" t="s">
        <v>11</v>
      </c>
      <c r="G856" t="s">
        <v>2917</v>
      </c>
      <c r="H856" t="s">
        <v>2766</v>
      </c>
      <c r="I856" t="s">
        <v>2895</v>
      </c>
      <c r="J856" t="str">
        <f>IF(ISNUMBER(MATCH($D856,'Lopettaneet 2013-&gt;'!$D:$D,0)),INDEX('Lopettaneet 2013-&gt;'!$K:$K,MATCH($D856,'Lopettaneet 2013-&gt;'!$D:$D,0)),"Continues")</f>
        <v>Continues</v>
      </c>
      <c r="K856">
        <f ca="1">IF($J856="Continues",DATEDIF($B856,TODAY(),"Y"),INDEX('Lopettaneet 2013-&gt;'!$L:$L,MATCH($D856,'Lopettaneet 2013-&gt;'!$D:$D,0)))</f>
        <v>7</v>
      </c>
      <c r="L856">
        <v>591</v>
      </c>
    </row>
    <row r="857" spans="1:12" x14ac:dyDescent="0.25">
      <c r="A857" t="s">
        <v>7</v>
      </c>
      <c r="B857" s="1">
        <v>43160</v>
      </c>
      <c r="C857" s="1">
        <v>55153</v>
      </c>
      <c r="D857" s="4" t="s">
        <v>1388</v>
      </c>
      <c r="E857" t="s">
        <v>10</v>
      </c>
      <c r="F857" t="s">
        <v>11</v>
      </c>
      <c r="G857" t="s">
        <v>2916</v>
      </c>
      <c r="H857" t="s">
        <v>2986</v>
      </c>
      <c r="I857" t="s">
        <v>2895</v>
      </c>
      <c r="J857" t="str">
        <f>IF(ISNUMBER(MATCH($D857,'Lopettaneet 2013-&gt;'!$D:$D,0)),INDEX('Lopettaneet 2013-&gt;'!$K:$K,MATCH($D857,'Lopettaneet 2013-&gt;'!$D:$D,0)),"Continues")</f>
        <v>Continues</v>
      </c>
      <c r="K857">
        <f ca="1">IF($J857="Continues",DATEDIF($B857,TODAY(),"Y"),INDEX('Lopettaneet 2013-&gt;'!$L:$L,MATCH($D857,'Lopettaneet 2013-&gt;'!$D:$D,0)))</f>
        <v>7</v>
      </c>
      <c r="L857">
        <v>592</v>
      </c>
    </row>
    <row r="858" spans="1:12" x14ac:dyDescent="0.25">
      <c r="A858" t="s">
        <v>0</v>
      </c>
      <c r="B858" s="1">
        <v>43191</v>
      </c>
      <c r="C858" s="1">
        <v>55153</v>
      </c>
      <c r="D858" s="4" t="s">
        <v>3201</v>
      </c>
      <c r="E858" t="s">
        <v>10</v>
      </c>
      <c r="F858" t="s">
        <v>11</v>
      </c>
      <c r="G858" t="s">
        <v>2918</v>
      </c>
      <c r="H858" t="s">
        <v>2777</v>
      </c>
      <c r="I858" t="s">
        <v>2895</v>
      </c>
      <c r="J858" t="str">
        <f>IF(ISNUMBER(MATCH($D858,'Lopettaneet 2013-&gt;'!$D:$D,0)),INDEX('Lopettaneet 2013-&gt;'!$K:$K,MATCH($D858,'Lopettaneet 2013-&gt;'!$D:$D,0)),"Continues")</f>
        <v>Continues</v>
      </c>
      <c r="K858">
        <f ca="1">IF($J858="Continues",DATEDIF($B858,TODAY(),"Y"),INDEX('Lopettaneet 2013-&gt;'!$L:$L,MATCH($D858,'Lopettaneet 2013-&gt;'!$D:$D,0)))</f>
        <v>7</v>
      </c>
      <c r="L858">
        <v>593</v>
      </c>
    </row>
    <row r="859" spans="1:12" x14ac:dyDescent="0.25">
      <c r="A859" t="s">
        <v>7</v>
      </c>
      <c r="B859" s="1">
        <v>43891</v>
      </c>
      <c r="C859" s="1">
        <v>55153</v>
      </c>
      <c r="D859" s="4" t="s">
        <v>1392</v>
      </c>
      <c r="E859" t="s">
        <v>10</v>
      </c>
      <c r="F859" t="s">
        <v>11</v>
      </c>
      <c r="G859" t="s">
        <v>2918</v>
      </c>
      <c r="H859" t="s">
        <v>2975</v>
      </c>
      <c r="I859" t="s">
        <v>2895</v>
      </c>
      <c r="J859" t="str">
        <f>IF(ISNUMBER(MATCH($D859,'Lopettaneet 2013-&gt;'!$D:$D,0)),INDEX('Lopettaneet 2013-&gt;'!$K:$K,MATCH($D859,'Lopettaneet 2013-&gt;'!$D:$D,0)),"Continues")</f>
        <v>Continues</v>
      </c>
      <c r="K859">
        <f ca="1">IF($J859="Continues",DATEDIF($B859,TODAY(),"Y"),INDEX('Lopettaneet 2013-&gt;'!$L:$L,MATCH($D859,'Lopettaneet 2013-&gt;'!$D:$D,0)))</f>
        <v>5</v>
      </c>
      <c r="L859">
        <v>594</v>
      </c>
    </row>
    <row r="860" spans="1:12" x14ac:dyDescent="0.25">
      <c r="A860" t="s">
        <v>0</v>
      </c>
      <c r="B860" s="1">
        <v>43101</v>
      </c>
      <c r="C860" s="1">
        <v>55153</v>
      </c>
      <c r="D860" s="4" t="s">
        <v>3202</v>
      </c>
      <c r="E860" t="s">
        <v>3</v>
      </c>
      <c r="F860" t="s">
        <v>4</v>
      </c>
      <c r="G860" t="s">
        <v>2913</v>
      </c>
      <c r="H860" t="s">
        <v>2777</v>
      </c>
      <c r="I860" t="s">
        <v>2894</v>
      </c>
      <c r="J860" t="str">
        <f>IF(ISNUMBER(MATCH($D860,'Lopettaneet 2013-&gt;'!$D:$D,0)),INDEX('Lopettaneet 2013-&gt;'!$K:$K,MATCH($D860,'Lopettaneet 2013-&gt;'!$D:$D,0)),"Continues")</f>
        <v>Continues</v>
      </c>
      <c r="K860">
        <f ca="1">IF($J860="Continues",DATEDIF($B860,TODAY(),"Y"),INDEX('Lopettaneet 2013-&gt;'!$L:$L,MATCH($D860,'Lopettaneet 2013-&gt;'!$D:$D,0)))</f>
        <v>7</v>
      </c>
      <c r="L860">
        <v>595</v>
      </c>
    </row>
    <row r="861" spans="1:12" x14ac:dyDescent="0.25">
      <c r="A861" t="s">
        <v>0</v>
      </c>
      <c r="B861" s="1">
        <v>43101</v>
      </c>
      <c r="C861" s="1">
        <v>55153</v>
      </c>
      <c r="D861" s="4" t="s">
        <v>3203</v>
      </c>
      <c r="E861" t="s">
        <v>3</v>
      </c>
      <c r="F861" t="s">
        <v>4</v>
      </c>
      <c r="G861" t="s">
        <v>2915</v>
      </c>
      <c r="H861" t="s">
        <v>2777</v>
      </c>
      <c r="I861" t="s">
        <v>2894</v>
      </c>
      <c r="J861" t="str">
        <f>IF(ISNUMBER(MATCH($D861,'Lopettaneet 2013-&gt;'!$D:$D,0)),INDEX('Lopettaneet 2013-&gt;'!$K:$K,MATCH($D861,'Lopettaneet 2013-&gt;'!$D:$D,0)),"Continues")</f>
        <v>Continues</v>
      </c>
      <c r="K861">
        <f ca="1">IF($J861="Continues",DATEDIF($B861,TODAY(),"Y"),INDEX('Lopettaneet 2013-&gt;'!$L:$L,MATCH($D861,'Lopettaneet 2013-&gt;'!$D:$D,0)))</f>
        <v>7</v>
      </c>
      <c r="L861">
        <v>596</v>
      </c>
    </row>
    <row r="862" spans="1:12" x14ac:dyDescent="0.25">
      <c r="A862" t="s">
        <v>0</v>
      </c>
      <c r="B862" s="1">
        <v>43101</v>
      </c>
      <c r="C862" s="1">
        <v>55153</v>
      </c>
      <c r="D862" s="4" t="s">
        <v>3204</v>
      </c>
      <c r="E862" t="s">
        <v>3</v>
      </c>
      <c r="F862" t="s">
        <v>4</v>
      </c>
      <c r="G862" t="s">
        <v>2917</v>
      </c>
      <c r="H862" t="s">
        <v>2777</v>
      </c>
      <c r="I862" t="s">
        <v>2894</v>
      </c>
      <c r="J862" t="str">
        <f>IF(ISNUMBER(MATCH($D862,'Lopettaneet 2013-&gt;'!$D:$D,0)),INDEX('Lopettaneet 2013-&gt;'!$K:$K,MATCH($D862,'Lopettaneet 2013-&gt;'!$D:$D,0)),"Continues")</f>
        <v>Continues</v>
      </c>
      <c r="K862">
        <f ca="1">IF($J862="Continues",DATEDIF($B862,TODAY(),"Y"),INDEX('Lopettaneet 2013-&gt;'!$L:$L,MATCH($D862,'Lopettaneet 2013-&gt;'!$D:$D,0)))</f>
        <v>7</v>
      </c>
      <c r="L862">
        <v>597</v>
      </c>
    </row>
    <row r="863" spans="1:12" x14ac:dyDescent="0.25">
      <c r="A863" t="s">
        <v>7</v>
      </c>
      <c r="B863" s="1">
        <v>43160</v>
      </c>
      <c r="C863" s="1">
        <v>43830</v>
      </c>
      <c r="D863" s="4" t="s">
        <v>1400</v>
      </c>
      <c r="E863" t="s">
        <v>10</v>
      </c>
      <c r="F863" t="s">
        <v>11</v>
      </c>
      <c r="G863" t="s">
        <v>2914</v>
      </c>
      <c r="H863" t="s">
        <v>2937</v>
      </c>
      <c r="I863" t="s">
        <v>2909</v>
      </c>
      <c r="J863" t="str">
        <f>IF(ISNUMBER(MATCH($D863,'Lopettaneet 2013-&gt;'!$D:$D,0)),INDEX('Lopettaneet 2013-&gt;'!$K:$K,MATCH($D863,'Lopettaneet 2013-&gt;'!$D:$D,0)),"Continues")</f>
        <v>Closed</v>
      </c>
      <c r="K863">
        <f ca="1">IF($J863="Continues",DATEDIF($B863,TODAY(),"Y"),INDEX('Lopettaneet 2013-&gt;'!$L:$L,MATCH($D863,'Lopettaneet 2013-&gt;'!$D:$D,0)))</f>
        <v>1</v>
      </c>
      <c r="L863">
        <v>598</v>
      </c>
    </row>
    <row r="864" spans="1:12" x14ac:dyDescent="0.25">
      <c r="A864" t="s">
        <v>7</v>
      </c>
      <c r="B864" s="1">
        <v>43160</v>
      </c>
      <c r="C864" s="1">
        <v>43830</v>
      </c>
      <c r="D864" s="4" t="s">
        <v>1402</v>
      </c>
      <c r="E864" t="s">
        <v>10</v>
      </c>
      <c r="F864" t="s">
        <v>11</v>
      </c>
      <c r="G864" t="s">
        <v>2914</v>
      </c>
      <c r="H864" t="s">
        <v>2937</v>
      </c>
      <c r="I864" t="s">
        <v>2909</v>
      </c>
      <c r="J864" t="str">
        <f>IF(ISNUMBER(MATCH($D864,'Lopettaneet 2013-&gt;'!$D:$D,0)),INDEX('Lopettaneet 2013-&gt;'!$K:$K,MATCH($D864,'Lopettaneet 2013-&gt;'!$D:$D,0)),"Continues")</f>
        <v>Closed</v>
      </c>
      <c r="K864">
        <f ca="1">IF($J864="Continues",DATEDIF($B864,TODAY(),"Y"),INDEX('Lopettaneet 2013-&gt;'!$L:$L,MATCH($D864,'Lopettaneet 2013-&gt;'!$D:$D,0)))</f>
        <v>1</v>
      </c>
      <c r="L864">
        <v>599</v>
      </c>
    </row>
    <row r="865" spans="1:12" x14ac:dyDescent="0.25">
      <c r="A865" t="s">
        <v>7</v>
      </c>
      <c r="B865" s="1">
        <v>43160</v>
      </c>
      <c r="C865" s="1">
        <v>55153</v>
      </c>
      <c r="D865" s="4" t="s">
        <v>1404</v>
      </c>
      <c r="E865" t="s">
        <v>10</v>
      </c>
      <c r="F865" t="s">
        <v>11</v>
      </c>
      <c r="G865" t="s">
        <v>2914</v>
      </c>
      <c r="H865" t="s">
        <v>2946</v>
      </c>
      <c r="I865" t="s">
        <v>2894</v>
      </c>
      <c r="J865" t="str">
        <f>IF(ISNUMBER(MATCH($D865,'Lopettaneet 2013-&gt;'!$D:$D,0)),INDEX('Lopettaneet 2013-&gt;'!$K:$K,MATCH($D865,'Lopettaneet 2013-&gt;'!$D:$D,0)),"Continues")</f>
        <v>Continues</v>
      </c>
      <c r="K865">
        <f ca="1">IF($J865="Continues",DATEDIF($B865,TODAY(),"Y"),INDEX('Lopettaneet 2013-&gt;'!$L:$L,MATCH($D865,'Lopettaneet 2013-&gt;'!$D:$D,0)))</f>
        <v>7</v>
      </c>
      <c r="L865">
        <v>600</v>
      </c>
    </row>
    <row r="866" spans="1:12" x14ac:dyDescent="0.25">
      <c r="A866" t="s">
        <v>7</v>
      </c>
      <c r="B866" s="1">
        <v>43160</v>
      </c>
      <c r="C866" s="1">
        <v>55153</v>
      </c>
      <c r="D866" s="4" t="s">
        <v>1406</v>
      </c>
      <c r="E866" t="s">
        <v>10</v>
      </c>
      <c r="F866" t="s">
        <v>11</v>
      </c>
      <c r="G866" t="s">
        <v>2914</v>
      </c>
      <c r="H866" t="s">
        <v>2946</v>
      </c>
      <c r="I866" t="s">
        <v>2894</v>
      </c>
      <c r="J866" t="str">
        <f>IF(ISNUMBER(MATCH($D866,'Lopettaneet 2013-&gt;'!$D:$D,0)),INDEX('Lopettaneet 2013-&gt;'!$K:$K,MATCH($D866,'Lopettaneet 2013-&gt;'!$D:$D,0)),"Continues")</f>
        <v>Continues</v>
      </c>
      <c r="K866">
        <f ca="1">IF($J866="Continues",DATEDIF($B866,TODAY(),"Y"),INDEX('Lopettaneet 2013-&gt;'!$L:$L,MATCH($D866,'Lopettaneet 2013-&gt;'!$D:$D,0)))</f>
        <v>7</v>
      </c>
      <c r="L866">
        <v>601</v>
      </c>
    </row>
    <row r="867" spans="1:12" x14ac:dyDescent="0.25">
      <c r="A867" t="s">
        <v>0</v>
      </c>
      <c r="B867" s="1">
        <v>43160</v>
      </c>
      <c r="C867" s="1">
        <v>55153</v>
      </c>
      <c r="D867" s="4" t="s">
        <v>1408</v>
      </c>
      <c r="E867" t="s">
        <v>10</v>
      </c>
      <c r="F867" t="s">
        <v>11</v>
      </c>
      <c r="G867" t="s">
        <v>2914</v>
      </c>
      <c r="H867" t="s">
        <v>2946</v>
      </c>
      <c r="I867" t="s">
        <v>2895</v>
      </c>
      <c r="J867" t="str">
        <f>IF(ISNUMBER(MATCH($D867,'Lopettaneet 2013-&gt;'!$D:$D,0)),INDEX('Lopettaneet 2013-&gt;'!$K:$K,MATCH($D867,'Lopettaneet 2013-&gt;'!$D:$D,0)),"Continues")</f>
        <v>Continues</v>
      </c>
      <c r="K867">
        <f ca="1">IF($J867="Continues",DATEDIF($B867,TODAY(),"Y"),INDEX('Lopettaneet 2013-&gt;'!$L:$L,MATCH($D867,'Lopettaneet 2013-&gt;'!$D:$D,0)))</f>
        <v>7</v>
      </c>
      <c r="L867">
        <v>602</v>
      </c>
    </row>
    <row r="868" spans="1:12" x14ac:dyDescent="0.25">
      <c r="A868" t="s">
        <v>0</v>
      </c>
      <c r="B868" s="1">
        <v>43221</v>
      </c>
      <c r="C868" s="1">
        <v>55153</v>
      </c>
      <c r="D868" s="4" t="s">
        <v>1410</v>
      </c>
      <c r="E868" t="s">
        <v>10</v>
      </c>
      <c r="F868" t="s">
        <v>4</v>
      </c>
      <c r="G868" t="s">
        <v>2919</v>
      </c>
      <c r="H868" t="s">
        <v>2953</v>
      </c>
      <c r="I868" t="s">
        <v>2894</v>
      </c>
      <c r="J868" t="str">
        <f>IF(ISNUMBER(MATCH($D868,'Lopettaneet 2013-&gt;'!$D:$D,0)),INDEX('Lopettaneet 2013-&gt;'!$K:$K,MATCH($D868,'Lopettaneet 2013-&gt;'!$D:$D,0)),"Continues")</f>
        <v>Continues</v>
      </c>
      <c r="K868">
        <f ca="1">IF($J868="Continues",DATEDIF($B868,TODAY(),"Y"),INDEX('Lopettaneet 2013-&gt;'!$L:$L,MATCH($D868,'Lopettaneet 2013-&gt;'!$D:$D,0)))</f>
        <v>7</v>
      </c>
      <c r="L868">
        <v>603</v>
      </c>
    </row>
    <row r="869" spans="1:12" x14ac:dyDescent="0.25">
      <c r="A869" t="s">
        <v>7</v>
      </c>
      <c r="B869" s="1">
        <v>43891</v>
      </c>
      <c r="C869" s="1">
        <v>55153</v>
      </c>
      <c r="D869" s="4" t="s">
        <v>1412</v>
      </c>
      <c r="E869" t="s">
        <v>10</v>
      </c>
      <c r="F869" t="s">
        <v>11</v>
      </c>
      <c r="G869" t="s">
        <v>2916</v>
      </c>
      <c r="H869" t="s">
        <v>2990</v>
      </c>
      <c r="I869" t="s">
        <v>2895</v>
      </c>
      <c r="J869" t="str">
        <f>IF(ISNUMBER(MATCH($D869,'Lopettaneet 2013-&gt;'!$D:$D,0)),INDEX('Lopettaneet 2013-&gt;'!$K:$K,MATCH($D869,'Lopettaneet 2013-&gt;'!$D:$D,0)),"Continues")</f>
        <v>Continues</v>
      </c>
      <c r="K869">
        <f ca="1">IF($J869="Continues",DATEDIF($B869,TODAY(),"Y"),INDEX('Lopettaneet 2013-&gt;'!$L:$L,MATCH($D869,'Lopettaneet 2013-&gt;'!$D:$D,0)))</f>
        <v>5</v>
      </c>
      <c r="L869">
        <v>604</v>
      </c>
    </row>
    <row r="870" spans="1:12" x14ac:dyDescent="0.25">
      <c r="A870" t="s">
        <v>0</v>
      </c>
      <c r="B870" s="1">
        <v>43221</v>
      </c>
      <c r="C870" s="1">
        <v>55153</v>
      </c>
      <c r="D870" s="4" t="s">
        <v>1414</v>
      </c>
      <c r="E870" t="s">
        <v>10</v>
      </c>
      <c r="F870" t="s">
        <v>11</v>
      </c>
      <c r="G870" t="s">
        <v>2917</v>
      </c>
      <c r="H870" t="s">
        <v>2766</v>
      </c>
      <c r="I870" t="s">
        <v>2895</v>
      </c>
      <c r="J870" t="str">
        <f>IF(ISNUMBER(MATCH($D870,'Lopettaneet 2013-&gt;'!$D:$D,0)),INDEX('Lopettaneet 2013-&gt;'!$K:$K,MATCH($D870,'Lopettaneet 2013-&gt;'!$D:$D,0)),"Continues")</f>
        <v>Continues</v>
      </c>
      <c r="K870">
        <f ca="1">IF($J870="Continues",DATEDIF($B870,TODAY(),"Y"),INDEX('Lopettaneet 2013-&gt;'!$L:$L,MATCH($D870,'Lopettaneet 2013-&gt;'!$D:$D,0)))</f>
        <v>7</v>
      </c>
      <c r="L870">
        <v>605</v>
      </c>
    </row>
    <row r="871" spans="1:12" x14ac:dyDescent="0.25">
      <c r="A871" t="s">
        <v>7</v>
      </c>
      <c r="B871" s="1">
        <v>43160</v>
      </c>
      <c r="C871" s="1">
        <v>55153</v>
      </c>
      <c r="D871" s="4" t="s">
        <v>1416</v>
      </c>
      <c r="E871" t="s">
        <v>10</v>
      </c>
      <c r="F871" t="s">
        <v>11</v>
      </c>
      <c r="G871" t="s">
        <v>2916</v>
      </c>
      <c r="H871" t="s">
        <v>2986</v>
      </c>
      <c r="I871" t="s">
        <v>2895</v>
      </c>
      <c r="J871" t="str">
        <f>IF(ISNUMBER(MATCH($D871,'Lopettaneet 2013-&gt;'!$D:$D,0)),INDEX('Lopettaneet 2013-&gt;'!$K:$K,MATCH($D871,'Lopettaneet 2013-&gt;'!$D:$D,0)),"Continues")</f>
        <v>Continues</v>
      </c>
      <c r="K871">
        <f ca="1">IF($J871="Continues",DATEDIF($B871,TODAY(),"Y"),INDEX('Lopettaneet 2013-&gt;'!$L:$L,MATCH($D871,'Lopettaneet 2013-&gt;'!$D:$D,0)))</f>
        <v>7</v>
      </c>
      <c r="L871">
        <v>606</v>
      </c>
    </row>
    <row r="872" spans="1:12" x14ac:dyDescent="0.25">
      <c r="A872" t="s">
        <v>0</v>
      </c>
      <c r="B872" s="1">
        <v>43191</v>
      </c>
      <c r="C872" s="1">
        <v>55153</v>
      </c>
      <c r="D872" s="4" t="s">
        <v>1418</v>
      </c>
      <c r="E872" t="s">
        <v>10</v>
      </c>
      <c r="F872" t="s">
        <v>4</v>
      </c>
      <c r="G872" t="s">
        <v>2914</v>
      </c>
      <c r="H872" t="s">
        <v>2946</v>
      </c>
      <c r="I872" t="s">
        <v>2894</v>
      </c>
      <c r="J872" t="str">
        <f>IF(ISNUMBER(MATCH($D872,'Lopettaneet 2013-&gt;'!$D:$D,0)),INDEX('Lopettaneet 2013-&gt;'!$K:$K,MATCH($D872,'Lopettaneet 2013-&gt;'!$D:$D,0)),"Continues")</f>
        <v>Continues</v>
      </c>
      <c r="K872">
        <f ca="1">IF($J872="Continues",DATEDIF($B872,TODAY(),"Y"),INDEX('Lopettaneet 2013-&gt;'!$L:$L,MATCH($D872,'Lopettaneet 2013-&gt;'!$D:$D,0)))</f>
        <v>7</v>
      </c>
      <c r="L872">
        <v>607</v>
      </c>
    </row>
    <row r="873" spans="1:12" x14ac:dyDescent="0.25">
      <c r="A873" t="s">
        <v>7</v>
      </c>
      <c r="B873" s="1">
        <v>43160</v>
      </c>
      <c r="C873" s="1">
        <v>55153</v>
      </c>
      <c r="D873" s="4" t="s">
        <v>1420</v>
      </c>
      <c r="E873" t="s">
        <v>10</v>
      </c>
      <c r="F873" t="s">
        <v>11</v>
      </c>
      <c r="G873" t="s">
        <v>2914</v>
      </c>
      <c r="H873" t="s">
        <v>2946</v>
      </c>
      <c r="I873" t="s">
        <v>2894</v>
      </c>
      <c r="J873" t="str">
        <f>IF(ISNUMBER(MATCH($D873,'Lopettaneet 2013-&gt;'!$D:$D,0)),INDEX('Lopettaneet 2013-&gt;'!$K:$K,MATCH($D873,'Lopettaneet 2013-&gt;'!$D:$D,0)),"Continues")</f>
        <v>Continues</v>
      </c>
      <c r="K873">
        <f ca="1">IF($J873="Continues",DATEDIF($B873,TODAY(),"Y"),INDEX('Lopettaneet 2013-&gt;'!$L:$L,MATCH($D873,'Lopettaneet 2013-&gt;'!$D:$D,0)))</f>
        <v>7</v>
      </c>
      <c r="L873">
        <v>608</v>
      </c>
    </row>
    <row r="874" spans="1:12" x14ac:dyDescent="0.25">
      <c r="A874" t="s">
        <v>7</v>
      </c>
      <c r="B874" s="1">
        <v>43252</v>
      </c>
      <c r="C874" s="1">
        <v>55153</v>
      </c>
      <c r="D874" s="4" t="s">
        <v>1422</v>
      </c>
      <c r="E874" t="s">
        <v>10</v>
      </c>
      <c r="F874" t="s">
        <v>11</v>
      </c>
      <c r="G874" t="s">
        <v>2918</v>
      </c>
      <c r="H874" t="s">
        <v>2851</v>
      </c>
      <c r="I874" t="s">
        <v>2895</v>
      </c>
      <c r="J874" t="str">
        <f>IF(ISNUMBER(MATCH($D874,'Lopettaneet 2013-&gt;'!$D:$D,0)),INDEX('Lopettaneet 2013-&gt;'!$K:$K,MATCH($D874,'Lopettaneet 2013-&gt;'!$D:$D,0)),"Continues")</f>
        <v>Continues</v>
      </c>
      <c r="K874">
        <f ca="1">IF($J874="Continues",DATEDIF($B874,TODAY(),"Y"),INDEX('Lopettaneet 2013-&gt;'!$L:$L,MATCH($D874,'Lopettaneet 2013-&gt;'!$D:$D,0)))</f>
        <v>6</v>
      </c>
      <c r="L874">
        <v>609</v>
      </c>
    </row>
    <row r="875" spans="1:12" x14ac:dyDescent="0.25">
      <c r="A875" t="s">
        <v>0</v>
      </c>
      <c r="B875" s="1">
        <v>43160</v>
      </c>
      <c r="C875" s="1">
        <v>43921</v>
      </c>
      <c r="D875" s="4" t="s">
        <v>1424</v>
      </c>
      <c r="E875" t="s">
        <v>10</v>
      </c>
      <c r="F875" t="s">
        <v>4</v>
      </c>
      <c r="G875" t="s">
        <v>2917</v>
      </c>
      <c r="H875" t="s">
        <v>2842</v>
      </c>
      <c r="I875" t="s">
        <v>2909</v>
      </c>
      <c r="J875" t="str">
        <f>IF(ISNUMBER(MATCH($D875,'Lopettaneet 2013-&gt;'!$D:$D,0)),INDEX('Lopettaneet 2013-&gt;'!$K:$K,MATCH($D875,'Lopettaneet 2013-&gt;'!$D:$D,0)),"Continues")</f>
        <v>Closed</v>
      </c>
      <c r="K875">
        <f ca="1">IF($J875="Continues",DATEDIF($B875,TODAY(),"Y"),INDEX('Lopettaneet 2013-&gt;'!$L:$L,MATCH($D875,'Lopettaneet 2013-&gt;'!$D:$D,0)))</f>
        <v>2</v>
      </c>
      <c r="L875">
        <v>610</v>
      </c>
    </row>
    <row r="876" spans="1:12" x14ac:dyDescent="0.25">
      <c r="A876" t="s">
        <v>7</v>
      </c>
      <c r="B876" s="1">
        <v>43344</v>
      </c>
      <c r="C876" s="1">
        <v>55153</v>
      </c>
      <c r="D876" s="4" t="s">
        <v>1426</v>
      </c>
      <c r="E876" t="s">
        <v>10</v>
      </c>
      <c r="F876" t="s">
        <v>11</v>
      </c>
      <c r="G876" t="s">
        <v>2916</v>
      </c>
      <c r="H876" t="s">
        <v>3066</v>
      </c>
      <c r="I876" t="s">
        <v>2895</v>
      </c>
      <c r="J876" t="str">
        <f>IF(ISNUMBER(MATCH($D876,'Lopettaneet 2013-&gt;'!$D:$D,0)),INDEX('Lopettaneet 2013-&gt;'!$K:$K,MATCH($D876,'Lopettaneet 2013-&gt;'!$D:$D,0)),"Continues")</f>
        <v>Continues</v>
      </c>
      <c r="K876">
        <f ca="1">IF($J876="Continues",DATEDIF($B876,TODAY(),"Y"),INDEX('Lopettaneet 2013-&gt;'!$L:$L,MATCH($D876,'Lopettaneet 2013-&gt;'!$D:$D,0)))</f>
        <v>6</v>
      </c>
      <c r="L876">
        <v>611</v>
      </c>
    </row>
    <row r="877" spans="1:12" x14ac:dyDescent="0.25">
      <c r="A877" t="s">
        <v>0</v>
      </c>
      <c r="B877" s="1">
        <v>43191</v>
      </c>
      <c r="C877" s="1">
        <v>43404</v>
      </c>
      <c r="D877" s="4" t="s">
        <v>1428</v>
      </c>
      <c r="E877" t="s">
        <v>10</v>
      </c>
      <c r="F877" t="s">
        <v>11</v>
      </c>
      <c r="G877" t="s">
        <v>2919</v>
      </c>
      <c r="H877" t="s">
        <v>2842</v>
      </c>
      <c r="I877" t="s">
        <v>2909</v>
      </c>
      <c r="J877" t="str">
        <f>IF(ISNUMBER(MATCH($D877,'Lopettaneet 2013-&gt;'!$D:$D,0)),INDEX('Lopettaneet 2013-&gt;'!$K:$K,MATCH($D877,'Lopettaneet 2013-&gt;'!$D:$D,0)),"Continues")</f>
        <v>Closed</v>
      </c>
      <c r="K877">
        <f ca="1">IF($J877="Continues",DATEDIF($B877,TODAY(),"Y"),INDEX('Lopettaneet 2013-&gt;'!$L:$L,MATCH($D877,'Lopettaneet 2013-&gt;'!$D:$D,0)))</f>
        <v>0</v>
      </c>
      <c r="L877">
        <v>612</v>
      </c>
    </row>
    <row r="878" spans="1:12" x14ac:dyDescent="0.25">
      <c r="A878" t="s">
        <v>0</v>
      </c>
      <c r="B878" s="1">
        <v>43221</v>
      </c>
      <c r="C878" s="1">
        <v>55153</v>
      </c>
      <c r="D878" s="4" t="s">
        <v>1430</v>
      </c>
      <c r="E878" t="s">
        <v>3</v>
      </c>
      <c r="F878" t="s">
        <v>4</v>
      </c>
      <c r="G878" t="s">
        <v>2913</v>
      </c>
      <c r="H878" t="s">
        <v>2952</v>
      </c>
      <c r="I878" t="s">
        <v>2909</v>
      </c>
      <c r="J878" t="str">
        <f>IF(ISNUMBER(MATCH($D878,'Lopettaneet 2013-&gt;'!$D:$D,0)),INDEX('Lopettaneet 2013-&gt;'!$K:$K,MATCH($D878,'Lopettaneet 2013-&gt;'!$D:$D,0)),"Continues")</f>
        <v>Continues</v>
      </c>
      <c r="K878">
        <f ca="1">IF($J878="Continues",DATEDIF($B878,TODAY(),"Y"),INDEX('Lopettaneet 2013-&gt;'!$L:$L,MATCH($D878,'Lopettaneet 2013-&gt;'!$D:$D,0)))</f>
        <v>7</v>
      </c>
      <c r="L878">
        <v>613</v>
      </c>
    </row>
    <row r="879" spans="1:12" x14ac:dyDescent="0.25">
      <c r="A879" t="s">
        <v>7</v>
      </c>
      <c r="B879" s="1">
        <v>43252</v>
      </c>
      <c r="C879" s="1">
        <v>55153</v>
      </c>
      <c r="D879" s="4" t="s">
        <v>1432</v>
      </c>
      <c r="E879" t="s">
        <v>10</v>
      </c>
      <c r="F879" t="s">
        <v>11</v>
      </c>
      <c r="G879" t="s">
        <v>2914</v>
      </c>
      <c r="H879" t="s">
        <v>2946</v>
      </c>
      <c r="I879" t="s">
        <v>2895</v>
      </c>
      <c r="J879" t="str">
        <f>IF(ISNUMBER(MATCH($D879,'Lopettaneet 2013-&gt;'!$D:$D,0)),INDEX('Lopettaneet 2013-&gt;'!$K:$K,MATCH($D879,'Lopettaneet 2013-&gt;'!$D:$D,0)),"Continues")</f>
        <v>Continues</v>
      </c>
      <c r="K879">
        <f ca="1">IF($J879="Continues",DATEDIF($B879,TODAY(),"Y"),INDEX('Lopettaneet 2013-&gt;'!$L:$L,MATCH($D879,'Lopettaneet 2013-&gt;'!$D:$D,0)))</f>
        <v>6</v>
      </c>
      <c r="L879">
        <v>614</v>
      </c>
    </row>
    <row r="880" spans="1:12" x14ac:dyDescent="0.25">
      <c r="A880" t="s">
        <v>0</v>
      </c>
      <c r="B880" s="1">
        <v>43221</v>
      </c>
      <c r="C880" s="1">
        <v>55153</v>
      </c>
      <c r="D880" s="4" t="s">
        <v>1434</v>
      </c>
      <c r="E880" t="s">
        <v>3</v>
      </c>
      <c r="F880" t="s">
        <v>4</v>
      </c>
      <c r="G880" t="s">
        <v>2917</v>
      </c>
      <c r="H880" t="s">
        <v>2946</v>
      </c>
      <c r="I880" t="s">
        <v>2894</v>
      </c>
      <c r="J880" t="str">
        <f>IF(ISNUMBER(MATCH($D880,'Lopettaneet 2013-&gt;'!$D:$D,0)),INDEX('Lopettaneet 2013-&gt;'!$K:$K,MATCH($D880,'Lopettaneet 2013-&gt;'!$D:$D,0)),"Continues")</f>
        <v>Continues</v>
      </c>
      <c r="K880">
        <f ca="1">IF($J880="Continues",DATEDIF($B880,TODAY(),"Y"),INDEX('Lopettaneet 2013-&gt;'!$L:$L,MATCH($D880,'Lopettaneet 2013-&gt;'!$D:$D,0)))</f>
        <v>7</v>
      </c>
      <c r="L880">
        <v>615</v>
      </c>
    </row>
    <row r="881" spans="1:12" x14ac:dyDescent="0.25">
      <c r="A881" t="s">
        <v>0</v>
      </c>
      <c r="B881" s="1">
        <v>43221</v>
      </c>
      <c r="C881" s="1">
        <v>45107</v>
      </c>
      <c r="D881" s="4" t="s">
        <v>43</v>
      </c>
      <c r="E881" t="s">
        <v>3</v>
      </c>
      <c r="F881" t="s">
        <v>4</v>
      </c>
      <c r="G881" t="s">
        <v>2915</v>
      </c>
      <c r="H881" t="s">
        <v>2976</v>
      </c>
      <c r="I881" t="s">
        <v>2909</v>
      </c>
      <c r="J881" t="str">
        <f>IF(ISNUMBER(MATCH($D881,'Lopettaneet 2013-&gt;'!$D:$D,0)),INDEX('Lopettaneet 2013-&gt;'!$K:$K,MATCH($D881,'Lopettaneet 2013-&gt;'!$D:$D,0)),"Continues")</f>
        <v>Closed</v>
      </c>
      <c r="K881">
        <f ca="1">IF($J881="Continues",DATEDIF($B881,TODAY(),"Y"),INDEX('Lopettaneet 2013-&gt;'!$L:$L,MATCH($D881,'Lopettaneet 2013-&gt;'!$D:$D,0)))</f>
        <v>5</v>
      </c>
      <c r="L881">
        <v>616</v>
      </c>
    </row>
    <row r="882" spans="1:12" x14ac:dyDescent="0.25">
      <c r="A882" t="s">
        <v>0</v>
      </c>
      <c r="B882" s="1">
        <v>43252</v>
      </c>
      <c r="C882" s="1">
        <v>55153</v>
      </c>
      <c r="D882" s="4" t="s">
        <v>1436</v>
      </c>
      <c r="E882" t="s">
        <v>3</v>
      </c>
      <c r="F882" t="s">
        <v>4</v>
      </c>
      <c r="G882" t="s">
        <v>2917</v>
      </c>
      <c r="H882" t="s">
        <v>2994</v>
      </c>
      <c r="I882" t="s">
        <v>2894</v>
      </c>
      <c r="J882" t="str">
        <f>IF(ISNUMBER(MATCH($D882,'Lopettaneet 2013-&gt;'!$D:$D,0)),INDEX('Lopettaneet 2013-&gt;'!$K:$K,MATCH($D882,'Lopettaneet 2013-&gt;'!$D:$D,0)),"Continues")</f>
        <v>Continues</v>
      </c>
      <c r="K882">
        <f ca="1">IF($J882="Continues",DATEDIF($B882,TODAY(),"Y"),INDEX('Lopettaneet 2013-&gt;'!$L:$L,MATCH($D882,'Lopettaneet 2013-&gt;'!$D:$D,0)))</f>
        <v>6</v>
      </c>
      <c r="L882">
        <v>617</v>
      </c>
    </row>
    <row r="883" spans="1:12" x14ac:dyDescent="0.25">
      <c r="A883" t="s">
        <v>7</v>
      </c>
      <c r="B883" s="1">
        <v>43252</v>
      </c>
      <c r="C883" s="1">
        <v>43738</v>
      </c>
      <c r="D883" s="4" t="s">
        <v>1438</v>
      </c>
      <c r="E883" t="s">
        <v>10</v>
      </c>
      <c r="F883" t="s">
        <v>11</v>
      </c>
      <c r="G883" t="s">
        <v>2916</v>
      </c>
      <c r="H883" t="s">
        <v>2980</v>
      </c>
      <c r="I883" t="s">
        <v>2909</v>
      </c>
      <c r="J883" t="str">
        <f>IF(ISNUMBER(MATCH($D883,'Lopettaneet 2013-&gt;'!$D:$D,0)),INDEX('Lopettaneet 2013-&gt;'!$K:$K,MATCH($D883,'Lopettaneet 2013-&gt;'!$D:$D,0)),"Continues")</f>
        <v>Closed</v>
      </c>
      <c r="K883">
        <f ca="1">IF($J883="Continues",DATEDIF($B883,TODAY(),"Y"),INDEX('Lopettaneet 2013-&gt;'!$L:$L,MATCH($D883,'Lopettaneet 2013-&gt;'!$D:$D,0)))</f>
        <v>1</v>
      </c>
      <c r="L883">
        <v>618</v>
      </c>
    </row>
    <row r="884" spans="1:12" x14ac:dyDescent="0.25">
      <c r="A884" t="s">
        <v>7</v>
      </c>
      <c r="B884" s="1">
        <v>43252</v>
      </c>
      <c r="C884" s="1">
        <v>43738</v>
      </c>
      <c r="D884" s="4" t="s">
        <v>1440</v>
      </c>
      <c r="E884" t="s">
        <v>10</v>
      </c>
      <c r="F884" t="s">
        <v>11</v>
      </c>
      <c r="G884" t="s">
        <v>2916</v>
      </c>
      <c r="H884" t="s">
        <v>2980</v>
      </c>
      <c r="I884" t="s">
        <v>2909</v>
      </c>
      <c r="J884" t="str">
        <f>IF(ISNUMBER(MATCH($D884,'Lopettaneet 2013-&gt;'!$D:$D,0)),INDEX('Lopettaneet 2013-&gt;'!$K:$K,MATCH($D884,'Lopettaneet 2013-&gt;'!$D:$D,0)),"Continues")</f>
        <v>Closed</v>
      </c>
      <c r="K884">
        <f ca="1">IF($J884="Continues",DATEDIF($B884,TODAY(),"Y"),INDEX('Lopettaneet 2013-&gt;'!$L:$L,MATCH($D884,'Lopettaneet 2013-&gt;'!$D:$D,0)))</f>
        <v>1</v>
      </c>
      <c r="L884">
        <v>619</v>
      </c>
    </row>
    <row r="885" spans="1:12" x14ac:dyDescent="0.25">
      <c r="A885" t="s">
        <v>7</v>
      </c>
      <c r="B885" s="1">
        <v>43252</v>
      </c>
      <c r="C885" s="1">
        <v>43738</v>
      </c>
      <c r="D885" s="4" t="s">
        <v>1442</v>
      </c>
      <c r="E885" t="s">
        <v>10</v>
      </c>
      <c r="F885" t="s">
        <v>11</v>
      </c>
      <c r="G885" t="s">
        <v>2916</v>
      </c>
      <c r="H885" t="s">
        <v>2980</v>
      </c>
      <c r="I885" t="s">
        <v>2909</v>
      </c>
      <c r="J885" t="str">
        <f>IF(ISNUMBER(MATCH($D885,'Lopettaneet 2013-&gt;'!$D:$D,0)),INDEX('Lopettaneet 2013-&gt;'!$K:$K,MATCH($D885,'Lopettaneet 2013-&gt;'!$D:$D,0)),"Continues")</f>
        <v>Closed</v>
      </c>
      <c r="K885">
        <f ca="1">IF($J885="Continues",DATEDIF($B885,TODAY(),"Y"),INDEX('Lopettaneet 2013-&gt;'!$L:$L,MATCH($D885,'Lopettaneet 2013-&gt;'!$D:$D,0)))</f>
        <v>1</v>
      </c>
      <c r="L885">
        <v>620</v>
      </c>
    </row>
    <row r="886" spans="1:12" x14ac:dyDescent="0.25">
      <c r="A886" t="s">
        <v>7</v>
      </c>
      <c r="B886" s="1">
        <v>43252</v>
      </c>
      <c r="C886" s="1">
        <v>43738</v>
      </c>
      <c r="D886" s="4" t="s">
        <v>1444</v>
      </c>
      <c r="E886" t="s">
        <v>10</v>
      </c>
      <c r="F886" t="s">
        <v>11</v>
      </c>
      <c r="G886" t="s">
        <v>2916</v>
      </c>
      <c r="H886" t="s">
        <v>2980</v>
      </c>
      <c r="I886" t="s">
        <v>2909</v>
      </c>
      <c r="J886" t="str">
        <f>IF(ISNUMBER(MATCH($D886,'Lopettaneet 2013-&gt;'!$D:$D,0)),INDEX('Lopettaneet 2013-&gt;'!$K:$K,MATCH($D886,'Lopettaneet 2013-&gt;'!$D:$D,0)),"Continues")</f>
        <v>Closed</v>
      </c>
      <c r="K886">
        <f ca="1">IF($J886="Continues",DATEDIF($B886,TODAY(),"Y"),INDEX('Lopettaneet 2013-&gt;'!$L:$L,MATCH($D886,'Lopettaneet 2013-&gt;'!$D:$D,0)))</f>
        <v>1</v>
      </c>
      <c r="L886">
        <v>621</v>
      </c>
    </row>
    <row r="887" spans="1:12" x14ac:dyDescent="0.25">
      <c r="A887" t="s">
        <v>0</v>
      </c>
      <c r="B887" s="1">
        <v>43221</v>
      </c>
      <c r="C887" s="1">
        <v>44926</v>
      </c>
      <c r="D887" s="4" t="s">
        <v>1446</v>
      </c>
      <c r="E887" t="s">
        <v>10</v>
      </c>
      <c r="F887" t="s">
        <v>4</v>
      </c>
      <c r="G887" t="s">
        <v>2917</v>
      </c>
      <c r="H887" t="s">
        <v>2953</v>
      </c>
      <c r="I887" t="s">
        <v>2909</v>
      </c>
      <c r="J887" t="str">
        <f>IF(ISNUMBER(MATCH($D887,'Lopettaneet 2013-&gt;'!$D:$D,0)),INDEX('Lopettaneet 2013-&gt;'!$K:$K,MATCH($D887,'Lopettaneet 2013-&gt;'!$D:$D,0)),"Continues")</f>
        <v>Merged</v>
      </c>
      <c r="K887">
        <f ca="1">IF($J887="Continues",DATEDIF($B887,TODAY(),"Y"),INDEX('Lopettaneet 2013-&gt;'!$L:$L,MATCH($D887,'Lopettaneet 2013-&gt;'!$D:$D,0)))</f>
        <v>4</v>
      </c>
      <c r="L887">
        <v>622</v>
      </c>
    </row>
    <row r="888" spans="1:12" x14ac:dyDescent="0.25">
      <c r="A888" t="s">
        <v>0</v>
      </c>
      <c r="B888" s="1">
        <v>43252</v>
      </c>
      <c r="C888" s="1">
        <v>44530</v>
      </c>
      <c r="D888" s="4" t="s">
        <v>3205</v>
      </c>
      <c r="E888" t="s">
        <v>10</v>
      </c>
      <c r="F888" t="s">
        <v>4</v>
      </c>
      <c r="G888" t="s">
        <v>2917</v>
      </c>
      <c r="H888" t="s">
        <v>2777</v>
      </c>
      <c r="I888" t="s">
        <v>2909</v>
      </c>
      <c r="J888" t="str">
        <f>IF(ISNUMBER(MATCH($D888,'Lopettaneet 2013-&gt;'!$D:$D,0)),INDEX('Lopettaneet 2013-&gt;'!$K:$K,MATCH($D888,'Lopettaneet 2013-&gt;'!$D:$D,0)),"Continues")</f>
        <v>Continues</v>
      </c>
      <c r="K888">
        <f ca="1">IF($J888="Continues",DATEDIF($B888,TODAY(),"Y"),INDEX('Lopettaneet 2013-&gt;'!$L:$L,MATCH($D888,'Lopettaneet 2013-&gt;'!$D:$D,0)))</f>
        <v>6</v>
      </c>
      <c r="L888">
        <v>623</v>
      </c>
    </row>
    <row r="889" spans="1:12" x14ac:dyDescent="0.25">
      <c r="A889" t="s">
        <v>0</v>
      </c>
      <c r="B889" s="1">
        <v>43221</v>
      </c>
      <c r="C889" s="1">
        <v>43738</v>
      </c>
      <c r="D889" s="4" t="s">
        <v>1450</v>
      </c>
      <c r="E889" t="s">
        <v>10</v>
      </c>
      <c r="F889" t="s">
        <v>4</v>
      </c>
      <c r="G889" t="s">
        <v>2919</v>
      </c>
      <c r="H889" t="s">
        <v>2842</v>
      </c>
      <c r="I889" t="s">
        <v>2909</v>
      </c>
      <c r="J889" t="str">
        <f>IF(ISNUMBER(MATCH($D889,'Lopettaneet 2013-&gt;'!$D:$D,0)),INDEX('Lopettaneet 2013-&gt;'!$K:$K,MATCH($D889,'Lopettaneet 2013-&gt;'!$D:$D,0)),"Continues")</f>
        <v>Closed</v>
      </c>
      <c r="K889">
        <f ca="1">IF($J889="Continues",DATEDIF($B889,TODAY(),"Y"),INDEX('Lopettaneet 2013-&gt;'!$L:$L,MATCH($D889,'Lopettaneet 2013-&gt;'!$D:$D,0)))</f>
        <v>1</v>
      </c>
      <c r="L889">
        <v>624</v>
      </c>
    </row>
    <row r="890" spans="1:12" x14ac:dyDescent="0.25">
      <c r="A890" t="s">
        <v>7</v>
      </c>
      <c r="B890" s="1">
        <v>43252</v>
      </c>
      <c r="C890" s="1">
        <v>55153</v>
      </c>
      <c r="D890" s="4" t="s">
        <v>1452</v>
      </c>
      <c r="E890" t="s">
        <v>10</v>
      </c>
      <c r="F890" t="s">
        <v>11</v>
      </c>
      <c r="G890" t="s">
        <v>2914</v>
      </c>
      <c r="H890" t="s">
        <v>2948</v>
      </c>
      <c r="I890" t="s">
        <v>2895</v>
      </c>
      <c r="J890" t="str">
        <f>IF(ISNUMBER(MATCH($D890,'Lopettaneet 2013-&gt;'!$D:$D,0)),INDEX('Lopettaneet 2013-&gt;'!$K:$K,MATCH($D890,'Lopettaneet 2013-&gt;'!$D:$D,0)),"Continues")</f>
        <v>Continues</v>
      </c>
      <c r="K890">
        <f ca="1">IF($J890="Continues",DATEDIF($B890,TODAY(),"Y"),INDEX('Lopettaneet 2013-&gt;'!$L:$L,MATCH($D890,'Lopettaneet 2013-&gt;'!$D:$D,0)))</f>
        <v>6</v>
      </c>
      <c r="L890">
        <v>625</v>
      </c>
    </row>
    <row r="891" spans="1:12" x14ac:dyDescent="0.25">
      <c r="A891" t="s">
        <v>0</v>
      </c>
      <c r="B891" s="1">
        <v>43344</v>
      </c>
      <c r="C891" s="1">
        <v>43799</v>
      </c>
      <c r="D891" s="4" t="s">
        <v>1454</v>
      </c>
      <c r="E891" t="s">
        <v>3</v>
      </c>
      <c r="F891" t="s">
        <v>4</v>
      </c>
      <c r="G891" t="s">
        <v>2917</v>
      </c>
      <c r="H891" t="s">
        <v>2975</v>
      </c>
      <c r="I891" t="s">
        <v>2909</v>
      </c>
      <c r="J891" t="str">
        <f>IF(ISNUMBER(MATCH($D891,'Lopettaneet 2013-&gt;'!$D:$D,0)),INDEX('Lopettaneet 2013-&gt;'!$K:$K,MATCH($D891,'Lopettaneet 2013-&gt;'!$D:$D,0)),"Continues")</f>
        <v>Merged</v>
      </c>
      <c r="K891">
        <f ca="1">IF($J891="Continues",DATEDIF($B891,TODAY(),"Y"),INDEX('Lopettaneet 2013-&gt;'!$L:$L,MATCH($D891,'Lopettaneet 2013-&gt;'!$D:$D,0)))</f>
        <v>1</v>
      </c>
      <c r="L891">
        <v>626</v>
      </c>
    </row>
    <row r="892" spans="1:12" x14ac:dyDescent="0.25">
      <c r="A892" t="s">
        <v>0</v>
      </c>
      <c r="B892" s="1">
        <v>43344</v>
      </c>
      <c r="C892" s="1">
        <v>43799</v>
      </c>
      <c r="D892" s="4" t="s">
        <v>1456</v>
      </c>
      <c r="E892" t="s">
        <v>3</v>
      </c>
      <c r="F892" t="s">
        <v>4</v>
      </c>
      <c r="G892" t="s">
        <v>2917</v>
      </c>
      <c r="H892" t="s">
        <v>2975</v>
      </c>
      <c r="I892" t="s">
        <v>2909</v>
      </c>
      <c r="J892" t="str">
        <f>IF(ISNUMBER(MATCH($D892,'Lopettaneet 2013-&gt;'!$D:$D,0)),INDEX('Lopettaneet 2013-&gt;'!$K:$K,MATCH($D892,'Lopettaneet 2013-&gt;'!$D:$D,0)),"Continues")</f>
        <v>Merged</v>
      </c>
      <c r="K892">
        <f ca="1">IF($J892="Continues",DATEDIF($B892,TODAY(),"Y"),INDEX('Lopettaneet 2013-&gt;'!$L:$L,MATCH($D892,'Lopettaneet 2013-&gt;'!$D:$D,0)))</f>
        <v>1</v>
      </c>
      <c r="L892">
        <v>627</v>
      </c>
    </row>
    <row r="893" spans="1:12" x14ac:dyDescent="0.25">
      <c r="A893" t="s">
        <v>0</v>
      </c>
      <c r="B893" s="1">
        <v>43313</v>
      </c>
      <c r="C893" s="1">
        <v>55153</v>
      </c>
      <c r="D893" s="4" t="s">
        <v>1458</v>
      </c>
      <c r="E893" t="s">
        <v>10</v>
      </c>
      <c r="F893" t="s">
        <v>11</v>
      </c>
      <c r="G893" t="s">
        <v>2914</v>
      </c>
      <c r="H893" t="s">
        <v>2946</v>
      </c>
      <c r="I893" t="s">
        <v>2895</v>
      </c>
      <c r="J893" t="str">
        <f>IF(ISNUMBER(MATCH($D893,'Lopettaneet 2013-&gt;'!$D:$D,0)),INDEX('Lopettaneet 2013-&gt;'!$K:$K,MATCH($D893,'Lopettaneet 2013-&gt;'!$D:$D,0)),"Continues")</f>
        <v>Continues</v>
      </c>
      <c r="K893">
        <f ca="1">IF($J893="Continues",DATEDIF($B893,TODAY(),"Y"),INDEX('Lopettaneet 2013-&gt;'!$L:$L,MATCH($D893,'Lopettaneet 2013-&gt;'!$D:$D,0)))</f>
        <v>6</v>
      </c>
      <c r="L893">
        <v>628</v>
      </c>
    </row>
    <row r="894" spans="1:12" x14ac:dyDescent="0.25">
      <c r="A894" t="s">
        <v>0</v>
      </c>
      <c r="B894" s="1">
        <v>43252</v>
      </c>
      <c r="C894" s="1">
        <v>55153</v>
      </c>
      <c r="D894" s="4" t="s">
        <v>1460</v>
      </c>
      <c r="E894" t="s">
        <v>10</v>
      </c>
      <c r="F894" t="s">
        <v>11</v>
      </c>
      <c r="G894" t="s">
        <v>2917</v>
      </c>
      <c r="H894" t="s">
        <v>2766</v>
      </c>
      <c r="I894" t="s">
        <v>2895</v>
      </c>
      <c r="J894" t="str">
        <f>IF(ISNUMBER(MATCH($D894,'Lopettaneet 2013-&gt;'!$D:$D,0)),INDEX('Lopettaneet 2013-&gt;'!$K:$K,MATCH($D894,'Lopettaneet 2013-&gt;'!$D:$D,0)),"Continues")</f>
        <v>Continues</v>
      </c>
      <c r="K894">
        <f ca="1">IF($J894="Continues",DATEDIF($B894,TODAY(),"Y"),INDEX('Lopettaneet 2013-&gt;'!$L:$L,MATCH($D894,'Lopettaneet 2013-&gt;'!$D:$D,0)))</f>
        <v>6</v>
      </c>
      <c r="L894">
        <v>629</v>
      </c>
    </row>
    <row r="895" spans="1:12" x14ac:dyDescent="0.25">
      <c r="A895" t="s">
        <v>0</v>
      </c>
      <c r="B895" s="1">
        <v>43252</v>
      </c>
      <c r="C895" s="1">
        <v>55153</v>
      </c>
      <c r="D895" s="4" t="s">
        <v>1462</v>
      </c>
      <c r="E895" t="s">
        <v>10</v>
      </c>
      <c r="F895" t="s">
        <v>11</v>
      </c>
      <c r="G895" t="s">
        <v>2917</v>
      </c>
      <c r="H895" t="s">
        <v>2766</v>
      </c>
      <c r="I895" t="s">
        <v>2895</v>
      </c>
      <c r="J895" t="str">
        <f>IF(ISNUMBER(MATCH($D895,'Lopettaneet 2013-&gt;'!$D:$D,0)),INDEX('Lopettaneet 2013-&gt;'!$K:$K,MATCH($D895,'Lopettaneet 2013-&gt;'!$D:$D,0)),"Continues")</f>
        <v>Continues</v>
      </c>
      <c r="K895">
        <f ca="1">IF($J895="Continues",DATEDIF($B895,TODAY(),"Y"),INDEX('Lopettaneet 2013-&gt;'!$L:$L,MATCH($D895,'Lopettaneet 2013-&gt;'!$D:$D,0)))</f>
        <v>6</v>
      </c>
      <c r="L895">
        <v>630</v>
      </c>
    </row>
    <row r="896" spans="1:12" x14ac:dyDescent="0.25">
      <c r="A896" t="s">
        <v>0</v>
      </c>
      <c r="B896" s="1">
        <v>43252</v>
      </c>
      <c r="C896" s="1">
        <v>55153</v>
      </c>
      <c r="D896" s="4" t="s">
        <v>1464</v>
      </c>
      <c r="E896" t="s">
        <v>10</v>
      </c>
      <c r="F896" t="s">
        <v>11</v>
      </c>
      <c r="G896" t="s">
        <v>2917</v>
      </c>
      <c r="H896" t="s">
        <v>2766</v>
      </c>
      <c r="I896" t="s">
        <v>2895</v>
      </c>
      <c r="J896" t="str">
        <f>IF(ISNUMBER(MATCH($D896,'Lopettaneet 2013-&gt;'!$D:$D,0)),INDEX('Lopettaneet 2013-&gt;'!$K:$K,MATCH($D896,'Lopettaneet 2013-&gt;'!$D:$D,0)),"Continues")</f>
        <v>Continues</v>
      </c>
      <c r="K896">
        <f ca="1">IF($J896="Continues",DATEDIF($B896,TODAY(),"Y"),INDEX('Lopettaneet 2013-&gt;'!$L:$L,MATCH($D896,'Lopettaneet 2013-&gt;'!$D:$D,0)))</f>
        <v>6</v>
      </c>
      <c r="L896">
        <v>631</v>
      </c>
    </row>
    <row r="897" spans="1:12" x14ac:dyDescent="0.25">
      <c r="A897" t="s">
        <v>0</v>
      </c>
      <c r="B897" s="1">
        <v>43466</v>
      </c>
      <c r="C897" s="1">
        <v>43982</v>
      </c>
      <c r="D897" s="4" t="s">
        <v>1466</v>
      </c>
      <c r="E897" t="s">
        <v>3</v>
      </c>
      <c r="F897" t="s">
        <v>4</v>
      </c>
      <c r="G897" t="s">
        <v>2917</v>
      </c>
      <c r="H897" t="s">
        <v>2976</v>
      </c>
      <c r="I897" t="s">
        <v>2909</v>
      </c>
      <c r="J897" t="str">
        <f>IF(ISNUMBER(MATCH($D897,'Lopettaneet 2013-&gt;'!$D:$D,0)),INDEX('Lopettaneet 2013-&gt;'!$K:$K,MATCH($D897,'Lopettaneet 2013-&gt;'!$D:$D,0)),"Continues")</f>
        <v>Merged</v>
      </c>
      <c r="K897">
        <f ca="1">IF($J897="Continues",DATEDIF($B897,TODAY(),"Y"),INDEX('Lopettaneet 2013-&gt;'!$L:$L,MATCH($D897,'Lopettaneet 2013-&gt;'!$D:$D,0)))</f>
        <v>1</v>
      </c>
      <c r="L897">
        <v>632</v>
      </c>
    </row>
    <row r="898" spans="1:12" x14ac:dyDescent="0.25">
      <c r="A898" t="s">
        <v>0</v>
      </c>
      <c r="B898" s="1">
        <v>43497</v>
      </c>
      <c r="C898" s="1">
        <v>44985</v>
      </c>
      <c r="D898" s="4" t="s">
        <v>45</v>
      </c>
      <c r="E898" t="s">
        <v>10</v>
      </c>
      <c r="F898" t="s">
        <v>4</v>
      </c>
      <c r="G898" t="s">
        <v>2919</v>
      </c>
      <c r="H898" t="s">
        <v>2842</v>
      </c>
      <c r="I898" t="s">
        <v>2909</v>
      </c>
      <c r="J898" t="str">
        <f>IF(ISNUMBER(MATCH($D898,'Lopettaneet 2013-&gt;'!$D:$D,0)),INDEX('Lopettaneet 2013-&gt;'!$K:$K,MATCH($D898,'Lopettaneet 2013-&gt;'!$D:$D,0)),"Continues")</f>
        <v>Merged</v>
      </c>
      <c r="K898">
        <f ca="1">IF($J898="Continues",DATEDIF($B898,TODAY(),"Y"),INDEX('Lopettaneet 2013-&gt;'!$L:$L,MATCH($D898,'Lopettaneet 2013-&gt;'!$D:$D,0)))</f>
        <v>4</v>
      </c>
      <c r="L898">
        <v>633</v>
      </c>
    </row>
    <row r="899" spans="1:12" x14ac:dyDescent="0.25">
      <c r="A899" t="s">
        <v>7</v>
      </c>
      <c r="B899" s="1">
        <v>43344</v>
      </c>
      <c r="C899" s="1">
        <v>55153</v>
      </c>
      <c r="D899" s="4" t="s">
        <v>1468</v>
      </c>
      <c r="E899" t="s">
        <v>10</v>
      </c>
      <c r="F899" t="s">
        <v>11</v>
      </c>
      <c r="G899" t="s">
        <v>2918</v>
      </c>
      <c r="H899" t="s">
        <v>2946</v>
      </c>
      <c r="I899" t="s">
        <v>2895</v>
      </c>
      <c r="J899" t="str">
        <f>IF(ISNUMBER(MATCH($D899,'Lopettaneet 2013-&gt;'!$D:$D,0)),INDEX('Lopettaneet 2013-&gt;'!$K:$K,MATCH($D899,'Lopettaneet 2013-&gt;'!$D:$D,0)),"Continues")</f>
        <v>Continues</v>
      </c>
      <c r="K899">
        <f ca="1">IF($J899="Continues",DATEDIF($B899,TODAY(),"Y"),INDEX('Lopettaneet 2013-&gt;'!$L:$L,MATCH($D899,'Lopettaneet 2013-&gt;'!$D:$D,0)))</f>
        <v>6</v>
      </c>
      <c r="L899">
        <v>634</v>
      </c>
    </row>
    <row r="900" spans="1:12" x14ac:dyDescent="0.25">
      <c r="A900" t="s">
        <v>0</v>
      </c>
      <c r="B900" s="1">
        <v>43891</v>
      </c>
      <c r="C900" s="1">
        <v>55153</v>
      </c>
      <c r="D900" s="4" t="s">
        <v>1470</v>
      </c>
      <c r="E900" t="s">
        <v>10</v>
      </c>
      <c r="F900" t="s">
        <v>4</v>
      </c>
      <c r="G900" t="s">
        <v>2913</v>
      </c>
      <c r="H900" t="s">
        <v>2956</v>
      </c>
      <c r="I900" t="s">
        <v>2894</v>
      </c>
      <c r="J900" t="str">
        <f>IF(ISNUMBER(MATCH($D900,'Lopettaneet 2013-&gt;'!$D:$D,0)),INDEX('Lopettaneet 2013-&gt;'!$K:$K,MATCH($D900,'Lopettaneet 2013-&gt;'!$D:$D,0)),"Continues")</f>
        <v>Continues</v>
      </c>
      <c r="K900">
        <f ca="1">IF($J900="Continues",DATEDIF($B900,TODAY(),"Y"),INDEX('Lopettaneet 2013-&gt;'!$L:$L,MATCH($D900,'Lopettaneet 2013-&gt;'!$D:$D,0)))</f>
        <v>5</v>
      </c>
      <c r="L900">
        <v>635</v>
      </c>
    </row>
    <row r="901" spans="1:12" x14ac:dyDescent="0.25">
      <c r="A901" t="s">
        <v>0</v>
      </c>
      <c r="B901" s="1">
        <v>43252</v>
      </c>
      <c r="C901" s="1">
        <v>55153</v>
      </c>
      <c r="D901" s="4" t="s">
        <v>1472</v>
      </c>
      <c r="E901" t="s">
        <v>3</v>
      </c>
      <c r="F901" t="s">
        <v>4</v>
      </c>
      <c r="G901" t="s">
        <v>2917</v>
      </c>
      <c r="H901" t="s">
        <v>2953</v>
      </c>
      <c r="I901" t="s">
        <v>2894</v>
      </c>
      <c r="J901" t="str">
        <f>IF(ISNUMBER(MATCH($D901,'Lopettaneet 2013-&gt;'!$D:$D,0)),INDEX('Lopettaneet 2013-&gt;'!$K:$K,MATCH($D901,'Lopettaneet 2013-&gt;'!$D:$D,0)),"Continues")</f>
        <v>Continues</v>
      </c>
      <c r="K901">
        <f ca="1">IF($J901="Continues",DATEDIF($B901,TODAY(),"Y"),INDEX('Lopettaneet 2013-&gt;'!$L:$L,MATCH($D901,'Lopettaneet 2013-&gt;'!$D:$D,0)))</f>
        <v>6</v>
      </c>
      <c r="L901">
        <v>636</v>
      </c>
    </row>
    <row r="902" spans="1:12" x14ac:dyDescent="0.25">
      <c r="A902" t="s">
        <v>0</v>
      </c>
      <c r="B902" s="1">
        <v>43525</v>
      </c>
      <c r="C902" s="1">
        <v>44592</v>
      </c>
      <c r="D902" s="4" t="s">
        <v>3206</v>
      </c>
      <c r="E902" t="s">
        <v>3</v>
      </c>
      <c r="F902" t="s">
        <v>4</v>
      </c>
      <c r="G902" t="s">
        <v>2917</v>
      </c>
      <c r="H902" t="s">
        <v>2777</v>
      </c>
      <c r="I902" t="s">
        <v>2909</v>
      </c>
      <c r="J902" t="str">
        <f>IF(ISNUMBER(MATCH($D902,'Lopettaneet 2013-&gt;'!$D:$D,0)),INDEX('Lopettaneet 2013-&gt;'!$K:$K,MATCH($D902,'Lopettaneet 2013-&gt;'!$D:$D,0)),"Continues")</f>
        <v>Continues</v>
      </c>
      <c r="K902">
        <f ca="1">IF($J902="Continues",DATEDIF($B902,TODAY(),"Y"),INDEX('Lopettaneet 2013-&gt;'!$L:$L,MATCH($D902,'Lopettaneet 2013-&gt;'!$D:$D,0)))</f>
        <v>6</v>
      </c>
      <c r="L902">
        <v>637</v>
      </c>
    </row>
    <row r="903" spans="1:12" x14ac:dyDescent="0.25">
      <c r="A903" t="s">
        <v>0</v>
      </c>
      <c r="B903" s="1">
        <v>43525</v>
      </c>
      <c r="C903" s="1">
        <v>55153</v>
      </c>
      <c r="D903" s="4" t="s">
        <v>3207</v>
      </c>
      <c r="E903" t="s">
        <v>3</v>
      </c>
      <c r="F903" t="s">
        <v>4</v>
      </c>
      <c r="G903" t="s">
        <v>2917</v>
      </c>
      <c r="H903" t="s">
        <v>2777</v>
      </c>
      <c r="I903" t="s">
        <v>2894</v>
      </c>
      <c r="J903" t="str">
        <f>IF(ISNUMBER(MATCH($D903,'Lopettaneet 2013-&gt;'!$D:$D,0)),INDEX('Lopettaneet 2013-&gt;'!$K:$K,MATCH($D903,'Lopettaneet 2013-&gt;'!$D:$D,0)),"Continues")</f>
        <v>Continues</v>
      </c>
      <c r="K903">
        <f ca="1">IF($J903="Continues",DATEDIF($B903,TODAY(),"Y"),INDEX('Lopettaneet 2013-&gt;'!$L:$L,MATCH($D903,'Lopettaneet 2013-&gt;'!$D:$D,0)))</f>
        <v>6</v>
      </c>
      <c r="L903">
        <v>638</v>
      </c>
    </row>
    <row r="904" spans="1:12" x14ac:dyDescent="0.25">
      <c r="A904" t="s">
        <v>7</v>
      </c>
      <c r="B904" s="1">
        <v>43252</v>
      </c>
      <c r="C904" s="1">
        <v>55153</v>
      </c>
      <c r="D904" s="4" t="s">
        <v>1478</v>
      </c>
      <c r="E904" t="s">
        <v>10</v>
      </c>
      <c r="F904" t="s">
        <v>11</v>
      </c>
      <c r="G904" t="s">
        <v>2914</v>
      </c>
      <c r="H904" t="s">
        <v>2995</v>
      </c>
      <c r="I904" t="s">
        <v>2895</v>
      </c>
      <c r="J904" t="str">
        <f>IF(ISNUMBER(MATCH($D904,'Lopettaneet 2013-&gt;'!$D:$D,0)),INDEX('Lopettaneet 2013-&gt;'!$K:$K,MATCH($D904,'Lopettaneet 2013-&gt;'!$D:$D,0)),"Continues")</f>
        <v>Continues</v>
      </c>
      <c r="K904">
        <f ca="1">IF($J904="Continues",DATEDIF($B904,TODAY(),"Y"),INDEX('Lopettaneet 2013-&gt;'!$L:$L,MATCH($D904,'Lopettaneet 2013-&gt;'!$D:$D,0)))</f>
        <v>6</v>
      </c>
      <c r="L904">
        <v>639</v>
      </c>
    </row>
    <row r="905" spans="1:12" x14ac:dyDescent="0.25">
      <c r="A905" t="s">
        <v>0</v>
      </c>
      <c r="B905" s="1">
        <v>43344</v>
      </c>
      <c r="C905" s="1">
        <v>55153</v>
      </c>
      <c r="D905" s="4" t="s">
        <v>1480</v>
      </c>
      <c r="E905" t="s">
        <v>3</v>
      </c>
      <c r="F905" t="s">
        <v>4</v>
      </c>
      <c r="G905" t="s">
        <v>2913</v>
      </c>
      <c r="H905" t="s">
        <v>2957</v>
      </c>
      <c r="I905" t="s">
        <v>2894</v>
      </c>
      <c r="J905" t="str">
        <f>IF(ISNUMBER(MATCH($D905,'Lopettaneet 2013-&gt;'!$D:$D,0)),INDEX('Lopettaneet 2013-&gt;'!$K:$K,MATCH($D905,'Lopettaneet 2013-&gt;'!$D:$D,0)),"Continues")</f>
        <v>Continues</v>
      </c>
      <c r="K905">
        <f ca="1">IF($J905="Continues",DATEDIF($B905,TODAY(),"Y"),INDEX('Lopettaneet 2013-&gt;'!$L:$L,MATCH($D905,'Lopettaneet 2013-&gt;'!$D:$D,0)))</f>
        <v>6</v>
      </c>
      <c r="L905">
        <v>640</v>
      </c>
    </row>
    <row r="906" spans="1:12" x14ac:dyDescent="0.25">
      <c r="A906" t="s">
        <v>0</v>
      </c>
      <c r="B906" s="1">
        <v>43525</v>
      </c>
      <c r="C906" s="1">
        <v>55153</v>
      </c>
      <c r="D906" s="4" t="s">
        <v>1482</v>
      </c>
      <c r="E906" t="s">
        <v>10</v>
      </c>
      <c r="F906" t="s">
        <v>11</v>
      </c>
      <c r="G906" t="s">
        <v>2918</v>
      </c>
      <c r="H906" t="s">
        <v>2766</v>
      </c>
      <c r="I906" t="s">
        <v>2895</v>
      </c>
      <c r="J906" t="str">
        <f>IF(ISNUMBER(MATCH($D906,'Lopettaneet 2013-&gt;'!$D:$D,0)),INDEX('Lopettaneet 2013-&gt;'!$K:$K,MATCH($D906,'Lopettaneet 2013-&gt;'!$D:$D,0)),"Continues")</f>
        <v>Continues</v>
      </c>
      <c r="K906">
        <f ca="1">IF($J906="Continues",DATEDIF($B906,TODAY(),"Y"),INDEX('Lopettaneet 2013-&gt;'!$L:$L,MATCH($D906,'Lopettaneet 2013-&gt;'!$D:$D,0)))</f>
        <v>6</v>
      </c>
      <c r="L906">
        <v>641</v>
      </c>
    </row>
    <row r="907" spans="1:12" x14ac:dyDescent="0.25">
      <c r="A907" t="s">
        <v>0</v>
      </c>
      <c r="B907" s="1">
        <v>43435</v>
      </c>
      <c r="C907" s="1">
        <v>55153</v>
      </c>
      <c r="D907" s="4" t="s">
        <v>1484</v>
      </c>
      <c r="E907" t="s">
        <v>10</v>
      </c>
      <c r="F907" t="s">
        <v>4</v>
      </c>
      <c r="G907" t="s">
        <v>2919</v>
      </c>
      <c r="H907" t="s">
        <v>2842</v>
      </c>
      <c r="I907" t="s">
        <v>2895</v>
      </c>
      <c r="J907" t="str">
        <f>IF(ISNUMBER(MATCH($D907,'Lopettaneet 2013-&gt;'!$D:$D,0)),INDEX('Lopettaneet 2013-&gt;'!$K:$K,MATCH($D907,'Lopettaneet 2013-&gt;'!$D:$D,0)),"Continues")</f>
        <v>Continues</v>
      </c>
      <c r="K907">
        <f ca="1">IF($J907="Continues",DATEDIF($B907,TODAY(),"Y"),INDEX('Lopettaneet 2013-&gt;'!$L:$L,MATCH($D907,'Lopettaneet 2013-&gt;'!$D:$D,0)))</f>
        <v>6</v>
      </c>
      <c r="L907">
        <v>642</v>
      </c>
    </row>
    <row r="908" spans="1:12" x14ac:dyDescent="0.25">
      <c r="A908" t="s">
        <v>0</v>
      </c>
      <c r="B908" s="1">
        <v>43922</v>
      </c>
      <c r="C908" s="1">
        <v>55153</v>
      </c>
      <c r="D908" s="4" t="s">
        <v>1486</v>
      </c>
      <c r="E908" t="s">
        <v>10</v>
      </c>
      <c r="F908" t="s">
        <v>4</v>
      </c>
      <c r="G908" t="s">
        <v>2917</v>
      </c>
      <c r="H908" t="s">
        <v>2842</v>
      </c>
      <c r="I908" t="s">
        <v>2894</v>
      </c>
      <c r="J908" t="str">
        <f>IF(ISNUMBER(MATCH($D908,'Lopettaneet 2013-&gt;'!$D:$D,0)),INDEX('Lopettaneet 2013-&gt;'!$K:$K,MATCH($D908,'Lopettaneet 2013-&gt;'!$D:$D,0)),"Continues")</f>
        <v>Continues</v>
      </c>
      <c r="K908">
        <f ca="1">IF($J908="Continues",DATEDIF($B908,TODAY(),"Y"),INDEX('Lopettaneet 2013-&gt;'!$L:$L,MATCH($D908,'Lopettaneet 2013-&gt;'!$D:$D,0)))</f>
        <v>5</v>
      </c>
      <c r="L908">
        <v>643</v>
      </c>
    </row>
    <row r="909" spans="1:12" x14ac:dyDescent="0.25">
      <c r="A909" t="s">
        <v>7</v>
      </c>
      <c r="B909" s="1">
        <v>43344</v>
      </c>
      <c r="C909" s="1">
        <v>55153</v>
      </c>
      <c r="D909" s="4" t="s">
        <v>1488</v>
      </c>
      <c r="E909" t="s">
        <v>10</v>
      </c>
      <c r="F909" t="s">
        <v>11</v>
      </c>
      <c r="G909" t="s">
        <v>2914</v>
      </c>
      <c r="H909" t="s">
        <v>2852</v>
      </c>
      <c r="I909" t="s">
        <v>2895</v>
      </c>
      <c r="J909" t="str">
        <f>IF(ISNUMBER(MATCH($D909,'Lopettaneet 2013-&gt;'!$D:$D,0)),INDEX('Lopettaneet 2013-&gt;'!$K:$K,MATCH($D909,'Lopettaneet 2013-&gt;'!$D:$D,0)),"Continues")</f>
        <v>Continues</v>
      </c>
      <c r="K909">
        <f ca="1">IF($J909="Continues",DATEDIF($B909,TODAY(),"Y"),INDEX('Lopettaneet 2013-&gt;'!$L:$L,MATCH($D909,'Lopettaneet 2013-&gt;'!$D:$D,0)))</f>
        <v>6</v>
      </c>
      <c r="L909">
        <v>644</v>
      </c>
    </row>
    <row r="910" spans="1:12" x14ac:dyDescent="0.25">
      <c r="A910" t="s">
        <v>0</v>
      </c>
      <c r="B910" s="1">
        <v>43497</v>
      </c>
      <c r="C910" s="1">
        <v>55153</v>
      </c>
      <c r="D910" s="4" t="s">
        <v>1490</v>
      </c>
      <c r="E910" t="s">
        <v>10</v>
      </c>
      <c r="F910" t="s">
        <v>4</v>
      </c>
      <c r="G910" t="s">
        <v>2914</v>
      </c>
      <c r="H910" t="s">
        <v>2956</v>
      </c>
      <c r="I910" t="s">
        <v>2894</v>
      </c>
      <c r="J910" t="str">
        <f>IF(ISNUMBER(MATCH($D910,'Lopettaneet 2013-&gt;'!$D:$D,0)),INDEX('Lopettaneet 2013-&gt;'!$K:$K,MATCH($D910,'Lopettaneet 2013-&gt;'!$D:$D,0)),"Continues")</f>
        <v>Continues</v>
      </c>
      <c r="K910">
        <f ca="1">IF($J910="Continues",DATEDIF($B910,TODAY(),"Y"),INDEX('Lopettaneet 2013-&gt;'!$L:$L,MATCH($D910,'Lopettaneet 2013-&gt;'!$D:$D,0)))</f>
        <v>6</v>
      </c>
      <c r="L910">
        <v>645</v>
      </c>
    </row>
    <row r="911" spans="1:12" x14ac:dyDescent="0.25">
      <c r="A911" t="s">
        <v>7</v>
      </c>
      <c r="B911" s="1">
        <v>43344</v>
      </c>
      <c r="C911" s="1">
        <v>55153</v>
      </c>
      <c r="D911" s="4" t="s">
        <v>1492</v>
      </c>
      <c r="E911" t="s">
        <v>10</v>
      </c>
      <c r="F911" t="s">
        <v>11</v>
      </c>
      <c r="G911" t="s">
        <v>2914</v>
      </c>
      <c r="H911" t="s">
        <v>2980</v>
      </c>
      <c r="I911" t="s">
        <v>2895</v>
      </c>
      <c r="J911" t="str">
        <f>IF(ISNUMBER(MATCH($D911,'Lopettaneet 2013-&gt;'!$D:$D,0)),INDEX('Lopettaneet 2013-&gt;'!$K:$K,MATCH($D911,'Lopettaneet 2013-&gt;'!$D:$D,0)),"Continues")</f>
        <v>Continues</v>
      </c>
      <c r="K911">
        <f ca="1">IF($J911="Continues",DATEDIF($B911,TODAY(),"Y"),INDEX('Lopettaneet 2013-&gt;'!$L:$L,MATCH($D911,'Lopettaneet 2013-&gt;'!$D:$D,0)))</f>
        <v>6</v>
      </c>
      <c r="L911">
        <v>646</v>
      </c>
    </row>
    <row r="912" spans="1:12" x14ac:dyDescent="0.25">
      <c r="A912" t="s">
        <v>7</v>
      </c>
      <c r="B912" s="1">
        <v>43344</v>
      </c>
      <c r="C912" s="1">
        <v>55153</v>
      </c>
      <c r="D912" s="4" t="s">
        <v>1494</v>
      </c>
      <c r="E912" t="s">
        <v>10</v>
      </c>
      <c r="F912" t="s">
        <v>11</v>
      </c>
      <c r="G912" t="s">
        <v>2914</v>
      </c>
      <c r="H912" t="s">
        <v>2980</v>
      </c>
      <c r="I912" t="s">
        <v>2895</v>
      </c>
      <c r="J912" t="str">
        <f>IF(ISNUMBER(MATCH($D912,'Lopettaneet 2013-&gt;'!$D:$D,0)),INDEX('Lopettaneet 2013-&gt;'!$K:$K,MATCH($D912,'Lopettaneet 2013-&gt;'!$D:$D,0)),"Continues")</f>
        <v>Continues</v>
      </c>
      <c r="K912">
        <f ca="1">IF($J912="Continues",DATEDIF($B912,TODAY(),"Y"),INDEX('Lopettaneet 2013-&gt;'!$L:$L,MATCH($D912,'Lopettaneet 2013-&gt;'!$D:$D,0)))</f>
        <v>6</v>
      </c>
      <c r="L912">
        <v>647</v>
      </c>
    </row>
    <row r="913" spans="1:12" x14ac:dyDescent="0.25">
      <c r="A913" t="s">
        <v>7</v>
      </c>
      <c r="B913" s="1">
        <v>43344</v>
      </c>
      <c r="C913" s="1">
        <v>55153</v>
      </c>
      <c r="D913" s="4" t="s">
        <v>1496</v>
      </c>
      <c r="E913" t="s">
        <v>10</v>
      </c>
      <c r="F913" t="s">
        <v>11</v>
      </c>
      <c r="G913" t="s">
        <v>2914</v>
      </c>
      <c r="H913" t="s">
        <v>2980</v>
      </c>
      <c r="I913" t="s">
        <v>2895</v>
      </c>
      <c r="J913" t="str">
        <f>IF(ISNUMBER(MATCH($D913,'Lopettaneet 2013-&gt;'!$D:$D,0)),INDEX('Lopettaneet 2013-&gt;'!$K:$K,MATCH($D913,'Lopettaneet 2013-&gt;'!$D:$D,0)),"Continues")</f>
        <v>Continues</v>
      </c>
      <c r="K913">
        <f ca="1">IF($J913="Continues",DATEDIF($B913,TODAY(),"Y"),INDEX('Lopettaneet 2013-&gt;'!$L:$L,MATCH($D913,'Lopettaneet 2013-&gt;'!$D:$D,0)))</f>
        <v>6</v>
      </c>
      <c r="L913">
        <v>648</v>
      </c>
    </row>
    <row r="914" spans="1:12" x14ac:dyDescent="0.25">
      <c r="A914" t="s">
        <v>7</v>
      </c>
      <c r="B914" s="1">
        <v>43344</v>
      </c>
      <c r="C914" s="1">
        <v>55153</v>
      </c>
      <c r="D914" s="4" t="s">
        <v>1498</v>
      </c>
      <c r="E914" t="s">
        <v>10</v>
      </c>
      <c r="F914" t="s">
        <v>11</v>
      </c>
      <c r="G914" t="s">
        <v>2914</v>
      </c>
      <c r="H914" t="s">
        <v>2980</v>
      </c>
      <c r="I914" t="s">
        <v>2895</v>
      </c>
      <c r="J914" t="str">
        <f>IF(ISNUMBER(MATCH($D914,'Lopettaneet 2013-&gt;'!$D:$D,0)),INDEX('Lopettaneet 2013-&gt;'!$K:$K,MATCH($D914,'Lopettaneet 2013-&gt;'!$D:$D,0)),"Continues")</f>
        <v>Continues</v>
      </c>
      <c r="K914">
        <f ca="1">IF($J914="Continues",DATEDIF($B914,TODAY(),"Y"),INDEX('Lopettaneet 2013-&gt;'!$L:$L,MATCH($D914,'Lopettaneet 2013-&gt;'!$D:$D,0)))</f>
        <v>6</v>
      </c>
      <c r="L914">
        <v>649</v>
      </c>
    </row>
    <row r="915" spans="1:12" x14ac:dyDescent="0.25">
      <c r="A915" t="s">
        <v>7</v>
      </c>
      <c r="B915" s="1">
        <v>43344</v>
      </c>
      <c r="C915" s="1">
        <v>55153</v>
      </c>
      <c r="D915" s="4" t="s">
        <v>1500</v>
      </c>
      <c r="E915" t="s">
        <v>10</v>
      </c>
      <c r="F915" t="s">
        <v>11</v>
      </c>
      <c r="G915" t="s">
        <v>2914</v>
      </c>
      <c r="H915" t="s">
        <v>2980</v>
      </c>
      <c r="I915" t="s">
        <v>2895</v>
      </c>
      <c r="J915" t="str">
        <f>IF(ISNUMBER(MATCH($D915,'Lopettaneet 2013-&gt;'!$D:$D,0)),INDEX('Lopettaneet 2013-&gt;'!$K:$K,MATCH($D915,'Lopettaneet 2013-&gt;'!$D:$D,0)),"Continues")</f>
        <v>Continues</v>
      </c>
      <c r="K915">
        <f ca="1">IF($J915="Continues",DATEDIF($B915,TODAY(),"Y"),INDEX('Lopettaneet 2013-&gt;'!$L:$L,MATCH($D915,'Lopettaneet 2013-&gt;'!$D:$D,0)))</f>
        <v>6</v>
      </c>
      <c r="L915">
        <v>650</v>
      </c>
    </row>
    <row r="916" spans="1:12" x14ac:dyDescent="0.25">
      <c r="A916" t="s">
        <v>7</v>
      </c>
      <c r="B916" s="1">
        <v>43435</v>
      </c>
      <c r="C916" s="1">
        <v>55153</v>
      </c>
      <c r="D916" s="4" t="s">
        <v>1502</v>
      </c>
      <c r="E916" t="s">
        <v>10</v>
      </c>
      <c r="F916" t="s">
        <v>11</v>
      </c>
      <c r="G916" t="s">
        <v>2914</v>
      </c>
      <c r="H916" t="s">
        <v>2946</v>
      </c>
      <c r="I916" t="s">
        <v>2894</v>
      </c>
      <c r="J916" t="str">
        <f>IF(ISNUMBER(MATCH($D916,'Lopettaneet 2013-&gt;'!$D:$D,0)),INDEX('Lopettaneet 2013-&gt;'!$K:$K,MATCH($D916,'Lopettaneet 2013-&gt;'!$D:$D,0)),"Continues")</f>
        <v>Continues</v>
      </c>
      <c r="K916">
        <f ca="1">IF($J916="Continues",DATEDIF($B916,TODAY(),"Y"),INDEX('Lopettaneet 2013-&gt;'!$L:$L,MATCH($D916,'Lopettaneet 2013-&gt;'!$D:$D,0)))</f>
        <v>6</v>
      </c>
      <c r="L916">
        <v>651</v>
      </c>
    </row>
    <row r="917" spans="1:12" x14ac:dyDescent="0.25">
      <c r="A917" t="s">
        <v>0</v>
      </c>
      <c r="B917" s="1">
        <v>43344</v>
      </c>
      <c r="C917" s="1">
        <v>55153</v>
      </c>
      <c r="D917" s="4" t="s">
        <v>3208</v>
      </c>
      <c r="E917" t="s">
        <v>10</v>
      </c>
      <c r="F917" t="s">
        <v>4</v>
      </c>
      <c r="G917" t="s">
        <v>2914</v>
      </c>
      <c r="H917" t="s">
        <v>2777</v>
      </c>
      <c r="I917" t="s">
        <v>2894</v>
      </c>
      <c r="J917" t="str">
        <f>IF(ISNUMBER(MATCH($D917,'Lopettaneet 2013-&gt;'!$D:$D,0)),INDEX('Lopettaneet 2013-&gt;'!$K:$K,MATCH($D917,'Lopettaneet 2013-&gt;'!$D:$D,0)),"Continues")</f>
        <v>Continues</v>
      </c>
      <c r="K917">
        <f ca="1">IF($J917="Continues",DATEDIF($B917,TODAY(),"Y"),INDEX('Lopettaneet 2013-&gt;'!$L:$L,MATCH($D917,'Lopettaneet 2013-&gt;'!$D:$D,0)))</f>
        <v>6</v>
      </c>
      <c r="L917">
        <v>652</v>
      </c>
    </row>
    <row r="918" spans="1:12" x14ac:dyDescent="0.25">
      <c r="A918" t="s">
        <v>7</v>
      </c>
      <c r="B918" s="1">
        <v>43617</v>
      </c>
      <c r="C918" s="1">
        <v>55153</v>
      </c>
      <c r="D918" s="4" t="s">
        <v>1506</v>
      </c>
      <c r="E918" t="s">
        <v>10</v>
      </c>
      <c r="F918" t="s">
        <v>11</v>
      </c>
      <c r="G918" t="s">
        <v>2916</v>
      </c>
      <c r="H918" t="s">
        <v>2853</v>
      </c>
      <c r="I918" t="s">
        <v>2894</v>
      </c>
      <c r="J918" t="str">
        <f>IF(ISNUMBER(MATCH($D918,'Lopettaneet 2013-&gt;'!$D:$D,0)),INDEX('Lopettaneet 2013-&gt;'!$K:$K,MATCH($D918,'Lopettaneet 2013-&gt;'!$D:$D,0)),"Continues")</f>
        <v>Continues</v>
      </c>
      <c r="K918">
        <f ca="1">IF($J918="Continues",DATEDIF($B918,TODAY(),"Y"),INDEX('Lopettaneet 2013-&gt;'!$L:$L,MATCH($D918,'Lopettaneet 2013-&gt;'!$D:$D,0)))</f>
        <v>5</v>
      </c>
      <c r="L918">
        <v>653</v>
      </c>
    </row>
    <row r="919" spans="1:12" x14ac:dyDescent="0.25">
      <c r="A919" t="s">
        <v>7</v>
      </c>
      <c r="B919" s="1">
        <v>43435</v>
      </c>
      <c r="C919" s="1">
        <v>44561</v>
      </c>
      <c r="D919" s="4" t="s">
        <v>1508</v>
      </c>
      <c r="E919" t="s">
        <v>10</v>
      </c>
      <c r="F919" t="s">
        <v>11</v>
      </c>
      <c r="G919" t="s">
        <v>2918</v>
      </c>
      <c r="H919" t="s">
        <v>2936</v>
      </c>
      <c r="I919" t="s">
        <v>2909</v>
      </c>
      <c r="J919" t="str">
        <f>IF(ISNUMBER(MATCH($D919,'Lopettaneet 2013-&gt;'!$D:$D,0)),INDEX('Lopettaneet 2013-&gt;'!$K:$K,MATCH($D919,'Lopettaneet 2013-&gt;'!$D:$D,0)),"Continues")</f>
        <v>Closed</v>
      </c>
      <c r="K919">
        <f ca="1">IF($J919="Continues",DATEDIF($B919,TODAY(),"Y"),INDEX('Lopettaneet 2013-&gt;'!$L:$L,MATCH($D919,'Lopettaneet 2013-&gt;'!$D:$D,0)))</f>
        <v>3</v>
      </c>
      <c r="L919">
        <v>654</v>
      </c>
    </row>
    <row r="920" spans="1:12" x14ac:dyDescent="0.25">
      <c r="A920" t="s">
        <v>7</v>
      </c>
      <c r="B920" s="1">
        <v>43435</v>
      </c>
      <c r="C920" s="1">
        <v>44561</v>
      </c>
      <c r="D920" s="4" t="s">
        <v>1510</v>
      </c>
      <c r="E920" t="s">
        <v>10</v>
      </c>
      <c r="F920" t="s">
        <v>4</v>
      </c>
      <c r="G920" t="s">
        <v>2918</v>
      </c>
      <c r="H920" t="s">
        <v>2936</v>
      </c>
      <c r="I920" t="s">
        <v>2909</v>
      </c>
      <c r="J920" t="str">
        <f>IF(ISNUMBER(MATCH($D920,'Lopettaneet 2013-&gt;'!$D:$D,0)),INDEX('Lopettaneet 2013-&gt;'!$K:$K,MATCH($D920,'Lopettaneet 2013-&gt;'!$D:$D,0)),"Continues")</f>
        <v>Closed</v>
      </c>
      <c r="K920">
        <f ca="1">IF($J920="Continues",DATEDIF($B920,TODAY(),"Y"),INDEX('Lopettaneet 2013-&gt;'!$L:$L,MATCH($D920,'Lopettaneet 2013-&gt;'!$D:$D,0)))</f>
        <v>3</v>
      </c>
      <c r="L920">
        <v>655</v>
      </c>
    </row>
    <row r="921" spans="1:12" x14ac:dyDescent="0.25">
      <c r="A921" t="s">
        <v>7</v>
      </c>
      <c r="B921" s="1">
        <v>43435</v>
      </c>
      <c r="C921" s="1">
        <v>55153</v>
      </c>
      <c r="D921" s="4" t="s">
        <v>1512</v>
      </c>
      <c r="E921" t="s">
        <v>10</v>
      </c>
      <c r="F921" t="s">
        <v>11</v>
      </c>
      <c r="G921" t="s">
        <v>2914</v>
      </c>
      <c r="H921" t="s">
        <v>2975</v>
      </c>
      <c r="I921" t="s">
        <v>2894</v>
      </c>
      <c r="J921" t="str">
        <f>IF(ISNUMBER(MATCH($D921,'Lopettaneet 2013-&gt;'!$D:$D,0)),INDEX('Lopettaneet 2013-&gt;'!$K:$K,MATCH($D921,'Lopettaneet 2013-&gt;'!$D:$D,0)),"Continues")</f>
        <v>Continues</v>
      </c>
      <c r="K921">
        <f ca="1">IF($J921="Continues",DATEDIF($B921,TODAY(),"Y"),INDEX('Lopettaneet 2013-&gt;'!$L:$L,MATCH($D921,'Lopettaneet 2013-&gt;'!$D:$D,0)))</f>
        <v>6</v>
      </c>
      <c r="L921">
        <v>656</v>
      </c>
    </row>
    <row r="922" spans="1:12" x14ac:dyDescent="0.25">
      <c r="A922" t="s">
        <v>7</v>
      </c>
      <c r="B922" s="1">
        <v>43435</v>
      </c>
      <c r="C922" s="1">
        <v>55153</v>
      </c>
      <c r="D922" s="4" t="s">
        <v>1514</v>
      </c>
      <c r="E922" t="s">
        <v>10</v>
      </c>
      <c r="F922" t="s">
        <v>11</v>
      </c>
      <c r="G922" t="s">
        <v>2914</v>
      </c>
      <c r="H922" t="s">
        <v>2975</v>
      </c>
      <c r="I922" t="s">
        <v>2894</v>
      </c>
      <c r="J922" t="str">
        <f>IF(ISNUMBER(MATCH($D922,'Lopettaneet 2013-&gt;'!$D:$D,0)),INDEX('Lopettaneet 2013-&gt;'!$K:$K,MATCH($D922,'Lopettaneet 2013-&gt;'!$D:$D,0)),"Continues")</f>
        <v>Continues</v>
      </c>
      <c r="K922">
        <f ca="1">IF($J922="Continues",DATEDIF($B922,TODAY(),"Y"),INDEX('Lopettaneet 2013-&gt;'!$L:$L,MATCH($D922,'Lopettaneet 2013-&gt;'!$D:$D,0)))</f>
        <v>6</v>
      </c>
      <c r="L922">
        <v>657</v>
      </c>
    </row>
    <row r="923" spans="1:12" x14ac:dyDescent="0.25">
      <c r="A923" t="s">
        <v>7</v>
      </c>
      <c r="B923" s="1">
        <v>43435</v>
      </c>
      <c r="C923" s="1">
        <v>55153</v>
      </c>
      <c r="D923" s="4" t="s">
        <v>1516</v>
      </c>
      <c r="E923" t="s">
        <v>10</v>
      </c>
      <c r="F923" t="s">
        <v>11</v>
      </c>
      <c r="G923" t="s">
        <v>2914</v>
      </c>
      <c r="H923" t="s">
        <v>3010</v>
      </c>
      <c r="I923" t="s">
        <v>2894</v>
      </c>
      <c r="J923" t="str">
        <f>IF(ISNUMBER(MATCH($D923,'Lopettaneet 2013-&gt;'!$D:$D,0)),INDEX('Lopettaneet 2013-&gt;'!$K:$K,MATCH($D923,'Lopettaneet 2013-&gt;'!$D:$D,0)),"Continues")</f>
        <v>Continues</v>
      </c>
      <c r="K923">
        <f ca="1">IF($J923="Continues",DATEDIF($B923,TODAY(),"Y"),INDEX('Lopettaneet 2013-&gt;'!$L:$L,MATCH($D923,'Lopettaneet 2013-&gt;'!$D:$D,0)))</f>
        <v>6</v>
      </c>
      <c r="L923">
        <v>658</v>
      </c>
    </row>
    <row r="924" spans="1:12" x14ac:dyDescent="0.25">
      <c r="A924" t="s">
        <v>7</v>
      </c>
      <c r="B924" s="1">
        <v>43435</v>
      </c>
      <c r="C924" s="1">
        <v>55153</v>
      </c>
      <c r="D924" s="4" t="s">
        <v>1518</v>
      </c>
      <c r="E924" t="s">
        <v>10</v>
      </c>
      <c r="F924" t="s">
        <v>11</v>
      </c>
      <c r="G924" t="s">
        <v>2916</v>
      </c>
      <c r="H924" t="s">
        <v>2946</v>
      </c>
      <c r="I924" t="s">
        <v>2894</v>
      </c>
      <c r="J924" t="str">
        <f>IF(ISNUMBER(MATCH($D924,'Lopettaneet 2013-&gt;'!$D:$D,0)),INDEX('Lopettaneet 2013-&gt;'!$K:$K,MATCH($D924,'Lopettaneet 2013-&gt;'!$D:$D,0)),"Continues")</f>
        <v>Continues</v>
      </c>
      <c r="K924">
        <f ca="1">IF($J924="Continues",DATEDIF($B924,TODAY(),"Y"),INDEX('Lopettaneet 2013-&gt;'!$L:$L,MATCH($D924,'Lopettaneet 2013-&gt;'!$D:$D,0)))</f>
        <v>6</v>
      </c>
      <c r="L924">
        <v>659</v>
      </c>
    </row>
    <row r="925" spans="1:12" x14ac:dyDescent="0.25">
      <c r="A925" t="s">
        <v>0</v>
      </c>
      <c r="B925" s="1">
        <v>43435</v>
      </c>
      <c r="C925" s="1">
        <v>55153</v>
      </c>
      <c r="D925" s="4" t="s">
        <v>1520</v>
      </c>
      <c r="E925" t="s">
        <v>3</v>
      </c>
      <c r="F925" t="s">
        <v>4</v>
      </c>
      <c r="G925" t="s">
        <v>2917</v>
      </c>
      <c r="H925" t="s">
        <v>2952</v>
      </c>
      <c r="I925" t="s">
        <v>2894</v>
      </c>
      <c r="J925" t="str">
        <f>IF(ISNUMBER(MATCH($D925,'Lopettaneet 2013-&gt;'!$D:$D,0)),INDEX('Lopettaneet 2013-&gt;'!$K:$K,MATCH($D925,'Lopettaneet 2013-&gt;'!$D:$D,0)),"Continues")</f>
        <v>Continues</v>
      </c>
      <c r="K925">
        <f ca="1">IF($J925="Continues",DATEDIF($B925,TODAY(),"Y"),INDEX('Lopettaneet 2013-&gt;'!$L:$L,MATCH($D925,'Lopettaneet 2013-&gt;'!$D:$D,0)))</f>
        <v>6</v>
      </c>
      <c r="L925">
        <v>660</v>
      </c>
    </row>
    <row r="926" spans="1:12" x14ac:dyDescent="0.25">
      <c r="A926" t="s">
        <v>0</v>
      </c>
      <c r="B926" s="1">
        <v>43586</v>
      </c>
      <c r="C926" s="1">
        <v>45291</v>
      </c>
      <c r="D926" s="4" t="s">
        <v>48</v>
      </c>
      <c r="E926" t="s">
        <v>3</v>
      </c>
      <c r="F926" t="s">
        <v>4</v>
      </c>
      <c r="G926" t="s">
        <v>2913</v>
      </c>
      <c r="H926" t="s">
        <v>2946</v>
      </c>
      <c r="I926" t="s">
        <v>2909</v>
      </c>
      <c r="J926" t="str">
        <f>IF(ISNUMBER(MATCH($D926,'Lopettaneet 2013-&gt;'!$D:$D,0)),INDEX('Lopettaneet 2013-&gt;'!$K:$K,MATCH($D926,'Lopettaneet 2013-&gt;'!$D:$D,0)),"Continues")</f>
        <v>Merged</v>
      </c>
      <c r="K926">
        <f ca="1">IF($J926="Continues",DATEDIF($B926,TODAY(),"Y"),INDEX('Lopettaneet 2013-&gt;'!$L:$L,MATCH($D926,'Lopettaneet 2013-&gt;'!$D:$D,0)))</f>
        <v>4</v>
      </c>
      <c r="L926">
        <v>661</v>
      </c>
    </row>
    <row r="927" spans="1:12" x14ac:dyDescent="0.25">
      <c r="A927" t="s">
        <v>7</v>
      </c>
      <c r="B927" s="1">
        <v>43435</v>
      </c>
      <c r="C927" s="1">
        <v>55153</v>
      </c>
      <c r="D927" s="4" t="s">
        <v>1522</v>
      </c>
      <c r="E927" t="s">
        <v>10</v>
      </c>
      <c r="F927" t="s">
        <v>11</v>
      </c>
      <c r="G927" t="s">
        <v>2918</v>
      </c>
      <c r="H927" t="s">
        <v>2950</v>
      </c>
      <c r="I927" t="s">
        <v>2895</v>
      </c>
      <c r="J927" t="str">
        <f>IF(ISNUMBER(MATCH($D927,'Lopettaneet 2013-&gt;'!$D:$D,0)),INDEX('Lopettaneet 2013-&gt;'!$K:$K,MATCH($D927,'Lopettaneet 2013-&gt;'!$D:$D,0)),"Continues")</f>
        <v>Continues</v>
      </c>
      <c r="K927">
        <f ca="1">IF($J927="Continues",DATEDIF($B927,TODAY(),"Y"),INDEX('Lopettaneet 2013-&gt;'!$L:$L,MATCH($D927,'Lopettaneet 2013-&gt;'!$D:$D,0)))</f>
        <v>6</v>
      </c>
      <c r="L927">
        <v>662</v>
      </c>
    </row>
    <row r="928" spans="1:12" x14ac:dyDescent="0.25">
      <c r="A928" t="s">
        <v>0</v>
      </c>
      <c r="B928" s="1">
        <v>43435</v>
      </c>
      <c r="C928" s="1">
        <v>55153</v>
      </c>
      <c r="D928" s="4" t="s">
        <v>1524</v>
      </c>
      <c r="E928" t="s">
        <v>10</v>
      </c>
      <c r="F928" t="s">
        <v>4</v>
      </c>
      <c r="G928" t="s">
        <v>2918</v>
      </c>
      <c r="H928" t="s">
        <v>2958</v>
      </c>
      <c r="I928" t="s">
        <v>2894</v>
      </c>
      <c r="J928" t="str">
        <f>IF(ISNUMBER(MATCH($D928,'Lopettaneet 2013-&gt;'!$D:$D,0)),INDEX('Lopettaneet 2013-&gt;'!$K:$K,MATCH($D928,'Lopettaneet 2013-&gt;'!$D:$D,0)),"Continues")</f>
        <v>Continues</v>
      </c>
      <c r="K928">
        <f ca="1">IF($J928="Continues",DATEDIF($B928,TODAY(),"Y"),INDEX('Lopettaneet 2013-&gt;'!$L:$L,MATCH($D928,'Lopettaneet 2013-&gt;'!$D:$D,0)))</f>
        <v>6</v>
      </c>
      <c r="L928">
        <v>663</v>
      </c>
    </row>
    <row r="929" spans="1:12" x14ac:dyDescent="0.25">
      <c r="A929" t="s">
        <v>7</v>
      </c>
      <c r="B929" s="1">
        <v>43435</v>
      </c>
      <c r="C929" s="1">
        <v>55153</v>
      </c>
      <c r="D929" s="4" t="s">
        <v>1526</v>
      </c>
      <c r="E929" t="s">
        <v>10</v>
      </c>
      <c r="F929" t="s">
        <v>11</v>
      </c>
      <c r="G929" t="s">
        <v>2918</v>
      </c>
      <c r="H929" t="s">
        <v>2975</v>
      </c>
      <c r="I929" t="s">
        <v>2895</v>
      </c>
      <c r="J929" t="str">
        <f>IF(ISNUMBER(MATCH($D929,'Lopettaneet 2013-&gt;'!$D:$D,0)),INDEX('Lopettaneet 2013-&gt;'!$K:$K,MATCH($D929,'Lopettaneet 2013-&gt;'!$D:$D,0)),"Continues")</f>
        <v>Continues</v>
      </c>
      <c r="K929">
        <f ca="1">IF($J929="Continues",DATEDIF($B929,TODAY(),"Y"),INDEX('Lopettaneet 2013-&gt;'!$L:$L,MATCH($D929,'Lopettaneet 2013-&gt;'!$D:$D,0)))</f>
        <v>6</v>
      </c>
      <c r="L929">
        <v>664</v>
      </c>
    </row>
    <row r="930" spans="1:12" x14ac:dyDescent="0.25">
      <c r="A930" t="s">
        <v>0</v>
      </c>
      <c r="B930" s="1">
        <v>43405</v>
      </c>
      <c r="C930" s="1">
        <v>44012</v>
      </c>
      <c r="D930" s="4" t="s">
        <v>1528</v>
      </c>
      <c r="E930" t="s">
        <v>10</v>
      </c>
      <c r="F930" t="s">
        <v>4</v>
      </c>
      <c r="G930" t="s">
        <v>2913</v>
      </c>
      <c r="H930" t="s">
        <v>2935</v>
      </c>
      <c r="I930" t="s">
        <v>2909</v>
      </c>
      <c r="J930" t="str">
        <f>IF(ISNUMBER(MATCH($D930,'Lopettaneet 2013-&gt;'!$D:$D,0)),INDEX('Lopettaneet 2013-&gt;'!$K:$K,MATCH($D930,'Lopettaneet 2013-&gt;'!$D:$D,0)),"Continues")</f>
        <v>Closed</v>
      </c>
      <c r="K930">
        <f ca="1">IF($J930="Continues",DATEDIF($B930,TODAY(),"Y"),INDEX('Lopettaneet 2013-&gt;'!$L:$L,MATCH($D930,'Lopettaneet 2013-&gt;'!$D:$D,0)))</f>
        <v>1</v>
      </c>
      <c r="L930">
        <v>665</v>
      </c>
    </row>
    <row r="931" spans="1:12" x14ac:dyDescent="0.25">
      <c r="A931" t="s">
        <v>7</v>
      </c>
      <c r="B931" s="1">
        <v>43525</v>
      </c>
      <c r="C931" s="1">
        <v>55153</v>
      </c>
      <c r="D931" s="4" t="s">
        <v>1530</v>
      </c>
      <c r="E931" t="s">
        <v>10</v>
      </c>
      <c r="F931" t="s">
        <v>11</v>
      </c>
      <c r="G931" t="s">
        <v>2914</v>
      </c>
      <c r="H931" t="s">
        <v>2975</v>
      </c>
      <c r="I931" t="s">
        <v>2895</v>
      </c>
      <c r="J931" t="str">
        <f>IF(ISNUMBER(MATCH($D931,'Lopettaneet 2013-&gt;'!$D:$D,0)),INDEX('Lopettaneet 2013-&gt;'!$K:$K,MATCH($D931,'Lopettaneet 2013-&gt;'!$D:$D,0)),"Continues")</f>
        <v>Continues</v>
      </c>
      <c r="K931">
        <f ca="1">IF($J931="Continues",DATEDIF($B931,TODAY(),"Y"),INDEX('Lopettaneet 2013-&gt;'!$L:$L,MATCH($D931,'Lopettaneet 2013-&gt;'!$D:$D,0)))</f>
        <v>6</v>
      </c>
      <c r="L931">
        <v>666</v>
      </c>
    </row>
    <row r="932" spans="1:12" x14ac:dyDescent="0.25">
      <c r="A932" t="s">
        <v>7</v>
      </c>
      <c r="B932" s="1">
        <v>43617</v>
      </c>
      <c r="C932" s="1">
        <v>55153</v>
      </c>
      <c r="D932" s="4" t="s">
        <v>1532</v>
      </c>
      <c r="E932" t="s">
        <v>10</v>
      </c>
      <c r="F932" t="s">
        <v>11</v>
      </c>
      <c r="G932" t="s">
        <v>2914</v>
      </c>
      <c r="H932" t="s">
        <v>2992</v>
      </c>
      <c r="I932" t="s">
        <v>2895</v>
      </c>
      <c r="J932" t="str">
        <f>IF(ISNUMBER(MATCH($D932,'Lopettaneet 2013-&gt;'!$D:$D,0)),INDEX('Lopettaneet 2013-&gt;'!$K:$K,MATCH($D932,'Lopettaneet 2013-&gt;'!$D:$D,0)),"Continues")</f>
        <v>Continues</v>
      </c>
      <c r="K932">
        <f ca="1">IF($J932="Continues",DATEDIF($B932,TODAY(),"Y"),INDEX('Lopettaneet 2013-&gt;'!$L:$L,MATCH($D932,'Lopettaneet 2013-&gt;'!$D:$D,0)))</f>
        <v>5</v>
      </c>
      <c r="L932">
        <v>667</v>
      </c>
    </row>
    <row r="933" spans="1:12" x14ac:dyDescent="0.25">
      <c r="A933" t="s">
        <v>7</v>
      </c>
      <c r="B933" s="1">
        <v>43435</v>
      </c>
      <c r="C933" s="1">
        <v>55153</v>
      </c>
      <c r="D933" s="4" t="s">
        <v>1534</v>
      </c>
      <c r="E933" t="s">
        <v>10</v>
      </c>
      <c r="F933" t="s">
        <v>11</v>
      </c>
      <c r="G933" t="s">
        <v>2916</v>
      </c>
      <c r="H933" t="s">
        <v>2946</v>
      </c>
      <c r="I933" t="s">
        <v>2894</v>
      </c>
      <c r="J933" t="str">
        <f>IF(ISNUMBER(MATCH($D933,'Lopettaneet 2013-&gt;'!$D:$D,0)),INDEX('Lopettaneet 2013-&gt;'!$K:$K,MATCH($D933,'Lopettaneet 2013-&gt;'!$D:$D,0)),"Continues")</f>
        <v>Continues</v>
      </c>
      <c r="K933">
        <f ca="1">IF($J933="Continues",DATEDIF($B933,TODAY(),"Y"),INDEX('Lopettaneet 2013-&gt;'!$L:$L,MATCH($D933,'Lopettaneet 2013-&gt;'!$D:$D,0)))</f>
        <v>6</v>
      </c>
      <c r="L933">
        <v>668</v>
      </c>
    </row>
    <row r="934" spans="1:12" x14ac:dyDescent="0.25">
      <c r="A934" t="s">
        <v>0</v>
      </c>
      <c r="B934" s="1">
        <v>43405</v>
      </c>
      <c r="C934" s="1">
        <v>44012</v>
      </c>
      <c r="D934" s="4" t="s">
        <v>1536</v>
      </c>
      <c r="E934" t="s">
        <v>3</v>
      </c>
      <c r="F934" t="s">
        <v>4</v>
      </c>
      <c r="G934" t="s">
        <v>2917</v>
      </c>
      <c r="H934" t="s">
        <v>2935</v>
      </c>
      <c r="I934" t="s">
        <v>2909</v>
      </c>
      <c r="J934" t="str">
        <f>IF(ISNUMBER(MATCH($D934,'Lopettaneet 2013-&gt;'!$D:$D,0)),INDEX('Lopettaneet 2013-&gt;'!$K:$K,MATCH($D934,'Lopettaneet 2013-&gt;'!$D:$D,0)),"Continues")</f>
        <v>Closed</v>
      </c>
      <c r="K934">
        <f ca="1">IF($J934="Continues",DATEDIF($B934,TODAY(),"Y"),INDEX('Lopettaneet 2013-&gt;'!$L:$L,MATCH($D934,'Lopettaneet 2013-&gt;'!$D:$D,0)))</f>
        <v>1</v>
      </c>
      <c r="L934">
        <v>669</v>
      </c>
    </row>
    <row r="935" spans="1:12" x14ac:dyDescent="0.25">
      <c r="A935" t="s">
        <v>0</v>
      </c>
      <c r="B935" s="1">
        <v>43405</v>
      </c>
      <c r="C935" s="1">
        <v>44012</v>
      </c>
      <c r="D935" s="4" t="s">
        <v>1538</v>
      </c>
      <c r="E935" t="s">
        <v>3</v>
      </c>
      <c r="F935" t="s">
        <v>4</v>
      </c>
      <c r="G935" t="s">
        <v>2917</v>
      </c>
      <c r="H935" t="s">
        <v>2935</v>
      </c>
      <c r="I935" t="s">
        <v>2909</v>
      </c>
      <c r="J935" t="str">
        <f>IF(ISNUMBER(MATCH($D935,'Lopettaneet 2013-&gt;'!$D:$D,0)),INDEX('Lopettaneet 2013-&gt;'!$K:$K,MATCH($D935,'Lopettaneet 2013-&gt;'!$D:$D,0)),"Continues")</f>
        <v>Closed</v>
      </c>
      <c r="K935">
        <f ca="1">IF($J935="Continues",DATEDIF($B935,TODAY(),"Y"),INDEX('Lopettaneet 2013-&gt;'!$L:$L,MATCH($D935,'Lopettaneet 2013-&gt;'!$D:$D,0)))</f>
        <v>1</v>
      </c>
      <c r="L935">
        <v>670</v>
      </c>
    </row>
    <row r="936" spans="1:12" x14ac:dyDescent="0.25">
      <c r="A936" t="s">
        <v>0</v>
      </c>
      <c r="B936" s="1">
        <v>43435</v>
      </c>
      <c r="C936" s="1">
        <v>55153</v>
      </c>
      <c r="D936" s="4" t="s">
        <v>3209</v>
      </c>
      <c r="E936" t="s">
        <v>3</v>
      </c>
      <c r="F936" t="s">
        <v>4</v>
      </c>
      <c r="G936" t="s">
        <v>2917</v>
      </c>
      <c r="H936" t="s">
        <v>2777</v>
      </c>
      <c r="I936" t="s">
        <v>2894</v>
      </c>
      <c r="J936" t="str">
        <f>IF(ISNUMBER(MATCH($D936,'Lopettaneet 2013-&gt;'!$D:$D,0)),INDEX('Lopettaneet 2013-&gt;'!$K:$K,MATCH($D936,'Lopettaneet 2013-&gt;'!$D:$D,0)),"Continues")</f>
        <v>Continues</v>
      </c>
      <c r="K936">
        <f ca="1">IF($J936="Continues",DATEDIF($B936,TODAY(),"Y"),INDEX('Lopettaneet 2013-&gt;'!$L:$L,MATCH($D936,'Lopettaneet 2013-&gt;'!$D:$D,0)))</f>
        <v>6</v>
      </c>
      <c r="L936">
        <v>671</v>
      </c>
    </row>
    <row r="937" spans="1:12" x14ac:dyDescent="0.25">
      <c r="A937" t="s">
        <v>0</v>
      </c>
      <c r="B937" s="1">
        <v>43466</v>
      </c>
      <c r="C937" s="1">
        <v>55153</v>
      </c>
      <c r="D937" s="4" t="s">
        <v>1542</v>
      </c>
      <c r="E937" t="s">
        <v>10</v>
      </c>
      <c r="F937" t="s">
        <v>11</v>
      </c>
      <c r="G937" t="s">
        <v>2918</v>
      </c>
      <c r="H937" t="s">
        <v>2946</v>
      </c>
      <c r="I937" t="s">
        <v>2895</v>
      </c>
      <c r="J937" t="str">
        <f>IF(ISNUMBER(MATCH($D937,'Lopettaneet 2013-&gt;'!$D:$D,0)),INDEX('Lopettaneet 2013-&gt;'!$K:$K,MATCH($D937,'Lopettaneet 2013-&gt;'!$D:$D,0)),"Continues")</f>
        <v>Continues</v>
      </c>
      <c r="K937">
        <f ca="1">IF($J937="Continues",DATEDIF($B937,TODAY(),"Y"),INDEX('Lopettaneet 2013-&gt;'!$L:$L,MATCH($D937,'Lopettaneet 2013-&gt;'!$D:$D,0)))</f>
        <v>6</v>
      </c>
      <c r="L937">
        <v>672</v>
      </c>
    </row>
    <row r="938" spans="1:12" x14ac:dyDescent="0.25">
      <c r="A938" t="s">
        <v>0</v>
      </c>
      <c r="B938" s="1">
        <v>43831</v>
      </c>
      <c r="C938" s="1">
        <v>55153</v>
      </c>
      <c r="D938" s="4" t="s">
        <v>1544</v>
      </c>
      <c r="E938" t="s">
        <v>10</v>
      </c>
      <c r="F938" t="s">
        <v>11</v>
      </c>
      <c r="G938" t="s">
        <v>2914</v>
      </c>
      <c r="H938" t="s">
        <v>2946</v>
      </c>
      <c r="I938" t="s">
        <v>2895</v>
      </c>
      <c r="J938" t="str">
        <f>IF(ISNUMBER(MATCH($D938,'Lopettaneet 2013-&gt;'!$D:$D,0)),INDEX('Lopettaneet 2013-&gt;'!$K:$K,MATCH($D938,'Lopettaneet 2013-&gt;'!$D:$D,0)),"Continues")</f>
        <v>Continues</v>
      </c>
      <c r="K938">
        <f ca="1">IF($J938="Continues",DATEDIF($B938,TODAY(),"Y"),INDEX('Lopettaneet 2013-&gt;'!$L:$L,MATCH($D938,'Lopettaneet 2013-&gt;'!$D:$D,0)))</f>
        <v>5</v>
      </c>
      <c r="L938">
        <v>673</v>
      </c>
    </row>
    <row r="939" spans="1:12" x14ac:dyDescent="0.25">
      <c r="A939" t="s">
        <v>0</v>
      </c>
      <c r="B939" s="1">
        <v>43497</v>
      </c>
      <c r="C939" s="1">
        <v>55153</v>
      </c>
      <c r="D939" s="4" t="s">
        <v>1546</v>
      </c>
      <c r="E939" t="s">
        <v>3</v>
      </c>
      <c r="F939" t="s">
        <v>4</v>
      </c>
      <c r="G939" t="s">
        <v>2917</v>
      </c>
      <c r="H939" t="s">
        <v>2960</v>
      </c>
      <c r="I939" t="s">
        <v>2894</v>
      </c>
      <c r="J939" t="str">
        <f>IF(ISNUMBER(MATCH($D939,'Lopettaneet 2013-&gt;'!$D:$D,0)),INDEX('Lopettaneet 2013-&gt;'!$K:$K,MATCH($D939,'Lopettaneet 2013-&gt;'!$D:$D,0)),"Continues")</f>
        <v>Continues</v>
      </c>
      <c r="K939">
        <f ca="1">IF($J939="Continues",DATEDIF($B939,TODAY(),"Y"),INDEX('Lopettaneet 2013-&gt;'!$L:$L,MATCH($D939,'Lopettaneet 2013-&gt;'!$D:$D,0)))</f>
        <v>6</v>
      </c>
      <c r="L939">
        <v>674</v>
      </c>
    </row>
    <row r="940" spans="1:12" x14ac:dyDescent="0.25">
      <c r="A940" t="s">
        <v>0</v>
      </c>
      <c r="B940" s="1">
        <v>43435</v>
      </c>
      <c r="C940" s="1">
        <v>43830</v>
      </c>
      <c r="D940" s="4" t="s">
        <v>1548</v>
      </c>
      <c r="E940" t="s">
        <v>3</v>
      </c>
      <c r="F940" t="s">
        <v>4</v>
      </c>
      <c r="G940" t="s">
        <v>2917</v>
      </c>
      <c r="H940" t="s">
        <v>2946</v>
      </c>
      <c r="I940" t="s">
        <v>2909</v>
      </c>
      <c r="J940" t="str">
        <f>IF(ISNUMBER(MATCH($D940,'Lopettaneet 2013-&gt;'!$D:$D,0)),INDEX('Lopettaneet 2013-&gt;'!$K:$K,MATCH($D940,'Lopettaneet 2013-&gt;'!$D:$D,0)),"Continues")</f>
        <v>Merged</v>
      </c>
      <c r="K940">
        <f ca="1">IF($J940="Continues",DATEDIF($B940,TODAY(),"Y"),INDEX('Lopettaneet 2013-&gt;'!$L:$L,MATCH($D940,'Lopettaneet 2013-&gt;'!$D:$D,0)))</f>
        <v>1</v>
      </c>
      <c r="L940">
        <v>675</v>
      </c>
    </row>
    <row r="941" spans="1:12" x14ac:dyDescent="0.25">
      <c r="A941" t="s">
        <v>7</v>
      </c>
      <c r="B941" s="1">
        <v>43525</v>
      </c>
      <c r="C941" s="1">
        <v>55153</v>
      </c>
      <c r="D941" s="4" t="s">
        <v>1550</v>
      </c>
      <c r="E941" t="s">
        <v>10</v>
      </c>
      <c r="F941" t="s">
        <v>11</v>
      </c>
      <c r="G941" t="s">
        <v>2914</v>
      </c>
      <c r="H941" t="s">
        <v>2955</v>
      </c>
      <c r="I941" t="s">
        <v>2894</v>
      </c>
      <c r="J941" t="str">
        <f>IF(ISNUMBER(MATCH($D941,'Lopettaneet 2013-&gt;'!$D:$D,0)),INDEX('Lopettaneet 2013-&gt;'!$K:$K,MATCH($D941,'Lopettaneet 2013-&gt;'!$D:$D,0)),"Continues")</f>
        <v>Continues</v>
      </c>
      <c r="K941">
        <f ca="1">IF($J941="Continues",DATEDIF($B941,TODAY(),"Y"),INDEX('Lopettaneet 2013-&gt;'!$L:$L,MATCH($D941,'Lopettaneet 2013-&gt;'!$D:$D,0)))</f>
        <v>6</v>
      </c>
      <c r="L941">
        <v>676</v>
      </c>
    </row>
    <row r="942" spans="1:12" x14ac:dyDescent="0.25">
      <c r="A942" t="s">
        <v>7</v>
      </c>
      <c r="B942" s="1">
        <v>43525</v>
      </c>
      <c r="C942" s="1">
        <v>55153</v>
      </c>
      <c r="D942" s="4" t="s">
        <v>1552</v>
      </c>
      <c r="E942" t="s">
        <v>10</v>
      </c>
      <c r="F942" t="s">
        <v>11</v>
      </c>
      <c r="G942" t="s">
        <v>2914</v>
      </c>
      <c r="H942" t="s">
        <v>2955</v>
      </c>
      <c r="I942" t="s">
        <v>2894</v>
      </c>
      <c r="J942" t="str">
        <f>IF(ISNUMBER(MATCH($D942,'Lopettaneet 2013-&gt;'!$D:$D,0)),INDEX('Lopettaneet 2013-&gt;'!$K:$K,MATCH($D942,'Lopettaneet 2013-&gt;'!$D:$D,0)),"Continues")</f>
        <v>Continues</v>
      </c>
      <c r="K942">
        <f ca="1">IF($J942="Continues",DATEDIF($B942,TODAY(),"Y"),INDEX('Lopettaneet 2013-&gt;'!$L:$L,MATCH($D942,'Lopettaneet 2013-&gt;'!$D:$D,0)))</f>
        <v>6</v>
      </c>
      <c r="L942">
        <v>677</v>
      </c>
    </row>
    <row r="943" spans="1:12" x14ac:dyDescent="0.25">
      <c r="A943" t="s">
        <v>7</v>
      </c>
      <c r="B943" s="1">
        <v>43435</v>
      </c>
      <c r="C943" s="1">
        <v>55153</v>
      </c>
      <c r="D943" s="4" t="s">
        <v>1554</v>
      </c>
      <c r="E943" t="s">
        <v>10</v>
      </c>
      <c r="F943" t="s">
        <v>11</v>
      </c>
      <c r="G943" t="s">
        <v>2914</v>
      </c>
      <c r="H943" t="s">
        <v>2946</v>
      </c>
      <c r="I943" t="s">
        <v>2894</v>
      </c>
      <c r="J943" t="str">
        <f>IF(ISNUMBER(MATCH($D943,'Lopettaneet 2013-&gt;'!$D:$D,0)),INDEX('Lopettaneet 2013-&gt;'!$K:$K,MATCH($D943,'Lopettaneet 2013-&gt;'!$D:$D,0)),"Continues")</f>
        <v>Continues</v>
      </c>
      <c r="K943">
        <f ca="1">IF($J943="Continues",DATEDIF($B943,TODAY(),"Y"),INDEX('Lopettaneet 2013-&gt;'!$L:$L,MATCH($D943,'Lopettaneet 2013-&gt;'!$D:$D,0)))</f>
        <v>6</v>
      </c>
      <c r="L943">
        <v>678</v>
      </c>
    </row>
    <row r="944" spans="1:12" x14ac:dyDescent="0.25">
      <c r="A944" t="s">
        <v>7</v>
      </c>
      <c r="B944" s="1">
        <v>43617</v>
      </c>
      <c r="C944" s="1">
        <v>55153</v>
      </c>
      <c r="D944" s="4" t="s">
        <v>1556</v>
      </c>
      <c r="E944" t="s">
        <v>10</v>
      </c>
      <c r="F944" t="s">
        <v>11</v>
      </c>
      <c r="G944" t="s">
        <v>2912</v>
      </c>
      <c r="H944" t="s">
        <v>2766</v>
      </c>
      <c r="I944" t="s">
        <v>2895</v>
      </c>
      <c r="J944" t="str">
        <f>IF(ISNUMBER(MATCH($D944,'Lopettaneet 2013-&gt;'!$D:$D,0)),INDEX('Lopettaneet 2013-&gt;'!$K:$K,MATCH($D944,'Lopettaneet 2013-&gt;'!$D:$D,0)),"Continues")</f>
        <v>Continues</v>
      </c>
      <c r="K944">
        <f ca="1">IF($J944="Continues",DATEDIF($B944,TODAY(),"Y"),INDEX('Lopettaneet 2013-&gt;'!$L:$L,MATCH($D944,'Lopettaneet 2013-&gt;'!$D:$D,0)))</f>
        <v>5</v>
      </c>
      <c r="L944">
        <v>679</v>
      </c>
    </row>
    <row r="945" spans="1:12" x14ac:dyDescent="0.25">
      <c r="A945" t="s">
        <v>0</v>
      </c>
      <c r="B945" s="1">
        <v>43770</v>
      </c>
      <c r="C945" s="1">
        <v>55153</v>
      </c>
      <c r="D945" s="4" t="s">
        <v>1558</v>
      </c>
      <c r="E945" t="s">
        <v>10</v>
      </c>
      <c r="F945" t="s">
        <v>11</v>
      </c>
      <c r="G945" t="s">
        <v>2917</v>
      </c>
      <c r="H945" t="s">
        <v>2766</v>
      </c>
      <c r="I945" t="s">
        <v>2895</v>
      </c>
      <c r="J945" t="str">
        <f>IF(ISNUMBER(MATCH($D945,'Lopettaneet 2013-&gt;'!$D:$D,0)),INDEX('Lopettaneet 2013-&gt;'!$K:$K,MATCH($D945,'Lopettaneet 2013-&gt;'!$D:$D,0)),"Continues")</f>
        <v>Continues</v>
      </c>
      <c r="K945">
        <f ca="1">IF($J945="Continues",DATEDIF($B945,TODAY(),"Y"),INDEX('Lopettaneet 2013-&gt;'!$L:$L,MATCH($D945,'Lopettaneet 2013-&gt;'!$D:$D,0)))</f>
        <v>5</v>
      </c>
      <c r="L945">
        <v>680</v>
      </c>
    </row>
    <row r="946" spans="1:12" x14ac:dyDescent="0.25">
      <c r="A946" t="s">
        <v>0</v>
      </c>
      <c r="B946" s="1">
        <v>43497</v>
      </c>
      <c r="C946" s="1">
        <v>55153</v>
      </c>
      <c r="D946" s="4" t="s">
        <v>1560</v>
      </c>
      <c r="E946" t="s">
        <v>10</v>
      </c>
      <c r="F946" t="s">
        <v>11</v>
      </c>
      <c r="G946" t="s">
        <v>2917</v>
      </c>
      <c r="H946" t="s">
        <v>2766</v>
      </c>
      <c r="I946" t="s">
        <v>2895</v>
      </c>
      <c r="J946" t="str">
        <f>IF(ISNUMBER(MATCH($D946,'Lopettaneet 2013-&gt;'!$D:$D,0)),INDEX('Lopettaneet 2013-&gt;'!$K:$K,MATCH($D946,'Lopettaneet 2013-&gt;'!$D:$D,0)),"Continues")</f>
        <v>Continues</v>
      </c>
      <c r="K946">
        <f ca="1">IF($J946="Continues",DATEDIF($B946,TODAY(),"Y"),INDEX('Lopettaneet 2013-&gt;'!$L:$L,MATCH($D946,'Lopettaneet 2013-&gt;'!$D:$D,0)))</f>
        <v>6</v>
      </c>
      <c r="L946">
        <v>681</v>
      </c>
    </row>
    <row r="947" spans="1:12" x14ac:dyDescent="0.25">
      <c r="A947" t="s">
        <v>7</v>
      </c>
      <c r="B947" s="1">
        <v>43435</v>
      </c>
      <c r="C947" s="1">
        <v>55153</v>
      </c>
      <c r="D947" s="4" t="s">
        <v>1562</v>
      </c>
      <c r="E947" t="s">
        <v>10</v>
      </c>
      <c r="F947" t="s">
        <v>11</v>
      </c>
      <c r="G947" t="s">
        <v>2918</v>
      </c>
      <c r="H947" t="s">
        <v>2956</v>
      </c>
      <c r="I947" t="s">
        <v>2895</v>
      </c>
      <c r="J947" t="str">
        <f>IF(ISNUMBER(MATCH($D947,'Lopettaneet 2013-&gt;'!$D:$D,0)),INDEX('Lopettaneet 2013-&gt;'!$K:$K,MATCH($D947,'Lopettaneet 2013-&gt;'!$D:$D,0)),"Continues")</f>
        <v>Continues</v>
      </c>
      <c r="K947">
        <f ca="1">IF($J947="Continues",DATEDIF($B947,TODAY(),"Y"),INDEX('Lopettaneet 2013-&gt;'!$L:$L,MATCH($D947,'Lopettaneet 2013-&gt;'!$D:$D,0)))</f>
        <v>6</v>
      </c>
      <c r="L947">
        <v>682</v>
      </c>
    </row>
    <row r="948" spans="1:12" x14ac:dyDescent="0.25">
      <c r="A948" t="s">
        <v>7</v>
      </c>
      <c r="B948" s="1">
        <v>43435</v>
      </c>
      <c r="C948" s="1">
        <v>55153</v>
      </c>
      <c r="D948" s="4" t="s">
        <v>1564</v>
      </c>
      <c r="E948" t="s">
        <v>10</v>
      </c>
      <c r="F948" t="s">
        <v>11</v>
      </c>
      <c r="G948" t="s">
        <v>2918</v>
      </c>
      <c r="H948" t="s">
        <v>2956</v>
      </c>
      <c r="I948" t="s">
        <v>2895</v>
      </c>
      <c r="J948" t="str">
        <f>IF(ISNUMBER(MATCH($D948,'Lopettaneet 2013-&gt;'!$D:$D,0)),INDEX('Lopettaneet 2013-&gt;'!$K:$K,MATCH($D948,'Lopettaneet 2013-&gt;'!$D:$D,0)),"Continues")</f>
        <v>Continues</v>
      </c>
      <c r="K948">
        <f ca="1">IF($J948="Continues",DATEDIF($B948,TODAY(),"Y"),INDEX('Lopettaneet 2013-&gt;'!$L:$L,MATCH($D948,'Lopettaneet 2013-&gt;'!$D:$D,0)))</f>
        <v>6</v>
      </c>
      <c r="L948">
        <v>683</v>
      </c>
    </row>
    <row r="949" spans="1:12" x14ac:dyDescent="0.25">
      <c r="A949" t="s">
        <v>7</v>
      </c>
      <c r="B949" s="1">
        <v>43435</v>
      </c>
      <c r="C949" s="1">
        <v>55153</v>
      </c>
      <c r="D949" s="4" t="s">
        <v>1566</v>
      </c>
      <c r="E949" t="s">
        <v>10</v>
      </c>
      <c r="F949" t="s">
        <v>11</v>
      </c>
      <c r="G949" t="s">
        <v>2914</v>
      </c>
      <c r="H949" t="s">
        <v>3003</v>
      </c>
      <c r="I949" t="s">
        <v>2894</v>
      </c>
      <c r="J949" t="str">
        <f>IF(ISNUMBER(MATCH($D949,'Lopettaneet 2013-&gt;'!$D:$D,0)),INDEX('Lopettaneet 2013-&gt;'!$K:$K,MATCH($D949,'Lopettaneet 2013-&gt;'!$D:$D,0)),"Continues")</f>
        <v>Continues</v>
      </c>
      <c r="K949">
        <f ca="1">IF($J949="Continues",DATEDIF($B949,TODAY(),"Y"),INDEX('Lopettaneet 2013-&gt;'!$L:$L,MATCH($D949,'Lopettaneet 2013-&gt;'!$D:$D,0)))</f>
        <v>6</v>
      </c>
      <c r="L949">
        <v>684</v>
      </c>
    </row>
    <row r="950" spans="1:12" x14ac:dyDescent="0.25">
      <c r="A950" t="s">
        <v>7</v>
      </c>
      <c r="B950" s="1">
        <v>43435</v>
      </c>
      <c r="C950" s="1">
        <v>44561</v>
      </c>
      <c r="D950" s="4" t="s">
        <v>1568</v>
      </c>
      <c r="E950" t="s">
        <v>10</v>
      </c>
      <c r="F950" t="s">
        <v>11</v>
      </c>
      <c r="G950" t="s">
        <v>2914</v>
      </c>
      <c r="H950" t="s">
        <v>2909</v>
      </c>
      <c r="I950" t="s">
        <v>2909</v>
      </c>
      <c r="J950" t="str">
        <f>IF(ISNUMBER(MATCH($D950,'Lopettaneet 2013-&gt;'!$D:$D,0)),INDEX('Lopettaneet 2013-&gt;'!$K:$K,MATCH($D950,'Lopettaneet 2013-&gt;'!$D:$D,0)),"Continues")</f>
        <v>Closed</v>
      </c>
      <c r="K950">
        <f ca="1">IF($J950="Continues",DATEDIF($B950,TODAY(),"Y"),INDEX('Lopettaneet 2013-&gt;'!$L:$L,MATCH($D950,'Lopettaneet 2013-&gt;'!$D:$D,0)))</f>
        <v>3</v>
      </c>
      <c r="L950">
        <v>685</v>
      </c>
    </row>
    <row r="951" spans="1:12" x14ac:dyDescent="0.25">
      <c r="A951" t="s">
        <v>7</v>
      </c>
      <c r="B951" s="1">
        <v>43617</v>
      </c>
      <c r="C951" s="1">
        <v>55153</v>
      </c>
      <c r="D951" s="4" t="s">
        <v>1570</v>
      </c>
      <c r="E951" t="s">
        <v>10</v>
      </c>
      <c r="F951" t="s">
        <v>11</v>
      </c>
      <c r="G951" t="s">
        <v>2918</v>
      </c>
      <c r="H951" t="s">
        <v>2963</v>
      </c>
      <c r="I951" t="s">
        <v>2895</v>
      </c>
      <c r="J951" t="str">
        <f>IF(ISNUMBER(MATCH($D951,'Lopettaneet 2013-&gt;'!$D:$D,0)),INDEX('Lopettaneet 2013-&gt;'!$K:$K,MATCH($D951,'Lopettaneet 2013-&gt;'!$D:$D,0)),"Continues")</f>
        <v>Continues</v>
      </c>
      <c r="K951">
        <f ca="1">IF($J951="Continues",DATEDIF($B951,TODAY(),"Y"),INDEX('Lopettaneet 2013-&gt;'!$L:$L,MATCH($D951,'Lopettaneet 2013-&gt;'!$D:$D,0)))</f>
        <v>5</v>
      </c>
      <c r="L951">
        <v>686</v>
      </c>
    </row>
    <row r="952" spans="1:12" x14ac:dyDescent="0.25">
      <c r="A952" t="s">
        <v>7</v>
      </c>
      <c r="B952" s="1">
        <v>43709</v>
      </c>
      <c r="C952" s="1">
        <v>55153</v>
      </c>
      <c r="D952" s="4" t="s">
        <v>1572</v>
      </c>
      <c r="E952" t="s">
        <v>10</v>
      </c>
      <c r="F952" t="s">
        <v>11</v>
      </c>
      <c r="G952" t="s">
        <v>2918</v>
      </c>
      <c r="H952" t="s">
        <v>2997</v>
      </c>
      <c r="I952" t="s">
        <v>2894</v>
      </c>
      <c r="J952" t="str">
        <f>IF(ISNUMBER(MATCH($D952,'Lopettaneet 2013-&gt;'!$D:$D,0)),INDEX('Lopettaneet 2013-&gt;'!$K:$K,MATCH($D952,'Lopettaneet 2013-&gt;'!$D:$D,0)),"Continues")</f>
        <v>Continues</v>
      </c>
      <c r="K952">
        <f ca="1">IF($J952="Continues",DATEDIF($B952,TODAY(),"Y"),INDEX('Lopettaneet 2013-&gt;'!$L:$L,MATCH($D952,'Lopettaneet 2013-&gt;'!$D:$D,0)))</f>
        <v>5</v>
      </c>
      <c r="L952">
        <v>687</v>
      </c>
    </row>
    <row r="953" spans="1:12" x14ac:dyDescent="0.25">
      <c r="A953" t="s">
        <v>7</v>
      </c>
      <c r="B953" s="1">
        <v>43617</v>
      </c>
      <c r="C953" s="1">
        <v>55153</v>
      </c>
      <c r="D953" s="4" t="s">
        <v>1574</v>
      </c>
      <c r="E953" t="s">
        <v>10</v>
      </c>
      <c r="F953" t="s">
        <v>11</v>
      </c>
      <c r="G953" t="s">
        <v>2914</v>
      </c>
      <c r="H953" t="s">
        <v>2946</v>
      </c>
      <c r="I953" t="s">
        <v>2894</v>
      </c>
      <c r="J953" t="str">
        <f>IF(ISNUMBER(MATCH($D953,'Lopettaneet 2013-&gt;'!$D:$D,0)),INDEX('Lopettaneet 2013-&gt;'!$K:$K,MATCH($D953,'Lopettaneet 2013-&gt;'!$D:$D,0)),"Continues")</f>
        <v>Continues</v>
      </c>
      <c r="K953">
        <f ca="1">IF($J953="Continues",DATEDIF($B953,TODAY(),"Y"),INDEX('Lopettaneet 2013-&gt;'!$L:$L,MATCH($D953,'Lopettaneet 2013-&gt;'!$D:$D,0)))</f>
        <v>5</v>
      </c>
      <c r="L953">
        <v>688</v>
      </c>
    </row>
    <row r="954" spans="1:12" x14ac:dyDescent="0.25">
      <c r="A954" t="s">
        <v>0</v>
      </c>
      <c r="B954" s="1">
        <v>43525</v>
      </c>
      <c r="C954" s="1">
        <v>55153</v>
      </c>
      <c r="D954" s="4" t="s">
        <v>1576</v>
      </c>
      <c r="E954" t="s">
        <v>3</v>
      </c>
      <c r="F954" t="s">
        <v>4</v>
      </c>
      <c r="G954" t="s">
        <v>2915</v>
      </c>
      <c r="H954" t="s">
        <v>2975</v>
      </c>
      <c r="I954" t="s">
        <v>2894</v>
      </c>
      <c r="J954" t="str">
        <f>IF(ISNUMBER(MATCH($D954,'Lopettaneet 2013-&gt;'!$D:$D,0)),INDEX('Lopettaneet 2013-&gt;'!$K:$K,MATCH($D954,'Lopettaneet 2013-&gt;'!$D:$D,0)),"Continues")</f>
        <v>Continues</v>
      </c>
      <c r="K954">
        <f ca="1">IF($J954="Continues",DATEDIF($B954,TODAY(),"Y"),INDEX('Lopettaneet 2013-&gt;'!$L:$L,MATCH($D954,'Lopettaneet 2013-&gt;'!$D:$D,0)))</f>
        <v>6</v>
      </c>
      <c r="L954">
        <v>689</v>
      </c>
    </row>
    <row r="955" spans="1:12" x14ac:dyDescent="0.25">
      <c r="A955" t="s">
        <v>0</v>
      </c>
      <c r="B955" s="1">
        <v>43586</v>
      </c>
      <c r="C955" s="1">
        <v>55153</v>
      </c>
      <c r="D955" s="4" t="s">
        <v>1578</v>
      </c>
      <c r="E955" t="s">
        <v>3</v>
      </c>
      <c r="F955" t="s">
        <v>4</v>
      </c>
      <c r="G955" t="s">
        <v>2913</v>
      </c>
      <c r="H955" t="s">
        <v>2958</v>
      </c>
      <c r="I955" t="s">
        <v>2894</v>
      </c>
      <c r="J955" t="str">
        <f>IF(ISNUMBER(MATCH($D955,'Lopettaneet 2013-&gt;'!$D:$D,0)),INDEX('Lopettaneet 2013-&gt;'!$K:$K,MATCH($D955,'Lopettaneet 2013-&gt;'!$D:$D,0)),"Continues")</f>
        <v>Continues</v>
      </c>
      <c r="K955">
        <f ca="1">IF($J955="Continues",DATEDIF($B955,TODAY(),"Y"),INDEX('Lopettaneet 2013-&gt;'!$L:$L,MATCH($D955,'Lopettaneet 2013-&gt;'!$D:$D,0)))</f>
        <v>6</v>
      </c>
      <c r="L955">
        <v>690</v>
      </c>
    </row>
    <row r="956" spans="1:12" x14ac:dyDescent="0.25">
      <c r="A956" t="s">
        <v>0</v>
      </c>
      <c r="B956" s="1">
        <v>43586</v>
      </c>
      <c r="C956" s="1">
        <v>55153</v>
      </c>
      <c r="D956" s="4" t="s">
        <v>1580</v>
      </c>
      <c r="E956" t="s">
        <v>3</v>
      </c>
      <c r="F956" t="s">
        <v>4</v>
      </c>
      <c r="G956" t="s">
        <v>2917</v>
      </c>
      <c r="H956" t="s">
        <v>2958</v>
      </c>
      <c r="I956" t="s">
        <v>2894</v>
      </c>
      <c r="J956" t="str">
        <f>IF(ISNUMBER(MATCH($D956,'Lopettaneet 2013-&gt;'!$D:$D,0)),INDEX('Lopettaneet 2013-&gt;'!$K:$K,MATCH($D956,'Lopettaneet 2013-&gt;'!$D:$D,0)),"Continues")</f>
        <v>Continues</v>
      </c>
      <c r="K956">
        <f ca="1">IF($J956="Continues",DATEDIF($B956,TODAY(),"Y"),INDEX('Lopettaneet 2013-&gt;'!$L:$L,MATCH($D956,'Lopettaneet 2013-&gt;'!$D:$D,0)))</f>
        <v>6</v>
      </c>
      <c r="L956">
        <v>691</v>
      </c>
    </row>
    <row r="957" spans="1:12" x14ac:dyDescent="0.25">
      <c r="A957" t="s">
        <v>7</v>
      </c>
      <c r="B957" s="1">
        <v>43525</v>
      </c>
      <c r="C957" s="1">
        <v>44104</v>
      </c>
      <c r="D957" s="4" t="s">
        <v>1582</v>
      </c>
      <c r="E957" t="s">
        <v>10</v>
      </c>
      <c r="F957" t="s">
        <v>11</v>
      </c>
      <c r="G957" t="s">
        <v>2914</v>
      </c>
      <c r="H957" t="s">
        <v>2975</v>
      </c>
      <c r="I957" t="s">
        <v>2909</v>
      </c>
      <c r="J957" t="str">
        <f>IF(ISNUMBER(MATCH($D957,'Lopettaneet 2013-&gt;'!$D:$D,0)),INDEX('Lopettaneet 2013-&gt;'!$K:$K,MATCH($D957,'Lopettaneet 2013-&gt;'!$D:$D,0)),"Continues")</f>
        <v>Closed</v>
      </c>
      <c r="K957">
        <f ca="1">IF($J957="Continues",DATEDIF($B957,TODAY(),"Y"),INDEX('Lopettaneet 2013-&gt;'!$L:$L,MATCH($D957,'Lopettaneet 2013-&gt;'!$D:$D,0)))</f>
        <v>1</v>
      </c>
      <c r="L957">
        <v>692</v>
      </c>
    </row>
    <row r="958" spans="1:12" x14ac:dyDescent="0.25">
      <c r="A958" t="s">
        <v>7</v>
      </c>
      <c r="B958" s="1">
        <v>43525</v>
      </c>
      <c r="C958" s="1">
        <v>55153</v>
      </c>
      <c r="D958" s="4" t="s">
        <v>1584</v>
      </c>
      <c r="E958" t="s">
        <v>10</v>
      </c>
      <c r="F958" t="s">
        <v>11</v>
      </c>
      <c r="G958" t="s">
        <v>2914</v>
      </c>
      <c r="H958" t="s">
        <v>2946</v>
      </c>
      <c r="I958" t="s">
        <v>2894</v>
      </c>
      <c r="J958" t="str">
        <f>IF(ISNUMBER(MATCH($D958,'Lopettaneet 2013-&gt;'!$D:$D,0)),INDEX('Lopettaneet 2013-&gt;'!$K:$K,MATCH($D958,'Lopettaneet 2013-&gt;'!$D:$D,0)),"Continues")</f>
        <v>Continues</v>
      </c>
      <c r="K958">
        <f ca="1">IF($J958="Continues",DATEDIF($B958,TODAY(),"Y"),INDEX('Lopettaneet 2013-&gt;'!$L:$L,MATCH($D958,'Lopettaneet 2013-&gt;'!$D:$D,0)))</f>
        <v>6</v>
      </c>
      <c r="L958">
        <v>693</v>
      </c>
    </row>
    <row r="959" spans="1:12" x14ac:dyDescent="0.25">
      <c r="A959" t="s">
        <v>0</v>
      </c>
      <c r="B959" s="1">
        <v>43525</v>
      </c>
      <c r="C959" s="1">
        <v>44439</v>
      </c>
      <c r="D959" s="4" t="s">
        <v>1586</v>
      </c>
      <c r="E959" t="s">
        <v>10</v>
      </c>
      <c r="F959" t="s">
        <v>4</v>
      </c>
      <c r="G959" t="s">
        <v>2913</v>
      </c>
      <c r="H959" t="s">
        <v>2980</v>
      </c>
      <c r="I959" t="s">
        <v>2909</v>
      </c>
      <c r="J959" t="str">
        <f>IF(ISNUMBER(MATCH($D959,'Lopettaneet 2013-&gt;'!$D:$D,0)),INDEX('Lopettaneet 2013-&gt;'!$K:$K,MATCH($D959,'Lopettaneet 2013-&gt;'!$D:$D,0)),"Continues")</f>
        <v>Merged</v>
      </c>
      <c r="K959">
        <f ca="1">IF($J959="Continues",DATEDIF($B959,TODAY(),"Y"),INDEX('Lopettaneet 2013-&gt;'!$L:$L,MATCH($D959,'Lopettaneet 2013-&gt;'!$D:$D,0)))</f>
        <v>2</v>
      </c>
      <c r="L959">
        <v>694</v>
      </c>
    </row>
    <row r="960" spans="1:12" x14ac:dyDescent="0.25">
      <c r="A960" t="s">
        <v>0</v>
      </c>
      <c r="B960" s="1">
        <v>43617</v>
      </c>
      <c r="C960" s="1">
        <v>55153</v>
      </c>
      <c r="D960" s="4" t="s">
        <v>3210</v>
      </c>
      <c r="E960" t="s">
        <v>10</v>
      </c>
      <c r="F960" t="s">
        <v>4</v>
      </c>
      <c r="G960" t="s">
        <v>2918</v>
      </c>
      <c r="H960" t="s">
        <v>2777</v>
      </c>
      <c r="I960" t="s">
        <v>2894</v>
      </c>
      <c r="J960" t="str">
        <f>IF(ISNUMBER(MATCH($D960,'Lopettaneet 2013-&gt;'!$D:$D,0)),INDEX('Lopettaneet 2013-&gt;'!$K:$K,MATCH($D960,'Lopettaneet 2013-&gt;'!$D:$D,0)),"Continues")</f>
        <v>Continues</v>
      </c>
      <c r="K960">
        <f ca="1">IF($J960="Continues",DATEDIF($B960,TODAY(),"Y"),INDEX('Lopettaneet 2013-&gt;'!$L:$L,MATCH($D960,'Lopettaneet 2013-&gt;'!$D:$D,0)))</f>
        <v>5</v>
      </c>
      <c r="L960">
        <v>695</v>
      </c>
    </row>
    <row r="961" spans="1:12" x14ac:dyDescent="0.25">
      <c r="A961" t="s">
        <v>7</v>
      </c>
      <c r="B961" s="1">
        <v>43617</v>
      </c>
      <c r="C961" s="1">
        <v>55153</v>
      </c>
      <c r="D961" s="4" t="s">
        <v>1590</v>
      </c>
      <c r="E961" t="s">
        <v>10</v>
      </c>
      <c r="F961" t="s">
        <v>11</v>
      </c>
      <c r="G961" t="s">
        <v>2916</v>
      </c>
      <c r="H961" t="s">
        <v>2855</v>
      </c>
      <c r="I961" t="s">
        <v>2894</v>
      </c>
      <c r="J961" t="str">
        <f>IF(ISNUMBER(MATCH($D961,'Lopettaneet 2013-&gt;'!$D:$D,0)),INDEX('Lopettaneet 2013-&gt;'!$K:$K,MATCH($D961,'Lopettaneet 2013-&gt;'!$D:$D,0)),"Continues")</f>
        <v>Continues</v>
      </c>
      <c r="K961">
        <f ca="1">IF($J961="Continues",DATEDIF($B961,TODAY(),"Y"),INDEX('Lopettaneet 2013-&gt;'!$L:$L,MATCH($D961,'Lopettaneet 2013-&gt;'!$D:$D,0)))</f>
        <v>5</v>
      </c>
      <c r="L961">
        <v>696</v>
      </c>
    </row>
    <row r="962" spans="1:12" x14ac:dyDescent="0.25">
      <c r="A962" t="s">
        <v>0</v>
      </c>
      <c r="B962" s="1">
        <v>43556</v>
      </c>
      <c r="C962" s="1">
        <v>55153</v>
      </c>
      <c r="D962" s="4" t="s">
        <v>1592</v>
      </c>
      <c r="E962" t="s">
        <v>3</v>
      </c>
      <c r="F962" t="s">
        <v>4</v>
      </c>
      <c r="G962" t="s">
        <v>2913</v>
      </c>
      <c r="H962" t="s">
        <v>2952</v>
      </c>
      <c r="I962" t="s">
        <v>2894</v>
      </c>
      <c r="J962" t="str">
        <f>IF(ISNUMBER(MATCH($D962,'Lopettaneet 2013-&gt;'!$D:$D,0)),INDEX('Lopettaneet 2013-&gt;'!$K:$K,MATCH($D962,'Lopettaneet 2013-&gt;'!$D:$D,0)),"Continues")</f>
        <v>Continues</v>
      </c>
      <c r="K962">
        <f ca="1">IF($J962="Continues",DATEDIF($B962,TODAY(),"Y"),INDEX('Lopettaneet 2013-&gt;'!$L:$L,MATCH($D962,'Lopettaneet 2013-&gt;'!$D:$D,0)))</f>
        <v>6</v>
      </c>
      <c r="L962">
        <v>697</v>
      </c>
    </row>
    <row r="963" spans="1:12" x14ac:dyDescent="0.25">
      <c r="A963" t="s">
        <v>0</v>
      </c>
      <c r="B963" s="1">
        <v>43556</v>
      </c>
      <c r="C963" s="1">
        <v>55153</v>
      </c>
      <c r="D963" s="4" t="s">
        <v>1594</v>
      </c>
      <c r="E963" t="s">
        <v>3</v>
      </c>
      <c r="F963" t="s">
        <v>4</v>
      </c>
      <c r="G963" t="s">
        <v>2913</v>
      </c>
      <c r="H963" t="s">
        <v>2952</v>
      </c>
      <c r="I963" t="s">
        <v>2894</v>
      </c>
      <c r="J963" t="str">
        <f>IF(ISNUMBER(MATCH($D963,'Lopettaneet 2013-&gt;'!$D:$D,0)),INDEX('Lopettaneet 2013-&gt;'!$K:$K,MATCH($D963,'Lopettaneet 2013-&gt;'!$D:$D,0)),"Continues")</f>
        <v>Continues</v>
      </c>
      <c r="K963">
        <f ca="1">IF($J963="Continues",DATEDIF($B963,TODAY(),"Y"),INDEX('Lopettaneet 2013-&gt;'!$L:$L,MATCH($D963,'Lopettaneet 2013-&gt;'!$D:$D,0)))</f>
        <v>6</v>
      </c>
      <c r="L963">
        <v>698</v>
      </c>
    </row>
    <row r="964" spans="1:12" x14ac:dyDescent="0.25">
      <c r="A964" t="s">
        <v>0</v>
      </c>
      <c r="B964" s="1">
        <v>43556</v>
      </c>
      <c r="C964" s="1">
        <v>55153</v>
      </c>
      <c r="D964" s="4" t="s">
        <v>1596</v>
      </c>
      <c r="E964" t="s">
        <v>3</v>
      </c>
      <c r="F964" t="s">
        <v>4</v>
      </c>
      <c r="G964" t="s">
        <v>2913</v>
      </c>
      <c r="H964" t="s">
        <v>2952</v>
      </c>
      <c r="I964" t="s">
        <v>2894</v>
      </c>
      <c r="J964" t="str">
        <f>IF(ISNUMBER(MATCH($D964,'Lopettaneet 2013-&gt;'!$D:$D,0)),INDEX('Lopettaneet 2013-&gt;'!$K:$K,MATCH($D964,'Lopettaneet 2013-&gt;'!$D:$D,0)),"Continues")</f>
        <v>Continues</v>
      </c>
      <c r="K964">
        <f ca="1">IF($J964="Continues",DATEDIF($B964,TODAY(),"Y"),INDEX('Lopettaneet 2013-&gt;'!$L:$L,MATCH($D964,'Lopettaneet 2013-&gt;'!$D:$D,0)))</f>
        <v>6</v>
      </c>
      <c r="L964">
        <v>699</v>
      </c>
    </row>
    <row r="965" spans="1:12" x14ac:dyDescent="0.25">
      <c r="A965" t="s">
        <v>7</v>
      </c>
      <c r="B965" s="1">
        <v>43525</v>
      </c>
      <c r="C965" s="1">
        <v>55153</v>
      </c>
      <c r="D965" s="4" t="s">
        <v>1598</v>
      </c>
      <c r="E965" t="s">
        <v>10</v>
      </c>
      <c r="F965" t="s">
        <v>11</v>
      </c>
      <c r="G965" t="s">
        <v>2918</v>
      </c>
      <c r="H965" t="s">
        <v>2980</v>
      </c>
      <c r="I965" t="s">
        <v>2894</v>
      </c>
      <c r="J965" t="str">
        <f>IF(ISNUMBER(MATCH($D965,'Lopettaneet 2013-&gt;'!$D:$D,0)),INDEX('Lopettaneet 2013-&gt;'!$K:$K,MATCH($D965,'Lopettaneet 2013-&gt;'!$D:$D,0)),"Continues")</f>
        <v>Continues</v>
      </c>
      <c r="K965">
        <f ca="1">IF($J965="Continues",DATEDIF($B965,TODAY(),"Y"),INDEX('Lopettaneet 2013-&gt;'!$L:$L,MATCH($D965,'Lopettaneet 2013-&gt;'!$D:$D,0)))</f>
        <v>6</v>
      </c>
      <c r="L965">
        <v>700</v>
      </c>
    </row>
    <row r="966" spans="1:12" x14ac:dyDescent="0.25">
      <c r="A966" t="s">
        <v>7</v>
      </c>
      <c r="B966" s="1">
        <v>43525</v>
      </c>
      <c r="C966" s="1">
        <v>55153</v>
      </c>
      <c r="D966" s="4" t="s">
        <v>1600</v>
      </c>
      <c r="E966" t="s">
        <v>10</v>
      </c>
      <c r="F966" t="s">
        <v>11</v>
      </c>
      <c r="G966" t="s">
        <v>2918</v>
      </c>
      <c r="H966" t="s">
        <v>2980</v>
      </c>
      <c r="I966" t="s">
        <v>2894</v>
      </c>
      <c r="J966" t="str">
        <f>IF(ISNUMBER(MATCH($D966,'Lopettaneet 2013-&gt;'!$D:$D,0)),INDEX('Lopettaneet 2013-&gt;'!$K:$K,MATCH($D966,'Lopettaneet 2013-&gt;'!$D:$D,0)),"Continues")</f>
        <v>Continues</v>
      </c>
      <c r="K966">
        <f ca="1">IF($J966="Continues",DATEDIF($B966,TODAY(),"Y"),INDEX('Lopettaneet 2013-&gt;'!$L:$L,MATCH($D966,'Lopettaneet 2013-&gt;'!$D:$D,0)))</f>
        <v>6</v>
      </c>
      <c r="L966">
        <v>701</v>
      </c>
    </row>
    <row r="967" spans="1:12" x14ac:dyDescent="0.25">
      <c r="A967" t="s">
        <v>7</v>
      </c>
      <c r="B967" s="1">
        <v>43525</v>
      </c>
      <c r="C967" s="1">
        <v>55153</v>
      </c>
      <c r="D967" s="4" t="s">
        <v>1602</v>
      </c>
      <c r="E967" t="s">
        <v>10</v>
      </c>
      <c r="F967" t="s">
        <v>11</v>
      </c>
      <c r="G967" t="s">
        <v>2918</v>
      </c>
      <c r="H967" t="s">
        <v>2980</v>
      </c>
      <c r="I967" t="s">
        <v>2894</v>
      </c>
      <c r="J967" t="str">
        <f>IF(ISNUMBER(MATCH($D967,'Lopettaneet 2013-&gt;'!$D:$D,0)),INDEX('Lopettaneet 2013-&gt;'!$K:$K,MATCH($D967,'Lopettaneet 2013-&gt;'!$D:$D,0)),"Continues")</f>
        <v>Continues</v>
      </c>
      <c r="K967">
        <f ca="1">IF($J967="Continues",DATEDIF($B967,TODAY(),"Y"),INDEX('Lopettaneet 2013-&gt;'!$L:$L,MATCH($D967,'Lopettaneet 2013-&gt;'!$D:$D,0)))</f>
        <v>6</v>
      </c>
      <c r="L967">
        <v>702</v>
      </c>
    </row>
    <row r="968" spans="1:12" x14ac:dyDescent="0.25">
      <c r="A968" t="s">
        <v>7</v>
      </c>
      <c r="B968" s="1">
        <v>43525</v>
      </c>
      <c r="C968" s="1">
        <v>55153</v>
      </c>
      <c r="D968" s="4" t="s">
        <v>1604</v>
      </c>
      <c r="E968" t="s">
        <v>10</v>
      </c>
      <c r="F968" t="s">
        <v>11</v>
      </c>
      <c r="G968" t="s">
        <v>2914</v>
      </c>
      <c r="H968" t="s">
        <v>2946</v>
      </c>
      <c r="I968" t="s">
        <v>2894</v>
      </c>
      <c r="J968" t="str">
        <f>IF(ISNUMBER(MATCH($D968,'Lopettaneet 2013-&gt;'!$D:$D,0)),INDEX('Lopettaneet 2013-&gt;'!$K:$K,MATCH($D968,'Lopettaneet 2013-&gt;'!$D:$D,0)),"Continues")</f>
        <v>Continues</v>
      </c>
      <c r="K968">
        <f ca="1">IF($J968="Continues",DATEDIF($B968,TODAY(),"Y"),INDEX('Lopettaneet 2013-&gt;'!$L:$L,MATCH($D968,'Lopettaneet 2013-&gt;'!$D:$D,0)))</f>
        <v>6</v>
      </c>
      <c r="L968">
        <v>703</v>
      </c>
    </row>
    <row r="969" spans="1:12" x14ac:dyDescent="0.25">
      <c r="A969" t="s">
        <v>7</v>
      </c>
      <c r="B969" s="1">
        <v>44621</v>
      </c>
      <c r="C969" s="1">
        <v>55153</v>
      </c>
      <c r="D969" s="4" t="s">
        <v>1606</v>
      </c>
      <c r="E969" t="s">
        <v>10</v>
      </c>
      <c r="F969" t="s">
        <v>11</v>
      </c>
      <c r="G969" t="s">
        <v>2916</v>
      </c>
      <c r="H969" t="s">
        <v>2856</v>
      </c>
      <c r="I969" t="s">
        <v>2909</v>
      </c>
      <c r="J969" t="str">
        <f>IF(ISNUMBER(MATCH($D969,'Lopettaneet 2013-&gt;'!$D:$D,0)),INDEX('Lopettaneet 2013-&gt;'!$K:$K,MATCH($D969,'Lopettaneet 2013-&gt;'!$D:$D,0)),"Continues")</f>
        <v>Continues</v>
      </c>
      <c r="K969">
        <f ca="1">IF($J969="Continues",DATEDIF($B969,TODAY(),"Y"),INDEX('Lopettaneet 2013-&gt;'!$L:$L,MATCH($D969,'Lopettaneet 2013-&gt;'!$D:$D,0)))</f>
        <v>3</v>
      </c>
      <c r="L969">
        <v>704</v>
      </c>
    </row>
    <row r="970" spans="1:12" x14ac:dyDescent="0.25">
      <c r="A970" t="s">
        <v>7</v>
      </c>
      <c r="B970" s="1">
        <v>43617</v>
      </c>
      <c r="C970" s="1">
        <v>55153</v>
      </c>
      <c r="D970" s="4" t="s">
        <v>1608</v>
      </c>
      <c r="E970" t="s">
        <v>10</v>
      </c>
      <c r="F970" t="s">
        <v>11</v>
      </c>
      <c r="G970" t="s">
        <v>2914</v>
      </c>
      <c r="H970" t="s">
        <v>3003</v>
      </c>
      <c r="I970" t="s">
        <v>2894</v>
      </c>
      <c r="J970" t="str">
        <f>IF(ISNUMBER(MATCH($D970,'Lopettaneet 2013-&gt;'!$D:$D,0)),INDEX('Lopettaneet 2013-&gt;'!$K:$K,MATCH($D970,'Lopettaneet 2013-&gt;'!$D:$D,0)),"Continues")</f>
        <v>Continues</v>
      </c>
      <c r="K970">
        <f ca="1">IF($J970="Continues",DATEDIF($B970,TODAY(),"Y"),INDEX('Lopettaneet 2013-&gt;'!$L:$L,MATCH($D970,'Lopettaneet 2013-&gt;'!$D:$D,0)))</f>
        <v>5</v>
      </c>
      <c r="L970">
        <v>705</v>
      </c>
    </row>
    <row r="971" spans="1:12" x14ac:dyDescent="0.25">
      <c r="A971" t="s">
        <v>7</v>
      </c>
      <c r="B971" s="1">
        <v>43891</v>
      </c>
      <c r="C971" s="1">
        <v>55153</v>
      </c>
      <c r="D971" s="4" t="s">
        <v>1610</v>
      </c>
      <c r="E971" t="s">
        <v>10</v>
      </c>
      <c r="F971" t="s">
        <v>11</v>
      </c>
      <c r="G971" t="s">
        <v>2918</v>
      </c>
      <c r="H971" t="s">
        <v>2975</v>
      </c>
      <c r="I971" t="s">
        <v>2895</v>
      </c>
      <c r="J971" t="str">
        <f>IF(ISNUMBER(MATCH($D971,'Lopettaneet 2013-&gt;'!$D:$D,0)),INDEX('Lopettaneet 2013-&gt;'!$K:$K,MATCH($D971,'Lopettaneet 2013-&gt;'!$D:$D,0)),"Continues")</f>
        <v>Continues</v>
      </c>
      <c r="K971">
        <f ca="1">IF($J971="Continues",DATEDIF($B971,TODAY(),"Y"),INDEX('Lopettaneet 2013-&gt;'!$L:$L,MATCH($D971,'Lopettaneet 2013-&gt;'!$D:$D,0)))</f>
        <v>5</v>
      </c>
      <c r="L971">
        <v>706</v>
      </c>
    </row>
    <row r="972" spans="1:12" x14ac:dyDescent="0.25">
      <c r="A972" t="s">
        <v>7</v>
      </c>
      <c r="B972" s="1">
        <v>43525</v>
      </c>
      <c r="C972" s="1">
        <v>55153</v>
      </c>
      <c r="D972" s="4" t="s">
        <v>1612</v>
      </c>
      <c r="E972" t="s">
        <v>10</v>
      </c>
      <c r="F972" t="s">
        <v>11</v>
      </c>
      <c r="G972" t="s">
        <v>2918</v>
      </c>
      <c r="H972" t="s">
        <v>2975</v>
      </c>
      <c r="I972" t="s">
        <v>2895</v>
      </c>
      <c r="J972" t="str">
        <f>IF(ISNUMBER(MATCH($D972,'Lopettaneet 2013-&gt;'!$D:$D,0)),INDEX('Lopettaneet 2013-&gt;'!$K:$K,MATCH($D972,'Lopettaneet 2013-&gt;'!$D:$D,0)),"Continues")</f>
        <v>Continues</v>
      </c>
      <c r="K972">
        <f ca="1">IF($J972="Continues",DATEDIF($B972,TODAY(),"Y"),INDEX('Lopettaneet 2013-&gt;'!$L:$L,MATCH($D972,'Lopettaneet 2013-&gt;'!$D:$D,0)))</f>
        <v>6</v>
      </c>
      <c r="L972">
        <v>707</v>
      </c>
    </row>
    <row r="973" spans="1:12" x14ac:dyDescent="0.25">
      <c r="A973" t="s">
        <v>7</v>
      </c>
      <c r="B973" s="1">
        <v>43983</v>
      </c>
      <c r="C973" s="1">
        <v>55153</v>
      </c>
      <c r="D973" s="4" t="s">
        <v>1614</v>
      </c>
      <c r="E973" t="s">
        <v>10</v>
      </c>
      <c r="F973" t="s">
        <v>11</v>
      </c>
      <c r="G973" t="s">
        <v>2916</v>
      </c>
      <c r="H973" t="s">
        <v>3002</v>
      </c>
      <c r="I973" t="s">
        <v>2894</v>
      </c>
      <c r="J973" t="str">
        <f>IF(ISNUMBER(MATCH($D973,'Lopettaneet 2013-&gt;'!$D:$D,0)),INDEX('Lopettaneet 2013-&gt;'!$K:$K,MATCH($D973,'Lopettaneet 2013-&gt;'!$D:$D,0)),"Continues")</f>
        <v>Continues</v>
      </c>
      <c r="K973">
        <f ca="1">IF($J973="Continues",DATEDIF($B973,TODAY(),"Y"),INDEX('Lopettaneet 2013-&gt;'!$L:$L,MATCH($D973,'Lopettaneet 2013-&gt;'!$D:$D,0)))</f>
        <v>4</v>
      </c>
      <c r="L973">
        <v>708</v>
      </c>
    </row>
    <row r="974" spans="1:12" x14ac:dyDescent="0.25">
      <c r="A974" t="s">
        <v>7</v>
      </c>
      <c r="B974" s="1">
        <v>43800</v>
      </c>
      <c r="C974" s="1">
        <v>55153</v>
      </c>
      <c r="D974" s="4" t="s">
        <v>1616</v>
      </c>
      <c r="E974" t="s">
        <v>10</v>
      </c>
      <c r="F974" t="s">
        <v>11</v>
      </c>
      <c r="G974" t="s">
        <v>2912</v>
      </c>
      <c r="H974" t="s">
        <v>2950</v>
      </c>
      <c r="I974" t="s">
        <v>2895</v>
      </c>
      <c r="J974" t="str">
        <f>IF(ISNUMBER(MATCH($D974,'Lopettaneet 2013-&gt;'!$D:$D,0)),INDEX('Lopettaneet 2013-&gt;'!$K:$K,MATCH($D974,'Lopettaneet 2013-&gt;'!$D:$D,0)),"Continues")</f>
        <v>Continues</v>
      </c>
      <c r="K974">
        <f ca="1">IF($J974="Continues",DATEDIF($B974,TODAY(),"Y"),INDEX('Lopettaneet 2013-&gt;'!$L:$L,MATCH($D974,'Lopettaneet 2013-&gt;'!$D:$D,0)))</f>
        <v>5</v>
      </c>
      <c r="L974">
        <v>709</v>
      </c>
    </row>
    <row r="975" spans="1:12" x14ac:dyDescent="0.25">
      <c r="A975" t="s">
        <v>7</v>
      </c>
      <c r="B975" s="1">
        <v>43800</v>
      </c>
      <c r="C975" s="1">
        <v>55153</v>
      </c>
      <c r="D975" s="4" t="s">
        <v>1618</v>
      </c>
      <c r="E975" t="s">
        <v>10</v>
      </c>
      <c r="F975" t="s">
        <v>11</v>
      </c>
      <c r="G975" t="s">
        <v>2912</v>
      </c>
      <c r="H975" t="s">
        <v>2946</v>
      </c>
      <c r="I975" t="s">
        <v>2894</v>
      </c>
      <c r="J975" t="str">
        <f>IF(ISNUMBER(MATCH($D975,'Lopettaneet 2013-&gt;'!$D:$D,0)),INDEX('Lopettaneet 2013-&gt;'!$K:$K,MATCH($D975,'Lopettaneet 2013-&gt;'!$D:$D,0)),"Continues")</f>
        <v>Continues</v>
      </c>
      <c r="K975">
        <f ca="1">IF($J975="Continues",DATEDIF($B975,TODAY(),"Y"),INDEX('Lopettaneet 2013-&gt;'!$L:$L,MATCH($D975,'Lopettaneet 2013-&gt;'!$D:$D,0)))</f>
        <v>5</v>
      </c>
      <c r="L975">
        <v>710</v>
      </c>
    </row>
    <row r="976" spans="1:12" x14ac:dyDescent="0.25">
      <c r="A976" t="s">
        <v>7</v>
      </c>
      <c r="B976" s="1">
        <v>43800</v>
      </c>
      <c r="C976" s="1">
        <v>55153</v>
      </c>
      <c r="D976" s="4" t="s">
        <v>1620</v>
      </c>
      <c r="E976" t="s">
        <v>10</v>
      </c>
      <c r="F976" t="s">
        <v>11</v>
      </c>
      <c r="G976" t="s">
        <v>2912</v>
      </c>
      <c r="H976" t="s">
        <v>2946</v>
      </c>
      <c r="I976" t="s">
        <v>2894</v>
      </c>
      <c r="J976" t="str">
        <f>IF(ISNUMBER(MATCH($D976,'Lopettaneet 2013-&gt;'!$D:$D,0)),INDEX('Lopettaneet 2013-&gt;'!$K:$K,MATCH($D976,'Lopettaneet 2013-&gt;'!$D:$D,0)),"Continues")</f>
        <v>Continues</v>
      </c>
      <c r="K976">
        <f ca="1">IF($J976="Continues",DATEDIF($B976,TODAY(),"Y"),INDEX('Lopettaneet 2013-&gt;'!$L:$L,MATCH($D976,'Lopettaneet 2013-&gt;'!$D:$D,0)))</f>
        <v>5</v>
      </c>
      <c r="L976">
        <v>711</v>
      </c>
    </row>
    <row r="977" spans="1:12" x14ac:dyDescent="0.25">
      <c r="A977" t="s">
        <v>7</v>
      </c>
      <c r="B977" s="1">
        <v>43891</v>
      </c>
      <c r="C977" s="1">
        <v>55153</v>
      </c>
      <c r="D977" s="4" t="s">
        <v>1622</v>
      </c>
      <c r="E977" t="s">
        <v>10</v>
      </c>
      <c r="F977" t="s">
        <v>11</v>
      </c>
      <c r="G977" t="s">
        <v>2916</v>
      </c>
      <c r="H977" t="s">
        <v>3011</v>
      </c>
      <c r="I977" t="s">
        <v>2894</v>
      </c>
      <c r="J977" t="str">
        <f>IF(ISNUMBER(MATCH($D977,'Lopettaneet 2013-&gt;'!$D:$D,0)),INDEX('Lopettaneet 2013-&gt;'!$K:$K,MATCH($D977,'Lopettaneet 2013-&gt;'!$D:$D,0)),"Continues")</f>
        <v>Continues</v>
      </c>
      <c r="K977">
        <f ca="1">IF($J977="Continues",DATEDIF($B977,TODAY(),"Y"),INDEX('Lopettaneet 2013-&gt;'!$L:$L,MATCH($D977,'Lopettaneet 2013-&gt;'!$D:$D,0)))</f>
        <v>5</v>
      </c>
      <c r="L977">
        <v>712</v>
      </c>
    </row>
    <row r="978" spans="1:12" x14ac:dyDescent="0.25">
      <c r="A978" t="s">
        <v>0</v>
      </c>
      <c r="B978" s="1">
        <v>43586</v>
      </c>
      <c r="C978" s="1">
        <v>55153</v>
      </c>
      <c r="D978" s="4" t="s">
        <v>1624</v>
      </c>
      <c r="E978" t="s">
        <v>10</v>
      </c>
      <c r="F978" t="s">
        <v>4</v>
      </c>
      <c r="G978" t="s">
        <v>2913</v>
      </c>
      <c r="H978" t="s">
        <v>2979</v>
      </c>
      <c r="I978" t="s">
        <v>2894</v>
      </c>
      <c r="J978" t="str">
        <f>IF(ISNUMBER(MATCH($D978,'Lopettaneet 2013-&gt;'!$D:$D,0)),INDEX('Lopettaneet 2013-&gt;'!$K:$K,MATCH($D978,'Lopettaneet 2013-&gt;'!$D:$D,0)),"Continues")</f>
        <v>Continues</v>
      </c>
      <c r="K978">
        <f ca="1">IF($J978="Continues",DATEDIF($B978,TODAY(),"Y"),INDEX('Lopettaneet 2013-&gt;'!$L:$L,MATCH($D978,'Lopettaneet 2013-&gt;'!$D:$D,0)))</f>
        <v>6</v>
      </c>
      <c r="L978">
        <v>713</v>
      </c>
    </row>
    <row r="979" spans="1:12" x14ac:dyDescent="0.25">
      <c r="A979" t="s">
        <v>7</v>
      </c>
      <c r="B979" s="1">
        <v>43617</v>
      </c>
      <c r="C979" s="1">
        <v>55153</v>
      </c>
      <c r="D979" s="4" t="s">
        <v>1626</v>
      </c>
      <c r="E979" t="s">
        <v>10</v>
      </c>
      <c r="F979" t="s">
        <v>11</v>
      </c>
      <c r="G979" t="s">
        <v>2912</v>
      </c>
      <c r="H979" t="s">
        <v>2946</v>
      </c>
      <c r="I979" t="s">
        <v>2895</v>
      </c>
      <c r="J979" t="str">
        <f>IF(ISNUMBER(MATCH($D979,'Lopettaneet 2013-&gt;'!$D:$D,0)),INDEX('Lopettaneet 2013-&gt;'!$K:$K,MATCH($D979,'Lopettaneet 2013-&gt;'!$D:$D,0)),"Continues")</f>
        <v>Continues</v>
      </c>
      <c r="K979">
        <f ca="1">IF($J979="Continues",DATEDIF($B979,TODAY(),"Y"),INDEX('Lopettaneet 2013-&gt;'!$L:$L,MATCH($D979,'Lopettaneet 2013-&gt;'!$D:$D,0)))</f>
        <v>5</v>
      </c>
      <c r="L979">
        <v>714</v>
      </c>
    </row>
    <row r="980" spans="1:12" x14ac:dyDescent="0.25">
      <c r="A980" t="s">
        <v>7</v>
      </c>
      <c r="B980" s="1">
        <v>43800</v>
      </c>
      <c r="C980" s="1">
        <v>55153</v>
      </c>
      <c r="D980" s="4" t="s">
        <v>1628</v>
      </c>
      <c r="E980" t="s">
        <v>10</v>
      </c>
      <c r="F980" t="s">
        <v>11</v>
      </c>
      <c r="G980" t="s">
        <v>2912</v>
      </c>
      <c r="H980" t="s">
        <v>3001</v>
      </c>
      <c r="I980" t="s">
        <v>2895</v>
      </c>
      <c r="J980" t="str">
        <f>IF(ISNUMBER(MATCH($D980,'Lopettaneet 2013-&gt;'!$D:$D,0)),INDEX('Lopettaneet 2013-&gt;'!$K:$K,MATCH($D980,'Lopettaneet 2013-&gt;'!$D:$D,0)),"Continues")</f>
        <v>Continues</v>
      </c>
      <c r="K980">
        <f ca="1">IF($J980="Continues",DATEDIF($B980,TODAY(),"Y"),INDEX('Lopettaneet 2013-&gt;'!$L:$L,MATCH($D980,'Lopettaneet 2013-&gt;'!$D:$D,0)))</f>
        <v>5</v>
      </c>
      <c r="L980">
        <v>715</v>
      </c>
    </row>
    <row r="981" spans="1:12" x14ac:dyDescent="0.25">
      <c r="A981" t="s">
        <v>7</v>
      </c>
      <c r="B981" s="1">
        <v>43525</v>
      </c>
      <c r="C981" s="1">
        <v>55153</v>
      </c>
      <c r="D981" s="4" t="s">
        <v>1630</v>
      </c>
      <c r="E981" t="s">
        <v>10</v>
      </c>
      <c r="F981" t="s">
        <v>11</v>
      </c>
      <c r="G981" t="s">
        <v>2916</v>
      </c>
      <c r="H981" t="s">
        <v>3017</v>
      </c>
      <c r="I981" t="s">
        <v>2895</v>
      </c>
      <c r="J981" t="str">
        <f>IF(ISNUMBER(MATCH($D981,'Lopettaneet 2013-&gt;'!$D:$D,0)),INDEX('Lopettaneet 2013-&gt;'!$K:$K,MATCH($D981,'Lopettaneet 2013-&gt;'!$D:$D,0)),"Continues")</f>
        <v>Continues</v>
      </c>
      <c r="K981">
        <f ca="1">IF($J981="Continues",DATEDIF($B981,TODAY(),"Y"),INDEX('Lopettaneet 2013-&gt;'!$L:$L,MATCH($D981,'Lopettaneet 2013-&gt;'!$D:$D,0)))</f>
        <v>6</v>
      </c>
      <c r="L981">
        <v>716</v>
      </c>
    </row>
    <row r="982" spans="1:12" x14ac:dyDescent="0.25">
      <c r="A982" t="s">
        <v>7</v>
      </c>
      <c r="B982" s="1">
        <v>43709</v>
      </c>
      <c r="C982" s="1">
        <v>55153</v>
      </c>
      <c r="D982" s="4" t="s">
        <v>1632</v>
      </c>
      <c r="E982" t="s">
        <v>10</v>
      </c>
      <c r="F982" t="s">
        <v>11</v>
      </c>
      <c r="G982" t="s">
        <v>2916</v>
      </c>
      <c r="H982" t="s">
        <v>3017</v>
      </c>
      <c r="I982" t="s">
        <v>2895</v>
      </c>
      <c r="J982" t="str">
        <f>IF(ISNUMBER(MATCH($D982,'Lopettaneet 2013-&gt;'!$D:$D,0)),INDEX('Lopettaneet 2013-&gt;'!$K:$K,MATCH($D982,'Lopettaneet 2013-&gt;'!$D:$D,0)),"Continues")</f>
        <v>Continues</v>
      </c>
      <c r="K982">
        <f ca="1">IF($J982="Continues",DATEDIF($B982,TODAY(),"Y"),INDEX('Lopettaneet 2013-&gt;'!$L:$L,MATCH($D982,'Lopettaneet 2013-&gt;'!$D:$D,0)))</f>
        <v>5</v>
      </c>
      <c r="L982">
        <v>717</v>
      </c>
    </row>
    <row r="983" spans="1:12" x14ac:dyDescent="0.25">
      <c r="A983" t="s">
        <v>7</v>
      </c>
      <c r="B983" s="1">
        <v>43617</v>
      </c>
      <c r="C983" s="1">
        <v>55153</v>
      </c>
      <c r="D983" s="4" t="s">
        <v>1634</v>
      </c>
      <c r="E983" t="s">
        <v>10</v>
      </c>
      <c r="F983" t="s">
        <v>11</v>
      </c>
      <c r="G983" t="s">
        <v>2918</v>
      </c>
      <c r="H983" t="s">
        <v>2956</v>
      </c>
      <c r="I983" t="s">
        <v>2895</v>
      </c>
      <c r="J983" t="str">
        <f>IF(ISNUMBER(MATCH($D983,'Lopettaneet 2013-&gt;'!$D:$D,0)),INDEX('Lopettaneet 2013-&gt;'!$K:$K,MATCH($D983,'Lopettaneet 2013-&gt;'!$D:$D,0)),"Continues")</f>
        <v>Continues</v>
      </c>
      <c r="K983">
        <f ca="1">IF($J983="Continues",DATEDIF($B983,TODAY(),"Y"),INDEX('Lopettaneet 2013-&gt;'!$L:$L,MATCH($D983,'Lopettaneet 2013-&gt;'!$D:$D,0)))</f>
        <v>5</v>
      </c>
      <c r="L983">
        <v>718</v>
      </c>
    </row>
    <row r="984" spans="1:12" x14ac:dyDescent="0.25">
      <c r="A984" t="s">
        <v>7</v>
      </c>
      <c r="B984" s="1">
        <v>43617</v>
      </c>
      <c r="C984" s="1">
        <v>55153</v>
      </c>
      <c r="D984" s="4" t="s">
        <v>1636</v>
      </c>
      <c r="E984" t="s">
        <v>10</v>
      </c>
      <c r="F984" t="s">
        <v>11</v>
      </c>
      <c r="G984" t="s">
        <v>2914</v>
      </c>
      <c r="H984" t="s">
        <v>2922</v>
      </c>
      <c r="I984" t="s">
        <v>2895</v>
      </c>
      <c r="J984" t="str">
        <f>IF(ISNUMBER(MATCH($D984,'Lopettaneet 2013-&gt;'!$D:$D,0)),INDEX('Lopettaneet 2013-&gt;'!$K:$K,MATCH($D984,'Lopettaneet 2013-&gt;'!$D:$D,0)),"Continues")</f>
        <v>Continues</v>
      </c>
      <c r="K984">
        <f ca="1">IF($J984="Continues",DATEDIF($B984,TODAY(),"Y"),INDEX('Lopettaneet 2013-&gt;'!$L:$L,MATCH($D984,'Lopettaneet 2013-&gt;'!$D:$D,0)))</f>
        <v>5</v>
      </c>
      <c r="L984">
        <v>719</v>
      </c>
    </row>
    <row r="985" spans="1:12" x14ac:dyDescent="0.25">
      <c r="A985" t="s">
        <v>7</v>
      </c>
      <c r="B985" s="1">
        <v>43617</v>
      </c>
      <c r="C985" s="1">
        <v>55153</v>
      </c>
      <c r="D985" s="4" t="s">
        <v>1638</v>
      </c>
      <c r="E985" t="s">
        <v>10</v>
      </c>
      <c r="F985" t="s">
        <v>11</v>
      </c>
      <c r="G985" t="s">
        <v>2914</v>
      </c>
      <c r="H985" t="s">
        <v>2922</v>
      </c>
      <c r="I985" t="s">
        <v>2895</v>
      </c>
      <c r="J985" t="str">
        <f>IF(ISNUMBER(MATCH($D985,'Lopettaneet 2013-&gt;'!$D:$D,0)),INDEX('Lopettaneet 2013-&gt;'!$K:$K,MATCH($D985,'Lopettaneet 2013-&gt;'!$D:$D,0)),"Continues")</f>
        <v>Continues</v>
      </c>
      <c r="K985">
        <f ca="1">IF($J985="Continues",DATEDIF($B985,TODAY(),"Y"),INDEX('Lopettaneet 2013-&gt;'!$L:$L,MATCH($D985,'Lopettaneet 2013-&gt;'!$D:$D,0)))</f>
        <v>5</v>
      </c>
      <c r="L985">
        <v>720</v>
      </c>
    </row>
    <row r="986" spans="1:12" x14ac:dyDescent="0.25">
      <c r="A986" t="s">
        <v>0</v>
      </c>
      <c r="B986" s="1">
        <v>43556</v>
      </c>
      <c r="C986" s="1">
        <v>55153</v>
      </c>
      <c r="D986" s="4" t="s">
        <v>1640</v>
      </c>
      <c r="E986" t="s">
        <v>3</v>
      </c>
      <c r="F986" t="s">
        <v>4</v>
      </c>
      <c r="G986" t="s">
        <v>2913</v>
      </c>
      <c r="H986" t="s">
        <v>2957</v>
      </c>
      <c r="I986" t="s">
        <v>2894</v>
      </c>
      <c r="J986" t="str">
        <f>IF(ISNUMBER(MATCH($D986,'Lopettaneet 2013-&gt;'!$D:$D,0)),INDEX('Lopettaneet 2013-&gt;'!$K:$K,MATCH($D986,'Lopettaneet 2013-&gt;'!$D:$D,0)),"Continues")</f>
        <v>Continues</v>
      </c>
      <c r="K986">
        <f ca="1">IF($J986="Continues",DATEDIF($B986,TODAY(),"Y"),INDEX('Lopettaneet 2013-&gt;'!$L:$L,MATCH($D986,'Lopettaneet 2013-&gt;'!$D:$D,0)))</f>
        <v>6</v>
      </c>
      <c r="L986">
        <v>721</v>
      </c>
    </row>
    <row r="987" spans="1:12" x14ac:dyDescent="0.25">
      <c r="A987" t="s">
        <v>7</v>
      </c>
      <c r="B987" s="1">
        <v>43891</v>
      </c>
      <c r="C987" s="1">
        <v>55153</v>
      </c>
      <c r="D987" s="4" t="s">
        <v>1642</v>
      </c>
      <c r="E987" t="s">
        <v>10</v>
      </c>
      <c r="F987" t="s">
        <v>11</v>
      </c>
      <c r="G987" t="s">
        <v>2918</v>
      </c>
      <c r="H987" t="s">
        <v>2988</v>
      </c>
      <c r="I987" t="s">
        <v>2895</v>
      </c>
      <c r="J987" t="str">
        <f>IF(ISNUMBER(MATCH($D987,'Lopettaneet 2013-&gt;'!$D:$D,0)),INDEX('Lopettaneet 2013-&gt;'!$K:$K,MATCH($D987,'Lopettaneet 2013-&gt;'!$D:$D,0)),"Continues")</f>
        <v>Continues</v>
      </c>
      <c r="K987">
        <f ca="1">IF($J987="Continues",DATEDIF($B987,TODAY(),"Y"),INDEX('Lopettaneet 2013-&gt;'!$L:$L,MATCH($D987,'Lopettaneet 2013-&gt;'!$D:$D,0)))</f>
        <v>5</v>
      </c>
      <c r="L987">
        <v>722</v>
      </c>
    </row>
    <row r="988" spans="1:12" x14ac:dyDescent="0.25">
      <c r="A988" t="s">
        <v>7</v>
      </c>
      <c r="B988" s="1">
        <v>43617</v>
      </c>
      <c r="C988" s="1">
        <v>55153</v>
      </c>
      <c r="D988" s="4" t="s">
        <v>1644</v>
      </c>
      <c r="E988" t="s">
        <v>10</v>
      </c>
      <c r="F988" t="s">
        <v>11</v>
      </c>
      <c r="G988" t="s">
        <v>2918</v>
      </c>
      <c r="H988" t="s">
        <v>2980</v>
      </c>
      <c r="I988" t="s">
        <v>2894</v>
      </c>
      <c r="J988" t="str">
        <f>IF(ISNUMBER(MATCH($D988,'Lopettaneet 2013-&gt;'!$D:$D,0)),INDEX('Lopettaneet 2013-&gt;'!$K:$K,MATCH($D988,'Lopettaneet 2013-&gt;'!$D:$D,0)),"Continues")</f>
        <v>Continues</v>
      </c>
      <c r="K988">
        <f ca="1">IF($J988="Continues",DATEDIF($B988,TODAY(),"Y"),INDEX('Lopettaneet 2013-&gt;'!$L:$L,MATCH($D988,'Lopettaneet 2013-&gt;'!$D:$D,0)))</f>
        <v>5</v>
      </c>
      <c r="L988">
        <v>723</v>
      </c>
    </row>
    <row r="989" spans="1:12" x14ac:dyDescent="0.25">
      <c r="A989" t="s">
        <v>7</v>
      </c>
      <c r="B989" s="1">
        <v>43617</v>
      </c>
      <c r="C989" s="1">
        <v>55153</v>
      </c>
      <c r="D989" s="4" t="s">
        <v>1646</v>
      </c>
      <c r="E989" t="s">
        <v>10</v>
      </c>
      <c r="F989" t="s">
        <v>11</v>
      </c>
      <c r="G989" t="s">
        <v>2918</v>
      </c>
      <c r="H989" t="s">
        <v>2980</v>
      </c>
      <c r="I989" t="s">
        <v>2894</v>
      </c>
      <c r="J989" t="str">
        <f>IF(ISNUMBER(MATCH($D989,'Lopettaneet 2013-&gt;'!$D:$D,0)),INDEX('Lopettaneet 2013-&gt;'!$K:$K,MATCH($D989,'Lopettaneet 2013-&gt;'!$D:$D,0)),"Continues")</f>
        <v>Continues</v>
      </c>
      <c r="K989">
        <f ca="1">IF($J989="Continues",DATEDIF($B989,TODAY(),"Y"),INDEX('Lopettaneet 2013-&gt;'!$L:$L,MATCH($D989,'Lopettaneet 2013-&gt;'!$D:$D,0)))</f>
        <v>5</v>
      </c>
      <c r="L989">
        <v>724</v>
      </c>
    </row>
    <row r="990" spans="1:12" x14ac:dyDescent="0.25">
      <c r="A990" t="s">
        <v>7</v>
      </c>
      <c r="B990" s="1">
        <v>43617</v>
      </c>
      <c r="C990" s="1">
        <v>55153</v>
      </c>
      <c r="D990" s="4" t="s">
        <v>1648</v>
      </c>
      <c r="E990" t="s">
        <v>10</v>
      </c>
      <c r="F990" t="s">
        <v>11</v>
      </c>
      <c r="G990" t="s">
        <v>2918</v>
      </c>
      <c r="H990" t="s">
        <v>2980</v>
      </c>
      <c r="I990" t="s">
        <v>2894</v>
      </c>
      <c r="J990" t="str">
        <f>IF(ISNUMBER(MATCH($D990,'Lopettaneet 2013-&gt;'!$D:$D,0)),INDEX('Lopettaneet 2013-&gt;'!$K:$K,MATCH($D990,'Lopettaneet 2013-&gt;'!$D:$D,0)),"Continues")</f>
        <v>Continues</v>
      </c>
      <c r="K990">
        <f ca="1">IF($J990="Continues",DATEDIF($B990,TODAY(),"Y"),INDEX('Lopettaneet 2013-&gt;'!$L:$L,MATCH($D990,'Lopettaneet 2013-&gt;'!$D:$D,0)))</f>
        <v>5</v>
      </c>
      <c r="L990">
        <v>725</v>
      </c>
    </row>
    <row r="991" spans="1:12" x14ac:dyDescent="0.25">
      <c r="A991" t="s">
        <v>7</v>
      </c>
      <c r="B991" s="1">
        <v>43617</v>
      </c>
      <c r="C991" s="1">
        <v>55153</v>
      </c>
      <c r="D991" s="4" t="s">
        <v>1650</v>
      </c>
      <c r="E991" t="s">
        <v>10</v>
      </c>
      <c r="F991" t="s">
        <v>11</v>
      </c>
      <c r="G991" t="s">
        <v>2918</v>
      </c>
      <c r="H991" t="s">
        <v>2980</v>
      </c>
      <c r="I991" t="s">
        <v>2894</v>
      </c>
      <c r="J991" t="str">
        <f>IF(ISNUMBER(MATCH($D991,'Lopettaneet 2013-&gt;'!$D:$D,0)),INDEX('Lopettaneet 2013-&gt;'!$K:$K,MATCH($D991,'Lopettaneet 2013-&gt;'!$D:$D,0)),"Continues")</f>
        <v>Continues</v>
      </c>
      <c r="K991">
        <f ca="1">IF($J991="Continues",DATEDIF($B991,TODAY(),"Y"),INDEX('Lopettaneet 2013-&gt;'!$L:$L,MATCH($D991,'Lopettaneet 2013-&gt;'!$D:$D,0)))</f>
        <v>5</v>
      </c>
      <c r="L991">
        <v>726</v>
      </c>
    </row>
    <row r="992" spans="1:12" x14ac:dyDescent="0.25">
      <c r="A992" t="s">
        <v>7</v>
      </c>
      <c r="B992" s="1">
        <v>43617</v>
      </c>
      <c r="C992" s="1">
        <v>55153</v>
      </c>
      <c r="D992" s="4" t="s">
        <v>1652</v>
      </c>
      <c r="E992" t="s">
        <v>10</v>
      </c>
      <c r="F992" t="s">
        <v>11</v>
      </c>
      <c r="G992" t="s">
        <v>2918</v>
      </c>
      <c r="H992" t="s">
        <v>2980</v>
      </c>
      <c r="I992" t="s">
        <v>2894</v>
      </c>
      <c r="J992" t="str">
        <f>IF(ISNUMBER(MATCH($D992,'Lopettaneet 2013-&gt;'!$D:$D,0)),INDEX('Lopettaneet 2013-&gt;'!$K:$K,MATCH($D992,'Lopettaneet 2013-&gt;'!$D:$D,0)),"Continues")</f>
        <v>Continues</v>
      </c>
      <c r="K992">
        <f ca="1">IF($J992="Continues",DATEDIF($B992,TODAY(),"Y"),INDEX('Lopettaneet 2013-&gt;'!$L:$L,MATCH($D992,'Lopettaneet 2013-&gt;'!$D:$D,0)))</f>
        <v>5</v>
      </c>
      <c r="L992">
        <v>727</v>
      </c>
    </row>
    <row r="993" spans="1:12" x14ac:dyDescent="0.25">
      <c r="A993" t="s">
        <v>7</v>
      </c>
      <c r="B993" s="1">
        <v>43617</v>
      </c>
      <c r="C993" s="1">
        <v>44377</v>
      </c>
      <c r="D993" s="4" t="s">
        <v>1654</v>
      </c>
      <c r="E993" t="s">
        <v>10</v>
      </c>
      <c r="F993" t="s">
        <v>11</v>
      </c>
      <c r="G993" t="s">
        <v>2918</v>
      </c>
      <c r="H993" t="s">
        <v>2956</v>
      </c>
      <c r="I993" t="s">
        <v>2909</v>
      </c>
      <c r="J993" t="str">
        <f>IF(ISNUMBER(MATCH($D993,'Lopettaneet 2013-&gt;'!$D:$D,0)),INDEX('Lopettaneet 2013-&gt;'!$K:$K,MATCH($D993,'Lopettaneet 2013-&gt;'!$D:$D,0)),"Continues")</f>
        <v>Closed</v>
      </c>
      <c r="K993">
        <f ca="1">IF($J993="Continues",DATEDIF($B993,TODAY(),"Y"),INDEX('Lopettaneet 2013-&gt;'!$L:$L,MATCH($D993,'Lopettaneet 2013-&gt;'!$D:$D,0)))</f>
        <v>2</v>
      </c>
      <c r="L993">
        <v>728</v>
      </c>
    </row>
    <row r="994" spans="1:12" x14ac:dyDescent="0.25">
      <c r="A994" t="s">
        <v>7</v>
      </c>
      <c r="B994" s="1">
        <v>43617</v>
      </c>
      <c r="C994" s="1">
        <v>55153</v>
      </c>
      <c r="D994" s="4" t="s">
        <v>1656</v>
      </c>
      <c r="E994" t="s">
        <v>10</v>
      </c>
      <c r="F994" t="s">
        <v>11</v>
      </c>
      <c r="G994" t="s">
        <v>2918</v>
      </c>
      <c r="H994" t="s">
        <v>2956</v>
      </c>
      <c r="I994" t="s">
        <v>2909</v>
      </c>
      <c r="J994" t="str">
        <f>IF(ISNUMBER(MATCH($D994,'Lopettaneet 2013-&gt;'!$D:$D,0)),INDEX('Lopettaneet 2013-&gt;'!$K:$K,MATCH($D994,'Lopettaneet 2013-&gt;'!$D:$D,0)),"Continues")</f>
        <v>Continues</v>
      </c>
      <c r="K994">
        <f ca="1">IF($J994="Continues",DATEDIF($B994,TODAY(),"Y"),INDEX('Lopettaneet 2013-&gt;'!$L:$L,MATCH($D994,'Lopettaneet 2013-&gt;'!$D:$D,0)))</f>
        <v>5</v>
      </c>
      <c r="L994">
        <v>729</v>
      </c>
    </row>
    <row r="995" spans="1:12" x14ac:dyDescent="0.25">
      <c r="A995" t="s">
        <v>7</v>
      </c>
      <c r="B995" s="1">
        <v>43617</v>
      </c>
      <c r="C995" s="1">
        <v>55153</v>
      </c>
      <c r="D995" s="4" t="s">
        <v>1658</v>
      </c>
      <c r="E995" t="s">
        <v>10</v>
      </c>
      <c r="F995" t="s">
        <v>11</v>
      </c>
      <c r="G995" t="s">
        <v>2918</v>
      </c>
      <c r="H995" t="s">
        <v>2956</v>
      </c>
      <c r="I995" t="s">
        <v>2895</v>
      </c>
      <c r="J995" t="str">
        <f>IF(ISNUMBER(MATCH($D995,'Lopettaneet 2013-&gt;'!$D:$D,0)),INDEX('Lopettaneet 2013-&gt;'!$K:$K,MATCH($D995,'Lopettaneet 2013-&gt;'!$D:$D,0)),"Continues")</f>
        <v>Continues</v>
      </c>
      <c r="K995">
        <f ca="1">IF($J995="Continues",DATEDIF($B995,TODAY(),"Y"),INDEX('Lopettaneet 2013-&gt;'!$L:$L,MATCH($D995,'Lopettaneet 2013-&gt;'!$D:$D,0)))</f>
        <v>5</v>
      </c>
      <c r="L995">
        <v>730</v>
      </c>
    </row>
    <row r="996" spans="1:12" x14ac:dyDescent="0.25">
      <c r="A996" t="s">
        <v>0</v>
      </c>
      <c r="B996" s="1">
        <v>43586</v>
      </c>
      <c r="C996" s="1">
        <v>55153</v>
      </c>
      <c r="D996" s="4" t="s">
        <v>1660</v>
      </c>
      <c r="E996" t="s">
        <v>3</v>
      </c>
      <c r="F996" t="s">
        <v>4</v>
      </c>
      <c r="G996" t="s">
        <v>2913</v>
      </c>
      <c r="H996" t="s">
        <v>2948</v>
      </c>
      <c r="I996" t="s">
        <v>2894</v>
      </c>
      <c r="J996" t="str">
        <f>IF(ISNUMBER(MATCH($D996,'Lopettaneet 2013-&gt;'!$D:$D,0)),INDEX('Lopettaneet 2013-&gt;'!$K:$K,MATCH($D996,'Lopettaneet 2013-&gt;'!$D:$D,0)),"Continues")</f>
        <v>Continues</v>
      </c>
      <c r="K996">
        <f ca="1">IF($J996="Continues",DATEDIF($B996,TODAY(),"Y"),INDEX('Lopettaneet 2013-&gt;'!$L:$L,MATCH($D996,'Lopettaneet 2013-&gt;'!$D:$D,0)))</f>
        <v>6</v>
      </c>
      <c r="L996">
        <v>731</v>
      </c>
    </row>
    <row r="997" spans="1:12" x14ac:dyDescent="0.25">
      <c r="A997" t="s">
        <v>7</v>
      </c>
      <c r="B997" s="1">
        <v>43617</v>
      </c>
      <c r="C997" s="1">
        <v>44834</v>
      </c>
      <c r="D997" s="4" t="s">
        <v>1662</v>
      </c>
      <c r="E997" t="s">
        <v>10</v>
      </c>
      <c r="F997" t="s">
        <v>11</v>
      </c>
      <c r="G997" t="s">
        <v>2914</v>
      </c>
      <c r="H997" t="s">
        <v>2980</v>
      </c>
      <c r="I997" t="s">
        <v>2909</v>
      </c>
      <c r="J997" t="str">
        <f>IF(ISNUMBER(MATCH($D997,'Lopettaneet 2013-&gt;'!$D:$D,0)),INDEX('Lopettaneet 2013-&gt;'!$K:$K,MATCH($D997,'Lopettaneet 2013-&gt;'!$D:$D,0)),"Continues")</f>
        <v>Closed</v>
      </c>
      <c r="K997">
        <f ca="1">IF($J997="Continues",DATEDIF($B997,TODAY(),"Y"),INDEX('Lopettaneet 2013-&gt;'!$L:$L,MATCH($D997,'Lopettaneet 2013-&gt;'!$D:$D,0)))</f>
        <v>3</v>
      </c>
      <c r="L997">
        <v>732</v>
      </c>
    </row>
    <row r="998" spans="1:12" x14ac:dyDescent="0.25">
      <c r="A998" t="s">
        <v>7</v>
      </c>
      <c r="B998" s="1">
        <v>43617</v>
      </c>
      <c r="C998" s="1">
        <v>44834</v>
      </c>
      <c r="D998" s="4" t="s">
        <v>1664</v>
      </c>
      <c r="E998" t="s">
        <v>10</v>
      </c>
      <c r="F998" t="s">
        <v>11</v>
      </c>
      <c r="G998" t="s">
        <v>2914</v>
      </c>
      <c r="H998" t="s">
        <v>2980</v>
      </c>
      <c r="I998" t="s">
        <v>2909</v>
      </c>
      <c r="J998" t="str">
        <f>IF(ISNUMBER(MATCH($D998,'Lopettaneet 2013-&gt;'!$D:$D,0)),INDEX('Lopettaneet 2013-&gt;'!$K:$K,MATCH($D998,'Lopettaneet 2013-&gt;'!$D:$D,0)),"Continues")</f>
        <v>Closed</v>
      </c>
      <c r="K998">
        <f ca="1">IF($J998="Continues",DATEDIF($B998,TODAY(),"Y"),INDEX('Lopettaneet 2013-&gt;'!$L:$L,MATCH($D998,'Lopettaneet 2013-&gt;'!$D:$D,0)))</f>
        <v>3</v>
      </c>
      <c r="L998">
        <v>733</v>
      </c>
    </row>
    <row r="999" spans="1:12" x14ac:dyDescent="0.25">
      <c r="A999" t="s">
        <v>7</v>
      </c>
      <c r="B999" s="1">
        <v>43617</v>
      </c>
      <c r="C999" s="1">
        <v>44834</v>
      </c>
      <c r="D999" s="4" t="s">
        <v>1666</v>
      </c>
      <c r="E999" t="s">
        <v>10</v>
      </c>
      <c r="F999" t="s">
        <v>11</v>
      </c>
      <c r="G999" t="s">
        <v>2914</v>
      </c>
      <c r="H999" t="s">
        <v>2980</v>
      </c>
      <c r="I999" t="s">
        <v>2909</v>
      </c>
      <c r="J999" t="str">
        <f>IF(ISNUMBER(MATCH($D999,'Lopettaneet 2013-&gt;'!$D:$D,0)),INDEX('Lopettaneet 2013-&gt;'!$K:$K,MATCH($D999,'Lopettaneet 2013-&gt;'!$D:$D,0)),"Continues")</f>
        <v>Closed</v>
      </c>
      <c r="K999">
        <f ca="1">IF($J999="Continues",DATEDIF($B999,TODAY(),"Y"),INDEX('Lopettaneet 2013-&gt;'!$L:$L,MATCH($D999,'Lopettaneet 2013-&gt;'!$D:$D,0)))</f>
        <v>3</v>
      </c>
      <c r="L999">
        <v>734</v>
      </c>
    </row>
    <row r="1000" spans="1:12" x14ac:dyDescent="0.25">
      <c r="A1000" t="s">
        <v>7</v>
      </c>
      <c r="B1000" s="1">
        <v>43617</v>
      </c>
      <c r="C1000" s="1">
        <v>44834</v>
      </c>
      <c r="D1000" s="4" t="s">
        <v>1668</v>
      </c>
      <c r="E1000" t="s">
        <v>10</v>
      </c>
      <c r="F1000" t="s">
        <v>11</v>
      </c>
      <c r="G1000" t="s">
        <v>2914</v>
      </c>
      <c r="H1000" t="s">
        <v>2980</v>
      </c>
      <c r="I1000" t="s">
        <v>2909</v>
      </c>
      <c r="J1000" t="str">
        <f>IF(ISNUMBER(MATCH($D1000,'Lopettaneet 2013-&gt;'!$D:$D,0)),INDEX('Lopettaneet 2013-&gt;'!$K:$K,MATCH($D1000,'Lopettaneet 2013-&gt;'!$D:$D,0)),"Continues")</f>
        <v>Closed</v>
      </c>
      <c r="K1000">
        <f ca="1">IF($J1000="Continues",DATEDIF($B1000,TODAY(),"Y"),INDEX('Lopettaneet 2013-&gt;'!$L:$L,MATCH($D1000,'Lopettaneet 2013-&gt;'!$D:$D,0)))</f>
        <v>3</v>
      </c>
      <c r="L1000">
        <v>735</v>
      </c>
    </row>
    <row r="1001" spans="1:12" x14ac:dyDescent="0.25">
      <c r="A1001" t="s">
        <v>7</v>
      </c>
      <c r="B1001" s="1">
        <v>43617</v>
      </c>
      <c r="C1001" s="1">
        <v>44834</v>
      </c>
      <c r="D1001" s="4" t="s">
        <v>1670</v>
      </c>
      <c r="E1001" t="s">
        <v>10</v>
      </c>
      <c r="F1001" t="s">
        <v>11</v>
      </c>
      <c r="G1001" t="s">
        <v>2914</v>
      </c>
      <c r="H1001" t="s">
        <v>2980</v>
      </c>
      <c r="I1001" t="s">
        <v>2909</v>
      </c>
      <c r="J1001" t="str">
        <f>IF(ISNUMBER(MATCH($D1001,'Lopettaneet 2013-&gt;'!$D:$D,0)),INDEX('Lopettaneet 2013-&gt;'!$K:$K,MATCH($D1001,'Lopettaneet 2013-&gt;'!$D:$D,0)),"Continues")</f>
        <v>Closed</v>
      </c>
      <c r="K1001">
        <f ca="1">IF($J1001="Continues",DATEDIF($B1001,TODAY(),"Y"),INDEX('Lopettaneet 2013-&gt;'!$L:$L,MATCH($D1001,'Lopettaneet 2013-&gt;'!$D:$D,0)))</f>
        <v>3</v>
      </c>
      <c r="L1001">
        <v>736</v>
      </c>
    </row>
    <row r="1002" spans="1:12" x14ac:dyDescent="0.25">
      <c r="A1002" t="s">
        <v>0</v>
      </c>
      <c r="B1002" s="1">
        <v>43709</v>
      </c>
      <c r="C1002" s="1">
        <v>55153</v>
      </c>
      <c r="D1002" s="4" t="s">
        <v>1672</v>
      </c>
      <c r="E1002" t="s">
        <v>3</v>
      </c>
      <c r="F1002" t="s">
        <v>4</v>
      </c>
      <c r="G1002" t="s">
        <v>2917</v>
      </c>
      <c r="H1002" t="s">
        <v>2975</v>
      </c>
      <c r="I1002" t="s">
        <v>2894</v>
      </c>
      <c r="J1002" t="str">
        <f>IF(ISNUMBER(MATCH($D1002,'Lopettaneet 2013-&gt;'!$D:$D,0)),INDEX('Lopettaneet 2013-&gt;'!$K:$K,MATCH($D1002,'Lopettaneet 2013-&gt;'!$D:$D,0)),"Continues")</f>
        <v>Continues</v>
      </c>
      <c r="K1002">
        <f ca="1">IF($J1002="Continues",DATEDIF($B1002,TODAY(),"Y"),INDEX('Lopettaneet 2013-&gt;'!$L:$L,MATCH($D1002,'Lopettaneet 2013-&gt;'!$D:$D,0)))</f>
        <v>5</v>
      </c>
      <c r="L1002">
        <v>737</v>
      </c>
    </row>
    <row r="1003" spans="1:12" x14ac:dyDescent="0.25">
      <c r="A1003" t="s">
        <v>7</v>
      </c>
      <c r="B1003" s="1">
        <v>43800</v>
      </c>
      <c r="C1003" s="1">
        <v>55153</v>
      </c>
      <c r="D1003" s="4" t="s">
        <v>1674</v>
      </c>
      <c r="E1003" t="s">
        <v>10</v>
      </c>
      <c r="F1003" t="s">
        <v>11</v>
      </c>
      <c r="G1003" t="s">
        <v>2916</v>
      </c>
      <c r="H1003" t="s">
        <v>2860</v>
      </c>
      <c r="I1003" t="s">
        <v>2894</v>
      </c>
      <c r="J1003" t="str">
        <f>IF(ISNUMBER(MATCH($D1003,'Lopettaneet 2013-&gt;'!$D:$D,0)),INDEX('Lopettaneet 2013-&gt;'!$K:$K,MATCH($D1003,'Lopettaneet 2013-&gt;'!$D:$D,0)),"Continues")</f>
        <v>Continues</v>
      </c>
      <c r="K1003">
        <f ca="1">IF($J1003="Continues",DATEDIF($B1003,TODAY(),"Y"),INDEX('Lopettaneet 2013-&gt;'!$L:$L,MATCH($D1003,'Lopettaneet 2013-&gt;'!$D:$D,0)))</f>
        <v>5</v>
      </c>
      <c r="L1003">
        <v>738</v>
      </c>
    </row>
    <row r="1004" spans="1:12" x14ac:dyDescent="0.25">
      <c r="A1004" t="s">
        <v>7</v>
      </c>
      <c r="B1004" s="1">
        <v>43800</v>
      </c>
      <c r="C1004" s="1">
        <v>55153</v>
      </c>
      <c r="D1004" s="4" t="s">
        <v>1676</v>
      </c>
      <c r="E1004" t="s">
        <v>10</v>
      </c>
      <c r="F1004" t="s">
        <v>11</v>
      </c>
      <c r="G1004" t="s">
        <v>2916</v>
      </c>
      <c r="H1004" t="s">
        <v>2973</v>
      </c>
      <c r="I1004" t="s">
        <v>2895</v>
      </c>
      <c r="J1004" t="str">
        <f>IF(ISNUMBER(MATCH($D1004,'Lopettaneet 2013-&gt;'!$D:$D,0)),INDEX('Lopettaneet 2013-&gt;'!$K:$K,MATCH($D1004,'Lopettaneet 2013-&gt;'!$D:$D,0)),"Continues")</f>
        <v>Continues</v>
      </c>
      <c r="K1004">
        <f ca="1">IF($J1004="Continues",DATEDIF($B1004,TODAY(),"Y"),INDEX('Lopettaneet 2013-&gt;'!$L:$L,MATCH($D1004,'Lopettaneet 2013-&gt;'!$D:$D,0)))</f>
        <v>5</v>
      </c>
      <c r="L1004">
        <v>739</v>
      </c>
    </row>
    <row r="1005" spans="1:12" x14ac:dyDescent="0.25">
      <c r="A1005" t="s">
        <v>7</v>
      </c>
      <c r="B1005" s="1">
        <v>44440</v>
      </c>
      <c r="C1005" s="1">
        <v>55153</v>
      </c>
      <c r="D1005" s="4" t="s">
        <v>1678</v>
      </c>
      <c r="E1005" t="s">
        <v>10</v>
      </c>
      <c r="F1005" t="s">
        <v>11</v>
      </c>
      <c r="G1005" t="s">
        <v>2916</v>
      </c>
      <c r="H1005" t="s">
        <v>2862</v>
      </c>
      <c r="I1005" t="s">
        <v>2895</v>
      </c>
      <c r="J1005" t="str">
        <f>IF(ISNUMBER(MATCH($D1005,'Lopettaneet 2013-&gt;'!$D:$D,0)),INDEX('Lopettaneet 2013-&gt;'!$K:$K,MATCH($D1005,'Lopettaneet 2013-&gt;'!$D:$D,0)),"Continues")</f>
        <v>Continues</v>
      </c>
      <c r="K1005">
        <f ca="1">IF($J1005="Continues",DATEDIF($B1005,TODAY(),"Y"),INDEX('Lopettaneet 2013-&gt;'!$L:$L,MATCH($D1005,'Lopettaneet 2013-&gt;'!$D:$D,0)))</f>
        <v>3</v>
      </c>
      <c r="L1005">
        <v>740</v>
      </c>
    </row>
    <row r="1006" spans="1:12" x14ac:dyDescent="0.25">
      <c r="A1006" t="s">
        <v>7</v>
      </c>
      <c r="B1006" s="1">
        <v>43983</v>
      </c>
      <c r="C1006" s="1">
        <v>55153</v>
      </c>
      <c r="D1006" s="4" t="s">
        <v>1680</v>
      </c>
      <c r="E1006" t="s">
        <v>10</v>
      </c>
      <c r="F1006" t="s">
        <v>11</v>
      </c>
      <c r="G1006" t="s">
        <v>2916</v>
      </c>
      <c r="H1006" t="s">
        <v>3016</v>
      </c>
      <c r="I1006" t="s">
        <v>2895</v>
      </c>
      <c r="J1006" t="str">
        <f>IF(ISNUMBER(MATCH($D1006,'Lopettaneet 2013-&gt;'!$D:$D,0)),INDEX('Lopettaneet 2013-&gt;'!$K:$K,MATCH($D1006,'Lopettaneet 2013-&gt;'!$D:$D,0)),"Continues")</f>
        <v>Continues</v>
      </c>
      <c r="K1006">
        <f ca="1">IF($J1006="Continues",DATEDIF($B1006,TODAY(),"Y"),INDEX('Lopettaneet 2013-&gt;'!$L:$L,MATCH($D1006,'Lopettaneet 2013-&gt;'!$D:$D,0)))</f>
        <v>4</v>
      </c>
      <c r="L1006">
        <v>741</v>
      </c>
    </row>
    <row r="1007" spans="1:12" x14ac:dyDescent="0.25">
      <c r="A1007" t="s">
        <v>7</v>
      </c>
      <c r="B1007" s="1">
        <v>44348</v>
      </c>
      <c r="C1007" s="1">
        <v>55153</v>
      </c>
      <c r="D1007" s="4" t="s">
        <v>1682</v>
      </c>
      <c r="E1007" t="s">
        <v>10</v>
      </c>
      <c r="F1007" t="s">
        <v>11</v>
      </c>
      <c r="G1007" t="s">
        <v>2912</v>
      </c>
      <c r="H1007" t="s">
        <v>2989</v>
      </c>
      <c r="I1007" t="s">
        <v>2895</v>
      </c>
      <c r="J1007" t="str">
        <f>IF(ISNUMBER(MATCH($D1007,'Lopettaneet 2013-&gt;'!$D:$D,0)),INDEX('Lopettaneet 2013-&gt;'!$K:$K,MATCH($D1007,'Lopettaneet 2013-&gt;'!$D:$D,0)),"Continues")</f>
        <v>Continues</v>
      </c>
      <c r="K1007">
        <f ca="1">IF($J1007="Continues",DATEDIF($B1007,TODAY(),"Y"),INDEX('Lopettaneet 2013-&gt;'!$L:$L,MATCH($D1007,'Lopettaneet 2013-&gt;'!$D:$D,0)))</f>
        <v>3</v>
      </c>
      <c r="L1007">
        <v>742</v>
      </c>
    </row>
    <row r="1008" spans="1:12" x14ac:dyDescent="0.25">
      <c r="A1008" t="s">
        <v>7</v>
      </c>
      <c r="B1008" s="1">
        <v>43709</v>
      </c>
      <c r="C1008" s="1">
        <v>55153</v>
      </c>
      <c r="D1008" s="4" t="s">
        <v>1684</v>
      </c>
      <c r="E1008" t="s">
        <v>10</v>
      </c>
      <c r="F1008" t="s">
        <v>11</v>
      </c>
      <c r="G1008" t="s">
        <v>2914</v>
      </c>
      <c r="H1008" t="s">
        <v>2946</v>
      </c>
      <c r="I1008" t="s">
        <v>2894</v>
      </c>
      <c r="J1008" t="str">
        <f>IF(ISNUMBER(MATCH($D1008,'Lopettaneet 2013-&gt;'!$D:$D,0)),INDEX('Lopettaneet 2013-&gt;'!$K:$K,MATCH($D1008,'Lopettaneet 2013-&gt;'!$D:$D,0)),"Continues")</f>
        <v>Continues</v>
      </c>
      <c r="K1008">
        <f ca="1">IF($J1008="Continues",DATEDIF($B1008,TODAY(),"Y"),INDEX('Lopettaneet 2013-&gt;'!$L:$L,MATCH($D1008,'Lopettaneet 2013-&gt;'!$D:$D,0)))</f>
        <v>5</v>
      </c>
      <c r="L1008">
        <v>743</v>
      </c>
    </row>
    <row r="1009" spans="1:12" x14ac:dyDescent="0.25">
      <c r="A1009" t="s">
        <v>7</v>
      </c>
      <c r="B1009" s="1">
        <v>43800</v>
      </c>
      <c r="C1009" s="1">
        <v>55153</v>
      </c>
      <c r="D1009" s="4" t="s">
        <v>1686</v>
      </c>
      <c r="E1009" t="s">
        <v>10</v>
      </c>
      <c r="F1009" t="s">
        <v>11</v>
      </c>
      <c r="G1009" t="s">
        <v>2914</v>
      </c>
      <c r="H1009" t="s">
        <v>2982</v>
      </c>
      <c r="I1009" t="s">
        <v>2895</v>
      </c>
      <c r="J1009" t="str">
        <f>IF(ISNUMBER(MATCH($D1009,'Lopettaneet 2013-&gt;'!$D:$D,0)),INDEX('Lopettaneet 2013-&gt;'!$K:$K,MATCH($D1009,'Lopettaneet 2013-&gt;'!$D:$D,0)),"Continues")</f>
        <v>Continues</v>
      </c>
      <c r="K1009">
        <f ca="1">IF($J1009="Continues",DATEDIF($B1009,TODAY(),"Y"),INDEX('Lopettaneet 2013-&gt;'!$L:$L,MATCH($D1009,'Lopettaneet 2013-&gt;'!$D:$D,0)))</f>
        <v>5</v>
      </c>
      <c r="L1009">
        <v>744</v>
      </c>
    </row>
    <row r="1010" spans="1:12" x14ac:dyDescent="0.25">
      <c r="A1010" t="s">
        <v>7</v>
      </c>
      <c r="B1010" s="1">
        <v>43709</v>
      </c>
      <c r="C1010" s="1">
        <v>55153</v>
      </c>
      <c r="D1010" s="4" t="s">
        <v>1688</v>
      </c>
      <c r="E1010" t="s">
        <v>10</v>
      </c>
      <c r="F1010" t="s">
        <v>11</v>
      </c>
      <c r="G1010" t="s">
        <v>2918</v>
      </c>
      <c r="H1010" t="s">
        <v>2997</v>
      </c>
      <c r="I1010" t="s">
        <v>2894</v>
      </c>
      <c r="J1010" t="str">
        <f>IF(ISNUMBER(MATCH($D1010,'Lopettaneet 2013-&gt;'!$D:$D,0)),INDEX('Lopettaneet 2013-&gt;'!$K:$K,MATCH($D1010,'Lopettaneet 2013-&gt;'!$D:$D,0)),"Continues")</f>
        <v>Continues</v>
      </c>
      <c r="K1010">
        <f ca="1">IF($J1010="Continues",DATEDIF($B1010,TODAY(),"Y"),INDEX('Lopettaneet 2013-&gt;'!$L:$L,MATCH($D1010,'Lopettaneet 2013-&gt;'!$D:$D,0)))</f>
        <v>5</v>
      </c>
      <c r="L1010">
        <v>745</v>
      </c>
    </row>
    <row r="1011" spans="1:12" x14ac:dyDescent="0.25">
      <c r="A1011" t="s">
        <v>7</v>
      </c>
      <c r="B1011" s="1">
        <v>43800</v>
      </c>
      <c r="C1011" s="1">
        <v>55153</v>
      </c>
      <c r="D1011" s="4" t="s">
        <v>1690</v>
      </c>
      <c r="E1011" t="s">
        <v>10</v>
      </c>
      <c r="F1011" t="s">
        <v>11</v>
      </c>
      <c r="G1011" t="s">
        <v>2914</v>
      </c>
      <c r="H1011" t="s">
        <v>2982</v>
      </c>
      <c r="I1011" t="s">
        <v>2895</v>
      </c>
      <c r="J1011" t="str">
        <f>IF(ISNUMBER(MATCH($D1011,'Lopettaneet 2013-&gt;'!$D:$D,0)),INDEX('Lopettaneet 2013-&gt;'!$K:$K,MATCH($D1011,'Lopettaneet 2013-&gt;'!$D:$D,0)),"Continues")</f>
        <v>Continues</v>
      </c>
      <c r="K1011">
        <f ca="1">IF($J1011="Continues",DATEDIF($B1011,TODAY(),"Y"),INDEX('Lopettaneet 2013-&gt;'!$L:$L,MATCH($D1011,'Lopettaneet 2013-&gt;'!$D:$D,0)))</f>
        <v>5</v>
      </c>
      <c r="L1011">
        <v>746</v>
      </c>
    </row>
    <row r="1012" spans="1:12" x14ac:dyDescent="0.25">
      <c r="A1012" t="s">
        <v>0</v>
      </c>
      <c r="B1012" s="1">
        <v>43770</v>
      </c>
      <c r="C1012" s="1">
        <v>55153</v>
      </c>
      <c r="D1012" s="4" t="s">
        <v>1692</v>
      </c>
      <c r="E1012" t="s">
        <v>3</v>
      </c>
      <c r="F1012" t="s">
        <v>4</v>
      </c>
      <c r="G1012" t="s">
        <v>2915</v>
      </c>
      <c r="H1012" t="s">
        <v>2952</v>
      </c>
      <c r="I1012" t="s">
        <v>2894</v>
      </c>
      <c r="J1012" t="str">
        <f>IF(ISNUMBER(MATCH($D1012,'Lopettaneet 2013-&gt;'!$D:$D,0)),INDEX('Lopettaneet 2013-&gt;'!$K:$K,MATCH($D1012,'Lopettaneet 2013-&gt;'!$D:$D,0)),"Continues")</f>
        <v>Continues</v>
      </c>
      <c r="K1012">
        <f ca="1">IF($J1012="Continues",DATEDIF($B1012,TODAY(),"Y"),INDEX('Lopettaneet 2013-&gt;'!$L:$L,MATCH($D1012,'Lopettaneet 2013-&gt;'!$D:$D,0)))</f>
        <v>5</v>
      </c>
      <c r="L1012">
        <v>747</v>
      </c>
    </row>
    <row r="1013" spans="1:12" x14ac:dyDescent="0.25">
      <c r="A1013" t="s">
        <v>0</v>
      </c>
      <c r="B1013" s="1">
        <v>43709</v>
      </c>
      <c r="C1013" s="1">
        <v>55153</v>
      </c>
      <c r="D1013" s="4" t="s">
        <v>1694</v>
      </c>
      <c r="E1013" t="s">
        <v>3</v>
      </c>
      <c r="F1013" t="s">
        <v>4</v>
      </c>
      <c r="G1013" t="s">
        <v>2917</v>
      </c>
      <c r="H1013" t="s">
        <v>2952</v>
      </c>
      <c r="I1013" t="s">
        <v>2894</v>
      </c>
      <c r="J1013" t="str">
        <f>IF(ISNUMBER(MATCH($D1013,'Lopettaneet 2013-&gt;'!$D:$D,0)),INDEX('Lopettaneet 2013-&gt;'!$K:$K,MATCH($D1013,'Lopettaneet 2013-&gt;'!$D:$D,0)),"Continues")</f>
        <v>Continues</v>
      </c>
      <c r="K1013">
        <f ca="1">IF($J1013="Continues",DATEDIF($B1013,TODAY(),"Y"),INDEX('Lopettaneet 2013-&gt;'!$L:$L,MATCH($D1013,'Lopettaneet 2013-&gt;'!$D:$D,0)))</f>
        <v>5</v>
      </c>
      <c r="L1013">
        <v>748</v>
      </c>
    </row>
    <row r="1014" spans="1:12" x14ac:dyDescent="0.25">
      <c r="A1014" t="s">
        <v>0</v>
      </c>
      <c r="B1014" s="1">
        <v>43770</v>
      </c>
      <c r="C1014" s="1">
        <v>55153</v>
      </c>
      <c r="D1014" s="4" t="s">
        <v>1696</v>
      </c>
      <c r="E1014" t="s">
        <v>3</v>
      </c>
      <c r="F1014" t="s">
        <v>4</v>
      </c>
      <c r="G1014" t="s">
        <v>2915</v>
      </c>
      <c r="H1014" t="s">
        <v>2952</v>
      </c>
      <c r="I1014" t="s">
        <v>2894</v>
      </c>
      <c r="J1014" t="str">
        <f>IF(ISNUMBER(MATCH($D1014,'Lopettaneet 2013-&gt;'!$D:$D,0)),INDEX('Lopettaneet 2013-&gt;'!$K:$K,MATCH($D1014,'Lopettaneet 2013-&gt;'!$D:$D,0)),"Continues")</f>
        <v>Continues</v>
      </c>
      <c r="K1014">
        <f ca="1">IF($J1014="Continues",DATEDIF($B1014,TODAY(),"Y"),INDEX('Lopettaneet 2013-&gt;'!$L:$L,MATCH($D1014,'Lopettaneet 2013-&gt;'!$D:$D,0)))</f>
        <v>5</v>
      </c>
      <c r="L1014">
        <v>749</v>
      </c>
    </row>
    <row r="1015" spans="1:12" x14ac:dyDescent="0.25">
      <c r="A1015" t="s">
        <v>0</v>
      </c>
      <c r="B1015" s="1">
        <v>43770</v>
      </c>
      <c r="C1015" s="1">
        <v>55153</v>
      </c>
      <c r="D1015" s="4" t="s">
        <v>1698</v>
      </c>
      <c r="E1015" t="s">
        <v>3</v>
      </c>
      <c r="F1015" t="s">
        <v>4</v>
      </c>
      <c r="G1015" t="s">
        <v>2917</v>
      </c>
      <c r="H1015" t="s">
        <v>2952</v>
      </c>
      <c r="I1015" t="s">
        <v>2894</v>
      </c>
      <c r="J1015" t="str">
        <f>IF(ISNUMBER(MATCH($D1015,'Lopettaneet 2013-&gt;'!$D:$D,0)),INDEX('Lopettaneet 2013-&gt;'!$K:$K,MATCH($D1015,'Lopettaneet 2013-&gt;'!$D:$D,0)),"Continues")</f>
        <v>Continues</v>
      </c>
      <c r="K1015">
        <f ca="1">IF($J1015="Continues",DATEDIF($B1015,TODAY(),"Y"),INDEX('Lopettaneet 2013-&gt;'!$L:$L,MATCH($D1015,'Lopettaneet 2013-&gt;'!$D:$D,0)))</f>
        <v>5</v>
      </c>
      <c r="L1015">
        <v>750</v>
      </c>
    </row>
    <row r="1016" spans="1:12" x14ac:dyDescent="0.25">
      <c r="A1016" t="s">
        <v>0</v>
      </c>
      <c r="B1016" s="1">
        <v>43770</v>
      </c>
      <c r="C1016" s="1">
        <v>55153</v>
      </c>
      <c r="D1016" s="4" t="s">
        <v>1700</v>
      </c>
      <c r="E1016" t="s">
        <v>3</v>
      </c>
      <c r="F1016" t="s">
        <v>4</v>
      </c>
      <c r="G1016" t="s">
        <v>2915</v>
      </c>
      <c r="H1016" t="s">
        <v>2952</v>
      </c>
      <c r="I1016" t="s">
        <v>2894</v>
      </c>
      <c r="J1016" t="str">
        <f>IF(ISNUMBER(MATCH($D1016,'Lopettaneet 2013-&gt;'!$D:$D,0)),INDEX('Lopettaneet 2013-&gt;'!$K:$K,MATCH($D1016,'Lopettaneet 2013-&gt;'!$D:$D,0)),"Continues")</f>
        <v>Continues</v>
      </c>
      <c r="K1016">
        <f ca="1">IF($J1016="Continues",DATEDIF($B1016,TODAY(),"Y"),INDEX('Lopettaneet 2013-&gt;'!$L:$L,MATCH($D1016,'Lopettaneet 2013-&gt;'!$D:$D,0)))</f>
        <v>5</v>
      </c>
      <c r="L1016">
        <v>751</v>
      </c>
    </row>
    <row r="1017" spans="1:12" x14ac:dyDescent="0.25">
      <c r="A1017" t="s">
        <v>0</v>
      </c>
      <c r="B1017" s="1">
        <v>43770</v>
      </c>
      <c r="C1017" s="1">
        <v>55153</v>
      </c>
      <c r="D1017" s="4" t="s">
        <v>1702</v>
      </c>
      <c r="E1017" t="s">
        <v>3</v>
      </c>
      <c r="F1017" t="s">
        <v>4</v>
      </c>
      <c r="G1017" t="s">
        <v>2915</v>
      </c>
      <c r="H1017" t="s">
        <v>2952</v>
      </c>
      <c r="I1017" t="s">
        <v>2894</v>
      </c>
      <c r="J1017" t="str">
        <f>IF(ISNUMBER(MATCH($D1017,'Lopettaneet 2013-&gt;'!$D:$D,0)),INDEX('Lopettaneet 2013-&gt;'!$K:$K,MATCH($D1017,'Lopettaneet 2013-&gt;'!$D:$D,0)),"Continues")</f>
        <v>Continues</v>
      </c>
      <c r="K1017">
        <f ca="1">IF($J1017="Continues",DATEDIF($B1017,TODAY(),"Y"),INDEX('Lopettaneet 2013-&gt;'!$L:$L,MATCH($D1017,'Lopettaneet 2013-&gt;'!$D:$D,0)))</f>
        <v>5</v>
      </c>
      <c r="L1017">
        <v>752</v>
      </c>
    </row>
    <row r="1018" spans="1:12" x14ac:dyDescent="0.25">
      <c r="A1018" t="s">
        <v>0</v>
      </c>
      <c r="B1018" s="1">
        <v>43770</v>
      </c>
      <c r="C1018" s="1">
        <v>55153</v>
      </c>
      <c r="D1018" s="4" t="s">
        <v>1704</v>
      </c>
      <c r="E1018" t="s">
        <v>3</v>
      </c>
      <c r="F1018" t="s">
        <v>4</v>
      </c>
      <c r="G1018" t="s">
        <v>2917</v>
      </c>
      <c r="H1018" t="s">
        <v>2952</v>
      </c>
      <c r="I1018" t="s">
        <v>2894</v>
      </c>
      <c r="J1018" t="str">
        <f>IF(ISNUMBER(MATCH($D1018,'Lopettaneet 2013-&gt;'!$D:$D,0)),INDEX('Lopettaneet 2013-&gt;'!$K:$K,MATCH($D1018,'Lopettaneet 2013-&gt;'!$D:$D,0)),"Continues")</f>
        <v>Continues</v>
      </c>
      <c r="K1018">
        <f ca="1">IF($J1018="Continues",DATEDIF($B1018,TODAY(),"Y"),INDEX('Lopettaneet 2013-&gt;'!$L:$L,MATCH($D1018,'Lopettaneet 2013-&gt;'!$D:$D,0)))</f>
        <v>5</v>
      </c>
      <c r="L1018">
        <v>753</v>
      </c>
    </row>
    <row r="1019" spans="1:12" x14ac:dyDescent="0.25">
      <c r="A1019" t="s">
        <v>0</v>
      </c>
      <c r="B1019" s="1">
        <v>43770</v>
      </c>
      <c r="C1019" s="1">
        <v>55153</v>
      </c>
      <c r="D1019" s="4" t="s">
        <v>1706</v>
      </c>
      <c r="E1019" t="s">
        <v>3</v>
      </c>
      <c r="F1019" t="s">
        <v>4</v>
      </c>
      <c r="G1019" t="s">
        <v>2915</v>
      </c>
      <c r="H1019" t="s">
        <v>2952</v>
      </c>
      <c r="I1019" t="s">
        <v>2894</v>
      </c>
      <c r="J1019" t="str">
        <f>IF(ISNUMBER(MATCH($D1019,'Lopettaneet 2013-&gt;'!$D:$D,0)),INDEX('Lopettaneet 2013-&gt;'!$K:$K,MATCH($D1019,'Lopettaneet 2013-&gt;'!$D:$D,0)),"Continues")</f>
        <v>Continues</v>
      </c>
      <c r="K1019">
        <f ca="1">IF($J1019="Continues",DATEDIF($B1019,TODAY(),"Y"),INDEX('Lopettaneet 2013-&gt;'!$L:$L,MATCH($D1019,'Lopettaneet 2013-&gt;'!$D:$D,0)))</f>
        <v>5</v>
      </c>
      <c r="L1019">
        <v>754</v>
      </c>
    </row>
    <row r="1020" spans="1:12" x14ac:dyDescent="0.25">
      <c r="A1020" t="s">
        <v>7</v>
      </c>
      <c r="B1020" s="1">
        <v>43891</v>
      </c>
      <c r="C1020" s="1">
        <v>55153</v>
      </c>
      <c r="D1020" s="4" t="s">
        <v>1708</v>
      </c>
      <c r="E1020" t="s">
        <v>10</v>
      </c>
      <c r="F1020" t="s">
        <v>11</v>
      </c>
      <c r="G1020" t="s">
        <v>2916</v>
      </c>
      <c r="H1020" t="s">
        <v>2990</v>
      </c>
      <c r="I1020" t="s">
        <v>2894</v>
      </c>
      <c r="J1020" t="str">
        <f>IF(ISNUMBER(MATCH($D1020,'Lopettaneet 2013-&gt;'!$D:$D,0)),INDEX('Lopettaneet 2013-&gt;'!$K:$K,MATCH($D1020,'Lopettaneet 2013-&gt;'!$D:$D,0)),"Continues")</f>
        <v>Continues</v>
      </c>
      <c r="K1020">
        <f ca="1">IF($J1020="Continues",DATEDIF($B1020,TODAY(),"Y"),INDEX('Lopettaneet 2013-&gt;'!$L:$L,MATCH($D1020,'Lopettaneet 2013-&gt;'!$D:$D,0)))</f>
        <v>5</v>
      </c>
      <c r="L1020">
        <v>755</v>
      </c>
    </row>
    <row r="1021" spans="1:12" x14ac:dyDescent="0.25">
      <c r="A1021" t="s">
        <v>7</v>
      </c>
      <c r="B1021" s="1">
        <v>43709</v>
      </c>
      <c r="C1021" s="1">
        <v>55153</v>
      </c>
      <c r="D1021" s="4" t="s">
        <v>1710</v>
      </c>
      <c r="E1021" t="s">
        <v>10</v>
      </c>
      <c r="F1021" t="s">
        <v>11</v>
      </c>
      <c r="G1021" t="s">
        <v>2916</v>
      </c>
      <c r="H1021" t="s">
        <v>2980</v>
      </c>
      <c r="I1021" t="s">
        <v>2894</v>
      </c>
      <c r="J1021" t="str">
        <f>IF(ISNUMBER(MATCH($D1021,'Lopettaneet 2013-&gt;'!$D:$D,0)),INDEX('Lopettaneet 2013-&gt;'!$K:$K,MATCH($D1021,'Lopettaneet 2013-&gt;'!$D:$D,0)),"Continues")</f>
        <v>Continues</v>
      </c>
      <c r="K1021">
        <f ca="1">IF($J1021="Continues",DATEDIF($B1021,TODAY(),"Y"),INDEX('Lopettaneet 2013-&gt;'!$L:$L,MATCH($D1021,'Lopettaneet 2013-&gt;'!$D:$D,0)))</f>
        <v>5</v>
      </c>
      <c r="L1021">
        <v>756</v>
      </c>
    </row>
    <row r="1022" spans="1:12" x14ac:dyDescent="0.25">
      <c r="A1022" t="s">
        <v>7</v>
      </c>
      <c r="B1022" s="1">
        <v>43709</v>
      </c>
      <c r="C1022" s="1">
        <v>55153</v>
      </c>
      <c r="D1022" s="4" t="s">
        <v>1712</v>
      </c>
      <c r="E1022" t="s">
        <v>10</v>
      </c>
      <c r="F1022" t="s">
        <v>11</v>
      </c>
      <c r="G1022" t="s">
        <v>2916</v>
      </c>
      <c r="H1022" t="s">
        <v>2980</v>
      </c>
      <c r="I1022" t="s">
        <v>2894</v>
      </c>
      <c r="J1022" t="str">
        <f>IF(ISNUMBER(MATCH($D1022,'Lopettaneet 2013-&gt;'!$D:$D,0)),INDEX('Lopettaneet 2013-&gt;'!$K:$K,MATCH($D1022,'Lopettaneet 2013-&gt;'!$D:$D,0)),"Continues")</f>
        <v>Continues</v>
      </c>
      <c r="K1022">
        <f ca="1">IF($J1022="Continues",DATEDIF($B1022,TODAY(),"Y"),INDEX('Lopettaneet 2013-&gt;'!$L:$L,MATCH($D1022,'Lopettaneet 2013-&gt;'!$D:$D,0)))</f>
        <v>5</v>
      </c>
      <c r="L1022">
        <v>757</v>
      </c>
    </row>
    <row r="1023" spans="1:12" x14ac:dyDescent="0.25">
      <c r="A1023" t="s">
        <v>7</v>
      </c>
      <c r="B1023" s="1">
        <v>43709</v>
      </c>
      <c r="C1023" s="1">
        <v>55153</v>
      </c>
      <c r="D1023" s="4" t="s">
        <v>1714</v>
      </c>
      <c r="E1023" t="s">
        <v>10</v>
      </c>
      <c r="F1023" t="s">
        <v>11</v>
      </c>
      <c r="G1023" t="s">
        <v>2916</v>
      </c>
      <c r="H1023" t="s">
        <v>2980</v>
      </c>
      <c r="I1023" t="s">
        <v>2894</v>
      </c>
      <c r="J1023" t="str">
        <f>IF(ISNUMBER(MATCH($D1023,'Lopettaneet 2013-&gt;'!$D:$D,0)),INDEX('Lopettaneet 2013-&gt;'!$K:$K,MATCH($D1023,'Lopettaneet 2013-&gt;'!$D:$D,0)),"Continues")</f>
        <v>Continues</v>
      </c>
      <c r="K1023">
        <f ca="1">IF($J1023="Continues",DATEDIF($B1023,TODAY(),"Y"),INDEX('Lopettaneet 2013-&gt;'!$L:$L,MATCH($D1023,'Lopettaneet 2013-&gt;'!$D:$D,0)))</f>
        <v>5</v>
      </c>
      <c r="L1023">
        <v>758</v>
      </c>
    </row>
    <row r="1024" spans="1:12" x14ac:dyDescent="0.25">
      <c r="A1024" t="s">
        <v>0</v>
      </c>
      <c r="B1024" s="1">
        <v>43831</v>
      </c>
      <c r="C1024" s="1">
        <v>55153</v>
      </c>
      <c r="D1024" s="4" t="s">
        <v>1716</v>
      </c>
      <c r="E1024" t="s">
        <v>10</v>
      </c>
      <c r="F1024" t="s">
        <v>4</v>
      </c>
      <c r="G1024" t="s">
        <v>2917</v>
      </c>
      <c r="H1024" t="s">
        <v>2842</v>
      </c>
      <c r="I1024" t="s">
        <v>2894</v>
      </c>
      <c r="J1024" t="str">
        <f>IF(ISNUMBER(MATCH($D1024,'Lopettaneet 2013-&gt;'!$D:$D,0)),INDEX('Lopettaneet 2013-&gt;'!$K:$K,MATCH($D1024,'Lopettaneet 2013-&gt;'!$D:$D,0)),"Continues")</f>
        <v>Continues</v>
      </c>
      <c r="K1024">
        <f ca="1">IF($J1024="Continues",DATEDIF($B1024,TODAY(),"Y"),INDEX('Lopettaneet 2013-&gt;'!$L:$L,MATCH($D1024,'Lopettaneet 2013-&gt;'!$D:$D,0)))</f>
        <v>5</v>
      </c>
      <c r="L1024">
        <v>759</v>
      </c>
    </row>
    <row r="1025" spans="1:12" x14ac:dyDescent="0.25">
      <c r="A1025" t="s">
        <v>0</v>
      </c>
      <c r="B1025" s="1">
        <v>43739</v>
      </c>
      <c r="C1025" s="1">
        <v>55153</v>
      </c>
      <c r="D1025" s="4" t="s">
        <v>3211</v>
      </c>
      <c r="E1025" t="s">
        <v>3</v>
      </c>
      <c r="F1025" t="s">
        <v>4</v>
      </c>
      <c r="G1025" t="s">
        <v>2913</v>
      </c>
      <c r="H1025" t="s">
        <v>2777</v>
      </c>
      <c r="I1025" t="s">
        <v>2894</v>
      </c>
      <c r="J1025" t="str">
        <f>IF(ISNUMBER(MATCH($D1025,'Lopettaneet 2013-&gt;'!$D:$D,0)),INDEX('Lopettaneet 2013-&gt;'!$K:$K,MATCH($D1025,'Lopettaneet 2013-&gt;'!$D:$D,0)),"Continues")</f>
        <v>Continues</v>
      </c>
      <c r="K1025">
        <f ca="1">IF($J1025="Continues",DATEDIF($B1025,TODAY(),"Y"),INDEX('Lopettaneet 2013-&gt;'!$L:$L,MATCH($D1025,'Lopettaneet 2013-&gt;'!$D:$D,0)))</f>
        <v>5</v>
      </c>
      <c r="L1025">
        <v>760</v>
      </c>
    </row>
    <row r="1026" spans="1:12" x14ac:dyDescent="0.25">
      <c r="A1026" t="s">
        <v>7</v>
      </c>
      <c r="B1026" s="1">
        <v>43983</v>
      </c>
      <c r="C1026" s="1">
        <v>55153</v>
      </c>
      <c r="D1026" s="4" t="s">
        <v>1720</v>
      </c>
      <c r="E1026" t="s">
        <v>10</v>
      </c>
      <c r="F1026" t="s">
        <v>11</v>
      </c>
      <c r="G1026" t="s">
        <v>2916</v>
      </c>
      <c r="H1026" t="s">
        <v>2864</v>
      </c>
      <c r="I1026" t="s">
        <v>2895</v>
      </c>
      <c r="J1026" t="str">
        <f>IF(ISNUMBER(MATCH($D1026,'Lopettaneet 2013-&gt;'!$D:$D,0)),INDEX('Lopettaneet 2013-&gt;'!$K:$K,MATCH($D1026,'Lopettaneet 2013-&gt;'!$D:$D,0)),"Continues")</f>
        <v>Continues</v>
      </c>
      <c r="K1026">
        <f ca="1">IF($J1026="Continues",DATEDIF($B1026,TODAY(),"Y"),INDEX('Lopettaneet 2013-&gt;'!$L:$L,MATCH($D1026,'Lopettaneet 2013-&gt;'!$D:$D,0)))</f>
        <v>4</v>
      </c>
      <c r="L1026">
        <v>761</v>
      </c>
    </row>
    <row r="1027" spans="1:12" x14ac:dyDescent="0.25">
      <c r="A1027" t="s">
        <v>7</v>
      </c>
      <c r="B1027" s="1">
        <v>43983</v>
      </c>
      <c r="C1027" s="1">
        <v>55153</v>
      </c>
      <c r="D1027" s="4" t="s">
        <v>1722</v>
      </c>
      <c r="E1027" t="s">
        <v>10</v>
      </c>
      <c r="F1027" t="s">
        <v>11</v>
      </c>
      <c r="G1027" t="s">
        <v>2916</v>
      </c>
      <c r="H1027" t="s">
        <v>2996</v>
      </c>
      <c r="I1027" t="s">
        <v>2894</v>
      </c>
      <c r="J1027" t="str">
        <f>IF(ISNUMBER(MATCH($D1027,'Lopettaneet 2013-&gt;'!$D:$D,0)),INDEX('Lopettaneet 2013-&gt;'!$K:$K,MATCH($D1027,'Lopettaneet 2013-&gt;'!$D:$D,0)),"Continues")</f>
        <v>Continues</v>
      </c>
      <c r="K1027">
        <f ca="1">IF($J1027="Continues",DATEDIF($B1027,TODAY(),"Y"),INDEX('Lopettaneet 2013-&gt;'!$L:$L,MATCH($D1027,'Lopettaneet 2013-&gt;'!$D:$D,0)))</f>
        <v>4</v>
      </c>
      <c r="L1027">
        <v>762</v>
      </c>
    </row>
    <row r="1028" spans="1:12" x14ac:dyDescent="0.25">
      <c r="A1028" t="s">
        <v>7</v>
      </c>
      <c r="B1028" s="1">
        <v>44348</v>
      </c>
      <c r="C1028" s="1">
        <v>55153</v>
      </c>
      <c r="D1028" s="4" t="s">
        <v>1724</v>
      </c>
      <c r="E1028" t="s">
        <v>10</v>
      </c>
      <c r="F1028" t="s">
        <v>11</v>
      </c>
      <c r="G1028" t="s">
        <v>2912</v>
      </c>
      <c r="H1028" t="s">
        <v>2989</v>
      </c>
      <c r="I1028" t="s">
        <v>2895</v>
      </c>
      <c r="J1028" t="str">
        <f>IF(ISNUMBER(MATCH($D1028,'Lopettaneet 2013-&gt;'!$D:$D,0)),INDEX('Lopettaneet 2013-&gt;'!$K:$K,MATCH($D1028,'Lopettaneet 2013-&gt;'!$D:$D,0)),"Continues")</f>
        <v>Continues</v>
      </c>
      <c r="K1028">
        <f ca="1">IF($J1028="Continues",DATEDIF($B1028,TODAY(),"Y"),INDEX('Lopettaneet 2013-&gt;'!$L:$L,MATCH($D1028,'Lopettaneet 2013-&gt;'!$D:$D,0)))</f>
        <v>3</v>
      </c>
      <c r="L1028">
        <v>763</v>
      </c>
    </row>
    <row r="1029" spans="1:12" x14ac:dyDescent="0.25">
      <c r="A1029" t="s">
        <v>0</v>
      </c>
      <c r="B1029" s="1">
        <v>43770</v>
      </c>
      <c r="C1029" s="1">
        <v>55153</v>
      </c>
      <c r="D1029" s="4" t="s">
        <v>1726</v>
      </c>
      <c r="E1029" t="s">
        <v>10</v>
      </c>
      <c r="F1029" t="s">
        <v>4</v>
      </c>
      <c r="G1029" t="s">
        <v>2913</v>
      </c>
      <c r="H1029" t="s">
        <v>2842</v>
      </c>
      <c r="I1029" t="s">
        <v>2894</v>
      </c>
      <c r="J1029" t="str">
        <f>IF(ISNUMBER(MATCH($D1029,'Lopettaneet 2013-&gt;'!$D:$D,0)),INDEX('Lopettaneet 2013-&gt;'!$K:$K,MATCH($D1029,'Lopettaneet 2013-&gt;'!$D:$D,0)),"Continues")</f>
        <v>Continues</v>
      </c>
      <c r="K1029">
        <f ca="1">IF($J1029="Continues",DATEDIF($B1029,TODAY(),"Y"),INDEX('Lopettaneet 2013-&gt;'!$L:$L,MATCH($D1029,'Lopettaneet 2013-&gt;'!$D:$D,0)))</f>
        <v>5</v>
      </c>
      <c r="L1029">
        <v>764</v>
      </c>
    </row>
    <row r="1030" spans="1:12" x14ac:dyDescent="0.25">
      <c r="A1030" t="s">
        <v>0</v>
      </c>
      <c r="B1030" s="1">
        <v>43831</v>
      </c>
      <c r="C1030" s="1">
        <v>55153</v>
      </c>
      <c r="D1030" s="4" t="s">
        <v>1728</v>
      </c>
      <c r="E1030" t="s">
        <v>10</v>
      </c>
      <c r="F1030" t="s">
        <v>4</v>
      </c>
      <c r="G1030" t="s">
        <v>2914</v>
      </c>
      <c r="H1030" t="s">
        <v>2998</v>
      </c>
      <c r="I1030" t="s">
        <v>2894</v>
      </c>
      <c r="J1030" t="str">
        <f>IF(ISNUMBER(MATCH($D1030,'Lopettaneet 2013-&gt;'!$D:$D,0)),INDEX('Lopettaneet 2013-&gt;'!$K:$K,MATCH($D1030,'Lopettaneet 2013-&gt;'!$D:$D,0)),"Continues")</f>
        <v>Continues</v>
      </c>
      <c r="K1030">
        <f ca="1">IF($J1030="Continues",DATEDIF($B1030,TODAY(),"Y"),INDEX('Lopettaneet 2013-&gt;'!$L:$L,MATCH($D1030,'Lopettaneet 2013-&gt;'!$D:$D,0)))</f>
        <v>5</v>
      </c>
      <c r="L1030">
        <v>765</v>
      </c>
    </row>
    <row r="1031" spans="1:12" x14ac:dyDescent="0.25">
      <c r="A1031" t="s">
        <v>7</v>
      </c>
      <c r="B1031" s="1">
        <v>43800</v>
      </c>
      <c r="C1031" s="1">
        <v>44561</v>
      </c>
      <c r="D1031" s="4" t="s">
        <v>1730</v>
      </c>
      <c r="E1031" t="s">
        <v>10</v>
      </c>
      <c r="F1031" t="s">
        <v>11</v>
      </c>
      <c r="G1031" t="s">
        <v>2918</v>
      </c>
      <c r="H1031" t="s">
        <v>2909</v>
      </c>
      <c r="I1031" t="s">
        <v>2909</v>
      </c>
      <c r="J1031" t="str">
        <f>IF(ISNUMBER(MATCH($D1031,'Lopettaneet 2013-&gt;'!$D:$D,0)),INDEX('Lopettaneet 2013-&gt;'!$K:$K,MATCH($D1031,'Lopettaneet 2013-&gt;'!$D:$D,0)),"Continues")</f>
        <v>Closed</v>
      </c>
      <c r="K1031">
        <f ca="1">IF($J1031="Continues",DATEDIF($B1031,TODAY(),"Y"),INDEX('Lopettaneet 2013-&gt;'!$L:$L,MATCH($D1031,'Lopettaneet 2013-&gt;'!$D:$D,0)))</f>
        <v>2</v>
      </c>
      <c r="L1031">
        <v>766</v>
      </c>
    </row>
    <row r="1032" spans="1:12" x14ac:dyDescent="0.25">
      <c r="A1032" t="s">
        <v>7</v>
      </c>
      <c r="B1032" s="1">
        <v>43983</v>
      </c>
      <c r="C1032" s="1">
        <v>55153</v>
      </c>
      <c r="D1032" s="4" t="s">
        <v>1732</v>
      </c>
      <c r="E1032" t="s">
        <v>10</v>
      </c>
      <c r="F1032" t="s">
        <v>11</v>
      </c>
      <c r="G1032" t="s">
        <v>2912</v>
      </c>
      <c r="H1032" t="s">
        <v>2946</v>
      </c>
      <c r="I1032" t="s">
        <v>2895</v>
      </c>
      <c r="J1032" t="str">
        <f>IF(ISNUMBER(MATCH($D1032,'Lopettaneet 2013-&gt;'!$D:$D,0)),INDEX('Lopettaneet 2013-&gt;'!$K:$K,MATCH($D1032,'Lopettaneet 2013-&gt;'!$D:$D,0)),"Continues")</f>
        <v>Continues</v>
      </c>
      <c r="K1032">
        <f ca="1">IF($J1032="Continues",DATEDIF($B1032,TODAY(),"Y"),INDEX('Lopettaneet 2013-&gt;'!$L:$L,MATCH($D1032,'Lopettaneet 2013-&gt;'!$D:$D,0)))</f>
        <v>4</v>
      </c>
      <c r="L1032">
        <v>767</v>
      </c>
    </row>
    <row r="1033" spans="1:12" x14ac:dyDescent="0.25">
      <c r="A1033" t="s">
        <v>7</v>
      </c>
      <c r="B1033" s="1">
        <v>44075</v>
      </c>
      <c r="C1033" s="1">
        <v>55153</v>
      </c>
      <c r="D1033" s="4" t="s">
        <v>1734</v>
      </c>
      <c r="E1033" t="s">
        <v>10</v>
      </c>
      <c r="F1033" t="s">
        <v>11</v>
      </c>
      <c r="G1033" t="s">
        <v>2918</v>
      </c>
      <c r="H1033" t="s">
        <v>2946</v>
      </c>
      <c r="I1033" t="s">
        <v>2895</v>
      </c>
      <c r="J1033" t="str">
        <f>IF(ISNUMBER(MATCH($D1033,'Lopettaneet 2013-&gt;'!$D:$D,0)),INDEX('Lopettaneet 2013-&gt;'!$K:$K,MATCH($D1033,'Lopettaneet 2013-&gt;'!$D:$D,0)),"Continues")</f>
        <v>Continues</v>
      </c>
      <c r="K1033">
        <f ca="1">IF($J1033="Continues",DATEDIF($B1033,TODAY(),"Y"),INDEX('Lopettaneet 2013-&gt;'!$L:$L,MATCH($D1033,'Lopettaneet 2013-&gt;'!$D:$D,0)))</f>
        <v>4</v>
      </c>
      <c r="L1033">
        <v>768</v>
      </c>
    </row>
    <row r="1034" spans="1:12" x14ac:dyDescent="0.25">
      <c r="A1034" t="s">
        <v>7</v>
      </c>
      <c r="B1034" s="1">
        <v>43800</v>
      </c>
      <c r="C1034" s="1">
        <v>55153</v>
      </c>
      <c r="D1034" s="4" t="s">
        <v>1736</v>
      </c>
      <c r="E1034" t="s">
        <v>10</v>
      </c>
      <c r="F1034" t="s">
        <v>11</v>
      </c>
      <c r="G1034" t="s">
        <v>2914</v>
      </c>
      <c r="H1034" t="s">
        <v>2955</v>
      </c>
      <c r="I1034" t="s">
        <v>2895</v>
      </c>
      <c r="J1034" t="str">
        <f>IF(ISNUMBER(MATCH($D1034,'Lopettaneet 2013-&gt;'!$D:$D,0)),INDEX('Lopettaneet 2013-&gt;'!$K:$K,MATCH($D1034,'Lopettaneet 2013-&gt;'!$D:$D,0)),"Continues")</f>
        <v>Continues</v>
      </c>
      <c r="K1034">
        <f ca="1">IF($J1034="Continues",DATEDIF($B1034,TODAY(),"Y"),INDEX('Lopettaneet 2013-&gt;'!$L:$L,MATCH($D1034,'Lopettaneet 2013-&gt;'!$D:$D,0)))</f>
        <v>5</v>
      </c>
      <c r="L1034">
        <v>769</v>
      </c>
    </row>
    <row r="1035" spans="1:12" x14ac:dyDescent="0.25">
      <c r="A1035" t="s">
        <v>7</v>
      </c>
      <c r="B1035" s="1">
        <v>43800</v>
      </c>
      <c r="C1035" s="1">
        <v>55153</v>
      </c>
      <c r="D1035" s="4" t="s">
        <v>1738</v>
      </c>
      <c r="E1035" t="s">
        <v>10</v>
      </c>
      <c r="F1035" t="s">
        <v>11</v>
      </c>
      <c r="G1035" t="s">
        <v>2914</v>
      </c>
      <c r="H1035" t="s">
        <v>3007</v>
      </c>
      <c r="I1035" t="s">
        <v>2894</v>
      </c>
      <c r="J1035" t="str">
        <f>IF(ISNUMBER(MATCH($D1035,'Lopettaneet 2013-&gt;'!$D:$D,0)),INDEX('Lopettaneet 2013-&gt;'!$K:$K,MATCH($D1035,'Lopettaneet 2013-&gt;'!$D:$D,0)),"Continues")</f>
        <v>Continues</v>
      </c>
      <c r="K1035">
        <f ca="1">IF($J1035="Continues",DATEDIF($B1035,TODAY(),"Y"),INDEX('Lopettaneet 2013-&gt;'!$L:$L,MATCH($D1035,'Lopettaneet 2013-&gt;'!$D:$D,0)))</f>
        <v>5</v>
      </c>
      <c r="L1035">
        <v>770</v>
      </c>
    </row>
    <row r="1036" spans="1:12" x14ac:dyDescent="0.25">
      <c r="A1036" t="s">
        <v>0</v>
      </c>
      <c r="B1036" s="1">
        <v>44105</v>
      </c>
      <c r="C1036" s="1">
        <v>55153</v>
      </c>
      <c r="D1036" s="4" t="s">
        <v>1740</v>
      </c>
      <c r="E1036" t="s">
        <v>10</v>
      </c>
      <c r="F1036" t="s">
        <v>11</v>
      </c>
      <c r="G1036" t="s">
        <v>2917</v>
      </c>
      <c r="H1036" t="s">
        <v>2766</v>
      </c>
      <c r="I1036" t="s">
        <v>2895</v>
      </c>
      <c r="J1036" t="str">
        <f>IF(ISNUMBER(MATCH($D1036,'Lopettaneet 2013-&gt;'!$D:$D,0)),INDEX('Lopettaneet 2013-&gt;'!$K:$K,MATCH($D1036,'Lopettaneet 2013-&gt;'!$D:$D,0)),"Continues")</f>
        <v>Continues</v>
      </c>
      <c r="K1036">
        <f ca="1">IF($J1036="Continues",DATEDIF($B1036,TODAY(),"Y"),INDEX('Lopettaneet 2013-&gt;'!$L:$L,MATCH($D1036,'Lopettaneet 2013-&gt;'!$D:$D,0)))</f>
        <v>4</v>
      </c>
      <c r="L1036">
        <v>771</v>
      </c>
    </row>
    <row r="1037" spans="1:12" x14ac:dyDescent="0.25">
      <c r="A1037" t="s">
        <v>0</v>
      </c>
      <c r="B1037" s="1">
        <v>43983</v>
      </c>
      <c r="C1037" s="1">
        <v>55153</v>
      </c>
      <c r="D1037" s="4" t="s">
        <v>1742</v>
      </c>
      <c r="E1037" t="s">
        <v>10</v>
      </c>
      <c r="F1037" t="s">
        <v>11</v>
      </c>
      <c r="G1037" t="s">
        <v>2917</v>
      </c>
      <c r="H1037" t="s">
        <v>2766</v>
      </c>
      <c r="I1037" t="s">
        <v>2895</v>
      </c>
      <c r="J1037" t="str">
        <f>IF(ISNUMBER(MATCH($D1037,'Lopettaneet 2013-&gt;'!$D:$D,0)),INDEX('Lopettaneet 2013-&gt;'!$K:$K,MATCH($D1037,'Lopettaneet 2013-&gt;'!$D:$D,0)),"Continues")</f>
        <v>Continues</v>
      </c>
      <c r="K1037">
        <f ca="1">IF($J1037="Continues",DATEDIF($B1037,TODAY(),"Y"),INDEX('Lopettaneet 2013-&gt;'!$L:$L,MATCH($D1037,'Lopettaneet 2013-&gt;'!$D:$D,0)))</f>
        <v>4</v>
      </c>
      <c r="L1037">
        <v>772</v>
      </c>
    </row>
    <row r="1038" spans="1:12" x14ac:dyDescent="0.25">
      <c r="A1038" t="s">
        <v>0</v>
      </c>
      <c r="B1038" s="1">
        <v>44166</v>
      </c>
      <c r="C1038" s="1">
        <v>55153</v>
      </c>
      <c r="D1038" s="4" t="s">
        <v>1744</v>
      </c>
      <c r="E1038" t="s">
        <v>10</v>
      </c>
      <c r="F1038" t="s">
        <v>11</v>
      </c>
      <c r="G1038" t="s">
        <v>2917</v>
      </c>
      <c r="H1038" t="s">
        <v>2766</v>
      </c>
      <c r="I1038" t="s">
        <v>2895</v>
      </c>
      <c r="J1038" t="str">
        <f>IF(ISNUMBER(MATCH($D1038,'Lopettaneet 2013-&gt;'!$D:$D,0)),INDEX('Lopettaneet 2013-&gt;'!$K:$K,MATCH($D1038,'Lopettaneet 2013-&gt;'!$D:$D,0)),"Continues")</f>
        <v>Continues</v>
      </c>
      <c r="K1038">
        <f ca="1">IF($J1038="Continues",DATEDIF($B1038,TODAY(),"Y"),INDEX('Lopettaneet 2013-&gt;'!$L:$L,MATCH($D1038,'Lopettaneet 2013-&gt;'!$D:$D,0)))</f>
        <v>4</v>
      </c>
      <c r="L1038">
        <v>773</v>
      </c>
    </row>
    <row r="1039" spans="1:12" x14ac:dyDescent="0.25">
      <c r="A1039" t="s">
        <v>7</v>
      </c>
      <c r="B1039" s="1">
        <v>44166</v>
      </c>
      <c r="C1039" s="1">
        <v>55153</v>
      </c>
      <c r="D1039" s="4" t="s">
        <v>1746</v>
      </c>
      <c r="E1039" t="s">
        <v>10</v>
      </c>
      <c r="F1039" t="s">
        <v>11</v>
      </c>
      <c r="G1039" t="s">
        <v>2912</v>
      </c>
      <c r="H1039" t="s">
        <v>2766</v>
      </c>
      <c r="I1039" t="s">
        <v>2895</v>
      </c>
      <c r="J1039" t="str">
        <f>IF(ISNUMBER(MATCH($D1039,'Lopettaneet 2013-&gt;'!$D:$D,0)),INDEX('Lopettaneet 2013-&gt;'!$K:$K,MATCH($D1039,'Lopettaneet 2013-&gt;'!$D:$D,0)),"Continues")</f>
        <v>Continues</v>
      </c>
      <c r="K1039">
        <f ca="1">IF($J1039="Continues",DATEDIF($B1039,TODAY(),"Y"),INDEX('Lopettaneet 2013-&gt;'!$L:$L,MATCH($D1039,'Lopettaneet 2013-&gt;'!$D:$D,0)))</f>
        <v>4</v>
      </c>
      <c r="L1039">
        <v>774</v>
      </c>
    </row>
    <row r="1040" spans="1:12" x14ac:dyDescent="0.25">
      <c r="A1040" t="s">
        <v>0</v>
      </c>
      <c r="B1040" s="1">
        <v>44105</v>
      </c>
      <c r="C1040" s="1">
        <v>55153</v>
      </c>
      <c r="D1040" s="4" t="s">
        <v>1748</v>
      </c>
      <c r="E1040" t="s">
        <v>10</v>
      </c>
      <c r="F1040" t="s">
        <v>4</v>
      </c>
      <c r="G1040" t="s">
        <v>2917</v>
      </c>
      <c r="H1040" t="s">
        <v>2842</v>
      </c>
      <c r="I1040" t="s">
        <v>2894</v>
      </c>
      <c r="J1040" t="str">
        <f>IF(ISNUMBER(MATCH($D1040,'Lopettaneet 2013-&gt;'!$D:$D,0)),INDEX('Lopettaneet 2013-&gt;'!$K:$K,MATCH($D1040,'Lopettaneet 2013-&gt;'!$D:$D,0)),"Continues")</f>
        <v>Continues</v>
      </c>
      <c r="K1040">
        <f ca="1">IF($J1040="Continues",DATEDIF($B1040,TODAY(),"Y"),INDEX('Lopettaneet 2013-&gt;'!$L:$L,MATCH($D1040,'Lopettaneet 2013-&gt;'!$D:$D,0)))</f>
        <v>4</v>
      </c>
      <c r="L1040">
        <v>775</v>
      </c>
    </row>
    <row r="1041" spans="1:12" x14ac:dyDescent="0.25">
      <c r="A1041" t="s">
        <v>7</v>
      </c>
      <c r="B1041" s="1">
        <v>43891</v>
      </c>
      <c r="C1041" s="1">
        <v>55153</v>
      </c>
      <c r="D1041" s="4" t="s">
        <v>1750</v>
      </c>
      <c r="E1041" t="s">
        <v>10</v>
      </c>
      <c r="F1041" t="s">
        <v>11</v>
      </c>
      <c r="G1041" t="s">
        <v>2918</v>
      </c>
      <c r="H1041" t="s">
        <v>2956</v>
      </c>
      <c r="I1041" t="s">
        <v>2895</v>
      </c>
      <c r="J1041" t="str">
        <f>IF(ISNUMBER(MATCH($D1041,'Lopettaneet 2013-&gt;'!$D:$D,0)),INDEX('Lopettaneet 2013-&gt;'!$K:$K,MATCH($D1041,'Lopettaneet 2013-&gt;'!$D:$D,0)),"Continues")</f>
        <v>Continues</v>
      </c>
      <c r="K1041">
        <f ca="1">IF($J1041="Continues",DATEDIF($B1041,TODAY(),"Y"),INDEX('Lopettaneet 2013-&gt;'!$L:$L,MATCH($D1041,'Lopettaneet 2013-&gt;'!$D:$D,0)))</f>
        <v>5</v>
      </c>
      <c r="L1041">
        <v>776</v>
      </c>
    </row>
    <row r="1042" spans="1:12" x14ac:dyDescent="0.25">
      <c r="A1042" t="s">
        <v>7</v>
      </c>
      <c r="B1042" s="1">
        <v>43891</v>
      </c>
      <c r="C1042" s="1">
        <v>55153</v>
      </c>
      <c r="D1042" s="4" t="s">
        <v>1752</v>
      </c>
      <c r="E1042" t="s">
        <v>10</v>
      </c>
      <c r="F1042" t="s">
        <v>11</v>
      </c>
      <c r="G1042" t="s">
        <v>2916</v>
      </c>
      <c r="H1042" t="s">
        <v>3014</v>
      </c>
      <c r="I1042" t="s">
        <v>2895</v>
      </c>
      <c r="J1042" t="str">
        <f>IF(ISNUMBER(MATCH($D1042,'Lopettaneet 2013-&gt;'!$D:$D,0)),INDEX('Lopettaneet 2013-&gt;'!$K:$K,MATCH($D1042,'Lopettaneet 2013-&gt;'!$D:$D,0)),"Continues")</f>
        <v>Continues</v>
      </c>
      <c r="K1042">
        <f ca="1">IF($J1042="Continues",DATEDIF($B1042,TODAY(),"Y"),INDEX('Lopettaneet 2013-&gt;'!$L:$L,MATCH($D1042,'Lopettaneet 2013-&gt;'!$D:$D,0)))</f>
        <v>5</v>
      </c>
      <c r="L1042">
        <v>777</v>
      </c>
    </row>
    <row r="1043" spans="1:12" x14ac:dyDescent="0.25">
      <c r="A1043" t="s">
        <v>7</v>
      </c>
      <c r="B1043" s="1">
        <v>43891</v>
      </c>
      <c r="C1043" s="1">
        <v>55153</v>
      </c>
      <c r="D1043" s="4" t="s">
        <v>1754</v>
      </c>
      <c r="E1043" t="s">
        <v>10</v>
      </c>
      <c r="F1043" t="s">
        <v>11</v>
      </c>
      <c r="G1043" t="s">
        <v>2914</v>
      </c>
      <c r="H1043" t="s">
        <v>2966</v>
      </c>
      <c r="I1043" t="s">
        <v>2895</v>
      </c>
      <c r="J1043" t="str">
        <f>IF(ISNUMBER(MATCH($D1043,'Lopettaneet 2013-&gt;'!$D:$D,0)),INDEX('Lopettaneet 2013-&gt;'!$K:$K,MATCH($D1043,'Lopettaneet 2013-&gt;'!$D:$D,0)),"Continues")</f>
        <v>Continues</v>
      </c>
      <c r="K1043">
        <f ca="1">IF($J1043="Continues",DATEDIF($B1043,TODAY(),"Y"),INDEX('Lopettaneet 2013-&gt;'!$L:$L,MATCH($D1043,'Lopettaneet 2013-&gt;'!$D:$D,0)))</f>
        <v>5</v>
      </c>
      <c r="L1043">
        <v>778</v>
      </c>
    </row>
    <row r="1044" spans="1:12" x14ac:dyDescent="0.25">
      <c r="A1044" t="s">
        <v>7</v>
      </c>
      <c r="B1044" s="1">
        <v>43983</v>
      </c>
      <c r="C1044" s="1">
        <v>55153</v>
      </c>
      <c r="D1044" s="4" t="s">
        <v>1756</v>
      </c>
      <c r="E1044" t="s">
        <v>10</v>
      </c>
      <c r="F1044" t="s">
        <v>11</v>
      </c>
      <c r="G1044" t="s">
        <v>2918</v>
      </c>
      <c r="H1044" t="s">
        <v>2966</v>
      </c>
      <c r="I1044" t="s">
        <v>2894</v>
      </c>
      <c r="J1044" t="str">
        <f>IF(ISNUMBER(MATCH($D1044,'Lopettaneet 2013-&gt;'!$D:$D,0)),INDEX('Lopettaneet 2013-&gt;'!$K:$K,MATCH($D1044,'Lopettaneet 2013-&gt;'!$D:$D,0)),"Continues")</f>
        <v>Continues</v>
      </c>
      <c r="K1044">
        <f ca="1">IF($J1044="Continues",DATEDIF($B1044,TODAY(),"Y"),INDEX('Lopettaneet 2013-&gt;'!$L:$L,MATCH($D1044,'Lopettaneet 2013-&gt;'!$D:$D,0)))</f>
        <v>4</v>
      </c>
      <c r="L1044">
        <v>779</v>
      </c>
    </row>
    <row r="1045" spans="1:12" x14ac:dyDescent="0.25">
      <c r="A1045" t="s">
        <v>7</v>
      </c>
      <c r="B1045" s="1">
        <v>43891</v>
      </c>
      <c r="C1045" s="1">
        <v>55153</v>
      </c>
      <c r="D1045" s="4" t="s">
        <v>1758</v>
      </c>
      <c r="E1045" t="s">
        <v>10</v>
      </c>
      <c r="F1045" t="s">
        <v>11</v>
      </c>
      <c r="G1045" t="s">
        <v>2912</v>
      </c>
      <c r="H1045" t="s">
        <v>2966</v>
      </c>
      <c r="I1045" t="s">
        <v>2895</v>
      </c>
      <c r="J1045" t="str">
        <f>IF(ISNUMBER(MATCH($D1045,'Lopettaneet 2013-&gt;'!$D:$D,0)),INDEX('Lopettaneet 2013-&gt;'!$K:$K,MATCH($D1045,'Lopettaneet 2013-&gt;'!$D:$D,0)),"Continues")</f>
        <v>Continues</v>
      </c>
      <c r="K1045">
        <f ca="1">IF($J1045="Continues",DATEDIF($B1045,TODAY(),"Y"),INDEX('Lopettaneet 2013-&gt;'!$L:$L,MATCH($D1045,'Lopettaneet 2013-&gt;'!$D:$D,0)))</f>
        <v>5</v>
      </c>
      <c r="L1045">
        <v>780</v>
      </c>
    </row>
    <row r="1046" spans="1:12" x14ac:dyDescent="0.25">
      <c r="A1046" t="s">
        <v>7</v>
      </c>
      <c r="B1046" s="1">
        <v>43983</v>
      </c>
      <c r="C1046" s="1">
        <v>55153</v>
      </c>
      <c r="D1046" s="4" t="s">
        <v>1760</v>
      </c>
      <c r="E1046" t="s">
        <v>10</v>
      </c>
      <c r="F1046" t="s">
        <v>11</v>
      </c>
      <c r="G1046" t="s">
        <v>2918</v>
      </c>
      <c r="H1046" t="s">
        <v>2966</v>
      </c>
      <c r="I1046" t="s">
        <v>2894</v>
      </c>
      <c r="J1046" t="str">
        <f>IF(ISNUMBER(MATCH($D1046,'Lopettaneet 2013-&gt;'!$D:$D,0)),INDEX('Lopettaneet 2013-&gt;'!$K:$K,MATCH($D1046,'Lopettaneet 2013-&gt;'!$D:$D,0)),"Continues")</f>
        <v>Continues</v>
      </c>
      <c r="K1046">
        <f ca="1">IF($J1046="Continues",DATEDIF($B1046,TODAY(),"Y"),INDEX('Lopettaneet 2013-&gt;'!$L:$L,MATCH($D1046,'Lopettaneet 2013-&gt;'!$D:$D,0)))</f>
        <v>4</v>
      </c>
      <c r="L1046">
        <v>781</v>
      </c>
    </row>
    <row r="1047" spans="1:12" x14ac:dyDescent="0.25">
      <c r="A1047" t="s">
        <v>7</v>
      </c>
      <c r="B1047" s="1">
        <v>43983</v>
      </c>
      <c r="C1047" s="1">
        <v>55153</v>
      </c>
      <c r="D1047" s="4" t="s">
        <v>1762</v>
      </c>
      <c r="E1047" t="s">
        <v>10</v>
      </c>
      <c r="F1047" t="s">
        <v>11</v>
      </c>
      <c r="G1047" t="s">
        <v>2912</v>
      </c>
      <c r="H1047" t="s">
        <v>2966</v>
      </c>
      <c r="I1047" t="s">
        <v>2894</v>
      </c>
      <c r="J1047" t="str">
        <f>IF(ISNUMBER(MATCH($D1047,'Lopettaneet 2013-&gt;'!$D:$D,0)),INDEX('Lopettaneet 2013-&gt;'!$K:$K,MATCH($D1047,'Lopettaneet 2013-&gt;'!$D:$D,0)),"Continues")</f>
        <v>Continues</v>
      </c>
      <c r="K1047">
        <f ca="1">IF($J1047="Continues",DATEDIF($B1047,TODAY(),"Y"),INDEX('Lopettaneet 2013-&gt;'!$L:$L,MATCH($D1047,'Lopettaneet 2013-&gt;'!$D:$D,0)))</f>
        <v>4</v>
      </c>
      <c r="L1047">
        <v>782</v>
      </c>
    </row>
    <row r="1048" spans="1:12" x14ac:dyDescent="0.25">
      <c r="A1048" t="s">
        <v>7</v>
      </c>
      <c r="B1048" s="1">
        <v>43891</v>
      </c>
      <c r="C1048" s="1">
        <v>55153</v>
      </c>
      <c r="D1048" s="4" t="s">
        <v>1764</v>
      </c>
      <c r="E1048" t="s">
        <v>10</v>
      </c>
      <c r="F1048" t="s">
        <v>11</v>
      </c>
      <c r="G1048" t="s">
        <v>2916</v>
      </c>
      <c r="H1048" t="s">
        <v>3011</v>
      </c>
      <c r="I1048" t="s">
        <v>2894</v>
      </c>
      <c r="J1048" t="str">
        <f>IF(ISNUMBER(MATCH($D1048,'Lopettaneet 2013-&gt;'!$D:$D,0)),INDEX('Lopettaneet 2013-&gt;'!$K:$K,MATCH($D1048,'Lopettaneet 2013-&gt;'!$D:$D,0)),"Continues")</f>
        <v>Continues</v>
      </c>
      <c r="K1048">
        <f ca="1">IF($J1048="Continues",DATEDIF($B1048,TODAY(),"Y"),INDEX('Lopettaneet 2013-&gt;'!$L:$L,MATCH($D1048,'Lopettaneet 2013-&gt;'!$D:$D,0)))</f>
        <v>5</v>
      </c>
      <c r="L1048">
        <v>783</v>
      </c>
    </row>
    <row r="1049" spans="1:12" x14ac:dyDescent="0.25">
      <c r="A1049" t="s">
        <v>7</v>
      </c>
      <c r="B1049" s="1">
        <v>43800</v>
      </c>
      <c r="C1049" s="1">
        <v>55153</v>
      </c>
      <c r="D1049" s="4" t="s">
        <v>1766</v>
      </c>
      <c r="E1049" t="s">
        <v>10</v>
      </c>
      <c r="F1049" t="s">
        <v>11</v>
      </c>
      <c r="G1049" t="s">
        <v>2914</v>
      </c>
      <c r="H1049" t="s">
        <v>3007</v>
      </c>
      <c r="I1049" t="s">
        <v>2894</v>
      </c>
      <c r="J1049" t="str">
        <f>IF(ISNUMBER(MATCH($D1049,'Lopettaneet 2013-&gt;'!$D:$D,0)),INDEX('Lopettaneet 2013-&gt;'!$K:$K,MATCH($D1049,'Lopettaneet 2013-&gt;'!$D:$D,0)),"Continues")</f>
        <v>Continues</v>
      </c>
      <c r="K1049">
        <f ca="1">IF($J1049="Continues",DATEDIF($B1049,TODAY(),"Y"),INDEX('Lopettaneet 2013-&gt;'!$L:$L,MATCH($D1049,'Lopettaneet 2013-&gt;'!$D:$D,0)))</f>
        <v>5</v>
      </c>
      <c r="L1049">
        <v>784</v>
      </c>
    </row>
    <row r="1050" spans="1:12" x14ac:dyDescent="0.25">
      <c r="A1050" t="s">
        <v>0</v>
      </c>
      <c r="B1050" s="1">
        <v>43922</v>
      </c>
      <c r="C1050" s="1">
        <v>55153</v>
      </c>
      <c r="D1050" s="4" t="s">
        <v>3212</v>
      </c>
      <c r="E1050" t="s">
        <v>10</v>
      </c>
      <c r="F1050" t="s">
        <v>4</v>
      </c>
      <c r="G1050" t="s">
        <v>2914</v>
      </c>
      <c r="H1050" t="s">
        <v>2777</v>
      </c>
      <c r="I1050" t="s">
        <v>2894</v>
      </c>
      <c r="J1050" t="str">
        <f>IF(ISNUMBER(MATCH($D1050,'Lopettaneet 2013-&gt;'!$D:$D,0)),INDEX('Lopettaneet 2013-&gt;'!$K:$K,MATCH($D1050,'Lopettaneet 2013-&gt;'!$D:$D,0)),"Continues")</f>
        <v>Continues</v>
      </c>
      <c r="K1050">
        <f ca="1">IF($J1050="Continues",DATEDIF($B1050,TODAY(),"Y"),INDEX('Lopettaneet 2013-&gt;'!$L:$L,MATCH($D1050,'Lopettaneet 2013-&gt;'!$D:$D,0)))</f>
        <v>5</v>
      </c>
      <c r="L1050">
        <v>785</v>
      </c>
    </row>
    <row r="1051" spans="1:12" x14ac:dyDescent="0.25">
      <c r="A1051" t="s">
        <v>0</v>
      </c>
      <c r="B1051" s="1">
        <v>43983</v>
      </c>
      <c r="C1051" s="1">
        <v>55153</v>
      </c>
      <c r="D1051" s="4" t="s">
        <v>1770</v>
      </c>
      <c r="E1051" t="s">
        <v>10</v>
      </c>
      <c r="F1051" t="s">
        <v>11</v>
      </c>
      <c r="G1051" t="s">
        <v>2917</v>
      </c>
      <c r="H1051" t="s">
        <v>2766</v>
      </c>
      <c r="I1051" t="s">
        <v>2895</v>
      </c>
      <c r="J1051" t="str">
        <f>IF(ISNUMBER(MATCH($D1051,'Lopettaneet 2013-&gt;'!$D:$D,0)),INDEX('Lopettaneet 2013-&gt;'!$K:$K,MATCH($D1051,'Lopettaneet 2013-&gt;'!$D:$D,0)),"Continues")</f>
        <v>Continues</v>
      </c>
      <c r="K1051">
        <f ca="1">IF($J1051="Continues",DATEDIF($B1051,TODAY(),"Y"),INDEX('Lopettaneet 2013-&gt;'!$L:$L,MATCH($D1051,'Lopettaneet 2013-&gt;'!$D:$D,0)))</f>
        <v>4</v>
      </c>
      <c r="L1051">
        <v>786</v>
      </c>
    </row>
    <row r="1052" spans="1:12" x14ac:dyDescent="0.25">
      <c r="A1052" t="s">
        <v>0</v>
      </c>
      <c r="B1052" s="1">
        <v>43800</v>
      </c>
      <c r="C1052" s="1">
        <v>55153</v>
      </c>
      <c r="D1052" s="4" t="s">
        <v>1772</v>
      </c>
      <c r="E1052" t="s">
        <v>3</v>
      </c>
      <c r="F1052" t="s">
        <v>4</v>
      </c>
      <c r="G1052" t="s">
        <v>2917</v>
      </c>
      <c r="H1052" t="s">
        <v>2842</v>
      </c>
      <c r="I1052" t="s">
        <v>2894</v>
      </c>
      <c r="J1052" t="str">
        <f>IF(ISNUMBER(MATCH($D1052,'Lopettaneet 2013-&gt;'!$D:$D,0)),INDEX('Lopettaneet 2013-&gt;'!$K:$K,MATCH($D1052,'Lopettaneet 2013-&gt;'!$D:$D,0)),"Continues")</f>
        <v>Continues</v>
      </c>
      <c r="K1052">
        <f ca="1">IF($J1052="Continues",DATEDIF($B1052,TODAY(),"Y"),INDEX('Lopettaneet 2013-&gt;'!$L:$L,MATCH($D1052,'Lopettaneet 2013-&gt;'!$D:$D,0)))</f>
        <v>5</v>
      </c>
      <c r="L1052">
        <v>787</v>
      </c>
    </row>
    <row r="1053" spans="1:12" x14ac:dyDescent="0.25">
      <c r="A1053" t="s">
        <v>7</v>
      </c>
      <c r="B1053" s="1">
        <v>43983</v>
      </c>
      <c r="C1053" s="1">
        <v>55153</v>
      </c>
      <c r="D1053" s="4" t="s">
        <v>1774</v>
      </c>
      <c r="E1053" t="s">
        <v>10</v>
      </c>
      <c r="F1053" t="s">
        <v>11</v>
      </c>
      <c r="G1053" t="s">
        <v>2914</v>
      </c>
      <c r="H1053" t="s">
        <v>2966</v>
      </c>
      <c r="I1053" t="s">
        <v>2895</v>
      </c>
      <c r="J1053" t="str">
        <f>IF(ISNUMBER(MATCH($D1053,'Lopettaneet 2013-&gt;'!$D:$D,0)),INDEX('Lopettaneet 2013-&gt;'!$K:$K,MATCH($D1053,'Lopettaneet 2013-&gt;'!$D:$D,0)),"Continues")</f>
        <v>Continues</v>
      </c>
      <c r="K1053">
        <f ca="1">IF($J1053="Continues",DATEDIF($B1053,TODAY(),"Y"),INDEX('Lopettaneet 2013-&gt;'!$L:$L,MATCH($D1053,'Lopettaneet 2013-&gt;'!$D:$D,0)))</f>
        <v>4</v>
      </c>
      <c r="L1053">
        <v>788</v>
      </c>
    </row>
    <row r="1054" spans="1:12" x14ac:dyDescent="0.25">
      <c r="A1054" t="s">
        <v>7</v>
      </c>
      <c r="B1054" s="1">
        <v>43800</v>
      </c>
      <c r="C1054" s="1">
        <v>55153</v>
      </c>
      <c r="D1054" s="4" t="s">
        <v>1776</v>
      </c>
      <c r="E1054" t="s">
        <v>10</v>
      </c>
      <c r="F1054" t="s">
        <v>11</v>
      </c>
      <c r="G1054" t="s">
        <v>2918</v>
      </c>
      <c r="H1054" t="s">
        <v>2975</v>
      </c>
      <c r="I1054" t="s">
        <v>2895</v>
      </c>
      <c r="J1054" t="str">
        <f>IF(ISNUMBER(MATCH($D1054,'Lopettaneet 2013-&gt;'!$D:$D,0)),INDEX('Lopettaneet 2013-&gt;'!$K:$K,MATCH($D1054,'Lopettaneet 2013-&gt;'!$D:$D,0)),"Continues")</f>
        <v>Closed</v>
      </c>
      <c r="K1054">
        <f ca="1">IF($J1054="Continues",DATEDIF($B1054,TODAY(),"Y"),INDEX('Lopettaneet 2013-&gt;'!$L:$L,MATCH($D1054,'Lopettaneet 2013-&gt;'!$D:$D,0)))</f>
        <v>4</v>
      </c>
      <c r="L1054">
        <v>789</v>
      </c>
    </row>
    <row r="1055" spans="1:12" x14ac:dyDescent="0.25">
      <c r="A1055" t="s">
        <v>7</v>
      </c>
      <c r="B1055" s="1">
        <v>43983</v>
      </c>
      <c r="C1055" s="1">
        <v>55153</v>
      </c>
      <c r="D1055" s="4" t="s">
        <v>1778</v>
      </c>
      <c r="E1055" t="s">
        <v>10</v>
      </c>
      <c r="F1055" t="s">
        <v>11</v>
      </c>
      <c r="G1055" t="s">
        <v>2918</v>
      </c>
      <c r="H1055" t="s">
        <v>2946</v>
      </c>
      <c r="I1055" t="s">
        <v>2894</v>
      </c>
      <c r="J1055" t="str">
        <f>IF(ISNUMBER(MATCH($D1055,'Lopettaneet 2013-&gt;'!$D:$D,0)),INDEX('Lopettaneet 2013-&gt;'!$K:$K,MATCH($D1055,'Lopettaneet 2013-&gt;'!$D:$D,0)),"Continues")</f>
        <v>Continues</v>
      </c>
      <c r="K1055">
        <f ca="1">IF($J1055="Continues",DATEDIF($B1055,TODAY(),"Y"),INDEX('Lopettaneet 2013-&gt;'!$L:$L,MATCH($D1055,'Lopettaneet 2013-&gt;'!$D:$D,0)))</f>
        <v>4</v>
      </c>
      <c r="L1055">
        <v>790</v>
      </c>
    </row>
    <row r="1056" spans="1:12" x14ac:dyDescent="0.25">
      <c r="A1056" t="s">
        <v>7</v>
      </c>
      <c r="B1056" s="1">
        <v>43983</v>
      </c>
      <c r="C1056" s="1">
        <v>55153</v>
      </c>
      <c r="D1056" s="4" t="s">
        <v>1780</v>
      </c>
      <c r="E1056" t="s">
        <v>10</v>
      </c>
      <c r="F1056" t="s">
        <v>11</v>
      </c>
      <c r="G1056" t="s">
        <v>2918</v>
      </c>
      <c r="H1056" t="s">
        <v>2946</v>
      </c>
      <c r="I1056" t="s">
        <v>2894</v>
      </c>
      <c r="J1056" t="str">
        <f>IF(ISNUMBER(MATCH($D1056,'Lopettaneet 2013-&gt;'!$D:$D,0)),INDEX('Lopettaneet 2013-&gt;'!$K:$K,MATCH($D1056,'Lopettaneet 2013-&gt;'!$D:$D,0)),"Continues")</f>
        <v>Continues</v>
      </c>
      <c r="K1056">
        <f ca="1">IF($J1056="Continues",DATEDIF($B1056,TODAY(),"Y"),INDEX('Lopettaneet 2013-&gt;'!$L:$L,MATCH($D1056,'Lopettaneet 2013-&gt;'!$D:$D,0)))</f>
        <v>4</v>
      </c>
      <c r="L1056">
        <v>791</v>
      </c>
    </row>
    <row r="1057" spans="1:12" x14ac:dyDescent="0.25">
      <c r="A1057" t="s">
        <v>0</v>
      </c>
      <c r="B1057" s="1">
        <v>43952</v>
      </c>
      <c r="C1057" s="1">
        <v>55153</v>
      </c>
      <c r="D1057" s="4" t="s">
        <v>1782</v>
      </c>
      <c r="E1057" t="s">
        <v>3</v>
      </c>
      <c r="F1057" t="s">
        <v>4</v>
      </c>
      <c r="G1057" t="s">
        <v>2913</v>
      </c>
      <c r="H1057" t="s">
        <v>2953</v>
      </c>
      <c r="I1057" t="s">
        <v>2894</v>
      </c>
      <c r="J1057" t="str">
        <f>IF(ISNUMBER(MATCH($D1057,'Lopettaneet 2013-&gt;'!$D:$D,0)),INDEX('Lopettaneet 2013-&gt;'!$K:$K,MATCH($D1057,'Lopettaneet 2013-&gt;'!$D:$D,0)),"Continues")</f>
        <v>Continues</v>
      </c>
      <c r="K1057">
        <f ca="1">IF($J1057="Continues",DATEDIF($B1057,TODAY(),"Y"),INDEX('Lopettaneet 2013-&gt;'!$L:$L,MATCH($D1057,'Lopettaneet 2013-&gt;'!$D:$D,0)))</f>
        <v>5</v>
      </c>
      <c r="L1057">
        <v>792</v>
      </c>
    </row>
    <row r="1058" spans="1:12" x14ac:dyDescent="0.25">
      <c r="A1058" t="s">
        <v>0</v>
      </c>
      <c r="B1058" s="1">
        <v>43952</v>
      </c>
      <c r="C1058" s="1">
        <v>55153</v>
      </c>
      <c r="D1058" s="4" t="s">
        <v>1784</v>
      </c>
      <c r="E1058" t="s">
        <v>3</v>
      </c>
      <c r="F1058" t="s">
        <v>4</v>
      </c>
      <c r="G1058" t="s">
        <v>2915</v>
      </c>
      <c r="H1058" t="s">
        <v>2953</v>
      </c>
      <c r="I1058" t="s">
        <v>2894</v>
      </c>
      <c r="J1058" t="str">
        <f>IF(ISNUMBER(MATCH($D1058,'Lopettaneet 2013-&gt;'!$D:$D,0)),INDEX('Lopettaneet 2013-&gt;'!$K:$K,MATCH($D1058,'Lopettaneet 2013-&gt;'!$D:$D,0)),"Continues")</f>
        <v>Continues</v>
      </c>
      <c r="K1058">
        <f ca="1">IF($J1058="Continues",DATEDIF($B1058,TODAY(),"Y"),INDEX('Lopettaneet 2013-&gt;'!$L:$L,MATCH($D1058,'Lopettaneet 2013-&gt;'!$D:$D,0)))</f>
        <v>5</v>
      </c>
      <c r="L1058">
        <v>793</v>
      </c>
    </row>
    <row r="1059" spans="1:12" x14ac:dyDescent="0.25">
      <c r="A1059" t="s">
        <v>0</v>
      </c>
      <c r="B1059" s="1">
        <v>43952</v>
      </c>
      <c r="C1059" s="1">
        <v>55153</v>
      </c>
      <c r="D1059" s="4" t="s">
        <v>1786</v>
      </c>
      <c r="E1059" t="s">
        <v>3</v>
      </c>
      <c r="F1059" t="s">
        <v>4</v>
      </c>
      <c r="G1059" t="s">
        <v>2917</v>
      </c>
      <c r="H1059" t="s">
        <v>2953</v>
      </c>
      <c r="I1059" t="s">
        <v>2894</v>
      </c>
      <c r="J1059" t="str">
        <f>IF(ISNUMBER(MATCH($D1059,'Lopettaneet 2013-&gt;'!$D:$D,0)),INDEX('Lopettaneet 2013-&gt;'!$K:$K,MATCH($D1059,'Lopettaneet 2013-&gt;'!$D:$D,0)),"Continues")</f>
        <v>Continues</v>
      </c>
      <c r="K1059">
        <f ca="1">IF($J1059="Continues",DATEDIF($B1059,TODAY(),"Y"),INDEX('Lopettaneet 2013-&gt;'!$L:$L,MATCH($D1059,'Lopettaneet 2013-&gt;'!$D:$D,0)))</f>
        <v>5</v>
      </c>
      <c r="L1059">
        <v>794</v>
      </c>
    </row>
    <row r="1060" spans="1:12" x14ac:dyDescent="0.25">
      <c r="A1060" t="s">
        <v>0</v>
      </c>
      <c r="B1060" s="1">
        <v>43891</v>
      </c>
      <c r="C1060" s="1">
        <v>55153</v>
      </c>
      <c r="D1060" s="4" t="s">
        <v>1788</v>
      </c>
      <c r="E1060" t="s">
        <v>10</v>
      </c>
      <c r="F1060" t="s">
        <v>4</v>
      </c>
      <c r="G1060" t="s">
        <v>2917</v>
      </c>
      <c r="H1060" t="s">
        <v>2956</v>
      </c>
      <c r="I1060" t="s">
        <v>2894</v>
      </c>
      <c r="J1060" t="str">
        <f>IF(ISNUMBER(MATCH($D1060,'Lopettaneet 2013-&gt;'!$D:$D,0)),INDEX('Lopettaneet 2013-&gt;'!$K:$K,MATCH($D1060,'Lopettaneet 2013-&gt;'!$D:$D,0)),"Continues")</f>
        <v>Continues</v>
      </c>
      <c r="K1060">
        <f ca="1">IF($J1060="Continues",DATEDIF($B1060,TODAY(),"Y"),INDEX('Lopettaneet 2013-&gt;'!$L:$L,MATCH($D1060,'Lopettaneet 2013-&gt;'!$D:$D,0)))</f>
        <v>5</v>
      </c>
      <c r="L1060">
        <v>795</v>
      </c>
    </row>
    <row r="1061" spans="1:12" x14ac:dyDescent="0.25">
      <c r="A1061" t="s">
        <v>0</v>
      </c>
      <c r="B1061" s="1">
        <v>43862</v>
      </c>
      <c r="C1061" s="1">
        <v>44012</v>
      </c>
      <c r="D1061" s="4" t="s">
        <v>1790</v>
      </c>
      <c r="E1061" t="s">
        <v>3</v>
      </c>
      <c r="F1061" t="s">
        <v>4</v>
      </c>
      <c r="G1061" t="s">
        <v>2917</v>
      </c>
      <c r="H1061" t="s">
        <v>2935</v>
      </c>
      <c r="I1061" t="s">
        <v>2909</v>
      </c>
      <c r="J1061" t="str">
        <f>IF(ISNUMBER(MATCH($D1061,'Lopettaneet 2013-&gt;'!$D:$D,0)),INDEX('Lopettaneet 2013-&gt;'!$K:$K,MATCH($D1061,'Lopettaneet 2013-&gt;'!$D:$D,0)),"Continues")</f>
        <v>Closed</v>
      </c>
      <c r="K1061">
        <f ca="1">IF($J1061="Continues",DATEDIF($B1061,TODAY(),"Y"),INDEX('Lopettaneet 2013-&gt;'!$L:$L,MATCH($D1061,'Lopettaneet 2013-&gt;'!$D:$D,0)))</f>
        <v>0</v>
      </c>
      <c r="L1061">
        <v>796</v>
      </c>
    </row>
    <row r="1062" spans="1:12" x14ac:dyDescent="0.25">
      <c r="A1062" t="s">
        <v>7</v>
      </c>
      <c r="B1062" s="1">
        <v>43983</v>
      </c>
      <c r="C1062" s="1">
        <v>55153</v>
      </c>
      <c r="D1062" s="4" t="s">
        <v>1792</v>
      </c>
      <c r="E1062" t="s">
        <v>10</v>
      </c>
      <c r="F1062" t="s">
        <v>11</v>
      </c>
      <c r="G1062" t="s">
        <v>2914</v>
      </c>
      <c r="H1062" t="s">
        <v>2982</v>
      </c>
      <c r="I1062" t="s">
        <v>2895</v>
      </c>
      <c r="J1062" t="str">
        <f>IF(ISNUMBER(MATCH($D1062,'Lopettaneet 2013-&gt;'!$D:$D,0)),INDEX('Lopettaneet 2013-&gt;'!$K:$K,MATCH($D1062,'Lopettaneet 2013-&gt;'!$D:$D,0)),"Continues")</f>
        <v>Continues</v>
      </c>
      <c r="K1062">
        <f ca="1">IF($J1062="Continues",DATEDIF($B1062,TODAY(),"Y"),INDEX('Lopettaneet 2013-&gt;'!$L:$L,MATCH($D1062,'Lopettaneet 2013-&gt;'!$D:$D,0)))</f>
        <v>4</v>
      </c>
      <c r="L1062">
        <v>797</v>
      </c>
    </row>
    <row r="1063" spans="1:12" x14ac:dyDescent="0.25">
      <c r="A1063" t="s">
        <v>7</v>
      </c>
      <c r="B1063" s="1">
        <v>43983</v>
      </c>
      <c r="C1063" s="1">
        <v>55153</v>
      </c>
      <c r="D1063" s="4" t="s">
        <v>1794</v>
      </c>
      <c r="E1063" t="s">
        <v>10</v>
      </c>
      <c r="F1063" t="s">
        <v>11</v>
      </c>
      <c r="G1063" t="s">
        <v>2914</v>
      </c>
      <c r="H1063" t="s">
        <v>2982</v>
      </c>
      <c r="I1063" t="s">
        <v>2895</v>
      </c>
      <c r="J1063" t="str">
        <f>IF(ISNUMBER(MATCH($D1063,'Lopettaneet 2013-&gt;'!$D:$D,0)),INDEX('Lopettaneet 2013-&gt;'!$K:$K,MATCH($D1063,'Lopettaneet 2013-&gt;'!$D:$D,0)),"Continues")</f>
        <v>Continues</v>
      </c>
      <c r="K1063">
        <f ca="1">IF($J1063="Continues",DATEDIF($B1063,TODAY(),"Y"),INDEX('Lopettaneet 2013-&gt;'!$L:$L,MATCH($D1063,'Lopettaneet 2013-&gt;'!$D:$D,0)))</f>
        <v>4</v>
      </c>
      <c r="L1063">
        <v>798</v>
      </c>
    </row>
    <row r="1064" spans="1:12" x14ac:dyDescent="0.25">
      <c r="A1064" t="s">
        <v>7</v>
      </c>
      <c r="B1064" s="1">
        <v>44166</v>
      </c>
      <c r="C1064" s="1">
        <v>55153</v>
      </c>
      <c r="D1064" s="4" t="s">
        <v>1796</v>
      </c>
      <c r="E1064" t="s">
        <v>10</v>
      </c>
      <c r="F1064" t="s">
        <v>11</v>
      </c>
      <c r="G1064" t="s">
        <v>2918</v>
      </c>
      <c r="H1064" t="s">
        <v>2999</v>
      </c>
      <c r="I1064" t="s">
        <v>2895</v>
      </c>
      <c r="J1064" t="str">
        <f>IF(ISNUMBER(MATCH($D1064,'Lopettaneet 2013-&gt;'!$D:$D,0)),INDEX('Lopettaneet 2013-&gt;'!$K:$K,MATCH($D1064,'Lopettaneet 2013-&gt;'!$D:$D,0)),"Continues")</f>
        <v>Continues</v>
      </c>
      <c r="K1064">
        <f ca="1">IF($J1064="Continues",DATEDIF($B1064,TODAY(),"Y"),INDEX('Lopettaneet 2013-&gt;'!$L:$L,MATCH($D1064,'Lopettaneet 2013-&gt;'!$D:$D,0)))</f>
        <v>4</v>
      </c>
      <c r="L1064">
        <v>799</v>
      </c>
    </row>
    <row r="1065" spans="1:12" x14ac:dyDescent="0.25">
      <c r="A1065" t="s">
        <v>7</v>
      </c>
      <c r="B1065" s="1">
        <v>44166</v>
      </c>
      <c r="C1065" s="1">
        <v>55153</v>
      </c>
      <c r="D1065" s="4" t="s">
        <v>1798</v>
      </c>
      <c r="E1065" t="s">
        <v>10</v>
      </c>
      <c r="F1065" t="s">
        <v>11</v>
      </c>
      <c r="G1065" t="s">
        <v>2918</v>
      </c>
      <c r="H1065" t="s">
        <v>2999</v>
      </c>
      <c r="I1065" t="s">
        <v>2895</v>
      </c>
      <c r="J1065" t="str">
        <f>IF(ISNUMBER(MATCH($D1065,'Lopettaneet 2013-&gt;'!$D:$D,0)),INDEX('Lopettaneet 2013-&gt;'!$K:$K,MATCH($D1065,'Lopettaneet 2013-&gt;'!$D:$D,0)),"Continues")</f>
        <v>Continues</v>
      </c>
      <c r="K1065">
        <f ca="1">IF($J1065="Continues",DATEDIF($B1065,TODAY(),"Y"),INDEX('Lopettaneet 2013-&gt;'!$L:$L,MATCH($D1065,'Lopettaneet 2013-&gt;'!$D:$D,0)))</f>
        <v>4</v>
      </c>
      <c r="L1065">
        <v>800</v>
      </c>
    </row>
    <row r="1066" spans="1:12" x14ac:dyDescent="0.25">
      <c r="A1066" t="s">
        <v>7</v>
      </c>
      <c r="B1066" s="1">
        <v>44348</v>
      </c>
      <c r="C1066" s="1">
        <v>55153</v>
      </c>
      <c r="D1066" s="4" t="s">
        <v>1800</v>
      </c>
      <c r="E1066" t="s">
        <v>10</v>
      </c>
      <c r="F1066" t="s">
        <v>11</v>
      </c>
      <c r="G1066" t="s">
        <v>2918</v>
      </c>
      <c r="H1066" t="s">
        <v>2950</v>
      </c>
      <c r="I1066" t="s">
        <v>2894</v>
      </c>
      <c r="J1066" t="str">
        <f>IF(ISNUMBER(MATCH($D1066,'Lopettaneet 2013-&gt;'!$D:$D,0)),INDEX('Lopettaneet 2013-&gt;'!$K:$K,MATCH($D1066,'Lopettaneet 2013-&gt;'!$D:$D,0)),"Continues")</f>
        <v>Continues</v>
      </c>
      <c r="K1066">
        <f ca="1">IF($J1066="Continues",DATEDIF($B1066,TODAY(),"Y"),INDEX('Lopettaneet 2013-&gt;'!$L:$L,MATCH($D1066,'Lopettaneet 2013-&gt;'!$D:$D,0)))</f>
        <v>3</v>
      </c>
      <c r="L1066">
        <v>801</v>
      </c>
    </row>
    <row r="1067" spans="1:12" x14ac:dyDescent="0.25">
      <c r="A1067" t="s">
        <v>7</v>
      </c>
      <c r="B1067" s="1">
        <v>44166</v>
      </c>
      <c r="C1067" s="1">
        <v>55153</v>
      </c>
      <c r="D1067" s="4" t="s">
        <v>1802</v>
      </c>
      <c r="E1067" t="s">
        <v>10</v>
      </c>
      <c r="F1067" t="s">
        <v>11</v>
      </c>
      <c r="G1067" t="s">
        <v>2912</v>
      </c>
      <c r="H1067" t="s">
        <v>2953</v>
      </c>
      <c r="I1067" t="s">
        <v>2894</v>
      </c>
      <c r="J1067" t="str">
        <f>IF(ISNUMBER(MATCH($D1067,'Lopettaneet 2013-&gt;'!$D:$D,0)),INDEX('Lopettaneet 2013-&gt;'!$K:$K,MATCH($D1067,'Lopettaneet 2013-&gt;'!$D:$D,0)),"Continues")</f>
        <v>Continues</v>
      </c>
      <c r="K1067">
        <f ca="1">IF($J1067="Continues",DATEDIF($B1067,TODAY(),"Y"),INDEX('Lopettaneet 2013-&gt;'!$L:$L,MATCH($D1067,'Lopettaneet 2013-&gt;'!$D:$D,0)))</f>
        <v>4</v>
      </c>
      <c r="L1067">
        <v>802</v>
      </c>
    </row>
    <row r="1068" spans="1:12" x14ac:dyDescent="0.25">
      <c r="A1068" t="s">
        <v>7</v>
      </c>
      <c r="B1068" s="1">
        <v>43983</v>
      </c>
      <c r="C1068" s="1">
        <v>55153</v>
      </c>
      <c r="D1068" s="4" t="s">
        <v>1804</v>
      </c>
      <c r="E1068" t="s">
        <v>10</v>
      </c>
      <c r="F1068" t="s">
        <v>11</v>
      </c>
      <c r="G1068" t="s">
        <v>2914</v>
      </c>
      <c r="H1068" t="s">
        <v>2950</v>
      </c>
      <c r="I1068" t="s">
        <v>2895</v>
      </c>
      <c r="J1068" t="str">
        <f>IF(ISNUMBER(MATCH($D1068,'Lopettaneet 2013-&gt;'!$D:$D,0)),INDEX('Lopettaneet 2013-&gt;'!$K:$K,MATCH($D1068,'Lopettaneet 2013-&gt;'!$D:$D,0)),"Continues")</f>
        <v>Continues</v>
      </c>
      <c r="K1068">
        <f ca="1">IF($J1068="Continues",DATEDIF($B1068,TODAY(),"Y"),INDEX('Lopettaneet 2013-&gt;'!$L:$L,MATCH($D1068,'Lopettaneet 2013-&gt;'!$D:$D,0)))</f>
        <v>4</v>
      </c>
      <c r="L1068">
        <v>803</v>
      </c>
    </row>
    <row r="1069" spans="1:12" x14ac:dyDescent="0.25">
      <c r="A1069" t="s">
        <v>7</v>
      </c>
      <c r="B1069" s="1">
        <v>44166</v>
      </c>
      <c r="C1069" s="1">
        <v>55153</v>
      </c>
      <c r="D1069" s="4" t="s">
        <v>1806</v>
      </c>
      <c r="E1069" t="s">
        <v>10</v>
      </c>
      <c r="F1069" t="s">
        <v>11</v>
      </c>
      <c r="G1069" t="s">
        <v>2916</v>
      </c>
      <c r="H1069" t="s">
        <v>3066</v>
      </c>
      <c r="I1069" t="s">
        <v>2894</v>
      </c>
      <c r="J1069" t="str">
        <f>IF(ISNUMBER(MATCH($D1069,'Lopettaneet 2013-&gt;'!$D:$D,0)),INDEX('Lopettaneet 2013-&gt;'!$K:$K,MATCH($D1069,'Lopettaneet 2013-&gt;'!$D:$D,0)),"Continues")</f>
        <v>Continues</v>
      </c>
      <c r="K1069">
        <f ca="1">IF($J1069="Continues",DATEDIF($B1069,TODAY(),"Y"),INDEX('Lopettaneet 2013-&gt;'!$L:$L,MATCH($D1069,'Lopettaneet 2013-&gt;'!$D:$D,0)))</f>
        <v>4</v>
      </c>
      <c r="L1069">
        <v>804</v>
      </c>
    </row>
    <row r="1070" spans="1:12" x14ac:dyDescent="0.25">
      <c r="A1070" t="s">
        <v>7</v>
      </c>
      <c r="B1070" s="1">
        <v>44075</v>
      </c>
      <c r="C1070" s="1">
        <v>55153</v>
      </c>
      <c r="D1070" s="4" t="s">
        <v>1808</v>
      </c>
      <c r="E1070" t="s">
        <v>10</v>
      </c>
      <c r="F1070" t="s">
        <v>11</v>
      </c>
      <c r="G1070" t="s">
        <v>2916</v>
      </c>
      <c r="H1070" t="s">
        <v>2868</v>
      </c>
      <c r="I1070" t="s">
        <v>2894</v>
      </c>
      <c r="J1070" t="str">
        <f>IF(ISNUMBER(MATCH($D1070,'Lopettaneet 2013-&gt;'!$D:$D,0)),INDEX('Lopettaneet 2013-&gt;'!$K:$K,MATCH($D1070,'Lopettaneet 2013-&gt;'!$D:$D,0)),"Continues")</f>
        <v>Continues</v>
      </c>
      <c r="K1070">
        <f ca="1">IF($J1070="Continues",DATEDIF($B1070,TODAY(),"Y"),INDEX('Lopettaneet 2013-&gt;'!$L:$L,MATCH($D1070,'Lopettaneet 2013-&gt;'!$D:$D,0)))</f>
        <v>4</v>
      </c>
      <c r="L1070">
        <v>805</v>
      </c>
    </row>
    <row r="1071" spans="1:12" x14ac:dyDescent="0.25">
      <c r="A1071" t="s">
        <v>7</v>
      </c>
      <c r="B1071" s="1">
        <v>43983</v>
      </c>
      <c r="C1071" s="1">
        <v>55153</v>
      </c>
      <c r="D1071" s="4" t="s">
        <v>1810</v>
      </c>
      <c r="E1071" t="s">
        <v>10</v>
      </c>
      <c r="F1071" t="s">
        <v>11</v>
      </c>
      <c r="G1071" t="s">
        <v>2912</v>
      </c>
      <c r="H1071" t="s">
        <v>2946</v>
      </c>
      <c r="I1071" t="s">
        <v>2894</v>
      </c>
      <c r="J1071" t="str">
        <f>IF(ISNUMBER(MATCH($D1071,'Lopettaneet 2013-&gt;'!$D:$D,0)),INDEX('Lopettaneet 2013-&gt;'!$K:$K,MATCH($D1071,'Lopettaneet 2013-&gt;'!$D:$D,0)),"Continues")</f>
        <v>Continues</v>
      </c>
      <c r="K1071">
        <f ca="1">IF($J1071="Continues",DATEDIF($B1071,TODAY(),"Y"),INDEX('Lopettaneet 2013-&gt;'!$L:$L,MATCH($D1071,'Lopettaneet 2013-&gt;'!$D:$D,0)))</f>
        <v>4</v>
      </c>
      <c r="L1071">
        <v>806</v>
      </c>
    </row>
    <row r="1072" spans="1:12" x14ac:dyDescent="0.25">
      <c r="A1072" t="s">
        <v>7</v>
      </c>
      <c r="B1072" s="1">
        <v>44075</v>
      </c>
      <c r="C1072" s="1">
        <v>45107</v>
      </c>
      <c r="D1072" s="4" t="s">
        <v>51</v>
      </c>
      <c r="E1072" t="s">
        <v>10</v>
      </c>
      <c r="F1072" t="s">
        <v>11</v>
      </c>
      <c r="G1072" t="s">
        <v>2914</v>
      </c>
      <c r="H1072" t="s">
        <v>2961</v>
      </c>
      <c r="I1072" t="s">
        <v>2909</v>
      </c>
      <c r="J1072" t="str">
        <f>IF(ISNUMBER(MATCH($D1072,'Lopettaneet 2013-&gt;'!$D:$D,0)),INDEX('Lopettaneet 2013-&gt;'!$K:$K,MATCH($D1072,'Lopettaneet 2013-&gt;'!$D:$D,0)),"Continues")</f>
        <v>Closed</v>
      </c>
      <c r="K1072">
        <f ca="1">IF($J1072="Continues",DATEDIF($B1072,TODAY(),"Y"),INDEX('Lopettaneet 2013-&gt;'!$L:$L,MATCH($D1072,'Lopettaneet 2013-&gt;'!$D:$D,0)))</f>
        <v>2</v>
      </c>
      <c r="L1072">
        <v>807</v>
      </c>
    </row>
    <row r="1073" spans="1:12" x14ac:dyDescent="0.25">
      <c r="A1073" t="s">
        <v>0</v>
      </c>
      <c r="B1073" s="1">
        <v>43952</v>
      </c>
      <c r="C1073" s="1">
        <v>55153</v>
      </c>
      <c r="D1073" s="4" t="s">
        <v>1812</v>
      </c>
      <c r="E1073" t="s">
        <v>10</v>
      </c>
      <c r="F1073" t="s">
        <v>4</v>
      </c>
      <c r="G1073" t="s">
        <v>2918</v>
      </c>
      <c r="H1073" t="s">
        <v>2979</v>
      </c>
      <c r="I1073" t="s">
        <v>2894</v>
      </c>
      <c r="J1073" t="str">
        <f>IF(ISNUMBER(MATCH($D1073,'Lopettaneet 2013-&gt;'!$D:$D,0)),INDEX('Lopettaneet 2013-&gt;'!$K:$K,MATCH($D1073,'Lopettaneet 2013-&gt;'!$D:$D,0)),"Continues")</f>
        <v>Continues</v>
      </c>
      <c r="K1073">
        <f ca="1">IF($J1073="Continues",DATEDIF($B1073,TODAY(),"Y"),INDEX('Lopettaneet 2013-&gt;'!$L:$L,MATCH($D1073,'Lopettaneet 2013-&gt;'!$D:$D,0)))</f>
        <v>5</v>
      </c>
      <c r="L1073">
        <v>808</v>
      </c>
    </row>
    <row r="1074" spans="1:12" x14ac:dyDescent="0.25">
      <c r="A1074" t="s">
        <v>0</v>
      </c>
      <c r="B1074" s="1">
        <v>43952</v>
      </c>
      <c r="C1074" s="1">
        <v>55153</v>
      </c>
      <c r="D1074" s="4" t="s">
        <v>1814</v>
      </c>
      <c r="E1074" t="s">
        <v>3</v>
      </c>
      <c r="F1074" t="s">
        <v>4</v>
      </c>
      <c r="G1074" t="s">
        <v>2917</v>
      </c>
      <c r="H1074" t="s">
        <v>2975</v>
      </c>
      <c r="I1074" t="s">
        <v>2894</v>
      </c>
      <c r="J1074" t="str">
        <f>IF(ISNUMBER(MATCH($D1074,'Lopettaneet 2013-&gt;'!$D:$D,0)),INDEX('Lopettaneet 2013-&gt;'!$K:$K,MATCH($D1074,'Lopettaneet 2013-&gt;'!$D:$D,0)),"Continues")</f>
        <v>Continues</v>
      </c>
      <c r="K1074">
        <f ca="1">IF($J1074="Continues",DATEDIF($B1074,TODAY(),"Y"),INDEX('Lopettaneet 2013-&gt;'!$L:$L,MATCH($D1074,'Lopettaneet 2013-&gt;'!$D:$D,0)))</f>
        <v>5</v>
      </c>
      <c r="L1074">
        <v>809</v>
      </c>
    </row>
    <row r="1075" spans="1:12" x14ac:dyDescent="0.25">
      <c r="A1075" t="s">
        <v>7</v>
      </c>
      <c r="B1075" s="1">
        <v>43983</v>
      </c>
      <c r="C1075" s="1">
        <v>55153</v>
      </c>
      <c r="D1075" s="4" t="s">
        <v>1816</v>
      </c>
      <c r="E1075" t="s">
        <v>10</v>
      </c>
      <c r="F1075" t="s">
        <v>11</v>
      </c>
      <c r="G1075" t="s">
        <v>2912</v>
      </c>
      <c r="H1075" t="s">
        <v>2954</v>
      </c>
      <c r="I1075" t="s">
        <v>2894</v>
      </c>
      <c r="J1075" t="str">
        <f>IF(ISNUMBER(MATCH($D1075,'Lopettaneet 2013-&gt;'!$D:$D,0)),INDEX('Lopettaneet 2013-&gt;'!$K:$K,MATCH($D1075,'Lopettaneet 2013-&gt;'!$D:$D,0)),"Continues")</f>
        <v>Continues</v>
      </c>
      <c r="K1075">
        <f ca="1">IF($J1075="Continues",DATEDIF($B1075,TODAY(),"Y"),INDEX('Lopettaneet 2013-&gt;'!$L:$L,MATCH($D1075,'Lopettaneet 2013-&gt;'!$D:$D,0)))</f>
        <v>4</v>
      </c>
      <c r="L1075">
        <v>810</v>
      </c>
    </row>
    <row r="1076" spans="1:12" x14ac:dyDescent="0.25">
      <c r="A1076" t="s">
        <v>7</v>
      </c>
      <c r="B1076" s="1">
        <v>44256</v>
      </c>
      <c r="C1076" s="1">
        <v>55153</v>
      </c>
      <c r="D1076" s="4" t="s">
        <v>1818</v>
      </c>
      <c r="E1076" t="s">
        <v>10</v>
      </c>
      <c r="F1076" t="s">
        <v>11</v>
      </c>
      <c r="G1076" t="s">
        <v>2912</v>
      </c>
      <c r="H1076" t="s">
        <v>3012</v>
      </c>
      <c r="I1076" t="s">
        <v>2895</v>
      </c>
      <c r="J1076" t="str">
        <f>IF(ISNUMBER(MATCH($D1076,'Lopettaneet 2013-&gt;'!$D:$D,0)),INDEX('Lopettaneet 2013-&gt;'!$K:$K,MATCH($D1076,'Lopettaneet 2013-&gt;'!$D:$D,0)),"Continues")</f>
        <v>Continues</v>
      </c>
      <c r="K1076">
        <f ca="1">IF($J1076="Continues",DATEDIF($B1076,TODAY(),"Y"),INDEX('Lopettaneet 2013-&gt;'!$L:$L,MATCH($D1076,'Lopettaneet 2013-&gt;'!$D:$D,0)))</f>
        <v>4</v>
      </c>
      <c r="L1076">
        <v>811</v>
      </c>
    </row>
    <row r="1077" spans="1:12" x14ac:dyDescent="0.25">
      <c r="A1077" t="s">
        <v>7</v>
      </c>
      <c r="B1077" s="1">
        <v>44256</v>
      </c>
      <c r="C1077" s="1">
        <v>55153</v>
      </c>
      <c r="D1077" s="4" t="s">
        <v>1820</v>
      </c>
      <c r="E1077" t="s">
        <v>10</v>
      </c>
      <c r="F1077" t="s">
        <v>11</v>
      </c>
      <c r="G1077" t="s">
        <v>2916</v>
      </c>
      <c r="H1077" t="s">
        <v>3004</v>
      </c>
      <c r="I1077" t="s">
        <v>2894</v>
      </c>
      <c r="J1077" t="str">
        <f>IF(ISNUMBER(MATCH($D1077,'Lopettaneet 2013-&gt;'!$D:$D,0)),INDEX('Lopettaneet 2013-&gt;'!$K:$K,MATCH($D1077,'Lopettaneet 2013-&gt;'!$D:$D,0)),"Continues")</f>
        <v>Continues</v>
      </c>
      <c r="K1077">
        <f ca="1">IF($J1077="Continues",DATEDIF($B1077,TODAY(),"Y"),INDEX('Lopettaneet 2013-&gt;'!$L:$L,MATCH($D1077,'Lopettaneet 2013-&gt;'!$D:$D,0)))</f>
        <v>4</v>
      </c>
      <c r="L1077">
        <v>812</v>
      </c>
    </row>
    <row r="1078" spans="1:12" x14ac:dyDescent="0.25">
      <c r="A1078" t="s">
        <v>0</v>
      </c>
      <c r="B1078" s="1">
        <v>44105</v>
      </c>
      <c r="C1078" s="1">
        <v>55153</v>
      </c>
      <c r="D1078" s="4" t="s">
        <v>1822</v>
      </c>
      <c r="E1078" t="s">
        <v>10</v>
      </c>
      <c r="F1078" t="s">
        <v>11</v>
      </c>
      <c r="G1078" t="s">
        <v>2917</v>
      </c>
      <c r="H1078" t="s">
        <v>2766</v>
      </c>
      <c r="I1078" t="s">
        <v>2895</v>
      </c>
      <c r="J1078" t="str">
        <f>IF(ISNUMBER(MATCH($D1078,'Lopettaneet 2013-&gt;'!$D:$D,0)),INDEX('Lopettaneet 2013-&gt;'!$K:$K,MATCH($D1078,'Lopettaneet 2013-&gt;'!$D:$D,0)),"Continues")</f>
        <v>Continues</v>
      </c>
      <c r="K1078">
        <f ca="1">IF($J1078="Continues",DATEDIF($B1078,TODAY(),"Y"),INDEX('Lopettaneet 2013-&gt;'!$L:$L,MATCH($D1078,'Lopettaneet 2013-&gt;'!$D:$D,0)))</f>
        <v>4</v>
      </c>
      <c r="L1078">
        <v>813</v>
      </c>
    </row>
    <row r="1079" spans="1:12" x14ac:dyDescent="0.25">
      <c r="A1079" t="s">
        <v>0</v>
      </c>
      <c r="B1079" s="1">
        <v>44105</v>
      </c>
      <c r="C1079" s="1">
        <v>55153</v>
      </c>
      <c r="D1079" s="4" t="s">
        <v>1824</v>
      </c>
      <c r="E1079" t="s">
        <v>10</v>
      </c>
      <c r="F1079" t="s">
        <v>11</v>
      </c>
      <c r="G1079" t="s">
        <v>2917</v>
      </c>
      <c r="H1079" t="s">
        <v>2766</v>
      </c>
      <c r="I1079" t="s">
        <v>2895</v>
      </c>
      <c r="J1079" t="str">
        <f>IF(ISNUMBER(MATCH($D1079,'Lopettaneet 2013-&gt;'!$D:$D,0)),INDEX('Lopettaneet 2013-&gt;'!$K:$K,MATCH($D1079,'Lopettaneet 2013-&gt;'!$D:$D,0)),"Continues")</f>
        <v>Continues</v>
      </c>
      <c r="K1079">
        <f ca="1">IF($J1079="Continues",DATEDIF($B1079,TODAY(),"Y"),INDEX('Lopettaneet 2013-&gt;'!$L:$L,MATCH($D1079,'Lopettaneet 2013-&gt;'!$D:$D,0)))</f>
        <v>4</v>
      </c>
      <c r="L1079">
        <v>814</v>
      </c>
    </row>
    <row r="1080" spans="1:12" x14ac:dyDescent="0.25">
      <c r="A1080" t="s">
        <v>7</v>
      </c>
      <c r="B1080" s="1">
        <v>43891</v>
      </c>
      <c r="C1080" s="1">
        <v>55153</v>
      </c>
      <c r="D1080" s="4" t="s">
        <v>1826</v>
      </c>
      <c r="E1080" t="s">
        <v>10</v>
      </c>
      <c r="F1080" t="s">
        <v>11</v>
      </c>
      <c r="G1080" t="s">
        <v>2918</v>
      </c>
      <c r="H1080" t="s">
        <v>2975</v>
      </c>
      <c r="I1080" t="s">
        <v>2895</v>
      </c>
      <c r="J1080" t="str">
        <f>IF(ISNUMBER(MATCH($D1080,'Lopettaneet 2013-&gt;'!$D:$D,0)),INDEX('Lopettaneet 2013-&gt;'!$K:$K,MATCH($D1080,'Lopettaneet 2013-&gt;'!$D:$D,0)),"Continues")</f>
        <v>Continues</v>
      </c>
      <c r="K1080">
        <f ca="1">IF($J1080="Continues",DATEDIF($B1080,TODAY(),"Y"),INDEX('Lopettaneet 2013-&gt;'!$L:$L,MATCH($D1080,'Lopettaneet 2013-&gt;'!$D:$D,0)))</f>
        <v>5</v>
      </c>
      <c r="L1080">
        <v>815</v>
      </c>
    </row>
    <row r="1081" spans="1:12" x14ac:dyDescent="0.25">
      <c r="A1081" t="s">
        <v>7</v>
      </c>
      <c r="B1081" s="1">
        <v>43891</v>
      </c>
      <c r="C1081" s="1">
        <v>55153</v>
      </c>
      <c r="D1081" s="4" t="s">
        <v>1828</v>
      </c>
      <c r="E1081" t="s">
        <v>10</v>
      </c>
      <c r="F1081" t="s">
        <v>11</v>
      </c>
      <c r="G1081" t="s">
        <v>2918</v>
      </c>
      <c r="H1081" t="s">
        <v>2975</v>
      </c>
      <c r="I1081" t="s">
        <v>2895</v>
      </c>
      <c r="J1081" t="str">
        <f>IF(ISNUMBER(MATCH($D1081,'Lopettaneet 2013-&gt;'!$D:$D,0)),INDEX('Lopettaneet 2013-&gt;'!$K:$K,MATCH($D1081,'Lopettaneet 2013-&gt;'!$D:$D,0)),"Continues")</f>
        <v>Continues</v>
      </c>
      <c r="K1081">
        <f ca="1">IF($J1081="Continues",DATEDIF($B1081,TODAY(),"Y"),INDEX('Lopettaneet 2013-&gt;'!$L:$L,MATCH($D1081,'Lopettaneet 2013-&gt;'!$D:$D,0)))</f>
        <v>5</v>
      </c>
      <c r="L1081">
        <v>816</v>
      </c>
    </row>
    <row r="1082" spans="1:12" x14ac:dyDescent="0.25">
      <c r="A1082" t="s">
        <v>7</v>
      </c>
      <c r="B1082" s="1">
        <v>43983</v>
      </c>
      <c r="C1082" s="1">
        <v>55153</v>
      </c>
      <c r="D1082" s="4" t="s">
        <v>1830</v>
      </c>
      <c r="E1082" t="s">
        <v>10</v>
      </c>
      <c r="F1082" t="s">
        <v>11</v>
      </c>
      <c r="G1082" t="s">
        <v>2918</v>
      </c>
      <c r="H1082" t="s">
        <v>2956</v>
      </c>
      <c r="I1082" t="s">
        <v>2895</v>
      </c>
      <c r="J1082" t="str">
        <f>IF(ISNUMBER(MATCH($D1082,'Lopettaneet 2013-&gt;'!$D:$D,0)),INDEX('Lopettaneet 2013-&gt;'!$K:$K,MATCH($D1082,'Lopettaneet 2013-&gt;'!$D:$D,0)),"Continues")</f>
        <v>Continues</v>
      </c>
      <c r="K1082">
        <f ca="1">IF($J1082="Continues",DATEDIF($B1082,TODAY(),"Y"),INDEX('Lopettaneet 2013-&gt;'!$L:$L,MATCH($D1082,'Lopettaneet 2013-&gt;'!$D:$D,0)))</f>
        <v>4</v>
      </c>
      <c r="L1082">
        <v>817</v>
      </c>
    </row>
    <row r="1083" spans="1:12" x14ac:dyDescent="0.25">
      <c r="A1083" t="s">
        <v>0</v>
      </c>
      <c r="B1083" s="1">
        <v>44013</v>
      </c>
      <c r="C1083" s="1">
        <v>55153</v>
      </c>
      <c r="D1083" s="4" t="s">
        <v>3213</v>
      </c>
      <c r="E1083" t="s">
        <v>10</v>
      </c>
      <c r="F1083" t="s">
        <v>4</v>
      </c>
      <c r="G1083" t="s">
        <v>2915</v>
      </c>
      <c r="H1083" t="s">
        <v>2777</v>
      </c>
      <c r="I1083" t="s">
        <v>2894</v>
      </c>
      <c r="J1083" t="str">
        <f>IF(ISNUMBER(MATCH($D1083,'Lopettaneet 2013-&gt;'!$D:$D,0)),INDEX('Lopettaneet 2013-&gt;'!$K:$K,MATCH($D1083,'Lopettaneet 2013-&gt;'!$D:$D,0)),"Continues")</f>
        <v>Continues</v>
      </c>
      <c r="K1083">
        <f ca="1">IF($J1083="Continues",DATEDIF($B1083,TODAY(),"Y"),INDEX('Lopettaneet 2013-&gt;'!$L:$L,MATCH($D1083,'Lopettaneet 2013-&gt;'!$D:$D,0)))</f>
        <v>4</v>
      </c>
      <c r="L1083">
        <v>818</v>
      </c>
    </row>
    <row r="1084" spans="1:12" x14ac:dyDescent="0.25">
      <c r="A1084" t="s">
        <v>7</v>
      </c>
      <c r="B1084" s="1">
        <v>43983</v>
      </c>
      <c r="C1084" s="1">
        <v>55153</v>
      </c>
      <c r="D1084" s="4" t="s">
        <v>1834</v>
      </c>
      <c r="E1084" t="s">
        <v>10</v>
      </c>
      <c r="F1084" t="s">
        <v>11</v>
      </c>
      <c r="G1084" t="s">
        <v>2914</v>
      </c>
      <c r="H1084" t="s">
        <v>2869</v>
      </c>
      <c r="I1084" t="s">
        <v>2895</v>
      </c>
      <c r="J1084" t="str">
        <f>IF(ISNUMBER(MATCH($D1084,'Lopettaneet 2013-&gt;'!$D:$D,0)),INDEX('Lopettaneet 2013-&gt;'!$K:$K,MATCH($D1084,'Lopettaneet 2013-&gt;'!$D:$D,0)),"Continues")</f>
        <v>Continues</v>
      </c>
      <c r="K1084">
        <f ca="1">IF($J1084="Continues",DATEDIF($B1084,TODAY(),"Y"),INDEX('Lopettaneet 2013-&gt;'!$L:$L,MATCH($D1084,'Lopettaneet 2013-&gt;'!$D:$D,0)))</f>
        <v>4</v>
      </c>
      <c r="L1084">
        <v>819</v>
      </c>
    </row>
    <row r="1085" spans="1:12" x14ac:dyDescent="0.25">
      <c r="A1085" t="s">
        <v>0</v>
      </c>
      <c r="B1085" s="1">
        <v>43952</v>
      </c>
      <c r="C1085" s="1">
        <v>55153</v>
      </c>
      <c r="D1085" s="4" t="s">
        <v>1836</v>
      </c>
      <c r="E1085" t="s">
        <v>3</v>
      </c>
      <c r="F1085" t="s">
        <v>4</v>
      </c>
      <c r="G1085" t="s">
        <v>2917</v>
      </c>
      <c r="H1085" t="s">
        <v>2948</v>
      </c>
      <c r="I1085" t="s">
        <v>2894</v>
      </c>
      <c r="J1085" t="str">
        <f>IF(ISNUMBER(MATCH($D1085,'Lopettaneet 2013-&gt;'!$D:$D,0)),INDEX('Lopettaneet 2013-&gt;'!$K:$K,MATCH($D1085,'Lopettaneet 2013-&gt;'!$D:$D,0)),"Continues")</f>
        <v>Continues</v>
      </c>
      <c r="K1085">
        <f ca="1">IF($J1085="Continues",DATEDIF($B1085,TODAY(),"Y"),INDEX('Lopettaneet 2013-&gt;'!$L:$L,MATCH($D1085,'Lopettaneet 2013-&gt;'!$D:$D,0)))</f>
        <v>5</v>
      </c>
      <c r="L1085">
        <v>820</v>
      </c>
    </row>
    <row r="1086" spans="1:12" x14ac:dyDescent="0.25">
      <c r="A1086" t="s">
        <v>0</v>
      </c>
      <c r="B1086" s="1">
        <v>43983</v>
      </c>
      <c r="C1086" s="1">
        <v>55153</v>
      </c>
      <c r="D1086" s="4" t="s">
        <v>1838</v>
      </c>
      <c r="E1086" t="s">
        <v>3</v>
      </c>
      <c r="F1086" t="s">
        <v>4</v>
      </c>
      <c r="G1086" t="s">
        <v>2917</v>
      </c>
      <c r="H1086" t="s">
        <v>2952</v>
      </c>
      <c r="I1086" t="s">
        <v>2894</v>
      </c>
      <c r="J1086" t="str">
        <f>IF(ISNUMBER(MATCH($D1086,'Lopettaneet 2013-&gt;'!$D:$D,0)),INDEX('Lopettaneet 2013-&gt;'!$K:$K,MATCH($D1086,'Lopettaneet 2013-&gt;'!$D:$D,0)),"Continues")</f>
        <v>Continues</v>
      </c>
      <c r="K1086">
        <f ca="1">IF($J1086="Continues",DATEDIF($B1086,TODAY(),"Y"),INDEX('Lopettaneet 2013-&gt;'!$L:$L,MATCH($D1086,'Lopettaneet 2013-&gt;'!$D:$D,0)))</f>
        <v>4</v>
      </c>
      <c r="L1086">
        <v>821</v>
      </c>
    </row>
    <row r="1087" spans="1:12" x14ac:dyDescent="0.25">
      <c r="A1087" t="s">
        <v>7</v>
      </c>
      <c r="B1087" s="1">
        <v>44348</v>
      </c>
      <c r="C1087" s="1">
        <v>55153</v>
      </c>
      <c r="D1087" s="4" t="s">
        <v>1840</v>
      </c>
      <c r="E1087" t="s">
        <v>10</v>
      </c>
      <c r="F1087" t="s">
        <v>11</v>
      </c>
      <c r="G1087" t="s">
        <v>2918</v>
      </c>
      <c r="H1087" t="s">
        <v>2950</v>
      </c>
      <c r="I1087" t="s">
        <v>2895</v>
      </c>
      <c r="J1087" t="str">
        <f>IF(ISNUMBER(MATCH($D1087,'Lopettaneet 2013-&gt;'!$D:$D,0)),INDEX('Lopettaneet 2013-&gt;'!$K:$K,MATCH($D1087,'Lopettaneet 2013-&gt;'!$D:$D,0)),"Continues")</f>
        <v>Continues</v>
      </c>
      <c r="K1087">
        <f ca="1">IF($J1087="Continues",DATEDIF($B1087,TODAY(),"Y"),INDEX('Lopettaneet 2013-&gt;'!$L:$L,MATCH($D1087,'Lopettaneet 2013-&gt;'!$D:$D,0)))</f>
        <v>3</v>
      </c>
      <c r="L1087">
        <v>822</v>
      </c>
    </row>
    <row r="1088" spans="1:12" x14ac:dyDescent="0.25">
      <c r="A1088" t="s">
        <v>7</v>
      </c>
      <c r="B1088" s="1">
        <v>44166</v>
      </c>
      <c r="C1088" s="1">
        <v>55153</v>
      </c>
      <c r="D1088" s="4" t="s">
        <v>1842</v>
      </c>
      <c r="E1088" t="s">
        <v>10</v>
      </c>
      <c r="F1088" t="s">
        <v>11</v>
      </c>
      <c r="G1088" t="s">
        <v>2916</v>
      </c>
      <c r="H1088" t="s">
        <v>2983</v>
      </c>
      <c r="I1088" t="s">
        <v>2894</v>
      </c>
      <c r="J1088" t="str">
        <f>IF(ISNUMBER(MATCH($D1088,'Lopettaneet 2013-&gt;'!$D:$D,0)),INDEX('Lopettaneet 2013-&gt;'!$K:$K,MATCH($D1088,'Lopettaneet 2013-&gt;'!$D:$D,0)),"Continues")</f>
        <v>Continues</v>
      </c>
      <c r="K1088">
        <f ca="1">IF($J1088="Continues",DATEDIF($B1088,TODAY(),"Y"),INDEX('Lopettaneet 2013-&gt;'!$L:$L,MATCH($D1088,'Lopettaneet 2013-&gt;'!$D:$D,0)))</f>
        <v>4</v>
      </c>
      <c r="L1088">
        <v>823</v>
      </c>
    </row>
    <row r="1089" spans="1:12" x14ac:dyDescent="0.25">
      <c r="A1089" t="s">
        <v>7</v>
      </c>
      <c r="B1089" s="1">
        <v>44075</v>
      </c>
      <c r="C1089" s="1">
        <v>55153</v>
      </c>
      <c r="D1089" s="4" t="s">
        <v>1844</v>
      </c>
      <c r="E1089" t="s">
        <v>10</v>
      </c>
      <c r="F1089" t="s">
        <v>11</v>
      </c>
      <c r="G1089" t="s">
        <v>2914</v>
      </c>
      <c r="H1089" t="s">
        <v>2766</v>
      </c>
      <c r="I1089" t="s">
        <v>2895</v>
      </c>
      <c r="J1089" t="str">
        <f>IF(ISNUMBER(MATCH($D1089,'Lopettaneet 2013-&gt;'!$D:$D,0)),INDEX('Lopettaneet 2013-&gt;'!$K:$K,MATCH($D1089,'Lopettaneet 2013-&gt;'!$D:$D,0)),"Continues")</f>
        <v>Continues</v>
      </c>
      <c r="K1089">
        <f ca="1">IF($J1089="Continues",DATEDIF($B1089,TODAY(),"Y"),INDEX('Lopettaneet 2013-&gt;'!$L:$L,MATCH($D1089,'Lopettaneet 2013-&gt;'!$D:$D,0)))</f>
        <v>4</v>
      </c>
      <c r="L1089">
        <v>824</v>
      </c>
    </row>
    <row r="1090" spans="1:12" x14ac:dyDescent="0.25">
      <c r="A1090" t="s">
        <v>0</v>
      </c>
      <c r="B1090" s="1">
        <v>44044</v>
      </c>
      <c r="C1090" s="1">
        <v>55153</v>
      </c>
      <c r="D1090" s="4" t="s">
        <v>1846</v>
      </c>
      <c r="E1090" t="s">
        <v>10</v>
      </c>
      <c r="F1090" t="s">
        <v>11</v>
      </c>
      <c r="G1090" t="s">
        <v>2914</v>
      </c>
      <c r="H1090" t="s">
        <v>2766</v>
      </c>
      <c r="I1090" t="s">
        <v>2895</v>
      </c>
      <c r="J1090" t="str">
        <f>IF(ISNUMBER(MATCH($D1090,'Lopettaneet 2013-&gt;'!$D:$D,0)),INDEX('Lopettaneet 2013-&gt;'!$K:$K,MATCH($D1090,'Lopettaneet 2013-&gt;'!$D:$D,0)),"Continues")</f>
        <v>Continues</v>
      </c>
      <c r="K1090">
        <f ca="1">IF($J1090="Continues",DATEDIF($B1090,TODAY(),"Y"),INDEX('Lopettaneet 2013-&gt;'!$L:$L,MATCH($D1090,'Lopettaneet 2013-&gt;'!$D:$D,0)))</f>
        <v>4</v>
      </c>
      <c r="L1090">
        <v>825</v>
      </c>
    </row>
    <row r="1091" spans="1:12" x14ac:dyDescent="0.25">
      <c r="A1091" t="s">
        <v>0</v>
      </c>
      <c r="B1091" s="1">
        <v>43983</v>
      </c>
      <c r="C1091" s="1">
        <v>55153</v>
      </c>
      <c r="D1091" s="4" t="s">
        <v>1848</v>
      </c>
      <c r="E1091" t="s">
        <v>3</v>
      </c>
      <c r="F1091" t="s">
        <v>4</v>
      </c>
      <c r="G1091" t="s">
        <v>2917</v>
      </c>
      <c r="H1091" t="s">
        <v>2952</v>
      </c>
      <c r="I1091" t="s">
        <v>2894</v>
      </c>
      <c r="J1091" t="str">
        <f>IF(ISNUMBER(MATCH($D1091,'Lopettaneet 2013-&gt;'!$D:$D,0)),INDEX('Lopettaneet 2013-&gt;'!$K:$K,MATCH($D1091,'Lopettaneet 2013-&gt;'!$D:$D,0)),"Continues")</f>
        <v>Continues</v>
      </c>
      <c r="K1091">
        <f ca="1">IF($J1091="Continues",DATEDIF($B1091,TODAY(),"Y"),INDEX('Lopettaneet 2013-&gt;'!$L:$L,MATCH($D1091,'Lopettaneet 2013-&gt;'!$D:$D,0)))</f>
        <v>4</v>
      </c>
      <c r="L1091">
        <v>826</v>
      </c>
    </row>
    <row r="1092" spans="1:12" x14ac:dyDescent="0.25">
      <c r="A1092" t="s">
        <v>7</v>
      </c>
      <c r="B1092" s="1">
        <v>44075</v>
      </c>
      <c r="C1092" s="1">
        <v>55153</v>
      </c>
      <c r="D1092" s="4" t="s">
        <v>1850</v>
      </c>
      <c r="E1092" t="s">
        <v>10</v>
      </c>
      <c r="F1092" t="s">
        <v>11</v>
      </c>
      <c r="G1092" t="s">
        <v>2918</v>
      </c>
      <c r="H1092" t="s">
        <v>2980</v>
      </c>
      <c r="I1092" t="s">
        <v>2895</v>
      </c>
      <c r="J1092" t="str">
        <f>IF(ISNUMBER(MATCH($D1092,'Lopettaneet 2013-&gt;'!$D:$D,0)),INDEX('Lopettaneet 2013-&gt;'!$K:$K,MATCH($D1092,'Lopettaneet 2013-&gt;'!$D:$D,0)),"Continues")</f>
        <v>Continues</v>
      </c>
      <c r="K1092">
        <f ca="1">IF($J1092="Continues",DATEDIF($B1092,TODAY(),"Y"),INDEX('Lopettaneet 2013-&gt;'!$L:$L,MATCH($D1092,'Lopettaneet 2013-&gt;'!$D:$D,0)))</f>
        <v>4</v>
      </c>
      <c r="L1092">
        <v>827</v>
      </c>
    </row>
    <row r="1093" spans="1:12" x14ac:dyDescent="0.25">
      <c r="A1093" t="s">
        <v>7</v>
      </c>
      <c r="B1093" s="1">
        <v>44075</v>
      </c>
      <c r="C1093" s="1">
        <v>55153</v>
      </c>
      <c r="D1093" s="4" t="s">
        <v>1852</v>
      </c>
      <c r="E1093" t="s">
        <v>10</v>
      </c>
      <c r="F1093" t="s">
        <v>11</v>
      </c>
      <c r="G1093" t="s">
        <v>2918</v>
      </c>
      <c r="H1093" t="s">
        <v>2980</v>
      </c>
      <c r="I1093" t="s">
        <v>2895</v>
      </c>
      <c r="J1093" t="str">
        <f>IF(ISNUMBER(MATCH($D1093,'Lopettaneet 2013-&gt;'!$D:$D,0)),INDEX('Lopettaneet 2013-&gt;'!$K:$K,MATCH($D1093,'Lopettaneet 2013-&gt;'!$D:$D,0)),"Continues")</f>
        <v>Continues</v>
      </c>
      <c r="K1093">
        <f ca="1">IF($J1093="Continues",DATEDIF($B1093,TODAY(),"Y"),INDEX('Lopettaneet 2013-&gt;'!$L:$L,MATCH($D1093,'Lopettaneet 2013-&gt;'!$D:$D,0)))</f>
        <v>4</v>
      </c>
      <c r="L1093">
        <v>828</v>
      </c>
    </row>
    <row r="1094" spans="1:12" x14ac:dyDescent="0.25">
      <c r="A1094" t="s">
        <v>7</v>
      </c>
      <c r="B1094" s="1">
        <v>44075</v>
      </c>
      <c r="C1094" s="1">
        <v>55153</v>
      </c>
      <c r="D1094" s="4" t="s">
        <v>1854</v>
      </c>
      <c r="E1094" t="s">
        <v>10</v>
      </c>
      <c r="F1094" t="s">
        <v>11</v>
      </c>
      <c r="G1094" t="s">
        <v>2918</v>
      </c>
      <c r="H1094" t="s">
        <v>2980</v>
      </c>
      <c r="I1094" t="s">
        <v>2895</v>
      </c>
      <c r="J1094" t="str">
        <f>IF(ISNUMBER(MATCH($D1094,'Lopettaneet 2013-&gt;'!$D:$D,0)),INDEX('Lopettaneet 2013-&gt;'!$K:$K,MATCH($D1094,'Lopettaneet 2013-&gt;'!$D:$D,0)),"Continues")</f>
        <v>Continues</v>
      </c>
      <c r="K1094">
        <f ca="1">IF($J1094="Continues",DATEDIF($B1094,TODAY(),"Y"),INDEX('Lopettaneet 2013-&gt;'!$L:$L,MATCH($D1094,'Lopettaneet 2013-&gt;'!$D:$D,0)))</f>
        <v>4</v>
      </c>
      <c r="L1094">
        <v>829</v>
      </c>
    </row>
    <row r="1095" spans="1:12" x14ac:dyDescent="0.25">
      <c r="A1095" t="s">
        <v>0</v>
      </c>
      <c r="B1095" s="1">
        <v>44044</v>
      </c>
      <c r="C1095" s="1">
        <v>55153</v>
      </c>
      <c r="D1095" s="4" t="s">
        <v>1856</v>
      </c>
      <c r="E1095" t="s">
        <v>3</v>
      </c>
      <c r="F1095" t="s">
        <v>4</v>
      </c>
      <c r="G1095" t="s">
        <v>2917</v>
      </c>
      <c r="H1095" t="s">
        <v>2946</v>
      </c>
      <c r="I1095" t="s">
        <v>2894</v>
      </c>
      <c r="J1095" t="str">
        <f>IF(ISNUMBER(MATCH($D1095,'Lopettaneet 2013-&gt;'!$D:$D,0)),INDEX('Lopettaneet 2013-&gt;'!$K:$K,MATCH($D1095,'Lopettaneet 2013-&gt;'!$D:$D,0)),"Continues")</f>
        <v>Continues</v>
      </c>
      <c r="K1095">
        <f ca="1">IF($J1095="Continues",DATEDIF($B1095,TODAY(),"Y"),INDEX('Lopettaneet 2013-&gt;'!$L:$L,MATCH($D1095,'Lopettaneet 2013-&gt;'!$D:$D,0)))</f>
        <v>4</v>
      </c>
      <c r="L1095">
        <v>830</v>
      </c>
    </row>
    <row r="1096" spans="1:12" x14ac:dyDescent="0.25">
      <c r="A1096" t="s">
        <v>0</v>
      </c>
      <c r="B1096" s="1">
        <v>44044</v>
      </c>
      <c r="C1096" s="1">
        <v>55153</v>
      </c>
      <c r="D1096" s="4" t="s">
        <v>1858</v>
      </c>
      <c r="E1096" t="s">
        <v>3</v>
      </c>
      <c r="F1096" t="s">
        <v>4</v>
      </c>
      <c r="G1096" t="s">
        <v>2913</v>
      </c>
      <c r="H1096" t="s">
        <v>2946</v>
      </c>
      <c r="I1096" t="s">
        <v>2894</v>
      </c>
      <c r="J1096" t="str">
        <f>IF(ISNUMBER(MATCH($D1096,'Lopettaneet 2013-&gt;'!$D:$D,0)),INDEX('Lopettaneet 2013-&gt;'!$K:$K,MATCH($D1096,'Lopettaneet 2013-&gt;'!$D:$D,0)),"Continues")</f>
        <v>Continues</v>
      </c>
      <c r="K1096">
        <f ca="1">IF($J1096="Continues",DATEDIF($B1096,TODAY(),"Y"),INDEX('Lopettaneet 2013-&gt;'!$L:$L,MATCH($D1096,'Lopettaneet 2013-&gt;'!$D:$D,0)))</f>
        <v>4</v>
      </c>
      <c r="L1096">
        <v>831</v>
      </c>
    </row>
    <row r="1097" spans="1:12" x14ac:dyDescent="0.25">
      <c r="A1097" t="s">
        <v>0</v>
      </c>
      <c r="B1097" s="1">
        <v>43983</v>
      </c>
      <c r="C1097" s="1">
        <v>45291</v>
      </c>
      <c r="D1097" s="4" t="s">
        <v>53</v>
      </c>
      <c r="E1097" t="s">
        <v>3</v>
      </c>
      <c r="F1097" t="s">
        <v>4</v>
      </c>
      <c r="G1097" t="s">
        <v>2917</v>
      </c>
      <c r="H1097" t="s">
        <v>2953</v>
      </c>
      <c r="I1097" t="s">
        <v>2909</v>
      </c>
      <c r="J1097" t="str">
        <f>IF(ISNUMBER(MATCH($D1097,'Lopettaneet 2013-&gt;'!$D:$D,0)),INDEX('Lopettaneet 2013-&gt;'!$K:$K,MATCH($D1097,'Lopettaneet 2013-&gt;'!$D:$D,0)),"Continues")</f>
        <v>Merged</v>
      </c>
      <c r="K1097">
        <f ca="1">IF($J1097="Continues",DATEDIF($B1097,TODAY(),"Y"),INDEX('Lopettaneet 2013-&gt;'!$L:$L,MATCH($D1097,'Lopettaneet 2013-&gt;'!$D:$D,0)))</f>
        <v>3</v>
      </c>
      <c r="L1097">
        <v>832</v>
      </c>
    </row>
    <row r="1098" spans="1:12" x14ac:dyDescent="0.25">
      <c r="A1098" t="s">
        <v>0</v>
      </c>
      <c r="B1098" s="1">
        <v>43983</v>
      </c>
      <c r="C1098" s="1">
        <v>45291</v>
      </c>
      <c r="D1098" s="4" t="s">
        <v>55</v>
      </c>
      <c r="E1098" t="s">
        <v>3</v>
      </c>
      <c r="F1098" t="s">
        <v>4</v>
      </c>
      <c r="G1098" t="s">
        <v>2917</v>
      </c>
      <c r="H1098" t="s">
        <v>2953</v>
      </c>
      <c r="I1098" t="s">
        <v>2909</v>
      </c>
      <c r="J1098" t="str">
        <f>IF(ISNUMBER(MATCH($D1098,'Lopettaneet 2013-&gt;'!$D:$D,0)),INDEX('Lopettaneet 2013-&gt;'!$K:$K,MATCH($D1098,'Lopettaneet 2013-&gt;'!$D:$D,0)),"Continues")</f>
        <v>Merged</v>
      </c>
      <c r="K1098">
        <f ca="1">IF($J1098="Continues",DATEDIF($B1098,TODAY(),"Y"),INDEX('Lopettaneet 2013-&gt;'!$L:$L,MATCH($D1098,'Lopettaneet 2013-&gt;'!$D:$D,0)))</f>
        <v>3</v>
      </c>
      <c r="L1098">
        <v>833</v>
      </c>
    </row>
    <row r="1099" spans="1:12" x14ac:dyDescent="0.25">
      <c r="A1099" t="s">
        <v>0</v>
      </c>
      <c r="B1099" s="1">
        <v>44044</v>
      </c>
      <c r="C1099" s="1">
        <v>45291</v>
      </c>
      <c r="D1099" s="4" t="s">
        <v>57</v>
      </c>
      <c r="E1099" t="s">
        <v>3</v>
      </c>
      <c r="F1099" t="s">
        <v>4</v>
      </c>
      <c r="G1099" t="s">
        <v>2917</v>
      </c>
      <c r="H1099" t="s">
        <v>2953</v>
      </c>
      <c r="I1099" t="s">
        <v>2909</v>
      </c>
      <c r="J1099" t="str">
        <f>IF(ISNUMBER(MATCH($D1099,'Lopettaneet 2013-&gt;'!$D:$D,0)),INDEX('Lopettaneet 2013-&gt;'!$K:$K,MATCH($D1099,'Lopettaneet 2013-&gt;'!$D:$D,0)),"Continues")</f>
        <v>Merged</v>
      </c>
      <c r="K1099">
        <f ca="1">IF($J1099="Continues",DATEDIF($B1099,TODAY(),"Y"),INDEX('Lopettaneet 2013-&gt;'!$L:$L,MATCH($D1099,'Lopettaneet 2013-&gt;'!$D:$D,0)))</f>
        <v>3</v>
      </c>
      <c r="L1099">
        <v>834</v>
      </c>
    </row>
    <row r="1100" spans="1:12" x14ac:dyDescent="0.25">
      <c r="A1100" t="s">
        <v>0</v>
      </c>
      <c r="B1100" s="1">
        <v>44044</v>
      </c>
      <c r="C1100" s="1">
        <v>45291</v>
      </c>
      <c r="D1100" s="4" t="s">
        <v>59</v>
      </c>
      <c r="E1100" t="s">
        <v>3</v>
      </c>
      <c r="F1100" t="s">
        <v>4</v>
      </c>
      <c r="G1100" t="s">
        <v>2917</v>
      </c>
      <c r="H1100" t="s">
        <v>2953</v>
      </c>
      <c r="I1100" t="s">
        <v>2909</v>
      </c>
      <c r="J1100" t="str">
        <f>IF(ISNUMBER(MATCH($D1100,'Lopettaneet 2013-&gt;'!$D:$D,0)),INDEX('Lopettaneet 2013-&gt;'!$K:$K,MATCH($D1100,'Lopettaneet 2013-&gt;'!$D:$D,0)),"Continues")</f>
        <v>Merged</v>
      </c>
      <c r="K1100">
        <f ca="1">IF($J1100="Continues",DATEDIF($B1100,TODAY(),"Y"),INDEX('Lopettaneet 2013-&gt;'!$L:$L,MATCH($D1100,'Lopettaneet 2013-&gt;'!$D:$D,0)))</f>
        <v>3</v>
      </c>
      <c r="L1100">
        <v>835</v>
      </c>
    </row>
    <row r="1101" spans="1:12" x14ac:dyDescent="0.25">
      <c r="A1101" t="s">
        <v>0</v>
      </c>
      <c r="B1101" s="1">
        <v>44044</v>
      </c>
      <c r="C1101" s="1">
        <v>55153</v>
      </c>
      <c r="D1101" s="4" t="s">
        <v>1860</v>
      </c>
      <c r="E1101" t="s">
        <v>3</v>
      </c>
      <c r="F1101" t="s">
        <v>4</v>
      </c>
      <c r="G1101" t="s">
        <v>2917</v>
      </c>
      <c r="H1101" t="s">
        <v>2953</v>
      </c>
      <c r="I1101" t="s">
        <v>2894</v>
      </c>
      <c r="J1101" t="str">
        <f>IF(ISNUMBER(MATCH($D1101,'Lopettaneet 2013-&gt;'!$D:$D,0)),INDEX('Lopettaneet 2013-&gt;'!$K:$K,MATCH($D1101,'Lopettaneet 2013-&gt;'!$D:$D,0)),"Continues")</f>
        <v>Continues</v>
      </c>
      <c r="K1101">
        <f ca="1">IF($J1101="Continues",DATEDIF($B1101,TODAY(),"Y"),INDEX('Lopettaneet 2013-&gt;'!$L:$L,MATCH($D1101,'Lopettaneet 2013-&gt;'!$D:$D,0)))</f>
        <v>4</v>
      </c>
      <c r="L1101">
        <v>836</v>
      </c>
    </row>
    <row r="1102" spans="1:12" x14ac:dyDescent="0.25">
      <c r="A1102" t="s">
        <v>0</v>
      </c>
      <c r="B1102" s="1">
        <v>44287</v>
      </c>
      <c r="C1102" s="1">
        <v>44926</v>
      </c>
      <c r="D1102" s="4" t="s">
        <v>1862</v>
      </c>
      <c r="E1102" t="s">
        <v>3</v>
      </c>
      <c r="F1102" t="s">
        <v>4</v>
      </c>
      <c r="G1102" t="s">
        <v>2917</v>
      </c>
      <c r="H1102" t="s">
        <v>2946</v>
      </c>
      <c r="I1102" t="s">
        <v>2909</v>
      </c>
      <c r="J1102" t="str">
        <f>IF(ISNUMBER(MATCH($D1102,'Lopettaneet 2013-&gt;'!$D:$D,0)),INDEX('Lopettaneet 2013-&gt;'!$K:$K,MATCH($D1102,'Lopettaneet 2013-&gt;'!$D:$D,0)),"Continues")</f>
        <v>Merged</v>
      </c>
      <c r="K1102">
        <f ca="1">IF($J1102="Continues",DATEDIF($B1102,TODAY(),"Y"),INDEX('Lopettaneet 2013-&gt;'!$L:$L,MATCH($D1102,'Lopettaneet 2013-&gt;'!$D:$D,0)))</f>
        <v>1</v>
      </c>
      <c r="L1102">
        <v>837</v>
      </c>
    </row>
    <row r="1103" spans="1:12" x14ac:dyDescent="0.25">
      <c r="A1103" t="s">
        <v>0</v>
      </c>
      <c r="B1103" s="1">
        <v>44105</v>
      </c>
      <c r="C1103" s="1">
        <v>44926</v>
      </c>
      <c r="D1103" s="4" t="s">
        <v>1864</v>
      </c>
      <c r="E1103" t="s">
        <v>3</v>
      </c>
      <c r="F1103" t="s">
        <v>4</v>
      </c>
      <c r="G1103" t="s">
        <v>2917</v>
      </c>
      <c r="H1103" t="s">
        <v>2946</v>
      </c>
      <c r="I1103" t="s">
        <v>2909</v>
      </c>
      <c r="J1103" t="str">
        <f>IF(ISNUMBER(MATCH($D1103,'Lopettaneet 2013-&gt;'!$D:$D,0)),INDEX('Lopettaneet 2013-&gt;'!$K:$K,MATCH($D1103,'Lopettaneet 2013-&gt;'!$D:$D,0)),"Continues")</f>
        <v>Merged</v>
      </c>
      <c r="K1103">
        <f ca="1">IF($J1103="Continues",DATEDIF($B1103,TODAY(),"Y"),INDEX('Lopettaneet 2013-&gt;'!$L:$L,MATCH($D1103,'Lopettaneet 2013-&gt;'!$D:$D,0)))</f>
        <v>2</v>
      </c>
      <c r="L1103">
        <v>838</v>
      </c>
    </row>
    <row r="1104" spans="1:12" x14ac:dyDescent="0.25">
      <c r="A1104" t="s">
        <v>0</v>
      </c>
      <c r="B1104" s="1">
        <v>44075</v>
      </c>
      <c r="C1104" s="1">
        <v>55153</v>
      </c>
      <c r="D1104" s="4" t="s">
        <v>1866</v>
      </c>
      <c r="E1104" t="s">
        <v>3</v>
      </c>
      <c r="F1104" t="s">
        <v>4</v>
      </c>
      <c r="G1104" t="s">
        <v>2913</v>
      </c>
      <c r="H1104" t="s">
        <v>2956</v>
      </c>
      <c r="I1104" t="s">
        <v>2894</v>
      </c>
      <c r="J1104" t="str">
        <f>IF(ISNUMBER(MATCH($D1104,'Lopettaneet 2013-&gt;'!$D:$D,0)),INDEX('Lopettaneet 2013-&gt;'!$K:$K,MATCH($D1104,'Lopettaneet 2013-&gt;'!$D:$D,0)),"Continues")</f>
        <v>Continues</v>
      </c>
      <c r="K1104">
        <f ca="1">IF($J1104="Continues",DATEDIF($B1104,TODAY(),"Y"),INDEX('Lopettaneet 2013-&gt;'!$L:$L,MATCH($D1104,'Lopettaneet 2013-&gt;'!$D:$D,0)))</f>
        <v>4</v>
      </c>
      <c r="L1104">
        <v>839</v>
      </c>
    </row>
    <row r="1105" spans="1:12" x14ac:dyDescent="0.25">
      <c r="A1105" t="s">
        <v>7</v>
      </c>
      <c r="B1105" s="1">
        <v>44075</v>
      </c>
      <c r="C1105" s="1">
        <v>55153</v>
      </c>
      <c r="D1105" s="4" t="s">
        <v>1868</v>
      </c>
      <c r="E1105" t="s">
        <v>10</v>
      </c>
      <c r="F1105" t="s">
        <v>11</v>
      </c>
      <c r="G1105" t="s">
        <v>2912</v>
      </c>
      <c r="H1105" t="s">
        <v>2950</v>
      </c>
      <c r="I1105" t="s">
        <v>2894</v>
      </c>
      <c r="J1105" t="str">
        <f>IF(ISNUMBER(MATCH($D1105,'Lopettaneet 2013-&gt;'!$D:$D,0)),INDEX('Lopettaneet 2013-&gt;'!$K:$K,MATCH($D1105,'Lopettaneet 2013-&gt;'!$D:$D,0)),"Continues")</f>
        <v>Continues</v>
      </c>
      <c r="K1105">
        <f ca="1">IF($J1105="Continues",DATEDIF($B1105,TODAY(),"Y"),INDEX('Lopettaneet 2013-&gt;'!$L:$L,MATCH($D1105,'Lopettaneet 2013-&gt;'!$D:$D,0)))</f>
        <v>4</v>
      </c>
      <c r="L1105">
        <v>840</v>
      </c>
    </row>
    <row r="1106" spans="1:12" x14ac:dyDescent="0.25">
      <c r="A1106" t="s">
        <v>0</v>
      </c>
      <c r="B1106" s="1">
        <v>44228</v>
      </c>
      <c r="C1106" s="1">
        <v>55153</v>
      </c>
      <c r="D1106" s="4" t="s">
        <v>1870</v>
      </c>
      <c r="E1106" t="s">
        <v>3</v>
      </c>
      <c r="F1106" t="s">
        <v>4</v>
      </c>
      <c r="G1106" t="s">
        <v>2913</v>
      </c>
      <c r="H1106" t="s">
        <v>2946</v>
      </c>
      <c r="I1106" t="s">
        <v>2894</v>
      </c>
      <c r="J1106" t="str">
        <f>IF(ISNUMBER(MATCH($D1106,'Lopettaneet 2013-&gt;'!$D:$D,0)),INDEX('Lopettaneet 2013-&gt;'!$K:$K,MATCH($D1106,'Lopettaneet 2013-&gt;'!$D:$D,0)),"Continues")</f>
        <v>Continues</v>
      </c>
      <c r="K1106">
        <f ca="1">IF($J1106="Continues",DATEDIF($B1106,TODAY(),"Y"),INDEX('Lopettaneet 2013-&gt;'!$L:$L,MATCH($D1106,'Lopettaneet 2013-&gt;'!$D:$D,0)))</f>
        <v>4</v>
      </c>
      <c r="L1106">
        <v>841</v>
      </c>
    </row>
    <row r="1107" spans="1:12" x14ac:dyDescent="0.25">
      <c r="A1107" t="s">
        <v>7</v>
      </c>
      <c r="B1107" s="1">
        <v>44075</v>
      </c>
      <c r="C1107" s="1">
        <v>55153</v>
      </c>
      <c r="D1107" s="4" t="s">
        <v>1872</v>
      </c>
      <c r="E1107" t="s">
        <v>10</v>
      </c>
      <c r="F1107" t="s">
        <v>11</v>
      </c>
      <c r="G1107" t="s">
        <v>2919</v>
      </c>
      <c r="H1107" t="s">
        <v>2870</v>
      </c>
      <c r="I1107" t="s">
        <v>2895</v>
      </c>
      <c r="J1107" t="str">
        <f>IF(ISNUMBER(MATCH($D1107,'Lopettaneet 2013-&gt;'!$D:$D,0)),INDEX('Lopettaneet 2013-&gt;'!$K:$K,MATCH($D1107,'Lopettaneet 2013-&gt;'!$D:$D,0)),"Continues")</f>
        <v>Continues</v>
      </c>
      <c r="K1107">
        <f ca="1">IF($J1107="Continues",DATEDIF($B1107,TODAY(),"Y"),INDEX('Lopettaneet 2013-&gt;'!$L:$L,MATCH($D1107,'Lopettaneet 2013-&gt;'!$D:$D,0)))</f>
        <v>4</v>
      </c>
      <c r="L1107">
        <v>842</v>
      </c>
    </row>
    <row r="1108" spans="1:12" x14ac:dyDescent="0.25">
      <c r="A1108" t="s">
        <v>7</v>
      </c>
      <c r="B1108" s="1">
        <v>44256</v>
      </c>
      <c r="C1108" s="1">
        <v>55153</v>
      </c>
      <c r="D1108" s="4" t="s">
        <v>1874</v>
      </c>
      <c r="E1108" t="s">
        <v>10</v>
      </c>
      <c r="F1108" t="s">
        <v>11</v>
      </c>
      <c r="G1108" t="s">
        <v>2918</v>
      </c>
      <c r="H1108" t="s">
        <v>2950</v>
      </c>
      <c r="I1108" t="s">
        <v>2895</v>
      </c>
      <c r="J1108" t="str">
        <f>IF(ISNUMBER(MATCH($D1108,'Lopettaneet 2013-&gt;'!$D:$D,0)),INDEX('Lopettaneet 2013-&gt;'!$K:$K,MATCH($D1108,'Lopettaneet 2013-&gt;'!$D:$D,0)),"Continues")</f>
        <v>Continues</v>
      </c>
      <c r="K1108">
        <f ca="1">IF($J1108="Continues",DATEDIF($B1108,TODAY(),"Y"),INDEX('Lopettaneet 2013-&gt;'!$L:$L,MATCH($D1108,'Lopettaneet 2013-&gt;'!$D:$D,0)))</f>
        <v>4</v>
      </c>
      <c r="L1108">
        <v>843</v>
      </c>
    </row>
    <row r="1109" spans="1:12" x14ac:dyDescent="0.25">
      <c r="A1109" t="s">
        <v>7</v>
      </c>
      <c r="B1109" s="1">
        <v>44075</v>
      </c>
      <c r="C1109" s="1">
        <v>55153</v>
      </c>
      <c r="D1109" s="4" t="s">
        <v>1876</v>
      </c>
      <c r="E1109" t="s">
        <v>10</v>
      </c>
      <c r="F1109" t="s">
        <v>11</v>
      </c>
      <c r="G1109" t="s">
        <v>2918</v>
      </c>
      <c r="H1109" t="s">
        <v>2956</v>
      </c>
      <c r="I1109" t="s">
        <v>2895</v>
      </c>
      <c r="J1109" t="str">
        <f>IF(ISNUMBER(MATCH($D1109,'Lopettaneet 2013-&gt;'!$D:$D,0)),INDEX('Lopettaneet 2013-&gt;'!$K:$K,MATCH($D1109,'Lopettaneet 2013-&gt;'!$D:$D,0)),"Continues")</f>
        <v>Continues</v>
      </c>
      <c r="K1109">
        <f ca="1">IF($J1109="Continues",DATEDIF($B1109,TODAY(),"Y"),INDEX('Lopettaneet 2013-&gt;'!$L:$L,MATCH($D1109,'Lopettaneet 2013-&gt;'!$D:$D,0)))</f>
        <v>4</v>
      </c>
      <c r="L1109">
        <v>844</v>
      </c>
    </row>
    <row r="1110" spans="1:12" x14ac:dyDescent="0.25">
      <c r="A1110" t="s">
        <v>0</v>
      </c>
      <c r="B1110" s="1">
        <v>44044</v>
      </c>
      <c r="C1110" s="1">
        <v>55153</v>
      </c>
      <c r="D1110" s="4" t="s">
        <v>1878</v>
      </c>
      <c r="E1110" t="s">
        <v>10</v>
      </c>
      <c r="F1110" t="s">
        <v>4</v>
      </c>
      <c r="G1110" t="s">
        <v>2918</v>
      </c>
      <c r="H1110" t="s">
        <v>2953</v>
      </c>
      <c r="I1110" t="s">
        <v>2894</v>
      </c>
      <c r="J1110" t="str">
        <f>IF(ISNUMBER(MATCH($D1110,'Lopettaneet 2013-&gt;'!$D:$D,0)),INDEX('Lopettaneet 2013-&gt;'!$K:$K,MATCH($D1110,'Lopettaneet 2013-&gt;'!$D:$D,0)),"Continues")</f>
        <v>Continues</v>
      </c>
      <c r="K1110">
        <f ca="1">IF($J1110="Continues",DATEDIF($B1110,TODAY(),"Y"),INDEX('Lopettaneet 2013-&gt;'!$L:$L,MATCH($D1110,'Lopettaneet 2013-&gt;'!$D:$D,0)))</f>
        <v>4</v>
      </c>
      <c r="L1110">
        <v>845</v>
      </c>
    </row>
    <row r="1111" spans="1:12" x14ac:dyDescent="0.25">
      <c r="A1111" t="s">
        <v>0</v>
      </c>
      <c r="B1111" s="1">
        <v>44287</v>
      </c>
      <c r="C1111" s="1">
        <v>55153</v>
      </c>
      <c r="D1111" s="4" t="s">
        <v>1880</v>
      </c>
      <c r="E1111" t="s">
        <v>10</v>
      </c>
      <c r="F1111" t="s">
        <v>11</v>
      </c>
      <c r="G1111" t="s">
        <v>2918</v>
      </c>
      <c r="H1111" t="s">
        <v>2766</v>
      </c>
      <c r="I1111" t="s">
        <v>2895</v>
      </c>
      <c r="J1111" t="str">
        <f>IF(ISNUMBER(MATCH($D1111,'Lopettaneet 2013-&gt;'!$D:$D,0)),INDEX('Lopettaneet 2013-&gt;'!$K:$K,MATCH($D1111,'Lopettaneet 2013-&gt;'!$D:$D,0)),"Continues")</f>
        <v>Continues</v>
      </c>
      <c r="K1111">
        <f ca="1">IF($J1111="Continues",DATEDIF($B1111,TODAY(),"Y"),INDEX('Lopettaneet 2013-&gt;'!$L:$L,MATCH($D1111,'Lopettaneet 2013-&gt;'!$D:$D,0)))</f>
        <v>4</v>
      </c>
      <c r="L1111">
        <v>846</v>
      </c>
    </row>
    <row r="1112" spans="1:12" x14ac:dyDescent="0.25">
      <c r="A1112" t="s">
        <v>7</v>
      </c>
      <c r="B1112" s="1">
        <v>42339</v>
      </c>
      <c r="C1112" s="1">
        <v>44196</v>
      </c>
      <c r="D1112" s="4" t="s">
        <v>1882</v>
      </c>
      <c r="E1112" t="s">
        <v>10</v>
      </c>
      <c r="F1112" t="s">
        <v>11</v>
      </c>
      <c r="G1112" t="s">
        <v>2914</v>
      </c>
      <c r="H1112" t="s">
        <v>2926</v>
      </c>
      <c r="I1112" t="s">
        <v>2909</v>
      </c>
      <c r="J1112" t="str">
        <f>IF(ISNUMBER(MATCH($D1112,'Lopettaneet 2013-&gt;'!$D:$D,0)),INDEX('Lopettaneet 2013-&gt;'!$K:$K,MATCH($D1112,'Lopettaneet 2013-&gt;'!$D:$D,0)),"Continues")</f>
        <v>Closed</v>
      </c>
      <c r="K1112">
        <f ca="1">IF($J1112="Continues",DATEDIF($B1112,TODAY(),"Y"),INDEX('Lopettaneet 2013-&gt;'!$L:$L,MATCH($D1112,'Lopettaneet 2013-&gt;'!$D:$D,0)))</f>
        <v>5</v>
      </c>
      <c r="L1112">
        <v>847</v>
      </c>
    </row>
    <row r="1113" spans="1:12" x14ac:dyDescent="0.25">
      <c r="A1113" t="s">
        <v>0</v>
      </c>
      <c r="B1113" s="1">
        <v>44075</v>
      </c>
      <c r="C1113" s="1">
        <v>44712</v>
      </c>
      <c r="D1113" s="4" t="s">
        <v>1884</v>
      </c>
      <c r="E1113" t="s">
        <v>10</v>
      </c>
      <c r="F1113" t="s">
        <v>4</v>
      </c>
      <c r="G1113" t="s">
        <v>2913</v>
      </c>
      <c r="H1113" t="s">
        <v>2966</v>
      </c>
      <c r="I1113" t="s">
        <v>2909</v>
      </c>
      <c r="J1113" t="str">
        <f>IF(ISNUMBER(MATCH($D1113,'Lopettaneet 2013-&gt;'!$D:$D,0)),INDEX('Lopettaneet 2013-&gt;'!$K:$K,MATCH($D1113,'Lopettaneet 2013-&gt;'!$D:$D,0)),"Continues")</f>
        <v>Closed</v>
      </c>
      <c r="K1113">
        <f ca="1">IF($J1113="Continues",DATEDIF($B1113,TODAY(),"Y"),INDEX('Lopettaneet 2013-&gt;'!$L:$L,MATCH($D1113,'Lopettaneet 2013-&gt;'!$D:$D,0)))</f>
        <v>1</v>
      </c>
      <c r="L1113">
        <v>848</v>
      </c>
    </row>
    <row r="1114" spans="1:12" x14ac:dyDescent="0.25">
      <c r="A1114" t="s">
        <v>0</v>
      </c>
      <c r="B1114" s="1">
        <v>44075</v>
      </c>
      <c r="C1114" s="1">
        <v>44712</v>
      </c>
      <c r="D1114" s="4" t="s">
        <v>1886</v>
      </c>
      <c r="E1114" t="s">
        <v>10</v>
      </c>
      <c r="F1114" t="s">
        <v>4</v>
      </c>
      <c r="G1114" t="s">
        <v>2913</v>
      </c>
      <c r="H1114" t="s">
        <v>2966</v>
      </c>
      <c r="I1114" t="s">
        <v>2909</v>
      </c>
      <c r="J1114" t="str">
        <f>IF(ISNUMBER(MATCH($D1114,'Lopettaneet 2013-&gt;'!$D:$D,0)),INDEX('Lopettaneet 2013-&gt;'!$K:$K,MATCH($D1114,'Lopettaneet 2013-&gt;'!$D:$D,0)),"Continues")</f>
        <v>Closed</v>
      </c>
      <c r="K1114">
        <f ca="1">IF($J1114="Continues",DATEDIF($B1114,TODAY(),"Y"),INDEX('Lopettaneet 2013-&gt;'!$L:$L,MATCH($D1114,'Lopettaneet 2013-&gt;'!$D:$D,0)))</f>
        <v>1</v>
      </c>
      <c r="L1114">
        <v>849</v>
      </c>
    </row>
    <row r="1115" spans="1:12" x14ac:dyDescent="0.25">
      <c r="A1115" t="s">
        <v>7</v>
      </c>
      <c r="B1115" s="1">
        <v>44075</v>
      </c>
      <c r="C1115" s="1">
        <v>55153</v>
      </c>
      <c r="D1115" s="4" t="s">
        <v>1888</v>
      </c>
      <c r="E1115" t="s">
        <v>10</v>
      </c>
      <c r="F1115" t="s">
        <v>11</v>
      </c>
      <c r="G1115" t="s">
        <v>2918</v>
      </c>
      <c r="H1115" t="s">
        <v>2871</v>
      </c>
      <c r="I1115" t="s">
        <v>2895</v>
      </c>
      <c r="J1115" t="str">
        <f>IF(ISNUMBER(MATCH($D1115,'Lopettaneet 2013-&gt;'!$D:$D,0)),INDEX('Lopettaneet 2013-&gt;'!$K:$K,MATCH($D1115,'Lopettaneet 2013-&gt;'!$D:$D,0)),"Continues")</f>
        <v>Continues</v>
      </c>
      <c r="K1115">
        <f ca="1">IF($J1115="Continues",DATEDIF($B1115,TODAY(),"Y"),INDEX('Lopettaneet 2013-&gt;'!$L:$L,MATCH($D1115,'Lopettaneet 2013-&gt;'!$D:$D,0)))</f>
        <v>4</v>
      </c>
      <c r="L1115">
        <v>850</v>
      </c>
    </row>
    <row r="1116" spans="1:12" x14ac:dyDescent="0.25">
      <c r="A1116" t="s">
        <v>0</v>
      </c>
      <c r="B1116" s="1">
        <v>44075</v>
      </c>
      <c r="C1116" s="1">
        <v>55153</v>
      </c>
      <c r="D1116" s="4" t="s">
        <v>1890</v>
      </c>
      <c r="E1116" t="s">
        <v>3</v>
      </c>
      <c r="F1116" t="s">
        <v>4</v>
      </c>
      <c r="G1116" t="s">
        <v>2915</v>
      </c>
      <c r="H1116" t="s">
        <v>2957</v>
      </c>
      <c r="I1116" t="s">
        <v>2894</v>
      </c>
      <c r="J1116" t="str">
        <f>IF(ISNUMBER(MATCH($D1116,'Lopettaneet 2013-&gt;'!$D:$D,0)),INDEX('Lopettaneet 2013-&gt;'!$K:$K,MATCH($D1116,'Lopettaneet 2013-&gt;'!$D:$D,0)),"Continues")</f>
        <v>Continues</v>
      </c>
      <c r="K1116">
        <f ca="1">IF($J1116="Continues",DATEDIF($B1116,TODAY(),"Y"),INDEX('Lopettaneet 2013-&gt;'!$L:$L,MATCH($D1116,'Lopettaneet 2013-&gt;'!$D:$D,0)))</f>
        <v>4</v>
      </c>
      <c r="L1116">
        <v>851</v>
      </c>
    </row>
    <row r="1117" spans="1:12" x14ac:dyDescent="0.25">
      <c r="A1117" t="s">
        <v>0</v>
      </c>
      <c r="B1117" s="1">
        <v>44075</v>
      </c>
      <c r="C1117" s="1">
        <v>55153</v>
      </c>
      <c r="D1117" s="4" t="s">
        <v>1892</v>
      </c>
      <c r="E1117" t="s">
        <v>3</v>
      </c>
      <c r="F1117" t="s">
        <v>4</v>
      </c>
      <c r="G1117" t="s">
        <v>2917</v>
      </c>
      <c r="H1117" t="s">
        <v>2957</v>
      </c>
      <c r="I1117" t="s">
        <v>2894</v>
      </c>
      <c r="J1117" t="str">
        <f>IF(ISNUMBER(MATCH($D1117,'Lopettaneet 2013-&gt;'!$D:$D,0)),INDEX('Lopettaneet 2013-&gt;'!$K:$K,MATCH($D1117,'Lopettaneet 2013-&gt;'!$D:$D,0)),"Continues")</f>
        <v>Continues</v>
      </c>
      <c r="K1117">
        <f ca="1">IF($J1117="Continues",DATEDIF($B1117,TODAY(),"Y"),INDEX('Lopettaneet 2013-&gt;'!$L:$L,MATCH($D1117,'Lopettaneet 2013-&gt;'!$D:$D,0)))</f>
        <v>4</v>
      </c>
      <c r="L1117">
        <v>852</v>
      </c>
    </row>
    <row r="1118" spans="1:12" x14ac:dyDescent="0.25">
      <c r="A1118" t="s">
        <v>0</v>
      </c>
      <c r="B1118" s="1">
        <v>44075</v>
      </c>
      <c r="C1118" s="1">
        <v>44712</v>
      </c>
      <c r="D1118" s="4" t="s">
        <v>1894</v>
      </c>
      <c r="E1118" t="s">
        <v>10</v>
      </c>
      <c r="F1118" t="s">
        <v>4</v>
      </c>
      <c r="G1118" t="s">
        <v>2917</v>
      </c>
      <c r="H1118" t="s">
        <v>2966</v>
      </c>
      <c r="I1118" t="s">
        <v>2909</v>
      </c>
      <c r="J1118" t="str">
        <f>IF(ISNUMBER(MATCH($D1118,'Lopettaneet 2013-&gt;'!$D:$D,0)),INDEX('Lopettaneet 2013-&gt;'!$K:$K,MATCH($D1118,'Lopettaneet 2013-&gt;'!$D:$D,0)),"Continues")</f>
        <v>Closed</v>
      </c>
      <c r="K1118">
        <f ca="1">IF($J1118="Continues",DATEDIF($B1118,TODAY(),"Y"),INDEX('Lopettaneet 2013-&gt;'!$L:$L,MATCH($D1118,'Lopettaneet 2013-&gt;'!$D:$D,0)))</f>
        <v>1</v>
      </c>
      <c r="L1118">
        <v>853</v>
      </c>
    </row>
    <row r="1119" spans="1:12" x14ac:dyDescent="0.25">
      <c r="A1119" t="s">
        <v>7</v>
      </c>
      <c r="B1119" s="1">
        <v>44896</v>
      </c>
      <c r="C1119" s="1">
        <v>44926</v>
      </c>
      <c r="D1119" s="4" t="s">
        <v>1896</v>
      </c>
      <c r="E1119" t="s">
        <v>10</v>
      </c>
      <c r="F1119" t="s">
        <v>11</v>
      </c>
      <c r="G1119" t="s">
        <v>2912</v>
      </c>
      <c r="H1119" t="s">
        <v>2909</v>
      </c>
      <c r="I1119" t="s">
        <v>2909</v>
      </c>
      <c r="J1119" t="str">
        <f>IF(ISNUMBER(MATCH($D1119,'Lopettaneet 2013-&gt;'!$D:$D,0)),INDEX('Lopettaneet 2013-&gt;'!$K:$K,MATCH($D1119,'Lopettaneet 2013-&gt;'!$D:$D,0)),"Continues")</f>
        <v>Closed</v>
      </c>
      <c r="K1119">
        <f ca="1">IF($J1119="Continues",DATEDIF($B1119,TODAY(),"Y"),INDEX('Lopettaneet 2013-&gt;'!$L:$L,MATCH($D1119,'Lopettaneet 2013-&gt;'!$D:$D,0)))</f>
        <v>0</v>
      </c>
      <c r="L1119">
        <v>854</v>
      </c>
    </row>
    <row r="1120" spans="1:12" x14ac:dyDescent="0.25">
      <c r="A1120" t="s">
        <v>7</v>
      </c>
      <c r="B1120" s="1">
        <v>44896</v>
      </c>
      <c r="C1120" s="1">
        <v>44926</v>
      </c>
      <c r="D1120" s="4" t="s">
        <v>1898</v>
      </c>
      <c r="E1120" t="s">
        <v>10</v>
      </c>
      <c r="F1120" t="s">
        <v>11</v>
      </c>
      <c r="G1120" t="s">
        <v>2912</v>
      </c>
      <c r="H1120" t="s">
        <v>2909</v>
      </c>
      <c r="I1120" t="s">
        <v>2909</v>
      </c>
      <c r="J1120" t="str">
        <f>IF(ISNUMBER(MATCH($D1120,'Lopettaneet 2013-&gt;'!$D:$D,0)),INDEX('Lopettaneet 2013-&gt;'!$K:$K,MATCH($D1120,'Lopettaneet 2013-&gt;'!$D:$D,0)),"Continues")</f>
        <v>Closed</v>
      </c>
      <c r="K1120">
        <f ca="1">IF($J1120="Continues",DATEDIF($B1120,TODAY(),"Y"),INDEX('Lopettaneet 2013-&gt;'!$L:$L,MATCH($D1120,'Lopettaneet 2013-&gt;'!$D:$D,0)))</f>
        <v>0</v>
      </c>
      <c r="L1120">
        <v>855</v>
      </c>
    </row>
    <row r="1121" spans="1:12" x14ac:dyDescent="0.25">
      <c r="A1121" t="s">
        <v>7</v>
      </c>
      <c r="B1121" s="1">
        <v>44348</v>
      </c>
      <c r="C1121" s="1">
        <v>55153</v>
      </c>
      <c r="D1121" s="4" t="s">
        <v>1900</v>
      </c>
      <c r="E1121" t="s">
        <v>10</v>
      </c>
      <c r="F1121" t="s">
        <v>11</v>
      </c>
      <c r="G1121" t="s">
        <v>2916</v>
      </c>
      <c r="H1121" t="s">
        <v>2872</v>
      </c>
      <c r="I1121" t="s">
        <v>2895</v>
      </c>
      <c r="J1121" t="str">
        <f>IF(ISNUMBER(MATCH($D1121,'Lopettaneet 2013-&gt;'!$D:$D,0)),INDEX('Lopettaneet 2013-&gt;'!$K:$K,MATCH($D1121,'Lopettaneet 2013-&gt;'!$D:$D,0)),"Continues")</f>
        <v>Continues</v>
      </c>
      <c r="K1121">
        <f ca="1">IF($J1121="Continues",DATEDIF($B1121,TODAY(),"Y"),INDEX('Lopettaneet 2013-&gt;'!$L:$L,MATCH($D1121,'Lopettaneet 2013-&gt;'!$D:$D,0)))</f>
        <v>3</v>
      </c>
      <c r="L1121">
        <v>856</v>
      </c>
    </row>
    <row r="1122" spans="1:12" x14ac:dyDescent="0.25">
      <c r="A1122" t="s">
        <v>7</v>
      </c>
      <c r="B1122" s="1">
        <v>44348</v>
      </c>
      <c r="C1122" s="1">
        <v>55153</v>
      </c>
      <c r="D1122" s="4" t="s">
        <v>1902</v>
      </c>
      <c r="E1122" t="s">
        <v>10</v>
      </c>
      <c r="F1122" t="s">
        <v>11</v>
      </c>
      <c r="G1122" t="s">
        <v>2916</v>
      </c>
      <c r="H1122" t="s">
        <v>2872</v>
      </c>
      <c r="I1122" t="s">
        <v>2895</v>
      </c>
      <c r="J1122" t="str">
        <f>IF(ISNUMBER(MATCH($D1122,'Lopettaneet 2013-&gt;'!$D:$D,0)),INDEX('Lopettaneet 2013-&gt;'!$K:$K,MATCH($D1122,'Lopettaneet 2013-&gt;'!$D:$D,0)),"Continues")</f>
        <v>Continues</v>
      </c>
      <c r="K1122">
        <f ca="1">IF($J1122="Continues",DATEDIF($B1122,TODAY(),"Y"),INDEX('Lopettaneet 2013-&gt;'!$L:$L,MATCH($D1122,'Lopettaneet 2013-&gt;'!$D:$D,0)))</f>
        <v>3</v>
      </c>
      <c r="L1122">
        <v>857</v>
      </c>
    </row>
    <row r="1123" spans="1:12" x14ac:dyDescent="0.25">
      <c r="A1123" t="s">
        <v>7</v>
      </c>
      <c r="B1123" s="1">
        <v>44166</v>
      </c>
      <c r="C1123" s="1">
        <v>55153</v>
      </c>
      <c r="D1123" s="4" t="s">
        <v>1904</v>
      </c>
      <c r="E1123" t="s">
        <v>10</v>
      </c>
      <c r="F1123" t="s">
        <v>11</v>
      </c>
      <c r="G1123" t="s">
        <v>2912</v>
      </c>
      <c r="H1123" t="s">
        <v>2873</v>
      </c>
      <c r="I1123" t="s">
        <v>2895</v>
      </c>
      <c r="J1123" t="str">
        <f>IF(ISNUMBER(MATCH($D1123,'Lopettaneet 2013-&gt;'!$D:$D,0)),INDEX('Lopettaneet 2013-&gt;'!$K:$K,MATCH($D1123,'Lopettaneet 2013-&gt;'!$D:$D,0)),"Continues")</f>
        <v>Continues</v>
      </c>
      <c r="K1123">
        <f ca="1">IF($J1123="Continues",DATEDIF($B1123,TODAY(),"Y"),INDEX('Lopettaneet 2013-&gt;'!$L:$L,MATCH($D1123,'Lopettaneet 2013-&gt;'!$D:$D,0)))</f>
        <v>4</v>
      </c>
      <c r="L1123">
        <v>858</v>
      </c>
    </row>
    <row r="1124" spans="1:12" x14ac:dyDescent="0.25">
      <c r="A1124" t="s">
        <v>0</v>
      </c>
      <c r="B1124" s="1">
        <v>44166</v>
      </c>
      <c r="C1124" s="1">
        <v>55153</v>
      </c>
      <c r="D1124" s="4" t="s">
        <v>1906</v>
      </c>
      <c r="E1124" t="s">
        <v>10</v>
      </c>
      <c r="F1124" t="s">
        <v>4</v>
      </c>
      <c r="G1124" t="s">
        <v>2917</v>
      </c>
      <c r="H1124" t="s">
        <v>2956</v>
      </c>
      <c r="I1124" t="s">
        <v>2894</v>
      </c>
      <c r="J1124" t="str">
        <f>IF(ISNUMBER(MATCH($D1124,'Lopettaneet 2013-&gt;'!$D:$D,0)),INDEX('Lopettaneet 2013-&gt;'!$K:$K,MATCH($D1124,'Lopettaneet 2013-&gt;'!$D:$D,0)),"Continues")</f>
        <v>Continues</v>
      </c>
      <c r="K1124">
        <f ca="1">IF($J1124="Continues",DATEDIF($B1124,TODAY(),"Y"),INDEX('Lopettaneet 2013-&gt;'!$L:$L,MATCH($D1124,'Lopettaneet 2013-&gt;'!$D:$D,0)))</f>
        <v>4</v>
      </c>
      <c r="L1124">
        <v>859</v>
      </c>
    </row>
    <row r="1125" spans="1:12" x14ac:dyDescent="0.25">
      <c r="A1125" t="s">
        <v>0</v>
      </c>
      <c r="B1125" s="1">
        <v>44166</v>
      </c>
      <c r="C1125" s="1">
        <v>55153</v>
      </c>
      <c r="D1125" s="4" t="s">
        <v>1908</v>
      </c>
      <c r="E1125" t="s">
        <v>10</v>
      </c>
      <c r="F1125" t="s">
        <v>4</v>
      </c>
      <c r="G1125" t="s">
        <v>2914</v>
      </c>
      <c r="H1125" t="s">
        <v>2958</v>
      </c>
      <c r="I1125" t="s">
        <v>2894</v>
      </c>
      <c r="J1125" t="str">
        <f>IF(ISNUMBER(MATCH($D1125,'Lopettaneet 2013-&gt;'!$D:$D,0)),INDEX('Lopettaneet 2013-&gt;'!$K:$K,MATCH($D1125,'Lopettaneet 2013-&gt;'!$D:$D,0)),"Continues")</f>
        <v>Continues</v>
      </c>
      <c r="K1125">
        <f ca="1">IF($J1125="Continues",DATEDIF($B1125,TODAY(),"Y"),INDEX('Lopettaneet 2013-&gt;'!$L:$L,MATCH($D1125,'Lopettaneet 2013-&gt;'!$D:$D,0)))</f>
        <v>4</v>
      </c>
      <c r="L1125">
        <v>860</v>
      </c>
    </row>
    <row r="1126" spans="1:12" x14ac:dyDescent="0.25">
      <c r="A1126" t="s">
        <v>7</v>
      </c>
      <c r="B1126" s="1">
        <v>44166</v>
      </c>
      <c r="C1126" s="1">
        <v>55153</v>
      </c>
      <c r="D1126" s="4" t="s">
        <v>1910</v>
      </c>
      <c r="E1126" t="s">
        <v>10</v>
      </c>
      <c r="F1126" t="s">
        <v>11</v>
      </c>
      <c r="G1126" t="s">
        <v>2914</v>
      </c>
      <c r="H1126" t="s">
        <v>2955</v>
      </c>
      <c r="I1126" t="s">
        <v>2894</v>
      </c>
      <c r="J1126" t="str">
        <f>IF(ISNUMBER(MATCH($D1126,'Lopettaneet 2013-&gt;'!$D:$D,0)),INDEX('Lopettaneet 2013-&gt;'!$K:$K,MATCH($D1126,'Lopettaneet 2013-&gt;'!$D:$D,0)),"Continues")</f>
        <v>Continues</v>
      </c>
      <c r="K1126">
        <f ca="1">IF($J1126="Continues",DATEDIF($B1126,TODAY(),"Y"),INDEX('Lopettaneet 2013-&gt;'!$L:$L,MATCH($D1126,'Lopettaneet 2013-&gt;'!$D:$D,0)))</f>
        <v>4</v>
      </c>
      <c r="L1126">
        <v>861</v>
      </c>
    </row>
    <row r="1127" spans="1:12" x14ac:dyDescent="0.25">
      <c r="A1127" t="s">
        <v>7</v>
      </c>
      <c r="B1127" s="1">
        <v>44166</v>
      </c>
      <c r="C1127" s="1">
        <v>55153</v>
      </c>
      <c r="D1127" s="4" t="s">
        <v>1912</v>
      </c>
      <c r="E1127" t="s">
        <v>10</v>
      </c>
      <c r="F1127" t="s">
        <v>11</v>
      </c>
      <c r="G1127" t="s">
        <v>2914</v>
      </c>
      <c r="H1127" t="s">
        <v>2955</v>
      </c>
      <c r="I1127" t="s">
        <v>2894</v>
      </c>
      <c r="J1127" t="str">
        <f>IF(ISNUMBER(MATCH($D1127,'Lopettaneet 2013-&gt;'!$D:$D,0)),INDEX('Lopettaneet 2013-&gt;'!$K:$K,MATCH($D1127,'Lopettaneet 2013-&gt;'!$D:$D,0)),"Continues")</f>
        <v>Continues</v>
      </c>
      <c r="K1127">
        <f ca="1">IF($J1127="Continues",DATEDIF($B1127,TODAY(),"Y"),INDEX('Lopettaneet 2013-&gt;'!$L:$L,MATCH($D1127,'Lopettaneet 2013-&gt;'!$D:$D,0)))</f>
        <v>4</v>
      </c>
      <c r="L1127">
        <v>862</v>
      </c>
    </row>
    <row r="1128" spans="1:12" x14ac:dyDescent="0.25">
      <c r="A1128" t="s">
        <v>0</v>
      </c>
      <c r="B1128" s="1">
        <v>44136</v>
      </c>
      <c r="C1128" s="1">
        <v>55153</v>
      </c>
      <c r="D1128" s="4" t="s">
        <v>1914</v>
      </c>
      <c r="E1128" t="s">
        <v>10</v>
      </c>
      <c r="F1128" t="s">
        <v>4</v>
      </c>
      <c r="G1128" t="s">
        <v>2915</v>
      </c>
      <c r="H1128" t="s">
        <v>2976</v>
      </c>
      <c r="I1128" t="s">
        <v>2894</v>
      </c>
      <c r="J1128" t="str">
        <f>IF(ISNUMBER(MATCH($D1128,'Lopettaneet 2013-&gt;'!$D:$D,0)),INDEX('Lopettaneet 2013-&gt;'!$K:$K,MATCH($D1128,'Lopettaneet 2013-&gt;'!$D:$D,0)),"Continues")</f>
        <v>Continues</v>
      </c>
      <c r="K1128">
        <f ca="1">IF($J1128="Continues",DATEDIF($B1128,TODAY(),"Y"),INDEX('Lopettaneet 2013-&gt;'!$L:$L,MATCH($D1128,'Lopettaneet 2013-&gt;'!$D:$D,0)))</f>
        <v>4</v>
      </c>
      <c r="L1128">
        <v>863</v>
      </c>
    </row>
    <row r="1129" spans="1:12" x14ac:dyDescent="0.25">
      <c r="A1129" t="s">
        <v>0</v>
      </c>
      <c r="B1129" s="1">
        <v>44136</v>
      </c>
      <c r="C1129" s="1">
        <v>55153</v>
      </c>
      <c r="D1129" s="4" t="s">
        <v>1916</v>
      </c>
      <c r="E1129" t="s">
        <v>10</v>
      </c>
      <c r="F1129" t="s">
        <v>4</v>
      </c>
      <c r="G1129" t="s">
        <v>2917</v>
      </c>
      <c r="H1129" t="s">
        <v>2976</v>
      </c>
      <c r="I1129" t="s">
        <v>2894</v>
      </c>
      <c r="J1129" t="str">
        <f>IF(ISNUMBER(MATCH($D1129,'Lopettaneet 2013-&gt;'!$D:$D,0)),INDEX('Lopettaneet 2013-&gt;'!$K:$K,MATCH($D1129,'Lopettaneet 2013-&gt;'!$D:$D,0)),"Continues")</f>
        <v>Continues</v>
      </c>
      <c r="K1129">
        <f ca="1">IF($J1129="Continues",DATEDIF($B1129,TODAY(),"Y"),INDEX('Lopettaneet 2013-&gt;'!$L:$L,MATCH($D1129,'Lopettaneet 2013-&gt;'!$D:$D,0)))</f>
        <v>4</v>
      </c>
      <c r="L1129">
        <v>864</v>
      </c>
    </row>
    <row r="1130" spans="1:12" x14ac:dyDescent="0.25">
      <c r="A1130" t="s">
        <v>7</v>
      </c>
      <c r="B1130" s="1">
        <v>44348</v>
      </c>
      <c r="C1130" s="1">
        <v>55153</v>
      </c>
      <c r="D1130" s="4" t="s">
        <v>1918</v>
      </c>
      <c r="E1130" t="s">
        <v>10</v>
      </c>
      <c r="F1130" t="s">
        <v>11</v>
      </c>
      <c r="G1130" t="s">
        <v>2918</v>
      </c>
      <c r="H1130" t="s">
        <v>2946</v>
      </c>
      <c r="I1130" t="s">
        <v>2894</v>
      </c>
      <c r="J1130" t="str">
        <f>IF(ISNUMBER(MATCH($D1130,'Lopettaneet 2013-&gt;'!$D:$D,0)),INDEX('Lopettaneet 2013-&gt;'!$K:$K,MATCH($D1130,'Lopettaneet 2013-&gt;'!$D:$D,0)),"Continues")</f>
        <v>Continues</v>
      </c>
      <c r="K1130">
        <f ca="1">IF($J1130="Continues",DATEDIF($B1130,TODAY(),"Y"),INDEX('Lopettaneet 2013-&gt;'!$L:$L,MATCH($D1130,'Lopettaneet 2013-&gt;'!$D:$D,0)))</f>
        <v>3</v>
      </c>
      <c r="L1130">
        <v>865</v>
      </c>
    </row>
    <row r="1131" spans="1:12" x14ac:dyDescent="0.25">
      <c r="A1131" t="s">
        <v>7</v>
      </c>
      <c r="B1131" s="1">
        <v>44348</v>
      </c>
      <c r="C1131" s="1">
        <v>55153</v>
      </c>
      <c r="D1131" s="4" t="s">
        <v>1920</v>
      </c>
      <c r="E1131" t="s">
        <v>10</v>
      </c>
      <c r="F1131" t="s">
        <v>11</v>
      </c>
      <c r="G1131" t="s">
        <v>2918</v>
      </c>
      <c r="H1131" t="s">
        <v>2946</v>
      </c>
      <c r="I1131" t="s">
        <v>2894</v>
      </c>
      <c r="J1131" t="str">
        <f>IF(ISNUMBER(MATCH($D1131,'Lopettaneet 2013-&gt;'!$D:$D,0)),INDEX('Lopettaneet 2013-&gt;'!$K:$K,MATCH($D1131,'Lopettaneet 2013-&gt;'!$D:$D,0)),"Continues")</f>
        <v>Continues</v>
      </c>
      <c r="K1131">
        <f ca="1">IF($J1131="Continues",DATEDIF($B1131,TODAY(),"Y"),INDEX('Lopettaneet 2013-&gt;'!$L:$L,MATCH($D1131,'Lopettaneet 2013-&gt;'!$D:$D,0)))</f>
        <v>3</v>
      </c>
      <c r="L1131">
        <v>866</v>
      </c>
    </row>
    <row r="1132" spans="1:12" x14ac:dyDescent="0.25">
      <c r="A1132" t="s">
        <v>7</v>
      </c>
      <c r="B1132" s="1">
        <v>44256</v>
      </c>
      <c r="C1132" s="1">
        <v>55153</v>
      </c>
      <c r="D1132" s="4" t="s">
        <v>1922</v>
      </c>
      <c r="E1132" t="s">
        <v>10</v>
      </c>
      <c r="F1132" t="s">
        <v>11</v>
      </c>
      <c r="G1132" t="s">
        <v>2916</v>
      </c>
      <c r="H1132" t="s">
        <v>2990</v>
      </c>
      <c r="I1132" t="s">
        <v>2894</v>
      </c>
      <c r="J1132" t="str">
        <f>IF(ISNUMBER(MATCH($D1132,'Lopettaneet 2013-&gt;'!$D:$D,0)),INDEX('Lopettaneet 2013-&gt;'!$K:$K,MATCH($D1132,'Lopettaneet 2013-&gt;'!$D:$D,0)),"Continues")</f>
        <v>Continues</v>
      </c>
      <c r="K1132">
        <f ca="1">IF($J1132="Continues",DATEDIF($B1132,TODAY(),"Y"),INDEX('Lopettaneet 2013-&gt;'!$L:$L,MATCH($D1132,'Lopettaneet 2013-&gt;'!$D:$D,0)))</f>
        <v>4</v>
      </c>
      <c r="L1132">
        <v>867</v>
      </c>
    </row>
    <row r="1133" spans="1:12" x14ac:dyDescent="0.25">
      <c r="A1133" t="s">
        <v>0</v>
      </c>
      <c r="B1133" s="1">
        <v>44197</v>
      </c>
      <c r="C1133" s="1">
        <v>44804</v>
      </c>
      <c r="D1133" s="4" t="s">
        <v>1924</v>
      </c>
      <c r="E1133" t="s">
        <v>10</v>
      </c>
      <c r="F1133" t="s">
        <v>4</v>
      </c>
      <c r="G1133" t="s">
        <v>2919</v>
      </c>
      <c r="H1133" t="s">
        <v>2842</v>
      </c>
      <c r="I1133" t="s">
        <v>2909</v>
      </c>
      <c r="J1133" t="str">
        <f>IF(ISNUMBER(MATCH($D1133,'Lopettaneet 2013-&gt;'!$D:$D,0)),INDEX('Lopettaneet 2013-&gt;'!$K:$K,MATCH($D1133,'Lopettaneet 2013-&gt;'!$D:$D,0)),"Continues")</f>
        <v>Closed</v>
      </c>
      <c r="K1133">
        <f ca="1">IF($J1133="Continues",DATEDIF($B1133,TODAY(),"Y"),INDEX('Lopettaneet 2013-&gt;'!$L:$L,MATCH($D1133,'Lopettaneet 2013-&gt;'!$D:$D,0)))</f>
        <v>1</v>
      </c>
      <c r="L1133">
        <v>868</v>
      </c>
    </row>
    <row r="1134" spans="1:12" x14ac:dyDescent="0.25">
      <c r="A1134" t="s">
        <v>7</v>
      </c>
      <c r="B1134" s="1">
        <v>44256</v>
      </c>
      <c r="C1134" s="1">
        <v>55153</v>
      </c>
      <c r="D1134" s="4" t="s">
        <v>1926</v>
      </c>
      <c r="E1134" t="s">
        <v>10</v>
      </c>
      <c r="F1134" t="s">
        <v>11</v>
      </c>
      <c r="G1134" t="s">
        <v>2916</v>
      </c>
      <c r="H1134" t="s">
        <v>2986</v>
      </c>
      <c r="I1134" t="s">
        <v>2895</v>
      </c>
      <c r="J1134" t="str">
        <f>IF(ISNUMBER(MATCH($D1134,'Lopettaneet 2013-&gt;'!$D:$D,0)),INDEX('Lopettaneet 2013-&gt;'!$K:$K,MATCH($D1134,'Lopettaneet 2013-&gt;'!$D:$D,0)),"Continues")</f>
        <v>Continues</v>
      </c>
      <c r="K1134">
        <f ca="1">IF($J1134="Continues",DATEDIF($B1134,TODAY(),"Y"),INDEX('Lopettaneet 2013-&gt;'!$L:$L,MATCH($D1134,'Lopettaneet 2013-&gt;'!$D:$D,0)))</f>
        <v>4</v>
      </c>
      <c r="L1134">
        <v>869</v>
      </c>
    </row>
    <row r="1135" spans="1:12" x14ac:dyDescent="0.25">
      <c r="A1135" t="s">
        <v>7</v>
      </c>
      <c r="B1135" s="1">
        <v>44256</v>
      </c>
      <c r="C1135" s="1">
        <v>55153</v>
      </c>
      <c r="D1135" s="4" t="s">
        <v>1928</v>
      </c>
      <c r="E1135" t="s">
        <v>10</v>
      </c>
      <c r="F1135" t="s">
        <v>11</v>
      </c>
      <c r="G1135" t="s">
        <v>2918</v>
      </c>
      <c r="H1135" t="s">
        <v>2975</v>
      </c>
      <c r="I1135" t="s">
        <v>2895</v>
      </c>
      <c r="J1135" t="str">
        <f>IF(ISNUMBER(MATCH($D1135,'Lopettaneet 2013-&gt;'!$D:$D,0)),INDEX('Lopettaneet 2013-&gt;'!$K:$K,MATCH($D1135,'Lopettaneet 2013-&gt;'!$D:$D,0)),"Continues")</f>
        <v>Continues</v>
      </c>
      <c r="K1135">
        <f ca="1">IF($J1135="Continues",DATEDIF($B1135,TODAY(),"Y"),INDEX('Lopettaneet 2013-&gt;'!$L:$L,MATCH($D1135,'Lopettaneet 2013-&gt;'!$D:$D,0)))</f>
        <v>4</v>
      </c>
      <c r="L1135">
        <v>870</v>
      </c>
    </row>
    <row r="1136" spans="1:12" x14ac:dyDescent="0.25">
      <c r="A1136" t="s">
        <v>0</v>
      </c>
      <c r="B1136" s="1">
        <v>44287</v>
      </c>
      <c r="C1136" s="1">
        <v>55153</v>
      </c>
      <c r="D1136" s="4" t="s">
        <v>1930</v>
      </c>
      <c r="E1136" t="s">
        <v>10</v>
      </c>
      <c r="F1136" t="s">
        <v>4</v>
      </c>
      <c r="G1136" t="s">
        <v>2918</v>
      </c>
      <c r="H1136" t="s">
        <v>2988</v>
      </c>
      <c r="I1136" t="s">
        <v>2894</v>
      </c>
      <c r="J1136" t="str">
        <f>IF(ISNUMBER(MATCH($D1136,'Lopettaneet 2013-&gt;'!$D:$D,0)),INDEX('Lopettaneet 2013-&gt;'!$K:$K,MATCH($D1136,'Lopettaneet 2013-&gt;'!$D:$D,0)),"Continues")</f>
        <v>Continues</v>
      </c>
      <c r="K1136">
        <f ca="1">IF($J1136="Continues",DATEDIF($B1136,TODAY(),"Y"),INDEX('Lopettaneet 2013-&gt;'!$L:$L,MATCH($D1136,'Lopettaneet 2013-&gt;'!$D:$D,0)))</f>
        <v>4</v>
      </c>
      <c r="L1136">
        <v>871</v>
      </c>
    </row>
    <row r="1137" spans="1:12" x14ac:dyDescent="0.25">
      <c r="A1137" t="s">
        <v>0</v>
      </c>
      <c r="B1137" s="1">
        <v>44197</v>
      </c>
      <c r="C1137" s="1">
        <v>55153</v>
      </c>
      <c r="D1137" s="4" t="s">
        <v>1932</v>
      </c>
      <c r="E1137" t="s">
        <v>10</v>
      </c>
      <c r="F1137" t="s">
        <v>4</v>
      </c>
      <c r="G1137" t="s">
        <v>2915</v>
      </c>
      <c r="H1137" t="s">
        <v>2960</v>
      </c>
      <c r="I1137" t="s">
        <v>2894</v>
      </c>
      <c r="J1137" t="str">
        <f>IF(ISNUMBER(MATCH($D1137,'Lopettaneet 2013-&gt;'!$D:$D,0)),INDEX('Lopettaneet 2013-&gt;'!$K:$K,MATCH($D1137,'Lopettaneet 2013-&gt;'!$D:$D,0)),"Continues")</f>
        <v>Continues</v>
      </c>
      <c r="K1137">
        <f ca="1">IF($J1137="Continues",DATEDIF($B1137,TODAY(),"Y"),INDEX('Lopettaneet 2013-&gt;'!$L:$L,MATCH($D1137,'Lopettaneet 2013-&gt;'!$D:$D,0)))</f>
        <v>4</v>
      </c>
      <c r="L1137">
        <v>872</v>
      </c>
    </row>
    <row r="1138" spans="1:12" x14ac:dyDescent="0.25">
      <c r="A1138" t="s">
        <v>0</v>
      </c>
      <c r="B1138" s="1">
        <v>44166</v>
      </c>
      <c r="C1138" s="1">
        <v>55153</v>
      </c>
      <c r="D1138" s="4" t="s">
        <v>1934</v>
      </c>
      <c r="E1138" t="s">
        <v>10</v>
      </c>
      <c r="F1138" t="s">
        <v>4</v>
      </c>
      <c r="G1138" t="s">
        <v>2919</v>
      </c>
      <c r="H1138" t="s">
        <v>2842</v>
      </c>
      <c r="I1138" t="s">
        <v>2895</v>
      </c>
      <c r="J1138" t="str">
        <f>IF(ISNUMBER(MATCH($D1138,'Lopettaneet 2013-&gt;'!$D:$D,0)),INDEX('Lopettaneet 2013-&gt;'!$K:$K,MATCH($D1138,'Lopettaneet 2013-&gt;'!$D:$D,0)),"Continues")</f>
        <v>Continues</v>
      </c>
      <c r="K1138">
        <f ca="1">IF($J1138="Continues",DATEDIF($B1138,TODAY(),"Y"),INDEX('Lopettaneet 2013-&gt;'!$L:$L,MATCH($D1138,'Lopettaneet 2013-&gt;'!$D:$D,0)))</f>
        <v>4</v>
      </c>
      <c r="L1138">
        <v>873</v>
      </c>
    </row>
    <row r="1139" spans="1:12" x14ac:dyDescent="0.25">
      <c r="A1139" t="s">
        <v>0</v>
      </c>
      <c r="B1139" s="1">
        <v>44166</v>
      </c>
      <c r="C1139" s="1">
        <v>55153</v>
      </c>
      <c r="D1139" s="4" t="s">
        <v>1936</v>
      </c>
      <c r="E1139" t="s">
        <v>10</v>
      </c>
      <c r="F1139" t="s">
        <v>4</v>
      </c>
      <c r="G1139" t="s">
        <v>2918</v>
      </c>
      <c r="H1139" t="s">
        <v>2948</v>
      </c>
      <c r="I1139" t="s">
        <v>2894</v>
      </c>
      <c r="J1139" t="str">
        <f>IF(ISNUMBER(MATCH($D1139,'Lopettaneet 2013-&gt;'!$D:$D,0)),INDEX('Lopettaneet 2013-&gt;'!$K:$K,MATCH($D1139,'Lopettaneet 2013-&gt;'!$D:$D,0)),"Continues")</f>
        <v>Continues</v>
      </c>
      <c r="K1139">
        <f ca="1">IF($J1139="Continues",DATEDIF($B1139,TODAY(),"Y"),INDEX('Lopettaneet 2013-&gt;'!$L:$L,MATCH($D1139,'Lopettaneet 2013-&gt;'!$D:$D,0)))</f>
        <v>4</v>
      </c>
      <c r="L1139">
        <v>874</v>
      </c>
    </row>
    <row r="1140" spans="1:12" x14ac:dyDescent="0.25">
      <c r="A1140" t="s">
        <v>0</v>
      </c>
      <c r="B1140" s="1">
        <v>44136</v>
      </c>
      <c r="C1140" s="1">
        <v>55153</v>
      </c>
      <c r="D1140" s="4" t="s">
        <v>1938</v>
      </c>
      <c r="E1140" t="s">
        <v>10</v>
      </c>
      <c r="F1140" t="s">
        <v>11</v>
      </c>
      <c r="G1140" t="s">
        <v>2918</v>
      </c>
      <c r="H1140" t="s">
        <v>2950</v>
      </c>
      <c r="I1140" t="s">
        <v>2895</v>
      </c>
      <c r="J1140" t="str">
        <f>IF(ISNUMBER(MATCH($D1140,'Lopettaneet 2013-&gt;'!$D:$D,0)),INDEX('Lopettaneet 2013-&gt;'!$K:$K,MATCH($D1140,'Lopettaneet 2013-&gt;'!$D:$D,0)),"Continues")</f>
        <v>Continues</v>
      </c>
      <c r="K1140">
        <f ca="1">IF($J1140="Continues",DATEDIF($B1140,TODAY(),"Y"),INDEX('Lopettaneet 2013-&gt;'!$L:$L,MATCH($D1140,'Lopettaneet 2013-&gt;'!$D:$D,0)))</f>
        <v>4</v>
      </c>
      <c r="L1140">
        <v>875</v>
      </c>
    </row>
    <row r="1141" spans="1:12" x14ac:dyDescent="0.25">
      <c r="A1141" t="s">
        <v>7</v>
      </c>
      <c r="B1141" s="1">
        <v>44531</v>
      </c>
      <c r="C1141" s="1">
        <v>55153</v>
      </c>
      <c r="D1141" s="4" t="s">
        <v>1940</v>
      </c>
      <c r="E1141" t="s">
        <v>10</v>
      </c>
      <c r="F1141" t="s">
        <v>11</v>
      </c>
      <c r="G1141" t="s">
        <v>2912</v>
      </c>
      <c r="H1141" t="s">
        <v>2766</v>
      </c>
      <c r="I1141" t="s">
        <v>2895</v>
      </c>
      <c r="J1141" t="str">
        <f>IF(ISNUMBER(MATCH($D1141,'Lopettaneet 2013-&gt;'!$D:$D,0)),INDEX('Lopettaneet 2013-&gt;'!$K:$K,MATCH($D1141,'Lopettaneet 2013-&gt;'!$D:$D,0)),"Continues")</f>
        <v>Continues</v>
      </c>
      <c r="K1141">
        <f ca="1">IF($J1141="Continues",DATEDIF($B1141,TODAY(),"Y"),INDEX('Lopettaneet 2013-&gt;'!$L:$L,MATCH($D1141,'Lopettaneet 2013-&gt;'!$D:$D,0)))</f>
        <v>3</v>
      </c>
      <c r="L1141">
        <v>876</v>
      </c>
    </row>
    <row r="1142" spans="1:12" x14ac:dyDescent="0.25">
      <c r="A1142" t="s">
        <v>0</v>
      </c>
      <c r="B1142" s="1">
        <v>44531</v>
      </c>
      <c r="C1142" s="1">
        <v>55153</v>
      </c>
      <c r="D1142" s="4" t="s">
        <v>1942</v>
      </c>
      <c r="E1142" t="s">
        <v>10</v>
      </c>
      <c r="F1142" t="s">
        <v>11</v>
      </c>
      <c r="G1142" t="s">
        <v>2917</v>
      </c>
      <c r="H1142" t="s">
        <v>2766</v>
      </c>
      <c r="I1142" t="s">
        <v>2895</v>
      </c>
      <c r="J1142" t="str">
        <f>IF(ISNUMBER(MATCH($D1142,'Lopettaneet 2013-&gt;'!$D:$D,0)),INDEX('Lopettaneet 2013-&gt;'!$K:$K,MATCH($D1142,'Lopettaneet 2013-&gt;'!$D:$D,0)),"Continues")</f>
        <v>Continues</v>
      </c>
      <c r="K1142">
        <f ca="1">IF($J1142="Continues",DATEDIF($B1142,TODAY(),"Y"),INDEX('Lopettaneet 2013-&gt;'!$L:$L,MATCH($D1142,'Lopettaneet 2013-&gt;'!$D:$D,0)))</f>
        <v>3</v>
      </c>
      <c r="L1142">
        <v>877</v>
      </c>
    </row>
    <row r="1143" spans="1:12" x14ac:dyDescent="0.25">
      <c r="A1143" t="s">
        <v>0</v>
      </c>
      <c r="B1143" s="1">
        <v>44256</v>
      </c>
      <c r="C1143" s="1">
        <v>55153</v>
      </c>
      <c r="D1143" s="4" t="s">
        <v>1944</v>
      </c>
      <c r="E1143" t="s">
        <v>10</v>
      </c>
      <c r="F1143" t="s">
        <v>11</v>
      </c>
      <c r="G1143" t="s">
        <v>2917</v>
      </c>
      <c r="H1143" t="s">
        <v>2766</v>
      </c>
      <c r="I1143" t="s">
        <v>2895</v>
      </c>
      <c r="J1143" t="str">
        <f>IF(ISNUMBER(MATCH($D1143,'Lopettaneet 2013-&gt;'!$D:$D,0)),INDEX('Lopettaneet 2013-&gt;'!$K:$K,MATCH($D1143,'Lopettaneet 2013-&gt;'!$D:$D,0)),"Continues")</f>
        <v>Continues</v>
      </c>
      <c r="K1143">
        <f ca="1">IF($J1143="Continues",DATEDIF($B1143,TODAY(),"Y"),INDEX('Lopettaneet 2013-&gt;'!$L:$L,MATCH($D1143,'Lopettaneet 2013-&gt;'!$D:$D,0)))</f>
        <v>4</v>
      </c>
      <c r="L1143">
        <v>878</v>
      </c>
    </row>
    <row r="1144" spans="1:12" x14ac:dyDescent="0.25">
      <c r="A1144" t="s">
        <v>0</v>
      </c>
      <c r="B1144" s="1">
        <v>44256</v>
      </c>
      <c r="C1144" s="1">
        <v>55153</v>
      </c>
      <c r="D1144" s="4" t="s">
        <v>1946</v>
      </c>
      <c r="E1144" t="s">
        <v>10</v>
      </c>
      <c r="F1144" t="s">
        <v>11</v>
      </c>
      <c r="G1144" t="s">
        <v>2917</v>
      </c>
      <c r="H1144" t="s">
        <v>2766</v>
      </c>
      <c r="I1144" t="s">
        <v>2895</v>
      </c>
      <c r="J1144" t="str">
        <f>IF(ISNUMBER(MATCH($D1144,'Lopettaneet 2013-&gt;'!$D:$D,0)),INDEX('Lopettaneet 2013-&gt;'!$K:$K,MATCH($D1144,'Lopettaneet 2013-&gt;'!$D:$D,0)),"Continues")</f>
        <v>Continues</v>
      </c>
      <c r="K1144">
        <f ca="1">IF($J1144="Continues",DATEDIF($B1144,TODAY(),"Y"),INDEX('Lopettaneet 2013-&gt;'!$L:$L,MATCH($D1144,'Lopettaneet 2013-&gt;'!$D:$D,0)))</f>
        <v>4</v>
      </c>
      <c r="L1144">
        <v>879</v>
      </c>
    </row>
    <row r="1145" spans="1:12" x14ac:dyDescent="0.25">
      <c r="A1145" t="s">
        <v>0</v>
      </c>
      <c r="B1145" s="1">
        <v>44256</v>
      </c>
      <c r="C1145" s="1">
        <v>44530</v>
      </c>
      <c r="D1145" s="4" t="s">
        <v>3214</v>
      </c>
      <c r="E1145" t="s">
        <v>10</v>
      </c>
      <c r="F1145" t="s">
        <v>4</v>
      </c>
      <c r="G1145" t="s">
        <v>2917</v>
      </c>
      <c r="H1145" t="s">
        <v>2777</v>
      </c>
      <c r="I1145" t="s">
        <v>2909</v>
      </c>
      <c r="J1145" t="str">
        <f>IF(ISNUMBER(MATCH($D1145,'Lopettaneet 2013-&gt;'!$D:$D,0)),INDEX('Lopettaneet 2013-&gt;'!$K:$K,MATCH($D1145,'Lopettaneet 2013-&gt;'!$D:$D,0)),"Continues")</f>
        <v>Continues</v>
      </c>
      <c r="K1145">
        <f ca="1">IF($J1145="Continues",DATEDIF($B1145,TODAY(),"Y"),INDEX('Lopettaneet 2013-&gt;'!$L:$L,MATCH($D1145,'Lopettaneet 2013-&gt;'!$D:$D,0)))</f>
        <v>4</v>
      </c>
      <c r="L1145">
        <v>880</v>
      </c>
    </row>
    <row r="1146" spans="1:12" x14ac:dyDescent="0.25">
      <c r="A1146" t="s">
        <v>7</v>
      </c>
      <c r="B1146" s="1">
        <v>44256</v>
      </c>
      <c r="C1146" s="1">
        <v>55153</v>
      </c>
      <c r="D1146" s="4" t="s">
        <v>1950</v>
      </c>
      <c r="E1146" t="s">
        <v>10</v>
      </c>
      <c r="F1146" t="s">
        <v>11</v>
      </c>
      <c r="G1146" t="s">
        <v>2912</v>
      </c>
      <c r="H1146" t="s">
        <v>2950</v>
      </c>
      <c r="I1146" t="s">
        <v>2895</v>
      </c>
      <c r="J1146" t="str">
        <f>IF(ISNUMBER(MATCH($D1146,'Lopettaneet 2013-&gt;'!$D:$D,0)),INDEX('Lopettaneet 2013-&gt;'!$K:$K,MATCH($D1146,'Lopettaneet 2013-&gt;'!$D:$D,0)),"Continues")</f>
        <v>Continues</v>
      </c>
      <c r="K1146">
        <f ca="1">IF($J1146="Continues",DATEDIF($B1146,TODAY(),"Y"),INDEX('Lopettaneet 2013-&gt;'!$L:$L,MATCH($D1146,'Lopettaneet 2013-&gt;'!$D:$D,0)))</f>
        <v>4</v>
      </c>
      <c r="L1146">
        <v>881</v>
      </c>
    </row>
    <row r="1147" spans="1:12" x14ac:dyDescent="0.25">
      <c r="A1147" t="s">
        <v>7</v>
      </c>
      <c r="B1147" s="1">
        <v>44348</v>
      </c>
      <c r="C1147" s="1">
        <v>45199</v>
      </c>
      <c r="D1147" s="4" t="s">
        <v>61</v>
      </c>
      <c r="E1147" t="s">
        <v>10</v>
      </c>
      <c r="F1147" t="s">
        <v>11</v>
      </c>
      <c r="G1147" t="s">
        <v>2918</v>
      </c>
      <c r="H1147" t="s">
        <v>2980</v>
      </c>
      <c r="I1147" t="s">
        <v>2909</v>
      </c>
      <c r="J1147" t="str">
        <f>IF(ISNUMBER(MATCH($D1147,'Lopettaneet 2013-&gt;'!$D:$D,0)),INDEX('Lopettaneet 2013-&gt;'!$K:$K,MATCH($D1147,'Lopettaneet 2013-&gt;'!$D:$D,0)),"Continues")</f>
        <v>Closed</v>
      </c>
      <c r="K1147">
        <f ca="1">IF($J1147="Continues",DATEDIF($B1147,TODAY(),"Y"),INDEX('Lopettaneet 2013-&gt;'!$L:$L,MATCH($D1147,'Lopettaneet 2013-&gt;'!$D:$D,0)))</f>
        <v>2</v>
      </c>
      <c r="L1147">
        <v>882</v>
      </c>
    </row>
    <row r="1148" spans="1:12" x14ac:dyDescent="0.25">
      <c r="A1148" t="s">
        <v>7</v>
      </c>
      <c r="B1148" s="1">
        <v>44348</v>
      </c>
      <c r="C1148" s="1">
        <v>55153</v>
      </c>
      <c r="D1148" s="4" t="s">
        <v>1953</v>
      </c>
      <c r="E1148" t="s">
        <v>10</v>
      </c>
      <c r="F1148" t="s">
        <v>11</v>
      </c>
      <c r="G1148" t="s">
        <v>2916</v>
      </c>
      <c r="H1148" t="s">
        <v>3015</v>
      </c>
      <c r="I1148" t="s">
        <v>2894</v>
      </c>
      <c r="J1148" t="str">
        <f>IF(ISNUMBER(MATCH($D1148,'Lopettaneet 2013-&gt;'!$D:$D,0)),INDEX('Lopettaneet 2013-&gt;'!$K:$K,MATCH($D1148,'Lopettaneet 2013-&gt;'!$D:$D,0)),"Continues")</f>
        <v>Continues</v>
      </c>
      <c r="K1148">
        <f ca="1">IF($J1148="Continues",DATEDIF($B1148,TODAY(),"Y"),INDEX('Lopettaneet 2013-&gt;'!$L:$L,MATCH($D1148,'Lopettaneet 2013-&gt;'!$D:$D,0)))</f>
        <v>3</v>
      </c>
      <c r="L1148">
        <v>883</v>
      </c>
    </row>
    <row r="1149" spans="1:12" x14ac:dyDescent="0.25">
      <c r="A1149" t="s">
        <v>7</v>
      </c>
      <c r="B1149" s="1">
        <v>44348</v>
      </c>
      <c r="C1149" s="1">
        <v>55153</v>
      </c>
      <c r="D1149" s="4" t="s">
        <v>1955</v>
      </c>
      <c r="E1149" t="s">
        <v>10</v>
      </c>
      <c r="F1149" t="s">
        <v>11</v>
      </c>
      <c r="G1149" t="s">
        <v>2916</v>
      </c>
      <c r="H1149" t="s">
        <v>3015</v>
      </c>
      <c r="I1149" t="s">
        <v>2894</v>
      </c>
      <c r="J1149" t="str">
        <f>IF(ISNUMBER(MATCH($D1149,'Lopettaneet 2013-&gt;'!$D:$D,0)),INDEX('Lopettaneet 2013-&gt;'!$K:$K,MATCH($D1149,'Lopettaneet 2013-&gt;'!$D:$D,0)),"Continues")</f>
        <v>Continues</v>
      </c>
      <c r="K1149">
        <f ca="1">IF($J1149="Continues",DATEDIF($B1149,TODAY(),"Y"),INDEX('Lopettaneet 2013-&gt;'!$L:$L,MATCH($D1149,'Lopettaneet 2013-&gt;'!$D:$D,0)))</f>
        <v>3</v>
      </c>
      <c r="L1149">
        <v>884</v>
      </c>
    </row>
    <row r="1150" spans="1:12" x14ac:dyDescent="0.25">
      <c r="A1150" t="s">
        <v>7</v>
      </c>
      <c r="B1150" s="1">
        <v>44440</v>
      </c>
      <c r="C1150" s="1">
        <v>55153</v>
      </c>
      <c r="D1150" s="4" t="s">
        <v>1957</v>
      </c>
      <c r="E1150" t="s">
        <v>10</v>
      </c>
      <c r="F1150" t="s">
        <v>11</v>
      </c>
      <c r="G1150" t="s">
        <v>2914</v>
      </c>
      <c r="H1150" t="s">
        <v>3010</v>
      </c>
      <c r="I1150" t="s">
        <v>2894</v>
      </c>
      <c r="J1150" t="str">
        <f>IF(ISNUMBER(MATCH($D1150,'Lopettaneet 2013-&gt;'!$D:$D,0)),INDEX('Lopettaneet 2013-&gt;'!$K:$K,MATCH($D1150,'Lopettaneet 2013-&gt;'!$D:$D,0)),"Continues")</f>
        <v>Continues</v>
      </c>
      <c r="K1150">
        <f ca="1">IF($J1150="Continues",DATEDIF($B1150,TODAY(),"Y"),INDEX('Lopettaneet 2013-&gt;'!$L:$L,MATCH($D1150,'Lopettaneet 2013-&gt;'!$D:$D,0)))</f>
        <v>3</v>
      </c>
      <c r="L1150">
        <v>885</v>
      </c>
    </row>
    <row r="1151" spans="1:12" x14ac:dyDescent="0.25">
      <c r="A1151" t="s">
        <v>7</v>
      </c>
      <c r="B1151" s="1">
        <v>44348</v>
      </c>
      <c r="C1151" s="1">
        <v>55153</v>
      </c>
      <c r="D1151" s="4" t="s">
        <v>1959</v>
      </c>
      <c r="E1151" t="s">
        <v>10</v>
      </c>
      <c r="F1151" t="s">
        <v>11</v>
      </c>
      <c r="G1151" t="s">
        <v>2916</v>
      </c>
      <c r="H1151" t="s">
        <v>2996</v>
      </c>
      <c r="I1151" t="s">
        <v>2895</v>
      </c>
      <c r="J1151" t="str">
        <f>IF(ISNUMBER(MATCH($D1151,'Lopettaneet 2013-&gt;'!$D:$D,0)),INDEX('Lopettaneet 2013-&gt;'!$K:$K,MATCH($D1151,'Lopettaneet 2013-&gt;'!$D:$D,0)),"Continues")</f>
        <v>Continues</v>
      </c>
      <c r="K1151">
        <f ca="1">IF($J1151="Continues",DATEDIF($B1151,TODAY(),"Y"),INDEX('Lopettaneet 2013-&gt;'!$L:$L,MATCH($D1151,'Lopettaneet 2013-&gt;'!$D:$D,0)))</f>
        <v>3</v>
      </c>
      <c r="L1151">
        <v>886</v>
      </c>
    </row>
    <row r="1152" spans="1:12" x14ac:dyDescent="0.25">
      <c r="A1152" t="s">
        <v>7</v>
      </c>
      <c r="B1152" s="1">
        <v>44348</v>
      </c>
      <c r="C1152" s="1">
        <v>55153</v>
      </c>
      <c r="D1152" s="4" t="s">
        <v>1961</v>
      </c>
      <c r="E1152" t="s">
        <v>10</v>
      </c>
      <c r="F1152" t="s">
        <v>11</v>
      </c>
      <c r="G1152" t="s">
        <v>2914</v>
      </c>
      <c r="H1152" t="s">
        <v>2874</v>
      </c>
      <c r="I1152" t="s">
        <v>2894</v>
      </c>
      <c r="J1152" t="str">
        <f>IF(ISNUMBER(MATCH($D1152,'Lopettaneet 2013-&gt;'!$D:$D,0)),INDEX('Lopettaneet 2013-&gt;'!$K:$K,MATCH($D1152,'Lopettaneet 2013-&gt;'!$D:$D,0)),"Continues")</f>
        <v>Continues</v>
      </c>
      <c r="K1152">
        <f ca="1">IF($J1152="Continues",DATEDIF($B1152,TODAY(),"Y"),INDEX('Lopettaneet 2013-&gt;'!$L:$L,MATCH($D1152,'Lopettaneet 2013-&gt;'!$D:$D,0)))</f>
        <v>3</v>
      </c>
      <c r="L1152">
        <v>887</v>
      </c>
    </row>
    <row r="1153" spans="1:12" x14ac:dyDescent="0.25">
      <c r="A1153" t="s">
        <v>0</v>
      </c>
      <c r="B1153" s="1">
        <v>44409</v>
      </c>
      <c r="C1153" s="1">
        <v>55153</v>
      </c>
      <c r="D1153" s="4" t="s">
        <v>1963</v>
      </c>
      <c r="E1153" t="s">
        <v>10</v>
      </c>
      <c r="F1153" t="s">
        <v>4</v>
      </c>
      <c r="G1153" t="s">
        <v>2913</v>
      </c>
      <c r="H1153" t="s">
        <v>2946</v>
      </c>
      <c r="I1153" t="s">
        <v>2894</v>
      </c>
      <c r="J1153" t="str">
        <f>IF(ISNUMBER(MATCH($D1153,'Lopettaneet 2013-&gt;'!$D:$D,0)),INDEX('Lopettaneet 2013-&gt;'!$K:$K,MATCH($D1153,'Lopettaneet 2013-&gt;'!$D:$D,0)),"Continues")</f>
        <v>Continues</v>
      </c>
      <c r="K1153">
        <f ca="1">IF($J1153="Continues",DATEDIF($B1153,TODAY(),"Y"),INDEX('Lopettaneet 2013-&gt;'!$L:$L,MATCH($D1153,'Lopettaneet 2013-&gt;'!$D:$D,0)))</f>
        <v>3</v>
      </c>
      <c r="L1153">
        <v>888</v>
      </c>
    </row>
    <row r="1154" spans="1:12" x14ac:dyDescent="0.25">
      <c r="A1154" t="s">
        <v>7</v>
      </c>
      <c r="B1154" s="1">
        <v>44256</v>
      </c>
      <c r="C1154" s="1">
        <v>55153</v>
      </c>
      <c r="D1154" s="4" t="s">
        <v>1965</v>
      </c>
      <c r="E1154" t="s">
        <v>10</v>
      </c>
      <c r="F1154" t="s">
        <v>11</v>
      </c>
      <c r="G1154" t="s">
        <v>2914</v>
      </c>
      <c r="H1154" t="s">
        <v>2976</v>
      </c>
      <c r="I1154" t="s">
        <v>2895</v>
      </c>
      <c r="J1154" t="str">
        <f>IF(ISNUMBER(MATCH($D1154,'Lopettaneet 2013-&gt;'!$D:$D,0)),INDEX('Lopettaneet 2013-&gt;'!$K:$K,MATCH($D1154,'Lopettaneet 2013-&gt;'!$D:$D,0)),"Continues")</f>
        <v>Continues</v>
      </c>
      <c r="K1154">
        <f ca="1">IF($J1154="Continues",DATEDIF($B1154,TODAY(),"Y"),INDEX('Lopettaneet 2013-&gt;'!$L:$L,MATCH($D1154,'Lopettaneet 2013-&gt;'!$D:$D,0)))</f>
        <v>4</v>
      </c>
      <c r="L1154">
        <v>889</v>
      </c>
    </row>
    <row r="1155" spans="1:12" x14ac:dyDescent="0.25">
      <c r="A1155" t="s">
        <v>7</v>
      </c>
      <c r="B1155" s="1">
        <v>44348</v>
      </c>
      <c r="C1155" s="1">
        <v>55153</v>
      </c>
      <c r="D1155" s="4" t="s">
        <v>1967</v>
      </c>
      <c r="E1155" t="s">
        <v>10</v>
      </c>
      <c r="F1155" t="s">
        <v>11</v>
      </c>
      <c r="G1155" t="s">
        <v>2914</v>
      </c>
      <c r="H1155" t="s">
        <v>2982</v>
      </c>
      <c r="I1155" t="s">
        <v>2895</v>
      </c>
      <c r="J1155" t="str">
        <f>IF(ISNUMBER(MATCH($D1155,'Lopettaneet 2013-&gt;'!$D:$D,0)),INDEX('Lopettaneet 2013-&gt;'!$K:$K,MATCH($D1155,'Lopettaneet 2013-&gt;'!$D:$D,0)),"Continues")</f>
        <v>Continues</v>
      </c>
      <c r="K1155">
        <f ca="1">IF($J1155="Continues",DATEDIF($B1155,TODAY(),"Y"),INDEX('Lopettaneet 2013-&gt;'!$L:$L,MATCH($D1155,'Lopettaneet 2013-&gt;'!$D:$D,0)))</f>
        <v>3</v>
      </c>
      <c r="L1155">
        <v>890</v>
      </c>
    </row>
    <row r="1156" spans="1:12" x14ac:dyDescent="0.25">
      <c r="A1156" t="s">
        <v>0</v>
      </c>
      <c r="B1156" s="1">
        <v>44317</v>
      </c>
      <c r="C1156" s="1">
        <v>55153</v>
      </c>
      <c r="D1156" s="4" t="s">
        <v>1969</v>
      </c>
      <c r="E1156" t="s">
        <v>10</v>
      </c>
      <c r="F1156" t="s">
        <v>11</v>
      </c>
      <c r="G1156" t="s">
        <v>2917</v>
      </c>
      <c r="H1156" t="s">
        <v>2766</v>
      </c>
      <c r="I1156" t="s">
        <v>2895</v>
      </c>
      <c r="J1156" t="str">
        <f>IF(ISNUMBER(MATCH($D1156,'Lopettaneet 2013-&gt;'!$D:$D,0)),INDEX('Lopettaneet 2013-&gt;'!$K:$K,MATCH($D1156,'Lopettaneet 2013-&gt;'!$D:$D,0)),"Continues")</f>
        <v>Continues</v>
      </c>
      <c r="K1156">
        <f ca="1">IF($J1156="Continues",DATEDIF($B1156,TODAY(),"Y"),INDEX('Lopettaneet 2013-&gt;'!$L:$L,MATCH($D1156,'Lopettaneet 2013-&gt;'!$D:$D,0)))</f>
        <v>4</v>
      </c>
      <c r="L1156">
        <v>891</v>
      </c>
    </row>
    <row r="1157" spans="1:12" x14ac:dyDescent="0.25">
      <c r="A1157" t="s">
        <v>0</v>
      </c>
      <c r="B1157" s="1">
        <v>44317</v>
      </c>
      <c r="C1157" s="1">
        <v>55153</v>
      </c>
      <c r="D1157" s="4" t="s">
        <v>1971</v>
      </c>
      <c r="E1157" t="s">
        <v>10</v>
      </c>
      <c r="F1157" t="s">
        <v>11</v>
      </c>
      <c r="G1157" t="s">
        <v>2917</v>
      </c>
      <c r="H1157" t="s">
        <v>2766</v>
      </c>
      <c r="I1157" t="s">
        <v>2895</v>
      </c>
      <c r="J1157" t="str">
        <f>IF(ISNUMBER(MATCH($D1157,'Lopettaneet 2013-&gt;'!$D:$D,0)),INDEX('Lopettaneet 2013-&gt;'!$K:$K,MATCH($D1157,'Lopettaneet 2013-&gt;'!$D:$D,0)),"Continues")</f>
        <v>Continues</v>
      </c>
      <c r="K1157">
        <f ca="1">IF($J1157="Continues",DATEDIF($B1157,TODAY(),"Y"),INDEX('Lopettaneet 2013-&gt;'!$L:$L,MATCH($D1157,'Lopettaneet 2013-&gt;'!$D:$D,0)))</f>
        <v>4</v>
      </c>
      <c r="L1157">
        <v>892</v>
      </c>
    </row>
    <row r="1158" spans="1:12" x14ac:dyDescent="0.25">
      <c r="A1158" t="s">
        <v>7</v>
      </c>
      <c r="B1158" s="1">
        <v>44348</v>
      </c>
      <c r="C1158" s="1">
        <v>55153</v>
      </c>
      <c r="D1158" s="4" t="s">
        <v>1973</v>
      </c>
      <c r="E1158" t="s">
        <v>10</v>
      </c>
      <c r="F1158" t="s">
        <v>11</v>
      </c>
      <c r="G1158" t="s">
        <v>2918</v>
      </c>
      <c r="H1158" t="s">
        <v>2946</v>
      </c>
      <c r="I1158" t="s">
        <v>2894</v>
      </c>
      <c r="J1158" t="str">
        <f>IF(ISNUMBER(MATCH($D1158,'Lopettaneet 2013-&gt;'!$D:$D,0)),INDEX('Lopettaneet 2013-&gt;'!$K:$K,MATCH($D1158,'Lopettaneet 2013-&gt;'!$D:$D,0)),"Continues")</f>
        <v>Continues</v>
      </c>
      <c r="K1158">
        <f ca="1">IF($J1158="Continues",DATEDIF($B1158,TODAY(),"Y"),INDEX('Lopettaneet 2013-&gt;'!$L:$L,MATCH($D1158,'Lopettaneet 2013-&gt;'!$D:$D,0)))</f>
        <v>3</v>
      </c>
      <c r="L1158">
        <v>893</v>
      </c>
    </row>
    <row r="1159" spans="1:12" x14ac:dyDescent="0.25">
      <c r="A1159" t="s">
        <v>7</v>
      </c>
      <c r="B1159" s="1">
        <v>44348</v>
      </c>
      <c r="C1159" s="1">
        <v>55153</v>
      </c>
      <c r="D1159" s="4" t="s">
        <v>1975</v>
      </c>
      <c r="E1159" t="s">
        <v>10</v>
      </c>
      <c r="F1159" t="s">
        <v>11</v>
      </c>
      <c r="G1159" t="s">
        <v>2918</v>
      </c>
      <c r="H1159" t="s">
        <v>2981</v>
      </c>
      <c r="I1159" t="s">
        <v>2895</v>
      </c>
      <c r="J1159" t="str">
        <f>IF(ISNUMBER(MATCH($D1159,'Lopettaneet 2013-&gt;'!$D:$D,0)),INDEX('Lopettaneet 2013-&gt;'!$K:$K,MATCH($D1159,'Lopettaneet 2013-&gt;'!$D:$D,0)),"Continues")</f>
        <v>Continues</v>
      </c>
      <c r="K1159">
        <f ca="1">IF($J1159="Continues",DATEDIF($B1159,TODAY(),"Y"),INDEX('Lopettaneet 2013-&gt;'!$L:$L,MATCH($D1159,'Lopettaneet 2013-&gt;'!$D:$D,0)))</f>
        <v>3</v>
      </c>
      <c r="L1159">
        <v>894</v>
      </c>
    </row>
    <row r="1160" spans="1:12" x14ac:dyDescent="0.25">
      <c r="A1160" t="s">
        <v>7</v>
      </c>
      <c r="B1160" s="1">
        <v>44440</v>
      </c>
      <c r="C1160" s="1">
        <v>55153</v>
      </c>
      <c r="D1160" s="4" t="s">
        <v>1977</v>
      </c>
      <c r="E1160" t="s">
        <v>10</v>
      </c>
      <c r="F1160" t="s">
        <v>11</v>
      </c>
      <c r="G1160" t="s">
        <v>2918</v>
      </c>
      <c r="H1160" t="s">
        <v>2981</v>
      </c>
      <c r="I1160" t="s">
        <v>2895</v>
      </c>
      <c r="J1160" t="str">
        <f>IF(ISNUMBER(MATCH($D1160,'Lopettaneet 2013-&gt;'!$D:$D,0)),INDEX('Lopettaneet 2013-&gt;'!$K:$K,MATCH($D1160,'Lopettaneet 2013-&gt;'!$D:$D,0)),"Continues")</f>
        <v>Continues</v>
      </c>
      <c r="K1160">
        <f ca="1">IF($J1160="Continues",DATEDIF($B1160,TODAY(),"Y"),INDEX('Lopettaneet 2013-&gt;'!$L:$L,MATCH($D1160,'Lopettaneet 2013-&gt;'!$D:$D,0)))</f>
        <v>3</v>
      </c>
      <c r="L1160">
        <v>895</v>
      </c>
    </row>
    <row r="1161" spans="1:12" x14ac:dyDescent="0.25">
      <c r="A1161" t="s">
        <v>7</v>
      </c>
      <c r="B1161" s="1">
        <v>44621</v>
      </c>
      <c r="C1161" s="1">
        <v>55153</v>
      </c>
      <c r="D1161" s="4" t="s">
        <v>1979</v>
      </c>
      <c r="E1161" t="s">
        <v>10</v>
      </c>
      <c r="F1161" t="s">
        <v>11</v>
      </c>
      <c r="G1161" t="s">
        <v>2916</v>
      </c>
      <c r="H1161" t="s">
        <v>3002</v>
      </c>
      <c r="I1161" t="s">
        <v>2894</v>
      </c>
      <c r="J1161" t="str">
        <f>IF(ISNUMBER(MATCH($D1161,'Lopettaneet 2013-&gt;'!$D:$D,0)),INDEX('Lopettaneet 2013-&gt;'!$K:$K,MATCH($D1161,'Lopettaneet 2013-&gt;'!$D:$D,0)),"Continues")</f>
        <v>Continues</v>
      </c>
      <c r="K1161">
        <f ca="1">IF($J1161="Continues",DATEDIF($B1161,TODAY(),"Y"),INDEX('Lopettaneet 2013-&gt;'!$L:$L,MATCH($D1161,'Lopettaneet 2013-&gt;'!$D:$D,0)))</f>
        <v>3</v>
      </c>
      <c r="L1161">
        <v>896</v>
      </c>
    </row>
    <row r="1162" spans="1:12" x14ac:dyDescent="0.25">
      <c r="A1162" t="s">
        <v>7</v>
      </c>
      <c r="B1162" s="1">
        <v>44713</v>
      </c>
      <c r="C1162" s="1">
        <v>55153</v>
      </c>
      <c r="D1162" s="4" t="s">
        <v>1981</v>
      </c>
      <c r="E1162" t="s">
        <v>10</v>
      </c>
      <c r="F1162" t="s">
        <v>11</v>
      </c>
      <c r="G1162" t="s">
        <v>2916</v>
      </c>
      <c r="H1162" t="s">
        <v>3020</v>
      </c>
      <c r="I1162" t="s">
        <v>2895</v>
      </c>
      <c r="J1162" t="str">
        <f>IF(ISNUMBER(MATCH($D1162,'Lopettaneet 2013-&gt;'!$D:$D,0)),INDEX('Lopettaneet 2013-&gt;'!$K:$K,MATCH($D1162,'Lopettaneet 2013-&gt;'!$D:$D,0)),"Continues")</f>
        <v>Continues</v>
      </c>
      <c r="K1162">
        <f ca="1">IF($J1162="Continues",DATEDIF($B1162,TODAY(),"Y"),INDEX('Lopettaneet 2013-&gt;'!$L:$L,MATCH($D1162,'Lopettaneet 2013-&gt;'!$D:$D,0)))</f>
        <v>2</v>
      </c>
      <c r="L1162">
        <v>897</v>
      </c>
    </row>
    <row r="1163" spans="1:12" x14ac:dyDescent="0.25">
      <c r="A1163" t="s">
        <v>0</v>
      </c>
      <c r="B1163" s="1">
        <v>44287</v>
      </c>
      <c r="C1163" s="1">
        <v>55153</v>
      </c>
      <c r="D1163" s="4" t="s">
        <v>1983</v>
      </c>
      <c r="E1163" t="s">
        <v>3</v>
      </c>
      <c r="F1163" t="s">
        <v>4</v>
      </c>
      <c r="G1163" t="s">
        <v>2917</v>
      </c>
      <c r="H1163" t="s">
        <v>2946</v>
      </c>
      <c r="I1163" t="s">
        <v>2894</v>
      </c>
      <c r="J1163" t="str">
        <f>IF(ISNUMBER(MATCH($D1163,'Lopettaneet 2013-&gt;'!$D:$D,0)),INDEX('Lopettaneet 2013-&gt;'!$K:$K,MATCH($D1163,'Lopettaneet 2013-&gt;'!$D:$D,0)),"Continues")</f>
        <v>Continues</v>
      </c>
      <c r="K1163">
        <f ca="1">IF($J1163="Continues",DATEDIF($B1163,TODAY(),"Y"),INDEX('Lopettaneet 2013-&gt;'!$L:$L,MATCH($D1163,'Lopettaneet 2013-&gt;'!$D:$D,0)))</f>
        <v>4</v>
      </c>
      <c r="L1163">
        <v>898</v>
      </c>
    </row>
    <row r="1164" spans="1:12" x14ac:dyDescent="0.25">
      <c r="A1164" t="s">
        <v>0</v>
      </c>
      <c r="B1164" s="1">
        <v>44256</v>
      </c>
      <c r="C1164" s="1">
        <v>55153</v>
      </c>
      <c r="D1164" s="4" t="s">
        <v>1985</v>
      </c>
      <c r="E1164" t="s">
        <v>10</v>
      </c>
      <c r="F1164" t="s">
        <v>4</v>
      </c>
      <c r="G1164" t="s">
        <v>2917</v>
      </c>
      <c r="H1164" t="s">
        <v>2842</v>
      </c>
      <c r="I1164" t="s">
        <v>2894</v>
      </c>
      <c r="J1164" t="str">
        <f>IF(ISNUMBER(MATCH($D1164,'Lopettaneet 2013-&gt;'!$D:$D,0)),INDEX('Lopettaneet 2013-&gt;'!$K:$K,MATCH($D1164,'Lopettaneet 2013-&gt;'!$D:$D,0)),"Continues")</f>
        <v>Continues</v>
      </c>
      <c r="K1164">
        <f ca="1">IF($J1164="Continues",DATEDIF($B1164,TODAY(),"Y"),INDEX('Lopettaneet 2013-&gt;'!$L:$L,MATCH($D1164,'Lopettaneet 2013-&gt;'!$D:$D,0)))</f>
        <v>4</v>
      </c>
      <c r="L1164">
        <v>899</v>
      </c>
    </row>
    <row r="1165" spans="1:12" x14ac:dyDescent="0.25">
      <c r="A1165" t="s">
        <v>7</v>
      </c>
      <c r="B1165" s="1">
        <v>44348</v>
      </c>
      <c r="C1165" s="1">
        <v>55153</v>
      </c>
      <c r="D1165" s="4" t="s">
        <v>1987</v>
      </c>
      <c r="E1165" t="s">
        <v>10</v>
      </c>
      <c r="F1165" t="s">
        <v>11</v>
      </c>
      <c r="G1165" t="s">
        <v>2918</v>
      </c>
      <c r="H1165" t="s">
        <v>2946</v>
      </c>
      <c r="I1165" t="s">
        <v>2894</v>
      </c>
      <c r="J1165" t="str">
        <f>IF(ISNUMBER(MATCH($D1165,'Lopettaneet 2013-&gt;'!$D:$D,0)),INDEX('Lopettaneet 2013-&gt;'!$K:$K,MATCH($D1165,'Lopettaneet 2013-&gt;'!$D:$D,0)),"Continues")</f>
        <v>Continues</v>
      </c>
      <c r="K1165">
        <f ca="1">IF($J1165="Continues",DATEDIF($B1165,TODAY(),"Y"),INDEX('Lopettaneet 2013-&gt;'!$L:$L,MATCH($D1165,'Lopettaneet 2013-&gt;'!$D:$D,0)))</f>
        <v>3</v>
      </c>
      <c r="L1165">
        <v>900</v>
      </c>
    </row>
    <row r="1166" spans="1:12" x14ac:dyDescent="0.25">
      <c r="A1166" t="s">
        <v>0</v>
      </c>
      <c r="B1166" s="1">
        <v>44287</v>
      </c>
      <c r="C1166" s="1">
        <v>55153</v>
      </c>
      <c r="D1166" s="4" t="s">
        <v>1989</v>
      </c>
      <c r="E1166" t="s">
        <v>10</v>
      </c>
      <c r="F1166" t="s">
        <v>4</v>
      </c>
      <c r="G1166" t="s">
        <v>2918</v>
      </c>
      <c r="H1166" t="s">
        <v>2956</v>
      </c>
      <c r="I1166" t="s">
        <v>2894</v>
      </c>
      <c r="J1166" t="str">
        <f>IF(ISNUMBER(MATCH($D1166,'Lopettaneet 2013-&gt;'!$D:$D,0)),INDEX('Lopettaneet 2013-&gt;'!$K:$K,MATCH($D1166,'Lopettaneet 2013-&gt;'!$D:$D,0)),"Continues")</f>
        <v>Continues</v>
      </c>
      <c r="K1166">
        <f ca="1">IF($J1166="Continues",DATEDIF($B1166,TODAY(),"Y"),INDEX('Lopettaneet 2013-&gt;'!$L:$L,MATCH($D1166,'Lopettaneet 2013-&gt;'!$D:$D,0)))</f>
        <v>4</v>
      </c>
      <c r="L1166">
        <v>901</v>
      </c>
    </row>
    <row r="1167" spans="1:12" x14ac:dyDescent="0.25">
      <c r="A1167" t="s">
        <v>7</v>
      </c>
      <c r="B1167" s="1">
        <v>44531</v>
      </c>
      <c r="C1167" s="1">
        <v>55153</v>
      </c>
      <c r="D1167" s="4" t="s">
        <v>1991</v>
      </c>
      <c r="E1167" t="s">
        <v>10</v>
      </c>
      <c r="F1167" t="s">
        <v>11</v>
      </c>
      <c r="G1167" t="s">
        <v>2912</v>
      </c>
      <c r="H1167" t="s">
        <v>3000</v>
      </c>
      <c r="I1167" t="s">
        <v>2894</v>
      </c>
      <c r="J1167" t="str">
        <f>IF(ISNUMBER(MATCH($D1167,'Lopettaneet 2013-&gt;'!$D:$D,0)),INDEX('Lopettaneet 2013-&gt;'!$K:$K,MATCH($D1167,'Lopettaneet 2013-&gt;'!$D:$D,0)),"Continues")</f>
        <v>Continues</v>
      </c>
      <c r="K1167">
        <f ca="1">IF($J1167="Continues",DATEDIF($B1167,TODAY(),"Y"),INDEX('Lopettaneet 2013-&gt;'!$L:$L,MATCH($D1167,'Lopettaneet 2013-&gt;'!$D:$D,0)))</f>
        <v>3</v>
      </c>
      <c r="L1167">
        <v>902</v>
      </c>
    </row>
    <row r="1168" spans="1:12" x14ac:dyDescent="0.25">
      <c r="A1168" t="s">
        <v>0</v>
      </c>
      <c r="B1168" s="1">
        <v>44348</v>
      </c>
      <c r="C1168" s="1">
        <v>55153</v>
      </c>
      <c r="D1168" s="4" t="s">
        <v>1993</v>
      </c>
      <c r="E1168" t="s">
        <v>10</v>
      </c>
      <c r="F1168" t="s">
        <v>4</v>
      </c>
      <c r="G1168" t="s">
        <v>2914</v>
      </c>
      <c r="H1168" t="s">
        <v>2960</v>
      </c>
      <c r="I1168" t="s">
        <v>2894</v>
      </c>
      <c r="J1168" t="str">
        <f>IF(ISNUMBER(MATCH($D1168,'Lopettaneet 2013-&gt;'!$D:$D,0)),INDEX('Lopettaneet 2013-&gt;'!$K:$K,MATCH($D1168,'Lopettaneet 2013-&gt;'!$D:$D,0)),"Continues")</f>
        <v>Continues</v>
      </c>
      <c r="K1168">
        <f ca="1">IF($J1168="Continues",DATEDIF($B1168,TODAY(),"Y"),INDEX('Lopettaneet 2013-&gt;'!$L:$L,MATCH($D1168,'Lopettaneet 2013-&gt;'!$D:$D,0)))</f>
        <v>3</v>
      </c>
      <c r="L1168">
        <v>903</v>
      </c>
    </row>
    <row r="1169" spans="1:12" x14ac:dyDescent="0.25">
      <c r="A1169" t="s">
        <v>7</v>
      </c>
      <c r="B1169" s="1">
        <v>44531</v>
      </c>
      <c r="C1169" s="1">
        <v>55153</v>
      </c>
      <c r="D1169" s="4" t="s">
        <v>1995</v>
      </c>
      <c r="E1169" t="s">
        <v>10</v>
      </c>
      <c r="F1169" t="s">
        <v>11</v>
      </c>
      <c r="G1169" t="s">
        <v>2916</v>
      </c>
      <c r="H1169" t="s">
        <v>2877</v>
      </c>
      <c r="I1169" t="s">
        <v>2895</v>
      </c>
      <c r="J1169" t="str">
        <f>IF(ISNUMBER(MATCH($D1169,'Lopettaneet 2013-&gt;'!$D:$D,0)),INDEX('Lopettaneet 2013-&gt;'!$K:$K,MATCH($D1169,'Lopettaneet 2013-&gt;'!$D:$D,0)),"Continues")</f>
        <v>Continues</v>
      </c>
      <c r="K1169">
        <f ca="1">IF($J1169="Continues",DATEDIF($B1169,TODAY(),"Y"),INDEX('Lopettaneet 2013-&gt;'!$L:$L,MATCH($D1169,'Lopettaneet 2013-&gt;'!$D:$D,0)))</f>
        <v>3</v>
      </c>
      <c r="L1169">
        <v>904</v>
      </c>
    </row>
    <row r="1170" spans="1:12" x14ac:dyDescent="0.25">
      <c r="A1170" t="s">
        <v>7</v>
      </c>
      <c r="B1170" s="1">
        <v>44621</v>
      </c>
      <c r="C1170" s="1">
        <v>55153</v>
      </c>
      <c r="D1170" s="4" t="s">
        <v>1997</v>
      </c>
      <c r="E1170" t="s">
        <v>10</v>
      </c>
      <c r="F1170" t="s">
        <v>11</v>
      </c>
      <c r="G1170" t="s">
        <v>2916</v>
      </c>
      <c r="H1170" t="s">
        <v>3002</v>
      </c>
      <c r="I1170" t="s">
        <v>2894</v>
      </c>
      <c r="J1170" t="str">
        <f>IF(ISNUMBER(MATCH($D1170,'Lopettaneet 2013-&gt;'!$D:$D,0)),INDEX('Lopettaneet 2013-&gt;'!$K:$K,MATCH($D1170,'Lopettaneet 2013-&gt;'!$D:$D,0)),"Continues")</f>
        <v>Continues</v>
      </c>
      <c r="K1170">
        <f ca="1">IF($J1170="Continues",DATEDIF($B1170,TODAY(),"Y"),INDEX('Lopettaneet 2013-&gt;'!$L:$L,MATCH($D1170,'Lopettaneet 2013-&gt;'!$D:$D,0)))</f>
        <v>3</v>
      </c>
      <c r="L1170">
        <v>905</v>
      </c>
    </row>
    <row r="1171" spans="1:12" x14ac:dyDescent="0.25">
      <c r="A1171" t="s">
        <v>7</v>
      </c>
      <c r="B1171" s="1">
        <v>44440</v>
      </c>
      <c r="C1171" s="1">
        <v>55153</v>
      </c>
      <c r="D1171" s="4" t="s">
        <v>1999</v>
      </c>
      <c r="E1171" t="s">
        <v>10</v>
      </c>
      <c r="F1171" t="s">
        <v>11</v>
      </c>
      <c r="G1171" t="s">
        <v>2918</v>
      </c>
      <c r="H1171" t="s">
        <v>2953</v>
      </c>
      <c r="I1171" t="s">
        <v>2895</v>
      </c>
      <c r="J1171" t="str">
        <f>IF(ISNUMBER(MATCH($D1171,'Lopettaneet 2013-&gt;'!$D:$D,0)),INDEX('Lopettaneet 2013-&gt;'!$K:$K,MATCH($D1171,'Lopettaneet 2013-&gt;'!$D:$D,0)),"Continues")</f>
        <v>Continues</v>
      </c>
      <c r="K1171">
        <f ca="1">IF($J1171="Continues",DATEDIF($B1171,TODAY(),"Y"),INDEX('Lopettaneet 2013-&gt;'!$L:$L,MATCH($D1171,'Lopettaneet 2013-&gt;'!$D:$D,0)))</f>
        <v>3</v>
      </c>
      <c r="L1171">
        <v>906</v>
      </c>
    </row>
    <row r="1172" spans="1:12" x14ac:dyDescent="0.25">
      <c r="A1172" t="s">
        <v>0</v>
      </c>
      <c r="B1172" s="1">
        <v>44805</v>
      </c>
      <c r="C1172" s="1">
        <v>55153</v>
      </c>
      <c r="D1172" s="4" t="s">
        <v>2001</v>
      </c>
      <c r="E1172" t="s">
        <v>10</v>
      </c>
      <c r="F1172" t="s">
        <v>11</v>
      </c>
      <c r="G1172" t="s">
        <v>2918</v>
      </c>
      <c r="H1172" t="s">
        <v>2953</v>
      </c>
      <c r="I1172" t="s">
        <v>2895</v>
      </c>
      <c r="J1172" t="str">
        <f>IF(ISNUMBER(MATCH($D1172,'Lopettaneet 2013-&gt;'!$D:$D,0)),INDEX('Lopettaneet 2013-&gt;'!$K:$K,MATCH($D1172,'Lopettaneet 2013-&gt;'!$D:$D,0)),"Continues")</f>
        <v>Continues</v>
      </c>
      <c r="K1172">
        <f ca="1">IF($J1172="Continues",DATEDIF($B1172,TODAY(),"Y"),INDEX('Lopettaneet 2013-&gt;'!$L:$L,MATCH($D1172,'Lopettaneet 2013-&gt;'!$D:$D,0)))</f>
        <v>2</v>
      </c>
      <c r="L1172">
        <v>907</v>
      </c>
    </row>
    <row r="1173" spans="1:12" x14ac:dyDescent="0.25">
      <c r="A1173" t="s">
        <v>7</v>
      </c>
      <c r="B1173" s="1">
        <v>44348</v>
      </c>
      <c r="C1173" s="1">
        <v>55153</v>
      </c>
      <c r="D1173" s="4" t="s">
        <v>2003</v>
      </c>
      <c r="E1173" t="s">
        <v>10</v>
      </c>
      <c r="F1173" t="s">
        <v>11</v>
      </c>
      <c r="G1173" t="s">
        <v>2912</v>
      </c>
      <c r="H1173" t="s">
        <v>2966</v>
      </c>
      <c r="I1173" t="s">
        <v>2894</v>
      </c>
      <c r="J1173" t="str">
        <f>IF(ISNUMBER(MATCH($D1173,'Lopettaneet 2013-&gt;'!$D:$D,0)),INDEX('Lopettaneet 2013-&gt;'!$K:$K,MATCH($D1173,'Lopettaneet 2013-&gt;'!$D:$D,0)),"Continues")</f>
        <v>Continues</v>
      </c>
      <c r="K1173">
        <f ca="1">IF($J1173="Continues",DATEDIF($B1173,TODAY(),"Y"),INDEX('Lopettaneet 2013-&gt;'!$L:$L,MATCH($D1173,'Lopettaneet 2013-&gt;'!$D:$D,0)))</f>
        <v>3</v>
      </c>
      <c r="L1173">
        <v>908</v>
      </c>
    </row>
    <row r="1174" spans="1:12" x14ac:dyDescent="0.25">
      <c r="A1174" t="s">
        <v>0</v>
      </c>
      <c r="B1174" s="1">
        <v>44409</v>
      </c>
      <c r="C1174" s="1">
        <v>55153</v>
      </c>
      <c r="D1174" s="4" t="s">
        <v>3215</v>
      </c>
      <c r="E1174" t="s">
        <v>10</v>
      </c>
      <c r="F1174" t="s">
        <v>4</v>
      </c>
      <c r="G1174" t="s">
        <v>2915</v>
      </c>
      <c r="H1174" t="s">
        <v>2777</v>
      </c>
      <c r="I1174" t="s">
        <v>2894</v>
      </c>
      <c r="J1174" t="str">
        <f>IF(ISNUMBER(MATCH($D1174,'Lopettaneet 2013-&gt;'!$D:$D,0)),INDEX('Lopettaneet 2013-&gt;'!$K:$K,MATCH($D1174,'Lopettaneet 2013-&gt;'!$D:$D,0)),"Continues")</f>
        <v>Continues</v>
      </c>
      <c r="K1174">
        <f ca="1">IF($J1174="Continues",DATEDIF($B1174,TODAY(),"Y"),INDEX('Lopettaneet 2013-&gt;'!$L:$L,MATCH($D1174,'Lopettaneet 2013-&gt;'!$D:$D,0)))</f>
        <v>3</v>
      </c>
      <c r="L1174">
        <v>909</v>
      </c>
    </row>
    <row r="1175" spans="1:12" x14ac:dyDescent="0.25">
      <c r="A1175" t="s">
        <v>7</v>
      </c>
      <c r="B1175" s="1">
        <v>44531</v>
      </c>
      <c r="C1175" s="1">
        <v>55153</v>
      </c>
      <c r="D1175" s="4" t="s">
        <v>2007</v>
      </c>
      <c r="E1175" t="s">
        <v>10</v>
      </c>
      <c r="F1175" t="s">
        <v>11</v>
      </c>
      <c r="G1175" t="s">
        <v>2916</v>
      </c>
      <c r="H1175" t="s">
        <v>2969</v>
      </c>
      <c r="I1175" t="s">
        <v>2895</v>
      </c>
      <c r="J1175" t="str">
        <f>IF(ISNUMBER(MATCH($D1175,'Lopettaneet 2013-&gt;'!$D:$D,0)),INDEX('Lopettaneet 2013-&gt;'!$K:$K,MATCH($D1175,'Lopettaneet 2013-&gt;'!$D:$D,0)),"Continues")</f>
        <v>Continues</v>
      </c>
      <c r="K1175">
        <f ca="1">IF($J1175="Continues",DATEDIF($B1175,TODAY(),"Y"),INDEX('Lopettaneet 2013-&gt;'!$L:$L,MATCH($D1175,'Lopettaneet 2013-&gt;'!$D:$D,0)))</f>
        <v>3</v>
      </c>
      <c r="L1175">
        <v>910</v>
      </c>
    </row>
    <row r="1176" spans="1:12" x14ac:dyDescent="0.25">
      <c r="A1176" t="s">
        <v>7</v>
      </c>
      <c r="B1176" s="1">
        <v>44440</v>
      </c>
      <c r="C1176" s="1">
        <v>55153</v>
      </c>
      <c r="D1176" s="4" t="s">
        <v>2009</v>
      </c>
      <c r="E1176" t="s">
        <v>10</v>
      </c>
      <c r="F1176" t="s">
        <v>11</v>
      </c>
      <c r="G1176" t="s">
        <v>2918</v>
      </c>
      <c r="H1176" t="s">
        <v>2946</v>
      </c>
      <c r="I1176" t="s">
        <v>2894</v>
      </c>
      <c r="J1176" t="str">
        <f>IF(ISNUMBER(MATCH($D1176,'Lopettaneet 2013-&gt;'!$D:$D,0)),INDEX('Lopettaneet 2013-&gt;'!$K:$K,MATCH($D1176,'Lopettaneet 2013-&gt;'!$D:$D,0)),"Continues")</f>
        <v>Continues</v>
      </c>
      <c r="K1176">
        <f ca="1">IF($J1176="Continues",DATEDIF($B1176,TODAY(),"Y"),INDEX('Lopettaneet 2013-&gt;'!$L:$L,MATCH($D1176,'Lopettaneet 2013-&gt;'!$D:$D,0)))</f>
        <v>3</v>
      </c>
      <c r="L1176">
        <v>911</v>
      </c>
    </row>
    <row r="1177" spans="1:12" x14ac:dyDescent="0.25">
      <c r="A1177" t="s">
        <v>7</v>
      </c>
      <c r="B1177" s="1">
        <v>44440</v>
      </c>
      <c r="C1177" s="1">
        <v>55153</v>
      </c>
      <c r="D1177" s="4" t="s">
        <v>2011</v>
      </c>
      <c r="E1177" t="s">
        <v>10</v>
      </c>
      <c r="F1177" t="s">
        <v>11</v>
      </c>
      <c r="G1177" t="s">
        <v>2918</v>
      </c>
      <c r="H1177" t="s">
        <v>2946</v>
      </c>
      <c r="I1177" t="s">
        <v>2894</v>
      </c>
      <c r="J1177" t="str">
        <f>IF(ISNUMBER(MATCH($D1177,'Lopettaneet 2013-&gt;'!$D:$D,0)),INDEX('Lopettaneet 2013-&gt;'!$K:$K,MATCH($D1177,'Lopettaneet 2013-&gt;'!$D:$D,0)),"Continues")</f>
        <v>Continues</v>
      </c>
      <c r="K1177">
        <f ca="1">IF($J1177="Continues",DATEDIF($B1177,TODAY(),"Y"),INDEX('Lopettaneet 2013-&gt;'!$L:$L,MATCH($D1177,'Lopettaneet 2013-&gt;'!$D:$D,0)))</f>
        <v>3</v>
      </c>
      <c r="L1177">
        <v>912</v>
      </c>
    </row>
    <row r="1178" spans="1:12" x14ac:dyDescent="0.25">
      <c r="A1178" t="s">
        <v>0</v>
      </c>
      <c r="B1178" s="1">
        <v>44378</v>
      </c>
      <c r="C1178" s="1">
        <v>55153</v>
      </c>
      <c r="D1178" s="4" t="s">
        <v>2013</v>
      </c>
      <c r="E1178" t="s">
        <v>10</v>
      </c>
      <c r="F1178" t="s">
        <v>4</v>
      </c>
      <c r="G1178" t="s">
        <v>2917</v>
      </c>
      <c r="H1178" t="s">
        <v>2975</v>
      </c>
      <c r="I1178" t="s">
        <v>2894</v>
      </c>
      <c r="J1178" t="str">
        <f>IF(ISNUMBER(MATCH($D1178,'Lopettaneet 2013-&gt;'!$D:$D,0)),INDEX('Lopettaneet 2013-&gt;'!$K:$K,MATCH($D1178,'Lopettaneet 2013-&gt;'!$D:$D,0)),"Continues")</f>
        <v>Continues</v>
      </c>
      <c r="K1178">
        <f ca="1">IF($J1178="Continues",DATEDIF($B1178,TODAY(),"Y"),INDEX('Lopettaneet 2013-&gt;'!$L:$L,MATCH($D1178,'Lopettaneet 2013-&gt;'!$D:$D,0)))</f>
        <v>3</v>
      </c>
      <c r="L1178">
        <v>913</v>
      </c>
    </row>
    <row r="1179" spans="1:12" x14ac:dyDescent="0.25">
      <c r="A1179" t="s">
        <v>7</v>
      </c>
      <c r="B1179" s="1">
        <v>44440</v>
      </c>
      <c r="C1179" s="1">
        <v>55153</v>
      </c>
      <c r="D1179" s="4" t="s">
        <v>2015</v>
      </c>
      <c r="E1179" t="s">
        <v>10</v>
      </c>
      <c r="F1179" t="s">
        <v>11</v>
      </c>
      <c r="G1179" t="s">
        <v>2912</v>
      </c>
      <c r="H1179" t="s">
        <v>2945</v>
      </c>
      <c r="I1179" t="s">
        <v>2894</v>
      </c>
      <c r="J1179" t="str">
        <f>IF(ISNUMBER(MATCH($D1179,'Lopettaneet 2013-&gt;'!$D:$D,0)),INDEX('Lopettaneet 2013-&gt;'!$K:$K,MATCH($D1179,'Lopettaneet 2013-&gt;'!$D:$D,0)),"Continues")</f>
        <v>Continues</v>
      </c>
      <c r="K1179">
        <f ca="1">IF($J1179="Continues",DATEDIF($B1179,TODAY(),"Y"),INDEX('Lopettaneet 2013-&gt;'!$L:$L,MATCH($D1179,'Lopettaneet 2013-&gt;'!$D:$D,0)))</f>
        <v>3</v>
      </c>
      <c r="L1179">
        <v>914</v>
      </c>
    </row>
    <row r="1180" spans="1:12" x14ac:dyDescent="0.25">
      <c r="A1180" t="s">
        <v>7</v>
      </c>
      <c r="B1180" s="1">
        <v>44440</v>
      </c>
      <c r="C1180" s="1">
        <v>55153</v>
      </c>
      <c r="D1180" s="4" t="s">
        <v>2017</v>
      </c>
      <c r="E1180" t="s">
        <v>10</v>
      </c>
      <c r="F1180" t="s">
        <v>11</v>
      </c>
      <c r="G1180" t="s">
        <v>2918</v>
      </c>
      <c r="H1180" t="s">
        <v>2946</v>
      </c>
      <c r="I1180" t="s">
        <v>2894</v>
      </c>
      <c r="J1180" t="str">
        <f>IF(ISNUMBER(MATCH($D1180,'Lopettaneet 2013-&gt;'!$D:$D,0)),INDEX('Lopettaneet 2013-&gt;'!$K:$K,MATCH($D1180,'Lopettaneet 2013-&gt;'!$D:$D,0)),"Continues")</f>
        <v>Continues</v>
      </c>
      <c r="K1180">
        <f ca="1">IF($J1180="Continues",DATEDIF($B1180,TODAY(),"Y"),INDEX('Lopettaneet 2013-&gt;'!$L:$L,MATCH($D1180,'Lopettaneet 2013-&gt;'!$D:$D,0)))</f>
        <v>3</v>
      </c>
      <c r="L1180">
        <v>915</v>
      </c>
    </row>
    <row r="1181" spans="1:12" x14ac:dyDescent="0.25">
      <c r="A1181" t="s">
        <v>0</v>
      </c>
      <c r="B1181" s="1">
        <v>44378</v>
      </c>
      <c r="C1181" s="1">
        <v>45412</v>
      </c>
      <c r="D1181" s="4" t="s">
        <v>2019</v>
      </c>
      <c r="E1181" t="s">
        <v>10</v>
      </c>
      <c r="F1181" t="s">
        <v>4</v>
      </c>
      <c r="G1181" t="s">
        <v>2917</v>
      </c>
      <c r="H1181" t="s">
        <v>2842</v>
      </c>
      <c r="I1181" t="s">
        <v>2895</v>
      </c>
      <c r="J1181" t="str">
        <f>IF(ISNUMBER(MATCH($D1181,'Lopettaneet 2013-&gt;'!$D:$D,0)),INDEX('Lopettaneet 2013-&gt;'!$K:$K,MATCH($D1181,'Lopettaneet 2013-&gt;'!$D:$D,0)),"Continues")</f>
        <v>Closed</v>
      </c>
      <c r="K1181">
        <f ca="1">IF($J1181="Continues",DATEDIF($B1181,TODAY(),"Y"),INDEX('Lopettaneet 2013-&gt;'!$L:$L,MATCH($D1181,'Lopettaneet 2013-&gt;'!$D:$D,0)))</f>
        <v>2</v>
      </c>
      <c r="L1181">
        <v>916</v>
      </c>
    </row>
    <row r="1182" spans="1:12" x14ac:dyDescent="0.25">
      <c r="A1182" t="s">
        <v>7</v>
      </c>
      <c r="B1182" s="1">
        <v>44531</v>
      </c>
      <c r="C1182" s="1">
        <v>55153</v>
      </c>
      <c r="D1182" s="4" t="s">
        <v>2021</v>
      </c>
      <c r="E1182" t="s">
        <v>10</v>
      </c>
      <c r="F1182" t="s">
        <v>11</v>
      </c>
      <c r="G1182" t="s">
        <v>2918</v>
      </c>
      <c r="H1182" t="s">
        <v>2975</v>
      </c>
      <c r="I1182" t="s">
        <v>2894</v>
      </c>
      <c r="J1182" t="str">
        <f>IF(ISNUMBER(MATCH($D1182,'Lopettaneet 2013-&gt;'!$D:$D,0)),INDEX('Lopettaneet 2013-&gt;'!$K:$K,MATCH($D1182,'Lopettaneet 2013-&gt;'!$D:$D,0)),"Continues")</f>
        <v>Continues</v>
      </c>
      <c r="K1182">
        <f ca="1">IF($J1182="Continues",DATEDIF($B1182,TODAY(),"Y"),INDEX('Lopettaneet 2013-&gt;'!$L:$L,MATCH($D1182,'Lopettaneet 2013-&gt;'!$D:$D,0)))</f>
        <v>3</v>
      </c>
      <c r="L1182">
        <v>917</v>
      </c>
    </row>
    <row r="1183" spans="1:12" x14ac:dyDescent="0.25">
      <c r="A1183" t="s">
        <v>7</v>
      </c>
      <c r="B1183" s="1">
        <v>44531</v>
      </c>
      <c r="C1183" s="1">
        <v>55153</v>
      </c>
      <c r="D1183" s="4" t="s">
        <v>2023</v>
      </c>
      <c r="E1183" t="s">
        <v>10</v>
      </c>
      <c r="F1183" t="s">
        <v>11</v>
      </c>
      <c r="G1183" t="s">
        <v>2918</v>
      </c>
      <c r="H1183" t="s">
        <v>2975</v>
      </c>
      <c r="I1183" t="s">
        <v>2894</v>
      </c>
      <c r="J1183" t="str">
        <f>IF(ISNUMBER(MATCH($D1183,'Lopettaneet 2013-&gt;'!$D:$D,0)),INDEX('Lopettaneet 2013-&gt;'!$K:$K,MATCH($D1183,'Lopettaneet 2013-&gt;'!$D:$D,0)),"Continues")</f>
        <v>Continues</v>
      </c>
      <c r="K1183">
        <f ca="1">IF($J1183="Continues",DATEDIF($B1183,TODAY(),"Y"),INDEX('Lopettaneet 2013-&gt;'!$L:$L,MATCH($D1183,'Lopettaneet 2013-&gt;'!$D:$D,0)))</f>
        <v>3</v>
      </c>
      <c r="L1183">
        <v>918</v>
      </c>
    </row>
    <row r="1184" spans="1:12" x14ac:dyDescent="0.25">
      <c r="A1184" t="s">
        <v>7</v>
      </c>
      <c r="B1184" s="1">
        <v>44348</v>
      </c>
      <c r="C1184" s="1">
        <v>55153</v>
      </c>
      <c r="D1184" s="4" t="s">
        <v>2025</v>
      </c>
      <c r="E1184" t="s">
        <v>10</v>
      </c>
      <c r="F1184" t="s">
        <v>11</v>
      </c>
      <c r="G1184" t="s">
        <v>2912</v>
      </c>
      <c r="H1184" t="s">
        <v>2966</v>
      </c>
      <c r="I1184" t="s">
        <v>2894</v>
      </c>
      <c r="J1184" t="str">
        <f>IF(ISNUMBER(MATCH($D1184,'Lopettaneet 2013-&gt;'!$D:$D,0)),INDEX('Lopettaneet 2013-&gt;'!$K:$K,MATCH($D1184,'Lopettaneet 2013-&gt;'!$D:$D,0)),"Continues")</f>
        <v>Continues</v>
      </c>
      <c r="K1184">
        <f ca="1">IF($J1184="Continues",DATEDIF($B1184,TODAY(),"Y"),INDEX('Lopettaneet 2013-&gt;'!$L:$L,MATCH($D1184,'Lopettaneet 2013-&gt;'!$D:$D,0)))</f>
        <v>3</v>
      </c>
      <c r="L1184">
        <v>919</v>
      </c>
    </row>
    <row r="1185" spans="1:12" x14ac:dyDescent="0.25">
      <c r="A1185" t="s">
        <v>7</v>
      </c>
      <c r="B1185" s="1">
        <v>44531</v>
      </c>
      <c r="C1185" s="1">
        <v>55153</v>
      </c>
      <c r="D1185" s="4" t="s">
        <v>2027</v>
      </c>
      <c r="E1185" t="s">
        <v>10</v>
      </c>
      <c r="F1185" t="s">
        <v>11</v>
      </c>
      <c r="G1185" t="s">
        <v>2912</v>
      </c>
      <c r="H1185" t="s">
        <v>3005</v>
      </c>
      <c r="I1185" t="s">
        <v>2894</v>
      </c>
      <c r="J1185" t="str">
        <f>IF(ISNUMBER(MATCH($D1185,'Lopettaneet 2013-&gt;'!$D:$D,0)),INDEX('Lopettaneet 2013-&gt;'!$K:$K,MATCH($D1185,'Lopettaneet 2013-&gt;'!$D:$D,0)),"Continues")</f>
        <v>Continues</v>
      </c>
      <c r="K1185">
        <f ca="1">IF($J1185="Continues",DATEDIF($B1185,TODAY(),"Y"),INDEX('Lopettaneet 2013-&gt;'!$L:$L,MATCH($D1185,'Lopettaneet 2013-&gt;'!$D:$D,0)))</f>
        <v>3</v>
      </c>
      <c r="L1185">
        <v>920</v>
      </c>
    </row>
    <row r="1186" spans="1:12" x14ac:dyDescent="0.25">
      <c r="A1186" t="s">
        <v>7</v>
      </c>
      <c r="B1186" s="1">
        <v>44440</v>
      </c>
      <c r="C1186" s="1">
        <v>55153</v>
      </c>
      <c r="D1186" s="4" t="s">
        <v>2029</v>
      </c>
      <c r="E1186" t="s">
        <v>10</v>
      </c>
      <c r="F1186" t="s">
        <v>11</v>
      </c>
      <c r="G1186" t="s">
        <v>2914</v>
      </c>
      <c r="H1186" t="s">
        <v>2946</v>
      </c>
      <c r="I1186" t="s">
        <v>2894</v>
      </c>
      <c r="J1186" t="str">
        <f>IF(ISNUMBER(MATCH($D1186,'Lopettaneet 2013-&gt;'!$D:$D,0)),INDEX('Lopettaneet 2013-&gt;'!$K:$K,MATCH($D1186,'Lopettaneet 2013-&gt;'!$D:$D,0)),"Continues")</f>
        <v>Continues</v>
      </c>
      <c r="K1186">
        <f ca="1">IF($J1186="Continues",DATEDIF($B1186,TODAY(),"Y"),INDEX('Lopettaneet 2013-&gt;'!$L:$L,MATCH($D1186,'Lopettaneet 2013-&gt;'!$D:$D,0)))</f>
        <v>3</v>
      </c>
      <c r="L1186">
        <v>921</v>
      </c>
    </row>
    <row r="1187" spans="1:12" x14ac:dyDescent="0.25">
      <c r="A1187" t="s">
        <v>7</v>
      </c>
      <c r="B1187" s="1">
        <v>44440</v>
      </c>
      <c r="C1187" s="1">
        <v>55153</v>
      </c>
      <c r="D1187" s="4" t="s">
        <v>2031</v>
      </c>
      <c r="E1187" t="s">
        <v>10</v>
      </c>
      <c r="F1187" t="s">
        <v>11</v>
      </c>
      <c r="G1187" t="s">
        <v>2914</v>
      </c>
      <c r="H1187" t="s">
        <v>2946</v>
      </c>
      <c r="I1187" t="s">
        <v>2894</v>
      </c>
      <c r="J1187" t="str">
        <f>IF(ISNUMBER(MATCH($D1187,'Lopettaneet 2013-&gt;'!$D:$D,0)),INDEX('Lopettaneet 2013-&gt;'!$K:$K,MATCH($D1187,'Lopettaneet 2013-&gt;'!$D:$D,0)),"Continues")</f>
        <v>Continues</v>
      </c>
      <c r="K1187">
        <f ca="1">IF($J1187="Continues",DATEDIF($B1187,TODAY(),"Y"),INDEX('Lopettaneet 2013-&gt;'!$L:$L,MATCH($D1187,'Lopettaneet 2013-&gt;'!$D:$D,0)))</f>
        <v>3</v>
      </c>
      <c r="L1187">
        <v>922</v>
      </c>
    </row>
    <row r="1188" spans="1:12" x14ac:dyDescent="0.25">
      <c r="A1188" t="s">
        <v>0</v>
      </c>
      <c r="B1188" s="1">
        <v>44348</v>
      </c>
      <c r="C1188" s="1">
        <v>55153</v>
      </c>
      <c r="D1188" s="4" t="s">
        <v>2033</v>
      </c>
      <c r="E1188" t="s">
        <v>10</v>
      </c>
      <c r="F1188" t="s">
        <v>11</v>
      </c>
      <c r="G1188" t="s">
        <v>2917</v>
      </c>
      <c r="H1188" t="s">
        <v>2766</v>
      </c>
      <c r="I1188" t="s">
        <v>2895</v>
      </c>
      <c r="J1188" t="str">
        <f>IF(ISNUMBER(MATCH($D1188,'Lopettaneet 2013-&gt;'!$D:$D,0)),INDEX('Lopettaneet 2013-&gt;'!$K:$K,MATCH($D1188,'Lopettaneet 2013-&gt;'!$D:$D,0)),"Continues")</f>
        <v>Continues</v>
      </c>
      <c r="K1188">
        <f ca="1">IF($J1188="Continues",DATEDIF($B1188,TODAY(),"Y"),INDEX('Lopettaneet 2013-&gt;'!$L:$L,MATCH($D1188,'Lopettaneet 2013-&gt;'!$D:$D,0)))</f>
        <v>3</v>
      </c>
      <c r="L1188">
        <v>923</v>
      </c>
    </row>
    <row r="1189" spans="1:12" x14ac:dyDescent="0.25">
      <c r="A1189" t="s">
        <v>0</v>
      </c>
      <c r="B1189" s="1">
        <v>44440</v>
      </c>
      <c r="C1189" s="1">
        <v>55153</v>
      </c>
      <c r="D1189" s="4" t="s">
        <v>2035</v>
      </c>
      <c r="E1189" t="s">
        <v>3</v>
      </c>
      <c r="F1189" t="s">
        <v>4</v>
      </c>
      <c r="G1189" t="s">
        <v>2917</v>
      </c>
      <c r="H1189" t="s">
        <v>2967</v>
      </c>
      <c r="I1189" t="s">
        <v>2894</v>
      </c>
      <c r="J1189" t="str">
        <f>IF(ISNUMBER(MATCH($D1189,'Lopettaneet 2013-&gt;'!$D:$D,0)),INDEX('Lopettaneet 2013-&gt;'!$K:$K,MATCH($D1189,'Lopettaneet 2013-&gt;'!$D:$D,0)),"Continues")</f>
        <v>Continues</v>
      </c>
      <c r="K1189">
        <f ca="1">IF($J1189="Continues",DATEDIF($B1189,TODAY(),"Y"),INDEX('Lopettaneet 2013-&gt;'!$L:$L,MATCH($D1189,'Lopettaneet 2013-&gt;'!$D:$D,0)))</f>
        <v>3</v>
      </c>
      <c r="L1189">
        <v>924</v>
      </c>
    </row>
    <row r="1190" spans="1:12" x14ac:dyDescent="0.25">
      <c r="A1190" t="s">
        <v>7</v>
      </c>
      <c r="B1190" s="1">
        <v>44348</v>
      </c>
      <c r="C1190" s="1">
        <v>55153</v>
      </c>
      <c r="D1190" s="4" t="s">
        <v>2037</v>
      </c>
      <c r="E1190" t="s">
        <v>10</v>
      </c>
      <c r="F1190" t="s">
        <v>11</v>
      </c>
      <c r="G1190" t="s">
        <v>2916</v>
      </c>
      <c r="H1190" t="s">
        <v>2990</v>
      </c>
      <c r="I1190" t="s">
        <v>2894</v>
      </c>
      <c r="J1190" t="str">
        <f>IF(ISNUMBER(MATCH($D1190,'Lopettaneet 2013-&gt;'!$D:$D,0)),INDEX('Lopettaneet 2013-&gt;'!$K:$K,MATCH($D1190,'Lopettaneet 2013-&gt;'!$D:$D,0)),"Continues")</f>
        <v>Continues</v>
      </c>
      <c r="K1190">
        <f ca="1">IF($J1190="Continues",DATEDIF($B1190,TODAY(),"Y"),INDEX('Lopettaneet 2013-&gt;'!$L:$L,MATCH($D1190,'Lopettaneet 2013-&gt;'!$D:$D,0)))</f>
        <v>3</v>
      </c>
      <c r="L1190">
        <v>925</v>
      </c>
    </row>
    <row r="1191" spans="1:12" x14ac:dyDescent="0.25">
      <c r="A1191" t="s">
        <v>0</v>
      </c>
      <c r="B1191" s="1">
        <v>44805</v>
      </c>
      <c r="C1191" s="1">
        <v>55153</v>
      </c>
      <c r="D1191" s="4" t="s">
        <v>2039</v>
      </c>
      <c r="E1191" t="s">
        <v>3</v>
      </c>
      <c r="F1191" t="s">
        <v>4</v>
      </c>
      <c r="G1191" t="s">
        <v>2917</v>
      </c>
      <c r="H1191" t="s">
        <v>2960</v>
      </c>
      <c r="I1191" t="s">
        <v>2894</v>
      </c>
      <c r="J1191" t="str">
        <f>IF(ISNUMBER(MATCH($D1191,'Lopettaneet 2013-&gt;'!$D:$D,0)),INDEX('Lopettaneet 2013-&gt;'!$K:$K,MATCH($D1191,'Lopettaneet 2013-&gt;'!$D:$D,0)),"Continues")</f>
        <v>Continues</v>
      </c>
      <c r="K1191">
        <f ca="1">IF($J1191="Continues",DATEDIF($B1191,TODAY(),"Y"),INDEX('Lopettaneet 2013-&gt;'!$L:$L,MATCH($D1191,'Lopettaneet 2013-&gt;'!$D:$D,0)))</f>
        <v>2</v>
      </c>
      <c r="L1191">
        <v>926</v>
      </c>
    </row>
    <row r="1192" spans="1:12" x14ac:dyDescent="0.25">
      <c r="A1192" t="s">
        <v>7</v>
      </c>
      <c r="B1192" s="1">
        <v>44531</v>
      </c>
      <c r="C1192" s="1">
        <v>55153</v>
      </c>
      <c r="D1192" s="4" t="s">
        <v>2041</v>
      </c>
      <c r="E1192" t="s">
        <v>10</v>
      </c>
      <c r="F1192" t="s">
        <v>11</v>
      </c>
      <c r="G1192" t="s">
        <v>2918</v>
      </c>
      <c r="H1192" t="s">
        <v>2946</v>
      </c>
      <c r="I1192" t="s">
        <v>2894</v>
      </c>
      <c r="J1192" t="str">
        <f>IF(ISNUMBER(MATCH($D1192,'Lopettaneet 2013-&gt;'!$D:$D,0)),INDEX('Lopettaneet 2013-&gt;'!$K:$K,MATCH($D1192,'Lopettaneet 2013-&gt;'!$D:$D,0)),"Continues")</f>
        <v>Continues</v>
      </c>
      <c r="K1192">
        <f ca="1">IF($J1192="Continues",DATEDIF($B1192,TODAY(),"Y"),INDEX('Lopettaneet 2013-&gt;'!$L:$L,MATCH($D1192,'Lopettaneet 2013-&gt;'!$D:$D,0)))</f>
        <v>3</v>
      </c>
      <c r="L1192">
        <v>927</v>
      </c>
    </row>
    <row r="1193" spans="1:12" x14ac:dyDescent="0.25">
      <c r="A1193" t="s">
        <v>0</v>
      </c>
      <c r="B1193" s="1">
        <v>44378</v>
      </c>
      <c r="C1193" s="1">
        <v>44926</v>
      </c>
      <c r="D1193" s="4" t="s">
        <v>2043</v>
      </c>
      <c r="E1193" t="s">
        <v>10</v>
      </c>
      <c r="F1193" t="s">
        <v>4</v>
      </c>
      <c r="G1193" t="s">
        <v>2917</v>
      </c>
      <c r="H1193" t="s">
        <v>2953</v>
      </c>
      <c r="I1193" t="s">
        <v>2909</v>
      </c>
      <c r="J1193" t="str">
        <f>IF(ISNUMBER(MATCH($D1193,'Lopettaneet 2013-&gt;'!$D:$D,0)),INDEX('Lopettaneet 2013-&gt;'!$K:$K,MATCH($D1193,'Lopettaneet 2013-&gt;'!$D:$D,0)),"Continues")</f>
        <v>Merged</v>
      </c>
      <c r="K1193">
        <f ca="1">IF($J1193="Continues",DATEDIF($B1193,TODAY(),"Y"),INDEX('Lopettaneet 2013-&gt;'!$L:$L,MATCH($D1193,'Lopettaneet 2013-&gt;'!$D:$D,0)))</f>
        <v>1</v>
      </c>
      <c r="L1193">
        <v>928</v>
      </c>
    </row>
    <row r="1194" spans="1:12" x14ac:dyDescent="0.25">
      <c r="A1194" t="s">
        <v>0</v>
      </c>
      <c r="B1194" s="1">
        <v>44531</v>
      </c>
      <c r="C1194" s="1">
        <v>55153</v>
      </c>
      <c r="D1194" s="4" t="s">
        <v>2045</v>
      </c>
      <c r="E1194" t="s">
        <v>10</v>
      </c>
      <c r="F1194" t="s">
        <v>4</v>
      </c>
      <c r="G1194" t="s">
        <v>2914</v>
      </c>
      <c r="H1194" t="s">
        <v>2975</v>
      </c>
      <c r="I1194" t="s">
        <v>2894</v>
      </c>
      <c r="J1194" t="str">
        <f>IF(ISNUMBER(MATCH($D1194,'Lopettaneet 2013-&gt;'!$D:$D,0)),INDEX('Lopettaneet 2013-&gt;'!$K:$K,MATCH($D1194,'Lopettaneet 2013-&gt;'!$D:$D,0)),"Continues")</f>
        <v>Continues</v>
      </c>
      <c r="K1194">
        <f ca="1">IF($J1194="Continues",DATEDIF($B1194,TODAY(),"Y"),INDEX('Lopettaneet 2013-&gt;'!$L:$L,MATCH($D1194,'Lopettaneet 2013-&gt;'!$D:$D,0)))</f>
        <v>3</v>
      </c>
      <c r="L1194">
        <v>929</v>
      </c>
    </row>
    <row r="1195" spans="1:12" x14ac:dyDescent="0.25">
      <c r="A1195" t="s">
        <v>0</v>
      </c>
      <c r="B1195" s="1">
        <v>44440</v>
      </c>
      <c r="C1195" s="1">
        <v>55153</v>
      </c>
      <c r="D1195" s="4" t="s">
        <v>2047</v>
      </c>
      <c r="E1195" t="s">
        <v>10</v>
      </c>
      <c r="F1195" t="s">
        <v>4</v>
      </c>
      <c r="G1195" t="s">
        <v>2917</v>
      </c>
      <c r="H1195" t="s">
        <v>2842</v>
      </c>
      <c r="I1195" t="s">
        <v>2894</v>
      </c>
      <c r="J1195" t="str">
        <f>IF(ISNUMBER(MATCH($D1195,'Lopettaneet 2013-&gt;'!$D:$D,0)),INDEX('Lopettaneet 2013-&gt;'!$K:$K,MATCH($D1195,'Lopettaneet 2013-&gt;'!$D:$D,0)),"Continues")</f>
        <v>Continues</v>
      </c>
      <c r="K1195">
        <f ca="1">IF($J1195="Continues",DATEDIF($B1195,TODAY(),"Y"),INDEX('Lopettaneet 2013-&gt;'!$L:$L,MATCH($D1195,'Lopettaneet 2013-&gt;'!$D:$D,0)))</f>
        <v>3</v>
      </c>
      <c r="L1195">
        <v>930</v>
      </c>
    </row>
    <row r="1196" spans="1:12" x14ac:dyDescent="0.25">
      <c r="A1196" t="s">
        <v>7</v>
      </c>
      <c r="B1196" s="1">
        <v>44531</v>
      </c>
      <c r="C1196" s="1">
        <v>55153</v>
      </c>
      <c r="D1196" s="4" t="s">
        <v>2049</v>
      </c>
      <c r="E1196" t="s">
        <v>10</v>
      </c>
      <c r="F1196" t="s">
        <v>11</v>
      </c>
      <c r="G1196" t="s">
        <v>2914</v>
      </c>
      <c r="H1196" t="s">
        <v>2982</v>
      </c>
      <c r="I1196" t="s">
        <v>2895</v>
      </c>
      <c r="J1196" t="str">
        <f>IF(ISNUMBER(MATCH($D1196,'Lopettaneet 2013-&gt;'!$D:$D,0)),INDEX('Lopettaneet 2013-&gt;'!$K:$K,MATCH($D1196,'Lopettaneet 2013-&gt;'!$D:$D,0)),"Continues")</f>
        <v>Continues</v>
      </c>
      <c r="K1196">
        <f ca="1">IF($J1196="Continues",DATEDIF($B1196,TODAY(),"Y"),INDEX('Lopettaneet 2013-&gt;'!$L:$L,MATCH($D1196,'Lopettaneet 2013-&gt;'!$D:$D,0)))</f>
        <v>3</v>
      </c>
      <c r="L1196">
        <v>931</v>
      </c>
    </row>
    <row r="1197" spans="1:12" x14ac:dyDescent="0.25">
      <c r="A1197" t="s">
        <v>0</v>
      </c>
      <c r="B1197" s="1">
        <v>44440</v>
      </c>
      <c r="C1197" s="1">
        <v>55153</v>
      </c>
      <c r="D1197" s="4" t="s">
        <v>2051</v>
      </c>
      <c r="E1197" t="s">
        <v>3</v>
      </c>
      <c r="F1197" t="s">
        <v>4</v>
      </c>
      <c r="G1197" t="s">
        <v>2917</v>
      </c>
      <c r="H1197" t="s">
        <v>2956</v>
      </c>
      <c r="I1197" t="s">
        <v>2894</v>
      </c>
      <c r="J1197" t="str">
        <f>IF(ISNUMBER(MATCH($D1197,'Lopettaneet 2013-&gt;'!$D:$D,0)),INDEX('Lopettaneet 2013-&gt;'!$K:$K,MATCH($D1197,'Lopettaneet 2013-&gt;'!$D:$D,0)),"Continues")</f>
        <v>Continues</v>
      </c>
      <c r="K1197">
        <f ca="1">IF($J1197="Continues",DATEDIF($B1197,TODAY(),"Y"),INDEX('Lopettaneet 2013-&gt;'!$L:$L,MATCH($D1197,'Lopettaneet 2013-&gt;'!$D:$D,0)))</f>
        <v>3</v>
      </c>
      <c r="L1197">
        <v>932</v>
      </c>
    </row>
    <row r="1198" spans="1:12" x14ac:dyDescent="0.25">
      <c r="A1198" t="s">
        <v>7</v>
      </c>
      <c r="B1198" s="1">
        <v>44440</v>
      </c>
      <c r="C1198" s="1">
        <v>55153</v>
      </c>
      <c r="D1198" s="4" t="s">
        <v>2053</v>
      </c>
      <c r="E1198" t="s">
        <v>10</v>
      </c>
      <c r="F1198" t="s">
        <v>11</v>
      </c>
      <c r="G1198" t="s">
        <v>2914</v>
      </c>
      <c r="H1198" t="s">
        <v>2946</v>
      </c>
      <c r="I1198" t="s">
        <v>2894</v>
      </c>
      <c r="J1198" t="str">
        <f>IF(ISNUMBER(MATCH($D1198,'Lopettaneet 2013-&gt;'!$D:$D,0)),INDEX('Lopettaneet 2013-&gt;'!$K:$K,MATCH($D1198,'Lopettaneet 2013-&gt;'!$D:$D,0)),"Continues")</f>
        <v>Continues</v>
      </c>
      <c r="K1198">
        <f ca="1">IF($J1198="Continues",DATEDIF($B1198,TODAY(),"Y"),INDEX('Lopettaneet 2013-&gt;'!$L:$L,MATCH($D1198,'Lopettaneet 2013-&gt;'!$D:$D,0)))</f>
        <v>3</v>
      </c>
      <c r="L1198">
        <v>933</v>
      </c>
    </row>
    <row r="1199" spans="1:12" x14ac:dyDescent="0.25">
      <c r="A1199" t="s">
        <v>0</v>
      </c>
      <c r="B1199" s="1">
        <v>44682</v>
      </c>
      <c r="C1199" s="1">
        <v>55153</v>
      </c>
      <c r="D1199" s="4" t="s">
        <v>2055</v>
      </c>
      <c r="E1199" t="s">
        <v>10</v>
      </c>
      <c r="F1199" t="s">
        <v>4</v>
      </c>
      <c r="G1199" t="s">
        <v>2918</v>
      </c>
      <c r="H1199" t="s">
        <v>2952</v>
      </c>
      <c r="I1199" t="s">
        <v>2894</v>
      </c>
      <c r="J1199" t="str">
        <f>IF(ISNUMBER(MATCH($D1199,'Lopettaneet 2013-&gt;'!$D:$D,0)),INDEX('Lopettaneet 2013-&gt;'!$K:$K,MATCH($D1199,'Lopettaneet 2013-&gt;'!$D:$D,0)),"Continues")</f>
        <v>Continues</v>
      </c>
      <c r="K1199">
        <f ca="1">IF($J1199="Continues",DATEDIF($B1199,TODAY(),"Y"),INDEX('Lopettaneet 2013-&gt;'!$L:$L,MATCH($D1199,'Lopettaneet 2013-&gt;'!$D:$D,0)))</f>
        <v>3</v>
      </c>
      <c r="L1199">
        <v>934</v>
      </c>
    </row>
    <row r="1200" spans="1:12" x14ac:dyDescent="0.25">
      <c r="A1200" t="s">
        <v>7</v>
      </c>
      <c r="B1200" s="1">
        <v>44531</v>
      </c>
      <c r="C1200" s="1">
        <v>55153</v>
      </c>
      <c r="D1200" s="4" t="s">
        <v>3216</v>
      </c>
      <c r="E1200" t="s">
        <v>10</v>
      </c>
      <c r="F1200" t="s">
        <v>11</v>
      </c>
      <c r="G1200" t="s">
        <v>2914</v>
      </c>
      <c r="H1200" t="s">
        <v>2777</v>
      </c>
      <c r="I1200" t="s">
        <v>2894</v>
      </c>
      <c r="J1200" t="str">
        <f>IF(ISNUMBER(MATCH($D1200,'Lopettaneet 2013-&gt;'!$D:$D,0)),INDEX('Lopettaneet 2013-&gt;'!$K:$K,MATCH($D1200,'Lopettaneet 2013-&gt;'!$D:$D,0)),"Continues")</f>
        <v>Continues</v>
      </c>
      <c r="K1200">
        <f ca="1">IF($J1200="Continues",DATEDIF($B1200,TODAY(),"Y"),INDEX('Lopettaneet 2013-&gt;'!$L:$L,MATCH($D1200,'Lopettaneet 2013-&gt;'!$D:$D,0)))</f>
        <v>3</v>
      </c>
      <c r="L1200">
        <v>935</v>
      </c>
    </row>
    <row r="1201" spans="1:12" x14ac:dyDescent="0.25">
      <c r="A1201" t="s">
        <v>7</v>
      </c>
      <c r="B1201" s="1">
        <v>44531</v>
      </c>
      <c r="C1201" s="1">
        <v>55153</v>
      </c>
      <c r="D1201" s="4" t="s">
        <v>3217</v>
      </c>
      <c r="E1201" t="s">
        <v>10</v>
      </c>
      <c r="F1201" t="s">
        <v>11</v>
      </c>
      <c r="G1201" t="s">
        <v>2914</v>
      </c>
      <c r="H1201" t="s">
        <v>2777</v>
      </c>
      <c r="I1201" t="s">
        <v>2894</v>
      </c>
      <c r="J1201" t="str">
        <f>IF(ISNUMBER(MATCH($D1201,'Lopettaneet 2013-&gt;'!$D:$D,0)),INDEX('Lopettaneet 2013-&gt;'!$K:$K,MATCH($D1201,'Lopettaneet 2013-&gt;'!$D:$D,0)),"Continues")</f>
        <v>Continues</v>
      </c>
      <c r="K1201">
        <f ca="1">IF($J1201="Continues",DATEDIF($B1201,TODAY(),"Y"),INDEX('Lopettaneet 2013-&gt;'!$L:$L,MATCH($D1201,'Lopettaneet 2013-&gt;'!$D:$D,0)))</f>
        <v>3</v>
      </c>
      <c r="L1201">
        <v>936</v>
      </c>
    </row>
    <row r="1202" spans="1:12" x14ac:dyDescent="0.25">
      <c r="A1202" t="s">
        <v>7</v>
      </c>
      <c r="B1202" s="1">
        <v>44531</v>
      </c>
      <c r="C1202" s="1">
        <v>55153</v>
      </c>
      <c r="D1202" s="4" t="s">
        <v>3218</v>
      </c>
      <c r="E1202" t="s">
        <v>10</v>
      </c>
      <c r="F1202" t="s">
        <v>11</v>
      </c>
      <c r="G1202" t="s">
        <v>2914</v>
      </c>
      <c r="H1202" t="s">
        <v>2777</v>
      </c>
      <c r="I1202" t="s">
        <v>2894</v>
      </c>
      <c r="J1202" t="str">
        <f>IF(ISNUMBER(MATCH($D1202,'Lopettaneet 2013-&gt;'!$D:$D,0)),INDEX('Lopettaneet 2013-&gt;'!$K:$K,MATCH($D1202,'Lopettaneet 2013-&gt;'!$D:$D,0)),"Continues")</f>
        <v>Continues</v>
      </c>
      <c r="K1202">
        <f ca="1">IF($J1202="Continues",DATEDIF($B1202,TODAY(),"Y"),INDEX('Lopettaneet 2013-&gt;'!$L:$L,MATCH($D1202,'Lopettaneet 2013-&gt;'!$D:$D,0)))</f>
        <v>3</v>
      </c>
      <c r="L1202">
        <v>937</v>
      </c>
    </row>
    <row r="1203" spans="1:12" x14ac:dyDescent="0.25">
      <c r="A1203" t="s">
        <v>7</v>
      </c>
      <c r="B1203" s="1">
        <v>44531</v>
      </c>
      <c r="C1203" s="1">
        <v>55153</v>
      </c>
      <c r="D1203" s="4" t="s">
        <v>3219</v>
      </c>
      <c r="E1203" t="s">
        <v>10</v>
      </c>
      <c r="F1203" t="s">
        <v>11</v>
      </c>
      <c r="G1203" t="s">
        <v>2914</v>
      </c>
      <c r="H1203" t="s">
        <v>2777</v>
      </c>
      <c r="I1203" t="s">
        <v>2894</v>
      </c>
      <c r="J1203" t="str">
        <f>IF(ISNUMBER(MATCH($D1203,'Lopettaneet 2013-&gt;'!$D:$D,0)),INDEX('Lopettaneet 2013-&gt;'!$K:$K,MATCH($D1203,'Lopettaneet 2013-&gt;'!$D:$D,0)),"Continues")</f>
        <v>Continues</v>
      </c>
      <c r="K1203">
        <f ca="1">IF($J1203="Continues",DATEDIF($B1203,TODAY(),"Y"),INDEX('Lopettaneet 2013-&gt;'!$L:$L,MATCH($D1203,'Lopettaneet 2013-&gt;'!$D:$D,0)))</f>
        <v>3</v>
      </c>
      <c r="L1203">
        <v>938</v>
      </c>
    </row>
    <row r="1204" spans="1:12" x14ac:dyDescent="0.25">
      <c r="A1204" t="s">
        <v>7</v>
      </c>
      <c r="B1204" s="1">
        <v>44531</v>
      </c>
      <c r="C1204" s="1">
        <v>55153</v>
      </c>
      <c r="D1204" s="4" t="s">
        <v>3220</v>
      </c>
      <c r="E1204" t="s">
        <v>10</v>
      </c>
      <c r="F1204" t="s">
        <v>11</v>
      </c>
      <c r="G1204" t="s">
        <v>2914</v>
      </c>
      <c r="H1204" t="s">
        <v>2777</v>
      </c>
      <c r="I1204" t="s">
        <v>2894</v>
      </c>
      <c r="J1204" t="str">
        <f>IF(ISNUMBER(MATCH($D1204,'Lopettaneet 2013-&gt;'!$D:$D,0)),INDEX('Lopettaneet 2013-&gt;'!$K:$K,MATCH($D1204,'Lopettaneet 2013-&gt;'!$D:$D,0)),"Continues")</f>
        <v>Continues</v>
      </c>
      <c r="K1204">
        <f ca="1">IF($J1204="Continues",DATEDIF($B1204,TODAY(),"Y"),INDEX('Lopettaneet 2013-&gt;'!$L:$L,MATCH($D1204,'Lopettaneet 2013-&gt;'!$D:$D,0)))</f>
        <v>3</v>
      </c>
      <c r="L1204">
        <v>939</v>
      </c>
    </row>
    <row r="1205" spans="1:12" x14ac:dyDescent="0.25">
      <c r="A1205" t="s">
        <v>7</v>
      </c>
      <c r="B1205" s="1">
        <v>44713</v>
      </c>
      <c r="C1205" s="1">
        <v>55153</v>
      </c>
      <c r="D1205" s="4" t="s">
        <v>2067</v>
      </c>
      <c r="E1205" t="s">
        <v>10</v>
      </c>
      <c r="F1205" t="s">
        <v>11</v>
      </c>
      <c r="G1205" t="s">
        <v>2914</v>
      </c>
      <c r="H1205" t="s">
        <v>2980</v>
      </c>
      <c r="I1205" t="s">
        <v>2894</v>
      </c>
      <c r="J1205" t="str">
        <f>IF(ISNUMBER(MATCH($D1205,'Lopettaneet 2013-&gt;'!$D:$D,0)),INDEX('Lopettaneet 2013-&gt;'!$K:$K,MATCH($D1205,'Lopettaneet 2013-&gt;'!$D:$D,0)),"Continues")</f>
        <v>Continues</v>
      </c>
      <c r="K1205">
        <f ca="1">IF($J1205="Continues",DATEDIF($B1205,TODAY(),"Y"),INDEX('Lopettaneet 2013-&gt;'!$L:$L,MATCH($D1205,'Lopettaneet 2013-&gt;'!$D:$D,0)))</f>
        <v>2</v>
      </c>
      <c r="L1205">
        <v>940</v>
      </c>
    </row>
    <row r="1206" spans="1:12" x14ac:dyDescent="0.25">
      <c r="A1206" t="s">
        <v>7</v>
      </c>
      <c r="B1206" s="1">
        <v>44621</v>
      </c>
      <c r="C1206" s="1">
        <v>55153</v>
      </c>
      <c r="D1206" s="4" t="s">
        <v>2069</v>
      </c>
      <c r="E1206" t="s">
        <v>10</v>
      </c>
      <c r="F1206" t="s">
        <v>11</v>
      </c>
      <c r="G1206" t="s">
        <v>2912</v>
      </c>
      <c r="H1206" t="s">
        <v>2989</v>
      </c>
      <c r="I1206" t="s">
        <v>2895</v>
      </c>
      <c r="J1206" t="str">
        <f>IF(ISNUMBER(MATCH($D1206,'Lopettaneet 2013-&gt;'!$D:$D,0)),INDEX('Lopettaneet 2013-&gt;'!$K:$K,MATCH($D1206,'Lopettaneet 2013-&gt;'!$D:$D,0)),"Continues")</f>
        <v>Continues</v>
      </c>
      <c r="K1206">
        <f ca="1">IF($J1206="Continues",DATEDIF($B1206,TODAY(),"Y"),INDEX('Lopettaneet 2013-&gt;'!$L:$L,MATCH($D1206,'Lopettaneet 2013-&gt;'!$D:$D,0)))</f>
        <v>3</v>
      </c>
      <c r="L1206">
        <v>941</v>
      </c>
    </row>
    <row r="1207" spans="1:12" x14ac:dyDescent="0.25">
      <c r="A1207" t="s">
        <v>0</v>
      </c>
      <c r="B1207" s="1">
        <v>44531</v>
      </c>
      <c r="C1207" s="1">
        <v>55153</v>
      </c>
      <c r="D1207" s="4" t="s">
        <v>2071</v>
      </c>
      <c r="E1207" t="s">
        <v>10</v>
      </c>
      <c r="F1207" t="s">
        <v>11</v>
      </c>
      <c r="G1207" t="s">
        <v>2917</v>
      </c>
      <c r="H1207" t="s">
        <v>2950</v>
      </c>
      <c r="I1207" t="s">
        <v>2895</v>
      </c>
      <c r="J1207" t="str">
        <f>IF(ISNUMBER(MATCH($D1207,'Lopettaneet 2013-&gt;'!$D:$D,0)),INDEX('Lopettaneet 2013-&gt;'!$K:$K,MATCH($D1207,'Lopettaneet 2013-&gt;'!$D:$D,0)),"Continues")</f>
        <v>Continues</v>
      </c>
      <c r="K1207">
        <f ca="1">IF($J1207="Continues",DATEDIF($B1207,TODAY(),"Y"),INDEX('Lopettaneet 2013-&gt;'!$L:$L,MATCH($D1207,'Lopettaneet 2013-&gt;'!$D:$D,0)))</f>
        <v>3</v>
      </c>
      <c r="L1207">
        <v>942</v>
      </c>
    </row>
    <row r="1208" spans="1:12" x14ac:dyDescent="0.25">
      <c r="A1208" t="s">
        <v>7</v>
      </c>
      <c r="B1208" s="1">
        <v>44621</v>
      </c>
      <c r="C1208" s="1">
        <v>55153</v>
      </c>
      <c r="D1208" s="4" t="s">
        <v>2073</v>
      </c>
      <c r="E1208" t="s">
        <v>10</v>
      </c>
      <c r="F1208" t="s">
        <v>11</v>
      </c>
      <c r="G1208" t="s">
        <v>2912</v>
      </c>
      <c r="H1208" t="s">
        <v>2946</v>
      </c>
      <c r="I1208" t="s">
        <v>2894</v>
      </c>
      <c r="J1208" t="str">
        <f>IF(ISNUMBER(MATCH($D1208,'Lopettaneet 2013-&gt;'!$D:$D,0)),INDEX('Lopettaneet 2013-&gt;'!$K:$K,MATCH($D1208,'Lopettaneet 2013-&gt;'!$D:$D,0)),"Continues")</f>
        <v>Continues</v>
      </c>
      <c r="K1208">
        <f ca="1">IF($J1208="Continues",DATEDIF($B1208,TODAY(),"Y"),INDEX('Lopettaneet 2013-&gt;'!$L:$L,MATCH($D1208,'Lopettaneet 2013-&gt;'!$D:$D,0)))</f>
        <v>3</v>
      </c>
      <c r="L1208">
        <v>943</v>
      </c>
    </row>
    <row r="1209" spans="1:12" x14ac:dyDescent="0.25">
      <c r="A1209" t="s">
        <v>7</v>
      </c>
      <c r="B1209" s="1">
        <v>44621</v>
      </c>
      <c r="C1209" s="1">
        <v>55153</v>
      </c>
      <c r="D1209" s="4" t="s">
        <v>2075</v>
      </c>
      <c r="E1209" t="s">
        <v>10</v>
      </c>
      <c r="F1209" t="s">
        <v>11</v>
      </c>
      <c r="G1209" t="s">
        <v>2912</v>
      </c>
      <c r="H1209" t="s">
        <v>2946</v>
      </c>
      <c r="I1209" t="s">
        <v>2894</v>
      </c>
      <c r="J1209" t="str">
        <f>IF(ISNUMBER(MATCH($D1209,'Lopettaneet 2013-&gt;'!$D:$D,0)),INDEX('Lopettaneet 2013-&gt;'!$K:$K,MATCH($D1209,'Lopettaneet 2013-&gt;'!$D:$D,0)),"Continues")</f>
        <v>Continues</v>
      </c>
      <c r="K1209">
        <f ca="1">IF($J1209="Continues",DATEDIF($B1209,TODAY(),"Y"),INDEX('Lopettaneet 2013-&gt;'!$L:$L,MATCH($D1209,'Lopettaneet 2013-&gt;'!$D:$D,0)))</f>
        <v>3</v>
      </c>
      <c r="L1209">
        <v>944</v>
      </c>
    </row>
    <row r="1210" spans="1:12" x14ac:dyDescent="0.25">
      <c r="A1210" t="s">
        <v>0</v>
      </c>
      <c r="B1210" s="1">
        <v>44805</v>
      </c>
      <c r="C1210" s="1">
        <v>55153</v>
      </c>
      <c r="D1210" s="4" t="s">
        <v>2077</v>
      </c>
      <c r="E1210" t="s">
        <v>10</v>
      </c>
      <c r="F1210" t="s">
        <v>4</v>
      </c>
      <c r="G1210" t="s">
        <v>2914</v>
      </c>
      <c r="H1210" t="s">
        <v>2975</v>
      </c>
      <c r="I1210" t="s">
        <v>2894</v>
      </c>
      <c r="J1210" t="str">
        <f>IF(ISNUMBER(MATCH($D1210,'Lopettaneet 2013-&gt;'!$D:$D,0)),INDEX('Lopettaneet 2013-&gt;'!$K:$K,MATCH($D1210,'Lopettaneet 2013-&gt;'!$D:$D,0)),"Continues")</f>
        <v>Continues</v>
      </c>
      <c r="K1210">
        <f ca="1">IF($J1210="Continues",DATEDIF($B1210,TODAY(),"Y"),INDEX('Lopettaneet 2013-&gt;'!$L:$L,MATCH($D1210,'Lopettaneet 2013-&gt;'!$D:$D,0)))</f>
        <v>2</v>
      </c>
      <c r="L1210">
        <v>945</v>
      </c>
    </row>
    <row r="1211" spans="1:12" x14ac:dyDescent="0.25">
      <c r="A1211" t="s">
        <v>0</v>
      </c>
      <c r="B1211" s="1">
        <v>44501</v>
      </c>
      <c r="C1211" s="1">
        <v>55153</v>
      </c>
      <c r="D1211" s="4" t="s">
        <v>2079</v>
      </c>
      <c r="E1211" t="s">
        <v>10</v>
      </c>
      <c r="F1211" t="s">
        <v>4</v>
      </c>
      <c r="G1211" t="s">
        <v>2919</v>
      </c>
      <c r="H1211" t="s">
        <v>2842</v>
      </c>
      <c r="I1211" t="s">
        <v>2895</v>
      </c>
      <c r="J1211" t="str">
        <f>IF(ISNUMBER(MATCH($D1211,'Lopettaneet 2013-&gt;'!$D:$D,0)),INDEX('Lopettaneet 2013-&gt;'!$K:$K,MATCH($D1211,'Lopettaneet 2013-&gt;'!$D:$D,0)),"Continues")</f>
        <v>Continues</v>
      </c>
      <c r="K1211">
        <f ca="1">IF($J1211="Continues",DATEDIF($B1211,TODAY(),"Y"),INDEX('Lopettaneet 2013-&gt;'!$L:$L,MATCH($D1211,'Lopettaneet 2013-&gt;'!$D:$D,0)))</f>
        <v>3</v>
      </c>
      <c r="L1211">
        <v>946</v>
      </c>
    </row>
    <row r="1212" spans="1:12" x14ac:dyDescent="0.25">
      <c r="A1212" t="s">
        <v>7</v>
      </c>
      <c r="B1212" s="1">
        <v>44713</v>
      </c>
      <c r="C1212" s="1">
        <v>55153</v>
      </c>
      <c r="D1212" s="4" t="s">
        <v>2081</v>
      </c>
      <c r="E1212" t="s">
        <v>10</v>
      </c>
      <c r="F1212" t="s">
        <v>11</v>
      </c>
      <c r="G1212" t="s">
        <v>2918</v>
      </c>
      <c r="H1212" t="s">
        <v>2946</v>
      </c>
      <c r="I1212" t="s">
        <v>2894</v>
      </c>
      <c r="J1212" t="str">
        <f>IF(ISNUMBER(MATCH($D1212,'Lopettaneet 2013-&gt;'!$D:$D,0)),INDEX('Lopettaneet 2013-&gt;'!$K:$K,MATCH($D1212,'Lopettaneet 2013-&gt;'!$D:$D,0)),"Continues")</f>
        <v>Continues</v>
      </c>
      <c r="K1212">
        <f ca="1">IF($J1212="Continues",DATEDIF($B1212,TODAY(),"Y"),INDEX('Lopettaneet 2013-&gt;'!$L:$L,MATCH($D1212,'Lopettaneet 2013-&gt;'!$D:$D,0)))</f>
        <v>2</v>
      </c>
      <c r="L1212">
        <v>947</v>
      </c>
    </row>
    <row r="1213" spans="1:12" x14ac:dyDescent="0.25">
      <c r="A1213" t="s">
        <v>7</v>
      </c>
      <c r="B1213" s="1">
        <v>44621</v>
      </c>
      <c r="C1213" s="1">
        <v>55153</v>
      </c>
      <c r="D1213" s="4" t="s">
        <v>2083</v>
      </c>
      <c r="E1213" t="s">
        <v>10</v>
      </c>
      <c r="F1213" t="s">
        <v>11</v>
      </c>
      <c r="G1213" t="s">
        <v>2916</v>
      </c>
      <c r="H1213" t="s">
        <v>3006</v>
      </c>
      <c r="I1213" t="s">
        <v>2894</v>
      </c>
      <c r="J1213" t="str">
        <f>IF(ISNUMBER(MATCH($D1213,'Lopettaneet 2013-&gt;'!$D:$D,0)),INDEX('Lopettaneet 2013-&gt;'!$K:$K,MATCH($D1213,'Lopettaneet 2013-&gt;'!$D:$D,0)),"Continues")</f>
        <v>Continues</v>
      </c>
      <c r="K1213">
        <f ca="1">IF($J1213="Continues",DATEDIF($B1213,TODAY(),"Y"),INDEX('Lopettaneet 2013-&gt;'!$L:$L,MATCH($D1213,'Lopettaneet 2013-&gt;'!$D:$D,0)))</f>
        <v>3</v>
      </c>
      <c r="L1213">
        <v>948</v>
      </c>
    </row>
    <row r="1214" spans="1:12" x14ac:dyDescent="0.25">
      <c r="A1214" t="s">
        <v>7</v>
      </c>
      <c r="B1214" s="1">
        <v>44531</v>
      </c>
      <c r="C1214" s="1">
        <v>55153</v>
      </c>
      <c r="D1214" s="4" t="s">
        <v>2085</v>
      </c>
      <c r="E1214" t="s">
        <v>10</v>
      </c>
      <c r="F1214" t="s">
        <v>11</v>
      </c>
      <c r="G1214" t="s">
        <v>2914</v>
      </c>
      <c r="H1214" t="s">
        <v>2922</v>
      </c>
      <c r="I1214" t="s">
        <v>2894</v>
      </c>
      <c r="J1214" t="str">
        <f>IF(ISNUMBER(MATCH($D1214,'Lopettaneet 2013-&gt;'!$D:$D,0)),INDEX('Lopettaneet 2013-&gt;'!$K:$K,MATCH($D1214,'Lopettaneet 2013-&gt;'!$D:$D,0)),"Continues")</f>
        <v>Continues</v>
      </c>
      <c r="K1214">
        <f ca="1">IF($J1214="Continues",DATEDIF($B1214,TODAY(),"Y"),INDEX('Lopettaneet 2013-&gt;'!$L:$L,MATCH($D1214,'Lopettaneet 2013-&gt;'!$D:$D,0)))</f>
        <v>3</v>
      </c>
      <c r="L1214">
        <v>949</v>
      </c>
    </row>
    <row r="1215" spans="1:12" x14ac:dyDescent="0.25">
      <c r="A1215" t="s">
        <v>7</v>
      </c>
      <c r="B1215" s="1">
        <v>44531</v>
      </c>
      <c r="C1215" s="1">
        <v>55153</v>
      </c>
      <c r="D1215" s="4" t="s">
        <v>2087</v>
      </c>
      <c r="E1215" t="s">
        <v>10</v>
      </c>
      <c r="F1215" t="s">
        <v>11</v>
      </c>
      <c r="G1215" t="s">
        <v>2914</v>
      </c>
      <c r="H1215" t="s">
        <v>2922</v>
      </c>
      <c r="I1215" t="s">
        <v>2894</v>
      </c>
      <c r="J1215" t="str">
        <f>IF(ISNUMBER(MATCH($D1215,'Lopettaneet 2013-&gt;'!$D:$D,0)),INDEX('Lopettaneet 2013-&gt;'!$K:$K,MATCH($D1215,'Lopettaneet 2013-&gt;'!$D:$D,0)),"Continues")</f>
        <v>Continues</v>
      </c>
      <c r="K1215">
        <f ca="1">IF($J1215="Continues",DATEDIF($B1215,TODAY(),"Y"),INDEX('Lopettaneet 2013-&gt;'!$L:$L,MATCH($D1215,'Lopettaneet 2013-&gt;'!$D:$D,0)))</f>
        <v>3</v>
      </c>
      <c r="L1215">
        <v>950</v>
      </c>
    </row>
    <row r="1216" spans="1:12" x14ac:dyDescent="0.25">
      <c r="A1216" t="s">
        <v>7</v>
      </c>
      <c r="B1216" s="1">
        <v>44531</v>
      </c>
      <c r="C1216" s="1">
        <v>55153</v>
      </c>
      <c r="D1216" s="4" t="s">
        <v>2089</v>
      </c>
      <c r="E1216" t="s">
        <v>10</v>
      </c>
      <c r="F1216" t="s">
        <v>11</v>
      </c>
      <c r="G1216" t="s">
        <v>2914</v>
      </c>
      <c r="H1216" t="s">
        <v>2922</v>
      </c>
      <c r="I1216" t="s">
        <v>2894</v>
      </c>
      <c r="J1216" t="str">
        <f>IF(ISNUMBER(MATCH($D1216,'Lopettaneet 2013-&gt;'!$D:$D,0)),INDEX('Lopettaneet 2013-&gt;'!$K:$K,MATCH($D1216,'Lopettaneet 2013-&gt;'!$D:$D,0)),"Continues")</f>
        <v>Continues</v>
      </c>
      <c r="K1216">
        <f ca="1">IF($J1216="Continues",DATEDIF($B1216,TODAY(),"Y"),INDEX('Lopettaneet 2013-&gt;'!$L:$L,MATCH($D1216,'Lopettaneet 2013-&gt;'!$D:$D,0)))</f>
        <v>3</v>
      </c>
      <c r="L1216">
        <v>951</v>
      </c>
    </row>
    <row r="1217" spans="1:12" x14ac:dyDescent="0.25">
      <c r="A1217" t="s">
        <v>7</v>
      </c>
      <c r="B1217" s="1">
        <v>44621</v>
      </c>
      <c r="C1217" s="1">
        <v>55153</v>
      </c>
      <c r="D1217" s="4" t="s">
        <v>2091</v>
      </c>
      <c r="E1217" t="s">
        <v>10</v>
      </c>
      <c r="F1217" t="s">
        <v>11</v>
      </c>
      <c r="G1217" t="s">
        <v>2918</v>
      </c>
      <c r="H1217" t="s">
        <v>2879</v>
      </c>
      <c r="I1217" t="s">
        <v>2895</v>
      </c>
      <c r="J1217" t="str">
        <f>IF(ISNUMBER(MATCH($D1217,'Lopettaneet 2013-&gt;'!$D:$D,0)),INDEX('Lopettaneet 2013-&gt;'!$K:$K,MATCH($D1217,'Lopettaneet 2013-&gt;'!$D:$D,0)),"Continues")</f>
        <v>Continues</v>
      </c>
      <c r="K1217">
        <f ca="1">IF($J1217="Continues",DATEDIF($B1217,TODAY(),"Y"),INDEX('Lopettaneet 2013-&gt;'!$L:$L,MATCH($D1217,'Lopettaneet 2013-&gt;'!$D:$D,0)))</f>
        <v>3</v>
      </c>
      <c r="L1217">
        <v>952</v>
      </c>
    </row>
    <row r="1218" spans="1:12" x14ac:dyDescent="0.25">
      <c r="A1218" t="s">
        <v>7</v>
      </c>
      <c r="B1218" s="1">
        <v>44713</v>
      </c>
      <c r="C1218" s="1">
        <v>55153</v>
      </c>
      <c r="D1218" s="4" t="s">
        <v>2093</v>
      </c>
      <c r="E1218" t="s">
        <v>10</v>
      </c>
      <c r="F1218" t="s">
        <v>11</v>
      </c>
      <c r="G1218" t="s">
        <v>2912</v>
      </c>
      <c r="H1218" t="s">
        <v>3019</v>
      </c>
      <c r="I1218" t="s">
        <v>2894</v>
      </c>
      <c r="J1218" t="str">
        <f>IF(ISNUMBER(MATCH($D1218,'Lopettaneet 2013-&gt;'!$D:$D,0)),INDEX('Lopettaneet 2013-&gt;'!$K:$K,MATCH($D1218,'Lopettaneet 2013-&gt;'!$D:$D,0)),"Continues")</f>
        <v>Continues</v>
      </c>
      <c r="K1218">
        <f ca="1">IF($J1218="Continues",DATEDIF($B1218,TODAY(),"Y"),INDEX('Lopettaneet 2013-&gt;'!$L:$L,MATCH($D1218,'Lopettaneet 2013-&gt;'!$D:$D,0)))</f>
        <v>2</v>
      </c>
      <c r="L1218">
        <v>953</v>
      </c>
    </row>
    <row r="1219" spans="1:12" x14ac:dyDescent="0.25">
      <c r="A1219" t="s">
        <v>7</v>
      </c>
      <c r="B1219" s="1">
        <v>44531</v>
      </c>
      <c r="C1219" s="1">
        <v>55153</v>
      </c>
      <c r="D1219" s="4" t="s">
        <v>2095</v>
      </c>
      <c r="E1219" t="s">
        <v>10</v>
      </c>
      <c r="F1219" t="s">
        <v>11</v>
      </c>
      <c r="G1219" t="s">
        <v>2916</v>
      </c>
      <c r="H1219" t="s">
        <v>2983</v>
      </c>
      <c r="I1219" t="s">
        <v>2894</v>
      </c>
      <c r="J1219" t="str">
        <f>IF(ISNUMBER(MATCH($D1219,'Lopettaneet 2013-&gt;'!$D:$D,0)),INDEX('Lopettaneet 2013-&gt;'!$K:$K,MATCH($D1219,'Lopettaneet 2013-&gt;'!$D:$D,0)),"Continues")</f>
        <v>Continues</v>
      </c>
      <c r="K1219">
        <f ca="1">IF($J1219="Continues",DATEDIF($B1219,TODAY(),"Y"),INDEX('Lopettaneet 2013-&gt;'!$L:$L,MATCH($D1219,'Lopettaneet 2013-&gt;'!$D:$D,0)))</f>
        <v>3</v>
      </c>
      <c r="L1219">
        <v>954</v>
      </c>
    </row>
    <row r="1220" spans="1:12" x14ac:dyDescent="0.25">
      <c r="A1220" t="s">
        <v>0</v>
      </c>
      <c r="B1220" s="1">
        <v>44501</v>
      </c>
      <c r="C1220" s="1">
        <v>55153</v>
      </c>
      <c r="D1220" s="4" t="s">
        <v>2097</v>
      </c>
      <c r="E1220" t="s">
        <v>10</v>
      </c>
      <c r="F1220" t="s">
        <v>4</v>
      </c>
      <c r="G1220" t="s">
        <v>2917</v>
      </c>
      <c r="H1220" t="s">
        <v>2979</v>
      </c>
      <c r="I1220" t="s">
        <v>2894</v>
      </c>
      <c r="J1220" t="str">
        <f>IF(ISNUMBER(MATCH($D1220,'Lopettaneet 2013-&gt;'!$D:$D,0)),INDEX('Lopettaneet 2013-&gt;'!$K:$K,MATCH($D1220,'Lopettaneet 2013-&gt;'!$D:$D,0)),"Continues")</f>
        <v>Continues</v>
      </c>
      <c r="K1220">
        <f ca="1">IF($J1220="Continues",DATEDIF($B1220,TODAY(),"Y"),INDEX('Lopettaneet 2013-&gt;'!$L:$L,MATCH($D1220,'Lopettaneet 2013-&gt;'!$D:$D,0)))</f>
        <v>3</v>
      </c>
      <c r="L1220">
        <v>955</v>
      </c>
    </row>
    <row r="1221" spans="1:12" x14ac:dyDescent="0.25">
      <c r="A1221" t="s">
        <v>0</v>
      </c>
      <c r="B1221" s="1">
        <v>44562</v>
      </c>
      <c r="C1221" s="1">
        <v>55153</v>
      </c>
      <c r="D1221" s="4" t="s">
        <v>2099</v>
      </c>
      <c r="E1221" t="s">
        <v>3</v>
      </c>
      <c r="F1221" t="s">
        <v>4</v>
      </c>
      <c r="G1221" t="s">
        <v>2917</v>
      </c>
      <c r="H1221" t="s">
        <v>2952</v>
      </c>
      <c r="I1221" t="s">
        <v>2894</v>
      </c>
      <c r="J1221" t="str">
        <f>IF(ISNUMBER(MATCH($D1221,'Lopettaneet 2013-&gt;'!$D:$D,0)),INDEX('Lopettaneet 2013-&gt;'!$K:$K,MATCH($D1221,'Lopettaneet 2013-&gt;'!$D:$D,0)),"Continues")</f>
        <v>Continues</v>
      </c>
      <c r="K1221">
        <f ca="1">IF($J1221="Continues",DATEDIF($B1221,TODAY(),"Y"),INDEX('Lopettaneet 2013-&gt;'!$L:$L,MATCH($D1221,'Lopettaneet 2013-&gt;'!$D:$D,0)))</f>
        <v>3</v>
      </c>
      <c r="L1221">
        <v>956</v>
      </c>
    </row>
    <row r="1222" spans="1:12" x14ac:dyDescent="0.25">
      <c r="A1222" t="s">
        <v>0</v>
      </c>
      <c r="B1222" s="1">
        <v>44562</v>
      </c>
      <c r="C1222" s="1">
        <v>55153</v>
      </c>
      <c r="D1222" s="4" t="s">
        <v>2101</v>
      </c>
      <c r="E1222" t="s">
        <v>3</v>
      </c>
      <c r="F1222" t="s">
        <v>4</v>
      </c>
      <c r="G1222" t="s">
        <v>2915</v>
      </c>
      <c r="H1222" t="s">
        <v>2952</v>
      </c>
      <c r="I1222" t="s">
        <v>2894</v>
      </c>
      <c r="J1222" t="str">
        <f>IF(ISNUMBER(MATCH($D1222,'Lopettaneet 2013-&gt;'!$D:$D,0)),INDEX('Lopettaneet 2013-&gt;'!$K:$K,MATCH($D1222,'Lopettaneet 2013-&gt;'!$D:$D,0)),"Continues")</f>
        <v>Continues</v>
      </c>
      <c r="K1222">
        <f ca="1">IF($J1222="Continues",DATEDIF($B1222,TODAY(),"Y"),INDEX('Lopettaneet 2013-&gt;'!$L:$L,MATCH($D1222,'Lopettaneet 2013-&gt;'!$D:$D,0)))</f>
        <v>3</v>
      </c>
      <c r="L1222">
        <v>957</v>
      </c>
    </row>
    <row r="1223" spans="1:12" x14ac:dyDescent="0.25">
      <c r="A1223" t="s">
        <v>0</v>
      </c>
      <c r="B1223" s="1">
        <v>44562</v>
      </c>
      <c r="C1223" s="1">
        <v>55153</v>
      </c>
      <c r="D1223" s="4" t="s">
        <v>2103</v>
      </c>
      <c r="E1223" t="s">
        <v>3</v>
      </c>
      <c r="F1223" t="s">
        <v>4</v>
      </c>
      <c r="G1223" t="s">
        <v>2915</v>
      </c>
      <c r="H1223" t="s">
        <v>2952</v>
      </c>
      <c r="I1223" t="s">
        <v>2894</v>
      </c>
      <c r="J1223" t="str">
        <f>IF(ISNUMBER(MATCH($D1223,'Lopettaneet 2013-&gt;'!$D:$D,0)),INDEX('Lopettaneet 2013-&gt;'!$K:$K,MATCH($D1223,'Lopettaneet 2013-&gt;'!$D:$D,0)),"Continues")</f>
        <v>Continues</v>
      </c>
      <c r="K1223">
        <f ca="1">IF($J1223="Continues",DATEDIF($B1223,TODAY(),"Y"),INDEX('Lopettaneet 2013-&gt;'!$L:$L,MATCH($D1223,'Lopettaneet 2013-&gt;'!$D:$D,0)))</f>
        <v>3</v>
      </c>
      <c r="L1223">
        <v>958</v>
      </c>
    </row>
    <row r="1224" spans="1:12" x14ac:dyDescent="0.25">
      <c r="A1224" t="s">
        <v>0</v>
      </c>
      <c r="B1224" s="1">
        <v>44531</v>
      </c>
      <c r="C1224" s="1">
        <v>55153</v>
      </c>
      <c r="D1224" s="4" t="s">
        <v>2105</v>
      </c>
      <c r="E1224" t="s">
        <v>3</v>
      </c>
      <c r="F1224" t="s">
        <v>4</v>
      </c>
      <c r="G1224" t="s">
        <v>2913</v>
      </c>
      <c r="H1224" t="s">
        <v>2952</v>
      </c>
      <c r="I1224" t="s">
        <v>2894</v>
      </c>
      <c r="J1224" t="str">
        <f>IF(ISNUMBER(MATCH($D1224,'Lopettaneet 2013-&gt;'!$D:$D,0)),INDEX('Lopettaneet 2013-&gt;'!$K:$K,MATCH($D1224,'Lopettaneet 2013-&gt;'!$D:$D,0)),"Continues")</f>
        <v>Continues</v>
      </c>
      <c r="K1224">
        <f ca="1">IF($J1224="Continues",DATEDIF($B1224,TODAY(),"Y"),INDEX('Lopettaneet 2013-&gt;'!$L:$L,MATCH($D1224,'Lopettaneet 2013-&gt;'!$D:$D,0)))</f>
        <v>3</v>
      </c>
      <c r="L1224">
        <v>959</v>
      </c>
    </row>
    <row r="1225" spans="1:12" x14ac:dyDescent="0.25">
      <c r="A1225" t="s">
        <v>7</v>
      </c>
      <c r="B1225" s="1">
        <v>44713</v>
      </c>
      <c r="C1225" s="1">
        <v>55153</v>
      </c>
      <c r="D1225" s="4" t="s">
        <v>2107</v>
      </c>
      <c r="E1225" t="s">
        <v>10</v>
      </c>
      <c r="F1225" t="s">
        <v>11</v>
      </c>
      <c r="G1225" t="s">
        <v>2916</v>
      </c>
      <c r="H1225" t="s">
        <v>2766</v>
      </c>
      <c r="I1225" t="s">
        <v>2895</v>
      </c>
      <c r="J1225" t="str">
        <f>IF(ISNUMBER(MATCH($D1225,'Lopettaneet 2013-&gt;'!$D:$D,0)),INDEX('Lopettaneet 2013-&gt;'!$K:$K,MATCH($D1225,'Lopettaneet 2013-&gt;'!$D:$D,0)),"Continues")</f>
        <v>Continues</v>
      </c>
      <c r="K1225">
        <f ca="1">IF($J1225="Continues",DATEDIF($B1225,TODAY(),"Y"),INDEX('Lopettaneet 2013-&gt;'!$L:$L,MATCH($D1225,'Lopettaneet 2013-&gt;'!$D:$D,0)))</f>
        <v>2</v>
      </c>
      <c r="L1225">
        <v>960</v>
      </c>
    </row>
    <row r="1226" spans="1:12" x14ac:dyDescent="0.25">
      <c r="A1226" t="s">
        <v>0</v>
      </c>
      <c r="B1226" s="1">
        <v>44713</v>
      </c>
      <c r="C1226" s="1">
        <v>55153</v>
      </c>
      <c r="D1226" s="4" t="s">
        <v>2109</v>
      </c>
      <c r="E1226" t="s">
        <v>10</v>
      </c>
      <c r="F1226" t="s">
        <v>11</v>
      </c>
      <c r="G1226" t="s">
        <v>2917</v>
      </c>
      <c r="H1226" t="s">
        <v>2766</v>
      </c>
      <c r="I1226" t="s">
        <v>2895</v>
      </c>
      <c r="J1226" t="str">
        <f>IF(ISNUMBER(MATCH($D1226,'Lopettaneet 2013-&gt;'!$D:$D,0)),INDEX('Lopettaneet 2013-&gt;'!$K:$K,MATCH($D1226,'Lopettaneet 2013-&gt;'!$D:$D,0)),"Continues")</f>
        <v>Continues</v>
      </c>
      <c r="K1226">
        <f ca="1">IF($J1226="Continues",DATEDIF($B1226,TODAY(),"Y"),INDEX('Lopettaneet 2013-&gt;'!$L:$L,MATCH($D1226,'Lopettaneet 2013-&gt;'!$D:$D,0)))</f>
        <v>2</v>
      </c>
      <c r="L1226">
        <v>961</v>
      </c>
    </row>
    <row r="1227" spans="1:12" x14ac:dyDescent="0.25">
      <c r="A1227" t="s">
        <v>7</v>
      </c>
      <c r="B1227" s="1">
        <v>44621</v>
      </c>
      <c r="C1227" s="1">
        <v>55153</v>
      </c>
      <c r="D1227" s="4" t="s">
        <v>2111</v>
      </c>
      <c r="E1227" t="s">
        <v>10</v>
      </c>
      <c r="F1227" t="s">
        <v>11</v>
      </c>
      <c r="G1227" t="s">
        <v>2912</v>
      </c>
      <c r="H1227" t="s">
        <v>2956</v>
      </c>
      <c r="I1227" t="s">
        <v>2895</v>
      </c>
      <c r="J1227" t="str">
        <f>IF(ISNUMBER(MATCH($D1227,'Lopettaneet 2013-&gt;'!$D:$D,0)),INDEX('Lopettaneet 2013-&gt;'!$K:$K,MATCH($D1227,'Lopettaneet 2013-&gt;'!$D:$D,0)),"Continues")</f>
        <v>Continues</v>
      </c>
      <c r="K1227">
        <f ca="1">IF($J1227="Continues",DATEDIF($B1227,TODAY(),"Y"),INDEX('Lopettaneet 2013-&gt;'!$L:$L,MATCH($D1227,'Lopettaneet 2013-&gt;'!$D:$D,0)))</f>
        <v>3</v>
      </c>
      <c r="L1227">
        <v>962</v>
      </c>
    </row>
    <row r="1228" spans="1:12" x14ac:dyDescent="0.25">
      <c r="A1228" t="s">
        <v>7</v>
      </c>
      <c r="B1228" s="1">
        <v>44621</v>
      </c>
      <c r="C1228" s="1">
        <v>55153</v>
      </c>
      <c r="D1228" s="4" t="s">
        <v>2113</v>
      </c>
      <c r="E1228" t="s">
        <v>10</v>
      </c>
      <c r="F1228" t="s">
        <v>11</v>
      </c>
      <c r="G1228" t="s">
        <v>2914</v>
      </c>
      <c r="H1228" t="s">
        <v>2946</v>
      </c>
      <c r="I1228" t="s">
        <v>2894</v>
      </c>
      <c r="J1228" t="str">
        <f>IF(ISNUMBER(MATCH($D1228,'Lopettaneet 2013-&gt;'!$D:$D,0)),INDEX('Lopettaneet 2013-&gt;'!$K:$K,MATCH($D1228,'Lopettaneet 2013-&gt;'!$D:$D,0)),"Continues")</f>
        <v>Continues</v>
      </c>
      <c r="K1228">
        <f ca="1">IF($J1228="Continues",DATEDIF($B1228,TODAY(),"Y"),INDEX('Lopettaneet 2013-&gt;'!$L:$L,MATCH($D1228,'Lopettaneet 2013-&gt;'!$D:$D,0)))</f>
        <v>3</v>
      </c>
      <c r="L1228">
        <v>963</v>
      </c>
    </row>
    <row r="1229" spans="1:12" x14ac:dyDescent="0.25">
      <c r="A1229" t="s">
        <v>7</v>
      </c>
      <c r="B1229" s="1">
        <v>44621</v>
      </c>
      <c r="C1229" s="1">
        <v>55153</v>
      </c>
      <c r="D1229" s="4" t="s">
        <v>2115</v>
      </c>
      <c r="E1229" t="s">
        <v>10</v>
      </c>
      <c r="F1229" t="s">
        <v>11</v>
      </c>
      <c r="G1229" t="s">
        <v>2914</v>
      </c>
      <c r="H1229" t="s">
        <v>2946</v>
      </c>
      <c r="I1229" t="s">
        <v>2894</v>
      </c>
      <c r="J1229" t="str">
        <f>IF(ISNUMBER(MATCH($D1229,'Lopettaneet 2013-&gt;'!$D:$D,0)),INDEX('Lopettaneet 2013-&gt;'!$K:$K,MATCH($D1229,'Lopettaneet 2013-&gt;'!$D:$D,0)),"Continues")</f>
        <v>Continues</v>
      </c>
      <c r="K1229">
        <f ca="1">IF($J1229="Continues",DATEDIF($B1229,TODAY(),"Y"),INDEX('Lopettaneet 2013-&gt;'!$L:$L,MATCH($D1229,'Lopettaneet 2013-&gt;'!$D:$D,0)))</f>
        <v>3</v>
      </c>
      <c r="L1229">
        <v>964</v>
      </c>
    </row>
    <row r="1230" spans="1:12" x14ac:dyDescent="0.25">
      <c r="A1230" t="s">
        <v>7</v>
      </c>
      <c r="B1230" s="1">
        <v>44621</v>
      </c>
      <c r="C1230" s="1">
        <v>55153</v>
      </c>
      <c r="D1230" s="4" t="s">
        <v>2117</v>
      </c>
      <c r="E1230" t="s">
        <v>10</v>
      </c>
      <c r="F1230" t="s">
        <v>11</v>
      </c>
      <c r="G1230" t="s">
        <v>2912</v>
      </c>
      <c r="H1230" t="s">
        <v>2946</v>
      </c>
      <c r="I1230" t="s">
        <v>2894</v>
      </c>
      <c r="J1230" t="str">
        <f>IF(ISNUMBER(MATCH($D1230,'Lopettaneet 2013-&gt;'!$D:$D,0)),INDEX('Lopettaneet 2013-&gt;'!$K:$K,MATCH($D1230,'Lopettaneet 2013-&gt;'!$D:$D,0)),"Continues")</f>
        <v>Continues</v>
      </c>
      <c r="K1230">
        <f ca="1">IF($J1230="Continues",DATEDIF($B1230,TODAY(),"Y"),INDEX('Lopettaneet 2013-&gt;'!$L:$L,MATCH($D1230,'Lopettaneet 2013-&gt;'!$D:$D,0)))</f>
        <v>3</v>
      </c>
      <c r="L1230">
        <v>965</v>
      </c>
    </row>
    <row r="1231" spans="1:12" x14ac:dyDescent="0.25">
      <c r="A1231" t="s">
        <v>7</v>
      </c>
      <c r="B1231" s="1">
        <v>44621</v>
      </c>
      <c r="C1231" s="1">
        <v>55153</v>
      </c>
      <c r="D1231" s="4" t="s">
        <v>2119</v>
      </c>
      <c r="E1231" t="s">
        <v>10</v>
      </c>
      <c r="F1231" t="s">
        <v>11</v>
      </c>
      <c r="G1231" t="s">
        <v>2912</v>
      </c>
      <c r="H1231" t="s">
        <v>2946</v>
      </c>
      <c r="I1231" t="s">
        <v>2894</v>
      </c>
      <c r="J1231" t="str">
        <f>IF(ISNUMBER(MATCH($D1231,'Lopettaneet 2013-&gt;'!$D:$D,0)),INDEX('Lopettaneet 2013-&gt;'!$K:$K,MATCH($D1231,'Lopettaneet 2013-&gt;'!$D:$D,0)),"Continues")</f>
        <v>Continues</v>
      </c>
      <c r="K1231">
        <f ca="1">IF($J1231="Continues",DATEDIF($B1231,TODAY(),"Y"),INDEX('Lopettaneet 2013-&gt;'!$L:$L,MATCH($D1231,'Lopettaneet 2013-&gt;'!$D:$D,0)))</f>
        <v>3</v>
      </c>
      <c r="L1231">
        <v>966</v>
      </c>
    </row>
    <row r="1232" spans="1:12" x14ac:dyDescent="0.25">
      <c r="A1232" t="s">
        <v>7</v>
      </c>
      <c r="B1232" s="1">
        <v>44713</v>
      </c>
      <c r="C1232" s="1">
        <v>55153</v>
      </c>
      <c r="D1232" s="4" t="s">
        <v>2121</v>
      </c>
      <c r="E1232" t="s">
        <v>10</v>
      </c>
      <c r="F1232" t="s">
        <v>11</v>
      </c>
      <c r="G1232" t="s">
        <v>2912</v>
      </c>
      <c r="H1232" t="s">
        <v>2972</v>
      </c>
      <c r="I1232" t="s">
        <v>2894</v>
      </c>
      <c r="J1232" t="str">
        <f>IF(ISNUMBER(MATCH($D1232,'Lopettaneet 2013-&gt;'!$D:$D,0)),INDEX('Lopettaneet 2013-&gt;'!$K:$K,MATCH($D1232,'Lopettaneet 2013-&gt;'!$D:$D,0)),"Continues")</f>
        <v>Continues</v>
      </c>
      <c r="K1232">
        <f ca="1">IF($J1232="Continues",DATEDIF($B1232,TODAY(),"Y"),INDEX('Lopettaneet 2013-&gt;'!$L:$L,MATCH($D1232,'Lopettaneet 2013-&gt;'!$D:$D,0)))</f>
        <v>2</v>
      </c>
      <c r="L1232">
        <v>967</v>
      </c>
    </row>
    <row r="1233" spans="1:12" x14ac:dyDescent="0.25">
      <c r="A1233" t="s">
        <v>7</v>
      </c>
      <c r="B1233" s="1">
        <v>44713</v>
      </c>
      <c r="C1233" s="1">
        <v>55153</v>
      </c>
      <c r="D1233" s="4" t="s">
        <v>2123</v>
      </c>
      <c r="E1233" t="s">
        <v>10</v>
      </c>
      <c r="F1233" t="s">
        <v>11</v>
      </c>
      <c r="G1233" t="s">
        <v>2912</v>
      </c>
      <c r="H1233" t="s">
        <v>2972</v>
      </c>
      <c r="I1233" t="s">
        <v>2894</v>
      </c>
      <c r="J1233" t="str">
        <f>IF(ISNUMBER(MATCH($D1233,'Lopettaneet 2013-&gt;'!$D:$D,0)),INDEX('Lopettaneet 2013-&gt;'!$K:$K,MATCH($D1233,'Lopettaneet 2013-&gt;'!$D:$D,0)),"Continues")</f>
        <v>Continues</v>
      </c>
      <c r="K1233">
        <f ca="1">IF($J1233="Continues",DATEDIF($B1233,TODAY(),"Y"),INDEX('Lopettaneet 2013-&gt;'!$L:$L,MATCH($D1233,'Lopettaneet 2013-&gt;'!$D:$D,0)))</f>
        <v>2</v>
      </c>
      <c r="L1233">
        <v>968</v>
      </c>
    </row>
    <row r="1234" spans="1:12" x14ac:dyDescent="0.25">
      <c r="A1234" t="s">
        <v>7</v>
      </c>
      <c r="B1234" s="1">
        <v>44621</v>
      </c>
      <c r="C1234" s="1">
        <v>55153</v>
      </c>
      <c r="D1234" s="4" t="s">
        <v>2125</v>
      </c>
      <c r="E1234" t="s">
        <v>10</v>
      </c>
      <c r="F1234" t="s">
        <v>11</v>
      </c>
      <c r="G1234" t="s">
        <v>2912</v>
      </c>
      <c r="H1234" t="s">
        <v>2989</v>
      </c>
      <c r="I1234" t="s">
        <v>2895</v>
      </c>
      <c r="J1234" t="str">
        <f>IF(ISNUMBER(MATCH($D1234,'Lopettaneet 2013-&gt;'!$D:$D,0)),INDEX('Lopettaneet 2013-&gt;'!$K:$K,MATCH($D1234,'Lopettaneet 2013-&gt;'!$D:$D,0)),"Continues")</f>
        <v>Continues</v>
      </c>
      <c r="K1234">
        <f ca="1">IF($J1234="Continues",DATEDIF($B1234,TODAY(),"Y"),INDEX('Lopettaneet 2013-&gt;'!$L:$L,MATCH($D1234,'Lopettaneet 2013-&gt;'!$D:$D,0)))</f>
        <v>3</v>
      </c>
      <c r="L1234">
        <v>969</v>
      </c>
    </row>
    <row r="1235" spans="1:12" x14ac:dyDescent="0.25">
      <c r="A1235" t="s">
        <v>7</v>
      </c>
      <c r="B1235" s="1">
        <v>44713</v>
      </c>
      <c r="C1235" s="1">
        <v>55153</v>
      </c>
      <c r="D1235" s="4" t="s">
        <v>2127</v>
      </c>
      <c r="E1235" t="s">
        <v>10</v>
      </c>
      <c r="F1235" t="s">
        <v>11</v>
      </c>
      <c r="G1235" t="s">
        <v>2912</v>
      </c>
      <c r="H1235" t="s">
        <v>2766</v>
      </c>
      <c r="I1235" t="s">
        <v>2894</v>
      </c>
      <c r="J1235" t="str">
        <f>IF(ISNUMBER(MATCH($D1235,'Lopettaneet 2013-&gt;'!$D:$D,0)),INDEX('Lopettaneet 2013-&gt;'!$K:$K,MATCH($D1235,'Lopettaneet 2013-&gt;'!$D:$D,0)),"Continues")</f>
        <v>Continues</v>
      </c>
      <c r="K1235">
        <f ca="1">IF($J1235="Continues",DATEDIF($B1235,TODAY(),"Y"),INDEX('Lopettaneet 2013-&gt;'!$L:$L,MATCH($D1235,'Lopettaneet 2013-&gt;'!$D:$D,0)))</f>
        <v>2</v>
      </c>
      <c r="L1235">
        <v>970</v>
      </c>
    </row>
    <row r="1236" spans="1:12" x14ac:dyDescent="0.25">
      <c r="A1236" t="s">
        <v>0</v>
      </c>
      <c r="B1236" s="1">
        <v>44713</v>
      </c>
      <c r="C1236" s="1">
        <v>55153</v>
      </c>
      <c r="D1236" s="4" t="s">
        <v>2129</v>
      </c>
      <c r="E1236" t="s">
        <v>10</v>
      </c>
      <c r="F1236" t="s">
        <v>11</v>
      </c>
      <c r="G1236" t="s">
        <v>2917</v>
      </c>
      <c r="H1236" t="s">
        <v>2766</v>
      </c>
      <c r="I1236" t="s">
        <v>2895</v>
      </c>
      <c r="J1236" t="str">
        <f>IF(ISNUMBER(MATCH($D1236,'Lopettaneet 2013-&gt;'!$D:$D,0)),INDEX('Lopettaneet 2013-&gt;'!$K:$K,MATCH($D1236,'Lopettaneet 2013-&gt;'!$D:$D,0)),"Continues")</f>
        <v>Continues</v>
      </c>
      <c r="K1236">
        <f ca="1">IF($J1236="Continues",DATEDIF($B1236,TODAY(),"Y"),INDEX('Lopettaneet 2013-&gt;'!$L:$L,MATCH($D1236,'Lopettaneet 2013-&gt;'!$D:$D,0)))</f>
        <v>2</v>
      </c>
      <c r="L1236">
        <v>971</v>
      </c>
    </row>
    <row r="1237" spans="1:12" x14ac:dyDescent="0.25">
      <c r="A1237" t="s">
        <v>0</v>
      </c>
      <c r="B1237" s="1">
        <v>44713</v>
      </c>
      <c r="C1237" s="1">
        <v>55153</v>
      </c>
      <c r="D1237" s="4" t="s">
        <v>2131</v>
      </c>
      <c r="E1237" t="s">
        <v>10</v>
      </c>
      <c r="F1237" t="s">
        <v>11</v>
      </c>
      <c r="G1237" t="s">
        <v>2917</v>
      </c>
      <c r="H1237" t="s">
        <v>2766</v>
      </c>
      <c r="I1237" t="s">
        <v>2895</v>
      </c>
      <c r="J1237" t="str">
        <f>IF(ISNUMBER(MATCH($D1237,'Lopettaneet 2013-&gt;'!$D:$D,0)),INDEX('Lopettaneet 2013-&gt;'!$K:$K,MATCH($D1237,'Lopettaneet 2013-&gt;'!$D:$D,0)),"Continues")</f>
        <v>Continues</v>
      </c>
      <c r="K1237">
        <f ca="1">IF($J1237="Continues",DATEDIF($B1237,TODAY(),"Y"),INDEX('Lopettaneet 2013-&gt;'!$L:$L,MATCH($D1237,'Lopettaneet 2013-&gt;'!$D:$D,0)))</f>
        <v>2</v>
      </c>
      <c r="L1237">
        <v>972</v>
      </c>
    </row>
    <row r="1238" spans="1:12" x14ac:dyDescent="0.25">
      <c r="A1238" t="s">
        <v>7</v>
      </c>
      <c r="B1238" s="1">
        <v>44621</v>
      </c>
      <c r="C1238" s="1">
        <v>55153</v>
      </c>
      <c r="D1238" s="4" t="s">
        <v>2133</v>
      </c>
      <c r="E1238" t="s">
        <v>10</v>
      </c>
      <c r="F1238" t="s">
        <v>11</v>
      </c>
      <c r="G1238" t="s">
        <v>2914</v>
      </c>
      <c r="H1238" t="s">
        <v>2946</v>
      </c>
      <c r="I1238" t="s">
        <v>2894</v>
      </c>
      <c r="J1238" t="str">
        <f>IF(ISNUMBER(MATCH($D1238,'Lopettaneet 2013-&gt;'!$D:$D,0)),INDEX('Lopettaneet 2013-&gt;'!$K:$K,MATCH($D1238,'Lopettaneet 2013-&gt;'!$D:$D,0)),"Continues")</f>
        <v>Continues</v>
      </c>
      <c r="K1238">
        <f ca="1">IF($J1238="Continues",DATEDIF($B1238,TODAY(),"Y"),INDEX('Lopettaneet 2013-&gt;'!$L:$L,MATCH($D1238,'Lopettaneet 2013-&gt;'!$D:$D,0)))</f>
        <v>3</v>
      </c>
      <c r="L1238">
        <v>973</v>
      </c>
    </row>
    <row r="1239" spans="1:12" x14ac:dyDescent="0.25">
      <c r="A1239" t="s">
        <v>7</v>
      </c>
      <c r="B1239" s="1">
        <v>44805</v>
      </c>
      <c r="C1239" s="1">
        <v>55153</v>
      </c>
      <c r="D1239" s="4" t="s">
        <v>2135</v>
      </c>
      <c r="E1239" t="s">
        <v>10</v>
      </c>
      <c r="F1239" t="s">
        <v>11</v>
      </c>
      <c r="G1239" t="s">
        <v>2912</v>
      </c>
      <c r="H1239" t="s">
        <v>2980</v>
      </c>
      <c r="I1239" t="s">
        <v>2894</v>
      </c>
      <c r="J1239" t="str">
        <f>IF(ISNUMBER(MATCH($D1239,'Lopettaneet 2013-&gt;'!$D:$D,0)),INDEX('Lopettaneet 2013-&gt;'!$K:$K,MATCH($D1239,'Lopettaneet 2013-&gt;'!$D:$D,0)),"Continues")</f>
        <v>Continues</v>
      </c>
      <c r="K1239">
        <f ca="1">IF($J1239="Continues",DATEDIF($B1239,TODAY(),"Y"),INDEX('Lopettaneet 2013-&gt;'!$L:$L,MATCH($D1239,'Lopettaneet 2013-&gt;'!$D:$D,0)))</f>
        <v>2</v>
      </c>
      <c r="L1239">
        <v>974</v>
      </c>
    </row>
    <row r="1240" spans="1:12" x14ac:dyDescent="0.25">
      <c r="A1240" t="s">
        <v>7</v>
      </c>
      <c r="B1240" s="1">
        <v>44713</v>
      </c>
      <c r="C1240" s="1">
        <v>55153</v>
      </c>
      <c r="D1240" s="4" t="s">
        <v>2137</v>
      </c>
      <c r="E1240" t="s">
        <v>10</v>
      </c>
      <c r="F1240" t="s">
        <v>11</v>
      </c>
      <c r="G1240" t="s">
        <v>2914</v>
      </c>
      <c r="H1240" t="s">
        <v>2766</v>
      </c>
      <c r="I1240" t="s">
        <v>2895</v>
      </c>
      <c r="J1240" t="str">
        <f>IF(ISNUMBER(MATCH($D1240,'Lopettaneet 2013-&gt;'!$D:$D,0)),INDEX('Lopettaneet 2013-&gt;'!$K:$K,MATCH($D1240,'Lopettaneet 2013-&gt;'!$D:$D,0)),"Continues")</f>
        <v>Continues</v>
      </c>
      <c r="K1240">
        <f ca="1">IF($J1240="Continues",DATEDIF($B1240,TODAY(),"Y"),INDEX('Lopettaneet 2013-&gt;'!$L:$L,MATCH($D1240,'Lopettaneet 2013-&gt;'!$D:$D,0)))</f>
        <v>2</v>
      </c>
      <c r="L1240">
        <v>975</v>
      </c>
    </row>
    <row r="1241" spans="1:12" x14ac:dyDescent="0.25">
      <c r="A1241" t="s">
        <v>0</v>
      </c>
      <c r="B1241" s="1">
        <v>44682</v>
      </c>
      <c r="C1241" s="1">
        <v>55153</v>
      </c>
      <c r="D1241" s="4" t="s">
        <v>2139</v>
      </c>
      <c r="E1241" t="s">
        <v>10</v>
      </c>
      <c r="F1241" t="s">
        <v>11</v>
      </c>
      <c r="G1241" t="s">
        <v>2914</v>
      </c>
      <c r="H1241" t="s">
        <v>2766</v>
      </c>
      <c r="I1241" t="s">
        <v>2895</v>
      </c>
      <c r="J1241" t="str">
        <f>IF(ISNUMBER(MATCH($D1241,'Lopettaneet 2013-&gt;'!$D:$D,0)),INDEX('Lopettaneet 2013-&gt;'!$K:$K,MATCH($D1241,'Lopettaneet 2013-&gt;'!$D:$D,0)),"Continues")</f>
        <v>Continues</v>
      </c>
      <c r="K1241">
        <f ca="1">IF($J1241="Continues",DATEDIF($B1241,TODAY(),"Y"),INDEX('Lopettaneet 2013-&gt;'!$L:$L,MATCH($D1241,'Lopettaneet 2013-&gt;'!$D:$D,0)))</f>
        <v>3</v>
      </c>
      <c r="L1241">
        <v>976</v>
      </c>
    </row>
    <row r="1242" spans="1:12" x14ac:dyDescent="0.25">
      <c r="A1242" t="s">
        <v>0</v>
      </c>
      <c r="B1242" s="1">
        <v>44562</v>
      </c>
      <c r="C1242" s="1">
        <v>45230</v>
      </c>
      <c r="D1242" s="4" t="s">
        <v>62</v>
      </c>
      <c r="E1242" t="s">
        <v>10</v>
      </c>
      <c r="F1242" t="s">
        <v>4</v>
      </c>
      <c r="G1242" t="s">
        <v>2917</v>
      </c>
      <c r="H1242" t="s">
        <v>2842</v>
      </c>
      <c r="I1242" t="s">
        <v>2909</v>
      </c>
      <c r="J1242" t="str">
        <f>IF(ISNUMBER(MATCH($D1242,'Lopettaneet 2013-&gt;'!$D:$D,0)),INDEX('Lopettaneet 2013-&gt;'!$K:$K,MATCH($D1242,'Lopettaneet 2013-&gt;'!$D:$D,0)),"Continues")</f>
        <v>Closed</v>
      </c>
      <c r="K1242">
        <f ca="1">IF($J1242="Continues",DATEDIF($B1242,TODAY(),"Y"),INDEX('Lopettaneet 2013-&gt;'!$L:$L,MATCH($D1242,'Lopettaneet 2013-&gt;'!$D:$D,0)))</f>
        <v>1</v>
      </c>
      <c r="L1242">
        <v>977</v>
      </c>
    </row>
    <row r="1243" spans="1:12" x14ac:dyDescent="0.25">
      <c r="A1243" t="s">
        <v>0</v>
      </c>
      <c r="B1243" s="1">
        <v>44682</v>
      </c>
      <c r="C1243" s="1">
        <v>55153</v>
      </c>
      <c r="D1243" s="4" t="s">
        <v>2141</v>
      </c>
      <c r="E1243" t="s">
        <v>10</v>
      </c>
      <c r="F1243" t="s">
        <v>11</v>
      </c>
      <c r="G1243" t="s">
        <v>2917</v>
      </c>
      <c r="H1243" t="s">
        <v>2766</v>
      </c>
      <c r="I1243" t="s">
        <v>2895</v>
      </c>
      <c r="J1243" t="str">
        <f>IF(ISNUMBER(MATCH($D1243,'Lopettaneet 2013-&gt;'!$D:$D,0)),INDEX('Lopettaneet 2013-&gt;'!$K:$K,MATCH($D1243,'Lopettaneet 2013-&gt;'!$D:$D,0)),"Continues")</f>
        <v>Continues</v>
      </c>
      <c r="K1243">
        <f ca="1">IF($J1243="Continues",DATEDIF($B1243,TODAY(),"Y"),INDEX('Lopettaneet 2013-&gt;'!$L:$L,MATCH($D1243,'Lopettaneet 2013-&gt;'!$D:$D,0)))</f>
        <v>3</v>
      </c>
      <c r="L1243">
        <v>978</v>
      </c>
    </row>
    <row r="1244" spans="1:12" x14ac:dyDescent="0.25">
      <c r="A1244" t="s">
        <v>0</v>
      </c>
      <c r="B1244" s="1">
        <v>44682</v>
      </c>
      <c r="C1244" s="1">
        <v>55153</v>
      </c>
      <c r="D1244" s="4" t="s">
        <v>2143</v>
      </c>
      <c r="E1244" t="s">
        <v>10</v>
      </c>
      <c r="F1244" t="s">
        <v>11</v>
      </c>
      <c r="G1244" t="s">
        <v>2917</v>
      </c>
      <c r="H1244" t="s">
        <v>2766</v>
      </c>
      <c r="I1244" t="s">
        <v>2895</v>
      </c>
      <c r="J1244" t="str">
        <f>IF(ISNUMBER(MATCH($D1244,'Lopettaneet 2013-&gt;'!$D:$D,0)),INDEX('Lopettaneet 2013-&gt;'!$K:$K,MATCH($D1244,'Lopettaneet 2013-&gt;'!$D:$D,0)),"Continues")</f>
        <v>Continues</v>
      </c>
      <c r="K1244">
        <f ca="1">IF($J1244="Continues",DATEDIF($B1244,TODAY(),"Y"),INDEX('Lopettaneet 2013-&gt;'!$L:$L,MATCH($D1244,'Lopettaneet 2013-&gt;'!$D:$D,0)))</f>
        <v>3</v>
      </c>
      <c r="L1244">
        <v>979</v>
      </c>
    </row>
    <row r="1245" spans="1:12" x14ac:dyDescent="0.25">
      <c r="A1245" t="s">
        <v>7</v>
      </c>
      <c r="B1245" s="1">
        <v>44621</v>
      </c>
      <c r="C1245" s="1">
        <v>55153</v>
      </c>
      <c r="D1245" s="4" t="s">
        <v>2145</v>
      </c>
      <c r="E1245" t="s">
        <v>10</v>
      </c>
      <c r="F1245" t="s">
        <v>11</v>
      </c>
      <c r="G1245" t="s">
        <v>2918</v>
      </c>
      <c r="H1245" t="s">
        <v>2946</v>
      </c>
      <c r="I1245" t="s">
        <v>2894</v>
      </c>
      <c r="J1245" t="str">
        <f>IF(ISNUMBER(MATCH($D1245,'Lopettaneet 2013-&gt;'!$D:$D,0)),INDEX('Lopettaneet 2013-&gt;'!$K:$K,MATCH($D1245,'Lopettaneet 2013-&gt;'!$D:$D,0)),"Continues")</f>
        <v>Continues</v>
      </c>
      <c r="K1245">
        <f ca="1">IF($J1245="Continues",DATEDIF($B1245,TODAY(),"Y"),INDEX('Lopettaneet 2013-&gt;'!$L:$L,MATCH($D1245,'Lopettaneet 2013-&gt;'!$D:$D,0)))</f>
        <v>3</v>
      </c>
      <c r="L1245">
        <v>980</v>
      </c>
    </row>
    <row r="1246" spans="1:12" x14ac:dyDescent="0.25">
      <c r="A1246" t="s">
        <v>7</v>
      </c>
      <c r="B1246" s="1">
        <v>44713</v>
      </c>
      <c r="C1246" s="1">
        <v>55153</v>
      </c>
      <c r="D1246" s="4" t="s">
        <v>3221</v>
      </c>
      <c r="E1246" t="s">
        <v>10</v>
      </c>
      <c r="F1246" t="s">
        <v>11</v>
      </c>
      <c r="G1246" t="s">
        <v>2912</v>
      </c>
      <c r="H1246" t="s">
        <v>2777</v>
      </c>
      <c r="I1246" t="s">
        <v>2894</v>
      </c>
      <c r="J1246" t="str">
        <f>IF(ISNUMBER(MATCH($D1246,'Lopettaneet 2013-&gt;'!$D:$D,0)),INDEX('Lopettaneet 2013-&gt;'!$K:$K,MATCH($D1246,'Lopettaneet 2013-&gt;'!$D:$D,0)),"Continues")</f>
        <v>Continues</v>
      </c>
      <c r="K1246">
        <f ca="1">IF($J1246="Continues",DATEDIF($B1246,TODAY(),"Y"),INDEX('Lopettaneet 2013-&gt;'!$L:$L,MATCH($D1246,'Lopettaneet 2013-&gt;'!$D:$D,0)))</f>
        <v>2</v>
      </c>
      <c r="L1246">
        <v>981</v>
      </c>
    </row>
    <row r="1247" spans="1:12" x14ac:dyDescent="0.25">
      <c r="A1247" t="s">
        <v>7</v>
      </c>
      <c r="B1247" s="1">
        <v>44713</v>
      </c>
      <c r="C1247" s="1">
        <v>55153</v>
      </c>
      <c r="D1247" s="4" t="s">
        <v>3222</v>
      </c>
      <c r="E1247" t="s">
        <v>10</v>
      </c>
      <c r="F1247" t="s">
        <v>11</v>
      </c>
      <c r="G1247" t="s">
        <v>2912</v>
      </c>
      <c r="H1247" t="s">
        <v>2777</v>
      </c>
      <c r="I1247" t="s">
        <v>2894</v>
      </c>
      <c r="J1247" t="str">
        <f>IF(ISNUMBER(MATCH($D1247,'Lopettaneet 2013-&gt;'!$D:$D,0)),INDEX('Lopettaneet 2013-&gt;'!$K:$K,MATCH($D1247,'Lopettaneet 2013-&gt;'!$D:$D,0)),"Continues")</f>
        <v>Continues</v>
      </c>
      <c r="K1247">
        <f ca="1">IF($J1247="Continues",DATEDIF($B1247,TODAY(),"Y"),INDEX('Lopettaneet 2013-&gt;'!$L:$L,MATCH($D1247,'Lopettaneet 2013-&gt;'!$D:$D,0)))</f>
        <v>2</v>
      </c>
      <c r="L1247">
        <v>982</v>
      </c>
    </row>
    <row r="1248" spans="1:12" x14ac:dyDescent="0.25">
      <c r="A1248" t="s">
        <v>7</v>
      </c>
      <c r="B1248" s="1">
        <v>44713</v>
      </c>
      <c r="C1248" s="1">
        <v>55153</v>
      </c>
      <c r="D1248" s="4" t="s">
        <v>3223</v>
      </c>
      <c r="E1248" t="s">
        <v>10</v>
      </c>
      <c r="F1248" t="s">
        <v>11</v>
      </c>
      <c r="G1248" t="s">
        <v>2912</v>
      </c>
      <c r="H1248" t="s">
        <v>2777</v>
      </c>
      <c r="I1248" t="s">
        <v>2894</v>
      </c>
      <c r="J1248" t="str">
        <f>IF(ISNUMBER(MATCH($D1248,'Lopettaneet 2013-&gt;'!$D:$D,0)),INDEX('Lopettaneet 2013-&gt;'!$K:$K,MATCH($D1248,'Lopettaneet 2013-&gt;'!$D:$D,0)),"Continues")</f>
        <v>Continues</v>
      </c>
      <c r="K1248">
        <f ca="1">IF($J1248="Continues",DATEDIF($B1248,TODAY(),"Y"),INDEX('Lopettaneet 2013-&gt;'!$L:$L,MATCH($D1248,'Lopettaneet 2013-&gt;'!$D:$D,0)))</f>
        <v>2</v>
      </c>
      <c r="L1248">
        <v>983</v>
      </c>
    </row>
    <row r="1249" spans="1:12" x14ac:dyDescent="0.25">
      <c r="A1249" t="s">
        <v>7</v>
      </c>
      <c r="B1249" s="1">
        <v>44713</v>
      </c>
      <c r="C1249" s="1">
        <v>55153</v>
      </c>
      <c r="D1249" s="4" t="s">
        <v>3224</v>
      </c>
      <c r="E1249" t="s">
        <v>10</v>
      </c>
      <c r="F1249" t="s">
        <v>11</v>
      </c>
      <c r="G1249" t="s">
        <v>2912</v>
      </c>
      <c r="H1249" t="s">
        <v>2777</v>
      </c>
      <c r="I1249" t="s">
        <v>2894</v>
      </c>
      <c r="J1249" t="str">
        <f>IF(ISNUMBER(MATCH($D1249,'Lopettaneet 2013-&gt;'!$D:$D,0)),INDEX('Lopettaneet 2013-&gt;'!$K:$K,MATCH($D1249,'Lopettaneet 2013-&gt;'!$D:$D,0)),"Continues")</f>
        <v>Continues</v>
      </c>
      <c r="K1249">
        <f ca="1">IF($J1249="Continues",DATEDIF($B1249,TODAY(),"Y"),INDEX('Lopettaneet 2013-&gt;'!$L:$L,MATCH($D1249,'Lopettaneet 2013-&gt;'!$D:$D,0)))</f>
        <v>2</v>
      </c>
      <c r="L1249">
        <v>984</v>
      </c>
    </row>
    <row r="1250" spans="1:12" x14ac:dyDescent="0.25">
      <c r="A1250" t="s">
        <v>7</v>
      </c>
      <c r="B1250" s="1">
        <v>44713</v>
      </c>
      <c r="C1250" s="1">
        <v>55153</v>
      </c>
      <c r="D1250" s="4" t="s">
        <v>3225</v>
      </c>
      <c r="E1250" t="s">
        <v>10</v>
      </c>
      <c r="F1250" t="s">
        <v>11</v>
      </c>
      <c r="G1250" t="s">
        <v>2912</v>
      </c>
      <c r="H1250" t="s">
        <v>2777</v>
      </c>
      <c r="I1250" t="s">
        <v>2894</v>
      </c>
      <c r="J1250" t="str">
        <f>IF(ISNUMBER(MATCH($D1250,'Lopettaneet 2013-&gt;'!$D:$D,0)),INDEX('Lopettaneet 2013-&gt;'!$K:$K,MATCH($D1250,'Lopettaneet 2013-&gt;'!$D:$D,0)),"Continues")</f>
        <v>Continues</v>
      </c>
      <c r="K1250">
        <f ca="1">IF($J1250="Continues",DATEDIF($B1250,TODAY(),"Y"),INDEX('Lopettaneet 2013-&gt;'!$L:$L,MATCH($D1250,'Lopettaneet 2013-&gt;'!$D:$D,0)))</f>
        <v>2</v>
      </c>
      <c r="L1250">
        <v>985</v>
      </c>
    </row>
    <row r="1251" spans="1:12" x14ac:dyDescent="0.25">
      <c r="A1251" t="s">
        <v>7</v>
      </c>
      <c r="B1251" s="1">
        <v>44621</v>
      </c>
      <c r="C1251" s="1">
        <v>55153</v>
      </c>
      <c r="D1251" s="4" t="s">
        <v>2157</v>
      </c>
      <c r="E1251" t="s">
        <v>10</v>
      </c>
      <c r="F1251" t="s">
        <v>11</v>
      </c>
      <c r="G1251" t="s">
        <v>2918</v>
      </c>
      <c r="H1251" t="s">
        <v>2999</v>
      </c>
      <c r="I1251" t="s">
        <v>2894</v>
      </c>
      <c r="J1251" t="str">
        <f>IF(ISNUMBER(MATCH($D1251,'Lopettaneet 2013-&gt;'!$D:$D,0)),INDEX('Lopettaneet 2013-&gt;'!$K:$K,MATCH($D1251,'Lopettaneet 2013-&gt;'!$D:$D,0)),"Continues")</f>
        <v>Continues</v>
      </c>
      <c r="K1251">
        <f ca="1">IF($J1251="Continues",DATEDIF($B1251,TODAY(),"Y"),INDEX('Lopettaneet 2013-&gt;'!$L:$L,MATCH($D1251,'Lopettaneet 2013-&gt;'!$D:$D,0)))</f>
        <v>3</v>
      </c>
      <c r="L1251">
        <v>986</v>
      </c>
    </row>
    <row r="1252" spans="1:12" x14ac:dyDescent="0.25">
      <c r="A1252" t="s">
        <v>7</v>
      </c>
      <c r="B1252" s="1">
        <v>44621</v>
      </c>
      <c r="C1252" s="1">
        <v>55153</v>
      </c>
      <c r="D1252" s="4" t="s">
        <v>2159</v>
      </c>
      <c r="E1252" t="s">
        <v>10</v>
      </c>
      <c r="F1252" t="s">
        <v>11</v>
      </c>
      <c r="G1252" t="s">
        <v>2918</v>
      </c>
      <c r="H1252" t="s">
        <v>2999</v>
      </c>
      <c r="I1252" t="s">
        <v>2894</v>
      </c>
      <c r="J1252" t="str">
        <f>IF(ISNUMBER(MATCH($D1252,'Lopettaneet 2013-&gt;'!$D:$D,0)),INDEX('Lopettaneet 2013-&gt;'!$K:$K,MATCH($D1252,'Lopettaneet 2013-&gt;'!$D:$D,0)),"Continues")</f>
        <v>Continues</v>
      </c>
      <c r="K1252">
        <f ca="1">IF($J1252="Continues",DATEDIF($B1252,TODAY(),"Y"),INDEX('Lopettaneet 2013-&gt;'!$L:$L,MATCH($D1252,'Lopettaneet 2013-&gt;'!$D:$D,0)))</f>
        <v>3</v>
      </c>
      <c r="L1252">
        <v>987</v>
      </c>
    </row>
    <row r="1253" spans="1:12" x14ac:dyDescent="0.25">
      <c r="A1253" t="s">
        <v>7</v>
      </c>
      <c r="B1253" s="1">
        <v>44621</v>
      </c>
      <c r="C1253" s="1">
        <v>55153</v>
      </c>
      <c r="D1253" s="4" t="s">
        <v>2161</v>
      </c>
      <c r="E1253" t="s">
        <v>10</v>
      </c>
      <c r="F1253" t="s">
        <v>11</v>
      </c>
      <c r="G1253" t="s">
        <v>2918</v>
      </c>
      <c r="H1253" t="s">
        <v>2999</v>
      </c>
      <c r="I1253" t="s">
        <v>2894</v>
      </c>
      <c r="J1253" t="str">
        <f>IF(ISNUMBER(MATCH($D1253,'Lopettaneet 2013-&gt;'!$D:$D,0)),INDEX('Lopettaneet 2013-&gt;'!$K:$K,MATCH($D1253,'Lopettaneet 2013-&gt;'!$D:$D,0)),"Continues")</f>
        <v>Continues</v>
      </c>
      <c r="K1253">
        <f ca="1">IF($J1253="Continues",DATEDIF($B1253,TODAY(),"Y"),INDEX('Lopettaneet 2013-&gt;'!$L:$L,MATCH($D1253,'Lopettaneet 2013-&gt;'!$D:$D,0)))</f>
        <v>3</v>
      </c>
      <c r="L1253">
        <v>988</v>
      </c>
    </row>
    <row r="1254" spans="1:12" x14ac:dyDescent="0.25">
      <c r="A1254" t="s">
        <v>0</v>
      </c>
      <c r="B1254" s="1">
        <v>44713</v>
      </c>
      <c r="C1254" s="1">
        <v>55153</v>
      </c>
      <c r="D1254" s="4" t="s">
        <v>2163</v>
      </c>
      <c r="E1254" t="s">
        <v>10</v>
      </c>
      <c r="F1254" t="s">
        <v>4</v>
      </c>
      <c r="G1254" t="s">
        <v>2914</v>
      </c>
      <c r="H1254" t="s">
        <v>2974</v>
      </c>
      <c r="I1254" t="s">
        <v>2894</v>
      </c>
      <c r="J1254" t="str">
        <f>IF(ISNUMBER(MATCH($D1254,'Lopettaneet 2013-&gt;'!$D:$D,0)),INDEX('Lopettaneet 2013-&gt;'!$K:$K,MATCH($D1254,'Lopettaneet 2013-&gt;'!$D:$D,0)),"Continues")</f>
        <v>Continues</v>
      </c>
      <c r="K1254">
        <f ca="1">IF($J1254="Continues",DATEDIF($B1254,TODAY(),"Y"),INDEX('Lopettaneet 2013-&gt;'!$L:$L,MATCH($D1254,'Lopettaneet 2013-&gt;'!$D:$D,0)))</f>
        <v>2</v>
      </c>
      <c r="L1254">
        <v>989</v>
      </c>
    </row>
    <row r="1255" spans="1:12" x14ac:dyDescent="0.25">
      <c r="A1255" t="s">
        <v>0</v>
      </c>
      <c r="B1255" s="1">
        <v>44652</v>
      </c>
      <c r="C1255" s="1">
        <v>45291</v>
      </c>
      <c r="D1255" s="4" t="s">
        <v>64</v>
      </c>
      <c r="E1255" t="s">
        <v>10</v>
      </c>
      <c r="F1255" t="s">
        <v>4</v>
      </c>
      <c r="G1255" t="s">
        <v>2919</v>
      </c>
      <c r="H1255" t="s">
        <v>2842</v>
      </c>
      <c r="I1255" t="s">
        <v>2909</v>
      </c>
      <c r="J1255" t="str">
        <f>IF(ISNUMBER(MATCH($D1255,'Lopettaneet 2013-&gt;'!$D:$D,0)),INDEX('Lopettaneet 2013-&gt;'!$K:$K,MATCH($D1255,'Lopettaneet 2013-&gt;'!$D:$D,0)),"Continues")</f>
        <v>Closed</v>
      </c>
      <c r="K1255">
        <f ca="1">IF($J1255="Continues",DATEDIF($B1255,TODAY(),"Y"),INDEX('Lopettaneet 2013-&gt;'!$L:$L,MATCH($D1255,'Lopettaneet 2013-&gt;'!$D:$D,0)))</f>
        <v>1</v>
      </c>
      <c r="L1255">
        <v>990</v>
      </c>
    </row>
    <row r="1256" spans="1:12" x14ac:dyDescent="0.25">
      <c r="A1256" t="s">
        <v>7</v>
      </c>
      <c r="B1256" s="1">
        <v>44713</v>
      </c>
      <c r="C1256" s="1">
        <v>55153</v>
      </c>
      <c r="D1256" s="4" t="s">
        <v>2165</v>
      </c>
      <c r="E1256" t="s">
        <v>10</v>
      </c>
      <c r="F1256" t="s">
        <v>11</v>
      </c>
      <c r="G1256" t="s">
        <v>2912</v>
      </c>
      <c r="H1256" t="s">
        <v>2956</v>
      </c>
      <c r="I1256" t="s">
        <v>2895</v>
      </c>
      <c r="J1256" t="str">
        <f>IF(ISNUMBER(MATCH($D1256,'Lopettaneet 2013-&gt;'!$D:$D,0)),INDEX('Lopettaneet 2013-&gt;'!$K:$K,MATCH($D1256,'Lopettaneet 2013-&gt;'!$D:$D,0)),"Continues")</f>
        <v>Continues</v>
      </c>
      <c r="K1256">
        <f ca="1">IF($J1256="Continues",DATEDIF($B1256,TODAY(),"Y"),INDEX('Lopettaneet 2013-&gt;'!$L:$L,MATCH($D1256,'Lopettaneet 2013-&gt;'!$D:$D,0)))</f>
        <v>2</v>
      </c>
      <c r="L1256">
        <v>991</v>
      </c>
    </row>
    <row r="1257" spans="1:12" x14ac:dyDescent="0.25">
      <c r="A1257" t="s">
        <v>0</v>
      </c>
      <c r="B1257" s="1">
        <v>44743</v>
      </c>
      <c r="C1257" s="1">
        <v>55153</v>
      </c>
      <c r="D1257" s="4" t="s">
        <v>2167</v>
      </c>
      <c r="E1257" t="s">
        <v>10</v>
      </c>
      <c r="F1257" t="s">
        <v>4</v>
      </c>
      <c r="G1257" t="s">
        <v>2914</v>
      </c>
      <c r="H1257" t="s">
        <v>2946</v>
      </c>
      <c r="I1257" t="s">
        <v>2894</v>
      </c>
      <c r="J1257" t="str">
        <f>IF(ISNUMBER(MATCH($D1257,'Lopettaneet 2013-&gt;'!$D:$D,0)),INDEX('Lopettaneet 2013-&gt;'!$K:$K,MATCH($D1257,'Lopettaneet 2013-&gt;'!$D:$D,0)),"Continues")</f>
        <v>Continues</v>
      </c>
      <c r="K1257">
        <f ca="1">IF($J1257="Continues",DATEDIF($B1257,TODAY(),"Y"),INDEX('Lopettaneet 2013-&gt;'!$L:$L,MATCH($D1257,'Lopettaneet 2013-&gt;'!$D:$D,0)))</f>
        <v>2</v>
      </c>
      <c r="L1257">
        <v>992</v>
      </c>
    </row>
    <row r="1258" spans="1:12" x14ac:dyDescent="0.25">
      <c r="A1258" t="s">
        <v>0</v>
      </c>
      <c r="B1258" s="1">
        <v>44743</v>
      </c>
      <c r="C1258" s="1">
        <v>55153</v>
      </c>
      <c r="D1258" s="4" t="s">
        <v>2169</v>
      </c>
      <c r="E1258" t="s">
        <v>10</v>
      </c>
      <c r="F1258" t="s">
        <v>4</v>
      </c>
      <c r="G1258" t="s">
        <v>2918</v>
      </c>
      <c r="H1258" t="s">
        <v>2842</v>
      </c>
      <c r="I1258" t="s">
        <v>2894</v>
      </c>
      <c r="J1258" t="str">
        <f>IF(ISNUMBER(MATCH($D1258,'Lopettaneet 2013-&gt;'!$D:$D,0)),INDEX('Lopettaneet 2013-&gt;'!$K:$K,MATCH($D1258,'Lopettaneet 2013-&gt;'!$D:$D,0)),"Continues")</f>
        <v>Continues</v>
      </c>
      <c r="K1258">
        <f ca="1">IF($J1258="Continues",DATEDIF($B1258,TODAY(),"Y"),INDEX('Lopettaneet 2013-&gt;'!$L:$L,MATCH($D1258,'Lopettaneet 2013-&gt;'!$D:$D,0)))</f>
        <v>2</v>
      </c>
      <c r="L1258">
        <v>993</v>
      </c>
    </row>
    <row r="1259" spans="1:12" x14ac:dyDescent="0.25">
      <c r="A1259" t="s">
        <v>0</v>
      </c>
      <c r="B1259" s="1">
        <v>44652</v>
      </c>
      <c r="C1259" s="1">
        <v>55153</v>
      </c>
      <c r="D1259" s="4" t="s">
        <v>2171</v>
      </c>
      <c r="E1259" t="s">
        <v>10</v>
      </c>
      <c r="F1259" t="s">
        <v>4</v>
      </c>
      <c r="G1259" t="s">
        <v>2917</v>
      </c>
      <c r="H1259" t="s">
        <v>2959</v>
      </c>
      <c r="I1259" t="s">
        <v>2894</v>
      </c>
      <c r="J1259" t="str">
        <f>IF(ISNUMBER(MATCH($D1259,'Lopettaneet 2013-&gt;'!$D:$D,0)),INDEX('Lopettaneet 2013-&gt;'!$K:$K,MATCH($D1259,'Lopettaneet 2013-&gt;'!$D:$D,0)),"Continues")</f>
        <v>Continues</v>
      </c>
      <c r="K1259">
        <f ca="1">IF($J1259="Continues",DATEDIF($B1259,TODAY(),"Y"),INDEX('Lopettaneet 2013-&gt;'!$L:$L,MATCH($D1259,'Lopettaneet 2013-&gt;'!$D:$D,0)))</f>
        <v>3</v>
      </c>
      <c r="L1259">
        <v>994</v>
      </c>
    </row>
    <row r="1260" spans="1:12" x14ac:dyDescent="0.25">
      <c r="A1260" t="s">
        <v>0</v>
      </c>
      <c r="B1260" s="1">
        <v>44713</v>
      </c>
      <c r="C1260" s="1">
        <v>55153</v>
      </c>
      <c r="D1260" s="4" t="s">
        <v>2173</v>
      </c>
      <c r="E1260" t="s">
        <v>3</v>
      </c>
      <c r="F1260" t="s">
        <v>4</v>
      </c>
      <c r="G1260" t="s">
        <v>2917</v>
      </c>
      <c r="H1260" t="s">
        <v>2952</v>
      </c>
      <c r="I1260" t="s">
        <v>2894</v>
      </c>
      <c r="J1260" t="str">
        <f>IF(ISNUMBER(MATCH($D1260,'Lopettaneet 2013-&gt;'!$D:$D,0)),INDEX('Lopettaneet 2013-&gt;'!$K:$K,MATCH($D1260,'Lopettaneet 2013-&gt;'!$D:$D,0)),"Continues")</f>
        <v>Continues</v>
      </c>
      <c r="K1260">
        <f ca="1">IF($J1260="Continues",DATEDIF($B1260,TODAY(),"Y"),INDEX('Lopettaneet 2013-&gt;'!$L:$L,MATCH($D1260,'Lopettaneet 2013-&gt;'!$D:$D,0)))</f>
        <v>2</v>
      </c>
      <c r="L1260">
        <v>995</v>
      </c>
    </row>
    <row r="1261" spans="1:12" x14ac:dyDescent="0.25">
      <c r="A1261" t="s">
        <v>0</v>
      </c>
      <c r="B1261" s="1">
        <v>44682</v>
      </c>
      <c r="C1261" s="1">
        <v>55153</v>
      </c>
      <c r="D1261" s="4" t="s">
        <v>2175</v>
      </c>
      <c r="E1261" t="s">
        <v>3</v>
      </c>
      <c r="F1261" t="s">
        <v>4</v>
      </c>
      <c r="G1261" t="s">
        <v>2917</v>
      </c>
      <c r="H1261" t="s">
        <v>2958</v>
      </c>
      <c r="I1261" t="s">
        <v>2894</v>
      </c>
      <c r="J1261" t="str">
        <f>IF(ISNUMBER(MATCH($D1261,'Lopettaneet 2013-&gt;'!$D:$D,0)),INDEX('Lopettaneet 2013-&gt;'!$K:$K,MATCH($D1261,'Lopettaneet 2013-&gt;'!$D:$D,0)),"Continues")</f>
        <v>Continues</v>
      </c>
      <c r="K1261">
        <f ca="1">IF($J1261="Continues",DATEDIF($B1261,TODAY(),"Y"),INDEX('Lopettaneet 2013-&gt;'!$L:$L,MATCH($D1261,'Lopettaneet 2013-&gt;'!$D:$D,0)))</f>
        <v>3</v>
      </c>
      <c r="L1261">
        <v>996</v>
      </c>
    </row>
    <row r="1262" spans="1:12" x14ac:dyDescent="0.25">
      <c r="A1262" t="s">
        <v>0</v>
      </c>
      <c r="B1262" s="1">
        <v>44713</v>
      </c>
      <c r="C1262" s="1">
        <v>55153</v>
      </c>
      <c r="D1262" s="4" t="s">
        <v>2177</v>
      </c>
      <c r="E1262" t="s">
        <v>10</v>
      </c>
      <c r="F1262" t="s">
        <v>4</v>
      </c>
      <c r="G1262" t="s">
        <v>2917</v>
      </c>
      <c r="H1262" t="s">
        <v>2842</v>
      </c>
      <c r="I1262" t="s">
        <v>2894</v>
      </c>
      <c r="J1262" t="str">
        <f>IF(ISNUMBER(MATCH($D1262,'Lopettaneet 2013-&gt;'!$D:$D,0)),INDEX('Lopettaneet 2013-&gt;'!$K:$K,MATCH($D1262,'Lopettaneet 2013-&gt;'!$D:$D,0)),"Continues")</f>
        <v>Continues</v>
      </c>
      <c r="K1262">
        <f ca="1">IF($J1262="Continues",DATEDIF($B1262,TODAY(),"Y"),INDEX('Lopettaneet 2013-&gt;'!$L:$L,MATCH($D1262,'Lopettaneet 2013-&gt;'!$D:$D,0)))</f>
        <v>2</v>
      </c>
      <c r="L1262">
        <v>997</v>
      </c>
    </row>
    <row r="1263" spans="1:12" x14ac:dyDescent="0.25">
      <c r="A1263" t="s">
        <v>0</v>
      </c>
      <c r="B1263" s="1">
        <v>44743</v>
      </c>
      <c r="C1263" s="1">
        <v>55153</v>
      </c>
      <c r="D1263" s="4" t="s">
        <v>2179</v>
      </c>
      <c r="E1263" t="s">
        <v>10</v>
      </c>
      <c r="F1263" t="s">
        <v>11</v>
      </c>
      <c r="G1263" t="s">
        <v>2917</v>
      </c>
      <c r="H1263" t="s">
        <v>2950</v>
      </c>
      <c r="I1263" t="s">
        <v>2895</v>
      </c>
      <c r="J1263" t="str">
        <f>IF(ISNUMBER(MATCH($D1263,'Lopettaneet 2013-&gt;'!$D:$D,0)),INDEX('Lopettaneet 2013-&gt;'!$K:$K,MATCH($D1263,'Lopettaneet 2013-&gt;'!$D:$D,0)),"Continues")</f>
        <v>Continues</v>
      </c>
      <c r="K1263">
        <f ca="1">IF($J1263="Continues",DATEDIF($B1263,TODAY(),"Y"),INDEX('Lopettaneet 2013-&gt;'!$L:$L,MATCH($D1263,'Lopettaneet 2013-&gt;'!$D:$D,0)))</f>
        <v>2</v>
      </c>
      <c r="L1263">
        <v>998</v>
      </c>
    </row>
    <row r="1264" spans="1:12" x14ac:dyDescent="0.25">
      <c r="A1264" t="s">
        <v>0</v>
      </c>
      <c r="B1264" s="1">
        <v>44896</v>
      </c>
      <c r="C1264" s="1">
        <v>55153</v>
      </c>
      <c r="D1264" s="4" t="s">
        <v>2181</v>
      </c>
      <c r="E1264" t="s">
        <v>10</v>
      </c>
      <c r="F1264" t="s">
        <v>11</v>
      </c>
      <c r="G1264" t="s">
        <v>2918</v>
      </c>
      <c r="H1264" t="s">
        <v>2950</v>
      </c>
      <c r="I1264" t="s">
        <v>2895</v>
      </c>
      <c r="J1264" t="str">
        <f>IF(ISNUMBER(MATCH($D1264,'Lopettaneet 2013-&gt;'!$D:$D,0)),INDEX('Lopettaneet 2013-&gt;'!$K:$K,MATCH($D1264,'Lopettaneet 2013-&gt;'!$D:$D,0)),"Continues")</f>
        <v>Continues</v>
      </c>
      <c r="K1264">
        <f ca="1">IF($J1264="Continues",DATEDIF($B1264,TODAY(),"Y"),INDEX('Lopettaneet 2013-&gt;'!$L:$L,MATCH($D1264,'Lopettaneet 2013-&gt;'!$D:$D,0)))</f>
        <v>2</v>
      </c>
      <c r="L1264">
        <v>999</v>
      </c>
    </row>
    <row r="1265" spans="1:12" x14ac:dyDescent="0.25">
      <c r="A1265" t="s">
        <v>7</v>
      </c>
      <c r="B1265" s="1">
        <v>44621</v>
      </c>
      <c r="C1265" s="1">
        <v>55153</v>
      </c>
      <c r="D1265" s="4" t="s">
        <v>2183</v>
      </c>
      <c r="E1265" t="s">
        <v>10</v>
      </c>
      <c r="F1265" t="s">
        <v>11</v>
      </c>
      <c r="G1265" t="s">
        <v>2912</v>
      </c>
      <c r="H1265" t="s">
        <v>2984</v>
      </c>
      <c r="I1265" t="s">
        <v>2895</v>
      </c>
      <c r="J1265" t="str">
        <f>IF(ISNUMBER(MATCH($D1265,'Lopettaneet 2013-&gt;'!$D:$D,0)),INDEX('Lopettaneet 2013-&gt;'!$K:$K,MATCH($D1265,'Lopettaneet 2013-&gt;'!$D:$D,0)),"Continues")</f>
        <v>Continues</v>
      </c>
      <c r="K1265">
        <f ca="1">IF($J1265="Continues",DATEDIF($B1265,TODAY(),"Y"),INDEX('Lopettaneet 2013-&gt;'!$L:$L,MATCH($D1265,'Lopettaneet 2013-&gt;'!$D:$D,0)))</f>
        <v>3</v>
      </c>
      <c r="L1265">
        <v>1000</v>
      </c>
    </row>
    <row r="1266" spans="1:12" x14ac:dyDescent="0.25">
      <c r="A1266" t="s">
        <v>7</v>
      </c>
      <c r="B1266" s="1">
        <v>44896</v>
      </c>
      <c r="C1266" s="1">
        <v>55153</v>
      </c>
      <c r="D1266" s="4" t="s">
        <v>2185</v>
      </c>
      <c r="E1266" t="s">
        <v>10</v>
      </c>
      <c r="F1266" t="s">
        <v>11</v>
      </c>
      <c r="G1266" t="s">
        <v>2916</v>
      </c>
      <c r="H1266" t="s">
        <v>3011</v>
      </c>
      <c r="I1266" t="s">
        <v>2894</v>
      </c>
      <c r="J1266" t="str">
        <f>IF(ISNUMBER(MATCH($D1266,'Lopettaneet 2013-&gt;'!$D:$D,0)),INDEX('Lopettaneet 2013-&gt;'!$K:$K,MATCH($D1266,'Lopettaneet 2013-&gt;'!$D:$D,0)),"Continues")</f>
        <v>Continues</v>
      </c>
      <c r="K1266">
        <f ca="1">IF($J1266="Continues",DATEDIF($B1266,TODAY(),"Y"),INDEX('Lopettaneet 2013-&gt;'!$L:$L,MATCH($D1266,'Lopettaneet 2013-&gt;'!$D:$D,0)))</f>
        <v>2</v>
      </c>
      <c r="L1266">
        <v>1001</v>
      </c>
    </row>
    <row r="1267" spans="1:12" x14ac:dyDescent="0.25">
      <c r="A1267" t="s">
        <v>7</v>
      </c>
      <c r="B1267" s="1">
        <v>44896</v>
      </c>
      <c r="C1267" s="1">
        <v>55153</v>
      </c>
      <c r="D1267" s="4" t="s">
        <v>2187</v>
      </c>
      <c r="E1267" t="s">
        <v>10</v>
      </c>
      <c r="F1267" t="s">
        <v>11</v>
      </c>
      <c r="G1267" t="s">
        <v>2912</v>
      </c>
      <c r="H1267" t="s">
        <v>3018</v>
      </c>
      <c r="I1267" t="s">
        <v>2894</v>
      </c>
      <c r="J1267" t="str">
        <f>IF(ISNUMBER(MATCH($D1267,'Lopettaneet 2013-&gt;'!$D:$D,0)),INDEX('Lopettaneet 2013-&gt;'!$K:$K,MATCH($D1267,'Lopettaneet 2013-&gt;'!$D:$D,0)),"Continues")</f>
        <v>Continues</v>
      </c>
      <c r="K1267">
        <f ca="1">IF($J1267="Continues",DATEDIF($B1267,TODAY(),"Y"),INDEX('Lopettaneet 2013-&gt;'!$L:$L,MATCH($D1267,'Lopettaneet 2013-&gt;'!$D:$D,0)))</f>
        <v>2</v>
      </c>
      <c r="L1267">
        <v>1002</v>
      </c>
    </row>
    <row r="1268" spans="1:12" x14ac:dyDescent="0.25">
      <c r="A1268" t="s">
        <v>7</v>
      </c>
      <c r="B1268" s="1">
        <v>44896</v>
      </c>
      <c r="C1268" s="1">
        <v>55153</v>
      </c>
      <c r="D1268" s="4" t="s">
        <v>2189</v>
      </c>
      <c r="E1268" t="s">
        <v>10</v>
      </c>
      <c r="F1268" t="s">
        <v>11</v>
      </c>
      <c r="G1268" t="s">
        <v>2912</v>
      </c>
      <c r="H1268" t="s">
        <v>3009</v>
      </c>
      <c r="I1268" t="s">
        <v>2895</v>
      </c>
      <c r="J1268" t="str">
        <f>IF(ISNUMBER(MATCH($D1268,'Lopettaneet 2013-&gt;'!$D:$D,0)),INDEX('Lopettaneet 2013-&gt;'!$K:$K,MATCH($D1268,'Lopettaneet 2013-&gt;'!$D:$D,0)),"Continues")</f>
        <v>Continues</v>
      </c>
      <c r="K1268">
        <f ca="1">IF($J1268="Continues",DATEDIF($B1268,TODAY(),"Y"),INDEX('Lopettaneet 2013-&gt;'!$L:$L,MATCH($D1268,'Lopettaneet 2013-&gt;'!$D:$D,0)))</f>
        <v>2</v>
      </c>
      <c r="L1268">
        <v>1003</v>
      </c>
    </row>
    <row r="1269" spans="1:12" x14ac:dyDescent="0.25">
      <c r="A1269" t="s">
        <v>0</v>
      </c>
      <c r="B1269" s="1">
        <v>44713</v>
      </c>
      <c r="C1269" s="1">
        <v>55153</v>
      </c>
      <c r="D1269" s="4" t="s">
        <v>2191</v>
      </c>
      <c r="E1269" t="s">
        <v>3</v>
      </c>
      <c r="F1269" t="s">
        <v>4</v>
      </c>
      <c r="G1269" t="s">
        <v>2917</v>
      </c>
      <c r="H1269" t="s">
        <v>2952</v>
      </c>
      <c r="I1269" t="s">
        <v>2894</v>
      </c>
      <c r="J1269" t="str">
        <f>IF(ISNUMBER(MATCH($D1269,'Lopettaneet 2013-&gt;'!$D:$D,0)),INDEX('Lopettaneet 2013-&gt;'!$K:$K,MATCH($D1269,'Lopettaneet 2013-&gt;'!$D:$D,0)),"Continues")</f>
        <v>Continues</v>
      </c>
      <c r="K1269">
        <f ca="1">IF($J1269="Continues",DATEDIF($B1269,TODAY(),"Y"),INDEX('Lopettaneet 2013-&gt;'!$L:$L,MATCH($D1269,'Lopettaneet 2013-&gt;'!$D:$D,0)))</f>
        <v>2</v>
      </c>
      <c r="L1269">
        <v>1004</v>
      </c>
    </row>
    <row r="1270" spans="1:12" x14ac:dyDescent="0.25">
      <c r="A1270" t="s">
        <v>0</v>
      </c>
      <c r="B1270" s="1">
        <v>45261</v>
      </c>
      <c r="C1270" s="1">
        <v>55153</v>
      </c>
      <c r="D1270" s="4" t="s">
        <v>76</v>
      </c>
      <c r="E1270" t="s">
        <v>3</v>
      </c>
      <c r="F1270" t="s">
        <v>4</v>
      </c>
      <c r="G1270" t="s">
        <v>2917</v>
      </c>
      <c r="H1270" t="s">
        <v>2946</v>
      </c>
      <c r="I1270" t="s">
        <v>2894</v>
      </c>
      <c r="J1270" t="str">
        <f>IF(ISNUMBER(MATCH($D1270,'Lopettaneet 2013-&gt;'!$D:$D,0)),INDEX('Lopettaneet 2013-&gt;'!$K:$K,MATCH($D1270,'Lopettaneet 2013-&gt;'!$D:$D,0)),"Continues")</f>
        <v>Continues</v>
      </c>
      <c r="K1270">
        <f ca="1">IF($J1270="Continues",DATEDIF($B1270,TODAY(),"Y"),INDEX('Lopettaneet 2013-&gt;'!$L:$L,MATCH($D1270,'Lopettaneet 2013-&gt;'!$D:$D,0)))</f>
        <v>1</v>
      </c>
      <c r="L1270">
        <v>1005</v>
      </c>
    </row>
    <row r="1271" spans="1:12" x14ac:dyDescent="0.25">
      <c r="A1271" t="s">
        <v>7</v>
      </c>
      <c r="B1271" s="1">
        <v>44713</v>
      </c>
      <c r="C1271" s="1">
        <v>55153</v>
      </c>
      <c r="D1271" s="4" t="s">
        <v>2193</v>
      </c>
      <c r="E1271" t="s">
        <v>10</v>
      </c>
      <c r="F1271" t="s">
        <v>11</v>
      </c>
      <c r="G1271" t="s">
        <v>2918</v>
      </c>
      <c r="H1271" t="s">
        <v>2946</v>
      </c>
      <c r="I1271" t="s">
        <v>2894</v>
      </c>
      <c r="J1271" t="str">
        <f>IF(ISNUMBER(MATCH($D1271,'Lopettaneet 2013-&gt;'!$D:$D,0)),INDEX('Lopettaneet 2013-&gt;'!$K:$K,MATCH($D1271,'Lopettaneet 2013-&gt;'!$D:$D,0)),"Continues")</f>
        <v>Continues</v>
      </c>
      <c r="K1271">
        <f ca="1">IF($J1271="Continues",DATEDIF($B1271,TODAY(),"Y"),INDEX('Lopettaneet 2013-&gt;'!$L:$L,MATCH($D1271,'Lopettaneet 2013-&gt;'!$D:$D,0)))</f>
        <v>2</v>
      </c>
      <c r="L1271">
        <v>1006</v>
      </c>
    </row>
    <row r="1272" spans="1:12" x14ac:dyDescent="0.25">
      <c r="A1272" t="s">
        <v>7</v>
      </c>
      <c r="B1272" s="1">
        <v>44896</v>
      </c>
      <c r="C1272" s="1">
        <v>55153</v>
      </c>
      <c r="D1272" s="4" t="s">
        <v>2195</v>
      </c>
      <c r="E1272" t="s">
        <v>10</v>
      </c>
      <c r="F1272" t="s">
        <v>11</v>
      </c>
      <c r="G1272" t="s">
        <v>2912</v>
      </c>
      <c r="H1272" t="s">
        <v>3018</v>
      </c>
      <c r="I1272" t="s">
        <v>2894</v>
      </c>
      <c r="J1272" t="str">
        <f>IF(ISNUMBER(MATCH($D1272,'Lopettaneet 2013-&gt;'!$D:$D,0)),INDEX('Lopettaneet 2013-&gt;'!$K:$K,MATCH($D1272,'Lopettaneet 2013-&gt;'!$D:$D,0)),"Continues")</f>
        <v>Continues</v>
      </c>
      <c r="K1272">
        <f ca="1">IF($J1272="Continues",DATEDIF($B1272,TODAY(),"Y"),INDEX('Lopettaneet 2013-&gt;'!$L:$L,MATCH($D1272,'Lopettaneet 2013-&gt;'!$D:$D,0)))</f>
        <v>2</v>
      </c>
      <c r="L1272">
        <v>1007</v>
      </c>
    </row>
    <row r="1273" spans="1:12" x14ac:dyDescent="0.25">
      <c r="A1273" t="s">
        <v>0</v>
      </c>
      <c r="B1273" s="1">
        <v>44866</v>
      </c>
      <c r="C1273" s="1">
        <v>55153</v>
      </c>
      <c r="D1273" s="4" t="s">
        <v>2197</v>
      </c>
      <c r="E1273" t="s">
        <v>3</v>
      </c>
      <c r="F1273" t="s">
        <v>4</v>
      </c>
      <c r="G1273" t="s">
        <v>2917</v>
      </c>
      <c r="H1273" t="s">
        <v>2946</v>
      </c>
      <c r="I1273" t="s">
        <v>2894</v>
      </c>
      <c r="J1273" t="str">
        <f>IF(ISNUMBER(MATCH($D1273,'Lopettaneet 2013-&gt;'!$D:$D,0)),INDEX('Lopettaneet 2013-&gt;'!$K:$K,MATCH($D1273,'Lopettaneet 2013-&gt;'!$D:$D,0)),"Continues")</f>
        <v>Continues</v>
      </c>
      <c r="K1273">
        <f ca="1">IF($J1273="Continues",DATEDIF($B1273,TODAY(),"Y"),INDEX('Lopettaneet 2013-&gt;'!$L:$L,MATCH($D1273,'Lopettaneet 2013-&gt;'!$D:$D,0)))</f>
        <v>2</v>
      </c>
      <c r="L1273">
        <v>1008</v>
      </c>
    </row>
    <row r="1274" spans="1:12" x14ac:dyDescent="0.25">
      <c r="A1274" t="s">
        <v>0</v>
      </c>
      <c r="B1274" s="1">
        <v>44805</v>
      </c>
      <c r="C1274" s="1">
        <v>55153</v>
      </c>
      <c r="D1274" s="4" t="s">
        <v>2199</v>
      </c>
      <c r="E1274" t="s">
        <v>3</v>
      </c>
      <c r="F1274" t="s">
        <v>4</v>
      </c>
      <c r="G1274" t="s">
        <v>2917</v>
      </c>
      <c r="H1274" t="s">
        <v>2946</v>
      </c>
      <c r="I1274" t="s">
        <v>2894</v>
      </c>
      <c r="J1274" t="str">
        <f>IF(ISNUMBER(MATCH($D1274,'Lopettaneet 2013-&gt;'!$D:$D,0)),INDEX('Lopettaneet 2013-&gt;'!$K:$K,MATCH($D1274,'Lopettaneet 2013-&gt;'!$D:$D,0)),"Continues")</f>
        <v>Continues</v>
      </c>
      <c r="K1274">
        <f ca="1">IF($J1274="Continues",DATEDIF($B1274,TODAY(),"Y"),INDEX('Lopettaneet 2013-&gt;'!$L:$L,MATCH($D1274,'Lopettaneet 2013-&gt;'!$D:$D,0)))</f>
        <v>2</v>
      </c>
      <c r="L1274">
        <v>1009</v>
      </c>
    </row>
    <row r="1275" spans="1:12" x14ac:dyDescent="0.25">
      <c r="A1275" t="s">
        <v>7</v>
      </c>
      <c r="B1275" s="1">
        <v>45170</v>
      </c>
      <c r="C1275" s="1">
        <v>55153</v>
      </c>
      <c r="D1275" s="4" t="s">
        <v>78</v>
      </c>
      <c r="E1275" t="s">
        <v>10</v>
      </c>
      <c r="F1275" t="s">
        <v>11</v>
      </c>
      <c r="G1275" t="s">
        <v>2916</v>
      </c>
      <c r="H1275" t="s">
        <v>2977</v>
      </c>
      <c r="I1275" t="s">
        <v>2895</v>
      </c>
      <c r="J1275" t="str">
        <f>IF(ISNUMBER(MATCH($D1275,'Lopettaneet 2013-&gt;'!$D:$D,0)),INDEX('Lopettaneet 2013-&gt;'!$K:$K,MATCH($D1275,'Lopettaneet 2013-&gt;'!$D:$D,0)),"Continues")</f>
        <v>Continues</v>
      </c>
      <c r="K1275">
        <f ca="1">IF($J1275="Continues",DATEDIF($B1275,TODAY(),"Y"),INDEX('Lopettaneet 2013-&gt;'!$L:$L,MATCH($D1275,'Lopettaneet 2013-&gt;'!$D:$D,0)))</f>
        <v>1</v>
      </c>
      <c r="L1275">
        <v>1010</v>
      </c>
    </row>
    <row r="1276" spans="1:12" x14ac:dyDescent="0.25">
      <c r="A1276" t="s">
        <v>7</v>
      </c>
      <c r="B1276" s="1">
        <v>44896</v>
      </c>
      <c r="C1276" s="1">
        <v>55153</v>
      </c>
      <c r="D1276" s="4" t="s">
        <v>2201</v>
      </c>
      <c r="E1276" t="s">
        <v>10</v>
      </c>
      <c r="F1276" t="s">
        <v>11</v>
      </c>
      <c r="G1276" t="s">
        <v>2916</v>
      </c>
      <c r="H1276" t="s">
        <v>3006</v>
      </c>
      <c r="I1276" t="s">
        <v>2894</v>
      </c>
      <c r="J1276" t="str">
        <f>IF(ISNUMBER(MATCH($D1276,'Lopettaneet 2013-&gt;'!$D:$D,0)),INDEX('Lopettaneet 2013-&gt;'!$K:$K,MATCH($D1276,'Lopettaneet 2013-&gt;'!$D:$D,0)),"Continues")</f>
        <v>Continues</v>
      </c>
      <c r="K1276">
        <f ca="1">IF($J1276="Continues",DATEDIF($B1276,TODAY(),"Y"),INDEX('Lopettaneet 2013-&gt;'!$L:$L,MATCH($D1276,'Lopettaneet 2013-&gt;'!$D:$D,0)))</f>
        <v>2</v>
      </c>
      <c r="L1276">
        <v>1011</v>
      </c>
    </row>
    <row r="1277" spans="1:12" x14ac:dyDescent="0.25">
      <c r="A1277" t="s">
        <v>7</v>
      </c>
      <c r="B1277" s="1">
        <v>44986</v>
      </c>
      <c r="C1277" s="1">
        <v>55153</v>
      </c>
      <c r="D1277" s="4" t="s">
        <v>81</v>
      </c>
      <c r="E1277" t="s">
        <v>10</v>
      </c>
      <c r="F1277" t="s">
        <v>11</v>
      </c>
      <c r="G1277" t="s">
        <v>2918</v>
      </c>
      <c r="H1277" t="s">
        <v>2946</v>
      </c>
      <c r="I1277" t="s">
        <v>2894</v>
      </c>
      <c r="J1277" t="str">
        <f>IF(ISNUMBER(MATCH($D1277,'Lopettaneet 2013-&gt;'!$D:$D,0)),INDEX('Lopettaneet 2013-&gt;'!$K:$K,MATCH($D1277,'Lopettaneet 2013-&gt;'!$D:$D,0)),"Continues")</f>
        <v>Continues</v>
      </c>
      <c r="K1277">
        <f ca="1">IF($J1277="Continues",DATEDIF($B1277,TODAY(),"Y"),INDEX('Lopettaneet 2013-&gt;'!$L:$L,MATCH($D1277,'Lopettaneet 2013-&gt;'!$D:$D,0)))</f>
        <v>2</v>
      </c>
      <c r="L1277">
        <v>1012</v>
      </c>
    </row>
    <row r="1278" spans="1:12" x14ac:dyDescent="0.25">
      <c r="A1278" t="s">
        <v>7</v>
      </c>
      <c r="B1278" s="1">
        <v>44986</v>
      </c>
      <c r="C1278" s="1">
        <v>55153</v>
      </c>
      <c r="D1278" s="4" t="s">
        <v>83</v>
      </c>
      <c r="E1278" t="s">
        <v>10</v>
      </c>
      <c r="F1278" t="s">
        <v>11</v>
      </c>
      <c r="G1278" t="s">
        <v>2918</v>
      </c>
      <c r="H1278" t="s">
        <v>2946</v>
      </c>
      <c r="I1278" t="s">
        <v>2894</v>
      </c>
      <c r="J1278" t="str">
        <f>IF(ISNUMBER(MATCH($D1278,'Lopettaneet 2013-&gt;'!$D:$D,0)),INDEX('Lopettaneet 2013-&gt;'!$K:$K,MATCH($D1278,'Lopettaneet 2013-&gt;'!$D:$D,0)),"Continues")</f>
        <v>Continues</v>
      </c>
      <c r="K1278">
        <f ca="1">IF($J1278="Continues",DATEDIF($B1278,TODAY(),"Y"),INDEX('Lopettaneet 2013-&gt;'!$L:$L,MATCH($D1278,'Lopettaneet 2013-&gt;'!$D:$D,0)))</f>
        <v>2</v>
      </c>
      <c r="L1278">
        <v>1013</v>
      </c>
    </row>
    <row r="1279" spans="1:12" x14ac:dyDescent="0.25">
      <c r="A1279" t="s">
        <v>7</v>
      </c>
      <c r="B1279" s="1">
        <v>44805</v>
      </c>
      <c r="C1279" s="1">
        <v>55153</v>
      </c>
      <c r="D1279" s="4" t="s">
        <v>2203</v>
      </c>
      <c r="E1279" t="s">
        <v>10</v>
      </c>
      <c r="F1279" t="s">
        <v>11</v>
      </c>
      <c r="G1279" t="s">
        <v>2914</v>
      </c>
      <c r="H1279" t="s">
        <v>2946</v>
      </c>
      <c r="I1279" t="s">
        <v>2894</v>
      </c>
      <c r="J1279" t="str">
        <f>IF(ISNUMBER(MATCH($D1279,'Lopettaneet 2013-&gt;'!$D:$D,0)),INDEX('Lopettaneet 2013-&gt;'!$K:$K,MATCH($D1279,'Lopettaneet 2013-&gt;'!$D:$D,0)),"Continues")</f>
        <v>Continues</v>
      </c>
      <c r="K1279">
        <f ca="1">IF($J1279="Continues",DATEDIF($B1279,TODAY(),"Y"),INDEX('Lopettaneet 2013-&gt;'!$L:$L,MATCH($D1279,'Lopettaneet 2013-&gt;'!$D:$D,0)))</f>
        <v>2</v>
      </c>
      <c r="L1279">
        <v>1014</v>
      </c>
    </row>
    <row r="1280" spans="1:12" x14ac:dyDescent="0.25">
      <c r="A1280" t="s">
        <v>7</v>
      </c>
      <c r="B1280" s="1">
        <v>44805</v>
      </c>
      <c r="C1280" s="1">
        <v>55153</v>
      </c>
      <c r="D1280" s="4" t="s">
        <v>2205</v>
      </c>
      <c r="E1280" t="s">
        <v>10</v>
      </c>
      <c r="F1280" t="s">
        <v>11</v>
      </c>
      <c r="G1280" t="s">
        <v>2918</v>
      </c>
      <c r="H1280" t="s">
        <v>2946</v>
      </c>
      <c r="I1280" t="s">
        <v>2894</v>
      </c>
      <c r="J1280" t="str">
        <f>IF(ISNUMBER(MATCH($D1280,'Lopettaneet 2013-&gt;'!$D:$D,0)),INDEX('Lopettaneet 2013-&gt;'!$K:$K,MATCH($D1280,'Lopettaneet 2013-&gt;'!$D:$D,0)),"Continues")</f>
        <v>Continues</v>
      </c>
      <c r="K1280">
        <f ca="1">IF($J1280="Continues",DATEDIF($B1280,TODAY(),"Y"),INDEX('Lopettaneet 2013-&gt;'!$L:$L,MATCH($D1280,'Lopettaneet 2013-&gt;'!$D:$D,0)))</f>
        <v>2</v>
      </c>
      <c r="L1280">
        <v>1015</v>
      </c>
    </row>
    <row r="1281" spans="1:12" x14ac:dyDescent="0.25">
      <c r="A1281" t="s">
        <v>7</v>
      </c>
      <c r="B1281" s="1">
        <v>44986</v>
      </c>
      <c r="C1281" s="1">
        <v>55153</v>
      </c>
      <c r="D1281" s="4" t="s">
        <v>85</v>
      </c>
      <c r="E1281" t="s">
        <v>10</v>
      </c>
      <c r="F1281" t="s">
        <v>11</v>
      </c>
      <c r="G1281" t="s">
        <v>2918</v>
      </c>
      <c r="H1281" t="s">
        <v>2946</v>
      </c>
      <c r="I1281" t="s">
        <v>2894</v>
      </c>
      <c r="J1281" t="str">
        <f>IF(ISNUMBER(MATCH($D1281,'Lopettaneet 2013-&gt;'!$D:$D,0)),INDEX('Lopettaneet 2013-&gt;'!$K:$K,MATCH($D1281,'Lopettaneet 2013-&gt;'!$D:$D,0)),"Continues")</f>
        <v>Continues</v>
      </c>
      <c r="K1281">
        <f ca="1">IF($J1281="Continues",DATEDIF($B1281,TODAY(),"Y"),INDEX('Lopettaneet 2013-&gt;'!$L:$L,MATCH($D1281,'Lopettaneet 2013-&gt;'!$D:$D,0)))</f>
        <v>2</v>
      </c>
      <c r="L1281">
        <v>1016</v>
      </c>
    </row>
    <row r="1282" spans="1:12" x14ac:dyDescent="0.25">
      <c r="A1282" t="s">
        <v>7</v>
      </c>
      <c r="B1282" s="1">
        <v>45078</v>
      </c>
      <c r="C1282" s="1">
        <v>55153</v>
      </c>
      <c r="D1282" s="4" t="s">
        <v>87</v>
      </c>
      <c r="E1282" t="s">
        <v>10</v>
      </c>
      <c r="F1282" t="s">
        <v>11</v>
      </c>
      <c r="G1282" t="s">
        <v>2912</v>
      </c>
      <c r="H1282" t="s">
        <v>2961</v>
      </c>
      <c r="I1282" t="s">
        <v>2894</v>
      </c>
      <c r="J1282" t="str">
        <f>IF(ISNUMBER(MATCH($D1282,'Lopettaneet 2013-&gt;'!$D:$D,0)),INDEX('Lopettaneet 2013-&gt;'!$K:$K,MATCH($D1282,'Lopettaneet 2013-&gt;'!$D:$D,0)),"Continues")</f>
        <v>Continues</v>
      </c>
      <c r="K1282">
        <f ca="1">IF($J1282="Continues",DATEDIF($B1282,TODAY(),"Y"),INDEX('Lopettaneet 2013-&gt;'!$L:$L,MATCH($D1282,'Lopettaneet 2013-&gt;'!$D:$D,0)))</f>
        <v>1</v>
      </c>
      <c r="L1282">
        <v>1017</v>
      </c>
    </row>
    <row r="1283" spans="1:12" x14ac:dyDescent="0.25">
      <c r="A1283" t="s">
        <v>7</v>
      </c>
      <c r="B1283" s="1">
        <v>45078</v>
      </c>
      <c r="C1283" s="1">
        <v>55153</v>
      </c>
      <c r="D1283" s="4" t="s">
        <v>89</v>
      </c>
      <c r="E1283" t="s">
        <v>10</v>
      </c>
      <c r="F1283" t="s">
        <v>11</v>
      </c>
      <c r="G1283" t="s">
        <v>2914</v>
      </c>
      <c r="H1283" t="s">
        <v>2873</v>
      </c>
      <c r="I1283" t="s">
        <v>2895</v>
      </c>
      <c r="J1283" t="str">
        <f>IF(ISNUMBER(MATCH($D1283,'Lopettaneet 2013-&gt;'!$D:$D,0)),INDEX('Lopettaneet 2013-&gt;'!$K:$K,MATCH($D1283,'Lopettaneet 2013-&gt;'!$D:$D,0)),"Continues")</f>
        <v>Continues</v>
      </c>
      <c r="K1283">
        <f ca="1">IF($J1283="Continues",DATEDIF($B1283,TODAY(),"Y"),INDEX('Lopettaneet 2013-&gt;'!$L:$L,MATCH($D1283,'Lopettaneet 2013-&gt;'!$D:$D,0)))</f>
        <v>1</v>
      </c>
      <c r="L1283">
        <v>1018</v>
      </c>
    </row>
    <row r="1284" spans="1:12" x14ac:dyDescent="0.25">
      <c r="A1284" t="s">
        <v>7</v>
      </c>
      <c r="B1284" s="1">
        <v>45261</v>
      </c>
      <c r="C1284" s="1">
        <v>55153</v>
      </c>
      <c r="D1284" s="4" t="s">
        <v>91</v>
      </c>
      <c r="E1284" t="s">
        <v>10</v>
      </c>
      <c r="F1284" t="s">
        <v>11</v>
      </c>
      <c r="G1284" t="s">
        <v>2918</v>
      </c>
      <c r="H1284" t="s">
        <v>2963</v>
      </c>
      <c r="I1284" t="s">
        <v>2895</v>
      </c>
      <c r="J1284" t="str">
        <f>IF(ISNUMBER(MATCH($D1284,'Lopettaneet 2013-&gt;'!$D:$D,0)),INDEX('Lopettaneet 2013-&gt;'!$K:$K,MATCH($D1284,'Lopettaneet 2013-&gt;'!$D:$D,0)),"Continues")</f>
        <v>Continues</v>
      </c>
      <c r="K1284">
        <f ca="1">IF($J1284="Continues",DATEDIF($B1284,TODAY(),"Y"),INDEX('Lopettaneet 2013-&gt;'!$L:$L,MATCH($D1284,'Lopettaneet 2013-&gt;'!$D:$D,0)))</f>
        <v>1</v>
      </c>
      <c r="L1284">
        <v>1019</v>
      </c>
    </row>
    <row r="1285" spans="1:12" x14ac:dyDescent="0.25">
      <c r="A1285" t="s">
        <v>7</v>
      </c>
      <c r="B1285" s="1">
        <v>45261</v>
      </c>
      <c r="C1285" s="1">
        <v>55153</v>
      </c>
      <c r="D1285" s="4" t="s">
        <v>211</v>
      </c>
      <c r="E1285" t="s">
        <v>10</v>
      </c>
      <c r="F1285" t="s">
        <v>11</v>
      </c>
      <c r="G1285" t="s">
        <v>2912</v>
      </c>
      <c r="H1285" t="s">
        <v>2766</v>
      </c>
      <c r="I1285" t="s">
        <v>2895</v>
      </c>
      <c r="J1285" t="str">
        <f>IF(ISNUMBER(MATCH($D1285,'Lopettaneet 2013-&gt;'!$D:$D,0)),INDEX('Lopettaneet 2013-&gt;'!$K:$K,MATCH($D1285,'Lopettaneet 2013-&gt;'!$D:$D,0)),"Continues")</f>
        <v>Continues</v>
      </c>
      <c r="K1285">
        <f ca="1">IF($J1285="Continues",DATEDIF($B1285,TODAY(),"Y"),INDEX('Lopettaneet 2013-&gt;'!$L:$L,MATCH($D1285,'Lopettaneet 2013-&gt;'!$D:$D,0)))</f>
        <v>1</v>
      </c>
      <c r="L1285">
        <v>1020</v>
      </c>
    </row>
    <row r="1286" spans="1:12" x14ac:dyDescent="0.25">
      <c r="A1286" t="s">
        <v>0</v>
      </c>
      <c r="B1286" s="1">
        <v>45261</v>
      </c>
      <c r="C1286" s="1">
        <v>55153</v>
      </c>
      <c r="D1286" s="4" t="s">
        <v>93</v>
      </c>
      <c r="E1286" t="s">
        <v>10</v>
      </c>
      <c r="F1286" t="s">
        <v>11</v>
      </c>
      <c r="G1286" t="s">
        <v>2917</v>
      </c>
      <c r="H1286" t="s">
        <v>2766</v>
      </c>
      <c r="I1286" t="s">
        <v>2895</v>
      </c>
      <c r="J1286" t="str">
        <f>IF(ISNUMBER(MATCH($D1286,'Lopettaneet 2013-&gt;'!$D:$D,0)),INDEX('Lopettaneet 2013-&gt;'!$K:$K,MATCH($D1286,'Lopettaneet 2013-&gt;'!$D:$D,0)),"Continues")</f>
        <v>Continues</v>
      </c>
      <c r="K1286">
        <f ca="1">IF($J1286="Continues",DATEDIF($B1286,TODAY(),"Y"),INDEX('Lopettaneet 2013-&gt;'!$L:$L,MATCH($D1286,'Lopettaneet 2013-&gt;'!$D:$D,0)))</f>
        <v>1</v>
      </c>
      <c r="L1286">
        <v>1021</v>
      </c>
    </row>
    <row r="1287" spans="1:12" x14ac:dyDescent="0.25">
      <c r="A1287" t="s">
        <v>0</v>
      </c>
      <c r="B1287" s="1">
        <v>45078</v>
      </c>
      <c r="C1287" s="1">
        <v>55153</v>
      </c>
      <c r="D1287" s="4" t="s">
        <v>95</v>
      </c>
      <c r="E1287" t="s">
        <v>10</v>
      </c>
      <c r="F1287" t="s">
        <v>4</v>
      </c>
      <c r="G1287" t="s">
        <v>2917</v>
      </c>
      <c r="H1287" t="s">
        <v>2953</v>
      </c>
      <c r="I1287" t="s">
        <v>2894</v>
      </c>
      <c r="J1287" t="str">
        <f>IF(ISNUMBER(MATCH($D1287,'Lopettaneet 2013-&gt;'!$D:$D,0)),INDEX('Lopettaneet 2013-&gt;'!$K:$K,MATCH($D1287,'Lopettaneet 2013-&gt;'!$D:$D,0)),"Continues")</f>
        <v>Continues</v>
      </c>
      <c r="K1287">
        <f ca="1">IF($J1287="Continues",DATEDIF($B1287,TODAY(),"Y"),INDEX('Lopettaneet 2013-&gt;'!$L:$L,MATCH($D1287,'Lopettaneet 2013-&gt;'!$D:$D,0)))</f>
        <v>1</v>
      </c>
      <c r="L1287">
        <v>1022</v>
      </c>
    </row>
    <row r="1288" spans="1:12" x14ac:dyDescent="0.25">
      <c r="A1288" t="s">
        <v>7</v>
      </c>
      <c r="B1288" s="1">
        <v>44986</v>
      </c>
      <c r="C1288" s="1">
        <v>55153</v>
      </c>
      <c r="D1288" s="4" t="s">
        <v>97</v>
      </c>
      <c r="E1288" t="s">
        <v>10</v>
      </c>
      <c r="F1288" t="s">
        <v>11</v>
      </c>
      <c r="G1288" t="s">
        <v>2918</v>
      </c>
      <c r="H1288" t="s">
        <v>2966</v>
      </c>
      <c r="I1288" t="s">
        <v>2894</v>
      </c>
      <c r="J1288" t="str">
        <f>IF(ISNUMBER(MATCH($D1288,'Lopettaneet 2013-&gt;'!$D:$D,0)),INDEX('Lopettaneet 2013-&gt;'!$K:$K,MATCH($D1288,'Lopettaneet 2013-&gt;'!$D:$D,0)),"Continues")</f>
        <v>Continues</v>
      </c>
      <c r="K1288">
        <f ca="1">IF($J1288="Continues",DATEDIF($B1288,TODAY(),"Y"),INDEX('Lopettaneet 2013-&gt;'!$L:$L,MATCH($D1288,'Lopettaneet 2013-&gt;'!$D:$D,0)))</f>
        <v>2</v>
      </c>
      <c r="L1288">
        <v>1023</v>
      </c>
    </row>
    <row r="1289" spans="1:12" x14ac:dyDescent="0.25">
      <c r="A1289" t="s">
        <v>7</v>
      </c>
      <c r="B1289" s="1">
        <v>44986</v>
      </c>
      <c r="C1289" s="1">
        <v>55153</v>
      </c>
      <c r="D1289" s="4" t="s">
        <v>99</v>
      </c>
      <c r="E1289" t="s">
        <v>10</v>
      </c>
      <c r="F1289" t="s">
        <v>11</v>
      </c>
      <c r="G1289" t="s">
        <v>2918</v>
      </c>
      <c r="H1289" t="s">
        <v>2966</v>
      </c>
      <c r="I1289" t="s">
        <v>2894</v>
      </c>
      <c r="J1289" t="str">
        <f>IF(ISNUMBER(MATCH($D1289,'Lopettaneet 2013-&gt;'!$D:$D,0)),INDEX('Lopettaneet 2013-&gt;'!$K:$K,MATCH($D1289,'Lopettaneet 2013-&gt;'!$D:$D,0)),"Continues")</f>
        <v>Continues</v>
      </c>
      <c r="K1289">
        <f ca="1">IF($J1289="Continues",DATEDIF($B1289,TODAY(),"Y"),INDEX('Lopettaneet 2013-&gt;'!$L:$L,MATCH($D1289,'Lopettaneet 2013-&gt;'!$D:$D,0)))</f>
        <v>2</v>
      </c>
      <c r="L1289">
        <v>1024</v>
      </c>
    </row>
    <row r="1290" spans="1:12" x14ac:dyDescent="0.25">
      <c r="A1290" t="s">
        <v>7</v>
      </c>
      <c r="B1290" s="1">
        <v>45078</v>
      </c>
      <c r="C1290" s="1">
        <v>55153</v>
      </c>
      <c r="D1290" s="4" t="s">
        <v>101</v>
      </c>
      <c r="E1290" t="s">
        <v>10</v>
      </c>
      <c r="F1290" t="s">
        <v>11</v>
      </c>
      <c r="G1290" t="s">
        <v>2914</v>
      </c>
      <c r="H1290" t="s">
        <v>2882</v>
      </c>
      <c r="I1290" t="s">
        <v>2894</v>
      </c>
      <c r="J1290" t="str">
        <f>IF(ISNUMBER(MATCH($D1290,'Lopettaneet 2013-&gt;'!$D:$D,0)),INDEX('Lopettaneet 2013-&gt;'!$K:$K,MATCH($D1290,'Lopettaneet 2013-&gt;'!$D:$D,0)),"Continues")</f>
        <v>Continues</v>
      </c>
      <c r="K1290">
        <f ca="1">IF($J1290="Continues",DATEDIF($B1290,TODAY(),"Y"),INDEX('Lopettaneet 2013-&gt;'!$L:$L,MATCH($D1290,'Lopettaneet 2013-&gt;'!$D:$D,0)))</f>
        <v>1</v>
      </c>
      <c r="L1290">
        <v>1025</v>
      </c>
    </row>
    <row r="1291" spans="1:12" x14ac:dyDescent="0.25">
      <c r="A1291" t="s">
        <v>0</v>
      </c>
      <c r="B1291" s="1">
        <v>44896</v>
      </c>
      <c r="C1291" s="1">
        <v>55153</v>
      </c>
      <c r="D1291" s="4" t="s">
        <v>2207</v>
      </c>
      <c r="E1291" t="s">
        <v>10</v>
      </c>
      <c r="F1291" t="s">
        <v>4</v>
      </c>
      <c r="G1291" t="s">
        <v>2915</v>
      </c>
      <c r="H1291" t="s">
        <v>2979</v>
      </c>
      <c r="I1291" t="s">
        <v>2894</v>
      </c>
      <c r="J1291" t="str">
        <f>IF(ISNUMBER(MATCH($D1291,'Lopettaneet 2013-&gt;'!$D:$D,0)),INDEX('Lopettaneet 2013-&gt;'!$K:$K,MATCH($D1291,'Lopettaneet 2013-&gt;'!$D:$D,0)),"Continues")</f>
        <v>Continues</v>
      </c>
      <c r="K1291">
        <f ca="1">IF($J1291="Continues",DATEDIF($B1291,TODAY(),"Y"),INDEX('Lopettaneet 2013-&gt;'!$L:$L,MATCH($D1291,'Lopettaneet 2013-&gt;'!$D:$D,0)))</f>
        <v>2</v>
      </c>
      <c r="L1291">
        <v>1026</v>
      </c>
    </row>
    <row r="1292" spans="1:12" x14ac:dyDescent="0.25">
      <c r="A1292" t="s">
        <v>7</v>
      </c>
      <c r="B1292" s="1">
        <v>44986</v>
      </c>
      <c r="C1292" s="1">
        <v>55153</v>
      </c>
      <c r="D1292" s="4" t="s">
        <v>103</v>
      </c>
      <c r="E1292" t="s">
        <v>10</v>
      </c>
      <c r="F1292" t="s">
        <v>11</v>
      </c>
      <c r="G1292" t="s">
        <v>2912</v>
      </c>
      <c r="H1292" t="s">
        <v>2986</v>
      </c>
      <c r="I1292" t="s">
        <v>2895</v>
      </c>
      <c r="J1292" t="str">
        <f>IF(ISNUMBER(MATCH($D1292,'Lopettaneet 2013-&gt;'!$D:$D,0)),INDEX('Lopettaneet 2013-&gt;'!$K:$K,MATCH($D1292,'Lopettaneet 2013-&gt;'!$D:$D,0)),"Continues")</f>
        <v>Continues</v>
      </c>
      <c r="K1292">
        <f ca="1">IF($J1292="Continues",DATEDIF($B1292,TODAY(),"Y"),INDEX('Lopettaneet 2013-&gt;'!$L:$L,MATCH($D1292,'Lopettaneet 2013-&gt;'!$D:$D,0)))</f>
        <v>2</v>
      </c>
      <c r="L1292">
        <v>1027</v>
      </c>
    </row>
    <row r="1293" spans="1:12" x14ac:dyDescent="0.25">
      <c r="A1293" t="s">
        <v>7</v>
      </c>
      <c r="B1293" s="1">
        <v>44986</v>
      </c>
      <c r="C1293" s="1">
        <v>55153</v>
      </c>
      <c r="D1293" s="4" t="s">
        <v>105</v>
      </c>
      <c r="E1293" t="s">
        <v>10</v>
      </c>
      <c r="F1293" t="s">
        <v>11</v>
      </c>
      <c r="G1293" t="s">
        <v>2912</v>
      </c>
      <c r="H1293" t="s">
        <v>2986</v>
      </c>
      <c r="I1293" t="s">
        <v>2895</v>
      </c>
      <c r="J1293" t="str">
        <f>IF(ISNUMBER(MATCH($D1293,'Lopettaneet 2013-&gt;'!$D:$D,0)),INDEX('Lopettaneet 2013-&gt;'!$K:$K,MATCH($D1293,'Lopettaneet 2013-&gt;'!$D:$D,0)),"Continues")</f>
        <v>Continues</v>
      </c>
      <c r="K1293">
        <f ca="1">IF($J1293="Continues",DATEDIF($B1293,TODAY(),"Y"),INDEX('Lopettaneet 2013-&gt;'!$L:$L,MATCH($D1293,'Lopettaneet 2013-&gt;'!$D:$D,0)))</f>
        <v>2</v>
      </c>
      <c r="L1293">
        <v>1028</v>
      </c>
    </row>
    <row r="1294" spans="1:12" x14ac:dyDescent="0.25">
      <c r="A1294" t="s">
        <v>7</v>
      </c>
      <c r="B1294" s="1">
        <v>44986</v>
      </c>
      <c r="C1294" s="1">
        <v>55153</v>
      </c>
      <c r="D1294" s="4" t="s">
        <v>107</v>
      </c>
      <c r="E1294" t="s">
        <v>10</v>
      </c>
      <c r="F1294" t="s">
        <v>11</v>
      </c>
      <c r="G1294" t="s">
        <v>2916</v>
      </c>
      <c r="H1294" t="s">
        <v>2973</v>
      </c>
      <c r="I1294" t="s">
        <v>2895</v>
      </c>
      <c r="J1294" t="str">
        <f>IF(ISNUMBER(MATCH($D1294,'Lopettaneet 2013-&gt;'!$D:$D,0)),INDEX('Lopettaneet 2013-&gt;'!$K:$K,MATCH($D1294,'Lopettaneet 2013-&gt;'!$D:$D,0)),"Continues")</f>
        <v>Continues</v>
      </c>
      <c r="K1294">
        <f ca="1">IF($J1294="Continues",DATEDIF($B1294,TODAY(),"Y"),INDEX('Lopettaneet 2013-&gt;'!$L:$L,MATCH($D1294,'Lopettaneet 2013-&gt;'!$D:$D,0)))</f>
        <v>2</v>
      </c>
      <c r="L1294">
        <v>1029</v>
      </c>
    </row>
    <row r="1295" spans="1:12" x14ac:dyDescent="0.25">
      <c r="A1295" t="s">
        <v>7</v>
      </c>
      <c r="B1295" s="1">
        <v>45352</v>
      </c>
      <c r="C1295" s="1">
        <v>55153</v>
      </c>
      <c r="D1295" s="4" t="s">
        <v>213</v>
      </c>
      <c r="E1295" t="s">
        <v>10</v>
      </c>
      <c r="F1295" t="s">
        <v>11</v>
      </c>
      <c r="G1295" t="s">
        <v>2916</v>
      </c>
      <c r="H1295" t="s">
        <v>3004</v>
      </c>
      <c r="I1295" t="s">
        <v>2895</v>
      </c>
      <c r="J1295" t="str">
        <f>IF(ISNUMBER(MATCH($D1295,'Lopettaneet 2013-&gt;'!$D:$D,0)),INDEX('Lopettaneet 2013-&gt;'!$K:$K,MATCH($D1295,'Lopettaneet 2013-&gt;'!$D:$D,0)),"Continues")</f>
        <v>Continues</v>
      </c>
      <c r="K1295">
        <f ca="1">IF($J1295="Continues",DATEDIF($B1295,TODAY(),"Y"),INDEX('Lopettaneet 2013-&gt;'!$L:$L,MATCH($D1295,'Lopettaneet 2013-&gt;'!$D:$D,0)))</f>
        <v>1</v>
      </c>
      <c r="L1295">
        <v>1030</v>
      </c>
    </row>
    <row r="1296" spans="1:12" x14ac:dyDescent="0.25">
      <c r="A1296" t="s">
        <v>0</v>
      </c>
      <c r="B1296" s="1">
        <v>44927</v>
      </c>
      <c r="C1296" s="1">
        <v>55153</v>
      </c>
      <c r="D1296" s="4" t="s">
        <v>109</v>
      </c>
      <c r="E1296" t="s">
        <v>10</v>
      </c>
      <c r="F1296" t="s">
        <v>11</v>
      </c>
      <c r="G1296" t="s">
        <v>2917</v>
      </c>
      <c r="H1296" t="s">
        <v>2766</v>
      </c>
      <c r="I1296" t="s">
        <v>2895</v>
      </c>
      <c r="J1296" t="str">
        <f>IF(ISNUMBER(MATCH($D1296,'Lopettaneet 2013-&gt;'!$D:$D,0)),INDEX('Lopettaneet 2013-&gt;'!$K:$K,MATCH($D1296,'Lopettaneet 2013-&gt;'!$D:$D,0)),"Continues")</f>
        <v>Continues</v>
      </c>
      <c r="K1296">
        <f ca="1">IF($J1296="Continues",DATEDIF($B1296,TODAY(),"Y"),INDEX('Lopettaneet 2013-&gt;'!$L:$L,MATCH($D1296,'Lopettaneet 2013-&gt;'!$D:$D,0)))</f>
        <v>2</v>
      </c>
      <c r="L1296">
        <v>1031</v>
      </c>
    </row>
    <row r="1297" spans="1:12" x14ac:dyDescent="0.25">
      <c r="A1297" t="s">
        <v>0</v>
      </c>
      <c r="B1297" s="1">
        <v>44927</v>
      </c>
      <c r="C1297" s="1">
        <v>55153</v>
      </c>
      <c r="D1297" s="4" t="s">
        <v>111</v>
      </c>
      <c r="E1297" t="s">
        <v>10</v>
      </c>
      <c r="F1297" t="s">
        <v>11</v>
      </c>
      <c r="G1297" t="s">
        <v>2918</v>
      </c>
      <c r="H1297" t="s">
        <v>2766</v>
      </c>
      <c r="I1297" t="s">
        <v>2895</v>
      </c>
      <c r="J1297" t="str">
        <f>IF(ISNUMBER(MATCH($D1297,'Lopettaneet 2013-&gt;'!$D:$D,0)),INDEX('Lopettaneet 2013-&gt;'!$K:$K,MATCH($D1297,'Lopettaneet 2013-&gt;'!$D:$D,0)),"Continues")</f>
        <v>Continues</v>
      </c>
      <c r="K1297">
        <f ca="1">IF($J1297="Continues",DATEDIF($B1297,TODAY(),"Y"),INDEX('Lopettaneet 2013-&gt;'!$L:$L,MATCH($D1297,'Lopettaneet 2013-&gt;'!$D:$D,0)))</f>
        <v>2</v>
      </c>
      <c r="L1297">
        <v>1032</v>
      </c>
    </row>
    <row r="1298" spans="1:12" x14ac:dyDescent="0.25">
      <c r="A1298" t="s">
        <v>0</v>
      </c>
      <c r="B1298" s="1">
        <v>44986</v>
      </c>
      <c r="C1298" s="1">
        <v>55153</v>
      </c>
      <c r="D1298" s="4" t="s">
        <v>113</v>
      </c>
      <c r="E1298" t="s">
        <v>10</v>
      </c>
      <c r="F1298" t="s">
        <v>4</v>
      </c>
      <c r="G1298" t="s">
        <v>2915</v>
      </c>
      <c r="H1298" t="s">
        <v>2959</v>
      </c>
      <c r="I1298" t="s">
        <v>2894</v>
      </c>
      <c r="J1298" t="str">
        <f>IF(ISNUMBER(MATCH($D1298,'Lopettaneet 2013-&gt;'!$D:$D,0)),INDEX('Lopettaneet 2013-&gt;'!$K:$K,MATCH($D1298,'Lopettaneet 2013-&gt;'!$D:$D,0)),"Continues")</f>
        <v>Continues</v>
      </c>
      <c r="K1298">
        <f ca="1">IF($J1298="Continues",DATEDIF($B1298,TODAY(),"Y"),INDEX('Lopettaneet 2013-&gt;'!$L:$L,MATCH($D1298,'Lopettaneet 2013-&gt;'!$D:$D,0)))</f>
        <v>2</v>
      </c>
      <c r="L1298">
        <v>1033</v>
      </c>
    </row>
    <row r="1299" spans="1:12" x14ac:dyDescent="0.25">
      <c r="A1299" t="s">
        <v>0</v>
      </c>
      <c r="B1299" s="1">
        <v>44986</v>
      </c>
      <c r="C1299" s="1">
        <v>55153</v>
      </c>
      <c r="D1299" s="4" t="s">
        <v>115</v>
      </c>
      <c r="E1299" t="s">
        <v>10</v>
      </c>
      <c r="F1299" t="s">
        <v>4</v>
      </c>
      <c r="G1299" t="s">
        <v>2915</v>
      </c>
      <c r="H1299" t="s">
        <v>2959</v>
      </c>
      <c r="I1299" t="s">
        <v>2894</v>
      </c>
      <c r="J1299" t="str">
        <f>IF(ISNUMBER(MATCH($D1299,'Lopettaneet 2013-&gt;'!$D:$D,0)),INDEX('Lopettaneet 2013-&gt;'!$K:$K,MATCH($D1299,'Lopettaneet 2013-&gt;'!$D:$D,0)),"Continues")</f>
        <v>Continues</v>
      </c>
      <c r="K1299">
        <f ca="1">IF($J1299="Continues",DATEDIF($B1299,TODAY(),"Y"),INDEX('Lopettaneet 2013-&gt;'!$L:$L,MATCH($D1299,'Lopettaneet 2013-&gt;'!$D:$D,0)))</f>
        <v>2</v>
      </c>
      <c r="L1299">
        <v>1034</v>
      </c>
    </row>
    <row r="1300" spans="1:12" x14ac:dyDescent="0.25">
      <c r="A1300" t="s">
        <v>7</v>
      </c>
      <c r="B1300" s="1">
        <v>45170</v>
      </c>
      <c r="C1300" s="1">
        <v>55153</v>
      </c>
      <c r="D1300" s="4" t="s">
        <v>117</v>
      </c>
      <c r="E1300" t="s">
        <v>10</v>
      </c>
      <c r="F1300" t="s">
        <v>11</v>
      </c>
      <c r="G1300" t="s">
        <v>2916</v>
      </c>
      <c r="H1300" t="s">
        <v>2883</v>
      </c>
      <c r="I1300" t="s">
        <v>2894</v>
      </c>
      <c r="J1300" t="str">
        <f>IF(ISNUMBER(MATCH($D1300,'Lopettaneet 2013-&gt;'!$D:$D,0)),INDEX('Lopettaneet 2013-&gt;'!$K:$K,MATCH($D1300,'Lopettaneet 2013-&gt;'!$D:$D,0)),"Continues")</f>
        <v>Continues</v>
      </c>
      <c r="K1300">
        <f ca="1">IF($J1300="Continues",DATEDIF($B1300,TODAY(),"Y"),INDEX('Lopettaneet 2013-&gt;'!$L:$L,MATCH($D1300,'Lopettaneet 2013-&gt;'!$D:$D,0)))</f>
        <v>1</v>
      </c>
      <c r="L1300">
        <v>1035</v>
      </c>
    </row>
    <row r="1301" spans="1:12" x14ac:dyDescent="0.25">
      <c r="A1301" t="s">
        <v>7</v>
      </c>
      <c r="B1301" s="1">
        <v>45170</v>
      </c>
      <c r="C1301" s="1">
        <v>55153</v>
      </c>
      <c r="D1301" s="4" t="s">
        <v>119</v>
      </c>
      <c r="E1301" t="s">
        <v>10</v>
      </c>
      <c r="F1301" t="s">
        <v>11</v>
      </c>
      <c r="G1301" t="s">
        <v>2916</v>
      </c>
      <c r="H1301" t="s">
        <v>2884</v>
      </c>
      <c r="I1301" t="s">
        <v>2895</v>
      </c>
      <c r="J1301" t="str">
        <f>IF(ISNUMBER(MATCH($D1301,'Lopettaneet 2013-&gt;'!$D:$D,0)),INDEX('Lopettaneet 2013-&gt;'!$K:$K,MATCH($D1301,'Lopettaneet 2013-&gt;'!$D:$D,0)),"Continues")</f>
        <v>Continues</v>
      </c>
      <c r="K1301">
        <f ca="1">IF($J1301="Continues",DATEDIF($B1301,TODAY(),"Y"),INDEX('Lopettaneet 2013-&gt;'!$L:$L,MATCH($D1301,'Lopettaneet 2013-&gt;'!$D:$D,0)))</f>
        <v>1</v>
      </c>
      <c r="L1301">
        <v>1036</v>
      </c>
    </row>
    <row r="1302" spans="1:12" x14ac:dyDescent="0.25">
      <c r="A1302" t="s">
        <v>7</v>
      </c>
      <c r="B1302" s="1">
        <v>45078</v>
      </c>
      <c r="C1302" s="1">
        <v>55153</v>
      </c>
      <c r="D1302" s="4" t="s">
        <v>121</v>
      </c>
      <c r="E1302" t="s">
        <v>10</v>
      </c>
      <c r="F1302" t="s">
        <v>11</v>
      </c>
      <c r="G1302" t="s">
        <v>2916</v>
      </c>
      <c r="H1302" t="s">
        <v>3017</v>
      </c>
      <c r="I1302" t="s">
        <v>2895</v>
      </c>
      <c r="J1302" t="str">
        <f>IF(ISNUMBER(MATCH($D1302,'Lopettaneet 2013-&gt;'!$D:$D,0)),INDEX('Lopettaneet 2013-&gt;'!$K:$K,MATCH($D1302,'Lopettaneet 2013-&gt;'!$D:$D,0)),"Continues")</f>
        <v>Continues</v>
      </c>
      <c r="K1302">
        <f ca="1">IF($J1302="Continues",DATEDIF($B1302,TODAY(),"Y"),INDEX('Lopettaneet 2013-&gt;'!$L:$L,MATCH($D1302,'Lopettaneet 2013-&gt;'!$D:$D,0)))</f>
        <v>1</v>
      </c>
      <c r="L1302">
        <v>1037</v>
      </c>
    </row>
    <row r="1303" spans="1:12" x14ac:dyDescent="0.25">
      <c r="A1303" t="s">
        <v>7</v>
      </c>
      <c r="B1303" s="1">
        <v>44986</v>
      </c>
      <c r="C1303" s="1">
        <v>55153</v>
      </c>
      <c r="D1303" s="4" t="s">
        <v>123</v>
      </c>
      <c r="E1303" t="s">
        <v>10</v>
      </c>
      <c r="F1303" t="s">
        <v>11</v>
      </c>
      <c r="G1303" t="s">
        <v>2916</v>
      </c>
      <c r="H1303" t="s">
        <v>2973</v>
      </c>
      <c r="I1303" t="s">
        <v>2895</v>
      </c>
      <c r="J1303" t="str">
        <f>IF(ISNUMBER(MATCH($D1303,'Lopettaneet 2013-&gt;'!$D:$D,0)),INDEX('Lopettaneet 2013-&gt;'!$K:$K,MATCH($D1303,'Lopettaneet 2013-&gt;'!$D:$D,0)),"Continues")</f>
        <v>Continues</v>
      </c>
      <c r="K1303">
        <f ca="1">IF($J1303="Continues",DATEDIF($B1303,TODAY(),"Y"),INDEX('Lopettaneet 2013-&gt;'!$L:$L,MATCH($D1303,'Lopettaneet 2013-&gt;'!$D:$D,0)))</f>
        <v>2</v>
      </c>
      <c r="L1303">
        <v>1038</v>
      </c>
    </row>
    <row r="1304" spans="1:12" x14ac:dyDescent="0.25">
      <c r="A1304" t="s">
        <v>0</v>
      </c>
      <c r="B1304" s="1">
        <v>44958</v>
      </c>
      <c r="C1304" s="1">
        <v>55153</v>
      </c>
      <c r="D1304" s="4" t="s">
        <v>125</v>
      </c>
      <c r="E1304" t="s">
        <v>3</v>
      </c>
      <c r="F1304" t="s">
        <v>4</v>
      </c>
      <c r="G1304" t="s">
        <v>2913</v>
      </c>
      <c r="H1304" t="s">
        <v>2959</v>
      </c>
      <c r="I1304" t="s">
        <v>2894</v>
      </c>
      <c r="J1304" t="str">
        <f>IF(ISNUMBER(MATCH($D1304,'Lopettaneet 2013-&gt;'!$D:$D,0)),INDEX('Lopettaneet 2013-&gt;'!$K:$K,MATCH($D1304,'Lopettaneet 2013-&gt;'!$D:$D,0)),"Continues")</f>
        <v>Continues</v>
      </c>
      <c r="K1304">
        <f ca="1">IF($J1304="Continues",DATEDIF($B1304,TODAY(),"Y"),INDEX('Lopettaneet 2013-&gt;'!$L:$L,MATCH($D1304,'Lopettaneet 2013-&gt;'!$D:$D,0)))</f>
        <v>2</v>
      </c>
      <c r="L1304">
        <v>1039</v>
      </c>
    </row>
    <row r="1305" spans="1:12" x14ac:dyDescent="0.25">
      <c r="A1305" t="s">
        <v>0</v>
      </c>
      <c r="B1305" s="1">
        <v>45017</v>
      </c>
      <c r="C1305" s="1">
        <v>55153</v>
      </c>
      <c r="D1305" s="4" t="s">
        <v>127</v>
      </c>
      <c r="E1305" t="s">
        <v>10</v>
      </c>
      <c r="F1305" t="s">
        <v>4</v>
      </c>
      <c r="G1305" t="s">
        <v>2917</v>
      </c>
      <c r="H1305" t="s">
        <v>3008</v>
      </c>
      <c r="I1305" t="s">
        <v>2894</v>
      </c>
      <c r="J1305" t="str">
        <f>IF(ISNUMBER(MATCH($D1305,'Lopettaneet 2013-&gt;'!$D:$D,0)),INDEX('Lopettaneet 2013-&gt;'!$K:$K,MATCH($D1305,'Lopettaneet 2013-&gt;'!$D:$D,0)),"Continues")</f>
        <v>Continues</v>
      </c>
      <c r="K1305">
        <f ca="1">IF($J1305="Continues",DATEDIF($B1305,TODAY(),"Y"),INDEX('Lopettaneet 2013-&gt;'!$L:$L,MATCH($D1305,'Lopettaneet 2013-&gt;'!$D:$D,0)))</f>
        <v>2</v>
      </c>
      <c r="L1305">
        <v>1040</v>
      </c>
    </row>
    <row r="1306" spans="1:12" x14ac:dyDescent="0.25">
      <c r="A1306" t="s">
        <v>0</v>
      </c>
      <c r="B1306" s="1">
        <v>45017</v>
      </c>
      <c r="C1306" s="1">
        <v>55153</v>
      </c>
      <c r="D1306" s="4" t="s">
        <v>129</v>
      </c>
      <c r="E1306" t="s">
        <v>10</v>
      </c>
      <c r="F1306" t="s">
        <v>4</v>
      </c>
      <c r="G1306" t="s">
        <v>2917</v>
      </c>
      <c r="H1306" t="s">
        <v>3008</v>
      </c>
      <c r="I1306" t="s">
        <v>2894</v>
      </c>
      <c r="J1306" t="str">
        <f>IF(ISNUMBER(MATCH($D1306,'Lopettaneet 2013-&gt;'!$D:$D,0)),INDEX('Lopettaneet 2013-&gt;'!$K:$K,MATCH($D1306,'Lopettaneet 2013-&gt;'!$D:$D,0)),"Continues")</f>
        <v>Continues</v>
      </c>
      <c r="K1306">
        <f ca="1">IF($J1306="Continues",DATEDIF($B1306,TODAY(),"Y"),INDEX('Lopettaneet 2013-&gt;'!$L:$L,MATCH($D1306,'Lopettaneet 2013-&gt;'!$D:$D,0)))</f>
        <v>2</v>
      </c>
      <c r="L1306">
        <v>1041</v>
      </c>
    </row>
    <row r="1307" spans="1:12" x14ac:dyDescent="0.25">
      <c r="A1307" t="s">
        <v>7</v>
      </c>
      <c r="B1307" s="1">
        <v>45170</v>
      </c>
      <c r="C1307" s="1">
        <v>55153</v>
      </c>
      <c r="D1307" s="4" t="s">
        <v>131</v>
      </c>
      <c r="E1307" t="s">
        <v>10</v>
      </c>
      <c r="F1307" t="s">
        <v>11</v>
      </c>
      <c r="G1307" t="s">
        <v>2918</v>
      </c>
      <c r="H1307" t="s">
        <v>2948</v>
      </c>
      <c r="I1307" t="s">
        <v>2895</v>
      </c>
      <c r="J1307" t="str">
        <f>IF(ISNUMBER(MATCH($D1307,'Lopettaneet 2013-&gt;'!$D:$D,0)),INDEX('Lopettaneet 2013-&gt;'!$K:$K,MATCH($D1307,'Lopettaneet 2013-&gt;'!$D:$D,0)),"Continues")</f>
        <v>Continues</v>
      </c>
      <c r="K1307">
        <f ca="1">IF($J1307="Continues",DATEDIF($B1307,TODAY(),"Y"),INDEX('Lopettaneet 2013-&gt;'!$L:$L,MATCH($D1307,'Lopettaneet 2013-&gt;'!$D:$D,0)))</f>
        <v>1</v>
      </c>
      <c r="L1307">
        <v>1042</v>
      </c>
    </row>
    <row r="1308" spans="1:12" x14ac:dyDescent="0.25">
      <c r="A1308" t="s">
        <v>7</v>
      </c>
      <c r="B1308" s="1">
        <v>45170</v>
      </c>
      <c r="C1308" s="1">
        <v>55153</v>
      </c>
      <c r="D1308" s="4" t="s">
        <v>133</v>
      </c>
      <c r="E1308" t="s">
        <v>10</v>
      </c>
      <c r="F1308" t="s">
        <v>11</v>
      </c>
      <c r="G1308" t="s">
        <v>2918</v>
      </c>
      <c r="H1308" t="s">
        <v>2980</v>
      </c>
      <c r="I1308" t="s">
        <v>2894</v>
      </c>
      <c r="J1308" t="str">
        <f>IF(ISNUMBER(MATCH($D1308,'Lopettaneet 2013-&gt;'!$D:$D,0)),INDEX('Lopettaneet 2013-&gt;'!$K:$K,MATCH($D1308,'Lopettaneet 2013-&gt;'!$D:$D,0)),"Continues")</f>
        <v>Continues</v>
      </c>
      <c r="K1308">
        <f ca="1">IF($J1308="Continues",DATEDIF($B1308,TODAY(),"Y"),INDEX('Lopettaneet 2013-&gt;'!$L:$L,MATCH($D1308,'Lopettaneet 2013-&gt;'!$D:$D,0)))</f>
        <v>1</v>
      </c>
      <c r="L1308">
        <v>1043</v>
      </c>
    </row>
    <row r="1309" spans="1:12" x14ac:dyDescent="0.25">
      <c r="A1309" t="s">
        <v>7</v>
      </c>
      <c r="B1309" s="1">
        <v>45078</v>
      </c>
      <c r="C1309" s="1">
        <v>55153</v>
      </c>
      <c r="D1309" s="4" t="s">
        <v>3226</v>
      </c>
      <c r="E1309" t="s">
        <v>10</v>
      </c>
      <c r="F1309" t="s">
        <v>11</v>
      </c>
      <c r="G1309" t="s">
        <v>2912</v>
      </c>
      <c r="H1309" t="s">
        <v>2777</v>
      </c>
      <c r="I1309" t="s">
        <v>2894</v>
      </c>
      <c r="J1309" t="str">
        <f>IF(ISNUMBER(MATCH($D1309,'Lopettaneet 2013-&gt;'!$D:$D,0)),INDEX('Lopettaneet 2013-&gt;'!$K:$K,MATCH($D1309,'Lopettaneet 2013-&gt;'!$D:$D,0)),"Continues")</f>
        <v>Continues</v>
      </c>
      <c r="K1309">
        <f ca="1">IF($J1309="Continues",DATEDIF($B1309,TODAY(),"Y"),INDEX('Lopettaneet 2013-&gt;'!$L:$L,MATCH($D1309,'Lopettaneet 2013-&gt;'!$D:$D,0)))</f>
        <v>1</v>
      </c>
      <c r="L1309">
        <v>1044</v>
      </c>
    </row>
    <row r="1310" spans="1:12" x14ac:dyDescent="0.25">
      <c r="A1310" t="s">
        <v>7</v>
      </c>
      <c r="B1310" s="1">
        <v>45078</v>
      </c>
      <c r="C1310" s="1">
        <v>55153</v>
      </c>
      <c r="D1310" s="4" t="s">
        <v>3227</v>
      </c>
      <c r="E1310" t="s">
        <v>10</v>
      </c>
      <c r="F1310" t="s">
        <v>11</v>
      </c>
      <c r="G1310" t="s">
        <v>2912</v>
      </c>
      <c r="H1310" t="s">
        <v>2777</v>
      </c>
      <c r="I1310" t="s">
        <v>2894</v>
      </c>
      <c r="J1310" t="str">
        <f>IF(ISNUMBER(MATCH($D1310,'Lopettaneet 2013-&gt;'!$D:$D,0)),INDEX('Lopettaneet 2013-&gt;'!$K:$K,MATCH($D1310,'Lopettaneet 2013-&gt;'!$D:$D,0)),"Continues")</f>
        <v>Continues</v>
      </c>
      <c r="K1310">
        <f ca="1">IF($J1310="Continues",DATEDIF($B1310,TODAY(),"Y"),INDEX('Lopettaneet 2013-&gt;'!$L:$L,MATCH($D1310,'Lopettaneet 2013-&gt;'!$D:$D,0)))</f>
        <v>1</v>
      </c>
      <c r="L1310">
        <v>1045</v>
      </c>
    </row>
    <row r="1311" spans="1:12" x14ac:dyDescent="0.25">
      <c r="A1311" t="s">
        <v>7</v>
      </c>
      <c r="B1311" s="1">
        <v>45078</v>
      </c>
      <c r="C1311" s="1">
        <v>55153</v>
      </c>
      <c r="D1311" s="4" t="s">
        <v>3228</v>
      </c>
      <c r="E1311" t="s">
        <v>10</v>
      </c>
      <c r="F1311" t="s">
        <v>11</v>
      </c>
      <c r="G1311" t="s">
        <v>2912</v>
      </c>
      <c r="H1311" t="s">
        <v>2777</v>
      </c>
      <c r="I1311" t="s">
        <v>2894</v>
      </c>
      <c r="J1311" t="str">
        <f>IF(ISNUMBER(MATCH($D1311,'Lopettaneet 2013-&gt;'!$D:$D,0)),INDEX('Lopettaneet 2013-&gt;'!$K:$K,MATCH($D1311,'Lopettaneet 2013-&gt;'!$D:$D,0)),"Continues")</f>
        <v>Continues</v>
      </c>
      <c r="K1311">
        <f ca="1">IF($J1311="Continues",DATEDIF($B1311,TODAY(),"Y"),INDEX('Lopettaneet 2013-&gt;'!$L:$L,MATCH($D1311,'Lopettaneet 2013-&gt;'!$D:$D,0)))</f>
        <v>1</v>
      </c>
      <c r="L1311">
        <v>1046</v>
      </c>
    </row>
    <row r="1312" spans="1:12" x14ac:dyDescent="0.25">
      <c r="A1312" t="s">
        <v>7</v>
      </c>
      <c r="B1312" s="1">
        <v>45078</v>
      </c>
      <c r="C1312" s="1">
        <v>55153</v>
      </c>
      <c r="D1312" s="4" t="s">
        <v>3229</v>
      </c>
      <c r="E1312" t="s">
        <v>10</v>
      </c>
      <c r="F1312" t="s">
        <v>11</v>
      </c>
      <c r="G1312" t="s">
        <v>2912</v>
      </c>
      <c r="H1312" t="s">
        <v>2777</v>
      </c>
      <c r="I1312" t="s">
        <v>2894</v>
      </c>
      <c r="J1312" t="str">
        <f>IF(ISNUMBER(MATCH($D1312,'Lopettaneet 2013-&gt;'!$D:$D,0)),INDEX('Lopettaneet 2013-&gt;'!$K:$K,MATCH($D1312,'Lopettaneet 2013-&gt;'!$D:$D,0)),"Continues")</f>
        <v>Continues</v>
      </c>
      <c r="K1312">
        <f ca="1">IF($J1312="Continues",DATEDIF($B1312,TODAY(),"Y"),INDEX('Lopettaneet 2013-&gt;'!$L:$L,MATCH($D1312,'Lopettaneet 2013-&gt;'!$D:$D,0)))</f>
        <v>1</v>
      </c>
      <c r="L1312">
        <v>1047</v>
      </c>
    </row>
    <row r="1313" spans="1:12" x14ac:dyDescent="0.25">
      <c r="A1313" t="s">
        <v>7</v>
      </c>
      <c r="B1313" s="1">
        <v>45078</v>
      </c>
      <c r="C1313" s="1">
        <v>55153</v>
      </c>
      <c r="D1313" s="4" t="s">
        <v>3230</v>
      </c>
      <c r="E1313" t="s">
        <v>10</v>
      </c>
      <c r="F1313" t="s">
        <v>11</v>
      </c>
      <c r="G1313" t="s">
        <v>2912</v>
      </c>
      <c r="H1313" t="s">
        <v>2777</v>
      </c>
      <c r="I1313" t="s">
        <v>2894</v>
      </c>
      <c r="J1313" t="str">
        <f>IF(ISNUMBER(MATCH($D1313,'Lopettaneet 2013-&gt;'!$D:$D,0)),INDEX('Lopettaneet 2013-&gt;'!$K:$K,MATCH($D1313,'Lopettaneet 2013-&gt;'!$D:$D,0)),"Continues")</f>
        <v>Continues</v>
      </c>
      <c r="K1313">
        <f ca="1">IF($J1313="Continues",DATEDIF($B1313,TODAY(),"Y"),INDEX('Lopettaneet 2013-&gt;'!$L:$L,MATCH($D1313,'Lopettaneet 2013-&gt;'!$D:$D,0)))</f>
        <v>1</v>
      </c>
      <c r="L1313">
        <v>1048</v>
      </c>
    </row>
    <row r="1314" spans="1:12" x14ac:dyDescent="0.25">
      <c r="A1314" t="s">
        <v>7</v>
      </c>
      <c r="B1314" s="1">
        <v>45078</v>
      </c>
      <c r="C1314" s="1">
        <v>55153</v>
      </c>
      <c r="D1314" s="4" t="s">
        <v>145</v>
      </c>
      <c r="E1314" t="s">
        <v>10</v>
      </c>
      <c r="F1314" t="s">
        <v>11</v>
      </c>
      <c r="G1314" t="s">
        <v>2912</v>
      </c>
      <c r="H1314" t="s">
        <v>2946</v>
      </c>
      <c r="I1314" t="s">
        <v>2894</v>
      </c>
      <c r="J1314" t="str">
        <f>IF(ISNUMBER(MATCH($D1314,'Lopettaneet 2013-&gt;'!$D:$D,0)),INDEX('Lopettaneet 2013-&gt;'!$K:$K,MATCH($D1314,'Lopettaneet 2013-&gt;'!$D:$D,0)),"Continues")</f>
        <v>Continues</v>
      </c>
      <c r="K1314">
        <f ca="1">IF($J1314="Continues",DATEDIF($B1314,TODAY(),"Y"),INDEX('Lopettaneet 2013-&gt;'!$L:$L,MATCH($D1314,'Lopettaneet 2013-&gt;'!$D:$D,0)))</f>
        <v>1</v>
      </c>
      <c r="L1314">
        <v>1049</v>
      </c>
    </row>
    <row r="1315" spans="1:12" x14ac:dyDescent="0.25">
      <c r="A1315" t="s">
        <v>0</v>
      </c>
      <c r="B1315" s="1">
        <v>45047</v>
      </c>
      <c r="C1315" s="1">
        <v>55153</v>
      </c>
      <c r="D1315" s="4" t="s">
        <v>147</v>
      </c>
      <c r="E1315" t="s">
        <v>10</v>
      </c>
      <c r="F1315" t="s">
        <v>11</v>
      </c>
      <c r="G1315" t="s">
        <v>2913</v>
      </c>
      <c r="H1315" t="s">
        <v>2953</v>
      </c>
      <c r="I1315" t="s">
        <v>2895</v>
      </c>
      <c r="J1315" t="str">
        <f>IF(ISNUMBER(MATCH($D1315,'Lopettaneet 2013-&gt;'!$D:$D,0)),INDEX('Lopettaneet 2013-&gt;'!$K:$K,MATCH($D1315,'Lopettaneet 2013-&gt;'!$D:$D,0)),"Continues")</f>
        <v>Continues</v>
      </c>
      <c r="K1315">
        <f ca="1">IF($J1315="Continues",DATEDIF($B1315,TODAY(),"Y"),INDEX('Lopettaneet 2013-&gt;'!$L:$L,MATCH($D1315,'Lopettaneet 2013-&gt;'!$D:$D,0)))</f>
        <v>2</v>
      </c>
      <c r="L1315">
        <v>1050</v>
      </c>
    </row>
    <row r="1316" spans="1:12" x14ac:dyDescent="0.25">
      <c r="A1316" t="s">
        <v>7</v>
      </c>
      <c r="B1316" s="1">
        <v>44986</v>
      </c>
      <c r="C1316" s="1">
        <v>55153</v>
      </c>
      <c r="D1316" s="4" t="s">
        <v>149</v>
      </c>
      <c r="E1316" t="s">
        <v>10</v>
      </c>
      <c r="F1316" t="s">
        <v>11</v>
      </c>
      <c r="G1316" t="s">
        <v>2916</v>
      </c>
      <c r="H1316" t="s">
        <v>2886</v>
      </c>
      <c r="I1316" t="s">
        <v>2895</v>
      </c>
      <c r="J1316" t="str">
        <f>IF(ISNUMBER(MATCH($D1316,'Lopettaneet 2013-&gt;'!$D:$D,0)),INDEX('Lopettaneet 2013-&gt;'!$K:$K,MATCH($D1316,'Lopettaneet 2013-&gt;'!$D:$D,0)),"Continues")</f>
        <v>Continues</v>
      </c>
      <c r="K1316">
        <f ca="1">IF($J1316="Continues",DATEDIF($B1316,TODAY(),"Y"),INDEX('Lopettaneet 2013-&gt;'!$L:$L,MATCH($D1316,'Lopettaneet 2013-&gt;'!$D:$D,0)))</f>
        <v>2</v>
      </c>
      <c r="L1316">
        <v>1051</v>
      </c>
    </row>
    <row r="1317" spans="1:12" x14ac:dyDescent="0.25">
      <c r="A1317" t="s">
        <v>7</v>
      </c>
      <c r="B1317" s="1">
        <v>45170</v>
      </c>
      <c r="C1317" s="1">
        <v>55153</v>
      </c>
      <c r="D1317" s="4" t="s">
        <v>151</v>
      </c>
      <c r="E1317" t="s">
        <v>10</v>
      </c>
      <c r="F1317" t="s">
        <v>11</v>
      </c>
      <c r="G1317" t="s">
        <v>2918</v>
      </c>
      <c r="H1317" t="s">
        <v>2948</v>
      </c>
      <c r="I1317" t="s">
        <v>2895</v>
      </c>
      <c r="J1317" t="str">
        <f>IF(ISNUMBER(MATCH($D1317,'Lopettaneet 2013-&gt;'!$D:$D,0)),INDEX('Lopettaneet 2013-&gt;'!$K:$K,MATCH($D1317,'Lopettaneet 2013-&gt;'!$D:$D,0)),"Continues")</f>
        <v>Continues</v>
      </c>
      <c r="K1317">
        <f ca="1">IF($J1317="Continues",DATEDIF($B1317,TODAY(),"Y"),INDEX('Lopettaneet 2013-&gt;'!$L:$L,MATCH($D1317,'Lopettaneet 2013-&gt;'!$D:$D,0)))</f>
        <v>1</v>
      </c>
      <c r="L1317">
        <v>1052</v>
      </c>
    </row>
    <row r="1318" spans="1:12" x14ac:dyDescent="0.25">
      <c r="A1318" t="s">
        <v>7</v>
      </c>
      <c r="B1318" s="1">
        <v>45078</v>
      </c>
      <c r="C1318" s="1">
        <v>55153</v>
      </c>
      <c r="D1318" s="4" t="s">
        <v>3231</v>
      </c>
      <c r="E1318" t="s">
        <v>10</v>
      </c>
      <c r="F1318" t="s">
        <v>11</v>
      </c>
      <c r="G1318" t="s">
        <v>2912</v>
      </c>
      <c r="H1318" t="s">
        <v>2777</v>
      </c>
      <c r="I1318" t="s">
        <v>2894</v>
      </c>
      <c r="J1318" t="str">
        <f>IF(ISNUMBER(MATCH($D1318,'Lopettaneet 2013-&gt;'!$D:$D,0)),INDEX('Lopettaneet 2013-&gt;'!$K:$K,MATCH($D1318,'Lopettaneet 2013-&gt;'!$D:$D,0)),"Continues")</f>
        <v>Continues</v>
      </c>
      <c r="K1318">
        <f ca="1">IF($J1318="Continues",DATEDIF($B1318,TODAY(),"Y"),INDEX('Lopettaneet 2013-&gt;'!$L:$L,MATCH($D1318,'Lopettaneet 2013-&gt;'!$D:$D,0)))</f>
        <v>1</v>
      </c>
      <c r="L1318">
        <v>1053</v>
      </c>
    </row>
    <row r="1319" spans="1:12" x14ac:dyDescent="0.25">
      <c r="A1319" t="s">
        <v>7</v>
      </c>
      <c r="B1319" s="1">
        <v>45078</v>
      </c>
      <c r="C1319" s="1">
        <v>55153</v>
      </c>
      <c r="D1319" s="4" t="s">
        <v>155</v>
      </c>
      <c r="E1319" t="s">
        <v>10</v>
      </c>
      <c r="F1319" t="s">
        <v>11</v>
      </c>
      <c r="G1319" t="s">
        <v>2916</v>
      </c>
      <c r="H1319" t="s">
        <v>3017</v>
      </c>
      <c r="I1319" t="s">
        <v>2895</v>
      </c>
      <c r="J1319" t="str">
        <f>IF(ISNUMBER(MATCH($D1319,'Lopettaneet 2013-&gt;'!$D:$D,0)),INDEX('Lopettaneet 2013-&gt;'!$K:$K,MATCH($D1319,'Lopettaneet 2013-&gt;'!$D:$D,0)),"Continues")</f>
        <v>Continues</v>
      </c>
      <c r="K1319">
        <f ca="1">IF($J1319="Continues",DATEDIF($B1319,TODAY(),"Y"),INDEX('Lopettaneet 2013-&gt;'!$L:$L,MATCH($D1319,'Lopettaneet 2013-&gt;'!$D:$D,0)))</f>
        <v>1</v>
      </c>
      <c r="L1319">
        <v>1054</v>
      </c>
    </row>
    <row r="1320" spans="1:12" x14ac:dyDescent="0.25">
      <c r="A1320" t="s">
        <v>7</v>
      </c>
      <c r="B1320" s="1">
        <v>45078</v>
      </c>
      <c r="C1320" s="1">
        <v>55153</v>
      </c>
      <c r="D1320" s="4" t="s">
        <v>157</v>
      </c>
      <c r="E1320" t="s">
        <v>10</v>
      </c>
      <c r="F1320" t="s">
        <v>11</v>
      </c>
      <c r="G1320" t="s">
        <v>2916</v>
      </c>
      <c r="H1320" t="s">
        <v>3002</v>
      </c>
      <c r="I1320" t="s">
        <v>2894</v>
      </c>
      <c r="J1320" t="str">
        <f>IF(ISNUMBER(MATCH($D1320,'Lopettaneet 2013-&gt;'!$D:$D,0)),INDEX('Lopettaneet 2013-&gt;'!$K:$K,MATCH($D1320,'Lopettaneet 2013-&gt;'!$D:$D,0)),"Continues")</f>
        <v>Continues</v>
      </c>
      <c r="K1320">
        <f ca="1">IF($J1320="Continues",DATEDIF($B1320,TODAY(),"Y"),INDEX('Lopettaneet 2013-&gt;'!$L:$L,MATCH($D1320,'Lopettaneet 2013-&gt;'!$D:$D,0)))</f>
        <v>1</v>
      </c>
      <c r="L1320">
        <v>1055</v>
      </c>
    </row>
    <row r="1321" spans="1:12" x14ac:dyDescent="0.25">
      <c r="A1321" t="s">
        <v>7</v>
      </c>
      <c r="B1321" s="1">
        <v>45261</v>
      </c>
      <c r="C1321" s="1">
        <v>55153</v>
      </c>
      <c r="D1321" s="4" t="s">
        <v>159</v>
      </c>
      <c r="E1321" t="s">
        <v>10</v>
      </c>
      <c r="F1321" t="s">
        <v>11</v>
      </c>
      <c r="G1321" t="s">
        <v>2916</v>
      </c>
      <c r="H1321" t="s">
        <v>2997</v>
      </c>
      <c r="I1321" t="s">
        <v>2895</v>
      </c>
      <c r="J1321" t="str">
        <f>IF(ISNUMBER(MATCH($D1321,'Lopettaneet 2013-&gt;'!$D:$D,0)),INDEX('Lopettaneet 2013-&gt;'!$K:$K,MATCH($D1321,'Lopettaneet 2013-&gt;'!$D:$D,0)),"Continues")</f>
        <v>Continues</v>
      </c>
      <c r="K1321">
        <f ca="1">IF($J1321="Continues",DATEDIF($B1321,TODAY(),"Y"),INDEX('Lopettaneet 2013-&gt;'!$L:$L,MATCH($D1321,'Lopettaneet 2013-&gt;'!$D:$D,0)))</f>
        <v>1</v>
      </c>
      <c r="L1321">
        <v>1056</v>
      </c>
    </row>
    <row r="1322" spans="1:12" x14ac:dyDescent="0.25">
      <c r="A1322" t="s">
        <v>7</v>
      </c>
      <c r="B1322" s="1">
        <v>45078</v>
      </c>
      <c r="C1322" s="1">
        <v>55153</v>
      </c>
      <c r="D1322" s="4" t="s">
        <v>161</v>
      </c>
      <c r="E1322" t="s">
        <v>10</v>
      </c>
      <c r="F1322" t="s">
        <v>11</v>
      </c>
      <c r="G1322" t="s">
        <v>2918</v>
      </c>
      <c r="H1322" t="s">
        <v>2946</v>
      </c>
      <c r="I1322" t="s">
        <v>2894</v>
      </c>
      <c r="J1322" t="str">
        <f>IF(ISNUMBER(MATCH($D1322,'Lopettaneet 2013-&gt;'!$D:$D,0)),INDEX('Lopettaneet 2013-&gt;'!$K:$K,MATCH($D1322,'Lopettaneet 2013-&gt;'!$D:$D,0)),"Continues")</f>
        <v>Continues</v>
      </c>
      <c r="K1322">
        <f ca="1">IF($J1322="Continues",DATEDIF($B1322,TODAY(),"Y"),INDEX('Lopettaneet 2013-&gt;'!$L:$L,MATCH($D1322,'Lopettaneet 2013-&gt;'!$D:$D,0)))</f>
        <v>1</v>
      </c>
      <c r="L1322">
        <v>1057</v>
      </c>
    </row>
    <row r="1323" spans="1:12" x14ac:dyDescent="0.25">
      <c r="A1323" t="s">
        <v>7</v>
      </c>
      <c r="B1323" s="1">
        <v>45078</v>
      </c>
      <c r="C1323" s="1">
        <v>55153</v>
      </c>
      <c r="D1323" s="4" t="s">
        <v>163</v>
      </c>
      <c r="E1323" t="s">
        <v>10</v>
      </c>
      <c r="F1323" t="s">
        <v>11</v>
      </c>
      <c r="G1323" t="s">
        <v>2916</v>
      </c>
      <c r="H1323" t="s">
        <v>2887</v>
      </c>
      <c r="I1323" t="s">
        <v>2895</v>
      </c>
      <c r="J1323" t="str">
        <f>IF(ISNUMBER(MATCH($D1323,'Lopettaneet 2013-&gt;'!$D:$D,0)),INDEX('Lopettaneet 2013-&gt;'!$K:$K,MATCH($D1323,'Lopettaneet 2013-&gt;'!$D:$D,0)),"Continues")</f>
        <v>Continues</v>
      </c>
      <c r="K1323">
        <f ca="1">IF($J1323="Continues",DATEDIF($B1323,TODAY(),"Y"),INDEX('Lopettaneet 2013-&gt;'!$L:$L,MATCH($D1323,'Lopettaneet 2013-&gt;'!$D:$D,0)))</f>
        <v>1</v>
      </c>
      <c r="L1323">
        <v>1058</v>
      </c>
    </row>
    <row r="1324" spans="1:12" x14ac:dyDescent="0.25">
      <c r="A1324" t="s">
        <v>7</v>
      </c>
      <c r="B1324" s="1">
        <v>45352</v>
      </c>
      <c r="C1324" s="1">
        <v>55153</v>
      </c>
      <c r="D1324" s="4" t="s">
        <v>215</v>
      </c>
      <c r="E1324" t="s">
        <v>10</v>
      </c>
      <c r="F1324" t="s">
        <v>11</v>
      </c>
      <c r="G1324" t="s">
        <v>2916</v>
      </c>
      <c r="H1324" t="s">
        <v>2888</v>
      </c>
      <c r="I1324" t="s">
        <v>2895</v>
      </c>
      <c r="J1324" t="str">
        <f>IF(ISNUMBER(MATCH($D1324,'Lopettaneet 2013-&gt;'!$D:$D,0)),INDEX('Lopettaneet 2013-&gt;'!$K:$K,MATCH($D1324,'Lopettaneet 2013-&gt;'!$D:$D,0)),"Continues")</f>
        <v>Continues</v>
      </c>
      <c r="K1324">
        <f ca="1">IF($J1324="Continues",DATEDIF($B1324,TODAY(),"Y"),INDEX('Lopettaneet 2013-&gt;'!$L:$L,MATCH($D1324,'Lopettaneet 2013-&gt;'!$D:$D,0)))</f>
        <v>1</v>
      </c>
      <c r="L1324">
        <v>1059</v>
      </c>
    </row>
    <row r="1325" spans="1:12" x14ac:dyDescent="0.25">
      <c r="A1325" t="s">
        <v>7</v>
      </c>
      <c r="B1325" s="1">
        <v>45261</v>
      </c>
      <c r="C1325" s="1">
        <v>55153</v>
      </c>
      <c r="D1325" s="4" t="s">
        <v>165</v>
      </c>
      <c r="E1325" t="s">
        <v>10</v>
      </c>
      <c r="F1325" t="s">
        <v>11</v>
      </c>
      <c r="G1325" t="s">
        <v>2916</v>
      </c>
      <c r="H1325" t="s">
        <v>2997</v>
      </c>
      <c r="I1325" t="s">
        <v>2894</v>
      </c>
      <c r="J1325" t="str">
        <f>IF(ISNUMBER(MATCH($D1325,'Lopettaneet 2013-&gt;'!$D:$D,0)),INDEX('Lopettaneet 2013-&gt;'!$K:$K,MATCH($D1325,'Lopettaneet 2013-&gt;'!$D:$D,0)),"Continues")</f>
        <v>Continues</v>
      </c>
      <c r="K1325">
        <f ca="1">IF($J1325="Continues",DATEDIF($B1325,TODAY(),"Y"),INDEX('Lopettaneet 2013-&gt;'!$L:$L,MATCH($D1325,'Lopettaneet 2013-&gt;'!$D:$D,0)))</f>
        <v>1</v>
      </c>
      <c r="L1325">
        <v>1060</v>
      </c>
    </row>
    <row r="1326" spans="1:12" x14ac:dyDescent="0.25">
      <c r="A1326" t="s">
        <v>0</v>
      </c>
      <c r="B1326" s="1">
        <v>45170</v>
      </c>
      <c r="C1326" s="1">
        <v>55153</v>
      </c>
      <c r="D1326" s="4" t="s">
        <v>167</v>
      </c>
      <c r="E1326" t="s">
        <v>10</v>
      </c>
      <c r="F1326" t="s">
        <v>11</v>
      </c>
      <c r="G1326" t="s">
        <v>2917</v>
      </c>
      <c r="H1326" t="s">
        <v>2950</v>
      </c>
      <c r="I1326" t="s">
        <v>2895</v>
      </c>
      <c r="J1326" t="str">
        <f>IF(ISNUMBER(MATCH($D1326,'Lopettaneet 2013-&gt;'!$D:$D,0)),INDEX('Lopettaneet 2013-&gt;'!$K:$K,MATCH($D1326,'Lopettaneet 2013-&gt;'!$D:$D,0)),"Continues")</f>
        <v>Continues</v>
      </c>
      <c r="K1326">
        <f ca="1">IF($J1326="Continues",DATEDIF($B1326,TODAY(),"Y"),INDEX('Lopettaneet 2013-&gt;'!$L:$L,MATCH($D1326,'Lopettaneet 2013-&gt;'!$D:$D,0)))</f>
        <v>1</v>
      </c>
      <c r="L1326">
        <v>1061</v>
      </c>
    </row>
    <row r="1327" spans="1:12" x14ac:dyDescent="0.25">
      <c r="A1327" t="s">
        <v>7</v>
      </c>
      <c r="B1327" s="1">
        <v>45170</v>
      </c>
      <c r="C1327" s="1">
        <v>55153</v>
      </c>
      <c r="D1327" s="4" t="s">
        <v>169</v>
      </c>
      <c r="E1327" t="s">
        <v>10</v>
      </c>
      <c r="F1327" t="s">
        <v>11</v>
      </c>
      <c r="G1327" t="s">
        <v>2918</v>
      </c>
      <c r="H1327" t="s">
        <v>2956</v>
      </c>
      <c r="I1327" t="s">
        <v>2895</v>
      </c>
      <c r="J1327" t="str">
        <f>IF(ISNUMBER(MATCH($D1327,'Lopettaneet 2013-&gt;'!$D:$D,0)),INDEX('Lopettaneet 2013-&gt;'!$K:$K,MATCH($D1327,'Lopettaneet 2013-&gt;'!$D:$D,0)),"Continues")</f>
        <v>Continues</v>
      </c>
      <c r="K1327">
        <f ca="1">IF($J1327="Continues",DATEDIF($B1327,TODAY(),"Y"),INDEX('Lopettaneet 2013-&gt;'!$L:$L,MATCH($D1327,'Lopettaneet 2013-&gt;'!$D:$D,0)))</f>
        <v>1</v>
      </c>
      <c r="L1327">
        <v>1062</v>
      </c>
    </row>
    <row r="1328" spans="1:12" x14ac:dyDescent="0.25">
      <c r="A1328" t="s">
        <v>7</v>
      </c>
      <c r="B1328" s="1">
        <v>45170</v>
      </c>
      <c r="C1328" s="1">
        <v>55153</v>
      </c>
      <c r="D1328" s="4" t="s">
        <v>171</v>
      </c>
      <c r="E1328" t="s">
        <v>10</v>
      </c>
      <c r="F1328" t="s">
        <v>11</v>
      </c>
      <c r="G1328" t="s">
        <v>2918</v>
      </c>
      <c r="H1328" t="s">
        <v>2946</v>
      </c>
      <c r="I1328" t="s">
        <v>2894</v>
      </c>
      <c r="J1328" t="str">
        <f>IF(ISNUMBER(MATCH($D1328,'Lopettaneet 2013-&gt;'!$D:$D,0)),INDEX('Lopettaneet 2013-&gt;'!$K:$K,MATCH($D1328,'Lopettaneet 2013-&gt;'!$D:$D,0)),"Continues")</f>
        <v>Continues</v>
      </c>
      <c r="K1328">
        <f ca="1">IF($J1328="Continues",DATEDIF($B1328,TODAY(),"Y"),INDEX('Lopettaneet 2013-&gt;'!$L:$L,MATCH($D1328,'Lopettaneet 2013-&gt;'!$D:$D,0)))</f>
        <v>1</v>
      </c>
      <c r="L1328">
        <v>1063</v>
      </c>
    </row>
    <row r="1329" spans="1:12" x14ac:dyDescent="0.25">
      <c r="A1329" t="s">
        <v>7</v>
      </c>
      <c r="B1329" s="1">
        <v>45170</v>
      </c>
      <c r="C1329" s="1">
        <v>55153</v>
      </c>
      <c r="D1329" s="4" t="s">
        <v>173</v>
      </c>
      <c r="E1329" t="s">
        <v>10</v>
      </c>
      <c r="F1329" t="s">
        <v>11</v>
      </c>
      <c r="G1329" t="s">
        <v>2918</v>
      </c>
      <c r="H1329" t="s">
        <v>2946</v>
      </c>
      <c r="I1329" t="s">
        <v>2894</v>
      </c>
      <c r="J1329" t="str">
        <f>IF(ISNUMBER(MATCH($D1329,'Lopettaneet 2013-&gt;'!$D:$D,0)),INDEX('Lopettaneet 2013-&gt;'!$K:$K,MATCH($D1329,'Lopettaneet 2013-&gt;'!$D:$D,0)),"Continues")</f>
        <v>Continues</v>
      </c>
      <c r="K1329">
        <f ca="1">IF($J1329="Continues",DATEDIF($B1329,TODAY(),"Y"),INDEX('Lopettaneet 2013-&gt;'!$L:$L,MATCH($D1329,'Lopettaneet 2013-&gt;'!$D:$D,0)))</f>
        <v>1</v>
      </c>
      <c r="L1329">
        <v>1064</v>
      </c>
    </row>
    <row r="1330" spans="1:12" x14ac:dyDescent="0.25">
      <c r="A1330" t="s">
        <v>0</v>
      </c>
      <c r="B1330" s="1">
        <v>45078</v>
      </c>
      <c r="C1330" s="1">
        <v>55153</v>
      </c>
      <c r="D1330" s="4" t="s">
        <v>175</v>
      </c>
      <c r="E1330" t="s">
        <v>3</v>
      </c>
      <c r="F1330" t="s">
        <v>4</v>
      </c>
      <c r="G1330" t="s">
        <v>2913</v>
      </c>
      <c r="H1330" t="s">
        <v>2979</v>
      </c>
      <c r="I1330" t="s">
        <v>2894</v>
      </c>
      <c r="J1330" t="str">
        <f>IF(ISNUMBER(MATCH($D1330,'Lopettaneet 2013-&gt;'!$D:$D,0)),INDEX('Lopettaneet 2013-&gt;'!$K:$K,MATCH($D1330,'Lopettaneet 2013-&gt;'!$D:$D,0)),"Continues")</f>
        <v>Continues</v>
      </c>
      <c r="K1330">
        <f ca="1">IF($J1330="Continues",DATEDIF($B1330,TODAY(),"Y"),INDEX('Lopettaneet 2013-&gt;'!$L:$L,MATCH($D1330,'Lopettaneet 2013-&gt;'!$D:$D,0)))</f>
        <v>1</v>
      </c>
      <c r="L1330">
        <v>1065</v>
      </c>
    </row>
    <row r="1331" spans="1:12" x14ac:dyDescent="0.25">
      <c r="A1331" t="s">
        <v>7</v>
      </c>
      <c r="B1331" s="1">
        <v>45352</v>
      </c>
      <c r="C1331" s="1">
        <v>55153</v>
      </c>
      <c r="D1331" s="4" t="s">
        <v>217</v>
      </c>
      <c r="E1331" t="s">
        <v>10</v>
      </c>
      <c r="F1331" t="s">
        <v>11</v>
      </c>
      <c r="G1331" t="s">
        <v>2916</v>
      </c>
      <c r="H1331" t="s">
        <v>3014</v>
      </c>
      <c r="I1331" t="s">
        <v>2895</v>
      </c>
      <c r="J1331" t="str">
        <f>IF(ISNUMBER(MATCH($D1331,'Lopettaneet 2013-&gt;'!$D:$D,0)),INDEX('Lopettaneet 2013-&gt;'!$K:$K,MATCH($D1331,'Lopettaneet 2013-&gt;'!$D:$D,0)),"Continues")</f>
        <v>Continues</v>
      </c>
      <c r="K1331">
        <f ca="1">IF($J1331="Continues",DATEDIF($B1331,TODAY(),"Y"),INDEX('Lopettaneet 2013-&gt;'!$L:$L,MATCH($D1331,'Lopettaneet 2013-&gt;'!$D:$D,0)))</f>
        <v>1</v>
      </c>
      <c r="L1331">
        <v>1066</v>
      </c>
    </row>
    <row r="1332" spans="1:12" x14ac:dyDescent="0.25">
      <c r="A1332" t="s">
        <v>0</v>
      </c>
      <c r="B1332" s="1">
        <v>45078</v>
      </c>
      <c r="C1332" s="1">
        <v>55153</v>
      </c>
      <c r="D1332" s="4" t="s">
        <v>3232</v>
      </c>
      <c r="E1332" t="s">
        <v>3</v>
      </c>
      <c r="F1332" t="s">
        <v>4</v>
      </c>
      <c r="G1332" t="s">
        <v>2917</v>
      </c>
      <c r="H1332" t="s">
        <v>2777</v>
      </c>
      <c r="I1332" t="s">
        <v>2894</v>
      </c>
      <c r="J1332" t="str">
        <f>IF(ISNUMBER(MATCH($D1332,'Lopettaneet 2013-&gt;'!$D:$D,0)),INDEX('Lopettaneet 2013-&gt;'!$K:$K,MATCH($D1332,'Lopettaneet 2013-&gt;'!$D:$D,0)),"Continues")</f>
        <v>Continues</v>
      </c>
      <c r="K1332">
        <f ca="1">IF($J1332="Continues",DATEDIF($B1332,TODAY(),"Y"),INDEX('Lopettaneet 2013-&gt;'!$L:$L,MATCH($D1332,'Lopettaneet 2013-&gt;'!$D:$D,0)))</f>
        <v>1</v>
      </c>
      <c r="L1332">
        <v>1067</v>
      </c>
    </row>
    <row r="1333" spans="1:12" x14ac:dyDescent="0.25">
      <c r="A1333" t="s">
        <v>0</v>
      </c>
      <c r="B1333" s="1">
        <v>45078</v>
      </c>
      <c r="C1333" s="1">
        <v>55153</v>
      </c>
      <c r="D1333" s="4" t="s">
        <v>3233</v>
      </c>
      <c r="E1333" t="s">
        <v>3</v>
      </c>
      <c r="F1333" t="s">
        <v>4</v>
      </c>
      <c r="G1333" t="s">
        <v>2917</v>
      </c>
      <c r="H1333" t="s">
        <v>2777</v>
      </c>
      <c r="I1333" t="s">
        <v>2894</v>
      </c>
      <c r="J1333" t="str">
        <f>IF(ISNUMBER(MATCH($D1333,'Lopettaneet 2013-&gt;'!$D:$D,0)),INDEX('Lopettaneet 2013-&gt;'!$K:$K,MATCH($D1333,'Lopettaneet 2013-&gt;'!$D:$D,0)),"Continues")</f>
        <v>Continues</v>
      </c>
      <c r="K1333">
        <f ca="1">IF($J1333="Continues",DATEDIF($B1333,TODAY(),"Y"),INDEX('Lopettaneet 2013-&gt;'!$L:$L,MATCH($D1333,'Lopettaneet 2013-&gt;'!$D:$D,0)))</f>
        <v>1</v>
      </c>
      <c r="L1333">
        <v>1068</v>
      </c>
    </row>
    <row r="1334" spans="1:12" x14ac:dyDescent="0.25">
      <c r="A1334" t="s">
        <v>0</v>
      </c>
      <c r="B1334" s="1">
        <v>45078</v>
      </c>
      <c r="C1334" s="1">
        <v>55153</v>
      </c>
      <c r="D1334" s="4" t="s">
        <v>3234</v>
      </c>
      <c r="E1334" t="s">
        <v>3</v>
      </c>
      <c r="F1334" t="s">
        <v>4</v>
      </c>
      <c r="G1334" t="s">
        <v>2917</v>
      </c>
      <c r="H1334" t="s">
        <v>2777</v>
      </c>
      <c r="I1334" t="s">
        <v>2894</v>
      </c>
      <c r="J1334" t="str">
        <f>IF(ISNUMBER(MATCH($D1334,'Lopettaneet 2013-&gt;'!$D:$D,0)),INDEX('Lopettaneet 2013-&gt;'!$K:$K,MATCH($D1334,'Lopettaneet 2013-&gt;'!$D:$D,0)),"Continues")</f>
        <v>Continues</v>
      </c>
      <c r="K1334">
        <f ca="1">IF($J1334="Continues",DATEDIF($B1334,TODAY(),"Y"),INDEX('Lopettaneet 2013-&gt;'!$L:$L,MATCH($D1334,'Lopettaneet 2013-&gt;'!$D:$D,0)))</f>
        <v>1</v>
      </c>
      <c r="L1334">
        <v>1069</v>
      </c>
    </row>
    <row r="1335" spans="1:12" x14ac:dyDescent="0.25">
      <c r="A1335" t="s">
        <v>0</v>
      </c>
      <c r="B1335" s="1">
        <v>45078</v>
      </c>
      <c r="C1335" s="1">
        <v>55153</v>
      </c>
      <c r="D1335" s="4" t="s">
        <v>3235</v>
      </c>
      <c r="E1335" t="s">
        <v>3</v>
      </c>
      <c r="F1335" t="s">
        <v>4</v>
      </c>
      <c r="G1335" t="s">
        <v>2917</v>
      </c>
      <c r="H1335" t="s">
        <v>2777</v>
      </c>
      <c r="I1335" t="s">
        <v>2894</v>
      </c>
      <c r="J1335" t="str">
        <f>IF(ISNUMBER(MATCH($D1335,'Lopettaneet 2013-&gt;'!$D:$D,0)),INDEX('Lopettaneet 2013-&gt;'!$K:$K,MATCH($D1335,'Lopettaneet 2013-&gt;'!$D:$D,0)),"Continues")</f>
        <v>Continues</v>
      </c>
      <c r="K1335">
        <f ca="1">IF($J1335="Continues",DATEDIF($B1335,TODAY(),"Y"),INDEX('Lopettaneet 2013-&gt;'!$L:$L,MATCH($D1335,'Lopettaneet 2013-&gt;'!$D:$D,0)))</f>
        <v>1</v>
      </c>
      <c r="L1335">
        <v>1070</v>
      </c>
    </row>
    <row r="1336" spans="1:12" x14ac:dyDescent="0.25">
      <c r="A1336" t="s">
        <v>0</v>
      </c>
      <c r="B1336" s="1">
        <v>45170</v>
      </c>
      <c r="C1336" s="1">
        <v>55153</v>
      </c>
      <c r="D1336" s="4" t="s">
        <v>185</v>
      </c>
      <c r="E1336" t="s">
        <v>3</v>
      </c>
      <c r="F1336" t="s">
        <v>4</v>
      </c>
      <c r="G1336" t="s">
        <v>2913</v>
      </c>
      <c r="H1336" t="s">
        <v>2960</v>
      </c>
      <c r="I1336" t="s">
        <v>2894</v>
      </c>
      <c r="J1336" t="str">
        <f>IF(ISNUMBER(MATCH($D1336,'Lopettaneet 2013-&gt;'!$D:$D,0)),INDEX('Lopettaneet 2013-&gt;'!$K:$K,MATCH($D1336,'Lopettaneet 2013-&gt;'!$D:$D,0)),"Continues")</f>
        <v>Continues</v>
      </c>
      <c r="K1336">
        <f ca="1">IF($J1336="Continues",DATEDIF($B1336,TODAY(),"Y"),INDEX('Lopettaneet 2013-&gt;'!$L:$L,MATCH($D1336,'Lopettaneet 2013-&gt;'!$D:$D,0)))</f>
        <v>1</v>
      </c>
      <c r="L1336">
        <v>1071</v>
      </c>
    </row>
    <row r="1337" spans="1:12" x14ac:dyDescent="0.25">
      <c r="A1337" t="s">
        <v>0</v>
      </c>
      <c r="B1337" s="1">
        <v>45108</v>
      </c>
      <c r="C1337" s="1">
        <v>55153</v>
      </c>
      <c r="D1337" s="4" t="s">
        <v>187</v>
      </c>
      <c r="E1337" t="s">
        <v>10</v>
      </c>
      <c r="F1337" t="s">
        <v>4</v>
      </c>
      <c r="G1337" t="s">
        <v>2914</v>
      </c>
      <c r="H1337" t="s">
        <v>2956</v>
      </c>
      <c r="I1337" t="s">
        <v>2895</v>
      </c>
      <c r="J1337" t="str">
        <f>IF(ISNUMBER(MATCH($D1337,'Lopettaneet 2013-&gt;'!$D:$D,0)),INDEX('Lopettaneet 2013-&gt;'!$K:$K,MATCH($D1337,'Lopettaneet 2013-&gt;'!$D:$D,0)),"Continues")</f>
        <v>Continues</v>
      </c>
      <c r="K1337">
        <f ca="1">IF($J1337="Continues",DATEDIF($B1337,TODAY(),"Y"),INDEX('Lopettaneet 2013-&gt;'!$L:$L,MATCH($D1337,'Lopettaneet 2013-&gt;'!$D:$D,0)))</f>
        <v>1</v>
      </c>
      <c r="L1337">
        <v>1072</v>
      </c>
    </row>
    <row r="1338" spans="1:12" x14ac:dyDescent="0.25">
      <c r="A1338" t="s">
        <v>7</v>
      </c>
      <c r="B1338" s="1">
        <v>45352</v>
      </c>
      <c r="C1338" s="1">
        <v>55153</v>
      </c>
      <c r="D1338" s="4" t="s">
        <v>219</v>
      </c>
      <c r="E1338" t="s">
        <v>10</v>
      </c>
      <c r="F1338" t="s">
        <v>11</v>
      </c>
      <c r="G1338" t="s">
        <v>2916</v>
      </c>
      <c r="H1338" t="s">
        <v>2766</v>
      </c>
      <c r="I1338" t="s">
        <v>2895</v>
      </c>
      <c r="J1338" t="str">
        <f>IF(ISNUMBER(MATCH($D1338,'Lopettaneet 2013-&gt;'!$D:$D,0)),INDEX('Lopettaneet 2013-&gt;'!$K:$K,MATCH($D1338,'Lopettaneet 2013-&gt;'!$D:$D,0)),"Continues")</f>
        <v>Continues</v>
      </c>
      <c r="K1338">
        <f ca="1">IF($J1338="Continues",DATEDIF($B1338,TODAY(),"Y"),INDEX('Lopettaneet 2013-&gt;'!$L:$L,MATCH($D1338,'Lopettaneet 2013-&gt;'!$D:$D,0)))</f>
        <v>1</v>
      </c>
      <c r="L1338">
        <v>1073</v>
      </c>
    </row>
    <row r="1339" spans="1:12" x14ac:dyDescent="0.25">
      <c r="A1339" t="s">
        <v>0</v>
      </c>
      <c r="B1339" s="1">
        <v>45352</v>
      </c>
      <c r="C1339" s="1">
        <v>55153</v>
      </c>
      <c r="D1339" s="4" t="s">
        <v>221</v>
      </c>
      <c r="E1339" t="s">
        <v>10</v>
      </c>
      <c r="F1339" t="s">
        <v>11</v>
      </c>
      <c r="G1339" t="s">
        <v>2917</v>
      </c>
      <c r="H1339" t="s">
        <v>2766</v>
      </c>
      <c r="I1339" t="s">
        <v>2895</v>
      </c>
      <c r="J1339" t="str">
        <f>IF(ISNUMBER(MATCH($D1339,'Lopettaneet 2013-&gt;'!$D:$D,0)),INDEX('Lopettaneet 2013-&gt;'!$K:$K,MATCH($D1339,'Lopettaneet 2013-&gt;'!$D:$D,0)),"Continues")</f>
        <v>Continues</v>
      </c>
      <c r="K1339">
        <f ca="1">IF($J1339="Continues",DATEDIF($B1339,TODAY(),"Y"),INDEX('Lopettaneet 2013-&gt;'!$L:$L,MATCH($D1339,'Lopettaneet 2013-&gt;'!$D:$D,0)))</f>
        <v>1</v>
      </c>
      <c r="L1339">
        <v>1074</v>
      </c>
    </row>
    <row r="1340" spans="1:12" x14ac:dyDescent="0.25">
      <c r="A1340" t="s">
        <v>0</v>
      </c>
      <c r="B1340" s="1">
        <v>45170</v>
      </c>
      <c r="C1340" s="1">
        <v>55153</v>
      </c>
      <c r="D1340" s="4" t="s">
        <v>189</v>
      </c>
      <c r="E1340" t="s">
        <v>10</v>
      </c>
      <c r="F1340" t="s">
        <v>4</v>
      </c>
      <c r="G1340" t="s">
        <v>2918</v>
      </c>
      <c r="H1340" t="s">
        <v>2956</v>
      </c>
      <c r="I1340" t="s">
        <v>2894</v>
      </c>
      <c r="J1340" t="str">
        <f>IF(ISNUMBER(MATCH($D1340,'Lopettaneet 2013-&gt;'!$D:$D,0)),INDEX('Lopettaneet 2013-&gt;'!$K:$K,MATCH($D1340,'Lopettaneet 2013-&gt;'!$D:$D,0)),"Continues")</f>
        <v>Continues</v>
      </c>
      <c r="K1340">
        <f ca="1">IF($J1340="Continues",DATEDIF($B1340,TODAY(),"Y"),INDEX('Lopettaneet 2013-&gt;'!$L:$L,MATCH($D1340,'Lopettaneet 2013-&gt;'!$D:$D,0)))</f>
        <v>1</v>
      </c>
      <c r="L1340">
        <v>1075</v>
      </c>
    </row>
    <row r="1341" spans="1:12" x14ac:dyDescent="0.25">
      <c r="A1341" t="s">
        <v>7</v>
      </c>
      <c r="B1341" s="1">
        <v>45352</v>
      </c>
      <c r="C1341" s="1">
        <v>55153</v>
      </c>
      <c r="D1341" s="4" t="s">
        <v>223</v>
      </c>
      <c r="E1341" t="s">
        <v>10</v>
      </c>
      <c r="F1341" t="s">
        <v>11</v>
      </c>
      <c r="G1341" t="s">
        <v>2918</v>
      </c>
      <c r="H1341" t="s">
        <v>2946</v>
      </c>
      <c r="I1341" t="s">
        <v>2894</v>
      </c>
      <c r="J1341" t="str">
        <f>IF(ISNUMBER(MATCH($D1341,'Lopettaneet 2013-&gt;'!$D:$D,0)),INDEX('Lopettaneet 2013-&gt;'!$K:$K,MATCH($D1341,'Lopettaneet 2013-&gt;'!$D:$D,0)),"Continues")</f>
        <v>Continues</v>
      </c>
      <c r="K1341">
        <f ca="1">IF($J1341="Continues",DATEDIF($B1341,TODAY(),"Y"),INDEX('Lopettaneet 2013-&gt;'!$L:$L,MATCH($D1341,'Lopettaneet 2013-&gt;'!$D:$D,0)))</f>
        <v>1</v>
      </c>
      <c r="L1341">
        <v>1076</v>
      </c>
    </row>
    <row r="1342" spans="1:12" x14ac:dyDescent="0.25">
      <c r="A1342" t="s">
        <v>7</v>
      </c>
      <c r="B1342" s="1">
        <v>45352</v>
      </c>
      <c r="C1342" s="1">
        <v>55153</v>
      </c>
      <c r="D1342" s="4" t="s">
        <v>225</v>
      </c>
      <c r="E1342" t="s">
        <v>10</v>
      </c>
      <c r="F1342" t="s">
        <v>11</v>
      </c>
      <c r="G1342" t="s">
        <v>2918</v>
      </c>
      <c r="H1342" t="s">
        <v>2946</v>
      </c>
      <c r="I1342" t="s">
        <v>2894</v>
      </c>
      <c r="J1342" t="str">
        <f>IF(ISNUMBER(MATCH($D1342,'Lopettaneet 2013-&gt;'!$D:$D,0)),INDEX('Lopettaneet 2013-&gt;'!$K:$K,MATCH($D1342,'Lopettaneet 2013-&gt;'!$D:$D,0)),"Continues")</f>
        <v>Continues</v>
      </c>
      <c r="K1342">
        <f ca="1">IF($J1342="Continues",DATEDIF($B1342,TODAY(),"Y"),INDEX('Lopettaneet 2013-&gt;'!$L:$L,MATCH($D1342,'Lopettaneet 2013-&gt;'!$D:$D,0)))</f>
        <v>1</v>
      </c>
      <c r="L1342">
        <v>1077</v>
      </c>
    </row>
    <row r="1343" spans="1:12" x14ac:dyDescent="0.25">
      <c r="A1343" t="s">
        <v>0</v>
      </c>
      <c r="B1343" s="1">
        <v>45170</v>
      </c>
      <c r="C1343" s="1">
        <v>55153</v>
      </c>
      <c r="D1343" s="4" t="s">
        <v>191</v>
      </c>
      <c r="E1343" t="s">
        <v>3</v>
      </c>
      <c r="F1343" t="s">
        <v>4</v>
      </c>
      <c r="G1343" t="s">
        <v>2917</v>
      </c>
      <c r="H1343" t="s">
        <v>2952</v>
      </c>
      <c r="I1343" t="s">
        <v>2894</v>
      </c>
      <c r="J1343" t="str">
        <f>IF(ISNUMBER(MATCH($D1343,'Lopettaneet 2013-&gt;'!$D:$D,0)),INDEX('Lopettaneet 2013-&gt;'!$K:$K,MATCH($D1343,'Lopettaneet 2013-&gt;'!$D:$D,0)),"Continues")</f>
        <v>Continues</v>
      </c>
      <c r="K1343">
        <f ca="1">IF($J1343="Continues",DATEDIF($B1343,TODAY(),"Y"),INDEX('Lopettaneet 2013-&gt;'!$L:$L,MATCH($D1343,'Lopettaneet 2013-&gt;'!$D:$D,0)))</f>
        <v>1</v>
      </c>
      <c r="L1343">
        <v>1078</v>
      </c>
    </row>
    <row r="1344" spans="1:12" x14ac:dyDescent="0.25">
      <c r="A1344" t="s">
        <v>7</v>
      </c>
      <c r="B1344" s="1">
        <v>45170</v>
      </c>
      <c r="C1344" s="1">
        <v>55153</v>
      </c>
      <c r="D1344" s="4" t="s">
        <v>193</v>
      </c>
      <c r="E1344" t="s">
        <v>10</v>
      </c>
      <c r="F1344" t="s">
        <v>11</v>
      </c>
      <c r="G1344" t="s">
        <v>2918</v>
      </c>
      <c r="H1344" t="s">
        <v>2985</v>
      </c>
      <c r="I1344" t="s">
        <v>2895</v>
      </c>
      <c r="J1344" t="str">
        <f>IF(ISNUMBER(MATCH($D1344,'Lopettaneet 2013-&gt;'!$D:$D,0)),INDEX('Lopettaneet 2013-&gt;'!$K:$K,MATCH($D1344,'Lopettaneet 2013-&gt;'!$D:$D,0)),"Continues")</f>
        <v>Continues</v>
      </c>
      <c r="K1344">
        <f ca="1">IF($J1344="Continues",DATEDIF($B1344,TODAY(),"Y"),INDEX('Lopettaneet 2013-&gt;'!$L:$L,MATCH($D1344,'Lopettaneet 2013-&gt;'!$D:$D,0)))</f>
        <v>1</v>
      </c>
      <c r="L1344">
        <v>1079</v>
      </c>
    </row>
    <row r="1345" spans="1:12" x14ac:dyDescent="0.25">
      <c r="A1345" t="s">
        <v>7</v>
      </c>
      <c r="B1345" s="1">
        <v>45261</v>
      </c>
      <c r="C1345" s="1">
        <v>55153</v>
      </c>
      <c r="D1345" s="4" t="s">
        <v>195</v>
      </c>
      <c r="E1345" t="s">
        <v>10</v>
      </c>
      <c r="F1345" t="s">
        <v>11</v>
      </c>
      <c r="G1345" t="s">
        <v>2912</v>
      </c>
      <c r="H1345" t="s">
        <v>3019</v>
      </c>
      <c r="I1345" t="s">
        <v>2894</v>
      </c>
      <c r="J1345" t="str">
        <f>IF(ISNUMBER(MATCH($D1345,'Lopettaneet 2013-&gt;'!$D:$D,0)),INDEX('Lopettaneet 2013-&gt;'!$K:$K,MATCH($D1345,'Lopettaneet 2013-&gt;'!$D:$D,0)),"Continues")</f>
        <v>Continues</v>
      </c>
      <c r="K1345">
        <f ca="1">IF($J1345="Continues",DATEDIF($B1345,TODAY(),"Y"),INDEX('Lopettaneet 2013-&gt;'!$L:$L,MATCH($D1345,'Lopettaneet 2013-&gt;'!$D:$D,0)))</f>
        <v>1</v>
      </c>
      <c r="L1345">
        <v>1080</v>
      </c>
    </row>
    <row r="1346" spans="1:12" x14ac:dyDescent="0.25">
      <c r="A1346" t="s">
        <v>7</v>
      </c>
      <c r="B1346" s="1">
        <v>45352</v>
      </c>
      <c r="C1346" s="1">
        <v>55153</v>
      </c>
      <c r="D1346" s="4" t="s">
        <v>227</v>
      </c>
      <c r="E1346" t="s">
        <v>10</v>
      </c>
      <c r="F1346" t="s">
        <v>11</v>
      </c>
      <c r="G1346" t="s">
        <v>2916</v>
      </c>
      <c r="H1346" t="s">
        <v>3004</v>
      </c>
      <c r="I1346" t="s">
        <v>2895</v>
      </c>
      <c r="J1346" t="str">
        <f>IF(ISNUMBER(MATCH($D1346,'Lopettaneet 2013-&gt;'!$D:$D,0)),INDEX('Lopettaneet 2013-&gt;'!$K:$K,MATCH($D1346,'Lopettaneet 2013-&gt;'!$D:$D,0)),"Continues")</f>
        <v>Continues</v>
      </c>
      <c r="K1346">
        <f ca="1">IF($J1346="Continues",DATEDIF($B1346,TODAY(),"Y"),INDEX('Lopettaneet 2013-&gt;'!$L:$L,MATCH($D1346,'Lopettaneet 2013-&gt;'!$D:$D,0)))</f>
        <v>1</v>
      </c>
      <c r="L1346">
        <v>1081</v>
      </c>
    </row>
    <row r="1347" spans="1:12" x14ac:dyDescent="0.25">
      <c r="A1347" t="s">
        <v>7</v>
      </c>
      <c r="B1347" s="1">
        <v>45261</v>
      </c>
      <c r="C1347" s="1">
        <v>55153</v>
      </c>
      <c r="D1347" s="4" t="s">
        <v>197</v>
      </c>
      <c r="E1347" t="s">
        <v>10</v>
      </c>
      <c r="F1347" t="s">
        <v>11</v>
      </c>
      <c r="G1347" t="s">
        <v>2918</v>
      </c>
      <c r="H1347" t="s">
        <v>2999</v>
      </c>
      <c r="I1347" t="s">
        <v>2894</v>
      </c>
      <c r="J1347" t="str">
        <f>IF(ISNUMBER(MATCH($D1347,'Lopettaneet 2013-&gt;'!$D:$D,0)),INDEX('Lopettaneet 2013-&gt;'!$K:$K,MATCH($D1347,'Lopettaneet 2013-&gt;'!$D:$D,0)),"Continues")</f>
        <v>Continues</v>
      </c>
      <c r="K1347">
        <f ca="1">IF($J1347="Continues",DATEDIF($B1347,TODAY(),"Y"),INDEX('Lopettaneet 2013-&gt;'!$L:$L,MATCH($D1347,'Lopettaneet 2013-&gt;'!$D:$D,0)))</f>
        <v>1</v>
      </c>
      <c r="L1347">
        <v>1082</v>
      </c>
    </row>
    <row r="1348" spans="1:12" x14ac:dyDescent="0.25">
      <c r="A1348" t="s">
        <v>7</v>
      </c>
      <c r="B1348" s="1">
        <v>45261</v>
      </c>
      <c r="C1348" s="1">
        <v>55153</v>
      </c>
      <c r="D1348" s="4" t="s">
        <v>199</v>
      </c>
      <c r="E1348" t="s">
        <v>10</v>
      </c>
      <c r="F1348" t="s">
        <v>11</v>
      </c>
      <c r="G1348" t="s">
        <v>2918</v>
      </c>
      <c r="H1348" t="s">
        <v>2999</v>
      </c>
      <c r="I1348" t="s">
        <v>2894</v>
      </c>
      <c r="J1348" t="str">
        <f>IF(ISNUMBER(MATCH($D1348,'Lopettaneet 2013-&gt;'!$D:$D,0)),INDEX('Lopettaneet 2013-&gt;'!$K:$K,MATCH($D1348,'Lopettaneet 2013-&gt;'!$D:$D,0)),"Continues")</f>
        <v>Continues</v>
      </c>
      <c r="K1348">
        <f ca="1">IF($J1348="Continues",DATEDIF($B1348,TODAY(),"Y"),INDEX('Lopettaneet 2013-&gt;'!$L:$L,MATCH($D1348,'Lopettaneet 2013-&gt;'!$D:$D,0)))</f>
        <v>1</v>
      </c>
      <c r="L1348">
        <v>1083</v>
      </c>
    </row>
    <row r="1349" spans="1:12" x14ac:dyDescent="0.25">
      <c r="A1349" t="s">
        <v>7</v>
      </c>
      <c r="B1349" s="1">
        <v>45261</v>
      </c>
      <c r="C1349" s="1">
        <v>55153</v>
      </c>
      <c r="D1349" s="4" t="s">
        <v>201</v>
      </c>
      <c r="E1349" t="s">
        <v>10</v>
      </c>
      <c r="F1349" t="s">
        <v>11</v>
      </c>
      <c r="G1349" t="s">
        <v>2918</v>
      </c>
      <c r="H1349" t="s">
        <v>2999</v>
      </c>
      <c r="I1349" t="s">
        <v>2894</v>
      </c>
      <c r="J1349" t="str">
        <f>IF(ISNUMBER(MATCH($D1349,'Lopettaneet 2013-&gt;'!$D:$D,0)),INDEX('Lopettaneet 2013-&gt;'!$K:$K,MATCH($D1349,'Lopettaneet 2013-&gt;'!$D:$D,0)),"Continues")</f>
        <v>Continues</v>
      </c>
      <c r="K1349">
        <f ca="1">IF($J1349="Continues",DATEDIF($B1349,TODAY(),"Y"),INDEX('Lopettaneet 2013-&gt;'!$L:$L,MATCH($D1349,'Lopettaneet 2013-&gt;'!$D:$D,0)))</f>
        <v>1</v>
      </c>
      <c r="L1349">
        <v>1084</v>
      </c>
    </row>
    <row r="1350" spans="1:12" x14ac:dyDescent="0.25">
      <c r="A1350" t="s">
        <v>7</v>
      </c>
      <c r="B1350" s="1">
        <v>45352</v>
      </c>
      <c r="C1350" s="1">
        <v>55153</v>
      </c>
      <c r="D1350" s="4" t="s">
        <v>229</v>
      </c>
      <c r="E1350" t="s">
        <v>10</v>
      </c>
      <c r="F1350" t="s">
        <v>11</v>
      </c>
      <c r="G1350" t="s">
        <v>2912</v>
      </c>
      <c r="H1350" t="s">
        <v>2950</v>
      </c>
      <c r="I1350" t="s">
        <v>2909</v>
      </c>
      <c r="J1350" t="str">
        <f>IF(ISNUMBER(MATCH($D1350,'Lopettaneet 2013-&gt;'!$D:$D,0)),INDEX('Lopettaneet 2013-&gt;'!$K:$K,MATCH($D1350,'Lopettaneet 2013-&gt;'!$D:$D,0)),"Continues")</f>
        <v>Continues</v>
      </c>
      <c r="K1350">
        <f ca="1">IF($J1350="Continues",DATEDIF($B1350,TODAY(),"Y"),INDEX('Lopettaneet 2013-&gt;'!$L:$L,MATCH($D1350,'Lopettaneet 2013-&gt;'!$D:$D,0)))</f>
        <v>1</v>
      </c>
      <c r="L1350">
        <v>1085</v>
      </c>
    </row>
    <row r="1351" spans="1:12" x14ac:dyDescent="0.25">
      <c r="A1351" t="s">
        <v>0</v>
      </c>
      <c r="B1351" s="1">
        <v>45261</v>
      </c>
      <c r="C1351" s="1">
        <v>55153</v>
      </c>
      <c r="D1351" s="4" t="s">
        <v>203</v>
      </c>
      <c r="E1351" t="s">
        <v>10</v>
      </c>
      <c r="F1351" t="s">
        <v>4</v>
      </c>
      <c r="G1351" t="s">
        <v>2917</v>
      </c>
      <c r="H1351" t="s">
        <v>3008</v>
      </c>
      <c r="I1351" t="s">
        <v>2894</v>
      </c>
      <c r="J1351" t="str">
        <f>IF(ISNUMBER(MATCH($D1351,'Lopettaneet 2013-&gt;'!$D:$D,0)),INDEX('Lopettaneet 2013-&gt;'!$K:$K,MATCH($D1351,'Lopettaneet 2013-&gt;'!$D:$D,0)),"Continues")</f>
        <v>Continues</v>
      </c>
      <c r="K1351">
        <f ca="1">IF($J1351="Continues",DATEDIF($B1351,TODAY(),"Y"),INDEX('Lopettaneet 2013-&gt;'!$L:$L,MATCH($D1351,'Lopettaneet 2013-&gt;'!$D:$D,0)))</f>
        <v>1</v>
      </c>
      <c r="L1351">
        <v>1086</v>
      </c>
    </row>
    <row r="1352" spans="1:12" x14ac:dyDescent="0.25">
      <c r="A1352" t="s">
        <v>0</v>
      </c>
      <c r="B1352" s="1">
        <v>45261</v>
      </c>
      <c r="C1352" s="1">
        <v>55153</v>
      </c>
      <c r="D1352" s="4" t="s">
        <v>205</v>
      </c>
      <c r="E1352" t="s">
        <v>10</v>
      </c>
      <c r="F1352" t="s">
        <v>4</v>
      </c>
      <c r="G1352" t="s">
        <v>2917</v>
      </c>
      <c r="H1352" t="s">
        <v>2842</v>
      </c>
      <c r="I1352" t="s">
        <v>2894</v>
      </c>
      <c r="J1352" t="str">
        <f>IF(ISNUMBER(MATCH($D1352,'Lopettaneet 2013-&gt;'!$D:$D,0)),INDEX('Lopettaneet 2013-&gt;'!$K:$K,MATCH($D1352,'Lopettaneet 2013-&gt;'!$D:$D,0)),"Continues")</f>
        <v>Continues</v>
      </c>
      <c r="K1352">
        <f ca="1">IF($J1352="Continues",DATEDIF($B1352,TODAY(),"Y"),INDEX('Lopettaneet 2013-&gt;'!$L:$L,MATCH($D1352,'Lopettaneet 2013-&gt;'!$D:$D,0)))</f>
        <v>1</v>
      </c>
      <c r="L1352">
        <v>1087</v>
      </c>
    </row>
    <row r="1353" spans="1:12" x14ac:dyDescent="0.25">
      <c r="A1353" t="s">
        <v>0</v>
      </c>
      <c r="B1353" s="1">
        <v>45231</v>
      </c>
      <c r="C1353" s="1">
        <v>55153</v>
      </c>
      <c r="D1353" s="4" t="s">
        <v>207</v>
      </c>
      <c r="E1353" t="s">
        <v>3</v>
      </c>
      <c r="F1353" t="s">
        <v>4</v>
      </c>
      <c r="G1353" t="s">
        <v>2917</v>
      </c>
      <c r="H1353" t="s">
        <v>2953</v>
      </c>
      <c r="I1353" t="s">
        <v>2894</v>
      </c>
      <c r="J1353" t="str">
        <f>IF(ISNUMBER(MATCH($D1353,'Lopettaneet 2013-&gt;'!$D:$D,0)),INDEX('Lopettaneet 2013-&gt;'!$K:$K,MATCH($D1353,'Lopettaneet 2013-&gt;'!$D:$D,0)),"Continues")</f>
        <v>Continues</v>
      </c>
      <c r="K1353">
        <f ca="1">IF($J1353="Continues",DATEDIF($B1353,TODAY(),"Y"),INDEX('Lopettaneet 2013-&gt;'!$L:$L,MATCH($D1353,'Lopettaneet 2013-&gt;'!$D:$D,0)))</f>
        <v>1</v>
      </c>
      <c r="L1353">
        <v>1088</v>
      </c>
    </row>
    <row r="1354" spans="1:12" x14ac:dyDescent="0.25">
      <c r="A1354" t="s">
        <v>7</v>
      </c>
      <c r="B1354" s="1">
        <v>45261</v>
      </c>
      <c r="C1354" s="1">
        <v>55153</v>
      </c>
      <c r="D1354" s="4" t="s">
        <v>209</v>
      </c>
      <c r="E1354" t="s">
        <v>10</v>
      </c>
      <c r="F1354" t="s">
        <v>11</v>
      </c>
      <c r="G1354" t="s">
        <v>2916</v>
      </c>
      <c r="H1354" t="s">
        <v>3002</v>
      </c>
      <c r="I1354" t="s">
        <v>2895</v>
      </c>
      <c r="J1354" t="str">
        <f>IF(ISNUMBER(MATCH($D1354,'Lopettaneet 2013-&gt;'!$D:$D,0)),INDEX('Lopettaneet 2013-&gt;'!$K:$K,MATCH($D1354,'Lopettaneet 2013-&gt;'!$D:$D,0)),"Continues")</f>
        <v>Continues</v>
      </c>
      <c r="K1354">
        <f ca="1">IF($J1354="Continues",DATEDIF($B1354,TODAY(),"Y"),INDEX('Lopettaneet 2013-&gt;'!$L:$L,MATCH($D1354,'Lopettaneet 2013-&gt;'!$D:$D,0)))</f>
        <v>1</v>
      </c>
      <c r="L1354">
        <v>1089</v>
      </c>
    </row>
    <row r="1355" spans="1:12" x14ac:dyDescent="0.25">
      <c r="A1355" t="s">
        <v>0</v>
      </c>
      <c r="B1355" s="1">
        <v>45352</v>
      </c>
      <c r="C1355" s="1">
        <v>55153</v>
      </c>
      <c r="D1355" s="4" t="s">
        <v>231</v>
      </c>
      <c r="E1355" t="s">
        <v>3</v>
      </c>
      <c r="F1355" t="s">
        <v>4</v>
      </c>
      <c r="G1355" t="s">
        <v>2917</v>
      </c>
      <c r="H1355" t="s">
        <v>2946</v>
      </c>
      <c r="I1355" t="s">
        <v>2894</v>
      </c>
      <c r="J1355" t="str">
        <f>IF(ISNUMBER(MATCH($D1355,'Lopettaneet 2013-&gt;'!$D:$D,0)),INDEX('Lopettaneet 2013-&gt;'!$K:$K,MATCH($D1355,'Lopettaneet 2013-&gt;'!$D:$D,0)),"Continues")</f>
        <v>Continues</v>
      </c>
      <c r="K1355">
        <f ca="1">IF($J1355="Continues",DATEDIF($B1355,TODAY(),"Y"),INDEX('Lopettaneet 2013-&gt;'!$L:$L,MATCH($D1355,'Lopettaneet 2013-&gt;'!$D:$D,0)))</f>
        <v>1</v>
      </c>
      <c r="L1355">
        <v>1090</v>
      </c>
    </row>
    <row r="1356" spans="1:12" x14ac:dyDescent="0.25">
      <c r="A1356" t="s">
        <v>7</v>
      </c>
      <c r="B1356" s="1">
        <v>45352</v>
      </c>
      <c r="C1356" s="1">
        <v>55153</v>
      </c>
      <c r="D1356" s="4" t="s">
        <v>233</v>
      </c>
      <c r="E1356" t="s">
        <v>10</v>
      </c>
      <c r="F1356" t="s">
        <v>11</v>
      </c>
      <c r="G1356" t="s">
        <v>2916</v>
      </c>
      <c r="H1356" t="s">
        <v>2888</v>
      </c>
      <c r="I1356" t="s">
        <v>2895</v>
      </c>
      <c r="J1356" t="str">
        <f>IF(ISNUMBER(MATCH($D1356,'Lopettaneet 2013-&gt;'!$D:$D,0)),INDEX('Lopettaneet 2013-&gt;'!$K:$K,MATCH($D1356,'Lopettaneet 2013-&gt;'!$D:$D,0)),"Continues")</f>
        <v>Continues</v>
      </c>
      <c r="K1356">
        <f ca="1">IF($J1356="Continues",DATEDIF($B1356,TODAY(),"Y"),INDEX('Lopettaneet 2013-&gt;'!$L:$L,MATCH($D1356,'Lopettaneet 2013-&gt;'!$D:$D,0)))</f>
        <v>1</v>
      </c>
      <c r="L1356">
        <v>1091</v>
      </c>
    </row>
    <row r="1357" spans="1:12" x14ac:dyDescent="0.25">
      <c r="A1357" t="s">
        <v>7</v>
      </c>
      <c r="B1357" s="1">
        <v>45444</v>
      </c>
      <c r="C1357" s="1">
        <v>55153</v>
      </c>
      <c r="D1357" t="s">
        <v>3022</v>
      </c>
      <c r="E1357" t="s">
        <v>10</v>
      </c>
      <c r="F1357" t="s">
        <v>11</v>
      </c>
      <c r="G1357" t="s">
        <v>2916</v>
      </c>
      <c r="H1357" t="s">
        <v>3066</v>
      </c>
      <c r="I1357" t="s">
        <v>2909</v>
      </c>
      <c r="J1357" t="s">
        <v>3065</v>
      </c>
      <c r="K1357">
        <f ca="1">IF($J1357="Continues",DATEDIF($B1357,TODAY(),"Y"),INDEX('Lopettaneet 2013-&gt;'!$L:$L,MATCH($D1357,'Lopettaneet 2013-&gt;'!$D:$D,0)))</f>
        <v>0</v>
      </c>
      <c r="L1357">
        <v>1092</v>
      </c>
    </row>
    <row r="1358" spans="1:12" x14ac:dyDescent="0.25">
      <c r="A1358" t="s">
        <v>7</v>
      </c>
      <c r="B1358" s="1">
        <v>45444</v>
      </c>
      <c r="C1358" s="1">
        <v>55153</v>
      </c>
      <c r="D1358" t="s">
        <v>3024</v>
      </c>
      <c r="E1358" t="s">
        <v>10</v>
      </c>
      <c r="F1358" t="s">
        <v>11</v>
      </c>
      <c r="G1358" t="s">
        <v>2912</v>
      </c>
      <c r="H1358" t="s">
        <v>2855</v>
      </c>
      <c r="I1358" t="s">
        <v>2909</v>
      </c>
      <c r="J1358" t="s">
        <v>3065</v>
      </c>
      <c r="K1358">
        <f ca="1">IF($J1358="Continues",DATEDIF($B1358,TODAY(),"Y"),INDEX('Lopettaneet 2013-&gt;'!$L:$L,MATCH($D1358,'Lopettaneet 2013-&gt;'!$D:$D,0)))</f>
        <v>0</v>
      </c>
      <c r="L1358">
        <v>1093</v>
      </c>
    </row>
    <row r="1359" spans="1:12" x14ac:dyDescent="0.25">
      <c r="A1359" t="s">
        <v>7</v>
      </c>
      <c r="B1359" s="1">
        <v>45444</v>
      </c>
      <c r="C1359" s="1">
        <v>55153</v>
      </c>
      <c r="D1359" t="s">
        <v>3026</v>
      </c>
      <c r="E1359" t="s">
        <v>10</v>
      </c>
      <c r="F1359" t="s">
        <v>11</v>
      </c>
      <c r="G1359" t="s">
        <v>2916</v>
      </c>
      <c r="H1359" t="s">
        <v>2872</v>
      </c>
      <c r="I1359" t="s">
        <v>2909</v>
      </c>
      <c r="J1359" t="s">
        <v>3065</v>
      </c>
      <c r="K1359">
        <f ca="1">IF($J1359="Continues",DATEDIF($B1359,TODAY(),"Y"),INDEX('Lopettaneet 2013-&gt;'!$L:$L,MATCH($D1359,'Lopettaneet 2013-&gt;'!$D:$D,0)))</f>
        <v>0</v>
      </c>
      <c r="L1359">
        <v>1094</v>
      </c>
    </row>
    <row r="1360" spans="1:12" x14ac:dyDescent="0.25">
      <c r="A1360" t="s">
        <v>0</v>
      </c>
      <c r="B1360" s="1">
        <v>45444</v>
      </c>
      <c r="C1360" s="1">
        <v>55153</v>
      </c>
      <c r="D1360" t="s">
        <v>3028</v>
      </c>
      <c r="E1360" t="s">
        <v>10</v>
      </c>
      <c r="F1360" t="s">
        <v>4</v>
      </c>
      <c r="G1360" t="s">
        <v>2917</v>
      </c>
      <c r="H1360" t="s">
        <v>2950</v>
      </c>
      <c r="I1360" t="s">
        <v>2909</v>
      </c>
      <c r="J1360" t="s">
        <v>3065</v>
      </c>
      <c r="K1360">
        <f ca="1">IF($J1360="Continues",DATEDIF($B1360,TODAY(),"Y"),INDEX('Lopettaneet 2013-&gt;'!$L:$L,MATCH($D1360,'Lopettaneet 2013-&gt;'!$D:$D,0)))</f>
        <v>0</v>
      </c>
      <c r="L1360">
        <v>1095</v>
      </c>
    </row>
    <row r="1361" spans="1:12" x14ac:dyDescent="0.25">
      <c r="A1361" t="s">
        <v>0</v>
      </c>
      <c r="B1361" s="1">
        <v>45413</v>
      </c>
      <c r="C1361" s="1">
        <v>55153</v>
      </c>
      <c r="D1361" t="s">
        <v>3030</v>
      </c>
      <c r="E1361" t="s">
        <v>3</v>
      </c>
      <c r="F1361" t="s">
        <v>4</v>
      </c>
      <c r="G1361" t="s">
        <v>2917</v>
      </c>
      <c r="H1361" t="s">
        <v>2952</v>
      </c>
      <c r="I1361" t="s">
        <v>2909</v>
      </c>
      <c r="J1361" t="s">
        <v>3065</v>
      </c>
      <c r="K1361">
        <f ca="1">IF($J1361="Continues",DATEDIF($B1361,TODAY(),"Y"),INDEX('Lopettaneet 2013-&gt;'!$L:$L,MATCH($D1361,'Lopettaneet 2013-&gt;'!$D:$D,0)))</f>
        <v>1</v>
      </c>
      <c r="L1361">
        <v>1096</v>
      </c>
    </row>
    <row r="1362" spans="1:12" x14ac:dyDescent="0.25">
      <c r="A1362" t="s">
        <v>0</v>
      </c>
      <c r="B1362" s="1">
        <v>45413</v>
      </c>
      <c r="C1362" s="1">
        <v>55153</v>
      </c>
      <c r="D1362" t="s">
        <v>3032</v>
      </c>
      <c r="E1362" t="s">
        <v>3</v>
      </c>
      <c r="F1362" t="s">
        <v>4</v>
      </c>
      <c r="G1362" t="s">
        <v>2913</v>
      </c>
      <c r="H1362" t="s">
        <v>2952</v>
      </c>
      <c r="I1362" t="s">
        <v>2909</v>
      </c>
      <c r="J1362" t="s">
        <v>3065</v>
      </c>
      <c r="K1362">
        <f ca="1">IF($J1362="Continues",DATEDIF($B1362,TODAY(),"Y"),INDEX('Lopettaneet 2013-&gt;'!$L:$L,MATCH($D1362,'Lopettaneet 2013-&gt;'!$D:$D,0)))</f>
        <v>1</v>
      </c>
      <c r="L1362">
        <v>1097</v>
      </c>
    </row>
    <row r="1363" spans="1:12" x14ac:dyDescent="0.25">
      <c r="A1363" t="s">
        <v>0</v>
      </c>
      <c r="B1363" s="1">
        <v>45413</v>
      </c>
      <c r="C1363" s="1">
        <v>55153</v>
      </c>
      <c r="D1363" t="s">
        <v>3034</v>
      </c>
      <c r="E1363" t="s">
        <v>3</v>
      </c>
      <c r="F1363" t="s">
        <v>4</v>
      </c>
      <c r="G1363" t="s">
        <v>2913</v>
      </c>
      <c r="H1363" t="s">
        <v>2952</v>
      </c>
      <c r="I1363" t="s">
        <v>2909</v>
      </c>
      <c r="J1363" t="s">
        <v>3065</v>
      </c>
      <c r="K1363">
        <f ca="1">IF($J1363="Continues",DATEDIF($B1363,TODAY(),"Y"),INDEX('Lopettaneet 2013-&gt;'!$L:$L,MATCH($D1363,'Lopettaneet 2013-&gt;'!$D:$D,0)))</f>
        <v>1</v>
      </c>
      <c r="L1363">
        <v>1098</v>
      </c>
    </row>
    <row r="1364" spans="1:12" x14ac:dyDescent="0.25">
      <c r="A1364" t="s">
        <v>0</v>
      </c>
      <c r="B1364" s="1">
        <v>45413</v>
      </c>
      <c r="C1364" s="1">
        <v>55153</v>
      </c>
      <c r="D1364" t="s">
        <v>3036</v>
      </c>
      <c r="E1364" t="s">
        <v>3</v>
      </c>
      <c r="F1364" t="s">
        <v>4</v>
      </c>
      <c r="G1364" t="s">
        <v>2913</v>
      </c>
      <c r="H1364" t="s">
        <v>2952</v>
      </c>
      <c r="I1364" t="s">
        <v>2909</v>
      </c>
      <c r="J1364" t="s">
        <v>3065</v>
      </c>
      <c r="K1364">
        <f ca="1">IF($J1364="Continues",DATEDIF($B1364,TODAY(),"Y"),INDEX('Lopettaneet 2013-&gt;'!$L:$L,MATCH($D1364,'Lopettaneet 2013-&gt;'!$D:$D,0)))</f>
        <v>1</v>
      </c>
      <c r="L1364">
        <v>1099</v>
      </c>
    </row>
    <row r="1365" spans="1:12" x14ac:dyDescent="0.25">
      <c r="A1365" t="s">
        <v>0</v>
      </c>
      <c r="B1365" s="1">
        <v>45413</v>
      </c>
      <c r="C1365" s="1">
        <v>55153</v>
      </c>
      <c r="D1365" t="s">
        <v>3038</v>
      </c>
      <c r="E1365" t="s">
        <v>3</v>
      </c>
      <c r="F1365" t="s">
        <v>4</v>
      </c>
      <c r="G1365" t="s">
        <v>2913</v>
      </c>
      <c r="H1365" t="s">
        <v>2952</v>
      </c>
      <c r="I1365" t="s">
        <v>2909</v>
      </c>
      <c r="J1365" t="s">
        <v>3065</v>
      </c>
      <c r="K1365">
        <f ca="1">IF($J1365="Continues",DATEDIF($B1365,TODAY(),"Y"),INDEX('Lopettaneet 2013-&gt;'!$L:$L,MATCH($D1365,'Lopettaneet 2013-&gt;'!$D:$D,0)))</f>
        <v>1</v>
      </c>
      <c r="L1365">
        <v>1100</v>
      </c>
    </row>
    <row r="1366" spans="1:12" x14ac:dyDescent="0.25">
      <c r="A1366" t="s">
        <v>0</v>
      </c>
      <c r="B1366" s="1">
        <v>45444</v>
      </c>
      <c r="C1366" s="1">
        <v>55153</v>
      </c>
      <c r="D1366" t="s">
        <v>3040</v>
      </c>
      <c r="E1366" t="s">
        <v>10</v>
      </c>
      <c r="F1366" t="s">
        <v>4</v>
      </c>
      <c r="G1366" t="s">
        <v>2913</v>
      </c>
      <c r="H1366" t="s">
        <v>2953</v>
      </c>
      <c r="I1366" t="s">
        <v>2909</v>
      </c>
      <c r="J1366" t="s">
        <v>3065</v>
      </c>
      <c r="K1366">
        <f ca="1">IF($J1366="Continues",DATEDIF($B1366,TODAY(),"Y"),INDEX('Lopettaneet 2013-&gt;'!$L:$L,MATCH($D1366,'Lopettaneet 2013-&gt;'!$D:$D,0)))</f>
        <v>0</v>
      </c>
      <c r="L1366">
        <v>1101</v>
      </c>
    </row>
    <row r="1367" spans="1:12" x14ac:dyDescent="0.25">
      <c r="A1367" t="s">
        <v>7</v>
      </c>
      <c r="B1367" s="1">
        <v>45444</v>
      </c>
      <c r="C1367" s="1">
        <v>55153</v>
      </c>
      <c r="D1367" t="s">
        <v>3042</v>
      </c>
      <c r="E1367" t="s">
        <v>10</v>
      </c>
      <c r="F1367" t="s">
        <v>11</v>
      </c>
      <c r="G1367" t="s">
        <v>2914</v>
      </c>
      <c r="H1367" t="s">
        <v>2882</v>
      </c>
      <c r="I1367" t="s">
        <v>2909</v>
      </c>
      <c r="J1367" t="s">
        <v>3065</v>
      </c>
      <c r="K1367">
        <f ca="1">IF($J1367="Continues",DATEDIF($B1367,TODAY(),"Y"),INDEX('Lopettaneet 2013-&gt;'!$L:$L,MATCH($D1367,'Lopettaneet 2013-&gt;'!$D:$D,0)))</f>
        <v>0</v>
      </c>
      <c r="L1367">
        <v>1102</v>
      </c>
    </row>
    <row r="1368" spans="1:12" x14ac:dyDescent="0.25">
      <c r="A1368" t="s">
        <v>0</v>
      </c>
      <c r="B1368" s="1">
        <v>45413</v>
      </c>
      <c r="C1368" s="1">
        <v>55153</v>
      </c>
      <c r="D1368" t="s">
        <v>3044</v>
      </c>
      <c r="E1368" t="s">
        <v>10</v>
      </c>
      <c r="F1368" t="s">
        <v>4</v>
      </c>
      <c r="G1368" t="s">
        <v>2918</v>
      </c>
      <c r="H1368" t="s">
        <v>2975</v>
      </c>
      <c r="I1368" t="s">
        <v>2909</v>
      </c>
      <c r="J1368" t="s">
        <v>3065</v>
      </c>
      <c r="K1368">
        <f ca="1">IF($J1368="Continues",DATEDIF($B1368,TODAY(),"Y"),INDEX('Lopettaneet 2013-&gt;'!$L:$L,MATCH($D1368,'Lopettaneet 2013-&gt;'!$D:$D,0)))</f>
        <v>1</v>
      </c>
      <c r="L1368">
        <v>1103</v>
      </c>
    </row>
    <row r="1369" spans="1:12" x14ac:dyDescent="0.25">
      <c r="A1369" t="s">
        <v>0</v>
      </c>
      <c r="B1369" s="1">
        <v>45383</v>
      </c>
      <c r="C1369" s="1">
        <v>55153</v>
      </c>
      <c r="D1369" t="s">
        <v>3046</v>
      </c>
      <c r="E1369" t="s">
        <v>10</v>
      </c>
      <c r="F1369" t="s">
        <v>4</v>
      </c>
      <c r="G1369" t="s">
        <v>2917</v>
      </c>
      <c r="H1369" t="s">
        <v>3008</v>
      </c>
      <c r="I1369" t="s">
        <v>2909</v>
      </c>
      <c r="J1369" t="s">
        <v>3065</v>
      </c>
      <c r="K1369">
        <f ca="1">IF($J1369="Continues",DATEDIF($B1369,TODAY(),"Y"),INDEX('Lopettaneet 2013-&gt;'!$L:$L,MATCH($D1369,'Lopettaneet 2013-&gt;'!$D:$D,0)))</f>
        <v>1</v>
      </c>
      <c r="L1369">
        <v>1104</v>
      </c>
    </row>
    <row r="1370" spans="1:12" x14ac:dyDescent="0.25">
      <c r="A1370" t="s">
        <v>0</v>
      </c>
      <c r="B1370" s="1">
        <v>45383</v>
      </c>
      <c r="C1370" s="1">
        <v>55153</v>
      </c>
      <c r="D1370" t="s">
        <v>3048</v>
      </c>
      <c r="E1370" t="s">
        <v>10</v>
      </c>
      <c r="F1370" t="s">
        <v>4</v>
      </c>
      <c r="G1370" t="s">
        <v>2913</v>
      </c>
      <c r="H1370" t="s">
        <v>2842</v>
      </c>
      <c r="I1370" t="s">
        <v>2909</v>
      </c>
      <c r="J1370" t="s">
        <v>3065</v>
      </c>
      <c r="K1370">
        <f ca="1">IF($J1370="Continues",DATEDIF($B1370,TODAY(),"Y"),INDEX('Lopettaneet 2013-&gt;'!$L:$L,MATCH($D1370,'Lopettaneet 2013-&gt;'!$D:$D,0)))</f>
        <v>1</v>
      </c>
      <c r="L1370">
        <v>1105</v>
      </c>
    </row>
    <row r="1371" spans="1:12" x14ac:dyDescent="0.25">
      <c r="A1371" t="s">
        <v>0</v>
      </c>
      <c r="B1371" s="1">
        <v>45413</v>
      </c>
      <c r="C1371" s="1">
        <v>55153</v>
      </c>
      <c r="D1371" t="s">
        <v>3050</v>
      </c>
      <c r="E1371" t="s">
        <v>3</v>
      </c>
      <c r="F1371" t="s">
        <v>4</v>
      </c>
      <c r="G1371" t="s">
        <v>2913</v>
      </c>
      <c r="H1371" t="s">
        <v>2953</v>
      </c>
      <c r="I1371" t="s">
        <v>2909</v>
      </c>
      <c r="J1371" t="s">
        <v>3065</v>
      </c>
      <c r="K1371">
        <f ca="1">IF($J1371="Continues",DATEDIF($B1371,TODAY(),"Y"),INDEX('Lopettaneet 2013-&gt;'!$L:$L,MATCH($D1371,'Lopettaneet 2013-&gt;'!$D:$D,0)))</f>
        <v>1</v>
      </c>
      <c r="L1371">
        <v>1106</v>
      </c>
    </row>
    <row r="1372" spans="1:12" x14ac:dyDescent="0.25">
      <c r="A1372" t="s">
        <v>0</v>
      </c>
      <c r="B1372" s="1">
        <v>39783</v>
      </c>
      <c r="C1372" s="1">
        <v>45443</v>
      </c>
      <c r="D1372" t="s">
        <v>3052</v>
      </c>
      <c r="E1372" t="s">
        <v>3</v>
      </c>
      <c r="F1372" t="s">
        <v>4</v>
      </c>
      <c r="G1372" t="s">
        <v>2917</v>
      </c>
      <c r="H1372" t="s">
        <v>3067</v>
      </c>
      <c r="I1372" t="str">
        <f>IFERROR(INDEX([2]Sheet1!$B:$B,MATCH($D1372,[2]Sheet1!$A:$A,0)),"Not found")</f>
        <v>Retail</v>
      </c>
      <c r="J1372" t="s">
        <v>2911</v>
      </c>
      <c r="K1372">
        <f t="shared" ref="K1372:K1384" ca="1" si="0">IF($I1372="Continues",DATEDIF($B1372,TODAY(),"Y"),DATEDIF($B1372,$C1372,"Y"))</f>
        <v>15</v>
      </c>
      <c r="L1372">
        <v>1107</v>
      </c>
    </row>
    <row r="1373" spans="1:12" x14ac:dyDescent="0.25">
      <c r="A1373" t="s">
        <v>0</v>
      </c>
      <c r="B1373" s="1">
        <v>39783</v>
      </c>
      <c r="C1373" s="1">
        <v>45443</v>
      </c>
      <c r="D1373" t="s">
        <v>3052</v>
      </c>
      <c r="E1373" t="s">
        <v>3</v>
      </c>
      <c r="F1373" t="s">
        <v>4</v>
      </c>
      <c r="G1373" t="s">
        <v>2917</v>
      </c>
      <c r="H1373" t="s">
        <v>3067</v>
      </c>
      <c r="I1373" t="str">
        <f>IFERROR(INDEX([2]Sheet1!$B:$B,MATCH($D1373,[2]Sheet1!$A:$A,0)),"Not found")</f>
        <v>Retail</v>
      </c>
      <c r="J1373" t="s">
        <v>2911</v>
      </c>
      <c r="K1373">
        <f t="shared" ca="1" si="0"/>
        <v>15</v>
      </c>
      <c r="L1373">
        <v>1108</v>
      </c>
    </row>
    <row r="1374" spans="1:12" x14ac:dyDescent="0.25">
      <c r="A1374" t="s">
        <v>0</v>
      </c>
      <c r="B1374" s="1">
        <v>39783</v>
      </c>
      <c r="C1374" s="1">
        <v>45443</v>
      </c>
      <c r="D1374" t="s">
        <v>3052</v>
      </c>
      <c r="E1374" t="s">
        <v>3</v>
      </c>
      <c r="F1374" t="s">
        <v>4</v>
      </c>
      <c r="G1374" t="s">
        <v>2917</v>
      </c>
      <c r="H1374" t="s">
        <v>3067</v>
      </c>
      <c r="I1374" t="str">
        <f>IFERROR(INDEX([2]Sheet1!$B:$B,MATCH($D1374,[2]Sheet1!$A:$A,0)),"Not found")</f>
        <v>Retail</v>
      </c>
      <c r="J1374" t="s">
        <v>2911</v>
      </c>
      <c r="K1374">
        <f t="shared" ca="1" si="0"/>
        <v>15</v>
      </c>
      <c r="L1374">
        <v>1109</v>
      </c>
    </row>
    <row r="1375" spans="1:12" x14ac:dyDescent="0.25">
      <c r="A1375" t="s">
        <v>0</v>
      </c>
      <c r="B1375" s="1">
        <v>39783</v>
      </c>
      <c r="C1375" s="1">
        <v>45473</v>
      </c>
      <c r="D1375" t="s">
        <v>3054</v>
      </c>
      <c r="E1375" t="s">
        <v>3</v>
      </c>
      <c r="F1375" t="s">
        <v>4</v>
      </c>
      <c r="G1375" t="s">
        <v>2917</v>
      </c>
      <c r="H1375" t="s">
        <v>2952</v>
      </c>
      <c r="I1375" t="str">
        <f>IFERROR(INDEX([2]Sheet1!$B:$B,MATCH($D1375,[2]Sheet1!$A:$A,0)),"Not found")</f>
        <v>Retail</v>
      </c>
      <c r="J1375" t="s">
        <v>2910</v>
      </c>
      <c r="K1375">
        <f t="shared" ca="1" si="0"/>
        <v>15</v>
      </c>
      <c r="L1375">
        <v>1110</v>
      </c>
    </row>
    <row r="1376" spans="1:12" x14ac:dyDescent="0.25">
      <c r="A1376" t="s">
        <v>0</v>
      </c>
      <c r="B1376" s="1">
        <v>40940</v>
      </c>
      <c r="C1376" s="1">
        <v>45443</v>
      </c>
      <c r="D1376" t="s">
        <v>3236</v>
      </c>
      <c r="E1376" t="s">
        <v>10</v>
      </c>
      <c r="F1376" t="s">
        <v>4</v>
      </c>
      <c r="G1376" t="s">
        <v>2913</v>
      </c>
      <c r="H1376" t="s">
        <v>2777</v>
      </c>
      <c r="I1376" t="str">
        <f>IFERROR(INDEX([2]Sheet1!$B:$B,MATCH($D1376,[2]Sheet1!$A:$A,0)),"Not found")</f>
        <v>Not found</v>
      </c>
      <c r="J1376" t="s">
        <v>2911</v>
      </c>
      <c r="K1376">
        <f t="shared" ca="1" si="0"/>
        <v>12</v>
      </c>
      <c r="L1376">
        <v>1111</v>
      </c>
    </row>
    <row r="1377" spans="1:12" x14ac:dyDescent="0.25">
      <c r="A1377" t="s">
        <v>0</v>
      </c>
      <c r="B1377" s="1">
        <v>40940</v>
      </c>
      <c r="C1377" s="1">
        <v>45443</v>
      </c>
      <c r="D1377" t="s">
        <v>3236</v>
      </c>
      <c r="E1377" t="s">
        <v>10</v>
      </c>
      <c r="F1377" t="s">
        <v>4</v>
      </c>
      <c r="G1377" t="s">
        <v>2913</v>
      </c>
      <c r="H1377" t="s">
        <v>2777</v>
      </c>
      <c r="I1377" t="str">
        <f>IFERROR(INDEX([2]Sheet1!$B:$B,MATCH($D1377,[2]Sheet1!$A:$A,0)),"Not found")</f>
        <v>Not found</v>
      </c>
      <c r="J1377" t="s">
        <v>2911</v>
      </c>
      <c r="K1377">
        <f t="shared" ca="1" si="0"/>
        <v>12</v>
      </c>
      <c r="L1377">
        <v>1112</v>
      </c>
    </row>
    <row r="1378" spans="1:12" x14ac:dyDescent="0.25">
      <c r="A1378" t="s">
        <v>0</v>
      </c>
      <c r="B1378" s="1">
        <v>41214</v>
      </c>
      <c r="C1378" s="1">
        <v>45443</v>
      </c>
      <c r="D1378" t="s">
        <v>3058</v>
      </c>
      <c r="E1378" t="s">
        <v>3</v>
      </c>
      <c r="F1378" t="s">
        <v>4</v>
      </c>
      <c r="G1378" t="s">
        <v>2913</v>
      </c>
      <c r="H1378" t="s">
        <v>2952</v>
      </c>
      <c r="I1378" t="str">
        <f>IFERROR(INDEX([2]Sheet1!$B:$B,MATCH($D1378,[2]Sheet1!$A:$A,0)),"Not found")</f>
        <v>Retail</v>
      </c>
      <c r="J1378" t="s">
        <v>2911</v>
      </c>
      <c r="K1378">
        <f t="shared" ca="1" si="0"/>
        <v>11</v>
      </c>
      <c r="L1378">
        <v>1113</v>
      </c>
    </row>
    <row r="1379" spans="1:12" x14ac:dyDescent="0.25">
      <c r="A1379" t="s">
        <v>0</v>
      </c>
      <c r="B1379" s="1">
        <v>41214</v>
      </c>
      <c r="C1379" s="1">
        <v>45443</v>
      </c>
      <c r="D1379" t="s">
        <v>3060</v>
      </c>
      <c r="E1379" t="s">
        <v>3</v>
      </c>
      <c r="F1379" t="s">
        <v>4</v>
      </c>
      <c r="G1379" t="s">
        <v>2913</v>
      </c>
      <c r="H1379" t="s">
        <v>2952</v>
      </c>
      <c r="I1379" t="str">
        <f>IFERROR(INDEX([2]Sheet1!$B:$B,MATCH($D1379,[2]Sheet1!$A:$A,0)),"Not found")</f>
        <v>Retail</v>
      </c>
      <c r="J1379" t="s">
        <v>2911</v>
      </c>
      <c r="K1379">
        <f t="shared" ca="1" si="0"/>
        <v>11</v>
      </c>
      <c r="L1379">
        <v>1114</v>
      </c>
    </row>
    <row r="1380" spans="1:12" x14ac:dyDescent="0.25">
      <c r="A1380" t="s">
        <v>0</v>
      </c>
      <c r="B1380" s="1">
        <v>41244</v>
      </c>
      <c r="C1380" s="1">
        <v>45412</v>
      </c>
      <c r="D1380" t="s">
        <v>3062</v>
      </c>
      <c r="E1380" t="s">
        <v>3</v>
      </c>
      <c r="F1380" t="s">
        <v>4</v>
      </c>
      <c r="G1380" t="s">
        <v>2913</v>
      </c>
      <c r="H1380" t="s">
        <v>2946</v>
      </c>
      <c r="I1380" t="str">
        <f>IFERROR(INDEX([2]Sheet1!$B:$B,MATCH($D1380,[2]Sheet1!$A:$A,0)),"Not found")</f>
        <v>Retail</v>
      </c>
      <c r="J1380" t="s">
        <v>2911</v>
      </c>
      <c r="K1380">
        <f t="shared" ca="1" si="0"/>
        <v>11</v>
      </c>
      <c r="L1380">
        <v>1115</v>
      </c>
    </row>
    <row r="1381" spans="1:12" x14ac:dyDescent="0.25">
      <c r="A1381" t="s">
        <v>0</v>
      </c>
      <c r="B1381" s="1">
        <v>42186</v>
      </c>
      <c r="C1381" s="1">
        <v>45443</v>
      </c>
      <c r="D1381" t="s">
        <v>3189</v>
      </c>
      <c r="E1381" t="s">
        <v>10</v>
      </c>
      <c r="F1381" t="s">
        <v>4</v>
      </c>
      <c r="G1381" t="s">
        <v>2917</v>
      </c>
      <c r="H1381" t="s">
        <v>2777</v>
      </c>
      <c r="I1381" t="str">
        <f>IFERROR(INDEX([2]Sheet1!$B:$B,MATCH($D1381,[2]Sheet1!$A:$A,0)),"Not found")</f>
        <v>Not found</v>
      </c>
      <c r="J1381" t="s">
        <v>2910</v>
      </c>
      <c r="K1381">
        <f t="shared" ca="1" si="0"/>
        <v>8</v>
      </c>
      <c r="L1381">
        <v>1116</v>
      </c>
    </row>
    <row r="1382" spans="1:12" x14ac:dyDescent="0.25">
      <c r="A1382" t="s">
        <v>7</v>
      </c>
      <c r="B1382" s="1">
        <v>42614</v>
      </c>
      <c r="C1382" s="1">
        <v>45473</v>
      </c>
      <c r="D1382" t="s">
        <v>1142</v>
      </c>
      <c r="E1382" t="s">
        <v>10</v>
      </c>
      <c r="F1382" t="s">
        <v>11</v>
      </c>
      <c r="G1382" t="s">
        <v>2918</v>
      </c>
      <c r="H1382" t="s">
        <v>3068</v>
      </c>
      <c r="I1382" t="str">
        <f>IFERROR(INDEX([2]Sheet1!$B:$B,MATCH($D1382,[2]Sheet1!$A:$A,0)),"Not found")</f>
        <v>Non-Retail</v>
      </c>
      <c r="J1382" t="s">
        <v>2910</v>
      </c>
      <c r="K1382">
        <f t="shared" ca="1" si="0"/>
        <v>7</v>
      </c>
      <c r="L1382">
        <v>1117</v>
      </c>
    </row>
    <row r="1383" spans="1:12" x14ac:dyDescent="0.25">
      <c r="A1383" t="s">
        <v>7</v>
      </c>
      <c r="B1383" s="1">
        <v>43800</v>
      </c>
      <c r="C1383" s="1">
        <v>45473</v>
      </c>
      <c r="D1383" t="s">
        <v>1776</v>
      </c>
      <c r="E1383" t="s">
        <v>10</v>
      </c>
      <c r="F1383" t="s">
        <v>11</v>
      </c>
      <c r="G1383" t="s">
        <v>2918</v>
      </c>
      <c r="H1383" t="s">
        <v>3068</v>
      </c>
      <c r="I1383" t="str">
        <f>IFERROR(INDEX([2]Sheet1!$B:$B,MATCH($D1383,[2]Sheet1!$A:$A,0)),"Not found")</f>
        <v>Non-Retail</v>
      </c>
      <c r="J1383" t="s">
        <v>2910</v>
      </c>
      <c r="K1383">
        <f t="shared" ca="1" si="0"/>
        <v>4</v>
      </c>
      <c r="L1383">
        <v>1118</v>
      </c>
    </row>
    <row r="1384" spans="1:12" x14ac:dyDescent="0.25">
      <c r="A1384" t="s">
        <v>0</v>
      </c>
      <c r="B1384" s="1">
        <v>44378</v>
      </c>
      <c r="C1384" s="1">
        <v>45412</v>
      </c>
      <c r="D1384" t="s">
        <v>2019</v>
      </c>
      <c r="E1384" t="s">
        <v>10</v>
      </c>
      <c r="F1384" t="s">
        <v>4</v>
      </c>
      <c r="G1384" t="s">
        <v>2917</v>
      </c>
      <c r="H1384" t="s">
        <v>2842</v>
      </c>
      <c r="I1384" t="str">
        <f>IFERROR(INDEX([2]Sheet1!$B:$B,MATCH($D1384,[2]Sheet1!$A:$A,0)),"Not found")</f>
        <v>Non-Retail</v>
      </c>
      <c r="J1384" t="s">
        <v>2910</v>
      </c>
      <c r="K1384">
        <f t="shared" ca="1" si="0"/>
        <v>2</v>
      </c>
      <c r="L1384">
        <v>1119</v>
      </c>
    </row>
    <row r="1385" spans="1:12" x14ac:dyDescent="0.25">
      <c r="A1385" t="s">
        <v>0</v>
      </c>
      <c r="B1385" s="1">
        <v>45505</v>
      </c>
      <c r="C1385" s="1">
        <v>55153</v>
      </c>
      <c r="D1385" t="s">
        <v>3107</v>
      </c>
      <c r="E1385" t="s">
        <v>10</v>
      </c>
      <c r="F1385" t="s">
        <v>4</v>
      </c>
      <c r="G1385" t="s">
        <v>2918</v>
      </c>
      <c r="H1385" t="s">
        <v>2766</v>
      </c>
      <c r="I1385" t="s">
        <v>2909</v>
      </c>
      <c r="J1385" t="str">
        <f>IF(ISNUMBER(MATCH($D1385,'Lopettaneet 2013-&gt;'!$D:$D,0)),INDEX('Lopettaneet 2013-&gt;'!$K:$K,MATCH($D1385,'Lopettaneet 2013-&gt;'!$D:$D,0)),"Continues")</f>
        <v>Continues</v>
      </c>
      <c r="K1385">
        <f ca="1">IF($J1385="Continues",DATEDIF($B1385,TODAY(),"Y"),INDEX('Lopettaneet 2013-&gt;'!$L:$L,MATCH($D1385,'Lopettaneet 2013-&gt;'!$D:$D,0)))</f>
        <v>0</v>
      </c>
      <c r="L1385">
        <v>1120</v>
      </c>
    </row>
    <row r="1386" spans="1:12" x14ac:dyDescent="0.25">
      <c r="A1386" t="s">
        <v>7</v>
      </c>
      <c r="B1386" s="1">
        <v>45536</v>
      </c>
      <c r="C1386" s="1">
        <v>55153</v>
      </c>
      <c r="D1386" t="s">
        <v>3069</v>
      </c>
      <c r="E1386" t="s">
        <v>10</v>
      </c>
      <c r="F1386" t="s">
        <v>11</v>
      </c>
      <c r="G1386" t="s">
        <v>2914</v>
      </c>
      <c r="H1386" t="s">
        <v>3132</v>
      </c>
      <c r="I1386" t="s">
        <v>2909</v>
      </c>
      <c r="J1386" t="str">
        <f>IF(ISNUMBER(MATCH($D1386,'Lopettaneet 2013-&gt;'!$D:$D,0)),INDEX('Lopettaneet 2013-&gt;'!$K:$K,MATCH($D1386,'Lopettaneet 2013-&gt;'!$D:$D,0)),"Continues")</f>
        <v>Continues</v>
      </c>
      <c r="K1386">
        <f ca="1">IF($J1386="Continues",DATEDIF($B1386,TODAY(),"Y"),INDEX('Lopettaneet 2013-&gt;'!$L:$L,MATCH($D1386,'Lopettaneet 2013-&gt;'!$D:$D,0)))</f>
        <v>0</v>
      </c>
      <c r="L1386">
        <v>1121</v>
      </c>
    </row>
    <row r="1387" spans="1:12" x14ac:dyDescent="0.25">
      <c r="A1387" t="s">
        <v>7</v>
      </c>
      <c r="B1387" s="1">
        <v>45536</v>
      </c>
      <c r="C1387" s="1">
        <v>55153</v>
      </c>
      <c r="D1387" t="s">
        <v>3071</v>
      </c>
      <c r="E1387" t="s">
        <v>10</v>
      </c>
      <c r="F1387" t="s">
        <v>11</v>
      </c>
      <c r="G1387" t="s">
        <v>2918</v>
      </c>
      <c r="H1387" t="s">
        <v>3133</v>
      </c>
      <c r="I1387" t="s">
        <v>2909</v>
      </c>
      <c r="J1387" t="str">
        <f>IF(ISNUMBER(MATCH($D1387,'Lopettaneet 2013-&gt;'!$D:$D,0)),INDEX('Lopettaneet 2013-&gt;'!$K:$K,MATCH($D1387,'Lopettaneet 2013-&gt;'!$D:$D,0)),"Continues")</f>
        <v>Continues</v>
      </c>
      <c r="K1387">
        <f ca="1">IF($J1387="Continues",DATEDIF($B1387,TODAY(),"Y"),INDEX('Lopettaneet 2013-&gt;'!$L:$L,MATCH($D1387,'Lopettaneet 2013-&gt;'!$D:$D,0)))</f>
        <v>0</v>
      </c>
      <c r="L1387">
        <v>1122</v>
      </c>
    </row>
    <row r="1388" spans="1:12" x14ac:dyDescent="0.25">
      <c r="A1388" t="s">
        <v>0</v>
      </c>
      <c r="B1388" s="1">
        <v>45536</v>
      </c>
      <c r="C1388" s="1">
        <v>55153</v>
      </c>
      <c r="D1388" t="s">
        <v>3073</v>
      </c>
      <c r="E1388" t="s">
        <v>3</v>
      </c>
      <c r="F1388" t="s">
        <v>4</v>
      </c>
      <c r="G1388" t="s">
        <v>2917</v>
      </c>
      <c r="H1388" t="s">
        <v>2952</v>
      </c>
      <c r="I1388" t="s">
        <v>2909</v>
      </c>
      <c r="J1388" t="str">
        <f>IF(ISNUMBER(MATCH($D1388,'Lopettaneet 2013-&gt;'!$D:$D,0)),INDEX('Lopettaneet 2013-&gt;'!$K:$K,MATCH($D1388,'Lopettaneet 2013-&gt;'!$D:$D,0)),"Continues")</f>
        <v>Continues</v>
      </c>
      <c r="K1388">
        <f ca="1">IF($J1388="Continues",DATEDIF($B1388,TODAY(),"Y"),INDEX('Lopettaneet 2013-&gt;'!$L:$L,MATCH($D1388,'Lopettaneet 2013-&gt;'!$D:$D,0)))</f>
        <v>0</v>
      </c>
      <c r="L1388">
        <v>1123</v>
      </c>
    </row>
    <row r="1389" spans="1:12" x14ac:dyDescent="0.25">
      <c r="A1389" t="s">
        <v>0</v>
      </c>
      <c r="B1389" s="1">
        <v>45536</v>
      </c>
      <c r="C1389" s="1">
        <v>55153</v>
      </c>
      <c r="D1389" t="s">
        <v>3075</v>
      </c>
      <c r="E1389" t="s">
        <v>3</v>
      </c>
      <c r="F1389" t="s">
        <v>4</v>
      </c>
      <c r="G1389" t="s">
        <v>2917</v>
      </c>
      <c r="H1389" t="s">
        <v>2952</v>
      </c>
      <c r="I1389" t="s">
        <v>2909</v>
      </c>
      <c r="J1389" t="str">
        <f>IF(ISNUMBER(MATCH($D1389,'Lopettaneet 2013-&gt;'!$D:$D,0)),INDEX('Lopettaneet 2013-&gt;'!$K:$K,MATCH($D1389,'Lopettaneet 2013-&gt;'!$D:$D,0)),"Continues")</f>
        <v>Continues</v>
      </c>
      <c r="K1389">
        <f ca="1">IF($J1389="Continues",DATEDIF($B1389,TODAY(),"Y"),INDEX('Lopettaneet 2013-&gt;'!$L:$L,MATCH($D1389,'Lopettaneet 2013-&gt;'!$D:$D,0)))</f>
        <v>0</v>
      </c>
      <c r="L1389">
        <v>1124</v>
      </c>
    </row>
    <row r="1390" spans="1:12" x14ac:dyDescent="0.25">
      <c r="A1390" t="s">
        <v>0</v>
      </c>
      <c r="B1390" s="1">
        <v>45536</v>
      </c>
      <c r="C1390" s="1">
        <v>55153</v>
      </c>
      <c r="D1390" t="s">
        <v>3077</v>
      </c>
      <c r="E1390" t="s">
        <v>3</v>
      </c>
      <c r="F1390" t="s">
        <v>4</v>
      </c>
      <c r="G1390" t="s">
        <v>2917</v>
      </c>
      <c r="H1390" t="s">
        <v>2952</v>
      </c>
      <c r="I1390" t="s">
        <v>2909</v>
      </c>
      <c r="J1390" t="str">
        <f>IF(ISNUMBER(MATCH($D1390,'Lopettaneet 2013-&gt;'!$D:$D,0)),INDEX('Lopettaneet 2013-&gt;'!$K:$K,MATCH($D1390,'Lopettaneet 2013-&gt;'!$D:$D,0)),"Continues")</f>
        <v>Continues</v>
      </c>
      <c r="K1390">
        <f ca="1">IF($J1390="Continues",DATEDIF($B1390,TODAY(),"Y"),INDEX('Lopettaneet 2013-&gt;'!$L:$L,MATCH($D1390,'Lopettaneet 2013-&gt;'!$D:$D,0)))</f>
        <v>0</v>
      </c>
      <c r="L1390">
        <v>1125</v>
      </c>
    </row>
    <row r="1391" spans="1:12" x14ac:dyDescent="0.25">
      <c r="A1391" t="s">
        <v>0</v>
      </c>
      <c r="B1391" s="1">
        <v>45536</v>
      </c>
      <c r="C1391" s="1">
        <v>55153</v>
      </c>
      <c r="D1391" t="s">
        <v>3079</v>
      </c>
      <c r="E1391" t="s">
        <v>3</v>
      </c>
      <c r="F1391" t="s">
        <v>4</v>
      </c>
      <c r="G1391" t="s">
        <v>2913</v>
      </c>
      <c r="H1391" t="s">
        <v>2952</v>
      </c>
      <c r="I1391" t="s">
        <v>2909</v>
      </c>
      <c r="J1391" t="str">
        <f>IF(ISNUMBER(MATCH($D1391,'Lopettaneet 2013-&gt;'!$D:$D,0)),INDEX('Lopettaneet 2013-&gt;'!$K:$K,MATCH($D1391,'Lopettaneet 2013-&gt;'!$D:$D,0)),"Continues")</f>
        <v>Continues</v>
      </c>
      <c r="K1391">
        <f ca="1">IF($J1391="Continues",DATEDIF($B1391,TODAY(),"Y"),INDEX('Lopettaneet 2013-&gt;'!$L:$L,MATCH($D1391,'Lopettaneet 2013-&gt;'!$D:$D,0)))</f>
        <v>0</v>
      </c>
      <c r="L1391">
        <v>1126</v>
      </c>
    </row>
    <row r="1392" spans="1:12" x14ac:dyDescent="0.25">
      <c r="A1392" t="s">
        <v>0</v>
      </c>
      <c r="B1392" s="1">
        <v>45536</v>
      </c>
      <c r="C1392" s="1">
        <v>55153</v>
      </c>
      <c r="D1392" t="s">
        <v>3081</v>
      </c>
      <c r="E1392" t="s">
        <v>3</v>
      </c>
      <c r="F1392" t="s">
        <v>4</v>
      </c>
      <c r="G1392" t="s">
        <v>2915</v>
      </c>
      <c r="H1392" t="s">
        <v>2952</v>
      </c>
      <c r="I1392" t="s">
        <v>2909</v>
      </c>
      <c r="J1392" t="str">
        <f>IF(ISNUMBER(MATCH($D1392,'Lopettaneet 2013-&gt;'!$D:$D,0)),INDEX('Lopettaneet 2013-&gt;'!$K:$K,MATCH($D1392,'Lopettaneet 2013-&gt;'!$D:$D,0)),"Continues")</f>
        <v>Continues</v>
      </c>
      <c r="K1392">
        <f ca="1">IF($J1392="Continues",DATEDIF($B1392,TODAY(),"Y"),INDEX('Lopettaneet 2013-&gt;'!$L:$L,MATCH($D1392,'Lopettaneet 2013-&gt;'!$D:$D,0)))</f>
        <v>0</v>
      </c>
      <c r="L1392">
        <v>1127</v>
      </c>
    </row>
    <row r="1393" spans="1:12" x14ac:dyDescent="0.25">
      <c r="A1393" t="s">
        <v>0</v>
      </c>
      <c r="B1393" s="1">
        <v>45536</v>
      </c>
      <c r="C1393" s="1">
        <v>55153</v>
      </c>
      <c r="D1393" t="s">
        <v>3083</v>
      </c>
      <c r="E1393" t="s">
        <v>3</v>
      </c>
      <c r="F1393" t="s">
        <v>4</v>
      </c>
      <c r="G1393" t="s">
        <v>2915</v>
      </c>
      <c r="H1393" t="s">
        <v>2952</v>
      </c>
      <c r="I1393" t="s">
        <v>2909</v>
      </c>
      <c r="J1393" t="str">
        <f>IF(ISNUMBER(MATCH($D1393,'Lopettaneet 2013-&gt;'!$D:$D,0)),INDEX('Lopettaneet 2013-&gt;'!$K:$K,MATCH($D1393,'Lopettaneet 2013-&gt;'!$D:$D,0)),"Continues")</f>
        <v>Continues</v>
      </c>
      <c r="K1393">
        <f ca="1">IF($J1393="Continues",DATEDIF($B1393,TODAY(),"Y"),INDEX('Lopettaneet 2013-&gt;'!$L:$L,MATCH($D1393,'Lopettaneet 2013-&gt;'!$D:$D,0)))</f>
        <v>0</v>
      </c>
      <c r="L1393">
        <v>1128</v>
      </c>
    </row>
    <row r="1394" spans="1:12" x14ac:dyDescent="0.25">
      <c r="A1394" t="s">
        <v>0</v>
      </c>
      <c r="B1394" s="1">
        <v>45536</v>
      </c>
      <c r="C1394" s="1">
        <v>55153</v>
      </c>
      <c r="D1394" t="s">
        <v>3085</v>
      </c>
      <c r="E1394" t="s">
        <v>3</v>
      </c>
      <c r="F1394" t="s">
        <v>4</v>
      </c>
      <c r="G1394" t="s">
        <v>2915</v>
      </c>
      <c r="H1394" t="s">
        <v>2952</v>
      </c>
      <c r="I1394" t="s">
        <v>2909</v>
      </c>
      <c r="J1394" t="str">
        <f>IF(ISNUMBER(MATCH($D1394,'Lopettaneet 2013-&gt;'!$D:$D,0)),INDEX('Lopettaneet 2013-&gt;'!$K:$K,MATCH($D1394,'Lopettaneet 2013-&gt;'!$D:$D,0)),"Continues")</f>
        <v>Continues</v>
      </c>
      <c r="K1394">
        <f ca="1">IF($J1394="Continues",DATEDIF($B1394,TODAY(),"Y"),INDEX('Lopettaneet 2013-&gt;'!$L:$L,MATCH($D1394,'Lopettaneet 2013-&gt;'!$D:$D,0)))</f>
        <v>0</v>
      </c>
      <c r="L1394">
        <v>1129</v>
      </c>
    </row>
    <row r="1395" spans="1:12" x14ac:dyDescent="0.25">
      <c r="A1395" t="s">
        <v>0</v>
      </c>
      <c r="B1395" s="1">
        <v>45536</v>
      </c>
      <c r="C1395" s="1">
        <v>55153</v>
      </c>
      <c r="D1395" t="s">
        <v>3087</v>
      </c>
      <c r="E1395" t="s">
        <v>3</v>
      </c>
      <c r="F1395" t="s">
        <v>4</v>
      </c>
      <c r="G1395" t="s">
        <v>2915</v>
      </c>
      <c r="H1395" t="s">
        <v>2952</v>
      </c>
      <c r="I1395" t="s">
        <v>2909</v>
      </c>
      <c r="J1395" t="str">
        <f>IF(ISNUMBER(MATCH($D1395,'Lopettaneet 2013-&gt;'!$D:$D,0)),INDEX('Lopettaneet 2013-&gt;'!$K:$K,MATCH($D1395,'Lopettaneet 2013-&gt;'!$D:$D,0)),"Continues")</f>
        <v>Continues</v>
      </c>
      <c r="K1395">
        <f ca="1">IF($J1395="Continues",DATEDIF($B1395,TODAY(),"Y"),INDEX('Lopettaneet 2013-&gt;'!$L:$L,MATCH($D1395,'Lopettaneet 2013-&gt;'!$D:$D,0)))</f>
        <v>0</v>
      </c>
      <c r="L1395">
        <v>1130</v>
      </c>
    </row>
    <row r="1396" spans="1:12" x14ac:dyDescent="0.25">
      <c r="A1396" t="s">
        <v>0</v>
      </c>
      <c r="B1396" s="1">
        <v>45536</v>
      </c>
      <c r="C1396" s="1">
        <v>55153</v>
      </c>
      <c r="D1396" t="s">
        <v>3089</v>
      </c>
      <c r="E1396" t="s">
        <v>3</v>
      </c>
      <c r="F1396" t="s">
        <v>4</v>
      </c>
      <c r="G1396" t="s">
        <v>2915</v>
      </c>
      <c r="H1396" t="s">
        <v>2952</v>
      </c>
      <c r="I1396" t="s">
        <v>2909</v>
      </c>
      <c r="J1396" t="str">
        <f>IF(ISNUMBER(MATCH($D1396,'Lopettaneet 2013-&gt;'!$D:$D,0)),INDEX('Lopettaneet 2013-&gt;'!$K:$K,MATCH($D1396,'Lopettaneet 2013-&gt;'!$D:$D,0)),"Continues")</f>
        <v>Continues</v>
      </c>
      <c r="K1396">
        <f ca="1">IF($J1396="Continues",DATEDIF($B1396,TODAY(),"Y"),INDEX('Lopettaneet 2013-&gt;'!$L:$L,MATCH($D1396,'Lopettaneet 2013-&gt;'!$D:$D,0)))</f>
        <v>0</v>
      </c>
      <c r="L1396">
        <v>1131</v>
      </c>
    </row>
    <row r="1397" spans="1:12" x14ac:dyDescent="0.25">
      <c r="A1397" t="s">
        <v>7</v>
      </c>
      <c r="B1397" s="1">
        <v>45536</v>
      </c>
      <c r="C1397" s="1">
        <v>55153</v>
      </c>
      <c r="D1397" t="s">
        <v>3091</v>
      </c>
      <c r="E1397" t="s">
        <v>10</v>
      </c>
      <c r="F1397" t="s">
        <v>11</v>
      </c>
      <c r="G1397" t="s">
        <v>2916</v>
      </c>
      <c r="H1397" t="s">
        <v>3011</v>
      </c>
      <c r="I1397" t="s">
        <v>2909</v>
      </c>
      <c r="J1397" t="str">
        <f>IF(ISNUMBER(MATCH($D1397,'Lopettaneet 2013-&gt;'!$D:$D,0)),INDEX('Lopettaneet 2013-&gt;'!$K:$K,MATCH($D1397,'Lopettaneet 2013-&gt;'!$D:$D,0)),"Continues")</f>
        <v>Continues</v>
      </c>
      <c r="K1397">
        <f ca="1">IF($J1397="Continues",DATEDIF($B1397,TODAY(),"Y"),INDEX('Lopettaneet 2013-&gt;'!$L:$L,MATCH($D1397,'Lopettaneet 2013-&gt;'!$D:$D,0)))</f>
        <v>0</v>
      </c>
      <c r="L1397">
        <v>1132</v>
      </c>
    </row>
    <row r="1398" spans="1:12" x14ac:dyDescent="0.25">
      <c r="A1398" t="s">
        <v>0</v>
      </c>
      <c r="B1398" s="1">
        <v>45536</v>
      </c>
      <c r="C1398" s="1">
        <v>55153</v>
      </c>
      <c r="D1398" t="s">
        <v>3093</v>
      </c>
      <c r="E1398" t="s">
        <v>3</v>
      </c>
      <c r="F1398" t="s">
        <v>4</v>
      </c>
      <c r="G1398" t="s">
        <v>2917</v>
      </c>
      <c r="H1398" t="s">
        <v>2952</v>
      </c>
      <c r="I1398" t="s">
        <v>2909</v>
      </c>
      <c r="J1398" t="str">
        <f>IF(ISNUMBER(MATCH($D1398,'Lopettaneet 2013-&gt;'!$D:$D,0)),INDEX('Lopettaneet 2013-&gt;'!$K:$K,MATCH($D1398,'Lopettaneet 2013-&gt;'!$D:$D,0)),"Continues")</f>
        <v>Continues</v>
      </c>
      <c r="K1398">
        <f ca="1">IF($J1398="Continues",DATEDIF($B1398,TODAY(),"Y"),INDEX('Lopettaneet 2013-&gt;'!$L:$L,MATCH($D1398,'Lopettaneet 2013-&gt;'!$D:$D,0)))</f>
        <v>0</v>
      </c>
      <c r="L1398">
        <v>1133</v>
      </c>
    </row>
    <row r="1399" spans="1:12" x14ac:dyDescent="0.25">
      <c r="A1399" t="s">
        <v>0</v>
      </c>
      <c r="B1399" s="1">
        <v>45536</v>
      </c>
      <c r="C1399" s="1">
        <v>55153</v>
      </c>
      <c r="D1399" t="s">
        <v>3095</v>
      </c>
      <c r="E1399" t="s">
        <v>3</v>
      </c>
      <c r="F1399" t="s">
        <v>4</v>
      </c>
      <c r="G1399" t="s">
        <v>2917</v>
      </c>
      <c r="H1399" t="s">
        <v>2952</v>
      </c>
      <c r="I1399" t="s">
        <v>2909</v>
      </c>
      <c r="J1399" t="str">
        <f>IF(ISNUMBER(MATCH($D1399,'Lopettaneet 2013-&gt;'!$D:$D,0)),INDEX('Lopettaneet 2013-&gt;'!$K:$K,MATCH($D1399,'Lopettaneet 2013-&gt;'!$D:$D,0)),"Continues")</f>
        <v>Continues</v>
      </c>
      <c r="K1399">
        <f ca="1">IF($J1399="Continues",DATEDIF($B1399,TODAY(),"Y"),INDEX('Lopettaneet 2013-&gt;'!$L:$L,MATCH($D1399,'Lopettaneet 2013-&gt;'!$D:$D,0)))</f>
        <v>0</v>
      </c>
      <c r="L1399">
        <v>1134</v>
      </c>
    </row>
    <row r="1400" spans="1:12" x14ac:dyDescent="0.25">
      <c r="A1400" t="s">
        <v>0</v>
      </c>
      <c r="B1400" s="1">
        <v>45536</v>
      </c>
      <c r="C1400" s="1">
        <v>55153</v>
      </c>
      <c r="D1400" t="s">
        <v>3097</v>
      </c>
      <c r="E1400" t="s">
        <v>3</v>
      </c>
      <c r="F1400" t="s">
        <v>4</v>
      </c>
      <c r="G1400" t="s">
        <v>2913</v>
      </c>
      <c r="H1400" t="s">
        <v>2952</v>
      </c>
      <c r="I1400" t="s">
        <v>2909</v>
      </c>
      <c r="J1400" t="str">
        <f>IF(ISNUMBER(MATCH($D1400,'Lopettaneet 2013-&gt;'!$D:$D,0)),INDEX('Lopettaneet 2013-&gt;'!$K:$K,MATCH($D1400,'Lopettaneet 2013-&gt;'!$D:$D,0)),"Continues")</f>
        <v>Continues</v>
      </c>
      <c r="K1400">
        <f ca="1">IF($J1400="Continues",DATEDIF($B1400,TODAY(),"Y"),INDEX('Lopettaneet 2013-&gt;'!$L:$L,MATCH($D1400,'Lopettaneet 2013-&gt;'!$D:$D,0)))</f>
        <v>0</v>
      </c>
      <c r="L1400">
        <v>1135</v>
      </c>
    </row>
    <row r="1401" spans="1:12" x14ac:dyDescent="0.25">
      <c r="A1401" t="s">
        <v>0</v>
      </c>
      <c r="B1401" s="1">
        <v>45536</v>
      </c>
      <c r="C1401" s="1">
        <v>55153</v>
      </c>
      <c r="D1401" t="s">
        <v>3099</v>
      </c>
      <c r="E1401" t="s">
        <v>3</v>
      </c>
      <c r="F1401" t="s">
        <v>4</v>
      </c>
      <c r="G1401" t="s">
        <v>2913</v>
      </c>
      <c r="H1401" t="s">
        <v>2952</v>
      </c>
      <c r="I1401" t="s">
        <v>2909</v>
      </c>
      <c r="J1401" t="str">
        <f>IF(ISNUMBER(MATCH($D1401,'Lopettaneet 2013-&gt;'!$D:$D,0)),INDEX('Lopettaneet 2013-&gt;'!$K:$K,MATCH($D1401,'Lopettaneet 2013-&gt;'!$D:$D,0)),"Continues")</f>
        <v>Continues</v>
      </c>
      <c r="K1401">
        <f ca="1">IF($J1401="Continues",DATEDIF($B1401,TODAY(),"Y"),INDEX('Lopettaneet 2013-&gt;'!$L:$L,MATCH($D1401,'Lopettaneet 2013-&gt;'!$D:$D,0)))</f>
        <v>0</v>
      </c>
      <c r="L1401">
        <v>1136</v>
      </c>
    </row>
    <row r="1402" spans="1:12" x14ac:dyDescent="0.25">
      <c r="A1402" t="s">
        <v>0</v>
      </c>
      <c r="B1402" s="1">
        <v>45536</v>
      </c>
      <c r="C1402" s="1">
        <v>55153</v>
      </c>
      <c r="D1402" t="s">
        <v>3101</v>
      </c>
      <c r="E1402" t="s">
        <v>3</v>
      </c>
      <c r="F1402" t="s">
        <v>4</v>
      </c>
      <c r="G1402" t="s">
        <v>2913</v>
      </c>
      <c r="H1402" t="s">
        <v>2952</v>
      </c>
      <c r="I1402" t="s">
        <v>2909</v>
      </c>
      <c r="J1402" t="str">
        <f>IF(ISNUMBER(MATCH($D1402,'Lopettaneet 2013-&gt;'!$D:$D,0)),INDEX('Lopettaneet 2013-&gt;'!$K:$K,MATCH($D1402,'Lopettaneet 2013-&gt;'!$D:$D,0)),"Continues")</f>
        <v>Continues</v>
      </c>
      <c r="K1402">
        <f ca="1">IF($J1402="Continues",DATEDIF($B1402,TODAY(),"Y"),INDEX('Lopettaneet 2013-&gt;'!$L:$L,MATCH($D1402,'Lopettaneet 2013-&gt;'!$D:$D,0)))</f>
        <v>0</v>
      </c>
      <c r="L1402">
        <v>1137</v>
      </c>
    </row>
    <row r="1403" spans="1:12" x14ac:dyDescent="0.25">
      <c r="A1403" t="s">
        <v>7</v>
      </c>
      <c r="B1403" s="1">
        <v>45536</v>
      </c>
      <c r="C1403" s="1">
        <v>55153</v>
      </c>
      <c r="D1403" t="s">
        <v>3103</v>
      </c>
      <c r="E1403" t="s">
        <v>10</v>
      </c>
      <c r="F1403" t="s">
        <v>11</v>
      </c>
      <c r="G1403" t="s">
        <v>2912</v>
      </c>
      <c r="H1403" t="s">
        <v>2966</v>
      </c>
      <c r="I1403" t="s">
        <v>2909</v>
      </c>
      <c r="J1403" t="str">
        <f>IF(ISNUMBER(MATCH($D1403,'Lopettaneet 2013-&gt;'!$D:$D,0)),INDEX('Lopettaneet 2013-&gt;'!$K:$K,MATCH($D1403,'Lopettaneet 2013-&gt;'!$D:$D,0)),"Continues")</f>
        <v>Continues</v>
      </c>
      <c r="K1403">
        <f ca="1">IF($J1403="Continues",DATEDIF($B1403,TODAY(),"Y"),INDEX('Lopettaneet 2013-&gt;'!$L:$L,MATCH($D1403,'Lopettaneet 2013-&gt;'!$D:$D,0)))</f>
        <v>0</v>
      </c>
      <c r="L1403">
        <v>1138</v>
      </c>
    </row>
    <row r="1404" spans="1:12" x14ac:dyDescent="0.25">
      <c r="A1404" t="s">
        <v>7</v>
      </c>
      <c r="B1404" s="1">
        <v>45536</v>
      </c>
      <c r="C1404" s="1">
        <v>55153</v>
      </c>
      <c r="D1404" t="s">
        <v>3105</v>
      </c>
      <c r="E1404" t="s">
        <v>10</v>
      </c>
      <c r="F1404" t="s">
        <v>11</v>
      </c>
      <c r="G1404" t="s">
        <v>2912</v>
      </c>
      <c r="H1404" t="s">
        <v>2966</v>
      </c>
      <c r="I1404" t="s">
        <v>2909</v>
      </c>
      <c r="J1404" t="str">
        <f>IF(ISNUMBER(MATCH($D1404,'Lopettaneet 2013-&gt;'!$D:$D,0)),INDEX('Lopettaneet 2013-&gt;'!$K:$K,MATCH($D1404,'Lopettaneet 2013-&gt;'!$D:$D,0)),"Continues")</f>
        <v>Continues</v>
      </c>
      <c r="K1404">
        <f ca="1">IF($J1404="Continues",DATEDIF($B1404,TODAY(),"Y"),INDEX('Lopettaneet 2013-&gt;'!$L:$L,MATCH($D1404,'Lopettaneet 2013-&gt;'!$D:$D,0)))</f>
        <v>0</v>
      </c>
      <c r="L1404">
        <v>1139</v>
      </c>
    </row>
    <row r="1405" spans="1:12" x14ac:dyDescent="0.25">
      <c r="A1405" t="s">
        <v>7</v>
      </c>
      <c r="B1405" s="1">
        <v>45536</v>
      </c>
      <c r="C1405" s="1">
        <v>55153</v>
      </c>
      <c r="D1405" t="s">
        <v>3109</v>
      </c>
      <c r="E1405" t="s">
        <v>10</v>
      </c>
      <c r="F1405" t="s">
        <v>11</v>
      </c>
      <c r="G1405" t="s">
        <v>2916</v>
      </c>
      <c r="H1405" t="s">
        <v>3134</v>
      </c>
      <c r="I1405" t="s">
        <v>2909</v>
      </c>
      <c r="J1405" t="str">
        <f>IF(ISNUMBER(MATCH($D1405,'Lopettaneet 2013-&gt;'!$D:$D,0)),INDEX('Lopettaneet 2013-&gt;'!$K:$K,MATCH($D1405,'Lopettaneet 2013-&gt;'!$D:$D,0)),"Continues")</f>
        <v>Continues</v>
      </c>
      <c r="K1405">
        <f ca="1">IF($J1405="Continues",DATEDIF($B1405,TODAY(),"Y"),INDEX('Lopettaneet 2013-&gt;'!$L:$L,MATCH($D1405,'Lopettaneet 2013-&gt;'!$D:$D,0)))</f>
        <v>0</v>
      </c>
      <c r="L1405">
        <v>1140</v>
      </c>
    </row>
    <row r="1406" spans="1:12" x14ac:dyDescent="0.25">
      <c r="A1406" t="s">
        <v>0</v>
      </c>
      <c r="B1406" s="1">
        <v>45536</v>
      </c>
      <c r="C1406" s="1">
        <v>55153</v>
      </c>
      <c r="D1406" t="s">
        <v>3111</v>
      </c>
      <c r="E1406" t="s">
        <v>10</v>
      </c>
      <c r="F1406" t="s">
        <v>4</v>
      </c>
      <c r="G1406" t="s">
        <v>2917</v>
      </c>
      <c r="H1406" t="s">
        <v>2842</v>
      </c>
      <c r="I1406" t="s">
        <v>2909</v>
      </c>
      <c r="J1406" t="str">
        <f>IF(ISNUMBER(MATCH($D1406,'Lopettaneet 2013-&gt;'!$D:$D,0)),INDEX('Lopettaneet 2013-&gt;'!$K:$K,MATCH($D1406,'Lopettaneet 2013-&gt;'!$D:$D,0)),"Continues")</f>
        <v>Continues</v>
      </c>
      <c r="K1406">
        <f ca="1">IF($J1406="Continues",DATEDIF($B1406,TODAY(),"Y"),INDEX('Lopettaneet 2013-&gt;'!$L:$L,MATCH($D1406,'Lopettaneet 2013-&gt;'!$D:$D,0)))</f>
        <v>0</v>
      </c>
      <c r="L1406">
        <v>1141</v>
      </c>
    </row>
    <row r="1407" spans="1:12" x14ac:dyDescent="0.25">
      <c r="A1407" t="s">
        <v>0</v>
      </c>
      <c r="B1407" s="1">
        <v>45536</v>
      </c>
      <c r="C1407" s="1">
        <v>55153</v>
      </c>
      <c r="D1407" t="s">
        <v>3113</v>
      </c>
      <c r="E1407" t="s">
        <v>10</v>
      </c>
      <c r="F1407" t="s">
        <v>4</v>
      </c>
      <c r="G1407" t="s">
        <v>2913</v>
      </c>
      <c r="H1407" t="s">
        <v>2842</v>
      </c>
      <c r="I1407" t="s">
        <v>2909</v>
      </c>
      <c r="J1407" t="str">
        <f>IF(ISNUMBER(MATCH($D1407,'Lopettaneet 2013-&gt;'!$D:$D,0)),INDEX('Lopettaneet 2013-&gt;'!$K:$K,MATCH($D1407,'Lopettaneet 2013-&gt;'!$D:$D,0)),"Continues")</f>
        <v>Continues</v>
      </c>
      <c r="K1407">
        <f ca="1">IF($J1407="Continues",DATEDIF($B1407,TODAY(),"Y"),INDEX('Lopettaneet 2013-&gt;'!$L:$L,MATCH($D1407,'Lopettaneet 2013-&gt;'!$D:$D,0)))</f>
        <v>0</v>
      </c>
      <c r="L1407">
        <v>1142</v>
      </c>
    </row>
    <row r="1408" spans="1:12" x14ac:dyDescent="0.25">
      <c r="A1408" t="s">
        <v>7</v>
      </c>
      <c r="B1408" s="1">
        <v>45536</v>
      </c>
      <c r="C1408" s="1">
        <v>55153</v>
      </c>
      <c r="D1408" t="s">
        <v>3115</v>
      </c>
      <c r="E1408" t="s">
        <v>10</v>
      </c>
      <c r="F1408" t="s">
        <v>11</v>
      </c>
      <c r="G1408" t="s">
        <v>2916</v>
      </c>
      <c r="H1408" t="s">
        <v>3011</v>
      </c>
      <c r="I1408" t="s">
        <v>2909</v>
      </c>
      <c r="J1408" t="str">
        <f>IF(ISNUMBER(MATCH($D1408,'Lopettaneet 2013-&gt;'!$D:$D,0)),INDEX('Lopettaneet 2013-&gt;'!$K:$K,MATCH($D1408,'Lopettaneet 2013-&gt;'!$D:$D,0)),"Continues")</f>
        <v>Continues</v>
      </c>
      <c r="K1408">
        <f ca="1">IF($J1408="Continues",DATEDIF($B1408,TODAY(),"Y"),INDEX('Lopettaneet 2013-&gt;'!$L:$L,MATCH($D1408,'Lopettaneet 2013-&gt;'!$D:$D,0)))</f>
        <v>0</v>
      </c>
      <c r="L1408">
        <v>1143</v>
      </c>
    </row>
    <row r="1409" spans="1:12" x14ac:dyDescent="0.25">
      <c r="A1409" t="s">
        <v>0</v>
      </c>
      <c r="B1409" s="1">
        <v>45536</v>
      </c>
      <c r="C1409" s="1">
        <v>55153</v>
      </c>
      <c r="D1409" t="s">
        <v>3117</v>
      </c>
      <c r="E1409" t="s">
        <v>10</v>
      </c>
      <c r="F1409" t="s">
        <v>11</v>
      </c>
      <c r="G1409" t="s">
        <v>2917</v>
      </c>
      <c r="H1409" t="s">
        <v>2946</v>
      </c>
      <c r="I1409" t="s">
        <v>2909</v>
      </c>
      <c r="J1409" t="str">
        <f>IF(ISNUMBER(MATCH($D1409,'Lopettaneet 2013-&gt;'!$D:$D,0)),INDEX('Lopettaneet 2013-&gt;'!$K:$K,MATCH($D1409,'Lopettaneet 2013-&gt;'!$D:$D,0)),"Continues")</f>
        <v>Continues</v>
      </c>
      <c r="K1409">
        <f ca="1">IF($J1409="Continues",DATEDIF($B1409,TODAY(),"Y"),INDEX('Lopettaneet 2013-&gt;'!$L:$L,MATCH($D1409,'Lopettaneet 2013-&gt;'!$D:$D,0)))</f>
        <v>0</v>
      </c>
      <c r="L1409">
        <v>1144</v>
      </c>
    </row>
    <row r="1410" spans="1:12" x14ac:dyDescent="0.25">
      <c r="A1410" t="s">
        <v>0</v>
      </c>
      <c r="B1410" s="1">
        <v>45536</v>
      </c>
      <c r="C1410" s="1">
        <v>55153</v>
      </c>
      <c r="D1410" t="s">
        <v>3119</v>
      </c>
      <c r="E1410" t="s">
        <v>10</v>
      </c>
      <c r="F1410" t="s">
        <v>11</v>
      </c>
      <c r="G1410" t="s">
        <v>2917</v>
      </c>
      <c r="H1410" t="s">
        <v>2946</v>
      </c>
      <c r="I1410" t="s">
        <v>2909</v>
      </c>
      <c r="J1410" t="str">
        <f>IF(ISNUMBER(MATCH($D1410,'Lopettaneet 2013-&gt;'!$D:$D,0)),INDEX('Lopettaneet 2013-&gt;'!$K:$K,MATCH($D1410,'Lopettaneet 2013-&gt;'!$D:$D,0)),"Continues")</f>
        <v>Continues</v>
      </c>
      <c r="K1410">
        <f ca="1">IF($J1410="Continues",DATEDIF($B1410,TODAY(),"Y"),INDEX('Lopettaneet 2013-&gt;'!$L:$L,MATCH($D1410,'Lopettaneet 2013-&gt;'!$D:$D,0)))</f>
        <v>0</v>
      </c>
      <c r="L1410">
        <v>1145</v>
      </c>
    </row>
    <row r="1411" spans="1:12" x14ac:dyDescent="0.25">
      <c r="A1411" t="s">
        <v>0</v>
      </c>
      <c r="B1411" s="1">
        <v>45536</v>
      </c>
      <c r="C1411" s="1">
        <v>55153</v>
      </c>
      <c r="D1411" t="s">
        <v>3121</v>
      </c>
      <c r="E1411" t="s">
        <v>10</v>
      </c>
      <c r="F1411" t="s">
        <v>4</v>
      </c>
      <c r="G1411" t="s">
        <v>2918</v>
      </c>
      <c r="H1411" t="s">
        <v>2979</v>
      </c>
      <c r="I1411" t="s">
        <v>2909</v>
      </c>
      <c r="J1411" t="str">
        <f>IF(ISNUMBER(MATCH($D1411,'Lopettaneet 2013-&gt;'!$D:$D,0)),INDEX('Lopettaneet 2013-&gt;'!$K:$K,MATCH($D1411,'Lopettaneet 2013-&gt;'!$D:$D,0)),"Continues")</f>
        <v>Continues</v>
      </c>
      <c r="K1411">
        <f ca="1">IF($J1411="Continues",DATEDIF($B1411,TODAY(),"Y"),INDEX('Lopettaneet 2013-&gt;'!$L:$L,MATCH($D1411,'Lopettaneet 2013-&gt;'!$D:$D,0)))</f>
        <v>0</v>
      </c>
      <c r="L1411">
        <v>1146</v>
      </c>
    </row>
    <row r="1412" spans="1:12" x14ac:dyDescent="0.25">
      <c r="A1412" t="s">
        <v>0</v>
      </c>
      <c r="B1412" s="1">
        <v>39783</v>
      </c>
      <c r="C1412" s="1">
        <v>45565</v>
      </c>
      <c r="D1412" t="s">
        <v>3123</v>
      </c>
      <c r="E1412" t="s">
        <v>3</v>
      </c>
      <c r="F1412" t="s">
        <v>4</v>
      </c>
      <c r="G1412" t="s">
        <v>2913</v>
      </c>
      <c r="H1412" t="s">
        <v>2953</v>
      </c>
      <c r="I1412" t="s">
        <v>2894</v>
      </c>
      <c r="J1412" t="str">
        <f>IF(ISNUMBER(MATCH($D1412,'Lopettaneet 2013-&gt;'!$D:$D,0)),INDEX('Lopettaneet 2013-&gt;'!$K:$K,MATCH($D1412,'Lopettaneet 2013-&gt;'!$D:$D,0)),"Continues")</f>
        <v>Merged</v>
      </c>
      <c r="K1412">
        <f ca="1">IF($H1412="Continues",DATEDIF($B1412,TODAY(),"Y"),INDEX('Lopettaneet 2013-&gt;'!$L:$L,MATCH($D1412,'Lopettaneet 2013-&gt;'!$D:$D,0)))</f>
        <v>15</v>
      </c>
      <c r="L1412">
        <v>1147</v>
      </c>
    </row>
    <row r="1413" spans="1:12" x14ac:dyDescent="0.25">
      <c r="A1413" t="s">
        <v>0</v>
      </c>
      <c r="B1413" s="1">
        <v>40179</v>
      </c>
      <c r="C1413" s="1">
        <v>45565</v>
      </c>
      <c r="D1413" t="s">
        <v>3125</v>
      </c>
      <c r="E1413" t="s">
        <v>10</v>
      </c>
      <c r="F1413" t="s">
        <v>4</v>
      </c>
      <c r="G1413" t="s">
        <v>2913</v>
      </c>
      <c r="H1413" t="s">
        <v>2953</v>
      </c>
      <c r="I1413" t="s">
        <v>2894</v>
      </c>
      <c r="J1413" t="str">
        <f>IF(ISNUMBER(MATCH($D1413,'Lopettaneet 2013-&gt;'!$D:$D,0)),INDEX('Lopettaneet 2013-&gt;'!$K:$K,MATCH($D1413,'Lopettaneet 2013-&gt;'!$D:$D,0)),"Continues")</f>
        <v>Merged</v>
      </c>
      <c r="K1413">
        <f ca="1">IF($H1413="Continues",DATEDIF($B1413,TODAY(),"Y"),INDEX('Lopettaneet 2013-&gt;'!$L:$L,MATCH($D1413,'Lopettaneet 2013-&gt;'!$D:$D,0)))</f>
        <v>14</v>
      </c>
      <c r="L1413">
        <v>1148</v>
      </c>
    </row>
    <row r="1414" spans="1:12" x14ac:dyDescent="0.25">
      <c r="A1414" t="s">
        <v>0</v>
      </c>
      <c r="B1414" s="1">
        <v>41000</v>
      </c>
      <c r="C1414" s="1">
        <v>45565</v>
      </c>
      <c r="D1414" t="s">
        <v>3127</v>
      </c>
      <c r="E1414" t="s">
        <v>3</v>
      </c>
      <c r="F1414" t="s">
        <v>4</v>
      </c>
      <c r="G1414" t="s">
        <v>2913</v>
      </c>
      <c r="H1414" t="s">
        <v>2953</v>
      </c>
      <c r="I1414" t="s">
        <v>2894</v>
      </c>
      <c r="J1414" t="str">
        <f>IF(ISNUMBER(MATCH($D1414,'Lopettaneet 2013-&gt;'!$D:$D,0)),INDEX('Lopettaneet 2013-&gt;'!$K:$K,MATCH($D1414,'Lopettaneet 2013-&gt;'!$D:$D,0)),"Continues")</f>
        <v>Merged</v>
      </c>
      <c r="K1414">
        <f ca="1">IF($H1414="Continues",DATEDIF($B1414,TODAY(),"Y"),INDEX('Lopettaneet 2013-&gt;'!$L:$L,MATCH($D1414,'Lopettaneet 2013-&gt;'!$D:$D,0)))</f>
        <v>12</v>
      </c>
      <c r="L1414">
        <v>1149</v>
      </c>
    </row>
    <row r="1415" spans="1:12" x14ac:dyDescent="0.25">
      <c r="A1415" t="s">
        <v>0</v>
      </c>
      <c r="B1415" s="1">
        <v>41214</v>
      </c>
      <c r="C1415" s="1">
        <v>45565</v>
      </c>
      <c r="D1415" t="s">
        <v>3129</v>
      </c>
      <c r="E1415" t="s">
        <v>3</v>
      </c>
      <c r="F1415" t="s">
        <v>4</v>
      </c>
      <c r="G1415" t="s">
        <v>2913</v>
      </c>
      <c r="H1415" t="s">
        <v>2952</v>
      </c>
      <c r="I1415" t="s">
        <v>2894</v>
      </c>
      <c r="J1415" t="str">
        <f>IF(ISNUMBER(MATCH($D1415,'Lopettaneet 2013-&gt;'!$D:$D,0)),INDEX('Lopettaneet 2013-&gt;'!$K:$K,MATCH($D1415,'Lopettaneet 2013-&gt;'!$D:$D,0)),"Continues")</f>
        <v>Merged</v>
      </c>
      <c r="K1415">
        <f ca="1">IF($H1415="Continues",DATEDIF($B1415,TODAY(),"Y"),INDEX('Lopettaneet 2013-&gt;'!$L:$L,MATCH($D1415,'Lopettaneet 2013-&gt;'!$D:$D,0)))</f>
        <v>11</v>
      </c>
      <c r="L1415">
        <v>1150</v>
      </c>
    </row>
    <row r="1416" spans="1:12" x14ac:dyDescent="0.25">
      <c r="A1416" t="s">
        <v>0</v>
      </c>
      <c r="B1416" s="1">
        <v>41365</v>
      </c>
      <c r="C1416" s="1">
        <v>45535</v>
      </c>
      <c r="D1416" t="s">
        <v>339</v>
      </c>
      <c r="E1416" t="s">
        <v>3</v>
      </c>
      <c r="F1416" t="s">
        <v>4</v>
      </c>
      <c r="G1416" t="s">
        <v>2917</v>
      </c>
      <c r="H1416" t="s">
        <v>2967</v>
      </c>
      <c r="I1416" t="s">
        <v>2894</v>
      </c>
      <c r="J1416" t="str">
        <f>IF(ISNUMBER(MATCH($D1416,'Lopettaneet 2013-&gt;'!$D:$D,0)),INDEX('Lopettaneet 2013-&gt;'!$K:$K,MATCH($D1416,'Lopettaneet 2013-&gt;'!$D:$D,0)),"Continues")</f>
        <v>Merged</v>
      </c>
      <c r="K1416">
        <f ca="1">IF($H1416="Continues",DATEDIF($B1416,TODAY(),"Y"),INDEX('Lopettaneet 2013-&gt;'!$L:$L,MATCH($D1416,'Lopettaneet 2013-&gt;'!$D:$D,0)))</f>
        <v>11</v>
      </c>
      <c r="L1416">
        <v>1151</v>
      </c>
    </row>
    <row r="1417" spans="1:12" x14ac:dyDescent="0.25">
      <c r="A1417" t="s">
        <v>0</v>
      </c>
      <c r="B1417" s="1">
        <v>42705</v>
      </c>
      <c r="C1417" s="1">
        <v>45565</v>
      </c>
      <c r="D1417" t="s">
        <v>1162</v>
      </c>
      <c r="E1417" t="s">
        <v>3</v>
      </c>
      <c r="F1417" t="s">
        <v>4</v>
      </c>
      <c r="G1417" t="s">
        <v>2917</v>
      </c>
      <c r="H1417" t="s">
        <v>2953</v>
      </c>
      <c r="I1417" t="s">
        <v>2894</v>
      </c>
      <c r="J1417" t="str">
        <f>IF(ISNUMBER(MATCH($D1417,'Lopettaneet 2013-&gt;'!$D:$D,0)),INDEX('Lopettaneet 2013-&gt;'!$K:$K,MATCH($D1417,'Lopettaneet 2013-&gt;'!$D:$D,0)),"Continues")</f>
        <v>Merged</v>
      </c>
      <c r="K1417">
        <f ca="1">IF($H1417="Continues",DATEDIF($B1417,TODAY(),"Y"),INDEX('Lopettaneet 2013-&gt;'!$L:$L,MATCH($D1417,'Lopettaneet 2013-&gt;'!$D:$D,0)))</f>
        <v>7</v>
      </c>
      <c r="L1417">
        <v>1152</v>
      </c>
    </row>
    <row r="1418" spans="1:12" x14ac:dyDescent="0.25">
      <c r="A1418" t="s">
        <v>0</v>
      </c>
      <c r="B1418" s="1">
        <v>43101</v>
      </c>
      <c r="C1418" s="1">
        <v>45565</v>
      </c>
      <c r="D1418" t="s">
        <v>1380</v>
      </c>
      <c r="E1418" t="s">
        <v>3</v>
      </c>
      <c r="F1418" t="s">
        <v>4</v>
      </c>
      <c r="G1418" t="s">
        <v>2913</v>
      </c>
      <c r="H1418" t="s">
        <v>2953</v>
      </c>
      <c r="I1418" t="s">
        <v>2894</v>
      </c>
      <c r="J1418" t="str">
        <f>IF(ISNUMBER(MATCH($D1418,'Lopettaneet 2013-&gt;'!$D:$D,0)),INDEX('Lopettaneet 2013-&gt;'!$K:$K,MATCH($D1418,'Lopettaneet 2013-&gt;'!$D:$D,0)),"Continues")</f>
        <v>Merged</v>
      </c>
      <c r="K1418">
        <f ca="1">IF($H1418="Continues",DATEDIF($B1418,TODAY(),"Y"),INDEX('Lopettaneet 2013-&gt;'!$L:$L,MATCH($D1418,'Lopettaneet 2013-&gt;'!$D:$D,0)))</f>
        <v>6</v>
      </c>
      <c r="L1418">
        <v>1153</v>
      </c>
    </row>
    <row r="1419" spans="1:12" x14ac:dyDescent="0.25">
      <c r="A1419" t="s">
        <v>7</v>
      </c>
      <c r="B1419" s="1">
        <v>45627</v>
      </c>
      <c r="C1419" s="1">
        <v>55153</v>
      </c>
      <c r="D1419" t="s">
        <v>3135</v>
      </c>
      <c r="E1419" t="s">
        <v>10</v>
      </c>
      <c r="F1419" t="s">
        <v>11</v>
      </c>
      <c r="G1419" t="s">
        <v>2912</v>
      </c>
      <c r="H1419" s="34" t="s">
        <v>2873</v>
      </c>
      <c r="I1419" t="s">
        <v>2909</v>
      </c>
      <c r="J1419" t="str">
        <f>IF(ISNUMBER(MATCH($D1419,'Lopettaneet 2013-&gt;'!$D:$D,0)),INDEX('Lopettaneet 2013-&gt;'!$K:$K,MATCH($D1419,'Lopettaneet 2013-&gt;'!$D:$D,0)),"Continues")</f>
        <v>Continues</v>
      </c>
      <c r="K1419">
        <f ca="1">IF($J1419="Continues",DATEDIF($B1419,TODAY(),"Y"),INDEX('Lopettaneet 2013-&gt;'!$L:$L,MATCH($D1419,'Lopettaneet 2013-&gt;'!$D:$D,0)))</f>
        <v>0</v>
      </c>
      <c r="L1419">
        <v>1154</v>
      </c>
    </row>
    <row r="1420" spans="1:12" x14ac:dyDescent="0.25">
      <c r="A1420" t="s">
        <v>7</v>
      </c>
      <c r="B1420" s="1">
        <v>45627</v>
      </c>
      <c r="C1420" s="1">
        <v>55153</v>
      </c>
      <c r="D1420" t="s">
        <v>3137</v>
      </c>
      <c r="E1420" t="s">
        <v>10</v>
      </c>
      <c r="F1420" t="s">
        <v>11</v>
      </c>
      <c r="G1420" t="s">
        <v>2912</v>
      </c>
      <c r="H1420" s="34" t="s">
        <v>2946</v>
      </c>
      <c r="I1420" t="s">
        <v>2909</v>
      </c>
      <c r="J1420" t="str">
        <f>IF(ISNUMBER(MATCH($D1420,'Lopettaneet 2013-&gt;'!$D:$D,0)),INDEX('Lopettaneet 2013-&gt;'!$K:$K,MATCH($D1420,'Lopettaneet 2013-&gt;'!$D:$D,0)),"Continues")</f>
        <v>Continues</v>
      </c>
      <c r="K1420">
        <f ca="1">IF($J1420="Continues",DATEDIF($B1420,TODAY(),"Y"),INDEX('Lopettaneet 2013-&gt;'!$L:$L,MATCH($D1420,'Lopettaneet 2013-&gt;'!$D:$D,0)))</f>
        <v>0</v>
      </c>
      <c r="L1420">
        <v>1155</v>
      </c>
    </row>
    <row r="1421" spans="1:12" x14ac:dyDescent="0.25">
      <c r="A1421" t="s">
        <v>7</v>
      </c>
      <c r="B1421" s="1">
        <v>45627</v>
      </c>
      <c r="C1421" s="1">
        <v>55153</v>
      </c>
      <c r="D1421" t="s">
        <v>3139</v>
      </c>
      <c r="E1421" t="s">
        <v>10</v>
      </c>
      <c r="F1421" t="s">
        <v>11</v>
      </c>
      <c r="G1421" t="s">
        <v>2912</v>
      </c>
      <c r="H1421" s="34" t="s">
        <v>2946</v>
      </c>
      <c r="I1421" t="s">
        <v>2909</v>
      </c>
      <c r="J1421" t="str">
        <f>IF(ISNUMBER(MATCH($D1421,'Lopettaneet 2013-&gt;'!$D:$D,0)),INDEX('Lopettaneet 2013-&gt;'!$K:$K,MATCH($D1421,'Lopettaneet 2013-&gt;'!$D:$D,0)),"Continues")</f>
        <v>Continues</v>
      </c>
      <c r="K1421">
        <f ca="1">IF($J1421="Continues",DATEDIF($B1421,TODAY(),"Y"),INDEX('Lopettaneet 2013-&gt;'!$L:$L,MATCH($D1421,'Lopettaneet 2013-&gt;'!$D:$D,0)))</f>
        <v>0</v>
      </c>
      <c r="L1421">
        <v>1156</v>
      </c>
    </row>
    <row r="1422" spans="1:12" x14ac:dyDescent="0.25">
      <c r="A1422" t="s">
        <v>7</v>
      </c>
      <c r="B1422" s="1">
        <v>45627</v>
      </c>
      <c r="C1422" s="1">
        <v>55153</v>
      </c>
      <c r="D1422" t="s">
        <v>3141</v>
      </c>
      <c r="E1422" t="s">
        <v>10</v>
      </c>
      <c r="F1422" t="s">
        <v>11</v>
      </c>
      <c r="G1422" t="s">
        <v>2912</v>
      </c>
      <c r="H1422" s="34" t="s">
        <v>3172</v>
      </c>
      <c r="I1422" t="s">
        <v>2909</v>
      </c>
      <c r="J1422" t="str">
        <f>IF(ISNUMBER(MATCH($D1422,'Lopettaneet 2013-&gt;'!$D:$D,0)),INDEX('Lopettaneet 2013-&gt;'!$K:$K,MATCH($D1422,'Lopettaneet 2013-&gt;'!$D:$D,0)),"Continues")</f>
        <v>Continues</v>
      </c>
      <c r="K1422">
        <f ca="1">IF($J1422="Continues",DATEDIF($B1422,TODAY(),"Y"),INDEX('Lopettaneet 2013-&gt;'!$L:$L,MATCH($D1422,'Lopettaneet 2013-&gt;'!$D:$D,0)))</f>
        <v>0</v>
      </c>
      <c r="L1422">
        <v>1157</v>
      </c>
    </row>
    <row r="1423" spans="1:12" x14ac:dyDescent="0.25">
      <c r="A1423" t="s">
        <v>7</v>
      </c>
      <c r="B1423" s="1">
        <v>45627</v>
      </c>
      <c r="C1423" s="1">
        <v>55153</v>
      </c>
      <c r="D1423" t="s">
        <v>3143</v>
      </c>
      <c r="E1423" t="s">
        <v>10</v>
      </c>
      <c r="F1423" t="s">
        <v>11</v>
      </c>
      <c r="G1423" t="s">
        <v>2912</v>
      </c>
      <c r="H1423" s="34" t="s">
        <v>3172</v>
      </c>
      <c r="I1423" t="s">
        <v>2909</v>
      </c>
      <c r="J1423" t="str">
        <f>IF(ISNUMBER(MATCH($D1423,'Lopettaneet 2013-&gt;'!$D:$D,0)),INDEX('Lopettaneet 2013-&gt;'!$K:$K,MATCH($D1423,'Lopettaneet 2013-&gt;'!$D:$D,0)),"Continues")</f>
        <v>Continues</v>
      </c>
      <c r="K1423">
        <f ca="1">IF($J1423="Continues",DATEDIF($B1423,TODAY(),"Y"),INDEX('Lopettaneet 2013-&gt;'!$L:$L,MATCH($D1423,'Lopettaneet 2013-&gt;'!$D:$D,0)))</f>
        <v>0</v>
      </c>
      <c r="L1423">
        <v>1158</v>
      </c>
    </row>
    <row r="1424" spans="1:12" x14ac:dyDescent="0.25">
      <c r="A1424" t="s">
        <v>7</v>
      </c>
      <c r="B1424" s="1">
        <v>45627</v>
      </c>
      <c r="C1424" s="1">
        <v>55153</v>
      </c>
      <c r="D1424" t="s">
        <v>3237</v>
      </c>
      <c r="E1424" t="s">
        <v>10</v>
      </c>
      <c r="F1424" t="s">
        <v>11</v>
      </c>
      <c r="G1424" t="s">
        <v>2913</v>
      </c>
      <c r="H1424" s="34" t="s">
        <v>2777</v>
      </c>
      <c r="I1424" t="s">
        <v>2909</v>
      </c>
      <c r="J1424" t="str">
        <f>IF(ISNUMBER(MATCH($D1424,'Lopettaneet 2013-&gt;'!$D:$D,0)),INDEX('Lopettaneet 2013-&gt;'!$K:$K,MATCH($D1424,'Lopettaneet 2013-&gt;'!$D:$D,0)),"Continues")</f>
        <v>Continues</v>
      </c>
      <c r="K1424">
        <f ca="1">IF($J1424="Continues",DATEDIF($B1424,TODAY(),"Y"),INDEX('Lopettaneet 2013-&gt;'!$L:$L,MATCH($D1424,'Lopettaneet 2013-&gt;'!$D:$D,0)))</f>
        <v>0</v>
      </c>
      <c r="L1424">
        <v>1159</v>
      </c>
    </row>
    <row r="1425" spans="1:12" x14ac:dyDescent="0.25">
      <c r="A1425" t="s">
        <v>7</v>
      </c>
      <c r="B1425" s="1">
        <v>45627</v>
      </c>
      <c r="C1425" s="1">
        <v>55153</v>
      </c>
      <c r="D1425" t="s">
        <v>3238</v>
      </c>
      <c r="E1425" t="s">
        <v>10</v>
      </c>
      <c r="F1425" t="s">
        <v>11</v>
      </c>
      <c r="G1425" t="s">
        <v>2913</v>
      </c>
      <c r="H1425" s="34" t="s">
        <v>2777</v>
      </c>
      <c r="I1425" t="s">
        <v>2909</v>
      </c>
      <c r="J1425" t="str">
        <f>IF(ISNUMBER(MATCH($D1425,'Lopettaneet 2013-&gt;'!$D:$D,0)),INDEX('Lopettaneet 2013-&gt;'!$K:$K,MATCH($D1425,'Lopettaneet 2013-&gt;'!$D:$D,0)),"Continues")</f>
        <v>Continues</v>
      </c>
      <c r="K1425">
        <f ca="1">IF($J1425="Continues",DATEDIF($B1425,TODAY(),"Y"),INDEX('Lopettaneet 2013-&gt;'!$L:$L,MATCH($D1425,'Lopettaneet 2013-&gt;'!$D:$D,0)))</f>
        <v>0</v>
      </c>
      <c r="L1425">
        <v>1160</v>
      </c>
    </row>
    <row r="1426" spans="1:12" x14ac:dyDescent="0.25">
      <c r="A1426" t="s">
        <v>7</v>
      </c>
      <c r="B1426" s="1">
        <v>45627</v>
      </c>
      <c r="C1426" s="1">
        <v>55153</v>
      </c>
      <c r="D1426" t="s">
        <v>3239</v>
      </c>
      <c r="E1426" t="s">
        <v>10</v>
      </c>
      <c r="F1426" t="s">
        <v>11</v>
      </c>
      <c r="G1426" t="s">
        <v>2913</v>
      </c>
      <c r="H1426" s="34" t="s">
        <v>2777</v>
      </c>
      <c r="I1426" t="s">
        <v>2909</v>
      </c>
      <c r="J1426" t="str">
        <f>IF(ISNUMBER(MATCH($D1426,'Lopettaneet 2013-&gt;'!$D:$D,0)),INDEX('Lopettaneet 2013-&gt;'!$K:$K,MATCH($D1426,'Lopettaneet 2013-&gt;'!$D:$D,0)),"Continues")</f>
        <v>Continues</v>
      </c>
      <c r="K1426">
        <f ca="1">IF($J1426="Continues",DATEDIF($B1426,TODAY(),"Y"),INDEX('Lopettaneet 2013-&gt;'!$L:$L,MATCH($D1426,'Lopettaneet 2013-&gt;'!$D:$D,0)))</f>
        <v>0</v>
      </c>
      <c r="L1426">
        <v>1161</v>
      </c>
    </row>
    <row r="1427" spans="1:12" x14ac:dyDescent="0.25">
      <c r="A1427" t="s">
        <v>7</v>
      </c>
      <c r="B1427" s="1">
        <v>45627</v>
      </c>
      <c r="C1427" s="1">
        <v>55153</v>
      </c>
      <c r="D1427" t="s">
        <v>3240</v>
      </c>
      <c r="E1427" t="s">
        <v>10</v>
      </c>
      <c r="F1427" t="s">
        <v>11</v>
      </c>
      <c r="G1427" t="s">
        <v>2913</v>
      </c>
      <c r="H1427" s="34" t="s">
        <v>2777</v>
      </c>
      <c r="I1427" t="s">
        <v>2909</v>
      </c>
      <c r="J1427" t="str">
        <f>IF(ISNUMBER(MATCH($D1427,'Lopettaneet 2013-&gt;'!$D:$D,0)),INDEX('Lopettaneet 2013-&gt;'!$K:$K,MATCH($D1427,'Lopettaneet 2013-&gt;'!$D:$D,0)),"Continues")</f>
        <v>Continues</v>
      </c>
      <c r="K1427">
        <f ca="1">IF($J1427="Continues",DATEDIF($B1427,TODAY(),"Y"),INDEX('Lopettaneet 2013-&gt;'!$L:$L,MATCH($D1427,'Lopettaneet 2013-&gt;'!$D:$D,0)))</f>
        <v>0</v>
      </c>
      <c r="L1427">
        <v>1162</v>
      </c>
    </row>
    <row r="1428" spans="1:12" x14ac:dyDescent="0.25">
      <c r="A1428" t="s">
        <v>7</v>
      </c>
      <c r="B1428" s="1">
        <v>45627</v>
      </c>
      <c r="C1428" s="1">
        <v>55153</v>
      </c>
      <c r="D1428" t="s">
        <v>3241</v>
      </c>
      <c r="E1428" t="s">
        <v>10</v>
      </c>
      <c r="F1428" t="s">
        <v>11</v>
      </c>
      <c r="G1428" t="s">
        <v>2913</v>
      </c>
      <c r="H1428" s="34" t="s">
        <v>2777</v>
      </c>
      <c r="I1428" t="s">
        <v>2909</v>
      </c>
      <c r="J1428" t="str">
        <f>IF(ISNUMBER(MATCH($D1428,'Lopettaneet 2013-&gt;'!$D:$D,0)),INDEX('Lopettaneet 2013-&gt;'!$K:$K,MATCH($D1428,'Lopettaneet 2013-&gt;'!$D:$D,0)),"Continues")</f>
        <v>Continues</v>
      </c>
      <c r="K1428">
        <f ca="1">IF($J1428="Continues",DATEDIF($B1428,TODAY(),"Y"),INDEX('Lopettaneet 2013-&gt;'!$L:$L,MATCH($D1428,'Lopettaneet 2013-&gt;'!$D:$D,0)))</f>
        <v>0</v>
      </c>
      <c r="L1428">
        <v>1163</v>
      </c>
    </row>
    <row r="1429" spans="1:12" x14ac:dyDescent="0.25">
      <c r="A1429" t="s">
        <v>7</v>
      </c>
      <c r="B1429" s="1">
        <v>45627</v>
      </c>
      <c r="C1429" s="1">
        <v>55153</v>
      </c>
      <c r="D1429" t="s">
        <v>3155</v>
      </c>
      <c r="E1429" t="s">
        <v>10</v>
      </c>
      <c r="F1429" t="s">
        <v>11</v>
      </c>
      <c r="G1429" t="s">
        <v>2918</v>
      </c>
      <c r="H1429" s="34" t="s">
        <v>2766</v>
      </c>
      <c r="I1429" t="s">
        <v>2909</v>
      </c>
      <c r="J1429" t="str">
        <f>IF(ISNUMBER(MATCH($D1429,'Lopettaneet 2013-&gt;'!$D:$D,0)),INDEX('Lopettaneet 2013-&gt;'!$K:$K,MATCH($D1429,'Lopettaneet 2013-&gt;'!$D:$D,0)),"Continues")</f>
        <v>Continues</v>
      </c>
      <c r="K1429">
        <f ca="1">IF($J1429="Continues",DATEDIF($B1429,TODAY(),"Y"),INDEX('Lopettaneet 2013-&gt;'!$L:$L,MATCH($D1429,'Lopettaneet 2013-&gt;'!$D:$D,0)))</f>
        <v>0</v>
      </c>
      <c r="L1429">
        <v>1164</v>
      </c>
    </row>
    <row r="1430" spans="1:12" x14ac:dyDescent="0.25">
      <c r="A1430" t="s">
        <v>0</v>
      </c>
      <c r="B1430" s="1">
        <v>45627</v>
      </c>
      <c r="C1430" s="1">
        <v>55153</v>
      </c>
      <c r="D1430" t="s">
        <v>3157</v>
      </c>
      <c r="E1430" t="s">
        <v>10</v>
      </c>
      <c r="F1430" t="s">
        <v>4</v>
      </c>
      <c r="G1430" t="s">
        <v>2918</v>
      </c>
      <c r="H1430" s="34" t="s">
        <v>2766</v>
      </c>
      <c r="I1430" t="s">
        <v>2909</v>
      </c>
      <c r="J1430" t="str">
        <f>IF(ISNUMBER(MATCH($D1430,'Lopettaneet 2013-&gt;'!$D:$D,0)),INDEX('Lopettaneet 2013-&gt;'!$K:$K,MATCH($D1430,'Lopettaneet 2013-&gt;'!$D:$D,0)),"Continues")</f>
        <v>Continues</v>
      </c>
      <c r="K1430">
        <f ca="1">IF($J1430="Continues",DATEDIF($B1430,TODAY(),"Y"),INDEX('Lopettaneet 2013-&gt;'!$L:$L,MATCH($D1430,'Lopettaneet 2013-&gt;'!$D:$D,0)))</f>
        <v>0</v>
      </c>
      <c r="L1430">
        <v>1165</v>
      </c>
    </row>
    <row r="1431" spans="1:12" x14ac:dyDescent="0.25">
      <c r="A1431" t="s">
        <v>7</v>
      </c>
      <c r="B1431" s="1">
        <v>45627</v>
      </c>
      <c r="C1431" s="1">
        <v>55153</v>
      </c>
      <c r="D1431" t="s">
        <v>3159</v>
      </c>
      <c r="E1431" t="s">
        <v>10</v>
      </c>
      <c r="F1431" t="s">
        <v>11</v>
      </c>
      <c r="G1431" t="s">
        <v>2916</v>
      </c>
      <c r="H1431" s="34" t="s">
        <v>3173</v>
      </c>
      <c r="I1431" t="s">
        <v>2909</v>
      </c>
      <c r="J1431" t="str">
        <f>IF(ISNUMBER(MATCH($D1431,'Lopettaneet 2013-&gt;'!$D:$D,0)),INDEX('Lopettaneet 2013-&gt;'!$K:$K,MATCH($D1431,'Lopettaneet 2013-&gt;'!$D:$D,0)),"Continues")</f>
        <v>Continues</v>
      </c>
      <c r="K1431">
        <f ca="1">IF($J1431="Continues",DATEDIF($B1431,TODAY(),"Y"),INDEX('Lopettaneet 2013-&gt;'!$L:$L,MATCH($D1431,'Lopettaneet 2013-&gt;'!$D:$D,0)))</f>
        <v>0</v>
      </c>
      <c r="L1431">
        <v>1166</v>
      </c>
    </row>
    <row r="1432" spans="1:12" x14ac:dyDescent="0.25">
      <c r="A1432" t="s">
        <v>7</v>
      </c>
      <c r="B1432" s="1">
        <v>45627</v>
      </c>
      <c r="C1432" s="1">
        <v>55153</v>
      </c>
      <c r="D1432" t="s">
        <v>3161</v>
      </c>
      <c r="E1432" t="s">
        <v>10</v>
      </c>
      <c r="F1432" t="s">
        <v>11</v>
      </c>
      <c r="G1432" t="s">
        <v>2912</v>
      </c>
      <c r="H1432" s="34" t="s">
        <v>3172</v>
      </c>
      <c r="I1432" t="s">
        <v>2909</v>
      </c>
      <c r="J1432" t="str">
        <f>IF(ISNUMBER(MATCH($D1432,'Lopettaneet 2013-&gt;'!$D:$D,0)),INDEX('Lopettaneet 2013-&gt;'!$K:$K,MATCH($D1432,'Lopettaneet 2013-&gt;'!$D:$D,0)),"Continues")</f>
        <v>Continues</v>
      </c>
      <c r="K1432">
        <f ca="1">IF($J1432="Continues",DATEDIF($B1432,TODAY(),"Y"),INDEX('Lopettaneet 2013-&gt;'!$L:$L,MATCH($D1432,'Lopettaneet 2013-&gt;'!$D:$D,0)))</f>
        <v>0</v>
      </c>
      <c r="L1432">
        <v>1167</v>
      </c>
    </row>
    <row r="1433" spans="1:12" x14ac:dyDescent="0.25">
      <c r="A1433" t="s">
        <v>0</v>
      </c>
      <c r="B1433" s="1">
        <v>45597</v>
      </c>
      <c r="C1433" s="1">
        <v>55153</v>
      </c>
      <c r="D1433" t="s">
        <v>3163</v>
      </c>
      <c r="E1433" t="s">
        <v>3</v>
      </c>
      <c r="F1433" t="s">
        <v>4</v>
      </c>
      <c r="G1433" t="s">
        <v>2917</v>
      </c>
      <c r="H1433" s="34" t="s">
        <v>2948</v>
      </c>
      <c r="I1433" t="s">
        <v>2909</v>
      </c>
      <c r="J1433" t="str">
        <f>IF(ISNUMBER(MATCH($D1433,'Lopettaneet 2013-&gt;'!$D:$D,0)),INDEX('Lopettaneet 2013-&gt;'!$K:$K,MATCH($D1433,'Lopettaneet 2013-&gt;'!$D:$D,0)),"Continues")</f>
        <v>Continues</v>
      </c>
      <c r="K1433">
        <f ca="1">IF($J1433="Continues",DATEDIF($B1433,TODAY(),"Y"),INDEX('Lopettaneet 2013-&gt;'!$L:$L,MATCH($D1433,'Lopettaneet 2013-&gt;'!$D:$D,0)))</f>
        <v>0</v>
      </c>
      <c r="L1433">
        <v>1168</v>
      </c>
    </row>
    <row r="1434" spans="1:12" x14ac:dyDescent="0.25">
      <c r="A1434" t="s">
        <v>0</v>
      </c>
      <c r="B1434" s="1">
        <v>45627</v>
      </c>
      <c r="C1434" s="1">
        <v>55153</v>
      </c>
      <c r="D1434" t="s">
        <v>3165</v>
      </c>
      <c r="E1434" t="s">
        <v>10</v>
      </c>
      <c r="F1434" t="s">
        <v>11</v>
      </c>
      <c r="G1434" t="s">
        <v>2912</v>
      </c>
      <c r="H1434" s="34" t="s">
        <v>3167</v>
      </c>
      <c r="I1434" t="s">
        <v>2909</v>
      </c>
      <c r="J1434" t="str">
        <f>IF(ISNUMBER(MATCH($D1434,'Lopettaneet 2013-&gt;'!$D:$D,0)),INDEX('Lopettaneet 2013-&gt;'!$K:$K,MATCH($D1434,'Lopettaneet 2013-&gt;'!$D:$D,0)),"Continues")</f>
        <v>Continues</v>
      </c>
      <c r="K1434">
        <f ca="1">IF($J1434="Continues",DATEDIF($B1434,TODAY(),"Y"),INDEX('Lopettaneet 2013-&gt;'!$L:$L,MATCH($D1434,'Lopettaneet 2013-&gt;'!$D:$D,0)))</f>
        <v>0</v>
      </c>
      <c r="L1434">
        <v>1169</v>
      </c>
    </row>
    <row r="1435" spans="1:12" x14ac:dyDescent="0.25">
      <c r="A1435" t="s">
        <v>0</v>
      </c>
      <c r="B1435" s="1">
        <v>39783</v>
      </c>
      <c r="C1435" s="1">
        <v>45626</v>
      </c>
      <c r="D1435" t="s">
        <v>3168</v>
      </c>
      <c r="E1435" t="s">
        <v>3</v>
      </c>
      <c r="F1435" t="s">
        <v>4</v>
      </c>
      <c r="G1435" t="s">
        <v>2917</v>
      </c>
      <c r="H1435" t="s">
        <v>2947</v>
      </c>
      <c r="I1435" t="str">
        <f>IFERROR(INDEX([2]Sheet1!$B:$B,MATCH($D1435,[2]Sheet1!$A:$A,0)),"Not found")</f>
        <v>Retail</v>
      </c>
      <c r="J1435" t="s">
        <v>2911</v>
      </c>
      <c r="K1435">
        <f ca="1">IF($J1435="Continues",DATEDIF($B1435,TODAY(),"Y"),INDEX('Lopettaneet 2013-&gt;'!$L:$L,MATCH($D1435,'Lopettaneet 2013-&gt;'!$D:$D,0)))</f>
        <v>15</v>
      </c>
      <c r="L1435">
        <v>1170</v>
      </c>
    </row>
    <row r="1436" spans="1:12" x14ac:dyDescent="0.25">
      <c r="A1436" t="s">
        <v>0</v>
      </c>
      <c r="B1436" s="1">
        <v>39783</v>
      </c>
      <c r="C1436" s="1">
        <v>45626</v>
      </c>
      <c r="D1436" t="s">
        <v>3170</v>
      </c>
      <c r="E1436" t="s">
        <v>3</v>
      </c>
      <c r="F1436" t="s">
        <v>4</v>
      </c>
      <c r="G1436" t="s">
        <v>2917</v>
      </c>
      <c r="H1436" t="s">
        <v>2947</v>
      </c>
      <c r="I1436" t="str">
        <f>IFERROR(INDEX([2]Sheet1!$B:$B,MATCH($D1436,[2]Sheet1!$A:$A,0)),"Not found")</f>
        <v>Retail</v>
      </c>
      <c r="J1436" t="s">
        <v>2911</v>
      </c>
      <c r="K1436">
        <f ca="1">IF($J1436="Continues",DATEDIF($B1436,TODAY(),"Y"),INDEX('Lopettaneet 2013-&gt;'!$L:$L,MATCH($D1436,'Lopettaneet 2013-&gt;'!$D:$D,0)))</f>
        <v>15</v>
      </c>
      <c r="L1436">
        <v>1171</v>
      </c>
    </row>
    <row r="1437" spans="1:12" x14ac:dyDescent="0.25">
      <c r="A1437" t="s">
        <v>7</v>
      </c>
      <c r="B1437" s="1">
        <v>45717</v>
      </c>
      <c r="C1437" s="1">
        <v>55153</v>
      </c>
      <c r="D1437" t="s">
        <v>3244</v>
      </c>
      <c r="E1437" t="s">
        <v>10</v>
      </c>
      <c r="F1437" t="s">
        <v>11</v>
      </c>
      <c r="G1437" t="s">
        <v>2916</v>
      </c>
      <c r="H1437" t="s">
        <v>2841</v>
      </c>
      <c r="I1437" t="s">
        <v>2909</v>
      </c>
      <c r="J1437" s="35" t="s">
        <v>3065</v>
      </c>
      <c r="K1437" s="35">
        <f ca="1">IF($J1437="Continues",DATEDIF($B1437,TODAY(),"Y"),INDEX('Lopettaneet 2013-&gt;'!$L:$L,MATCH($D1437,'Lopettaneet 2013-&gt;'!$D:$D,0)))</f>
        <v>0</v>
      </c>
      <c r="L1437">
        <v>1172</v>
      </c>
    </row>
    <row r="1438" spans="1:12" x14ac:dyDescent="0.25">
      <c r="A1438" t="s">
        <v>7</v>
      </c>
      <c r="B1438" s="1">
        <v>45717</v>
      </c>
      <c r="C1438" s="1">
        <v>55153</v>
      </c>
      <c r="D1438" t="s">
        <v>1086</v>
      </c>
      <c r="E1438" t="s">
        <v>10</v>
      </c>
      <c r="F1438" t="s">
        <v>11</v>
      </c>
      <c r="G1438" t="s">
        <v>2914</v>
      </c>
      <c r="H1438" t="s">
        <v>2956</v>
      </c>
      <c r="I1438" t="s">
        <v>2909</v>
      </c>
      <c r="J1438" s="35" t="s">
        <v>3065</v>
      </c>
      <c r="K1438" s="35">
        <f ca="1">IF($J1438="Continues",DATEDIF($B1438,TODAY(),"Y"),INDEX('Lopettaneet 2013-&gt;'!$L:$L,MATCH($D1438,'Lopettaneet 2013-&gt;'!$D:$D,0)))</f>
        <v>0</v>
      </c>
      <c r="L1438">
        <v>1173</v>
      </c>
    </row>
    <row r="1439" spans="1:12" x14ac:dyDescent="0.25">
      <c r="A1439" t="s">
        <v>7</v>
      </c>
      <c r="B1439" s="1">
        <v>45717</v>
      </c>
      <c r="C1439" s="1">
        <v>55153</v>
      </c>
      <c r="D1439" t="s">
        <v>3247</v>
      </c>
      <c r="E1439" t="s">
        <v>10</v>
      </c>
      <c r="F1439" t="s">
        <v>11</v>
      </c>
      <c r="G1439" t="s">
        <v>2914</v>
      </c>
      <c r="H1439" t="s">
        <v>2956</v>
      </c>
      <c r="I1439" t="s">
        <v>2909</v>
      </c>
      <c r="J1439" s="35" t="s">
        <v>3065</v>
      </c>
      <c r="K1439" s="35">
        <f ca="1">IF($J1439="Continues",DATEDIF($B1439,TODAY(),"Y"),INDEX('Lopettaneet 2013-&gt;'!$L:$L,MATCH($D1439,'Lopettaneet 2013-&gt;'!$D:$D,0)))</f>
        <v>0</v>
      </c>
      <c r="L1439">
        <v>1174</v>
      </c>
    </row>
    <row r="1440" spans="1:12" x14ac:dyDescent="0.25">
      <c r="A1440" t="s">
        <v>0</v>
      </c>
      <c r="B1440" s="1">
        <v>45658</v>
      </c>
      <c r="C1440" s="1">
        <v>55153</v>
      </c>
      <c r="D1440" t="s">
        <v>3249</v>
      </c>
      <c r="E1440" t="s">
        <v>10</v>
      </c>
      <c r="F1440" t="s">
        <v>4</v>
      </c>
      <c r="G1440" t="s">
        <v>2917</v>
      </c>
      <c r="H1440" t="s">
        <v>2766</v>
      </c>
      <c r="I1440" t="s">
        <v>2909</v>
      </c>
      <c r="J1440" s="35" t="s">
        <v>3065</v>
      </c>
      <c r="K1440" s="35">
        <f ca="1">IF($J1440="Continues",DATEDIF($B1440,TODAY(),"Y"),INDEX('Lopettaneet 2013-&gt;'!$L:$L,MATCH($D1440,'Lopettaneet 2013-&gt;'!$D:$D,0)))</f>
        <v>0</v>
      </c>
      <c r="L1440">
        <v>1175</v>
      </c>
    </row>
    <row r="1441" spans="1:12" x14ac:dyDescent="0.25">
      <c r="A1441" t="s">
        <v>0</v>
      </c>
      <c r="B1441" s="1">
        <v>45658</v>
      </c>
      <c r="C1441" s="1">
        <v>55153</v>
      </c>
      <c r="D1441" t="s">
        <v>3251</v>
      </c>
      <c r="E1441" t="s">
        <v>10</v>
      </c>
      <c r="F1441" t="s">
        <v>4</v>
      </c>
      <c r="G1441" t="s">
        <v>2917</v>
      </c>
      <c r="H1441" t="s">
        <v>2766</v>
      </c>
      <c r="I1441" t="s">
        <v>2909</v>
      </c>
      <c r="J1441" s="35" t="s">
        <v>3065</v>
      </c>
      <c r="K1441" s="35">
        <f ca="1">IF($J1441="Continues",DATEDIF($B1441,TODAY(),"Y"),INDEX('Lopettaneet 2013-&gt;'!$L:$L,MATCH($D1441,'Lopettaneet 2013-&gt;'!$D:$D,0)))</f>
        <v>0</v>
      </c>
      <c r="L1441">
        <v>1176</v>
      </c>
    </row>
    <row r="1442" spans="1:12" x14ac:dyDescent="0.25">
      <c r="A1442" t="s">
        <v>0</v>
      </c>
      <c r="B1442" s="1">
        <v>45717</v>
      </c>
      <c r="C1442" s="1">
        <v>55153</v>
      </c>
      <c r="D1442" t="s">
        <v>3253</v>
      </c>
      <c r="E1442" t="s">
        <v>3</v>
      </c>
      <c r="F1442" t="s">
        <v>4</v>
      </c>
      <c r="G1442" t="s">
        <v>2917</v>
      </c>
      <c r="H1442" t="s">
        <v>2952</v>
      </c>
      <c r="I1442" t="s">
        <v>2909</v>
      </c>
      <c r="J1442" s="35" t="s">
        <v>3065</v>
      </c>
      <c r="K1442" s="35">
        <f ca="1">IF($J1442="Continues",DATEDIF($B1442,TODAY(),"Y"),INDEX('Lopettaneet 2013-&gt;'!$L:$L,MATCH($D1442,'Lopettaneet 2013-&gt;'!$D:$D,0)))</f>
        <v>0</v>
      </c>
      <c r="L1442">
        <v>1177</v>
      </c>
    </row>
    <row r="1443" spans="1:12" x14ac:dyDescent="0.25">
      <c r="A1443" t="s">
        <v>7</v>
      </c>
      <c r="B1443" s="1">
        <v>45717</v>
      </c>
      <c r="C1443" s="1">
        <v>55153</v>
      </c>
      <c r="D1443" t="s">
        <v>3255</v>
      </c>
      <c r="E1443" t="s">
        <v>10</v>
      </c>
      <c r="F1443" t="s">
        <v>11</v>
      </c>
      <c r="G1443" t="s">
        <v>2916</v>
      </c>
      <c r="H1443" t="s">
        <v>2996</v>
      </c>
      <c r="I1443" t="s">
        <v>2909</v>
      </c>
      <c r="J1443" s="35" t="s">
        <v>3065</v>
      </c>
      <c r="K1443" s="35">
        <f ca="1">IF($J1443="Continues",DATEDIF($B1443,TODAY(),"Y"),INDEX('Lopettaneet 2013-&gt;'!$L:$L,MATCH($D1443,'Lopettaneet 2013-&gt;'!$D:$D,0)))</f>
        <v>0</v>
      </c>
      <c r="L1443">
        <v>1178</v>
      </c>
    </row>
    <row r="1444" spans="1:12" x14ac:dyDescent="0.25">
      <c r="A1444" t="s">
        <v>7</v>
      </c>
      <c r="B1444" s="1">
        <v>45717</v>
      </c>
      <c r="C1444" s="1">
        <v>55153</v>
      </c>
      <c r="D1444" t="s">
        <v>3257</v>
      </c>
      <c r="E1444" t="s">
        <v>10</v>
      </c>
      <c r="F1444" t="s">
        <v>11</v>
      </c>
      <c r="G1444" t="s">
        <v>2914</v>
      </c>
      <c r="H1444" t="s">
        <v>2852</v>
      </c>
      <c r="I1444" t="s">
        <v>2909</v>
      </c>
      <c r="J1444" s="35" t="s">
        <v>3065</v>
      </c>
      <c r="K1444" s="35">
        <f ca="1">IF($J1444="Continues",DATEDIF($B1444,TODAY(),"Y"),INDEX('Lopettaneet 2013-&gt;'!$L:$L,MATCH($D1444,'Lopettaneet 2013-&gt;'!$D:$D,0)))</f>
        <v>0</v>
      </c>
      <c r="L1444">
        <v>1179</v>
      </c>
    </row>
    <row r="1445" spans="1:12" x14ac:dyDescent="0.25">
      <c r="A1445" t="s">
        <v>0</v>
      </c>
      <c r="B1445" s="1">
        <v>45717</v>
      </c>
      <c r="C1445" s="1">
        <v>55153</v>
      </c>
      <c r="D1445" t="s">
        <v>3259</v>
      </c>
      <c r="E1445" t="s">
        <v>3</v>
      </c>
      <c r="F1445" t="s">
        <v>4</v>
      </c>
      <c r="G1445" t="s">
        <v>2917</v>
      </c>
      <c r="H1445" t="s">
        <v>2777</v>
      </c>
      <c r="I1445" t="s">
        <v>2909</v>
      </c>
      <c r="J1445" s="35" t="s">
        <v>3065</v>
      </c>
      <c r="K1445" s="35">
        <f ca="1">IF($J1445="Continues",DATEDIF($B1445,TODAY(),"Y"),INDEX('Lopettaneet 2013-&gt;'!$L:$L,MATCH($D1445,'Lopettaneet 2013-&gt;'!$D:$D,0)))</f>
        <v>0</v>
      </c>
      <c r="L1445">
        <v>1180</v>
      </c>
    </row>
    <row r="1446" spans="1:12" x14ac:dyDescent="0.25">
      <c r="A1446" t="s">
        <v>0</v>
      </c>
      <c r="B1446" s="1">
        <v>45689</v>
      </c>
      <c r="C1446" s="1">
        <v>55153</v>
      </c>
      <c r="D1446" t="s">
        <v>3261</v>
      </c>
      <c r="E1446" t="s">
        <v>10</v>
      </c>
      <c r="F1446" t="s">
        <v>11</v>
      </c>
      <c r="G1446" t="s">
        <v>2914</v>
      </c>
      <c r="H1446" t="s">
        <v>2766</v>
      </c>
      <c r="I1446" t="s">
        <v>2909</v>
      </c>
      <c r="J1446" s="35" t="s">
        <v>3065</v>
      </c>
      <c r="K1446" s="35">
        <f ca="1">IF($J1446="Continues",DATEDIF($B1446,TODAY(),"Y"),INDEX('Lopettaneet 2013-&gt;'!$L:$L,MATCH($D1446,'Lopettaneet 2013-&gt;'!$D:$D,0)))</f>
        <v>0</v>
      </c>
      <c r="L1446">
        <v>1181</v>
      </c>
    </row>
    <row r="1447" spans="1:12" x14ac:dyDescent="0.25">
      <c r="B1447" s="1"/>
      <c r="C1447" s="1"/>
    </row>
    <row r="1448" spans="1:12" x14ac:dyDescent="0.25">
      <c r="B1448" s="1"/>
      <c r="C1448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7104-E039-446B-8876-4ABB5704A6CE}">
  <sheetPr codeName="Sheet1"/>
  <dimension ref="A1:O1301"/>
  <sheetViews>
    <sheetView topLeftCell="D1136" zoomScaleNormal="100" workbookViewId="0">
      <selection activeCell="G1164" sqref="G1164"/>
    </sheetView>
  </sheetViews>
  <sheetFormatPr defaultRowHeight="15" x14ac:dyDescent="0.25"/>
  <cols>
    <col min="1" max="1" width="6.7109375" bestFit="1" customWidth="1"/>
    <col min="2" max="2" width="23.140625" bestFit="1" customWidth="1"/>
    <col min="3" max="3" width="23.85546875" bestFit="1" customWidth="1"/>
    <col min="4" max="4" width="81.28515625" style="4" bestFit="1" customWidth="1"/>
    <col min="5" max="5" width="24.85546875" style="32" bestFit="1" customWidth="1"/>
    <col min="6" max="6" width="9.140625" style="32"/>
    <col min="7" max="7" width="32.28515625" bestFit="1" customWidth="1"/>
    <col min="8" max="8" width="20.85546875" bestFit="1" customWidth="1"/>
    <col min="9" max="9" width="23" bestFit="1" customWidth="1"/>
    <col min="10" max="11" width="9.140625" style="30"/>
    <col min="12" max="12" width="29.28515625" style="30" customWidth="1"/>
    <col min="13" max="13" width="10.5703125" style="30" bestFit="1" customWidth="1"/>
  </cols>
  <sheetData>
    <row r="1" spans="1:15" s="2" customFormat="1" x14ac:dyDescent="0.25">
      <c r="A1" s="2" t="s">
        <v>66</v>
      </c>
      <c r="B1" s="2" t="s">
        <v>67</v>
      </c>
      <c r="C1" s="2" t="s">
        <v>68</v>
      </c>
      <c r="D1" s="3" t="s">
        <v>69</v>
      </c>
      <c r="E1" s="32" t="s">
        <v>70</v>
      </c>
      <c r="F1" s="32" t="s">
        <v>72</v>
      </c>
      <c r="G1" s="2" t="s">
        <v>73</v>
      </c>
      <c r="H1" s="2" t="s">
        <v>74</v>
      </c>
      <c r="I1" s="2" t="s">
        <v>75</v>
      </c>
      <c r="J1" s="29" t="s">
        <v>2712</v>
      </c>
      <c r="K1" s="29" t="s">
        <v>2921</v>
      </c>
      <c r="L1" s="29" t="s">
        <v>2762</v>
      </c>
      <c r="M1" s="29" t="s">
        <v>2893</v>
      </c>
      <c r="N1" s="2" t="s">
        <v>2896</v>
      </c>
      <c r="O1" s="2" t="s">
        <v>2897</v>
      </c>
    </row>
    <row r="2" spans="1:15" x14ac:dyDescent="0.25">
      <c r="A2" t="s">
        <v>7</v>
      </c>
      <c r="B2" s="1">
        <v>41974</v>
      </c>
      <c r="C2" s="1">
        <v>43100</v>
      </c>
      <c r="D2" s="4" t="s">
        <v>243</v>
      </c>
      <c r="E2" s="32" t="s">
        <v>244</v>
      </c>
      <c r="F2" s="32">
        <v>6798092</v>
      </c>
      <c r="G2" t="s">
        <v>10</v>
      </c>
      <c r="H2" t="s">
        <v>11</v>
      </c>
      <c r="I2" t="s">
        <v>12</v>
      </c>
      <c r="J2" s="30" t="str">
        <f>IF(ISNUMBER(MATCH($D2,'Lopettaneet 2013-&gt;'!$D:$D,0)),INDEX('Lopettaneet 2013-&gt;'!$K:$K,MATCH($D2,'Lopettaneet 2013-&gt;'!$D:$D,0)),"Continues")</f>
        <v>Closed</v>
      </c>
      <c r="K2" s="30">
        <f ca="1">IF($J2="Continues",DATEDIF($B2,TODAY(),"Y"),INDEX('Lopettaneet 2013-&gt;'!$L:$L,MATCH($D2,'Lopettaneet 2013-&gt;'!$D:$D,0)))</f>
        <v>3</v>
      </c>
      <c r="L2" s="31" t="str">
        <f>IFERROR(INDEX('[1]30.06.2024'!$H:$H,MATCH($E2,'[1]30.06.2024'!$B:$B,0)),"Not found")</f>
        <v>Not found</v>
      </c>
      <c r="M2" s="31" t="str">
        <f>IFERROR(INDEX([2]Sheet1!$B:$B,MATCH($D2,[2]Sheet1!$A:$A,0)),"Not found")</f>
        <v>Not found</v>
      </c>
      <c r="N2">
        <f>IF($M2="Retail",1,0)</f>
        <v>0</v>
      </c>
      <c r="O2">
        <f>IF($M2="Non-Retail",1,0)</f>
        <v>0</v>
      </c>
    </row>
    <row r="3" spans="1:15" x14ac:dyDescent="0.25">
      <c r="A3" t="s">
        <v>7</v>
      </c>
      <c r="B3" s="1">
        <v>41974</v>
      </c>
      <c r="C3" s="1">
        <v>42735</v>
      </c>
      <c r="D3" s="4" t="s">
        <v>245</v>
      </c>
      <c r="E3" s="32" t="s">
        <v>246</v>
      </c>
      <c r="F3" s="32">
        <v>15657523</v>
      </c>
      <c r="G3" t="s">
        <v>10</v>
      </c>
      <c r="H3" t="s">
        <v>11</v>
      </c>
      <c r="I3" t="s">
        <v>12</v>
      </c>
      <c r="J3" s="30" t="str">
        <f>IF(ISNUMBER(MATCH($D3,'Lopettaneet 2013-&gt;'!$D:$D,0)),INDEX('Lopettaneet 2013-&gt;'!$K:$K,MATCH($D3,'Lopettaneet 2013-&gt;'!$D:$D,0)),"Continues")</f>
        <v>Closed</v>
      </c>
      <c r="K3" s="30">
        <f ca="1">IF($J3="Continues",DATEDIF($B3,TODAY(),"Y"),INDEX('Lopettaneet 2013-&gt;'!$L:$L,MATCH($D3,'Lopettaneet 2013-&gt;'!$D:$D,0)))</f>
        <v>2</v>
      </c>
      <c r="L3" s="31" t="str">
        <f>IFERROR(INDEX('[1]30.06.2024'!$H:$H,MATCH($E3,'[1]30.06.2024'!$B:$B,0)),"Not found")</f>
        <v>Not found</v>
      </c>
      <c r="M3" s="31" t="str">
        <f>IFERROR(INDEX([2]Sheet1!$B:$B,MATCH($D3,[2]Sheet1!$A:$A,0)),"Not found")</f>
        <v>Not found</v>
      </c>
      <c r="N3">
        <f t="shared" ref="N3:N66" si="0">IF($M3="Retail",1,0)</f>
        <v>0</v>
      </c>
      <c r="O3">
        <f t="shared" ref="O3:O66" si="1">IF($M3="Non-Retail",1,0)</f>
        <v>0</v>
      </c>
    </row>
    <row r="4" spans="1:15" x14ac:dyDescent="0.25">
      <c r="A4" t="s">
        <v>7</v>
      </c>
      <c r="B4" s="1">
        <v>41974</v>
      </c>
      <c r="C4" s="1">
        <v>42369</v>
      </c>
      <c r="D4" s="4" t="s">
        <v>247</v>
      </c>
      <c r="E4" s="32" t="s">
        <v>248</v>
      </c>
      <c r="F4" s="32">
        <v>17285698</v>
      </c>
      <c r="G4" t="s">
        <v>10</v>
      </c>
      <c r="H4" t="s">
        <v>11</v>
      </c>
      <c r="I4" t="s">
        <v>12</v>
      </c>
      <c r="J4" s="30" t="str">
        <f>IF(ISNUMBER(MATCH($D4,'Lopettaneet 2013-&gt;'!$D:$D,0)),INDEX('Lopettaneet 2013-&gt;'!$K:$K,MATCH($D4,'Lopettaneet 2013-&gt;'!$D:$D,0)),"Continues")</f>
        <v>Closed</v>
      </c>
      <c r="K4" s="30">
        <f ca="1">IF($J4="Continues",DATEDIF($B4,TODAY(),"Y"),INDEX('Lopettaneet 2013-&gt;'!$L:$L,MATCH($D4,'Lopettaneet 2013-&gt;'!$D:$D,0)))</f>
        <v>1</v>
      </c>
      <c r="L4" s="31" t="str">
        <f>IFERROR(INDEX('[1]30.06.2024'!$H:$H,MATCH($E4,'[1]30.06.2024'!$B:$B,0)),"Not found")</f>
        <v>Not found</v>
      </c>
      <c r="M4" s="31" t="str">
        <f>IFERROR(INDEX([2]Sheet1!$B:$B,MATCH($D4,[2]Sheet1!$A:$A,0)),"Not found")</f>
        <v>Not found</v>
      </c>
      <c r="N4">
        <f t="shared" si="0"/>
        <v>0</v>
      </c>
      <c r="O4">
        <f t="shared" si="1"/>
        <v>0</v>
      </c>
    </row>
    <row r="5" spans="1:15" x14ac:dyDescent="0.25">
      <c r="A5" t="s">
        <v>7</v>
      </c>
      <c r="B5" s="1">
        <v>41974</v>
      </c>
      <c r="C5" s="1">
        <v>43738</v>
      </c>
      <c r="D5" s="4" t="s">
        <v>249</v>
      </c>
      <c r="E5" s="32" t="s">
        <v>250</v>
      </c>
      <c r="F5" s="32">
        <v>16020110</v>
      </c>
      <c r="G5" t="s">
        <v>10</v>
      </c>
      <c r="H5" t="s">
        <v>11</v>
      </c>
      <c r="I5" t="s">
        <v>12</v>
      </c>
      <c r="J5" s="30" t="str">
        <f>IF(ISNUMBER(MATCH($D5,'Lopettaneet 2013-&gt;'!$D:$D,0)),INDEX('Lopettaneet 2013-&gt;'!$K:$K,MATCH($D5,'Lopettaneet 2013-&gt;'!$D:$D,0)),"Continues")</f>
        <v>Closed</v>
      </c>
      <c r="K5" s="30">
        <f ca="1">IF($J5="Continues",DATEDIF($B5,TODAY(),"Y"),INDEX('Lopettaneet 2013-&gt;'!$L:$L,MATCH($D5,'Lopettaneet 2013-&gt;'!$D:$D,0)))</f>
        <v>4</v>
      </c>
      <c r="L5" s="31" t="str">
        <f>IFERROR(INDEX('[1]30.06.2024'!$H:$H,MATCH($E5,'[1]30.06.2024'!$B:$B,0)),"Not found")</f>
        <v>Not found</v>
      </c>
      <c r="M5" s="31" t="str">
        <f>IFERROR(INDEX([2]Sheet1!$B:$B,MATCH($D5,[2]Sheet1!$A:$A,0)),"Not found")</f>
        <v>Not found</v>
      </c>
      <c r="N5">
        <f t="shared" si="0"/>
        <v>0</v>
      </c>
      <c r="O5">
        <f t="shared" si="1"/>
        <v>0</v>
      </c>
    </row>
    <row r="6" spans="1:15" x14ac:dyDescent="0.25">
      <c r="A6" t="s">
        <v>7</v>
      </c>
      <c r="B6" s="1">
        <v>41974</v>
      </c>
      <c r="C6" s="1">
        <v>42369</v>
      </c>
      <c r="D6" s="4" t="s">
        <v>251</v>
      </c>
      <c r="E6" s="32" t="s">
        <v>252</v>
      </c>
      <c r="F6" s="32">
        <v>16069002</v>
      </c>
      <c r="G6" t="s">
        <v>10</v>
      </c>
      <c r="H6" t="s">
        <v>11</v>
      </c>
      <c r="I6" t="s">
        <v>12</v>
      </c>
      <c r="J6" s="30" t="str">
        <f>IF(ISNUMBER(MATCH($D6,'Lopettaneet 2013-&gt;'!$D:$D,0)),INDEX('Lopettaneet 2013-&gt;'!$K:$K,MATCH($D6,'Lopettaneet 2013-&gt;'!$D:$D,0)),"Continues")</f>
        <v>Closed</v>
      </c>
      <c r="K6" s="30">
        <f ca="1">IF($J6="Continues",DATEDIF($B6,TODAY(),"Y"),INDEX('Lopettaneet 2013-&gt;'!$L:$L,MATCH($D6,'Lopettaneet 2013-&gt;'!$D:$D,0)))</f>
        <v>1</v>
      </c>
      <c r="L6" s="31" t="str">
        <f>IFERROR(INDEX('[1]30.06.2024'!$H:$H,MATCH($E6,'[1]30.06.2024'!$B:$B,0)),"Not found")</f>
        <v>Not found</v>
      </c>
      <c r="M6" s="31" t="str">
        <f>IFERROR(INDEX([2]Sheet1!$B:$B,MATCH($D6,[2]Sheet1!$A:$A,0)),"Not found")</f>
        <v>Not found</v>
      </c>
      <c r="N6">
        <f t="shared" si="0"/>
        <v>0</v>
      </c>
      <c r="O6">
        <f t="shared" si="1"/>
        <v>0</v>
      </c>
    </row>
    <row r="7" spans="1:15" x14ac:dyDescent="0.25">
      <c r="A7" t="s">
        <v>7</v>
      </c>
      <c r="B7" s="1">
        <v>41974</v>
      </c>
      <c r="C7" s="1">
        <v>43738</v>
      </c>
      <c r="D7" s="4" t="s">
        <v>253</v>
      </c>
      <c r="E7" s="32" t="s">
        <v>254</v>
      </c>
      <c r="F7" s="32">
        <v>16020137</v>
      </c>
      <c r="G7" t="s">
        <v>10</v>
      </c>
      <c r="H7" t="s">
        <v>11</v>
      </c>
      <c r="I7" t="s">
        <v>12</v>
      </c>
      <c r="J7" s="30" t="str">
        <f>IF(ISNUMBER(MATCH($D7,'Lopettaneet 2013-&gt;'!$D:$D,0)),INDEX('Lopettaneet 2013-&gt;'!$K:$K,MATCH($D7,'Lopettaneet 2013-&gt;'!$D:$D,0)),"Continues")</f>
        <v>Closed</v>
      </c>
      <c r="K7" s="30">
        <f ca="1">IF($J7="Continues",DATEDIF($B7,TODAY(),"Y"),INDEX('Lopettaneet 2013-&gt;'!$L:$L,MATCH($D7,'Lopettaneet 2013-&gt;'!$D:$D,0)))</f>
        <v>4</v>
      </c>
      <c r="L7" s="31" t="str">
        <f>IFERROR(INDEX('[1]30.06.2024'!$H:$H,MATCH($E7,'[1]30.06.2024'!$B:$B,0)),"Not found")</f>
        <v>Not found</v>
      </c>
      <c r="M7" s="31" t="str">
        <f>IFERROR(INDEX([2]Sheet1!$B:$B,MATCH($D7,[2]Sheet1!$A:$A,0)),"Not found")</f>
        <v>Not found</v>
      </c>
      <c r="N7">
        <f t="shared" si="0"/>
        <v>0</v>
      </c>
      <c r="O7">
        <f t="shared" si="1"/>
        <v>0</v>
      </c>
    </row>
    <row r="8" spans="1:15" x14ac:dyDescent="0.25">
      <c r="A8" t="s">
        <v>7</v>
      </c>
      <c r="B8" s="1">
        <v>41974</v>
      </c>
      <c r="C8" s="1">
        <v>44196</v>
      </c>
      <c r="D8" s="4" t="s">
        <v>255</v>
      </c>
      <c r="E8" s="32" t="s">
        <v>256</v>
      </c>
      <c r="F8" s="32">
        <v>19720366</v>
      </c>
      <c r="G8" t="s">
        <v>10</v>
      </c>
      <c r="H8" t="s">
        <v>11</v>
      </c>
      <c r="I8" t="s">
        <v>32</v>
      </c>
      <c r="J8" s="30" t="str">
        <f>IF(ISNUMBER(MATCH($D8,'Lopettaneet 2013-&gt;'!$D:$D,0)),INDEX('Lopettaneet 2013-&gt;'!$K:$K,MATCH($D8,'Lopettaneet 2013-&gt;'!$D:$D,0)),"Continues")</f>
        <v>Closed</v>
      </c>
      <c r="K8" s="30">
        <f ca="1">IF($J8="Continues",DATEDIF($B8,TODAY(),"Y"),INDEX('Lopettaneet 2013-&gt;'!$L:$L,MATCH($D8,'Lopettaneet 2013-&gt;'!$D:$D,0)))</f>
        <v>6</v>
      </c>
      <c r="L8" s="31" t="str">
        <f>IFERROR(INDEX('[1]30.06.2024'!$H:$H,MATCH($E8,'[1]30.06.2024'!$B:$B,0)),"Not found")</f>
        <v>Not found</v>
      </c>
      <c r="M8" s="31" t="str">
        <f>IFERROR(INDEX([2]Sheet1!$B:$B,MATCH($D8,[2]Sheet1!$A:$A,0)),"Not found")</f>
        <v>Not found</v>
      </c>
      <c r="N8">
        <f t="shared" si="0"/>
        <v>0</v>
      </c>
      <c r="O8">
        <f t="shared" si="1"/>
        <v>0</v>
      </c>
    </row>
    <row r="9" spans="1:15" x14ac:dyDescent="0.25">
      <c r="A9" t="s">
        <v>0</v>
      </c>
      <c r="B9" s="1">
        <v>43466</v>
      </c>
      <c r="C9" s="1">
        <v>55153</v>
      </c>
      <c r="D9" s="4" t="s">
        <v>257</v>
      </c>
      <c r="E9" s="32" t="s">
        <v>258</v>
      </c>
      <c r="F9" s="32">
        <v>11024008</v>
      </c>
      <c r="G9" t="s">
        <v>3</v>
      </c>
      <c r="H9" t="s">
        <v>4</v>
      </c>
      <c r="I9" t="s">
        <v>50</v>
      </c>
      <c r="J9" s="30" t="str">
        <f>IF(ISNUMBER(MATCH($D9,'Lopettaneet 2013-&gt;'!$D:$D,0)),INDEX('Lopettaneet 2013-&gt;'!$K:$K,MATCH($D9,'Lopettaneet 2013-&gt;'!$D:$D,0)),"Continues")</f>
        <v>Closed</v>
      </c>
      <c r="K9" s="30">
        <f ca="1">IF($J9="Continues",DATEDIF($B9,TODAY(),"Y"),INDEX('Lopettaneet 2013-&gt;'!$L:$L,MATCH($D9,'Lopettaneet 2013-&gt;'!$D:$D,0)))</f>
        <v>10</v>
      </c>
      <c r="L9" s="31" t="str">
        <f>IFERROR(INDEX('[1]30.06.2024'!$H:$H,MATCH($E9,'[1]30.06.2024'!$B:$B,0)),"Not found")</f>
        <v>OP-Rahastoyhtiö Oy</v>
      </c>
      <c r="M9" s="31" t="str">
        <f>IFERROR(INDEX([2]Sheet1!$B:$B,MATCH($D9,[2]Sheet1!$A:$A,0)),"Not found")</f>
        <v>Retail</v>
      </c>
      <c r="N9">
        <f t="shared" si="0"/>
        <v>1</v>
      </c>
      <c r="O9">
        <f t="shared" si="1"/>
        <v>0</v>
      </c>
    </row>
    <row r="10" spans="1:15" x14ac:dyDescent="0.25">
      <c r="A10" t="s">
        <v>0</v>
      </c>
      <c r="B10" s="1">
        <v>43466</v>
      </c>
      <c r="C10" s="1">
        <v>55153</v>
      </c>
      <c r="D10" s="4" t="s">
        <v>259</v>
      </c>
      <c r="E10" s="32" t="s">
        <v>260</v>
      </c>
      <c r="F10" s="32">
        <v>20667232</v>
      </c>
      <c r="G10" t="s">
        <v>3</v>
      </c>
      <c r="H10" t="s">
        <v>4</v>
      </c>
      <c r="I10" t="s">
        <v>50</v>
      </c>
      <c r="J10" s="30" t="str">
        <f>IF(ISNUMBER(MATCH($D10,'Lopettaneet 2013-&gt;'!$D:$D,0)),INDEX('Lopettaneet 2013-&gt;'!$K:$K,MATCH($D10,'Lopettaneet 2013-&gt;'!$D:$D,0)),"Continues")</f>
        <v>Closed</v>
      </c>
      <c r="K10" s="30">
        <f ca="1">IF($J10="Continues",DATEDIF($B10,TODAY(),"Y"),INDEX('Lopettaneet 2013-&gt;'!$L:$L,MATCH($D10,'Lopettaneet 2013-&gt;'!$D:$D,0)))</f>
        <v>6</v>
      </c>
      <c r="L10" s="31" t="str">
        <f>IFERROR(INDEX('[1]30.06.2024'!$H:$H,MATCH($E10,'[1]30.06.2024'!$B:$B,0)),"Not found")</f>
        <v>S-Pankki Rahastoyhtiö Oy</v>
      </c>
      <c r="M10" s="31" t="str">
        <f>IFERROR(INDEX([2]Sheet1!$B:$B,MATCH($D10,[2]Sheet1!$A:$A,0)),"Not found")</f>
        <v>Retail</v>
      </c>
      <c r="N10">
        <f t="shared" si="0"/>
        <v>1</v>
      </c>
      <c r="O10">
        <f t="shared" si="1"/>
        <v>0</v>
      </c>
    </row>
    <row r="11" spans="1:15" x14ac:dyDescent="0.25">
      <c r="A11" t="s">
        <v>7</v>
      </c>
      <c r="B11" s="1">
        <v>41974</v>
      </c>
      <c r="C11" s="1">
        <v>44469</v>
      </c>
      <c r="D11" s="4" t="s">
        <v>261</v>
      </c>
      <c r="E11" s="32" t="s">
        <v>262</v>
      </c>
      <c r="F11" s="32">
        <v>8425222</v>
      </c>
      <c r="G11" t="s">
        <v>10</v>
      </c>
      <c r="H11" t="s">
        <v>11</v>
      </c>
      <c r="I11" t="s">
        <v>80</v>
      </c>
      <c r="J11" s="30" t="str">
        <f>IF(ISNUMBER(MATCH($D11,'Lopettaneet 2013-&gt;'!$D:$D,0)),INDEX('Lopettaneet 2013-&gt;'!$K:$K,MATCH($D11,'Lopettaneet 2013-&gt;'!$D:$D,0)),"Continues")</f>
        <v>Closed</v>
      </c>
      <c r="K11" s="30">
        <f ca="1">IF($J11="Continues",DATEDIF($B11,TODAY(),"Y"),INDEX('Lopettaneet 2013-&gt;'!$L:$L,MATCH($D11,'Lopettaneet 2013-&gt;'!$D:$D,0)))</f>
        <v>6</v>
      </c>
      <c r="L11" s="31" t="str">
        <f>IFERROR(INDEX('[1]30.06.2024'!$H:$H,MATCH($E11,'[1]30.06.2024'!$B:$B,0)),"Not found")</f>
        <v>Not found</v>
      </c>
      <c r="M11" s="31" t="str">
        <f>IFERROR(INDEX([2]Sheet1!$B:$B,MATCH($D11,[2]Sheet1!$A:$A,0)),"Not found")</f>
        <v>Not found</v>
      </c>
      <c r="N11">
        <f>IF($M11="Retail",1,0)</f>
        <v>0</v>
      </c>
      <c r="O11">
        <f>IF($M11="Non-Retail",1,0)</f>
        <v>0</v>
      </c>
    </row>
    <row r="12" spans="1:15" x14ac:dyDescent="0.25">
      <c r="A12" t="s">
        <v>7</v>
      </c>
      <c r="B12" s="1">
        <v>41974</v>
      </c>
      <c r="C12" s="1">
        <v>43100</v>
      </c>
      <c r="D12" s="4" t="s">
        <v>263</v>
      </c>
      <c r="E12" s="32" t="s">
        <v>264</v>
      </c>
      <c r="F12" s="32">
        <v>8425142</v>
      </c>
      <c r="G12" t="s">
        <v>10</v>
      </c>
      <c r="H12" t="s">
        <v>11</v>
      </c>
      <c r="I12" t="s">
        <v>80</v>
      </c>
      <c r="J12" s="30" t="str">
        <f>IF(ISNUMBER(MATCH($D12,'Lopettaneet 2013-&gt;'!$D:$D,0)),INDEX('Lopettaneet 2013-&gt;'!$K:$K,MATCH($D12,'Lopettaneet 2013-&gt;'!$D:$D,0)),"Continues")</f>
        <v>Closed</v>
      </c>
      <c r="K12" s="30">
        <f ca="1">IF($J12="Continues",DATEDIF($B12,TODAY(),"Y"),INDEX('Lopettaneet 2013-&gt;'!$L:$L,MATCH($D12,'Lopettaneet 2013-&gt;'!$D:$D,0)))</f>
        <v>3</v>
      </c>
      <c r="L12" s="31" t="str">
        <f>IFERROR(INDEX('[1]30.06.2024'!$H:$H,MATCH($E12,'[1]30.06.2024'!$B:$B,0)),"Not found")</f>
        <v>Not found</v>
      </c>
      <c r="M12" s="31" t="str">
        <f>IFERROR(INDEX([2]Sheet1!$B:$B,MATCH($D12,[2]Sheet1!$A:$A,0)),"Not found")</f>
        <v>Not found</v>
      </c>
      <c r="N12">
        <f t="shared" si="0"/>
        <v>0</v>
      </c>
      <c r="O12">
        <f t="shared" si="1"/>
        <v>0</v>
      </c>
    </row>
    <row r="13" spans="1:15" x14ac:dyDescent="0.25">
      <c r="A13" t="s">
        <v>0</v>
      </c>
      <c r="B13" s="1">
        <v>43466</v>
      </c>
      <c r="C13" s="1">
        <v>55153</v>
      </c>
      <c r="D13" s="4" t="s">
        <v>265</v>
      </c>
      <c r="E13" s="32" t="s">
        <v>266</v>
      </c>
      <c r="F13" s="32">
        <v>18001415</v>
      </c>
      <c r="G13" t="s">
        <v>3</v>
      </c>
      <c r="H13" t="s">
        <v>4</v>
      </c>
      <c r="I13" t="s">
        <v>50</v>
      </c>
      <c r="J13" s="30" t="str">
        <f>IF(ISNUMBER(MATCH($D13,'Lopettaneet 2013-&gt;'!$D:$D,0)),INDEX('Lopettaneet 2013-&gt;'!$K:$K,MATCH($D13,'Lopettaneet 2013-&gt;'!$D:$D,0)),"Continues")</f>
        <v>Closed</v>
      </c>
      <c r="K13" s="30">
        <f ca="1">IF($J13="Continues",DATEDIF($B13,TODAY(),"Y"),INDEX('Lopettaneet 2013-&gt;'!$L:$L,MATCH($D13,'Lopettaneet 2013-&gt;'!$D:$D,0)))</f>
        <v>10</v>
      </c>
      <c r="L13" s="31" t="str">
        <f>IFERROR(INDEX('[1]30.06.2024'!$H:$H,MATCH($E13,'[1]30.06.2024'!$B:$B,0)),"Not found")</f>
        <v>eQ Rahastoyhtiö Oy</v>
      </c>
      <c r="M13" s="31" t="str">
        <f>IFERROR(INDEX([2]Sheet1!$B:$B,MATCH($D13,[2]Sheet1!$A:$A,0)),"Not found")</f>
        <v>Retail</v>
      </c>
      <c r="N13">
        <f t="shared" si="0"/>
        <v>1</v>
      </c>
      <c r="O13">
        <f t="shared" si="1"/>
        <v>0</v>
      </c>
    </row>
    <row r="14" spans="1:15" x14ac:dyDescent="0.25">
      <c r="A14" t="s">
        <v>0</v>
      </c>
      <c r="B14" s="1">
        <v>42856</v>
      </c>
      <c r="C14" s="1">
        <v>44165</v>
      </c>
      <c r="D14" s="4" t="s">
        <v>267</v>
      </c>
      <c r="E14" s="32" t="s">
        <v>268</v>
      </c>
      <c r="F14" s="32">
        <v>22668650</v>
      </c>
      <c r="G14" t="s">
        <v>3</v>
      </c>
      <c r="H14" t="s">
        <v>4</v>
      </c>
      <c r="I14" t="s">
        <v>20</v>
      </c>
      <c r="J14" s="30" t="str">
        <f>IF(ISNUMBER(MATCH($D14,'Lopettaneet 2013-&gt;'!$D:$D,0)),INDEX('Lopettaneet 2013-&gt;'!$K:$K,MATCH($D14,'Lopettaneet 2013-&gt;'!$D:$D,0)),"Continues")</f>
        <v>Merged</v>
      </c>
      <c r="K14" s="30">
        <f ca="1">IF($J14="Continues",DATEDIF($B14,TODAY(),"Y"),INDEX('Lopettaneet 2013-&gt;'!$L:$L,MATCH($D14,'Lopettaneet 2013-&gt;'!$D:$D,0)))</f>
        <v>8</v>
      </c>
      <c r="L14" s="31" t="str">
        <f>IFERROR(INDEX('[1]30.06.2024'!$H:$H,MATCH($E14,'[1]30.06.2024'!$B:$B,0)),"Not found")</f>
        <v>Not found</v>
      </c>
      <c r="M14" s="31" t="str">
        <f>IFERROR(INDEX([2]Sheet1!$B:$B,MATCH($D14,[2]Sheet1!$A:$A,0)),"Not found")</f>
        <v>Not found</v>
      </c>
      <c r="N14">
        <f t="shared" si="0"/>
        <v>0</v>
      </c>
      <c r="O14">
        <f t="shared" si="1"/>
        <v>0</v>
      </c>
    </row>
    <row r="15" spans="1:15" x14ac:dyDescent="0.25">
      <c r="A15" t="s">
        <v>0</v>
      </c>
      <c r="B15" s="1">
        <v>43466</v>
      </c>
      <c r="C15" s="1">
        <v>55153</v>
      </c>
      <c r="D15" s="4" t="s">
        <v>269</v>
      </c>
      <c r="E15" s="32" t="s">
        <v>270</v>
      </c>
      <c r="F15" s="32">
        <v>22508606</v>
      </c>
      <c r="G15" t="s">
        <v>3</v>
      </c>
      <c r="H15" t="s">
        <v>4</v>
      </c>
      <c r="I15" t="s">
        <v>50</v>
      </c>
      <c r="J15" s="30" t="str">
        <f>IF(ISNUMBER(MATCH($D15,'Lopettaneet 2013-&gt;'!$D:$D,0)),INDEX('Lopettaneet 2013-&gt;'!$K:$K,MATCH($D15,'Lopettaneet 2013-&gt;'!$D:$D,0)),"Continues")</f>
        <v>Closed</v>
      </c>
      <c r="K15" s="30">
        <f ca="1">IF($J15="Continues",DATEDIF($B15,TODAY(),"Y"),INDEX('Lopettaneet 2013-&gt;'!$L:$L,MATCH($D15,'Lopettaneet 2013-&gt;'!$D:$D,0)))</f>
        <v>9</v>
      </c>
      <c r="L15" s="31" t="str">
        <f>IFERROR(INDEX('[1]30.06.2024'!$H:$H,MATCH($E15,'[1]30.06.2024'!$B:$B,0)),"Not found")</f>
        <v>Nordea Funds Oy</v>
      </c>
      <c r="M15" s="31" t="str">
        <f>IFERROR(INDEX([2]Sheet1!$B:$B,MATCH($D15,[2]Sheet1!$A:$A,0)),"Not found")</f>
        <v>Retail</v>
      </c>
      <c r="N15">
        <f t="shared" si="0"/>
        <v>1</v>
      </c>
      <c r="O15">
        <f t="shared" si="1"/>
        <v>0</v>
      </c>
    </row>
    <row r="16" spans="1:15" x14ac:dyDescent="0.25">
      <c r="A16" t="s">
        <v>0</v>
      </c>
      <c r="B16" s="1">
        <v>43466</v>
      </c>
      <c r="C16" s="1">
        <v>55153</v>
      </c>
      <c r="D16" s="4" t="s">
        <v>271</v>
      </c>
      <c r="E16" s="32" t="s">
        <v>272</v>
      </c>
      <c r="F16" s="32">
        <v>22632295</v>
      </c>
      <c r="G16" t="s">
        <v>3</v>
      </c>
      <c r="H16" t="s">
        <v>4</v>
      </c>
      <c r="I16" t="s">
        <v>50</v>
      </c>
      <c r="J16" s="30" t="str">
        <f>IF(ISNUMBER(MATCH($D16,'Lopettaneet 2013-&gt;'!$D:$D,0)),INDEX('Lopettaneet 2013-&gt;'!$K:$K,MATCH($D16,'Lopettaneet 2013-&gt;'!$D:$D,0)),"Continues")</f>
        <v>Closed</v>
      </c>
      <c r="K16" s="30">
        <f ca="1">IF($J16="Continues",DATEDIF($B16,TODAY(),"Y"),INDEX('Lopettaneet 2013-&gt;'!$L:$L,MATCH($D16,'Lopettaneet 2013-&gt;'!$D:$D,0)))</f>
        <v>9</v>
      </c>
      <c r="L16" s="31" t="str">
        <f>IFERROR(INDEX('[1]30.06.2024'!$H:$H,MATCH($E16,'[1]30.06.2024'!$B:$B,0)),"Not found")</f>
        <v>Nordea Funds Oy</v>
      </c>
      <c r="M16" s="31" t="str">
        <f>IFERROR(INDEX([2]Sheet1!$B:$B,MATCH($D16,[2]Sheet1!$A:$A,0)),"Not found")</f>
        <v>Retail</v>
      </c>
      <c r="N16">
        <f t="shared" si="0"/>
        <v>1</v>
      </c>
      <c r="O16">
        <f t="shared" si="1"/>
        <v>0</v>
      </c>
    </row>
    <row r="17" spans="1:15" x14ac:dyDescent="0.25">
      <c r="A17" t="s">
        <v>7</v>
      </c>
      <c r="B17" s="1">
        <v>41974</v>
      </c>
      <c r="C17" s="1">
        <v>55153</v>
      </c>
      <c r="D17" s="4" t="s">
        <v>273</v>
      </c>
      <c r="E17" s="32" t="s">
        <v>274</v>
      </c>
      <c r="F17" s="32">
        <v>19930881</v>
      </c>
      <c r="G17" t="s">
        <v>10</v>
      </c>
      <c r="H17" t="s">
        <v>11</v>
      </c>
      <c r="I17" t="s">
        <v>32</v>
      </c>
      <c r="J17" s="30" t="str">
        <f>IF(ISNUMBER(MATCH($D17,'Lopettaneet 2013-&gt;'!$D:$D,0)),INDEX('Lopettaneet 2013-&gt;'!$K:$K,MATCH($D17,'Lopettaneet 2013-&gt;'!$D:$D,0)),"Continues")</f>
        <v>Continues</v>
      </c>
      <c r="K17" s="30">
        <f ca="1">IF($J17="Continues",DATEDIF($B17,TODAY(),"Y"),INDEX('Lopettaneet 2013-&gt;'!$L:$L,MATCH($D17,'Lopettaneet 2013-&gt;'!$D:$D,0)))</f>
        <v>10</v>
      </c>
      <c r="L17" s="31" t="str">
        <f>IFERROR(INDEX('[1]30.06.2024'!$H:$H,MATCH($E17,'[1]30.06.2024'!$B:$B,0)),"Not found")</f>
        <v>Not found</v>
      </c>
      <c r="M17" s="31" t="str">
        <f>IFERROR(INDEX([2]Sheet1!$B:$B,MATCH($D17,[2]Sheet1!$A:$A,0)),"Not found")</f>
        <v>Non-Retail</v>
      </c>
      <c r="N17">
        <f t="shared" si="0"/>
        <v>0</v>
      </c>
      <c r="O17">
        <f t="shared" si="1"/>
        <v>1</v>
      </c>
    </row>
    <row r="18" spans="1:15" x14ac:dyDescent="0.25">
      <c r="A18" t="s">
        <v>7</v>
      </c>
      <c r="B18" s="1">
        <v>41974</v>
      </c>
      <c r="C18" s="1">
        <v>55153</v>
      </c>
      <c r="D18" s="4" t="s">
        <v>275</v>
      </c>
      <c r="E18" s="32" t="s">
        <v>276</v>
      </c>
      <c r="F18" s="32">
        <v>20398036</v>
      </c>
      <c r="G18" t="s">
        <v>10</v>
      </c>
      <c r="H18" t="s">
        <v>11</v>
      </c>
      <c r="I18" t="s">
        <v>12</v>
      </c>
      <c r="J18" s="30" t="str">
        <f>IF(ISNUMBER(MATCH($D18,'Lopettaneet 2013-&gt;'!$D:$D,0)),INDEX('Lopettaneet 2013-&gt;'!$K:$K,MATCH($D18,'Lopettaneet 2013-&gt;'!$D:$D,0)),"Continues")</f>
        <v>Continues</v>
      </c>
      <c r="K18" s="30">
        <f ca="1">IF($J18="Continues",DATEDIF($B18,TODAY(),"Y"),INDEX('Lopettaneet 2013-&gt;'!$L:$L,MATCH($D18,'Lopettaneet 2013-&gt;'!$D:$D,0)))</f>
        <v>10</v>
      </c>
      <c r="L18" s="31" t="str">
        <f>IFERROR(INDEX('[1]30.06.2024'!$H:$H,MATCH($E18,'[1]30.06.2024'!$B:$B,0)),"Not found")</f>
        <v>eQ Rahastoyhtiö Oy</v>
      </c>
      <c r="M18" s="31" t="str">
        <f>IFERROR(INDEX([2]Sheet1!$B:$B,MATCH($D18,[2]Sheet1!$A:$A,0)),"Not found")</f>
        <v>Non-Retail</v>
      </c>
      <c r="N18">
        <f t="shared" si="0"/>
        <v>0</v>
      </c>
      <c r="O18">
        <f t="shared" si="1"/>
        <v>1</v>
      </c>
    </row>
    <row r="19" spans="1:15" x14ac:dyDescent="0.25">
      <c r="A19" t="s">
        <v>7</v>
      </c>
      <c r="B19" s="1">
        <v>41974</v>
      </c>
      <c r="C19" s="1">
        <v>42643</v>
      </c>
      <c r="D19" s="4" t="s">
        <v>277</v>
      </c>
      <c r="E19" s="32" t="s">
        <v>278</v>
      </c>
      <c r="F19" s="32">
        <v>22830558</v>
      </c>
      <c r="G19" t="s">
        <v>10</v>
      </c>
      <c r="H19" t="s">
        <v>11</v>
      </c>
      <c r="I19" t="s">
        <v>32</v>
      </c>
      <c r="J19" s="30" t="str">
        <f>IF(ISNUMBER(MATCH($D19,'Lopettaneet 2013-&gt;'!$D:$D,0)),INDEX('Lopettaneet 2013-&gt;'!$K:$K,MATCH($D19,'Lopettaneet 2013-&gt;'!$D:$D,0)),"Continues")</f>
        <v>Closed</v>
      </c>
      <c r="K19" s="30">
        <f ca="1">IF($J19="Continues",DATEDIF($B19,TODAY(),"Y"),INDEX('Lopettaneet 2013-&gt;'!$L:$L,MATCH($D19,'Lopettaneet 2013-&gt;'!$D:$D,0)))</f>
        <v>1</v>
      </c>
      <c r="L19" s="31" t="str">
        <f>IFERROR(INDEX('[1]30.06.2024'!$H:$H,MATCH($E19,'[1]30.06.2024'!$B:$B,0)),"Not found")</f>
        <v>Not found</v>
      </c>
      <c r="M19" s="31" t="str">
        <f>IFERROR(INDEX([2]Sheet1!$B:$B,MATCH($D19,[2]Sheet1!$A:$A,0)),"Not found")</f>
        <v>Not found</v>
      </c>
      <c r="N19">
        <f t="shared" si="0"/>
        <v>0</v>
      </c>
      <c r="O19">
        <f t="shared" si="1"/>
        <v>0</v>
      </c>
    </row>
    <row r="20" spans="1:15" x14ac:dyDescent="0.25">
      <c r="A20" t="s">
        <v>7</v>
      </c>
      <c r="B20" s="1">
        <v>41974</v>
      </c>
      <c r="C20" s="1">
        <v>42735</v>
      </c>
      <c r="D20" s="4" t="s">
        <v>279</v>
      </c>
      <c r="E20" s="32" t="s">
        <v>280</v>
      </c>
      <c r="F20" s="32">
        <v>21261517</v>
      </c>
      <c r="G20" t="s">
        <v>10</v>
      </c>
      <c r="H20" t="s">
        <v>11</v>
      </c>
      <c r="I20" t="s">
        <v>32</v>
      </c>
      <c r="J20" s="30" t="str">
        <f>IF(ISNUMBER(MATCH($D20,'Lopettaneet 2013-&gt;'!$D:$D,0)),INDEX('Lopettaneet 2013-&gt;'!$K:$K,MATCH($D20,'Lopettaneet 2013-&gt;'!$D:$D,0)),"Continues")</f>
        <v>Closed</v>
      </c>
      <c r="K20" s="30">
        <f ca="1">IF($J20="Continues",DATEDIF($B20,TODAY(),"Y"),INDEX('Lopettaneet 2013-&gt;'!$L:$L,MATCH($D20,'Lopettaneet 2013-&gt;'!$D:$D,0)))</f>
        <v>2</v>
      </c>
      <c r="L20" s="31" t="str">
        <f>IFERROR(INDEX('[1]30.06.2024'!$H:$H,MATCH($E20,'[1]30.06.2024'!$B:$B,0)),"Not found")</f>
        <v>Not found</v>
      </c>
      <c r="M20" s="31" t="str">
        <f>IFERROR(INDEX([2]Sheet1!$B:$B,MATCH($D20,[2]Sheet1!$A:$A,0)),"Not found")</f>
        <v>Not found</v>
      </c>
      <c r="N20">
        <f t="shared" si="0"/>
        <v>0</v>
      </c>
      <c r="O20">
        <f t="shared" si="1"/>
        <v>0</v>
      </c>
    </row>
    <row r="21" spans="1:15" x14ac:dyDescent="0.25">
      <c r="A21" t="s">
        <v>7</v>
      </c>
      <c r="B21" s="1">
        <v>41974</v>
      </c>
      <c r="C21" s="1">
        <v>43465</v>
      </c>
      <c r="D21" s="4" t="s">
        <v>281</v>
      </c>
      <c r="E21" s="32" t="s">
        <v>282</v>
      </c>
      <c r="F21" s="32">
        <v>20460602</v>
      </c>
      <c r="G21" t="s">
        <v>10</v>
      </c>
      <c r="H21" t="s">
        <v>11</v>
      </c>
      <c r="I21" t="s">
        <v>32</v>
      </c>
      <c r="J21" s="30" t="str">
        <f>IF(ISNUMBER(MATCH($D21,'Lopettaneet 2013-&gt;'!$D:$D,0)),INDEX('Lopettaneet 2013-&gt;'!$K:$K,MATCH($D21,'Lopettaneet 2013-&gt;'!$D:$D,0)),"Continues")</f>
        <v>Closed</v>
      </c>
      <c r="K21" s="30">
        <f ca="1">IF($J21="Continues",DATEDIF($B21,TODAY(),"Y"),INDEX('Lopettaneet 2013-&gt;'!$L:$L,MATCH($D21,'Lopettaneet 2013-&gt;'!$D:$D,0)))</f>
        <v>4</v>
      </c>
      <c r="L21" s="31" t="str">
        <f>IFERROR(INDEX('[1]30.06.2024'!$H:$H,MATCH($E21,'[1]30.06.2024'!$B:$B,0)),"Not found")</f>
        <v>Not found</v>
      </c>
      <c r="M21" s="31" t="str">
        <f>IFERROR(INDEX([2]Sheet1!$B:$B,MATCH($D21,[2]Sheet1!$A:$A,0)),"Not found")</f>
        <v>Not found</v>
      </c>
      <c r="N21">
        <f t="shared" si="0"/>
        <v>0</v>
      </c>
      <c r="O21">
        <f t="shared" si="1"/>
        <v>0</v>
      </c>
    </row>
    <row r="22" spans="1:15" x14ac:dyDescent="0.25">
      <c r="A22" t="s">
        <v>7</v>
      </c>
      <c r="B22" s="1">
        <v>41974</v>
      </c>
      <c r="C22" s="1">
        <v>42277</v>
      </c>
      <c r="D22" s="4" t="s">
        <v>283</v>
      </c>
      <c r="E22" s="32" t="s">
        <v>284</v>
      </c>
      <c r="F22" s="32">
        <v>20259335</v>
      </c>
      <c r="G22" t="s">
        <v>10</v>
      </c>
      <c r="H22" t="s">
        <v>11</v>
      </c>
      <c r="I22" t="s">
        <v>32</v>
      </c>
      <c r="J22" s="30" t="str">
        <f>IF(ISNUMBER(MATCH($D22,'Lopettaneet 2013-&gt;'!$D:$D,0)),INDEX('Lopettaneet 2013-&gt;'!$K:$K,MATCH($D22,'Lopettaneet 2013-&gt;'!$D:$D,0)),"Continues")</f>
        <v>Closed</v>
      </c>
      <c r="K22" s="30">
        <f ca="1">IF($J22="Continues",DATEDIF($B22,TODAY(),"Y"),INDEX('Lopettaneet 2013-&gt;'!$L:$L,MATCH($D22,'Lopettaneet 2013-&gt;'!$D:$D,0)))</f>
        <v>0</v>
      </c>
      <c r="L22" s="31" t="str">
        <f>IFERROR(INDEX('[1]30.06.2024'!$H:$H,MATCH($E22,'[1]30.06.2024'!$B:$B,0)),"Not found")</f>
        <v>Not found</v>
      </c>
      <c r="M22" s="31" t="str">
        <f>IFERROR(INDEX([2]Sheet1!$B:$B,MATCH($D22,[2]Sheet1!$A:$A,0)),"Not found")</f>
        <v>Not found</v>
      </c>
      <c r="N22">
        <f t="shared" si="0"/>
        <v>0</v>
      </c>
      <c r="O22">
        <f t="shared" si="1"/>
        <v>0</v>
      </c>
    </row>
    <row r="23" spans="1:15" x14ac:dyDescent="0.25">
      <c r="A23" t="s">
        <v>7</v>
      </c>
      <c r="B23" s="1">
        <v>41974</v>
      </c>
      <c r="C23" s="1">
        <v>44104</v>
      </c>
      <c r="D23" s="4" t="s">
        <v>285</v>
      </c>
      <c r="E23" s="32" t="s">
        <v>286</v>
      </c>
      <c r="F23" s="32">
        <v>21385376</v>
      </c>
      <c r="G23" t="s">
        <v>10</v>
      </c>
      <c r="H23" t="s">
        <v>11</v>
      </c>
      <c r="I23" t="s">
        <v>32</v>
      </c>
      <c r="J23" s="30" t="str">
        <f>IF(ISNUMBER(MATCH($D23,'Lopettaneet 2013-&gt;'!$D:$D,0)),INDEX('Lopettaneet 2013-&gt;'!$K:$K,MATCH($D23,'Lopettaneet 2013-&gt;'!$D:$D,0)),"Continues")</f>
        <v>Closed</v>
      </c>
      <c r="K23" s="30">
        <f ca="1">IF($J23="Continues",DATEDIF($B23,TODAY(),"Y"),INDEX('Lopettaneet 2013-&gt;'!$L:$L,MATCH($D23,'Lopettaneet 2013-&gt;'!$D:$D,0)))</f>
        <v>5</v>
      </c>
      <c r="L23" s="31" t="str">
        <f>IFERROR(INDEX('[1]30.06.2024'!$H:$H,MATCH($E23,'[1]30.06.2024'!$B:$B,0)),"Not found")</f>
        <v>Not found</v>
      </c>
      <c r="M23" s="31" t="str">
        <f>IFERROR(INDEX([2]Sheet1!$B:$B,MATCH($D23,[2]Sheet1!$A:$A,0)),"Not found")</f>
        <v>Not found</v>
      </c>
      <c r="N23">
        <f t="shared" si="0"/>
        <v>0</v>
      </c>
      <c r="O23">
        <f t="shared" si="1"/>
        <v>0</v>
      </c>
    </row>
    <row r="24" spans="1:15" x14ac:dyDescent="0.25">
      <c r="A24" t="s">
        <v>7</v>
      </c>
      <c r="B24" s="1">
        <v>41974</v>
      </c>
      <c r="C24" s="1">
        <v>44561</v>
      </c>
      <c r="D24" s="4" t="s">
        <v>287</v>
      </c>
      <c r="E24" s="32" t="s">
        <v>288</v>
      </c>
      <c r="F24" s="32">
        <v>21264072</v>
      </c>
      <c r="G24" t="s">
        <v>10</v>
      </c>
      <c r="H24" t="s">
        <v>11</v>
      </c>
      <c r="I24" t="s">
        <v>12</v>
      </c>
      <c r="J24" s="30" t="str">
        <f>IF(ISNUMBER(MATCH($D24,'Lopettaneet 2013-&gt;'!$D:$D,0)),INDEX('Lopettaneet 2013-&gt;'!$K:$K,MATCH($D24,'Lopettaneet 2013-&gt;'!$D:$D,0)),"Continues")</f>
        <v>Closed</v>
      </c>
      <c r="K24" s="30">
        <f ca="1">IF($J24="Continues",DATEDIF($B24,TODAY(),"Y"),INDEX('Lopettaneet 2013-&gt;'!$L:$L,MATCH($D24,'Lopettaneet 2013-&gt;'!$D:$D,0)))</f>
        <v>7</v>
      </c>
      <c r="L24" s="31" t="str">
        <f>IFERROR(INDEX('[1]30.06.2024'!$H:$H,MATCH($E24,'[1]30.06.2024'!$B:$B,0)),"Not found")</f>
        <v>Not found</v>
      </c>
      <c r="M24" s="31" t="str">
        <f>IFERROR(INDEX([2]Sheet1!$B:$B,MATCH($D24,[2]Sheet1!$A:$A,0)),"Not found")</f>
        <v>Not found</v>
      </c>
      <c r="N24">
        <f t="shared" si="0"/>
        <v>0</v>
      </c>
      <c r="O24">
        <f t="shared" si="1"/>
        <v>0</v>
      </c>
    </row>
    <row r="25" spans="1:15" x14ac:dyDescent="0.25">
      <c r="A25" t="s">
        <v>7</v>
      </c>
      <c r="B25" s="1">
        <v>41974</v>
      </c>
      <c r="C25" s="1">
        <v>43921</v>
      </c>
      <c r="D25" s="4" t="s">
        <v>289</v>
      </c>
      <c r="E25" s="32" t="s">
        <v>290</v>
      </c>
      <c r="F25" s="32">
        <v>17643379</v>
      </c>
      <c r="G25" t="s">
        <v>10</v>
      </c>
      <c r="H25" t="s">
        <v>11</v>
      </c>
      <c r="I25" t="s">
        <v>12</v>
      </c>
      <c r="J25" s="30" t="str">
        <f>IF(ISNUMBER(MATCH($D25,'Lopettaneet 2013-&gt;'!$D:$D,0)),INDEX('Lopettaneet 2013-&gt;'!$K:$K,MATCH($D25,'Lopettaneet 2013-&gt;'!$D:$D,0)),"Continues")</f>
        <v>Closed</v>
      </c>
      <c r="K25" s="30">
        <f ca="1">IF($J25="Continues",DATEDIF($B25,TODAY(),"Y"),INDEX('Lopettaneet 2013-&gt;'!$L:$L,MATCH($D25,'Lopettaneet 2013-&gt;'!$D:$D,0)))</f>
        <v>5</v>
      </c>
      <c r="L25" s="31" t="str">
        <f>IFERROR(INDEX('[1]30.06.2024'!$H:$H,MATCH($E25,'[1]30.06.2024'!$B:$B,0)),"Not found")</f>
        <v>Not found</v>
      </c>
      <c r="M25" s="31" t="str">
        <f>IFERROR(INDEX([2]Sheet1!$B:$B,MATCH($D25,[2]Sheet1!$A:$A,0)),"Not found")</f>
        <v>Not found</v>
      </c>
      <c r="N25">
        <f t="shared" si="0"/>
        <v>0</v>
      </c>
      <c r="O25">
        <f t="shared" si="1"/>
        <v>0</v>
      </c>
    </row>
    <row r="26" spans="1:15" x14ac:dyDescent="0.25">
      <c r="A26" t="s">
        <v>7</v>
      </c>
      <c r="B26" s="1">
        <v>41974</v>
      </c>
      <c r="C26" s="1">
        <v>42735</v>
      </c>
      <c r="D26" s="4" t="s">
        <v>291</v>
      </c>
      <c r="E26" s="32" t="s">
        <v>292</v>
      </c>
      <c r="F26" s="32">
        <v>20603722</v>
      </c>
      <c r="G26" t="s">
        <v>10</v>
      </c>
      <c r="H26" t="s">
        <v>11</v>
      </c>
      <c r="I26" t="s">
        <v>32</v>
      </c>
      <c r="J26" s="30" t="str">
        <f>IF(ISNUMBER(MATCH($D26,'Lopettaneet 2013-&gt;'!$D:$D,0)),INDEX('Lopettaneet 2013-&gt;'!$K:$K,MATCH($D26,'Lopettaneet 2013-&gt;'!$D:$D,0)),"Continues")</f>
        <v>Closed</v>
      </c>
      <c r="K26" s="30">
        <f ca="1">IF($J26="Continues",DATEDIF($B26,TODAY(),"Y"),INDEX('Lopettaneet 2013-&gt;'!$L:$L,MATCH($D26,'Lopettaneet 2013-&gt;'!$D:$D,0)))</f>
        <v>2</v>
      </c>
      <c r="L26" s="31" t="str">
        <f>IFERROR(INDEX('[1]30.06.2024'!$H:$H,MATCH($E26,'[1]30.06.2024'!$B:$B,0)),"Not found")</f>
        <v>Not found</v>
      </c>
      <c r="M26" s="31" t="str">
        <f>IFERROR(INDEX([2]Sheet1!$B:$B,MATCH($D26,[2]Sheet1!$A:$A,0)),"Not found")</f>
        <v>Not found</v>
      </c>
      <c r="N26">
        <f t="shared" si="0"/>
        <v>0</v>
      </c>
      <c r="O26">
        <f t="shared" si="1"/>
        <v>0</v>
      </c>
    </row>
    <row r="27" spans="1:15" x14ac:dyDescent="0.25">
      <c r="A27" t="s">
        <v>7</v>
      </c>
      <c r="B27" s="1">
        <v>41974</v>
      </c>
      <c r="C27" s="1">
        <v>55153</v>
      </c>
      <c r="D27" s="4" t="s">
        <v>293</v>
      </c>
      <c r="E27" s="32" t="s">
        <v>294</v>
      </c>
      <c r="F27" s="32">
        <v>22038878</v>
      </c>
      <c r="G27" t="s">
        <v>10</v>
      </c>
      <c r="H27" t="s">
        <v>11</v>
      </c>
      <c r="I27" t="s">
        <v>12</v>
      </c>
      <c r="J27" s="30" t="str">
        <f>IF(ISNUMBER(MATCH($D27,'Lopettaneet 2013-&gt;'!$D:$D,0)),INDEX('Lopettaneet 2013-&gt;'!$K:$K,MATCH($D27,'Lopettaneet 2013-&gt;'!$D:$D,0)),"Continues")</f>
        <v>Continues</v>
      </c>
      <c r="K27" s="30">
        <f ca="1">IF($J27="Continues",DATEDIF($B27,TODAY(),"Y"),INDEX('Lopettaneet 2013-&gt;'!$L:$L,MATCH($D27,'Lopettaneet 2013-&gt;'!$D:$D,0)))</f>
        <v>10</v>
      </c>
      <c r="L27" s="31" t="str">
        <f>IFERROR(INDEX('[1]30.06.2024'!$H:$H,MATCH($E27,'[1]30.06.2024'!$B:$B,0)),"Not found")</f>
        <v>Access Capital Advisors Finland Oy</v>
      </c>
      <c r="M27" s="31" t="str">
        <f>IFERROR(INDEX([2]Sheet1!$B:$B,MATCH($D27,[2]Sheet1!$A:$A,0)),"Not found")</f>
        <v>Non-Retail</v>
      </c>
      <c r="N27">
        <f t="shared" si="0"/>
        <v>0</v>
      </c>
      <c r="O27">
        <f t="shared" si="1"/>
        <v>1</v>
      </c>
    </row>
    <row r="28" spans="1:15" x14ac:dyDescent="0.25">
      <c r="A28" t="s">
        <v>7</v>
      </c>
      <c r="B28" s="1">
        <v>41974</v>
      </c>
      <c r="C28" s="1">
        <v>55153</v>
      </c>
      <c r="D28" s="4" t="s">
        <v>295</v>
      </c>
      <c r="E28" s="32" t="s">
        <v>296</v>
      </c>
      <c r="F28" s="32">
        <v>20748841</v>
      </c>
      <c r="G28" t="s">
        <v>10</v>
      </c>
      <c r="H28" t="s">
        <v>11</v>
      </c>
      <c r="I28" t="s">
        <v>32</v>
      </c>
      <c r="J28" s="30" t="str">
        <f>IF(ISNUMBER(MATCH($D28,'Lopettaneet 2013-&gt;'!$D:$D,0)),INDEX('Lopettaneet 2013-&gt;'!$K:$K,MATCH($D28,'Lopettaneet 2013-&gt;'!$D:$D,0)),"Continues")</f>
        <v>Continues</v>
      </c>
      <c r="K28" s="30">
        <f ca="1">IF($J28="Continues",DATEDIF($B28,TODAY(),"Y"),INDEX('Lopettaneet 2013-&gt;'!$L:$L,MATCH($D28,'Lopettaneet 2013-&gt;'!$D:$D,0)))</f>
        <v>10</v>
      </c>
      <c r="L28" s="31" t="str">
        <f>IFERROR(INDEX('[1]30.06.2024'!$H:$H,MATCH($E28,'[1]30.06.2024'!$B:$B,0)),"Not found")</f>
        <v>Not found</v>
      </c>
      <c r="M28" s="31" t="str">
        <f>IFERROR(INDEX([2]Sheet1!$B:$B,MATCH($D28,[2]Sheet1!$A:$A,0)),"Not found")</f>
        <v>Non-Retail</v>
      </c>
      <c r="N28">
        <f t="shared" si="0"/>
        <v>0</v>
      </c>
      <c r="O28">
        <f t="shared" si="1"/>
        <v>1</v>
      </c>
    </row>
    <row r="29" spans="1:15" x14ac:dyDescent="0.25">
      <c r="A29" t="s">
        <v>7</v>
      </c>
      <c r="B29" s="1">
        <v>41974</v>
      </c>
      <c r="C29" s="1">
        <v>44012</v>
      </c>
      <c r="D29" s="4" t="s">
        <v>297</v>
      </c>
      <c r="E29" s="32" t="s">
        <v>298</v>
      </c>
      <c r="F29" s="32">
        <v>22257376</v>
      </c>
      <c r="G29" t="s">
        <v>10</v>
      </c>
      <c r="H29" t="s">
        <v>11</v>
      </c>
      <c r="I29" t="s">
        <v>32</v>
      </c>
      <c r="J29" s="30" t="str">
        <f>IF(ISNUMBER(MATCH($D29,'Lopettaneet 2013-&gt;'!$D:$D,0)),INDEX('Lopettaneet 2013-&gt;'!$K:$K,MATCH($D29,'Lopettaneet 2013-&gt;'!$D:$D,0)),"Continues")</f>
        <v>Closed</v>
      </c>
      <c r="K29" s="30">
        <f ca="1">IF($J29="Continues",DATEDIF($B29,TODAY(),"Y"),INDEX('Lopettaneet 2013-&gt;'!$L:$L,MATCH($D29,'Lopettaneet 2013-&gt;'!$D:$D,0)))</f>
        <v>5</v>
      </c>
      <c r="L29" s="31" t="str">
        <f>IFERROR(INDEX('[1]30.06.2024'!$H:$H,MATCH($E29,'[1]30.06.2024'!$B:$B,0)),"Not found")</f>
        <v>Not found</v>
      </c>
      <c r="M29" s="31" t="str">
        <f>IFERROR(INDEX([2]Sheet1!$B:$B,MATCH($D29,[2]Sheet1!$A:$A,0)),"Not found")</f>
        <v>Not found</v>
      </c>
      <c r="N29">
        <f t="shared" si="0"/>
        <v>0</v>
      </c>
      <c r="O29">
        <f t="shared" si="1"/>
        <v>0</v>
      </c>
    </row>
    <row r="30" spans="1:15" x14ac:dyDescent="0.25">
      <c r="A30" t="s">
        <v>7</v>
      </c>
      <c r="B30" s="1">
        <v>41974</v>
      </c>
      <c r="C30" s="1">
        <v>44196</v>
      </c>
      <c r="D30" s="4" t="s">
        <v>299</v>
      </c>
      <c r="E30" s="32" t="s">
        <v>300</v>
      </c>
      <c r="F30" s="32">
        <v>19544323</v>
      </c>
      <c r="G30" t="s">
        <v>10</v>
      </c>
      <c r="H30" t="s">
        <v>11</v>
      </c>
      <c r="I30" t="s">
        <v>12</v>
      </c>
      <c r="J30" s="30" t="str">
        <f>IF(ISNUMBER(MATCH($D30,'Lopettaneet 2013-&gt;'!$D:$D,0)),INDEX('Lopettaneet 2013-&gt;'!$K:$K,MATCH($D30,'Lopettaneet 2013-&gt;'!$D:$D,0)),"Continues")</f>
        <v>Closed</v>
      </c>
      <c r="K30" s="30">
        <f ca="1">IF($J30="Continues",DATEDIF($B30,TODAY(),"Y"),INDEX('Lopettaneet 2013-&gt;'!$L:$L,MATCH($D30,'Lopettaneet 2013-&gt;'!$D:$D,0)))</f>
        <v>6</v>
      </c>
      <c r="L30" s="31" t="str">
        <f>IFERROR(INDEX('[1]30.06.2024'!$H:$H,MATCH($E30,'[1]30.06.2024'!$B:$B,0)),"Not found")</f>
        <v>Not found</v>
      </c>
      <c r="M30" s="31" t="str">
        <f>IFERROR(INDEX([2]Sheet1!$B:$B,MATCH($D30,[2]Sheet1!$A:$A,0)),"Not found")</f>
        <v>Not found</v>
      </c>
      <c r="N30">
        <f t="shared" si="0"/>
        <v>0</v>
      </c>
      <c r="O30">
        <f t="shared" si="1"/>
        <v>0</v>
      </c>
    </row>
    <row r="31" spans="1:15" x14ac:dyDescent="0.25">
      <c r="A31" t="s">
        <v>7</v>
      </c>
      <c r="B31" s="1">
        <v>41974</v>
      </c>
      <c r="C31" s="1">
        <v>43190</v>
      </c>
      <c r="D31" s="4" t="s">
        <v>301</v>
      </c>
      <c r="E31" s="32" t="s">
        <v>302</v>
      </c>
      <c r="F31" s="32">
        <v>20694097</v>
      </c>
      <c r="G31" t="s">
        <v>10</v>
      </c>
      <c r="H31" t="s">
        <v>11</v>
      </c>
      <c r="I31" t="s">
        <v>32</v>
      </c>
      <c r="J31" s="30" t="str">
        <f>IF(ISNUMBER(MATCH($D31,'Lopettaneet 2013-&gt;'!$D:$D,0)),INDEX('Lopettaneet 2013-&gt;'!$K:$K,MATCH($D31,'Lopettaneet 2013-&gt;'!$D:$D,0)),"Continues")</f>
        <v>Closed</v>
      </c>
      <c r="K31" s="30">
        <f ca="1">IF($J31="Continues",DATEDIF($B31,TODAY(),"Y"),INDEX('Lopettaneet 2013-&gt;'!$L:$L,MATCH($D31,'Lopettaneet 2013-&gt;'!$D:$D,0)))</f>
        <v>3</v>
      </c>
      <c r="L31" s="31" t="str">
        <f>IFERROR(INDEX('[1]30.06.2024'!$H:$H,MATCH($E31,'[1]30.06.2024'!$B:$B,0)),"Not found")</f>
        <v>Not found</v>
      </c>
      <c r="M31" s="31" t="str">
        <f>IFERROR(INDEX([2]Sheet1!$B:$B,MATCH($D31,[2]Sheet1!$A:$A,0)),"Not found")</f>
        <v>Not found</v>
      </c>
      <c r="N31">
        <f t="shared" si="0"/>
        <v>0</v>
      </c>
      <c r="O31">
        <f t="shared" si="1"/>
        <v>0</v>
      </c>
    </row>
    <row r="32" spans="1:15" x14ac:dyDescent="0.25">
      <c r="A32" t="s">
        <v>7</v>
      </c>
      <c r="B32" s="1">
        <v>41974</v>
      </c>
      <c r="C32" s="1">
        <v>55153</v>
      </c>
      <c r="D32" s="4" t="s">
        <v>303</v>
      </c>
      <c r="E32" s="32" t="s">
        <v>304</v>
      </c>
      <c r="F32" s="32">
        <v>21266334</v>
      </c>
      <c r="G32" t="s">
        <v>10</v>
      </c>
      <c r="H32" t="s">
        <v>11</v>
      </c>
      <c r="I32" t="s">
        <v>12</v>
      </c>
      <c r="J32" s="30" t="str">
        <f>IF(ISNUMBER(MATCH($D32,'Lopettaneet 2013-&gt;'!$D:$D,0)),INDEX('Lopettaneet 2013-&gt;'!$K:$K,MATCH($D32,'Lopettaneet 2013-&gt;'!$D:$D,0)),"Continues")</f>
        <v>Continues</v>
      </c>
      <c r="K32" s="30">
        <f ca="1">IF($J32="Continues",DATEDIF($B32,TODAY(),"Y"),INDEX('Lopettaneet 2013-&gt;'!$L:$L,MATCH($D32,'Lopettaneet 2013-&gt;'!$D:$D,0)))</f>
        <v>10</v>
      </c>
      <c r="L32" s="31" t="str">
        <f>IFERROR(INDEX('[1]30.06.2024'!$H:$H,MATCH($E32,'[1]30.06.2024'!$B:$B,0)),"Not found")</f>
        <v>Access Capital Advisors Finland Oy</v>
      </c>
      <c r="M32" s="31" t="str">
        <f>IFERROR(INDEX([2]Sheet1!$B:$B,MATCH($D32,[2]Sheet1!$A:$A,0)),"Not found")</f>
        <v>Non-Retail</v>
      </c>
      <c r="N32">
        <f t="shared" si="0"/>
        <v>0</v>
      </c>
      <c r="O32">
        <f t="shared" si="1"/>
        <v>1</v>
      </c>
    </row>
    <row r="33" spans="1:15" x14ac:dyDescent="0.25">
      <c r="A33" t="s">
        <v>7</v>
      </c>
      <c r="B33" s="1">
        <v>41974</v>
      </c>
      <c r="C33" s="1">
        <v>42551</v>
      </c>
      <c r="D33" s="4" t="s">
        <v>305</v>
      </c>
      <c r="E33" s="32" t="s">
        <v>306</v>
      </c>
      <c r="F33" s="32">
        <v>21254157</v>
      </c>
      <c r="G33" t="s">
        <v>10</v>
      </c>
      <c r="H33" t="s">
        <v>11</v>
      </c>
      <c r="I33" t="s">
        <v>12</v>
      </c>
      <c r="J33" s="30" t="str">
        <f>IF(ISNUMBER(MATCH($D33,'Lopettaneet 2013-&gt;'!$D:$D,0)),INDEX('Lopettaneet 2013-&gt;'!$K:$K,MATCH($D33,'Lopettaneet 2013-&gt;'!$D:$D,0)),"Continues")</f>
        <v>Closed</v>
      </c>
      <c r="K33" s="30">
        <f ca="1">IF($J33="Continues",DATEDIF($B33,TODAY(),"Y"),INDEX('Lopettaneet 2013-&gt;'!$L:$L,MATCH($D33,'Lopettaneet 2013-&gt;'!$D:$D,0)))</f>
        <v>1</v>
      </c>
      <c r="L33" s="31" t="str">
        <f>IFERROR(INDEX('[1]30.06.2024'!$H:$H,MATCH($E33,'[1]30.06.2024'!$B:$B,0)),"Not found")</f>
        <v>Not found</v>
      </c>
      <c r="M33" s="31" t="str">
        <f>IFERROR(INDEX([2]Sheet1!$B:$B,MATCH($D33,[2]Sheet1!$A:$A,0)),"Not found")</f>
        <v>Not found</v>
      </c>
      <c r="N33">
        <f t="shared" si="0"/>
        <v>0</v>
      </c>
      <c r="O33">
        <f t="shared" si="1"/>
        <v>0</v>
      </c>
    </row>
    <row r="34" spans="1:15" x14ac:dyDescent="0.25">
      <c r="A34" t="s">
        <v>0</v>
      </c>
      <c r="B34" s="1">
        <v>43466</v>
      </c>
      <c r="C34" s="1">
        <v>43799</v>
      </c>
      <c r="D34" s="4" t="s">
        <v>307</v>
      </c>
      <c r="E34" s="32" t="s">
        <v>308</v>
      </c>
      <c r="F34" s="32">
        <v>24513425</v>
      </c>
      <c r="G34" t="s">
        <v>3</v>
      </c>
      <c r="H34" t="s">
        <v>4</v>
      </c>
      <c r="I34" t="s">
        <v>50</v>
      </c>
      <c r="J34" s="30" t="str">
        <f>IF(ISNUMBER(MATCH($D34,'Lopettaneet 2013-&gt;'!$D:$D,0)),INDEX('Lopettaneet 2013-&gt;'!$K:$K,MATCH($D34,'Lopettaneet 2013-&gt;'!$D:$D,0)),"Continues")</f>
        <v>Merged</v>
      </c>
      <c r="K34" s="30">
        <f ca="1">IF($J34="Continues",DATEDIF($B34,TODAY(),"Y"),INDEX('Lopettaneet 2013-&gt;'!$L:$L,MATCH($D34,'Lopettaneet 2013-&gt;'!$D:$D,0)))</f>
        <v>6</v>
      </c>
      <c r="L34" s="31" t="str">
        <f>IFERROR(INDEX('[1]30.06.2024'!$H:$H,MATCH($E34,'[1]30.06.2024'!$B:$B,0)),"Not found")</f>
        <v>Not found</v>
      </c>
      <c r="M34" s="31" t="str">
        <f>IFERROR(INDEX([2]Sheet1!$B:$B,MATCH($D34,[2]Sheet1!$A:$A,0)),"Not found")</f>
        <v>Not found</v>
      </c>
      <c r="N34">
        <f t="shared" si="0"/>
        <v>0</v>
      </c>
      <c r="O34">
        <f t="shared" si="1"/>
        <v>0</v>
      </c>
    </row>
    <row r="35" spans="1:15" x14ac:dyDescent="0.25">
      <c r="A35" t="s">
        <v>0</v>
      </c>
      <c r="B35" s="1">
        <v>41699</v>
      </c>
      <c r="C35" s="1">
        <v>42521</v>
      </c>
      <c r="D35" s="4" t="s">
        <v>309</v>
      </c>
      <c r="E35" s="32" t="s">
        <v>310</v>
      </c>
      <c r="F35" s="32">
        <v>24834712</v>
      </c>
      <c r="G35" t="s">
        <v>10</v>
      </c>
      <c r="H35" t="s">
        <v>4</v>
      </c>
      <c r="I35" t="s">
        <v>5</v>
      </c>
      <c r="J35" s="30" t="str">
        <f>IF(ISNUMBER(MATCH($D35,'Lopettaneet 2013-&gt;'!$D:$D,0)),INDEX('Lopettaneet 2013-&gt;'!$K:$K,MATCH($D35,'Lopettaneet 2013-&gt;'!$D:$D,0)),"Continues")</f>
        <v>Closed</v>
      </c>
      <c r="K35" s="30">
        <f ca="1">IF($J35="Continues",DATEDIF($B35,TODAY(),"Y"),INDEX('Lopettaneet 2013-&gt;'!$L:$L,MATCH($D35,'Lopettaneet 2013-&gt;'!$D:$D,0)))</f>
        <v>2</v>
      </c>
      <c r="L35" s="31" t="str">
        <f>IFERROR(INDEX('[1]30.06.2024'!$H:$H,MATCH($E35,'[1]30.06.2024'!$B:$B,0)),"Not found")</f>
        <v>Not found</v>
      </c>
      <c r="M35" s="31" t="str">
        <f>IFERROR(INDEX([2]Sheet1!$B:$B,MATCH($D35,[2]Sheet1!$A:$A,0)),"Not found")</f>
        <v>Not found</v>
      </c>
      <c r="N35">
        <f t="shared" si="0"/>
        <v>0</v>
      </c>
      <c r="O35">
        <f t="shared" si="1"/>
        <v>0</v>
      </c>
    </row>
    <row r="36" spans="1:15" x14ac:dyDescent="0.25">
      <c r="A36" t="s">
        <v>0</v>
      </c>
      <c r="B36" s="1">
        <v>41275</v>
      </c>
      <c r="C36" s="1">
        <v>55153</v>
      </c>
      <c r="D36" s="4" t="s">
        <v>311</v>
      </c>
      <c r="E36" s="32" t="s">
        <v>312</v>
      </c>
      <c r="F36" s="32">
        <v>25171201</v>
      </c>
      <c r="G36" t="s">
        <v>10</v>
      </c>
      <c r="H36" t="s">
        <v>4</v>
      </c>
      <c r="I36" t="s">
        <v>32</v>
      </c>
      <c r="J36" s="30" t="str">
        <f>IF(ISNUMBER(MATCH($D36,'Lopettaneet 2013-&gt;'!$D:$D,0)),INDEX('Lopettaneet 2013-&gt;'!$K:$K,MATCH($D36,'Lopettaneet 2013-&gt;'!$D:$D,0)),"Continues")</f>
        <v>Continues</v>
      </c>
      <c r="K36" s="30">
        <f ca="1">IF($J36="Continues",DATEDIF($B36,TODAY(),"Y"),INDEX('Lopettaneet 2013-&gt;'!$L:$L,MATCH($D36,'Lopettaneet 2013-&gt;'!$D:$D,0)))</f>
        <v>12</v>
      </c>
      <c r="L36" s="31" t="str">
        <f>IFERROR(INDEX('[1]30.06.2024'!$H:$H,MATCH($E36,'[1]30.06.2024'!$B:$B,0)),"Not found")</f>
        <v>Ålandsbanken Fondbolag Ab</v>
      </c>
      <c r="M36" s="31" t="str">
        <f>IFERROR(INDEX([2]Sheet1!$B:$B,MATCH($D36,[2]Sheet1!$A:$A,0)),"Not found")</f>
        <v>Retail</v>
      </c>
      <c r="N36">
        <f t="shared" si="0"/>
        <v>1</v>
      </c>
      <c r="O36">
        <f t="shared" si="1"/>
        <v>0</v>
      </c>
    </row>
    <row r="37" spans="1:15" x14ac:dyDescent="0.25">
      <c r="A37" t="s">
        <v>0</v>
      </c>
      <c r="B37" s="1">
        <v>41306</v>
      </c>
      <c r="C37" s="1">
        <v>44439</v>
      </c>
      <c r="D37" s="4" t="s">
        <v>313</v>
      </c>
      <c r="E37" s="32" t="s">
        <v>314</v>
      </c>
      <c r="F37" s="32">
        <v>25225468</v>
      </c>
      <c r="G37" t="s">
        <v>3</v>
      </c>
      <c r="H37" t="s">
        <v>4</v>
      </c>
      <c r="I37" t="s">
        <v>50</v>
      </c>
      <c r="J37" s="30" t="str">
        <f>IF(ISNUMBER(MATCH($D37,'Lopettaneet 2013-&gt;'!$D:$D,0)),INDEX('Lopettaneet 2013-&gt;'!$K:$K,MATCH($D37,'Lopettaneet 2013-&gt;'!$D:$D,0)),"Continues")</f>
        <v>Merged</v>
      </c>
      <c r="K37" s="30">
        <f ca="1">IF($J37="Continues",DATEDIF($B37,TODAY(),"Y"),INDEX('Lopettaneet 2013-&gt;'!$L:$L,MATCH($D37,'Lopettaneet 2013-&gt;'!$D:$D,0)))</f>
        <v>8</v>
      </c>
      <c r="L37" s="31" t="str">
        <f>IFERROR(INDEX('[1]30.06.2024'!$H:$H,MATCH($E37,'[1]30.06.2024'!$B:$B,0)),"Not found")</f>
        <v>Not found</v>
      </c>
      <c r="M37" s="31" t="str">
        <f>IFERROR(INDEX([2]Sheet1!$B:$B,MATCH($D37,[2]Sheet1!$A:$A,0)),"Not found")</f>
        <v>Not found</v>
      </c>
      <c r="N37">
        <f t="shared" si="0"/>
        <v>0</v>
      </c>
      <c r="O37">
        <f t="shared" si="1"/>
        <v>0</v>
      </c>
    </row>
    <row r="38" spans="1:15" x14ac:dyDescent="0.25">
      <c r="A38" t="s">
        <v>0</v>
      </c>
      <c r="B38" s="1">
        <v>41395</v>
      </c>
      <c r="C38" s="1">
        <v>43496</v>
      </c>
      <c r="D38" s="4" t="s">
        <v>315</v>
      </c>
      <c r="E38" s="32" t="s">
        <v>316</v>
      </c>
      <c r="F38" s="32">
        <v>25275393</v>
      </c>
      <c r="G38" t="s">
        <v>3</v>
      </c>
      <c r="H38" t="s">
        <v>4</v>
      </c>
      <c r="I38" t="s">
        <v>20</v>
      </c>
      <c r="J38" s="30" t="str">
        <f>IF(ISNUMBER(MATCH($D38,'Lopettaneet 2013-&gt;'!$D:$D,0)),INDEX('Lopettaneet 2013-&gt;'!$K:$K,MATCH($D38,'Lopettaneet 2013-&gt;'!$D:$D,0)),"Continues")</f>
        <v>Merged</v>
      </c>
      <c r="K38" s="30">
        <f ca="1">IF($J38="Continues",DATEDIF($B38,TODAY(),"Y"),INDEX('Lopettaneet 2013-&gt;'!$L:$L,MATCH($D38,'Lopettaneet 2013-&gt;'!$D:$D,0)))</f>
        <v>5</v>
      </c>
      <c r="L38" s="31" t="str">
        <f>IFERROR(INDEX('[1]30.06.2024'!$H:$H,MATCH($E38,'[1]30.06.2024'!$B:$B,0)),"Not found")</f>
        <v>Not found</v>
      </c>
      <c r="M38" s="31" t="str">
        <f>IFERROR(INDEX([2]Sheet1!$B:$B,MATCH($D38,[2]Sheet1!$A:$A,0)),"Not found")</f>
        <v>Not found</v>
      </c>
      <c r="N38">
        <f t="shared" si="0"/>
        <v>0</v>
      </c>
      <c r="O38">
        <f t="shared" si="1"/>
        <v>0</v>
      </c>
    </row>
    <row r="39" spans="1:15" x14ac:dyDescent="0.25">
      <c r="A39" t="s">
        <v>0</v>
      </c>
      <c r="B39" s="1">
        <v>41395</v>
      </c>
      <c r="C39" s="1">
        <v>55153</v>
      </c>
      <c r="D39" s="4" t="s">
        <v>317</v>
      </c>
      <c r="E39" s="32" t="s">
        <v>318</v>
      </c>
      <c r="F39" s="32">
        <v>25272838</v>
      </c>
      <c r="G39" t="s">
        <v>3</v>
      </c>
      <c r="H39" t="s">
        <v>4</v>
      </c>
      <c r="I39" t="s">
        <v>20</v>
      </c>
      <c r="J39" s="30" t="str">
        <f>IF(ISNUMBER(MATCH($D39,'Lopettaneet 2013-&gt;'!$D:$D,0)),INDEX('Lopettaneet 2013-&gt;'!$K:$K,MATCH($D39,'Lopettaneet 2013-&gt;'!$D:$D,0)),"Continues")</f>
        <v>Continues</v>
      </c>
      <c r="K39" s="30">
        <f ca="1">IF($J39="Continues",DATEDIF($B39,TODAY(),"Y"),INDEX('Lopettaneet 2013-&gt;'!$L:$L,MATCH($D39,'Lopettaneet 2013-&gt;'!$D:$D,0)))</f>
        <v>12</v>
      </c>
      <c r="L39" s="31" t="str">
        <f>IFERROR(INDEX('[1]30.06.2024'!$H:$H,MATCH($E39,'[1]30.06.2024'!$B:$B,0)),"Not found")</f>
        <v>Evli-Rahastoyhtiö Oy</v>
      </c>
      <c r="M39" s="31" t="str">
        <f>IFERROR(INDEX([2]Sheet1!$B:$B,MATCH($D39,[2]Sheet1!$A:$A,0)),"Not found")</f>
        <v>Retail</v>
      </c>
      <c r="N39">
        <f t="shared" si="0"/>
        <v>1</v>
      </c>
      <c r="O39">
        <f t="shared" si="1"/>
        <v>0</v>
      </c>
    </row>
    <row r="40" spans="1:15" x14ac:dyDescent="0.25">
      <c r="A40" t="s">
        <v>7</v>
      </c>
      <c r="B40" s="1">
        <v>41974</v>
      </c>
      <c r="C40" s="1">
        <v>55153</v>
      </c>
      <c r="D40" s="4" t="s">
        <v>319</v>
      </c>
      <c r="E40" s="32" t="s">
        <v>320</v>
      </c>
      <c r="F40" s="32">
        <v>23030229</v>
      </c>
      <c r="G40" t="s">
        <v>10</v>
      </c>
      <c r="H40" t="s">
        <v>11</v>
      </c>
      <c r="I40" t="s">
        <v>32</v>
      </c>
      <c r="J40" s="30" t="str">
        <f>IF(ISNUMBER(MATCH($D40,'Lopettaneet 2013-&gt;'!$D:$D,0)),INDEX('Lopettaneet 2013-&gt;'!$K:$K,MATCH($D40,'Lopettaneet 2013-&gt;'!$D:$D,0)),"Continues")</f>
        <v>Continues</v>
      </c>
      <c r="K40" s="30">
        <f ca="1">IF($J40="Continues",DATEDIF($B40,TODAY(),"Y"),INDEX('Lopettaneet 2013-&gt;'!$L:$L,MATCH($D40,'Lopettaneet 2013-&gt;'!$D:$D,0)))</f>
        <v>10</v>
      </c>
      <c r="L40" s="31" t="str">
        <f>IFERROR(INDEX('[1]30.06.2024'!$H:$H,MATCH($E40,'[1]30.06.2024'!$B:$B,0)),"Not found")</f>
        <v>OP Kiinteistösijoitus Oy</v>
      </c>
      <c r="M40" s="31" t="str">
        <f>IFERROR(INDEX([2]Sheet1!$B:$B,MATCH($D40,[2]Sheet1!$A:$A,0)),"Not found")</f>
        <v>Non-Retail</v>
      </c>
      <c r="N40">
        <f t="shared" si="0"/>
        <v>0</v>
      </c>
      <c r="O40">
        <f t="shared" si="1"/>
        <v>1</v>
      </c>
    </row>
    <row r="41" spans="1:15" x14ac:dyDescent="0.25">
      <c r="A41" t="s">
        <v>0</v>
      </c>
      <c r="B41" s="1">
        <v>41334</v>
      </c>
      <c r="C41" s="1">
        <v>55153</v>
      </c>
      <c r="D41" s="4" t="s">
        <v>321</v>
      </c>
      <c r="E41" s="32" t="s">
        <v>322</v>
      </c>
      <c r="F41" s="32">
        <v>25315391</v>
      </c>
      <c r="G41" t="s">
        <v>3</v>
      </c>
      <c r="H41" t="s">
        <v>4</v>
      </c>
      <c r="I41" t="s">
        <v>20</v>
      </c>
      <c r="J41" s="30" t="str">
        <f>IF(ISNUMBER(MATCH($D41,'Lopettaneet 2013-&gt;'!$D:$D,0)),INDEX('Lopettaneet 2013-&gt;'!$K:$K,MATCH($D41,'Lopettaneet 2013-&gt;'!$D:$D,0)),"Continues")</f>
        <v>Continues</v>
      </c>
      <c r="K41" s="30">
        <f ca="1">IF($J41="Continues",DATEDIF($B41,TODAY(),"Y"),INDEX('Lopettaneet 2013-&gt;'!$L:$L,MATCH($D41,'Lopettaneet 2013-&gt;'!$D:$D,0)))</f>
        <v>12</v>
      </c>
      <c r="L41" s="31" t="str">
        <f>IFERROR(INDEX('[1]30.06.2024'!$H:$H,MATCH($E41,'[1]30.06.2024'!$B:$B,0)),"Not found")</f>
        <v>Not found</v>
      </c>
      <c r="M41" s="31" t="str">
        <f>IFERROR(INDEX([2]Sheet1!$B:$B,MATCH($D41,[2]Sheet1!$A:$A,0)),"Not found")</f>
        <v>Retail</v>
      </c>
      <c r="N41">
        <f t="shared" si="0"/>
        <v>1</v>
      </c>
      <c r="O41">
        <f t="shared" si="1"/>
        <v>0</v>
      </c>
    </row>
    <row r="42" spans="1:15" x14ac:dyDescent="0.25">
      <c r="A42" t="s">
        <v>0</v>
      </c>
      <c r="B42" s="1">
        <v>41334</v>
      </c>
      <c r="C42" s="1">
        <v>55153</v>
      </c>
      <c r="D42" s="4" t="s">
        <v>323</v>
      </c>
      <c r="E42" s="32" t="s">
        <v>324</v>
      </c>
      <c r="F42" s="32">
        <v>25349364</v>
      </c>
      <c r="G42" t="s">
        <v>3</v>
      </c>
      <c r="H42" t="s">
        <v>4</v>
      </c>
      <c r="I42" t="s">
        <v>50</v>
      </c>
      <c r="J42" s="30" t="str">
        <f>IF(ISNUMBER(MATCH($D42,'Lopettaneet 2013-&gt;'!$D:$D,0)),INDEX('Lopettaneet 2013-&gt;'!$K:$K,MATCH($D42,'Lopettaneet 2013-&gt;'!$D:$D,0)),"Continues")</f>
        <v>Continues</v>
      </c>
      <c r="K42" s="30">
        <f ca="1">IF($J42="Continues",DATEDIF($B42,TODAY(),"Y"),INDEX('Lopettaneet 2013-&gt;'!$L:$L,MATCH($D42,'Lopettaneet 2013-&gt;'!$D:$D,0)))</f>
        <v>12</v>
      </c>
      <c r="L42" s="31" t="str">
        <f>IFERROR(INDEX('[1]30.06.2024'!$H:$H,MATCH($E42,'[1]30.06.2024'!$B:$B,0)),"Not found")</f>
        <v>Sp-Rahastoyhtiö Oy</v>
      </c>
      <c r="M42" s="31" t="str">
        <f>IFERROR(INDEX([2]Sheet1!$B:$B,MATCH($D42,[2]Sheet1!$A:$A,0)),"Not found")</f>
        <v>Retail</v>
      </c>
      <c r="N42">
        <f t="shared" si="0"/>
        <v>1</v>
      </c>
      <c r="O42">
        <f t="shared" si="1"/>
        <v>0</v>
      </c>
    </row>
    <row r="43" spans="1:15" x14ac:dyDescent="0.25">
      <c r="A43" t="s">
        <v>7</v>
      </c>
      <c r="B43" s="1">
        <v>41974</v>
      </c>
      <c r="C43" s="1">
        <v>45107</v>
      </c>
      <c r="D43" s="4" t="s">
        <v>8</v>
      </c>
      <c r="E43" s="32" t="s">
        <v>9</v>
      </c>
      <c r="F43" s="32">
        <v>23380843</v>
      </c>
      <c r="G43" t="s">
        <v>10</v>
      </c>
      <c r="H43" t="s">
        <v>11</v>
      </c>
      <c r="I43" t="s">
        <v>12</v>
      </c>
      <c r="J43" s="30" t="str">
        <f>IF(ISNUMBER(MATCH($D43,'Lopettaneet 2013-&gt;'!$D:$D,0)),INDEX('Lopettaneet 2013-&gt;'!$K:$K,MATCH($D43,'Lopettaneet 2013-&gt;'!$D:$D,0)),"Continues")</f>
        <v>Closed</v>
      </c>
      <c r="K43" s="30">
        <f ca="1">IF($J43="Continues",DATEDIF($B43,TODAY(),"Y"),INDEX('Lopettaneet 2013-&gt;'!$L:$L,MATCH($D43,'Lopettaneet 2013-&gt;'!$D:$D,0)))</f>
        <v>8</v>
      </c>
      <c r="L43" s="31" t="str">
        <f>IFERROR(INDEX('[1]30.06.2024'!$H:$H,MATCH($E43,'[1]30.06.2024'!$B:$B,0)),"Not found")</f>
        <v>Not found</v>
      </c>
      <c r="M43" s="31" t="str">
        <f>IFERROR(INDEX([2]Sheet1!$B:$B,MATCH($D43,[2]Sheet1!$A:$A,0)),"Not found")</f>
        <v>Not found</v>
      </c>
      <c r="N43">
        <f t="shared" si="0"/>
        <v>0</v>
      </c>
      <c r="O43">
        <f t="shared" si="1"/>
        <v>0</v>
      </c>
    </row>
    <row r="44" spans="1:15" x14ac:dyDescent="0.25">
      <c r="A44" t="s">
        <v>7</v>
      </c>
      <c r="B44" s="1">
        <v>41974</v>
      </c>
      <c r="C44" s="1">
        <v>42643</v>
      </c>
      <c r="D44" s="4" t="s">
        <v>325</v>
      </c>
      <c r="E44" s="32" t="s">
        <v>326</v>
      </c>
      <c r="F44" s="32">
        <v>22677290</v>
      </c>
      <c r="G44" t="s">
        <v>10</v>
      </c>
      <c r="H44" t="s">
        <v>11</v>
      </c>
      <c r="I44" t="s">
        <v>32</v>
      </c>
      <c r="J44" s="30" t="str">
        <f>IF(ISNUMBER(MATCH($D44,'Lopettaneet 2013-&gt;'!$D:$D,0)),INDEX('Lopettaneet 2013-&gt;'!$K:$K,MATCH($D44,'Lopettaneet 2013-&gt;'!$D:$D,0)),"Continues")</f>
        <v>Closed</v>
      </c>
      <c r="K44" s="30">
        <f ca="1">IF($J44="Continues",DATEDIF($B44,TODAY(),"Y"),INDEX('Lopettaneet 2013-&gt;'!$L:$L,MATCH($D44,'Lopettaneet 2013-&gt;'!$D:$D,0)))</f>
        <v>1</v>
      </c>
      <c r="L44" s="31" t="str">
        <f>IFERROR(INDEX('[1]30.06.2024'!$H:$H,MATCH($E44,'[1]30.06.2024'!$B:$B,0)),"Not found")</f>
        <v>Not found</v>
      </c>
      <c r="M44" s="31" t="str">
        <f>IFERROR(INDEX([2]Sheet1!$B:$B,MATCH($D44,[2]Sheet1!$A:$A,0)),"Not found")</f>
        <v>Not found</v>
      </c>
      <c r="N44">
        <f t="shared" si="0"/>
        <v>0</v>
      </c>
      <c r="O44">
        <f t="shared" si="1"/>
        <v>0</v>
      </c>
    </row>
    <row r="45" spans="1:15" x14ac:dyDescent="0.25">
      <c r="A45" t="s">
        <v>7</v>
      </c>
      <c r="B45" s="1">
        <v>41974</v>
      </c>
      <c r="C45" s="1">
        <v>44834</v>
      </c>
      <c r="D45" s="4" t="s">
        <v>327</v>
      </c>
      <c r="E45" s="32" t="s">
        <v>328</v>
      </c>
      <c r="F45" s="32">
        <v>22372796</v>
      </c>
      <c r="G45" t="s">
        <v>10</v>
      </c>
      <c r="H45" t="s">
        <v>11</v>
      </c>
      <c r="I45" t="s">
        <v>12</v>
      </c>
      <c r="J45" s="30" t="str">
        <f>IF(ISNUMBER(MATCH($D45,'Lopettaneet 2013-&gt;'!$D:$D,0)),INDEX('Lopettaneet 2013-&gt;'!$K:$K,MATCH($D45,'Lopettaneet 2013-&gt;'!$D:$D,0)),"Continues")</f>
        <v>Closed</v>
      </c>
      <c r="K45" s="30">
        <f ca="1">IF($J45="Continues",DATEDIF($B45,TODAY(),"Y"),INDEX('Lopettaneet 2013-&gt;'!$L:$L,MATCH($D45,'Lopettaneet 2013-&gt;'!$D:$D,0)))</f>
        <v>7</v>
      </c>
      <c r="L45" s="31" t="str">
        <f>IFERROR(INDEX('[1]30.06.2024'!$H:$H,MATCH($E45,'[1]30.06.2024'!$B:$B,0)),"Not found")</f>
        <v>Not found</v>
      </c>
      <c r="M45" s="31" t="str">
        <f>IFERROR(INDEX([2]Sheet1!$B:$B,MATCH($D45,[2]Sheet1!$A:$A,0)),"Not found")</f>
        <v>Not found</v>
      </c>
      <c r="N45">
        <f t="shared" si="0"/>
        <v>0</v>
      </c>
      <c r="O45">
        <f t="shared" si="1"/>
        <v>0</v>
      </c>
    </row>
    <row r="46" spans="1:15" x14ac:dyDescent="0.25">
      <c r="A46" t="s">
        <v>7</v>
      </c>
      <c r="B46" s="1">
        <v>41974</v>
      </c>
      <c r="C46" s="1">
        <v>44196</v>
      </c>
      <c r="D46" s="4" t="s">
        <v>329</v>
      </c>
      <c r="E46" s="32" t="s">
        <v>330</v>
      </c>
      <c r="F46" s="32">
        <v>21257702</v>
      </c>
      <c r="G46" t="s">
        <v>10</v>
      </c>
      <c r="H46" t="s">
        <v>11</v>
      </c>
      <c r="I46" t="s">
        <v>12</v>
      </c>
      <c r="J46" s="30" t="str">
        <f>IF(ISNUMBER(MATCH($D46,'Lopettaneet 2013-&gt;'!$D:$D,0)),INDEX('Lopettaneet 2013-&gt;'!$K:$K,MATCH($D46,'Lopettaneet 2013-&gt;'!$D:$D,0)),"Continues")</f>
        <v>Closed</v>
      </c>
      <c r="K46" s="30">
        <f ca="1">IF($J46="Continues",DATEDIF($B46,TODAY(),"Y"),INDEX('Lopettaneet 2013-&gt;'!$L:$L,MATCH($D46,'Lopettaneet 2013-&gt;'!$D:$D,0)))</f>
        <v>6</v>
      </c>
      <c r="L46" s="31" t="str">
        <f>IFERROR(INDEX('[1]30.06.2024'!$H:$H,MATCH($E46,'[1]30.06.2024'!$B:$B,0)),"Not found")</f>
        <v>Not found</v>
      </c>
      <c r="M46" s="31" t="str">
        <f>IFERROR(INDEX([2]Sheet1!$B:$B,MATCH($D46,[2]Sheet1!$A:$A,0)),"Not found")</f>
        <v>Not found</v>
      </c>
      <c r="N46">
        <f t="shared" si="0"/>
        <v>0</v>
      </c>
      <c r="O46">
        <f t="shared" si="1"/>
        <v>0</v>
      </c>
    </row>
    <row r="47" spans="1:15" x14ac:dyDescent="0.25">
      <c r="A47" t="s">
        <v>7</v>
      </c>
      <c r="B47" s="1">
        <v>41974</v>
      </c>
      <c r="C47" s="1">
        <v>55153</v>
      </c>
      <c r="D47" s="4" t="s">
        <v>331</v>
      </c>
      <c r="E47" s="32" t="s">
        <v>332</v>
      </c>
      <c r="F47" s="32">
        <v>22685493</v>
      </c>
      <c r="G47" t="s">
        <v>10</v>
      </c>
      <c r="H47" t="s">
        <v>11</v>
      </c>
      <c r="I47" t="s">
        <v>32</v>
      </c>
      <c r="J47" s="30" t="str">
        <f>IF(ISNUMBER(MATCH($D47,'Lopettaneet 2013-&gt;'!$D:$D,0)),INDEX('Lopettaneet 2013-&gt;'!$K:$K,MATCH($D47,'Lopettaneet 2013-&gt;'!$D:$D,0)),"Continues")</f>
        <v>Continues</v>
      </c>
      <c r="K47" s="30">
        <f ca="1">IF($J47="Continues",DATEDIF($B47,TODAY(),"Y"),INDEX('Lopettaneet 2013-&gt;'!$L:$L,MATCH($D47,'Lopettaneet 2013-&gt;'!$D:$D,0)))</f>
        <v>10</v>
      </c>
      <c r="L47" s="31" t="str">
        <f>IFERROR(INDEX('[1]30.06.2024'!$H:$H,MATCH($E47,'[1]30.06.2024'!$B:$B,0)),"Not found")</f>
        <v>Not found</v>
      </c>
      <c r="M47" s="31" t="str">
        <f>IFERROR(INDEX([2]Sheet1!$B:$B,MATCH($D47,[2]Sheet1!$A:$A,0)),"Not found")</f>
        <v>Non-Retail</v>
      </c>
      <c r="N47">
        <f t="shared" si="0"/>
        <v>0</v>
      </c>
      <c r="O47">
        <f t="shared" si="1"/>
        <v>1</v>
      </c>
    </row>
    <row r="48" spans="1:15" x14ac:dyDescent="0.25">
      <c r="A48" t="s">
        <v>0</v>
      </c>
      <c r="B48" s="1">
        <v>41365</v>
      </c>
      <c r="C48" s="1">
        <v>44592</v>
      </c>
      <c r="D48" s="4" t="s">
        <v>333</v>
      </c>
      <c r="E48" s="32" t="s">
        <v>334</v>
      </c>
      <c r="F48" s="32">
        <v>25376792</v>
      </c>
      <c r="G48" t="s">
        <v>3</v>
      </c>
      <c r="H48" t="s">
        <v>4</v>
      </c>
      <c r="I48" t="s">
        <v>20</v>
      </c>
      <c r="J48" s="30" t="str">
        <f>IF(ISNUMBER(MATCH($D48,'Lopettaneet 2013-&gt;'!$D:$D,0)),INDEX('Lopettaneet 2013-&gt;'!$K:$K,MATCH($D48,'Lopettaneet 2013-&gt;'!$D:$D,0)),"Continues")</f>
        <v>Merged</v>
      </c>
      <c r="K48" s="30">
        <f ca="1">IF($J48="Continues",DATEDIF($B48,TODAY(),"Y"),INDEX('Lopettaneet 2013-&gt;'!$L:$L,MATCH($D48,'Lopettaneet 2013-&gt;'!$D:$D,0)))</f>
        <v>8</v>
      </c>
      <c r="L48" s="31" t="str">
        <f>IFERROR(INDEX('[1]30.06.2024'!$H:$H,MATCH($E48,'[1]30.06.2024'!$B:$B,0)),"Not found")</f>
        <v>Not found</v>
      </c>
      <c r="M48" s="31" t="str">
        <f>IFERROR(INDEX([2]Sheet1!$B:$B,MATCH($D48,[2]Sheet1!$A:$A,0)),"Not found")</f>
        <v>Not found</v>
      </c>
      <c r="N48">
        <f t="shared" si="0"/>
        <v>0</v>
      </c>
      <c r="O48">
        <f t="shared" si="1"/>
        <v>0</v>
      </c>
    </row>
    <row r="49" spans="1:15" x14ac:dyDescent="0.25">
      <c r="A49" t="s">
        <v>0</v>
      </c>
      <c r="B49" s="1">
        <v>41365</v>
      </c>
      <c r="C49" s="1">
        <v>44592</v>
      </c>
      <c r="D49" s="4" t="s">
        <v>335</v>
      </c>
      <c r="E49" s="32" t="s">
        <v>336</v>
      </c>
      <c r="F49" s="32">
        <v>25376813</v>
      </c>
      <c r="G49" t="s">
        <v>3</v>
      </c>
      <c r="H49" t="s">
        <v>4</v>
      </c>
      <c r="I49" t="s">
        <v>50</v>
      </c>
      <c r="J49" s="30" t="str">
        <f>IF(ISNUMBER(MATCH($D49,'Lopettaneet 2013-&gt;'!$D:$D,0)),INDEX('Lopettaneet 2013-&gt;'!$K:$K,MATCH($D49,'Lopettaneet 2013-&gt;'!$D:$D,0)),"Continues")</f>
        <v>Merged</v>
      </c>
      <c r="K49" s="30">
        <f ca="1">IF($J49="Continues",DATEDIF($B49,TODAY(),"Y"),INDEX('Lopettaneet 2013-&gt;'!$L:$L,MATCH($D49,'Lopettaneet 2013-&gt;'!$D:$D,0)))</f>
        <v>8</v>
      </c>
      <c r="L49" s="31" t="str">
        <f>IFERROR(INDEX('[1]30.06.2024'!$H:$H,MATCH($E49,'[1]30.06.2024'!$B:$B,0)),"Not found")</f>
        <v>Not found</v>
      </c>
      <c r="M49" s="31" t="str">
        <f>IFERROR(INDEX([2]Sheet1!$B:$B,MATCH($D49,[2]Sheet1!$A:$A,0)),"Not found")</f>
        <v>Not found</v>
      </c>
      <c r="N49">
        <f t="shared" si="0"/>
        <v>0</v>
      </c>
      <c r="O49">
        <f t="shared" si="1"/>
        <v>0</v>
      </c>
    </row>
    <row r="50" spans="1:15" x14ac:dyDescent="0.25">
      <c r="A50" t="s">
        <v>0</v>
      </c>
      <c r="B50" s="1">
        <v>41365</v>
      </c>
      <c r="C50" s="1">
        <v>43738</v>
      </c>
      <c r="D50" s="4" t="s">
        <v>337</v>
      </c>
      <c r="E50" s="32" t="s">
        <v>338</v>
      </c>
      <c r="F50" s="32">
        <v>25376856</v>
      </c>
      <c r="G50" t="s">
        <v>3</v>
      </c>
      <c r="H50" t="s">
        <v>4</v>
      </c>
      <c r="I50" t="s">
        <v>20</v>
      </c>
      <c r="J50" s="30" t="str">
        <f>IF(ISNUMBER(MATCH($D50,'Lopettaneet 2013-&gt;'!$D:$D,0)),INDEX('Lopettaneet 2013-&gt;'!$K:$K,MATCH($D50,'Lopettaneet 2013-&gt;'!$D:$D,0)),"Continues")</f>
        <v>Merged</v>
      </c>
      <c r="K50" s="30">
        <f ca="1">IF($J50="Continues",DATEDIF($B50,TODAY(),"Y"),INDEX('Lopettaneet 2013-&gt;'!$L:$L,MATCH($D50,'Lopettaneet 2013-&gt;'!$D:$D,0)))</f>
        <v>6</v>
      </c>
      <c r="L50" s="31" t="str">
        <f>IFERROR(INDEX('[1]30.06.2024'!$H:$H,MATCH($E50,'[1]30.06.2024'!$B:$B,0)),"Not found")</f>
        <v>Not found</v>
      </c>
      <c r="M50" s="31" t="str">
        <f>IFERROR(INDEX([2]Sheet1!$B:$B,MATCH($D50,[2]Sheet1!$A:$A,0)),"Not found")</f>
        <v>Not found</v>
      </c>
      <c r="N50">
        <f t="shared" si="0"/>
        <v>0</v>
      </c>
      <c r="O50">
        <f t="shared" si="1"/>
        <v>0</v>
      </c>
    </row>
    <row r="51" spans="1:15" x14ac:dyDescent="0.25">
      <c r="A51" t="s">
        <v>0</v>
      </c>
      <c r="B51" s="1">
        <v>41365</v>
      </c>
      <c r="C51" s="1">
        <v>55153</v>
      </c>
      <c r="D51" s="4" t="s">
        <v>339</v>
      </c>
      <c r="E51" s="32" t="s">
        <v>340</v>
      </c>
      <c r="F51" s="32">
        <v>25385891</v>
      </c>
      <c r="G51" t="s">
        <v>3</v>
      </c>
      <c r="H51" t="s">
        <v>4</v>
      </c>
      <c r="I51" t="s">
        <v>20</v>
      </c>
      <c r="J51" s="30" t="str">
        <f>IF(ISNUMBER(MATCH($D51,'Lopettaneet 2013-&gt;'!$D:$D,0)),INDEX('Lopettaneet 2013-&gt;'!$K:$K,MATCH($D51,'Lopettaneet 2013-&gt;'!$D:$D,0)),"Continues")</f>
        <v>Merged</v>
      </c>
      <c r="K51" s="30">
        <f ca="1">IF($J51="Continues",DATEDIF($B51,TODAY(),"Y"),INDEX('Lopettaneet 2013-&gt;'!$L:$L,MATCH($D51,'Lopettaneet 2013-&gt;'!$D:$D,0)))</f>
        <v>11</v>
      </c>
      <c r="L51" s="31" t="str">
        <f>IFERROR(INDEX('[1]30.06.2024'!$H:$H,MATCH($E51,'[1]30.06.2024'!$B:$B,0)),"Not found")</f>
        <v>Not found</v>
      </c>
      <c r="M51" s="31" t="str">
        <f>IFERROR(INDEX([2]Sheet1!$B:$B,MATCH($D51,[2]Sheet1!$A:$A,0)),"Not found")</f>
        <v>Retail</v>
      </c>
      <c r="N51">
        <f t="shared" si="0"/>
        <v>1</v>
      </c>
      <c r="O51">
        <f t="shared" si="1"/>
        <v>0</v>
      </c>
    </row>
    <row r="52" spans="1:15" x14ac:dyDescent="0.25">
      <c r="A52" t="s">
        <v>0</v>
      </c>
      <c r="B52" s="1">
        <v>41426</v>
      </c>
      <c r="C52" s="1">
        <v>55153</v>
      </c>
      <c r="D52" s="4" t="s">
        <v>341</v>
      </c>
      <c r="E52" s="32" t="s">
        <v>342</v>
      </c>
      <c r="F52" s="32">
        <v>25346251</v>
      </c>
      <c r="G52" t="s">
        <v>10</v>
      </c>
      <c r="H52" t="s">
        <v>4</v>
      </c>
      <c r="I52" t="s">
        <v>32</v>
      </c>
      <c r="J52" s="30" t="str">
        <f>IF(ISNUMBER(MATCH($D52,'Lopettaneet 2013-&gt;'!$D:$D,0)),INDEX('Lopettaneet 2013-&gt;'!$K:$K,MATCH($D52,'Lopettaneet 2013-&gt;'!$D:$D,0)),"Continues")</f>
        <v>Continues</v>
      </c>
      <c r="K52" s="30">
        <f ca="1">IF($J52="Continues",DATEDIF($B52,TODAY(),"Y"),INDEX('Lopettaneet 2013-&gt;'!$L:$L,MATCH($D52,'Lopettaneet 2013-&gt;'!$D:$D,0)))</f>
        <v>11</v>
      </c>
      <c r="L52" s="31" t="str">
        <f>IFERROR(INDEX('[1]30.06.2024'!$H:$H,MATCH($E52,'[1]30.06.2024'!$B:$B,0)),"Not found")</f>
        <v>OP-Rahastoyhtiö Oy</v>
      </c>
      <c r="M52" s="31" t="str">
        <f>IFERROR(INDEX([2]Sheet1!$B:$B,MATCH($D52,[2]Sheet1!$A:$A,0)),"Not found")</f>
        <v>Retail</v>
      </c>
      <c r="N52">
        <f t="shared" si="0"/>
        <v>1</v>
      </c>
      <c r="O52">
        <f t="shared" si="1"/>
        <v>0</v>
      </c>
    </row>
    <row r="53" spans="1:15" x14ac:dyDescent="0.25">
      <c r="A53" t="s">
        <v>0</v>
      </c>
      <c r="B53" s="1">
        <v>41426</v>
      </c>
      <c r="C53" s="1">
        <v>55153</v>
      </c>
      <c r="D53" s="4" t="s">
        <v>343</v>
      </c>
      <c r="E53" s="32" t="s">
        <v>344</v>
      </c>
      <c r="F53" s="32">
        <v>25437305</v>
      </c>
      <c r="G53" t="s">
        <v>10</v>
      </c>
      <c r="H53" t="s">
        <v>4</v>
      </c>
      <c r="I53" t="s">
        <v>32</v>
      </c>
      <c r="J53" s="30" t="str">
        <f>IF(ISNUMBER(MATCH($D53,'Lopettaneet 2013-&gt;'!$D:$D,0)),INDEX('Lopettaneet 2013-&gt;'!$K:$K,MATCH($D53,'Lopettaneet 2013-&gt;'!$D:$D,0)),"Continues")</f>
        <v>Continues</v>
      </c>
      <c r="K53" s="30">
        <f ca="1">IF($J53="Continues",DATEDIF($B53,TODAY(),"Y"),INDEX('Lopettaneet 2013-&gt;'!$L:$L,MATCH($D53,'Lopettaneet 2013-&gt;'!$D:$D,0)))</f>
        <v>11</v>
      </c>
      <c r="L53" s="31" t="str">
        <f>IFERROR(INDEX('[1]30.06.2024'!$H:$H,MATCH($E53,'[1]30.06.2024'!$B:$B,0)),"Not found")</f>
        <v>Titanium Rahastoyhtiö Oy</v>
      </c>
      <c r="M53" s="31" t="str">
        <f>IFERROR(INDEX([2]Sheet1!$B:$B,MATCH($D53,[2]Sheet1!$A:$A,0)),"Not found")</f>
        <v>Retail</v>
      </c>
      <c r="N53">
        <f t="shared" si="0"/>
        <v>1</v>
      </c>
      <c r="O53">
        <f t="shared" si="1"/>
        <v>0</v>
      </c>
    </row>
    <row r="54" spans="1:15" x14ac:dyDescent="0.25">
      <c r="A54" t="s">
        <v>0</v>
      </c>
      <c r="B54" s="1">
        <v>41518</v>
      </c>
      <c r="C54" s="1">
        <v>55153</v>
      </c>
      <c r="D54" s="4" t="s">
        <v>345</v>
      </c>
      <c r="E54" s="32" t="s">
        <v>346</v>
      </c>
      <c r="F54" s="32">
        <v>25559695</v>
      </c>
      <c r="G54" t="s">
        <v>3</v>
      </c>
      <c r="H54" t="s">
        <v>4</v>
      </c>
      <c r="I54" t="s">
        <v>20</v>
      </c>
      <c r="J54" s="30" t="str">
        <f>IF(ISNUMBER(MATCH($D54,'Lopettaneet 2013-&gt;'!$D:$D,0)),INDEX('Lopettaneet 2013-&gt;'!$K:$K,MATCH($D54,'Lopettaneet 2013-&gt;'!$D:$D,0)),"Continues")</f>
        <v>Continues</v>
      </c>
      <c r="K54" s="30">
        <f ca="1">IF($J54="Continues",DATEDIF($B54,TODAY(),"Y"),INDEX('Lopettaneet 2013-&gt;'!$L:$L,MATCH($D54,'Lopettaneet 2013-&gt;'!$D:$D,0)))</f>
        <v>11</v>
      </c>
      <c r="L54" s="31" t="str">
        <f>IFERROR(INDEX('[1]30.06.2024'!$H:$H,MATCH($E54,'[1]30.06.2024'!$B:$B,0)),"Not found")</f>
        <v>S-Pankki Rahastoyhtiö Oy</v>
      </c>
      <c r="M54" s="31" t="str">
        <f>IFERROR(INDEX([2]Sheet1!$B:$B,MATCH($D54,[2]Sheet1!$A:$A,0)),"Not found")</f>
        <v>Retail</v>
      </c>
      <c r="N54">
        <f t="shared" si="0"/>
        <v>1</v>
      </c>
      <c r="O54">
        <f t="shared" si="1"/>
        <v>0</v>
      </c>
    </row>
    <row r="55" spans="1:15" x14ac:dyDescent="0.25">
      <c r="A55" t="s">
        <v>0</v>
      </c>
      <c r="B55" s="1">
        <v>41456</v>
      </c>
      <c r="C55" s="1">
        <v>55153</v>
      </c>
      <c r="D55" s="4" t="s">
        <v>347</v>
      </c>
      <c r="E55" s="32" t="s">
        <v>348</v>
      </c>
      <c r="F55" s="32">
        <v>25543941</v>
      </c>
      <c r="G55" t="s">
        <v>3</v>
      </c>
      <c r="H55" t="s">
        <v>4</v>
      </c>
      <c r="I55" t="s">
        <v>20</v>
      </c>
      <c r="J55" s="30" t="str">
        <f>IF(ISNUMBER(MATCH($D55,'Lopettaneet 2013-&gt;'!$D:$D,0)),INDEX('Lopettaneet 2013-&gt;'!$K:$K,MATCH($D55,'Lopettaneet 2013-&gt;'!$D:$D,0)),"Continues")</f>
        <v>Continues</v>
      </c>
      <c r="K55" s="30">
        <f ca="1">IF($J55="Continues",DATEDIF($B55,TODAY(),"Y"),INDEX('Lopettaneet 2013-&gt;'!$L:$L,MATCH($D55,'Lopettaneet 2013-&gt;'!$D:$D,0)))</f>
        <v>11</v>
      </c>
      <c r="L55" s="31" t="str">
        <f>IFERROR(INDEX('[1]30.06.2024'!$H:$H,MATCH($E55,'[1]30.06.2024'!$B:$B,0)),"Not found")</f>
        <v>OP-Rahastoyhtiö Oy</v>
      </c>
      <c r="M55" s="31" t="str">
        <f>IFERROR(INDEX([2]Sheet1!$B:$B,MATCH($D55,[2]Sheet1!$A:$A,0)),"Not found")</f>
        <v>Retail</v>
      </c>
      <c r="N55">
        <f t="shared" si="0"/>
        <v>1</v>
      </c>
      <c r="O55">
        <f t="shared" si="1"/>
        <v>0</v>
      </c>
    </row>
    <row r="56" spans="1:15" x14ac:dyDescent="0.25">
      <c r="A56" t="s">
        <v>0</v>
      </c>
      <c r="B56" s="1">
        <v>41548</v>
      </c>
      <c r="C56" s="1">
        <v>55153</v>
      </c>
      <c r="D56" s="4" t="s">
        <v>349</v>
      </c>
      <c r="E56" s="32" t="s">
        <v>350</v>
      </c>
      <c r="F56" s="32">
        <v>25565569</v>
      </c>
      <c r="G56" t="s">
        <v>3</v>
      </c>
      <c r="H56" t="s">
        <v>4</v>
      </c>
      <c r="I56" t="s">
        <v>50</v>
      </c>
      <c r="J56" s="30" t="str">
        <f>IF(ISNUMBER(MATCH($D56,'Lopettaneet 2013-&gt;'!$D:$D,0)),INDEX('Lopettaneet 2013-&gt;'!$K:$K,MATCH($D56,'Lopettaneet 2013-&gt;'!$D:$D,0)),"Continues")</f>
        <v>Continues</v>
      </c>
      <c r="K56" s="30">
        <f ca="1">IF($J56="Continues",DATEDIF($B56,TODAY(),"Y"),INDEX('Lopettaneet 2013-&gt;'!$L:$L,MATCH($D56,'Lopettaneet 2013-&gt;'!$D:$D,0)))</f>
        <v>11</v>
      </c>
      <c r="L56" s="31" t="str">
        <f>IFERROR(INDEX('[1]30.06.2024'!$H:$H,MATCH($E56,'[1]30.06.2024'!$B:$B,0)),"Not found")</f>
        <v>Evli-Rahastoyhtiö Oy</v>
      </c>
      <c r="M56" s="31" t="str">
        <f>IFERROR(INDEX([2]Sheet1!$B:$B,MATCH($D56,[2]Sheet1!$A:$A,0)),"Not found")</f>
        <v>Retail</v>
      </c>
      <c r="N56">
        <f t="shared" si="0"/>
        <v>1</v>
      </c>
      <c r="O56">
        <f t="shared" si="1"/>
        <v>0</v>
      </c>
    </row>
    <row r="57" spans="1:15" x14ac:dyDescent="0.25">
      <c r="A57" t="s">
        <v>0</v>
      </c>
      <c r="B57" s="1">
        <v>41548</v>
      </c>
      <c r="C57" s="1">
        <v>55153</v>
      </c>
      <c r="D57" s="4" t="s">
        <v>351</v>
      </c>
      <c r="E57" s="32" t="s">
        <v>352</v>
      </c>
      <c r="F57" s="32">
        <v>25565526</v>
      </c>
      <c r="G57" t="s">
        <v>3</v>
      </c>
      <c r="H57" t="s">
        <v>4</v>
      </c>
      <c r="I57" t="s">
        <v>20</v>
      </c>
      <c r="J57" s="30" t="str">
        <f>IF(ISNUMBER(MATCH($D57,'Lopettaneet 2013-&gt;'!$D:$D,0)),INDEX('Lopettaneet 2013-&gt;'!$K:$K,MATCH($D57,'Lopettaneet 2013-&gt;'!$D:$D,0)),"Continues")</f>
        <v>Continues</v>
      </c>
      <c r="K57" s="30">
        <f ca="1">IF($J57="Continues",DATEDIF($B57,TODAY(),"Y"),INDEX('Lopettaneet 2013-&gt;'!$L:$L,MATCH($D57,'Lopettaneet 2013-&gt;'!$D:$D,0)))</f>
        <v>11</v>
      </c>
      <c r="L57" s="31" t="str">
        <f>IFERROR(INDEX('[1]30.06.2024'!$H:$H,MATCH($E57,'[1]30.06.2024'!$B:$B,0)),"Not found")</f>
        <v>Evli-Rahastoyhtiö Oy</v>
      </c>
      <c r="M57" s="31" t="str">
        <f>IFERROR(INDEX([2]Sheet1!$B:$B,MATCH($D57,[2]Sheet1!$A:$A,0)),"Not found")</f>
        <v>Retail</v>
      </c>
      <c r="N57">
        <f t="shared" si="0"/>
        <v>1</v>
      </c>
      <c r="O57">
        <f t="shared" si="1"/>
        <v>0</v>
      </c>
    </row>
    <row r="58" spans="1:15" x14ac:dyDescent="0.25">
      <c r="A58" t="s">
        <v>0</v>
      </c>
      <c r="B58" s="1">
        <v>41487</v>
      </c>
      <c r="C58" s="1">
        <v>42551</v>
      </c>
      <c r="D58" s="4" t="s">
        <v>353</v>
      </c>
      <c r="E58" s="32" t="s">
        <v>354</v>
      </c>
      <c r="F58" s="32">
        <v>25600328</v>
      </c>
      <c r="G58" t="s">
        <v>10</v>
      </c>
      <c r="H58" t="s">
        <v>4</v>
      </c>
      <c r="I58" t="s">
        <v>20</v>
      </c>
      <c r="J58" s="30" t="str">
        <f>IF(ISNUMBER(MATCH($D58,'Lopettaneet 2013-&gt;'!$D:$D,0)),INDEX('Lopettaneet 2013-&gt;'!$K:$K,MATCH($D58,'Lopettaneet 2013-&gt;'!$D:$D,0)),"Continues")</f>
        <v>Merged</v>
      </c>
      <c r="K58" s="30">
        <f ca="1">IF($J58="Continues",DATEDIF($B58,TODAY(),"Y"),INDEX('Lopettaneet 2013-&gt;'!$L:$L,MATCH($D58,'Lopettaneet 2013-&gt;'!$D:$D,0)))</f>
        <v>2</v>
      </c>
      <c r="L58" s="31" t="str">
        <f>IFERROR(INDEX('[1]30.06.2024'!$H:$H,MATCH($E58,'[1]30.06.2024'!$B:$B,0)),"Not found")</f>
        <v>Not found</v>
      </c>
      <c r="M58" s="31" t="str">
        <f>IFERROR(INDEX([2]Sheet1!$B:$B,MATCH($D58,[2]Sheet1!$A:$A,0)),"Not found")</f>
        <v>Not found</v>
      </c>
      <c r="N58">
        <f t="shared" si="0"/>
        <v>0</v>
      </c>
      <c r="O58">
        <f t="shared" si="1"/>
        <v>0</v>
      </c>
    </row>
    <row r="59" spans="1:15" x14ac:dyDescent="0.25">
      <c r="A59" t="s">
        <v>0</v>
      </c>
      <c r="B59" s="1">
        <v>41518</v>
      </c>
      <c r="C59" s="1">
        <v>42674</v>
      </c>
      <c r="D59" s="4" t="s">
        <v>355</v>
      </c>
      <c r="E59" s="32" t="s">
        <v>356</v>
      </c>
      <c r="F59" s="32">
        <v>25600352</v>
      </c>
      <c r="G59" t="s">
        <v>3</v>
      </c>
      <c r="H59" t="s">
        <v>4</v>
      </c>
      <c r="I59" t="s">
        <v>20</v>
      </c>
      <c r="J59" s="30" t="str">
        <f>IF(ISNUMBER(MATCH($D59,'Lopettaneet 2013-&gt;'!$D:$D,0)),INDEX('Lopettaneet 2013-&gt;'!$K:$K,MATCH($D59,'Lopettaneet 2013-&gt;'!$D:$D,0)),"Continues")</f>
        <v>Closed</v>
      </c>
      <c r="K59" s="30">
        <f ca="1">IF($J59="Continues",DATEDIF($B59,TODAY(),"Y"),INDEX('Lopettaneet 2013-&gt;'!$L:$L,MATCH($D59,'Lopettaneet 2013-&gt;'!$D:$D,0)))</f>
        <v>3</v>
      </c>
      <c r="L59" s="31" t="str">
        <f>IFERROR(INDEX('[1]30.06.2024'!$H:$H,MATCH($E59,'[1]30.06.2024'!$B:$B,0)),"Not found")</f>
        <v>Not found</v>
      </c>
      <c r="M59" s="31" t="str">
        <f>IFERROR(INDEX([2]Sheet1!$B:$B,MATCH($D59,[2]Sheet1!$A:$A,0)),"Not found")</f>
        <v>Not found</v>
      </c>
      <c r="N59">
        <f t="shared" si="0"/>
        <v>0</v>
      </c>
      <c r="O59">
        <f t="shared" si="1"/>
        <v>0</v>
      </c>
    </row>
    <row r="60" spans="1:15" x14ac:dyDescent="0.25">
      <c r="A60" t="s">
        <v>0</v>
      </c>
      <c r="B60" s="1">
        <v>41518</v>
      </c>
      <c r="C60" s="1">
        <v>42674</v>
      </c>
      <c r="D60" s="4" t="s">
        <v>357</v>
      </c>
      <c r="E60" s="32" t="s">
        <v>358</v>
      </c>
      <c r="F60" s="32">
        <v>25600029</v>
      </c>
      <c r="G60" t="s">
        <v>3</v>
      </c>
      <c r="H60" t="s">
        <v>4</v>
      </c>
      <c r="I60" t="s">
        <v>20</v>
      </c>
      <c r="J60" s="30" t="str">
        <f>IF(ISNUMBER(MATCH($D60,'Lopettaneet 2013-&gt;'!$D:$D,0)),INDEX('Lopettaneet 2013-&gt;'!$K:$K,MATCH($D60,'Lopettaneet 2013-&gt;'!$D:$D,0)),"Continues")</f>
        <v>Closed</v>
      </c>
      <c r="K60" s="30">
        <f ca="1">IF($J60="Continues",DATEDIF($B60,TODAY(),"Y"),INDEX('Lopettaneet 2013-&gt;'!$L:$L,MATCH($D60,'Lopettaneet 2013-&gt;'!$D:$D,0)))</f>
        <v>3</v>
      </c>
      <c r="L60" s="31" t="str">
        <f>IFERROR(INDEX('[1]30.06.2024'!$H:$H,MATCH($E60,'[1]30.06.2024'!$B:$B,0)),"Not found")</f>
        <v>Not found</v>
      </c>
      <c r="M60" s="31" t="str">
        <f>IFERROR(INDEX([2]Sheet1!$B:$B,MATCH($D60,[2]Sheet1!$A:$A,0)),"Not found")</f>
        <v>Not found</v>
      </c>
      <c r="N60">
        <f t="shared" si="0"/>
        <v>0</v>
      </c>
      <c r="O60">
        <f t="shared" si="1"/>
        <v>0</v>
      </c>
    </row>
    <row r="61" spans="1:15" x14ac:dyDescent="0.25">
      <c r="A61" t="s">
        <v>0</v>
      </c>
      <c r="B61" s="1">
        <v>41548</v>
      </c>
      <c r="C61" s="1">
        <v>55153</v>
      </c>
      <c r="D61" s="4" t="s">
        <v>359</v>
      </c>
      <c r="E61" s="32" t="s">
        <v>360</v>
      </c>
      <c r="F61" s="32">
        <v>25600387</v>
      </c>
      <c r="G61" t="s">
        <v>3</v>
      </c>
      <c r="H61" t="s">
        <v>4</v>
      </c>
      <c r="I61" t="s">
        <v>20</v>
      </c>
      <c r="J61" s="30" t="str">
        <f>IF(ISNUMBER(MATCH($D61,'Lopettaneet 2013-&gt;'!$D:$D,0)),INDEX('Lopettaneet 2013-&gt;'!$K:$K,MATCH($D61,'Lopettaneet 2013-&gt;'!$D:$D,0)),"Continues")</f>
        <v>Continues</v>
      </c>
      <c r="K61" s="30">
        <f ca="1">IF($J61="Continues",DATEDIF($B61,TODAY(),"Y"),INDEX('Lopettaneet 2013-&gt;'!$L:$L,MATCH($D61,'Lopettaneet 2013-&gt;'!$D:$D,0)))</f>
        <v>11</v>
      </c>
      <c r="L61" s="31" t="str">
        <f>IFERROR(INDEX('[1]30.06.2024'!$H:$H,MATCH($E61,'[1]30.06.2024'!$B:$B,0)),"Not found")</f>
        <v>Nordea Funds Oy</v>
      </c>
      <c r="M61" s="31" t="str">
        <f>IFERROR(INDEX([2]Sheet1!$B:$B,MATCH($D61,[2]Sheet1!$A:$A,0)),"Not found")</f>
        <v>Retail</v>
      </c>
      <c r="N61">
        <f t="shared" si="0"/>
        <v>1</v>
      </c>
      <c r="O61">
        <f t="shared" si="1"/>
        <v>0</v>
      </c>
    </row>
    <row r="62" spans="1:15" x14ac:dyDescent="0.25">
      <c r="A62" t="s">
        <v>0</v>
      </c>
      <c r="B62" s="1">
        <v>41548</v>
      </c>
      <c r="C62" s="1">
        <v>55153</v>
      </c>
      <c r="D62" s="4" t="s">
        <v>361</v>
      </c>
      <c r="E62" s="32" t="s">
        <v>362</v>
      </c>
      <c r="F62" s="32">
        <v>25744217</v>
      </c>
      <c r="G62" t="s">
        <v>3</v>
      </c>
      <c r="H62" t="s">
        <v>4</v>
      </c>
      <c r="I62" t="s">
        <v>50</v>
      </c>
      <c r="J62" s="30" t="str">
        <f>IF(ISNUMBER(MATCH($D62,'Lopettaneet 2013-&gt;'!$D:$D,0)),INDEX('Lopettaneet 2013-&gt;'!$K:$K,MATCH($D62,'Lopettaneet 2013-&gt;'!$D:$D,0)),"Continues")</f>
        <v>Continues</v>
      </c>
      <c r="K62" s="30">
        <f ca="1">IF($J62="Continues",DATEDIF($B62,TODAY(),"Y"),INDEX('Lopettaneet 2013-&gt;'!$L:$L,MATCH($D62,'Lopettaneet 2013-&gt;'!$D:$D,0)))</f>
        <v>11</v>
      </c>
      <c r="L62" s="31" t="str">
        <f>IFERROR(INDEX('[1]30.06.2024'!$H:$H,MATCH($E62,'[1]30.06.2024'!$B:$B,0)),"Not found")</f>
        <v>Not found</v>
      </c>
      <c r="M62" s="31" t="str">
        <f>IFERROR(INDEX([2]Sheet1!$B:$B,MATCH($D62,[2]Sheet1!$A:$A,0)),"Not found")</f>
        <v>Retail</v>
      </c>
      <c r="N62">
        <f t="shared" si="0"/>
        <v>1</v>
      </c>
      <c r="O62">
        <f t="shared" si="1"/>
        <v>0</v>
      </c>
    </row>
    <row r="63" spans="1:15" x14ac:dyDescent="0.25">
      <c r="A63" t="s">
        <v>0</v>
      </c>
      <c r="B63" s="1">
        <v>41548</v>
      </c>
      <c r="C63" s="1">
        <v>43069</v>
      </c>
      <c r="D63" s="4" t="s">
        <v>363</v>
      </c>
      <c r="E63" s="32" t="s">
        <v>364</v>
      </c>
      <c r="F63" s="32">
        <v>25734342</v>
      </c>
      <c r="G63" t="s">
        <v>3</v>
      </c>
      <c r="H63" t="s">
        <v>4</v>
      </c>
      <c r="I63" t="s">
        <v>50</v>
      </c>
      <c r="J63" s="30" t="str">
        <f>IF(ISNUMBER(MATCH($D63,'Lopettaneet 2013-&gt;'!$D:$D,0)),INDEX('Lopettaneet 2013-&gt;'!$K:$K,MATCH($D63,'Lopettaneet 2013-&gt;'!$D:$D,0)),"Continues")</f>
        <v>Closed</v>
      </c>
      <c r="K63" s="30">
        <f ca="1">IF($J63="Continues",DATEDIF($B63,TODAY(),"Y"),INDEX('Lopettaneet 2013-&gt;'!$L:$L,MATCH($D63,'Lopettaneet 2013-&gt;'!$D:$D,0)))</f>
        <v>4</v>
      </c>
      <c r="L63" s="31" t="str">
        <f>IFERROR(INDEX('[1]30.06.2024'!$H:$H,MATCH($E63,'[1]30.06.2024'!$B:$B,0)),"Not found")</f>
        <v>Not found</v>
      </c>
      <c r="M63" s="31" t="str">
        <f>IFERROR(INDEX([2]Sheet1!$B:$B,MATCH($D63,[2]Sheet1!$A:$A,0)),"Not found")</f>
        <v>Not found</v>
      </c>
      <c r="N63">
        <f t="shared" si="0"/>
        <v>0</v>
      </c>
      <c r="O63">
        <f t="shared" si="1"/>
        <v>0</v>
      </c>
    </row>
    <row r="64" spans="1:15" x14ac:dyDescent="0.25">
      <c r="A64" t="s">
        <v>0</v>
      </c>
      <c r="B64" s="1">
        <v>41548</v>
      </c>
      <c r="C64" s="1">
        <v>42794</v>
      </c>
      <c r="D64" s="4" t="s">
        <v>365</v>
      </c>
      <c r="E64" s="32" t="s">
        <v>366</v>
      </c>
      <c r="F64" s="32">
        <v>25740136</v>
      </c>
      <c r="G64" t="s">
        <v>3</v>
      </c>
      <c r="H64" t="s">
        <v>4</v>
      </c>
      <c r="I64" t="s">
        <v>20</v>
      </c>
      <c r="J64" s="30" t="str">
        <f>IF(ISNUMBER(MATCH($D64,'Lopettaneet 2013-&gt;'!$D:$D,0)),INDEX('Lopettaneet 2013-&gt;'!$K:$K,MATCH($D64,'Lopettaneet 2013-&gt;'!$D:$D,0)),"Continues")</f>
        <v>Closed</v>
      </c>
      <c r="K64" s="30">
        <f ca="1">IF($J64="Continues",DATEDIF($B64,TODAY(),"Y"),INDEX('Lopettaneet 2013-&gt;'!$L:$L,MATCH($D64,'Lopettaneet 2013-&gt;'!$D:$D,0)))</f>
        <v>3</v>
      </c>
      <c r="L64" s="31" t="str">
        <f>IFERROR(INDEX('[1]30.06.2024'!$H:$H,MATCH($E64,'[1]30.06.2024'!$B:$B,0)),"Not found")</f>
        <v>Not found</v>
      </c>
      <c r="M64" s="31" t="str">
        <f>IFERROR(INDEX([2]Sheet1!$B:$B,MATCH($D64,[2]Sheet1!$A:$A,0)),"Not found")</f>
        <v>Not found</v>
      </c>
      <c r="N64">
        <f t="shared" si="0"/>
        <v>0</v>
      </c>
      <c r="O64">
        <f t="shared" si="1"/>
        <v>0</v>
      </c>
    </row>
    <row r="65" spans="1:15" x14ac:dyDescent="0.25">
      <c r="A65" t="s">
        <v>0</v>
      </c>
      <c r="B65" s="1">
        <v>41579</v>
      </c>
      <c r="C65" s="1">
        <v>55153</v>
      </c>
      <c r="D65" s="4" t="s">
        <v>367</v>
      </c>
      <c r="E65" s="32" t="s">
        <v>368</v>
      </c>
      <c r="F65" s="32">
        <v>25754204</v>
      </c>
      <c r="G65" t="s">
        <v>3</v>
      </c>
      <c r="H65" t="s">
        <v>4</v>
      </c>
      <c r="I65" t="s">
        <v>50</v>
      </c>
      <c r="J65" s="30" t="str">
        <f>IF(ISNUMBER(MATCH($D65,'Lopettaneet 2013-&gt;'!$D:$D,0)),INDEX('Lopettaneet 2013-&gt;'!$K:$K,MATCH($D65,'Lopettaneet 2013-&gt;'!$D:$D,0)),"Continues")</f>
        <v>Continues</v>
      </c>
      <c r="K65" s="30">
        <f ca="1">IF($J65="Continues",DATEDIF($B65,TODAY(),"Y"),INDEX('Lopettaneet 2013-&gt;'!$L:$L,MATCH($D65,'Lopettaneet 2013-&gt;'!$D:$D,0)))</f>
        <v>11</v>
      </c>
      <c r="L65" s="31" t="str">
        <f>IFERROR(INDEX('[1]30.06.2024'!$H:$H,MATCH($E65,'[1]30.06.2024'!$B:$B,0)),"Not found")</f>
        <v>Nordea Funds Oy</v>
      </c>
      <c r="M65" s="31" t="str">
        <f>IFERROR(INDEX([2]Sheet1!$B:$B,MATCH($D65,[2]Sheet1!$A:$A,0)),"Not found")</f>
        <v>Not found</v>
      </c>
      <c r="N65">
        <f t="shared" si="0"/>
        <v>0</v>
      </c>
      <c r="O65">
        <f t="shared" si="1"/>
        <v>0</v>
      </c>
    </row>
    <row r="66" spans="1:15" x14ac:dyDescent="0.25">
      <c r="A66" t="s">
        <v>0</v>
      </c>
      <c r="B66" s="1">
        <v>41609</v>
      </c>
      <c r="C66" s="1">
        <v>55153</v>
      </c>
      <c r="D66" s="4" t="s">
        <v>369</v>
      </c>
      <c r="E66" s="32" t="s">
        <v>370</v>
      </c>
      <c r="F66" s="32">
        <v>25798362</v>
      </c>
      <c r="G66" t="s">
        <v>10</v>
      </c>
      <c r="H66" t="s">
        <v>4</v>
      </c>
      <c r="I66" t="s">
        <v>20</v>
      </c>
      <c r="J66" s="30" t="str">
        <f>IF(ISNUMBER(MATCH($D66,'Lopettaneet 2013-&gt;'!$D:$D,0)),INDEX('Lopettaneet 2013-&gt;'!$K:$K,MATCH($D66,'Lopettaneet 2013-&gt;'!$D:$D,0)),"Continues")</f>
        <v>Continues</v>
      </c>
      <c r="K66" s="30">
        <f ca="1">IF($J66="Continues",DATEDIF($B66,TODAY(),"Y"),INDEX('Lopettaneet 2013-&gt;'!$L:$L,MATCH($D66,'Lopettaneet 2013-&gt;'!$D:$D,0)))</f>
        <v>11</v>
      </c>
      <c r="L66" s="31" t="str">
        <f>IFERROR(INDEX('[1]30.06.2024'!$H:$H,MATCH($E66,'[1]30.06.2024'!$B:$B,0)),"Not found")</f>
        <v>Aktia Rahastoyhtiö Oy</v>
      </c>
      <c r="M66" s="31" t="str">
        <f>IFERROR(INDEX([2]Sheet1!$B:$B,MATCH($D66,[2]Sheet1!$A:$A,0)),"Not found")</f>
        <v>Retail</v>
      </c>
      <c r="N66">
        <f t="shared" si="0"/>
        <v>1</v>
      </c>
      <c r="O66">
        <f t="shared" si="1"/>
        <v>0</v>
      </c>
    </row>
    <row r="67" spans="1:15" x14ac:dyDescent="0.25">
      <c r="A67" t="s">
        <v>0</v>
      </c>
      <c r="B67" s="1">
        <v>41609</v>
      </c>
      <c r="C67" s="1">
        <v>43982</v>
      </c>
      <c r="D67" s="4" t="s">
        <v>371</v>
      </c>
      <c r="E67" s="32" t="s">
        <v>372</v>
      </c>
      <c r="F67" s="32">
        <v>25842837</v>
      </c>
      <c r="G67" t="s">
        <v>10</v>
      </c>
      <c r="H67" t="s">
        <v>4</v>
      </c>
      <c r="I67" t="s">
        <v>50</v>
      </c>
      <c r="J67" s="30" t="str">
        <f>IF(ISNUMBER(MATCH($D67,'Lopettaneet 2013-&gt;'!$D:$D,0)),INDEX('Lopettaneet 2013-&gt;'!$K:$K,MATCH($D67,'Lopettaneet 2013-&gt;'!$D:$D,0)),"Continues")</f>
        <v>Merged</v>
      </c>
      <c r="K67" s="30">
        <f ca="1">IF($J67="Continues",DATEDIF($B67,TODAY(),"Y"),INDEX('Lopettaneet 2013-&gt;'!$L:$L,MATCH($D67,'Lopettaneet 2013-&gt;'!$D:$D,0)))</f>
        <v>6</v>
      </c>
      <c r="L67" s="31" t="str">
        <f>IFERROR(INDEX('[1]30.06.2024'!$H:$H,MATCH($E67,'[1]30.06.2024'!$B:$B,0)),"Not found")</f>
        <v>Not found</v>
      </c>
      <c r="M67" s="31" t="str">
        <f>IFERROR(INDEX([2]Sheet1!$B:$B,MATCH($D67,[2]Sheet1!$A:$A,0)),"Not found")</f>
        <v>Not found</v>
      </c>
      <c r="N67">
        <f t="shared" ref="N67:N130" si="2">IF($M67="Retail",1,0)</f>
        <v>0</v>
      </c>
      <c r="O67">
        <f t="shared" ref="O67:O130" si="3">IF($M67="Non-Retail",1,0)</f>
        <v>0</v>
      </c>
    </row>
    <row r="68" spans="1:15" x14ac:dyDescent="0.25">
      <c r="A68" t="s">
        <v>0</v>
      </c>
      <c r="B68" s="1">
        <v>41609</v>
      </c>
      <c r="C68" s="1">
        <v>55153</v>
      </c>
      <c r="D68" s="4" t="s">
        <v>373</v>
      </c>
      <c r="E68" s="32" t="s">
        <v>374</v>
      </c>
      <c r="F68" s="32">
        <v>25852963</v>
      </c>
      <c r="G68" t="s">
        <v>10</v>
      </c>
      <c r="H68" t="s">
        <v>4</v>
      </c>
      <c r="I68" t="s">
        <v>32</v>
      </c>
      <c r="J68" s="30" t="str">
        <f>IF(ISNUMBER(MATCH($D68,'Lopettaneet 2013-&gt;'!$D:$D,0)),INDEX('Lopettaneet 2013-&gt;'!$K:$K,MATCH($D68,'Lopettaneet 2013-&gt;'!$D:$D,0)),"Continues")</f>
        <v>Continues</v>
      </c>
      <c r="K68" s="30">
        <f ca="1">IF($J68="Continues",DATEDIF($B68,TODAY(),"Y"),INDEX('Lopettaneet 2013-&gt;'!$L:$L,MATCH($D68,'Lopettaneet 2013-&gt;'!$D:$D,0)))</f>
        <v>11</v>
      </c>
      <c r="L68" s="31" t="str">
        <f>IFERROR(INDEX('[1]30.06.2024'!$H:$H,MATCH($E68,'[1]30.06.2024'!$B:$B,0)),"Not found")</f>
        <v>S-Pankki Rahastoyhtiö Oy</v>
      </c>
      <c r="M68" s="31" t="str">
        <f>IFERROR(INDEX([2]Sheet1!$B:$B,MATCH($D68,[2]Sheet1!$A:$A,0)),"Not found")</f>
        <v>Retail</v>
      </c>
      <c r="N68">
        <f t="shared" si="2"/>
        <v>1</v>
      </c>
      <c r="O68">
        <f t="shared" si="3"/>
        <v>0</v>
      </c>
    </row>
    <row r="69" spans="1:15" x14ac:dyDescent="0.25">
      <c r="A69" t="s">
        <v>0</v>
      </c>
      <c r="B69" s="1">
        <v>41671</v>
      </c>
      <c r="C69" s="1">
        <v>55153</v>
      </c>
      <c r="D69" s="4" t="s">
        <v>375</v>
      </c>
      <c r="E69" s="32" t="s">
        <v>376</v>
      </c>
      <c r="F69" s="32">
        <v>25866265</v>
      </c>
      <c r="G69" t="s">
        <v>3</v>
      </c>
      <c r="H69" t="s">
        <v>4</v>
      </c>
      <c r="I69" t="s">
        <v>20</v>
      </c>
      <c r="J69" s="30" t="str">
        <f>IF(ISNUMBER(MATCH($D69,'Lopettaneet 2013-&gt;'!$D:$D,0)),INDEX('Lopettaneet 2013-&gt;'!$K:$K,MATCH($D69,'Lopettaneet 2013-&gt;'!$D:$D,0)),"Continues")</f>
        <v>Continues</v>
      </c>
      <c r="K69" s="30">
        <f ca="1">IF($J69="Continues",DATEDIF($B69,TODAY(),"Y"),INDEX('Lopettaneet 2013-&gt;'!$L:$L,MATCH($D69,'Lopettaneet 2013-&gt;'!$D:$D,0)))</f>
        <v>11</v>
      </c>
      <c r="L69" s="31" t="str">
        <f>IFERROR(INDEX('[1]30.06.2024'!$H:$H,MATCH($E69,'[1]30.06.2024'!$B:$B,0)),"Not found")</f>
        <v>OP-Rahastoyhtiö Oy</v>
      </c>
      <c r="M69" s="31" t="str">
        <f>IFERROR(INDEX([2]Sheet1!$B:$B,MATCH($D69,[2]Sheet1!$A:$A,0)),"Not found")</f>
        <v>Retail</v>
      </c>
      <c r="N69">
        <f t="shared" si="2"/>
        <v>1</v>
      </c>
      <c r="O69">
        <f t="shared" si="3"/>
        <v>0</v>
      </c>
    </row>
    <row r="70" spans="1:15" x14ac:dyDescent="0.25">
      <c r="A70" t="s">
        <v>0</v>
      </c>
      <c r="B70" s="1">
        <v>41730</v>
      </c>
      <c r="C70" s="1">
        <v>43069</v>
      </c>
      <c r="D70" s="4" t="s">
        <v>377</v>
      </c>
      <c r="E70" s="32" t="s">
        <v>378</v>
      </c>
      <c r="F70" s="32">
        <v>25921615</v>
      </c>
      <c r="G70" t="s">
        <v>3</v>
      </c>
      <c r="H70" t="s">
        <v>4</v>
      </c>
      <c r="I70" t="s">
        <v>50</v>
      </c>
      <c r="J70" s="30" t="str">
        <f>IF(ISNUMBER(MATCH($D70,'Lopettaneet 2013-&gt;'!$D:$D,0)),INDEX('Lopettaneet 2013-&gt;'!$K:$K,MATCH($D70,'Lopettaneet 2013-&gt;'!$D:$D,0)),"Continues")</f>
        <v>Closed</v>
      </c>
      <c r="K70" s="30">
        <f ca="1">IF($J70="Continues",DATEDIF($B70,TODAY(),"Y"),INDEX('Lopettaneet 2013-&gt;'!$L:$L,MATCH($D70,'Lopettaneet 2013-&gt;'!$D:$D,0)))</f>
        <v>3</v>
      </c>
      <c r="L70" s="31" t="str">
        <f>IFERROR(INDEX('[1]30.06.2024'!$H:$H,MATCH($E70,'[1]30.06.2024'!$B:$B,0)),"Not found")</f>
        <v>Not found</v>
      </c>
      <c r="M70" s="31" t="str">
        <f>IFERROR(INDEX([2]Sheet1!$B:$B,MATCH($D70,[2]Sheet1!$A:$A,0)),"Not found")</f>
        <v>Not found</v>
      </c>
      <c r="N70">
        <f t="shared" si="2"/>
        <v>0</v>
      </c>
      <c r="O70">
        <f t="shared" si="3"/>
        <v>0</v>
      </c>
    </row>
    <row r="71" spans="1:15" x14ac:dyDescent="0.25">
      <c r="A71" t="s">
        <v>0</v>
      </c>
      <c r="B71" s="1">
        <v>41640</v>
      </c>
      <c r="C71" s="1">
        <v>43496</v>
      </c>
      <c r="D71" s="4" t="s">
        <v>379</v>
      </c>
      <c r="E71" s="32" t="s">
        <v>380</v>
      </c>
      <c r="F71" s="32">
        <v>25906263</v>
      </c>
      <c r="G71" t="s">
        <v>10</v>
      </c>
      <c r="H71" t="s">
        <v>4</v>
      </c>
      <c r="I71" t="s">
        <v>29</v>
      </c>
      <c r="J71" s="30" t="str">
        <f>IF(ISNUMBER(MATCH($D71,'Lopettaneet 2013-&gt;'!$D:$D,0)),INDEX('Lopettaneet 2013-&gt;'!$K:$K,MATCH($D71,'Lopettaneet 2013-&gt;'!$D:$D,0)),"Continues")</f>
        <v>Closed</v>
      </c>
      <c r="K71" s="30">
        <f ca="1">IF($J71="Continues",DATEDIF($B71,TODAY(),"Y"),INDEX('Lopettaneet 2013-&gt;'!$L:$L,MATCH($D71,'Lopettaneet 2013-&gt;'!$D:$D,0)))</f>
        <v>5</v>
      </c>
      <c r="L71" s="31" t="str">
        <f>IFERROR(INDEX('[1]30.06.2024'!$H:$H,MATCH($E71,'[1]30.06.2024'!$B:$B,0)),"Not found")</f>
        <v>Not found</v>
      </c>
      <c r="M71" s="31" t="str">
        <f>IFERROR(INDEX([2]Sheet1!$B:$B,MATCH($D71,[2]Sheet1!$A:$A,0)),"Not found")</f>
        <v>Not found</v>
      </c>
      <c r="N71">
        <f t="shared" si="2"/>
        <v>0</v>
      </c>
      <c r="O71">
        <f t="shared" si="3"/>
        <v>0</v>
      </c>
    </row>
    <row r="72" spans="1:15" x14ac:dyDescent="0.25">
      <c r="A72" t="s">
        <v>0</v>
      </c>
      <c r="B72" s="1">
        <v>41640</v>
      </c>
      <c r="C72" s="1">
        <v>55153</v>
      </c>
      <c r="D72" s="4" t="s">
        <v>381</v>
      </c>
      <c r="E72" s="32" t="s">
        <v>382</v>
      </c>
      <c r="F72" s="32">
        <v>25905922</v>
      </c>
      <c r="G72" t="s">
        <v>3</v>
      </c>
      <c r="H72" t="s">
        <v>4</v>
      </c>
      <c r="I72" t="s">
        <v>50</v>
      </c>
      <c r="J72" s="30" t="str">
        <f>IF(ISNUMBER(MATCH($D72,'Lopettaneet 2013-&gt;'!$D:$D,0)),INDEX('Lopettaneet 2013-&gt;'!$K:$K,MATCH($D72,'Lopettaneet 2013-&gt;'!$D:$D,0)),"Continues")</f>
        <v>Continues</v>
      </c>
      <c r="K72" s="30">
        <f ca="1">IF($J72="Continues",DATEDIF($B72,TODAY(),"Y"),INDEX('Lopettaneet 2013-&gt;'!$L:$L,MATCH($D72,'Lopettaneet 2013-&gt;'!$D:$D,0)))</f>
        <v>11</v>
      </c>
      <c r="L72" s="31" t="str">
        <f>IFERROR(INDEX('[1]30.06.2024'!$H:$H,MATCH($E72,'[1]30.06.2024'!$B:$B,0)),"Not found")</f>
        <v>Finlandia Rahastoyhtiö Oy</v>
      </c>
      <c r="M72" s="31" t="str">
        <f>IFERROR(INDEX([2]Sheet1!$B:$B,MATCH($D72,[2]Sheet1!$A:$A,0)),"Not found")</f>
        <v>Retail</v>
      </c>
      <c r="N72">
        <f t="shared" si="2"/>
        <v>1</v>
      </c>
      <c r="O72">
        <f t="shared" si="3"/>
        <v>0</v>
      </c>
    </row>
    <row r="73" spans="1:15" x14ac:dyDescent="0.25">
      <c r="A73" t="s">
        <v>0</v>
      </c>
      <c r="B73" s="1">
        <v>41640</v>
      </c>
      <c r="C73" s="1">
        <v>43404</v>
      </c>
      <c r="D73" s="4" t="s">
        <v>383</v>
      </c>
      <c r="E73" s="32" t="s">
        <v>384</v>
      </c>
      <c r="F73" s="32">
        <v>25917149</v>
      </c>
      <c r="G73" t="s">
        <v>10</v>
      </c>
      <c r="H73" t="s">
        <v>4</v>
      </c>
      <c r="I73" t="s">
        <v>20</v>
      </c>
      <c r="J73" s="30" t="str">
        <f>IF(ISNUMBER(MATCH($D73,'Lopettaneet 2013-&gt;'!$D:$D,0)),INDEX('Lopettaneet 2013-&gt;'!$K:$K,MATCH($D73,'Lopettaneet 2013-&gt;'!$D:$D,0)),"Continues")</f>
        <v>Merged</v>
      </c>
      <c r="K73" s="30">
        <f ca="1">IF($J73="Continues",DATEDIF($B73,TODAY(),"Y"),INDEX('Lopettaneet 2013-&gt;'!$L:$L,MATCH($D73,'Lopettaneet 2013-&gt;'!$D:$D,0)))</f>
        <v>4</v>
      </c>
      <c r="L73" s="31" t="str">
        <f>IFERROR(INDEX('[1]30.06.2024'!$H:$H,MATCH($E73,'[1]30.06.2024'!$B:$B,0)),"Not found")</f>
        <v>Not found</v>
      </c>
      <c r="M73" s="31" t="str">
        <f>IFERROR(INDEX([2]Sheet1!$B:$B,MATCH($D73,[2]Sheet1!$A:$A,0)),"Not found")</f>
        <v>Not found</v>
      </c>
      <c r="N73">
        <f t="shared" si="2"/>
        <v>0</v>
      </c>
      <c r="O73">
        <f t="shared" si="3"/>
        <v>0</v>
      </c>
    </row>
    <row r="74" spans="1:15" x14ac:dyDescent="0.25">
      <c r="A74" t="s">
        <v>7</v>
      </c>
      <c r="B74" s="1">
        <v>41974</v>
      </c>
      <c r="C74" s="1">
        <v>42643</v>
      </c>
      <c r="D74" s="4" t="s">
        <v>385</v>
      </c>
      <c r="E74" s="32" t="s">
        <v>386</v>
      </c>
      <c r="F74" s="32">
        <v>9642042</v>
      </c>
      <c r="G74" t="s">
        <v>10</v>
      </c>
      <c r="H74" t="s">
        <v>11</v>
      </c>
      <c r="I74" t="s">
        <v>12</v>
      </c>
      <c r="J74" s="30" t="str">
        <f>IF(ISNUMBER(MATCH($D74,'Lopettaneet 2013-&gt;'!$D:$D,0)),INDEX('Lopettaneet 2013-&gt;'!$K:$K,MATCH($D74,'Lopettaneet 2013-&gt;'!$D:$D,0)),"Continues")</f>
        <v>Closed</v>
      </c>
      <c r="K74" s="30">
        <f ca="1">IF($J74="Continues",DATEDIF($B74,TODAY(),"Y"),INDEX('Lopettaneet 2013-&gt;'!$L:$L,MATCH($D74,'Lopettaneet 2013-&gt;'!$D:$D,0)))</f>
        <v>1</v>
      </c>
      <c r="L74" s="31" t="str">
        <f>IFERROR(INDEX('[1]30.06.2024'!$H:$H,MATCH($E74,'[1]30.06.2024'!$B:$B,0)),"Not found")</f>
        <v>Not found</v>
      </c>
      <c r="M74" s="31" t="str">
        <f>IFERROR(INDEX([2]Sheet1!$B:$B,MATCH($D74,[2]Sheet1!$A:$A,0)),"Not found")</f>
        <v>Not found</v>
      </c>
      <c r="N74">
        <f t="shared" si="2"/>
        <v>0</v>
      </c>
      <c r="O74">
        <f t="shared" si="3"/>
        <v>0</v>
      </c>
    </row>
    <row r="75" spans="1:15" x14ac:dyDescent="0.25">
      <c r="A75" t="s">
        <v>7</v>
      </c>
      <c r="B75" s="1">
        <v>41974</v>
      </c>
      <c r="C75" s="1">
        <v>55153</v>
      </c>
      <c r="D75" s="4" t="s">
        <v>387</v>
      </c>
      <c r="E75" s="32" t="s">
        <v>388</v>
      </c>
      <c r="F75" s="32">
        <v>9613380</v>
      </c>
      <c r="G75" t="s">
        <v>10</v>
      </c>
      <c r="H75" t="s">
        <v>11</v>
      </c>
      <c r="I75" t="s">
        <v>80</v>
      </c>
      <c r="J75" s="30" t="str">
        <f>IF(ISNUMBER(MATCH($D75,'Lopettaneet 2013-&gt;'!$D:$D,0)),INDEX('Lopettaneet 2013-&gt;'!$K:$K,MATCH($D75,'Lopettaneet 2013-&gt;'!$D:$D,0)),"Continues")</f>
        <v>Continues</v>
      </c>
      <c r="K75" s="30">
        <f ca="1">IF($J75="Continues",DATEDIF($B75,TODAY(),"Y"),INDEX('Lopettaneet 2013-&gt;'!$L:$L,MATCH($D75,'Lopettaneet 2013-&gt;'!$D:$D,0)))</f>
        <v>10</v>
      </c>
      <c r="L75" s="31" t="str">
        <f>IFERROR(INDEX('[1]30.06.2024'!$H:$H,MATCH($E75,'[1]30.06.2024'!$B:$B,0)),"Not found")</f>
        <v>Midinvest Management Oy</v>
      </c>
      <c r="M75" s="31" t="str">
        <f>IFERROR(INDEX([2]Sheet1!$B:$B,MATCH($D75,[2]Sheet1!$A:$A,0)),"Not found")</f>
        <v>Non-Retail</v>
      </c>
      <c r="N75">
        <f t="shared" si="2"/>
        <v>0</v>
      </c>
      <c r="O75">
        <f t="shared" si="3"/>
        <v>1</v>
      </c>
    </row>
    <row r="76" spans="1:15" x14ac:dyDescent="0.25">
      <c r="A76" t="s">
        <v>7</v>
      </c>
      <c r="B76" s="1">
        <v>41974</v>
      </c>
      <c r="C76" s="1">
        <v>55153</v>
      </c>
      <c r="D76" s="4" t="s">
        <v>389</v>
      </c>
      <c r="E76" s="32" t="s">
        <v>390</v>
      </c>
      <c r="F76" s="32">
        <v>8160148</v>
      </c>
      <c r="G76" t="s">
        <v>10</v>
      </c>
      <c r="H76" t="s">
        <v>11</v>
      </c>
      <c r="I76" t="s">
        <v>12</v>
      </c>
      <c r="J76" s="30" t="str">
        <f>IF(ISNUMBER(MATCH($D76,'Lopettaneet 2013-&gt;'!$D:$D,0)),INDEX('Lopettaneet 2013-&gt;'!$K:$K,MATCH($D76,'Lopettaneet 2013-&gt;'!$D:$D,0)),"Continues")</f>
        <v>Continues</v>
      </c>
      <c r="K76" s="30">
        <f ca="1">IF($J76="Continues",DATEDIF($B76,TODAY(),"Y"),INDEX('Lopettaneet 2013-&gt;'!$L:$L,MATCH($D76,'Lopettaneet 2013-&gt;'!$D:$D,0)))</f>
        <v>10</v>
      </c>
      <c r="L76" s="31" t="str">
        <f>IFERROR(INDEX('[1]30.06.2024'!$H:$H,MATCH($E76,'[1]30.06.2024'!$B:$B,0)),"Not found")</f>
        <v>Nordia Management Oy</v>
      </c>
      <c r="M76" s="31" t="str">
        <f>IFERROR(INDEX([2]Sheet1!$B:$B,MATCH($D76,[2]Sheet1!$A:$A,0)),"Not found")</f>
        <v>Non-Retail</v>
      </c>
      <c r="N76">
        <f t="shared" si="2"/>
        <v>0</v>
      </c>
      <c r="O76">
        <f t="shared" si="3"/>
        <v>1</v>
      </c>
    </row>
    <row r="77" spans="1:15" x14ac:dyDescent="0.25">
      <c r="A77" t="s">
        <v>7</v>
      </c>
      <c r="B77" s="1">
        <v>41974</v>
      </c>
      <c r="C77" s="1">
        <v>42825</v>
      </c>
      <c r="D77" s="4" t="s">
        <v>391</v>
      </c>
      <c r="E77" s="32" t="s">
        <v>392</v>
      </c>
      <c r="F77" s="32">
        <v>5885143</v>
      </c>
      <c r="G77" t="s">
        <v>10</v>
      </c>
      <c r="H77" t="s">
        <v>11</v>
      </c>
      <c r="I77" t="s">
        <v>12</v>
      </c>
      <c r="J77" s="30" t="str">
        <f>IF(ISNUMBER(MATCH($D77,'Lopettaneet 2013-&gt;'!$D:$D,0)),INDEX('Lopettaneet 2013-&gt;'!$K:$K,MATCH($D77,'Lopettaneet 2013-&gt;'!$D:$D,0)),"Continues")</f>
        <v>Closed</v>
      </c>
      <c r="K77" s="30">
        <f ca="1">IF($J77="Continues",DATEDIF($B77,TODAY(),"Y"),INDEX('Lopettaneet 2013-&gt;'!$L:$L,MATCH($D77,'Lopettaneet 2013-&gt;'!$D:$D,0)))</f>
        <v>2</v>
      </c>
      <c r="L77" s="31" t="str">
        <f>IFERROR(INDEX('[1]30.06.2024'!$H:$H,MATCH($E77,'[1]30.06.2024'!$B:$B,0)),"Not found")</f>
        <v>Not found</v>
      </c>
      <c r="M77" s="31" t="str">
        <f>IFERROR(INDEX([2]Sheet1!$B:$B,MATCH($D77,[2]Sheet1!$A:$A,0)),"Not found")</f>
        <v>Not found</v>
      </c>
      <c r="N77">
        <f t="shared" si="2"/>
        <v>0</v>
      </c>
      <c r="O77">
        <f t="shared" si="3"/>
        <v>0</v>
      </c>
    </row>
    <row r="78" spans="1:15" x14ac:dyDescent="0.25">
      <c r="A78" t="s">
        <v>7</v>
      </c>
      <c r="B78" s="1">
        <v>41974</v>
      </c>
      <c r="C78" s="1">
        <v>44196</v>
      </c>
      <c r="D78" s="4" t="s">
        <v>393</v>
      </c>
      <c r="E78" s="32" t="s">
        <v>394</v>
      </c>
      <c r="F78" s="32">
        <v>19544366</v>
      </c>
      <c r="G78" t="s">
        <v>10</v>
      </c>
      <c r="H78" t="s">
        <v>11</v>
      </c>
      <c r="I78" t="s">
        <v>29</v>
      </c>
      <c r="J78" s="30" t="str">
        <f>IF(ISNUMBER(MATCH($D78,'Lopettaneet 2013-&gt;'!$D:$D,0)),INDEX('Lopettaneet 2013-&gt;'!$K:$K,MATCH($D78,'Lopettaneet 2013-&gt;'!$D:$D,0)),"Continues")</f>
        <v>Closed</v>
      </c>
      <c r="K78" s="30">
        <f ca="1">IF($J78="Continues",DATEDIF($B78,TODAY(),"Y"),INDEX('Lopettaneet 2013-&gt;'!$L:$L,MATCH($D78,'Lopettaneet 2013-&gt;'!$D:$D,0)))</f>
        <v>6</v>
      </c>
      <c r="L78" s="31" t="str">
        <f>IFERROR(INDEX('[1]30.06.2024'!$H:$H,MATCH($E78,'[1]30.06.2024'!$B:$B,0)),"Not found")</f>
        <v>Not found</v>
      </c>
      <c r="M78" s="31" t="str">
        <f>IFERROR(INDEX([2]Sheet1!$B:$B,MATCH($D78,[2]Sheet1!$A:$A,0)),"Not found")</f>
        <v>Not found</v>
      </c>
      <c r="N78">
        <f t="shared" si="2"/>
        <v>0</v>
      </c>
      <c r="O78">
        <f t="shared" si="3"/>
        <v>0</v>
      </c>
    </row>
    <row r="79" spans="1:15" x14ac:dyDescent="0.25">
      <c r="A79" t="s">
        <v>7</v>
      </c>
      <c r="B79" s="1">
        <v>41974</v>
      </c>
      <c r="C79" s="1">
        <v>55153</v>
      </c>
      <c r="D79" s="4" t="s">
        <v>395</v>
      </c>
      <c r="E79" s="32" t="s">
        <v>396</v>
      </c>
      <c r="F79" s="32">
        <v>19489897</v>
      </c>
      <c r="G79" t="s">
        <v>10</v>
      </c>
      <c r="H79" t="s">
        <v>11</v>
      </c>
      <c r="I79" t="s">
        <v>12</v>
      </c>
      <c r="J79" s="30" t="str">
        <f>IF(ISNUMBER(MATCH($D79,'Lopettaneet 2013-&gt;'!$D:$D,0)),INDEX('Lopettaneet 2013-&gt;'!$K:$K,MATCH($D79,'Lopettaneet 2013-&gt;'!$D:$D,0)),"Continues")</f>
        <v>Continues</v>
      </c>
      <c r="K79" s="30">
        <f ca="1">IF($J79="Continues",DATEDIF($B79,TODAY(),"Y"),INDEX('Lopettaneet 2013-&gt;'!$L:$L,MATCH($D79,'Lopettaneet 2013-&gt;'!$D:$D,0)))</f>
        <v>10</v>
      </c>
      <c r="L79" s="31" t="str">
        <f>IFERROR(INDEX('[1]30.06.2024'!$H:$H,MATCH($E79,'[1]30.06.2024'!$B:$B,0)),"Not found")</f>
        <v>CapMan Classic GP Oy</v>
      </c>
      <c r="M79" s="31" t="str">
        <f>IFERROR(INDEX([2]Sheet1!$B:$B,MATCH($D79,[2]Sheet1!$A:$A,0)),"Not found")</f>
        <v>Non-Retail</v>
      </c>
      <c r="N79">
        <f t="shared" si="2"/>
        <v>0</v>
      </c>
      <c r="O79">
        <f t="shared" si="3"/>
        <v>1</v>
      </c>
    </row>
    <row r="80" spans="1:15" x14ac:dyDescent="0.25">
      <c r="A80" t="s">
        <v>7</v>
      </c>
      <c r="B80" s="1">
        <v>41974</v>
      </c>
      <c r="C80" s="1">
        <v>42735</v>
      </c>
      <c r="D80" s="4" t="s">
        <v>397</v>
      </c>
      <c r="E80" s="32" t="s">
        <v>398</v>
      </c>
      <c r="F80" s="32">
        <v>18985522</v>
      </c>
      <c r="G80" t="s">
        <v>10</v>
      </c>
      <c r="H80" t="s">
        <v>11</v>
      </c>
      <c r="I80" t="s">
        <v>12</v>
      </c>
      <c r="J80" s="30" t="str">
        <f>IF(ISNUMBER(MATCH($D80,'Lopettaneet 2013-&gt;'!$D:$D,0)),INDEX('Lopettaneet 2013-&gt;'!$K:$K,MATCH($D80,'Lopettaneet 2013-&gt;'!$D:$D,0)),"Continues")</f>
        <v>Closed</v>
      </c>
      <c r="K80" s="30">
        <f ca="1">IF($J80="Continues",DATEDIF($B80,TODAY(),"Y"),INDEX('Lopettaneet 2013-&gt;'!$L:$L,MATCH($D80,'Lopettaneet 2013-&gt;'!$D:$D,0)))</f>
        <v>2</v>
      </c>
      <c r="L80" s="31" t="str">
        <f>IFERROR(INDEX('[1]30.06.2024'!$H:$H,MATCH($E80,'[1]30.06.2024'!$B:$B,0)),"Not found")</f>
        <v>Not found</v>
      </c>
      <c r="M80" s="31" t="str">
        <f>IFERROR(INDEX([2]Sheet1!$B:$B,MATCH($D80,[2]Sheet1!$A:$A,0)),"Not found")</f>
        <v>Not found</v>
      </c>
      <c r="N80">
        <f t="shared" si="2"/>
        <v>0</v>
      </c>
      <c r="O80">
        <f t="shared" si="3"/>
        <v>0</v>
      </c>
    </row>
    <row r="81" spans="1:15" x14ac:dyDescent="0.25">
      <c r="A81" t="s">
        <v>7</v>
      </c>
      <c r="B81" s="1">
        <v>41974</v>
      </c>
      <c r="C81" s="1">
        <v>43738</v>
      </c>
      <c r="D81" s="4" t="s">
        <v>399</v>
      </c>
      <c r="E81" s="32" t="s">
        <v>400</v>
      </c>
      <c r="F81" s="32">
        <v>18626810</v>
      </c>
      <c r="G81" t="s">
        <v>10</v>
      </c>
      <c r="H81" t="s">
        <v>11</v>
      </c>
      <c r="I81" t="s">
        <v>80</v>
      </c>
      <c r="J81" s="30" t="str">
        <f>IF(ISNUMBER(MATCH($D81,'Lopettaneet 2013-&gt;'!$D:$D,0)),INDEX('Lopettaneet 2013-&gt;'!$K:$K,MATCH($D81,'Lopettaneet 2013-&gt;'!$D:$D,0)),"Continues")</f>
        <v>Closed</v>
      </c>
      <c r="K81" s="30">
        <f ca="1">IF($J81="Continues",DATEDIF($B81,TODAY(),"Y"),INDEX('Lopettaneet 2013-&gt;'!$L:$L,MATCH($D81,'Lopettaneet 2013-&gt;'!$D:$D,0)))</f>
        <v>4</v>
      </c>
      <c r="L81" s="31" t="str">
        <f>IFERROR(INDEX('[1]30.06.2024'!$H:$H,MATCH($E81,'[1]30.06.2024'!$B:$B,0)),"Not found")</f>
        <v>Not found</v>
      </c>
      <c r="M81" s="31" t="str">
        <f>IFERROR(INDEX([2]Sheet1!$B:$B,MATCH($D81,[2]Sheet1!$A:$A,0)),"Not found")</f>
        <v>Not found</v>
      </c>
      <c r="N81">
        <f t="shared" si="2"/>
        <v>0</v>
      </c>
      <c r="O81">
        <f t="shared" si="3"/>
        <v>0</v>
      </c>
    </row>
    <row r="82" spans="1:15" x14ac:dyDescent="0.25">
      <c r="A82" t="s">
        <v>7</v>
      </c>
      <c r="B82" s="1">
        <v>41974</v>
      </c>
      <c r="C82" s="1">
        <v>44196</v>
      </c>
      <c r="D82" s="4" t="s">
        <v>401</v>
      </c>
      <c r="E82" s="32" t="s">
        <v>402</v>
      </c>
      <c r="F82" s="32">
        <v>18584833</v>
      </c>
      <c r="G82" t="s">
        <v>10</v>
      </c>
      <c r="H82" t="s">
        <v>11</v>
      </c>
      <c r="I82" t="s">
        <v>80</v>
      </c>
      <c r="J82" s="30" t="str">
        <f>IF(ISNUMBER(MATCH($D82,'Lopettaneet 2013-&gt;'!$D:$D,0)),INDEX('Lopettaneet 2013-&gt;'!$K:$K,MATCH($D82,'Lopettaneet 2013-&gt;'!$D:$D,0)),"Continues")</f>
        <v>Closed</v>
      </c>
      <c r="K82" s="30">
        <f ca="1">IF($J82="Continues",DATEDIF($B82,TODAY(),"Y"),INDEX('Lopettaneet 2013-&gt;'!$L:$L,MATCH($D82,'Lopettaneet 2013-&gt;'!$D:$D,0)))</f>
        <v>6</v>
      </c>
      <c r="L82" s="31" t="str">
        <f>IFERROR(INDEX('[1]30.06.2024'!$H:$H,MATCH($E82,'[1]30.06.2024'!$B:$B,0)),"Not found")</f>
        <v>Not found</v>
      </c>
      <c r="M82" s="31" t="str">
        <f>IFERROR(INDEX([2]Sheet1!$B:$B,MATCH($D82,[2]Sheet1!$A:$A,0)),"Not found")</f>
        <v>Not found</v>
      </c>
      <c r="N82">
        <f t="shared" si="2"/>
        <v>0</v>
      </c>
      <c r="O82">
        <f t="shared" si="3"/>
        <v>0</v>
      </c>
    </row>
    <row r="83" spans="1:15" x14ac:dyDescent="0.25">
      <c r="A83" t="s">
        <v>7</v>
      </c>
      <c r="B83" s="1">
        <v>41974</v>
      </c>
      <c r="C83" s="1">
        <v>42369</v>
      </c>
      <c r="D83" s="4" t="s">
        <v>403</v>
      </c>
      <c r="E83" s="32" t="s">
        <v>404</v>
      </c>
      <c r="F83" s="32">
        <v>18294254</v>
      </c>
      <c r="G83" t="s">
        <v>10</v>
      </c>
      <c r="H83" t="s">
        <v>11</v>
      </c>
      <c r="I83" t="s">
        <v>12</v>
      </c>
      <c r="J83" s="30" t="str">
        <f>IF(ISNUMBER(MATCH($D83,'Lopettaneet 2013-&gt;'!$D:$D,0)),INDEX('Lopettaneet 2013-&gt;'!$K:$K,MATCH($D83,'Lopettaneet 2013-&gt;'!$D:$D,0)),"Continues")</f>
        <v>Closed</v>
      </c>
      <c r="K83" s="30">
        <f ca="1">IF($J83="Continues",DATEDIF($B83,TODAY(),"Y"),INDEX('Lopettaneet 2013-&gt;'!$L:$L,MATCH($D83,'Lopettaneet 2013-&gt;'!$D:$D,0)))</f>
        <v>1</v>
      </c>
      <c r="L83" s="31" t="str">
        <f>IFERROR(INDEX('[1]30.06.2024'!$H:$H,MATCH($E83,'[1]30.06.2024'!$B:$B,0)),"Not found")</f>
        <v>Not found</v>
      </c>
      <c r="M83" s="31" t="str">
        <f>IFERROR(INDEX([2]Sheet1!$B:$B,MATCH($D83,[2]Sheet1!$A:$A,0)),"Not found")</f>
        <v>Not found</v>
      </c>
      <c r="N83">
        <f t="shared" si="2"/>
        <v>0</v>
      </c>
      <c r="O83">
        <f t="shared" si="3"/>
        <v>0</v>
      </c>
    </row>
    <row r="84" spans="1:15" x14ac:dyDescent="0.25">
      <c r="A84" t="s">
        <v>7</v>
      </c>
      <c r="B84" s="1">
        <v>41974</v>
      </c>
      <c r="C84" s="1">
        <v>42369</v>
      </c>
      <c r="D84" s="4" t="s">
        <v>405</v>
      </c>
      <c r="E84" s="32" t="s">
        <v>406</v>
      </c>
      <c r="F84" s="32">
        <v>18245241</v>
      </c>
      <c r="G84" t="s">
        <v>10</v>
      </c>
      <c r="H84" t="s">
        <v>11</v>
      </c>
      <c r="I84" t="s">
        <v>12</v>
      </c>
      <c r="J84" s="30" t="str">
        <f>IF(ISNUMBER(MATCH($D84,'Lopettaneet 2013-&gt;'!$D:$D,0)),INDEX('Lopettaneet 2013-&gt;'!$K:$K,MATCH($D84,'Lopettaneet 2013-&gt;'!$D:$D,0)),"Continues")</f>
        <v>Closed</v>
      </c>
      <c r="K84" s="30">
        <f ca="1">IF($J84="Continues",DATEDIF($B84,TODAY(),"Y"),INDEX('Lopettaneet 2013-&gt;'!$L:$L,MATCH($D84,'Lopettaneet 2013-&gt;'!$D:$D,0)))</f>
        <v>1</v>
      </c>
      <c r="L84" s="31" t="str">
        <f>IFERROR(INDEX('[1]30.06.2024'!$H:$H,MATCH($E84,'[1]30.06.2024'!$B:$B,0)),"Not found")</f>
        <v>Not found</v>
      </c>
      <c r="M84" s="31" t="str">
        <f>IFERROR(INDEX([2]Sheet1!$B:$B,MATCH($D84,[2]Sheet1!$A:$A,0)),"Not found")</f>
        <v>Not found</v>
      </c>
      <c r="N84">
        <f t="shared" si="2"/>
        <v>0</v>
      </c>
      <c r="O84">
        <f t="shared" si="3"/>
        <v>0</v>
      </c>
    </row>
    <row r="85" spans="1:15" x14ac:dyDescent="0.25">
      <c r="A85" t="s">
        <v>7</v>
      </c>
      <c r="B85" s="1">
        <v>41974</v>
      </c>
      <c r="C85" s="1">
        <v>42369</v>
      </c>
      <c r="D85" s="4" t="s">
        <v>407</v>
      </c>
      <c r="E85" s="32" t="s">
        <v>408</v>
      </c>
      <c r="F85" s="32">
        <v>18245225</v>
      </c>
      <c r="G85" t="s">
        <v>10</v>
      </c>
      <c r="H85" t="s">
        <v>11</v>
      </c>
      <c r="I85" t="s">
        <v>12</v>
      </c>
      <c r="J85" s="30" t="str">
        <f>IF(ISNUMBER(MATCH($D85,'Lopettaneet 2013-&gt;'!$D:$D,0)),INDEX('Lopettaneet 2013-&gt;'!$K:$K,MATCH($D85,'Lopettaneet 2013-&gt;'!$D:$D,0)),"Continues")</f>
        <v>Closed</v>
      </c>
      <c r="K85" s="30">
        <f ca="1">IF($J85="Continues",DATEDIF($B85,TODAY(),"Y"),INDEX('Lopettaneet 2013-&gt;'!$L:$L,MATCH($D85,'Lopettaneet 2013-&gt;'!$D:$D,0)))</f>
        <v>1</v>
      </c>
      <c r="L85" s="31" t="str">
        <f>IFERROR(INDEX('[1]30.06.2024'!$H:$H,MATCH($E85,'[1]30.06.2024'!$B:$B,0)),"Not found")</f>
        <v>Not found</v>
      </c>
      <c r="M85" s="31" t="str">
        <f>IFERROR(INDEX([2]Sheet1!$B:$B,MATCH($D85,[2]Sheet1!$A:$A,0)),"Not found")</f>
        <v>Not found</v>
      </c>
      <c r="N85">
        <f t="shared" si="2"/>
        <v>0</v>
      </c>
      <c r="O85">
        <f t="shared" si="3"/>
        <v>0</v>
      </c>
    </row>
    <row r="86" spans="1:15" x14ac:dyDescent="0.25">
      <c r="A86" t="s">
        <v>7</v>
      </c>
      <c r="B86" s="1">
        <v>41974</v>
      </c>
      <c r="C86" s="1">
        <v>42369</v>
      </c>
      <c r="D86" s="4" t="s">
        <v>409</v>
      </c>
      <c r="E86" s="32" t="s">
        <v>410</v>
      </c>
      <c r="F86" s="32">
        <v>18245161</v>
      </c>
      <c r="G86" t="s">
        <v>10</v>
      </c>
      <c r="H86" t="s">
        <v>11</v>
      </c>
      <c r="I86" t="s">
        <v>12</v>
      </c>
      <c r="J86" s="30" t="str">
        <f>IF(ISNUMBER(MATCH($D86,'Lopettaneet 2013-&gt;'!$D:$D,0)),INDEX('Lopettaneet 2013-&gt;'!$K:$K,MATCH($D86,'Lopettaneet 2013-&gt;'!$D:$D,0)),"Continues")</f>
        <v>Closed</v>
      </c>
      <c r="K86" s="30">
        <f ca="1">IF($J86="Continues",DATEDIF($B86,TODAY(),"Y"),INDEX('Lopettaneet 2013-&gt;'!$L:$L,MATCH($D86,'Lopettaneet 2013-&gt;'!$D:$D,0)))</f>
        <v>1</v>
      </c>
      <c r="L86" s="31" t="str">
        <f>IFERROR(INDEX('[1]30.06.2024'!$H:$H,MATCH($E86,'[1]30.06.2024'!$B:$B,0)),"Not found")</f>
        <v>Not found</v>
      </c>
      <c r="M86" s="31" t="str">
        <f>IFERROR(INDEX([2]Sheet1!$B:$B,MATCH($D86,[2]Sheet1!$A:$A,0)),"Not found")</f>
        <v>Not found</v>
      </c>
      <c r="N86">
        <f t="shared" si="2"/>
        <v>0</v>
      </c>
      <c r="O86">
        <f t="shared" si="3"/>
        <v>0</v>
      </c>
    </row>
    <row r="87" spans="1:15" x14ac:dyDescent="0.25">
      <c r="A87" t="s">
        <v>7</v>
      </c>
      <c r="B87" s="1">
        <v>41974</v>
      </c>
      <c r="C87" s="1">
        <v>43555</v>
      </c>
      <c r="D87" s="4" t="s">
        <v>411</v>
      </c>
      <c r="E87" s="32" t="s">
        <v>412</v>
      </c>
      <c r="F87" s="32">
        <v>18158527</v>
      </c>
      <c r="G87" t="s">
        <v>10</v>
      </c>
      <c r="H87" t="s">
        <v>11</v>
      </c>
      <c r="I87" t="s">
        <v>80</v>
      </c>
      <c r="J87" s="30" t="str">
        <f>IF(ISNUMBER(MATCH($D87,'Lopettaneet 2013-&gt;'!$D:$D,0)),INDEX('Lopettaneet 2013-&gt;'!$K:$K,MATCH($D87,'Lopettaneet 2013-&gt;'!$D:$D,0)),"Continues")</f>
        <v>Closed</v>
      </c>
      <c r="K87" s="30">
        <f ca="1">IF($J87="Continues",DATEDIF($B87,TODAY(),"Y"),INDEX('Lopettaneet 2013-&gt;'!$L:$L,MATCH($D87,'Lopettaneet 2013-&gt;'!$D:$D,0)))</f>
        <v>4</v>
      </c>
      <c r="L87" s="31" t="str">
        <f>IFERROR(INDEX('[1]30.06.2024'!$H:$H,MATCH($E87,'[1]30.06.2024'!$B:$B,0)),"Not found")</f>
        <v>Not found</v>
      </c>
      <c r="M87" s="31" t="str">
        <f>IFERROR(INDEX([2]Sheet1!$B:$B,MATCH($D87,[2]Sheet1!$A:$A,0)),"Not found")</f>
        <v>Not found</v>
      </c>
      <c r="N87">
        <f t="shared" si="2"/>
        <v>0</v>
      </c>
      <c r="O87">
        <f t="shared" si="3"/>
        <v>0</v>
      </c>
    </row>
    <row r="88" spans="1:15" x14ac:dyDescent="0.25">
      <c r="A88" t="s">
        <v>7</v>
      </c>
      <c r="B88" s="1">
        <v>41974</v>
      </c>
      <c r="C88" s="1">
        <v>42735</v>
      </c>
      <c r="D88" s="4" t="s">
        <v>413</v>
      </c>
      <c r="E88" s="32" t="s">
        <v>414</v>
      </c>
      <c r="F88" s="32">
        <v>17698820</v>
      </c>
      <c r="G88" t="s">
        <v>10</v>
      </c>
      <c r="H88" t="s">
        <v>11</v>
      </c>
      <c r="I88" t="s">
        <v>12</v>
      </c>
      <c r="J88" s="30" t="str">
        <f>IF(ISNUMBER(MATCH($D88,'Lopettaneet 2013-&gt;'!$D:$D,0)),INDEX('Lopettaneet 2013-&gt;'!$K:$K,MATCH($D88,'Lopettaneet 2013-&gt;'!$D:$D,0)),"Continues")</f>
        <v>Closed</v>
      </c>
      <c r="K88" s="30">
        <f ca="1">IF($J88="Continues",DATEDIF($B88,TODAY(),"Y"),INDEX('Lopettaneet 2013-&gt;'!$L:$L,MATCH($D88,'Lopettaneet 2013-&gt;'!$D:$D,0)))</f>
        <v>2</v>
      </c>
      <c r="L88" s="31" t="str">
        <f>IFERROR(INDEX('[1]30.06.2024'!$H:$H,MATCH($E88,'[1]30.06.2024'!$B:$B,0)),"Not found")</f>
        <v>Not found</v>
      </c>
      <c r="M88" s="31" t="str">
        <f>IFERROR(INDEX([2]Sheet1!$B:$B,MATCH($D88,[2]Sheet1!$A:$A,0)),"Not found")</f>
        <v>Not found</v>
      </c>
      <c r="N88">
        <f t="shared" si="2"/>
        <v>0</v>
      </c>
      <c r="O88">
        <f t="shared" si="3"/>
        <v>0</v>
      </c>
    </row>
    <row r="89" spans="1:15" x14ac:dyDescent="0.25">
      <c r="A89" t="s">
        <v>7</v>
      </c>
      <c r="B89" s="1">
        <v>41974</v>
      </c>
      <c r="C89" s="1">
        <v>55153</v>
      </c>
      <c r="D89" s="4" t="s">
        <v>415</v>
      </c>
      <c r="E89" s="32" t="s">
        <v>416</v>
      </c>
      <c r="F89" s="32">
        <v>17617357</v>
      </c>
      <c r="G89" t="s">
        <v>10</v>
      </c>
      <c r="H89" t="s">
        <v>11</v>
      </c>
      <c r="I89" t="s">
        <v>12</v>
      </c>
      <c r="J89" s="30" t="str">
        <f>IF(ISNUMBER(MATCH($D89,'Lopettaneet 2013-&gt;'!$D:$D,0)),INDEX('Lopettaneet 2013-&gt;'!$K:$K,MATCH($D89,'Lopettaneet 2013-&gt;'!$D:$D,0)),"Continues")</f>
        <v>Continues</v>
      </c>
      <c r="K89" s="30">
        <f ca="1">IF($J89="Continues",DATEDIF($B89,TODAY(),"Y"),INDEX('Lopettaneet 2013-&gt;'!$L:$L,MATCH($D89,'Lopettaneet 2013-&gt;'!$D:$D,0)))</f>
        <v>10</v>
      </c>
      <c r="L89" s="31" t="str">
        <f>IFERROR(INDEX('[1]30.06.2024'!$H:$H,MATCH($E89,'[1]30.06.2024'!$B:$B,0)),"Not found")</f>
        <v>Canelco Management Oy</v>
      </c>
      <c r="M89" s="31" t="str">
        <f>IFERROR(INDEX([2]Sheet1!$B:$B,MATCH($D89,[2]Sheet1!$A:$A,0)),"Not found")</f>
        <v>Non-Retail</v>
      </c>
      <c r="N89">
        <f t="shared" si="2"/>
        <v>0</v>
      </c>
      <c r="O89">
        <f t="shared" si="3"/>
        <v>1</v>
      </c>
    </row>
    <row r="90" spans="1:15" x14ac:dyDescent="0.25">
      <c r="A90" t="s">
        <v>7</v>
      </c>
      <c r="B90" s="1">
        <v>41974</v>
      </c>
      <c r="C90" s="1">
        <v>55153</v>
      </c>
      <c r="D90" s="4" t="s">
        <v>417</v>
      </c>
      <c r="E90" s="32" t="s">
        <v>418</v>
      </c>
      <c r="F90" s="32">
        <v>17576532</v>
      </c>
      <c r="G90" t="s">
        <v>10</v>
      </c>
      <c r="H90" t="s">
        <v>11</v>
      </c>
      <c r="I90" t="s">
        <v>12</v>
      </c>
      <c r="J90" s="30" t="str">
        <f>IF(ISNUMBER(MATCH($D90,'Lopettaneet 2013-&gt;'!$D:$D,0)),INDEX('Lopettaneet 2013-&gt;'!$K:$K,MATCH($D90,'Lopettaneet 2013-&gt;'!$D:$D,0)),"Continues")</f>
        <v>Continues</v>
      </c>
      <c r="K90" s="30">
        <f ca="1">IF($J90="Continues",DATEDIF($B90,TODAY(),"Y"),INDEX('Lopettaneet 2013-&gt;'!$L:$L,MATCH($D90,'Lopettaneet 2013-&gt;'!$D:$D,0)))</f>
        <v>10</v>
      </c>
      <c r="L90" s="31" t="str">
        <f>IFERROR(INDEX('[1]30.06.2024'!$H:$H,MATCH($E90,'[1]30.06.2024'!$B:$B,0)),"Not found")</f>
        <v>CapMan Capital Management Oy</v>
      </c>
      <c r="M90" s="31" t="str">
        <f>IFERROR(INDEX([2]Sheet1!$B:$B,MATCH($D90,[2]Sheet1!$A:$A,0)),"Not found")</f>
        <v>Non-Retail</v>
      </c>
      <c r="N90">
        <f t="shared" si="2"/>
        <v>0</v>
      </c>
      <c r="O90">
        <f t="shared" si="3"/>
        <v>1</v>
      </c>
    </row>
    <row r="91" spans="1:15" x14ac:dyDescent="0.25">
      <c r="A91" t="s">
        <v>7</v>
      </c>
      <c r="B91" s="1">
        <v>41974</v>
      </c>
      <c r="C91" s="1">
        <v>44834</v>
      </c>
      <c r="D91" s="4" t="s">
        <v>419</v>
      </c>
      <c r="E91" s="32" t="s">
        <v>420</v>
      </c>
      <c r="F91" s="32">
        <v>17456960</v>
      </c>
      <c r="G91" t="s">
        <v>10</v>
      </c>
      <c r="H91" t="s">
        <v>11</v>
      </c>
      <c r="I91" t="s">
        <v>12</v>
      </c>
      <c r="J91" s="30" t="str">
        <f>IF(ISNUMBER(MATCH($D91,'Lopettaneet 2013-&gt;'!$D:$D,0)),INDEX('Lopettaneet 2013-&gt;'!$K:$K,MATCH($D91,'Lopettaneet 2013-&gt;'!$D:$D,0)),"Continues")</f>
        <v>Closed</v>
      </c>
      <c r="K91" s="30">
        <f ca="1">IF($J91="Continues",DATEDIF($B91,TODAY(),"Y"),INDEX('Lopettaneet 2013-&gt;'!$L:$L,MATCH($D91,'Lopettaneet 2013-&gt;'!$D:$D,0)))</f>
        <v>7</v>
      </c>
      <c r="L91" s="31" t="str">
        <f>IFERROR(INDEX('[1]30.06.2024'!$H:$H,MATCH($E91,'[1]30.06.2024'!$B:$B,0)),"Not found")</f>
        <v>Not found</v>
      </c>
      <c r="M91" s="31" t="str">
        <f>IFERROR(INDEX([2]Sheet1!$B:$B,MATCH($D91,[2]Sheet1!$A:$A,0)),"Not found")</f>
        <v>Not found</v>
      </c>
      <c r="N91">
        <f t="shared" si="2"/>
        <v>0</v>
      </c>
      <c r="O91">
        <f t="shared" si="3"/>
        <v>0</v>
      </c>
    </row>
    <row r="92" spans="1:15" x14ac:dyDescent="0.25">
      <c r="A92" t="s">
        <v>7</v>
      </c>
      <c r="B92" s="1">
        <v>41974</v>
      </c>
      <c r="C92" s="1">
        <v>42735</v>
      </c>
      <c r="D92" s="4" t="s">
        <v>421</v>
      </c>
      <c r="E92" s="32" t="s">
        <v>422</v>
      </c>
      <c r="F92" s="32">
        <v>16351833</v>
      </c>
      <c r="G92" t="s">
        <v>10</v>
      </c>
      <c r="H92" t="s">
        <v>11</v>
      </c>
      <c r="I92" t="s">
        <v>12</v>
      </c>
      <c r="J92" s="30" t="str">
        <f>IF(ISNUMBER(MATCH($D92,'Lopettaneet 2013-&gt;'!$D:$D,0)),INDEX('Lopettaneet 2013-&gt;'!$K:$K,MATCH($D92,'Lopettaneet 2013-&gt;'!$D:$D,0)),"Continues")</f>
        <v>Closed</v>
      </c>
      <c r="K92" s="30">
        <f ca="1">IF($J92="Continues",DATEDIF($B92,TODAY(),"Y"),INDEX('Lopettaneet 2013-&gt;'!$L:$L,MATCH($D92,'Lopettaneet 2013-&gt;'!$D:$D,0)))</f>
        <v>2</v>
      </c>
      <c r="L92" s="31" t="str">
        <f>IFERROR(INDEX('[1]30.06.2024'!$H:$H,MATCH($E92,'[1]30.06.2024'!$B:$B,0)),"Not found")</f>
        <v>Not found</v>
      </c>
      <c r="M92" s="31" t="str">
        <f>IFERROR(INDEX([2]Sheet1!$B:$B,MATCH($D92,[2]Sheet1!$A:$A,0)),"Not found")</f>
        <v>Not found</v>
      </c>
      <c r="N92">
        <f t="shared" si="2"/>
        <v>0</v>
      </c>
      <c r="O92">
        <f t="shared" si="3"/>
        <v>0</v>
      </c>
    </row>
    <row r="93" spans="1:15" x14ac:dyDescent="0.25">
      <c r="A93" t="s">
        <v>7</v>
      </c>
      <c r="B93" s="1">
        <v>41974</v>
      </c>
      <c r="C93" s="1">
        <v>42735</v>
      </c>
      <c r="D93" s="4" t="s">
        <v>423</v>
      </c>
      <c r="E93" s="32" t="s">
        <v>424</v>
      </c>
      <c r="F93" s="32">
        <v>16037596</v>
      </c>
      <c r="G93" t="s">
        <v>10</v>
      </c>
      <c r="H93" t="s">
        <v>11</v>
      </c>
      <c r="I93" t="s">
        <v>12</v>
      </c>
      <c r="J93" s="30" t="str">
        <f>IF(ISNUMBER(MATCH($D93,'Lopettaneet 2013-&gt;'!$D:$D,0)),INDEX('Lopettaneet 2013-&gt;'!$K:$K,MATCH($D93,'Lopettaneet 2013-&gt;'!$D:$D,0)),"Continues")</f>
        <v>Closed</v>
      </c>
      <c r="K93" s="30">
        <f ca="1">IF($J93="Continues",DATEDIF($B93,TODAY(),"Y"),INDEX('Lopettaneet 2013-&gt;'!$L:$L,MATCH($D93,'Lopettaneet 2013-&gt;'!$D:$D,0)))</f>
        <v>2</v>
      </c>
      <c r="L93" s="31" t="str">
        <f>IFERROR(INDEX('[1]30.06.2024'!$H:$H,MATCH($E93,'[1]30.06.2024'!$B:$B,0)),"Not found")</f>
        <v>Not found</v>
      </c>
      <c r="M93" s="31" t="str">
        <f>IFERROR(INDEX([2]Sheet1!$B:$B,MATCH($D93,[2]Sheet1!$A:$A,0)),"Not found")</f>
        <v>Not found</v>
      </c>
      <c r="N93">
        <f t="shared" si="2"/>
        <v>0</v>
      </c>
      <c r="O93">
        <f t="shared" si="3"/>
        <v>0</v>
      </c>
    </row>
    <row r="94" spans="1:15" x14ac:dyDescent="0.25">
      <c r="A94" t="s">
        <v>7</v>
      </c>
      <c r="B94" s="1">
        <v>41974</v>
      </c>
      <c r="C94" s="1">
        <v>43465</v>
      </c>
      <c r="D94" s="4" t="s">
        <v>425</v>
      </c>
      <c r="E94" s="32" t="s">
        <v>426</v>
      </c>
      <c r="F94" s="32">
        <v>15920790</v>
      </c>
      <c r="G94" t="s">
        <v>10</v>
      </c>
      <c r="H94" t="s">
        <v>11</v>
      </c>
      <c r="I94" t="s">
        <v>12</v>
      </c>
      <c r="J94" s="30" t="str">
        <f>IF(ISNUMBER(MATCH($D94,'Lopettaneet 2013-&gt;'!$D:$D,0)),INDEX('Lopettaneet 2013-&gt;'!$K:$K,MATCH($D94,'Lopettaneet 2013-&gt;'!$D:$D,0)),"Continues")</f>
        <v>Closed</v>
      </c>
      <c r="K94" s="30">
        <f ca="1">IF($J94="Continues",DATEDIF($B94,TODAY(),"Y"),INDEX('Lopettaneet 2013-&gt;'!$L:$L,MATCH($D94,'Lopettaneet 2013-&gt;'!$D:$D,0)))</f>
        <v>4</v>
      </c>
      <c r="L94" s="31" t="str">
        <f>IFERROR(INDEX('[1]30.06.2024'!$H:$H,MATCH($E94,'[1]30.06.2024'!$B:$B,0)),"Not found")</f>
        <v>Not found</v>
      </c>
      <c r="M94" s="31" t="str">
        <f>IFERROR(INDEX([2]Sheet1!$B:$B,MATCH($D94,[2]Sheet1!$A:$A,0)),"Not found")</f>
        <v>Not found</v>
      </c>
      <c r="N94">
        <f t="shared" si="2"/>
        <v>0</v>
      </c>
      <c r="O94">
        <f t="shared" si="3"/>
        <v>0</v>
      </c>
    </row>
    <row r="95" spans="1:15" x14ac:dyDescent="0.25">
      <c r="A95" t="s">
        <v>7</v>
      </c>
      <c r="B95" s="1">
        <v>41974</v>
      </c>
      <c r="C95" s="1">
        <v>55153</v>
      </c>
      <c r="D95" s="4" t="s">
        <v>427</v>
      </c>
      <c r="E95" s="32" t="s">
        <v>428</v>
      </c>
      <c r="F95" s="32">
        <v>21605236</v>
      </c>
      <c r="G95" t="s">
        <v>10</v>
      </c>
      <c r="H95" t="s">
        <v>11</v>
      </c>
      <c r="I95" t="s">
        <v>80</v>
      </c>
      <c r="J95" s="30" t="str">
        <f>IF(ISNUMBER(MATCH($D95,'Lopettaneet 2013-&gt;'!$D:$D,0)),INDEX('Lopettaneet 2013-&gt;'!$K:$K,MATCH($D95,'Lopettaneet 2013-&gt;'!$D:$D,0)),"Continues")</f>
        <v>Continues</v>
      </c>
      <c r="K95" s="30">
        <f ca="1">IF($J95="Continues",DATEDIF($B95,TODAY(),"Y"),INDEX('Lopettaneet 2013-&gt;'!$L:$L,MATCH($D95,'Lopettaneet 2013-&gt;'!$D:$D,0)))</f>
        <v>10</v>
      </c>
      <c r="L95" s="31" t="str">
        <f>IFERROR(INDEX('[1]30.06.2024'!$H:$H,MATCH($E95,'[1]30.06.2024'!$B:$B,0)),"Not found")</f>
        <v>VNT Management Oy</v>
      </c>
      <c r="M95" s="31" t="str">
        <f>IFERROR(INDEX([2]Sheet1!$B:$B,MATCH($D95,[2]Sheet1!$A:$A,0)),"Not found")</f>
        <v>Non-Retail</v>
      </c>
      <c r="N95">
        <f t="shared" si="2"/>
        <v>0</v>
      </c>
      <c r="O95">
        <f t="shared" si="3"/>
        <v>1</v>
      </c>
    </row>
    <row r="96" spans="1:15" x14ac:dyDescent="0.25">
      <c r="A96" t="s">
        <v>7</v>
      </c>
      <c r="B96" s="1">
        <v>41974</v>
      </c>
      <c r="C96" s="1">
        <v>55153</v>
      </c>
      <c r="D96" s="4" t="s">
        <v>429</v>
      </c>
      <c r="E96" s="32" t="s">
        <v>430</v>
      </c>
      <c r="F96" s="32">
        <v>21542415</v>
      </c>
      <c r="G96" t="s">
        <v>10</v>
      </c>
      <c r="H96" t="s">
        <v>11</v>
      </c>
      <c r="I96" t="s">
        <v>12</v>
      </c>
      <c r="J96" s="30" t="str">
        <f>IF(ISNUMBER(MATCH($D96,'Lopettaneet 2013-&gt;'!$D:$D,0)),INDEX('Lopettaneet 2013-&gt;'!$K:$K,MATCH($D96,'Lopettaneet 2013-&gt;'!$D:$D,0)),"Continues")</f>
        <v>Continues</v>
      </c>
      <c r="K96" s="30">
        <f ca="1">IF($J96="Continues",DATEDIF($B96,TODAY(),"Y"),INDEX('Lopettaneet 2013-&gt;'!$L:$L,MATCH($D96,'Lopettaneet 2013-&gt;'!$D:$D,0)))</f>
        <v>10</v>
      </c>
      <c r="L96" s="31" t="str">
        <f>IFERROR(INDEX('[1]30.06.2024'!$H:$H,MATCH($E96,'[1]30.06.2024'!$B:$B,0)),"Not found")</f>
        <v>Aboa Venture Management Oy</v>
      </c>
      <c r="M96" s="31" t="str">
        <f>IFERROR(INDEX([2]Sheet1!$B:$B,MATCH($D96,[2]Sheet1!$A:$A,0)),"Not found")</f>
        <v>Non-Retail</v>
      </c>
      <c r="N96">
        <f t="shared" si="2"/>
        <v>0</v>
      </c>
      <c r="O96">
        <f t="shared" si="3"/>
        <v>1</v>
      </c>
    </row>
    <row r="97" spans="1:15" x14ac:dyDescent="0.25">
      <c r="A97" t="s">
        <v>7</v>
      </c>
      <c r="B97" s="1">
        <v>41974</v>
      </c>
      <c r="C97" s="1">
        <v>55153</v>
      </c>
      <c r="D97" s="4" t="s">
        <v>431</v>
      </c>
      <c r="E97" s="32" t="s">
        <v>432</v>
      </c>
      <c r="F97" s="32">
        <v>21290713</v>
      </c>
      <c r="G97" t="s">
        <v>10</v>
      </c>
      <c r="H97" t="s">
        <v>11</v>
      </c>
      <c r="I97" t="s">
        <v>12</v>
      </c>
      <c r="J97" s="30" t="str">
        <f>IF(ISNUMBER(MATCH($D97,'Lopettaneet 2013-&gt;'!$D:$D,0)),INDEX('Lopettaneet 2013-&gt;'!$K:$K,MATCH($D97,'Lopettaneet 2013-&gt;'!$D:$D,0)),"Continues")</f>
        <v>Continues</v>
      </c>
      <c r="K97" s="30">
        <f ca="1">IF($J97="Continues",DATEDIF($B97,TODAY(),"Y"),INDEX('Lopettaneet 2013-&gt;'!$L:$L,MATCH($D97,'Lopettaneet 2013-&gt;'!$D:$D,0)))</f>
        <v>10</v>
      </c>
      <c r="L97" s="31" t="str">
        <f>IFERROR(INDEX('[1]30.06.2024'!$H:$H,MATCH($E97,'[1]30.06.2024'!$B:$B,0)),"Not found")</f>
        <v>MB Partners II Oy</v>
      </c>
      <c r="M97" s="31" t="str">
        <f>IFERROR(INDEX([2]Sheet1!$B:$B,MATCH($D97,[2]Sheet1!$A:$A,0)),"Not found")</f>
        <v>Non-Retail</v>
      </c>
      <c r="N97">
        <f t="shared" si="2"/>
        <v>0</v>
      </c>
      <c r="O97">
        <f t="shared" si="3"/>
        <v>1</v>
      </c>
    </row>
    <row r="98" spans="1:15" x14ac:dyDescent="0.25">
      <c r="A98" t="s">
        <v>7</v>
      </c>
      <c r="B98" s="1">
        <v>41974</v>
      </c>
      <c r="C98" s="1">
        <v>42735</v>
      </c>
      <c r="D98" s="4" t="s">
        <v>433</v>
      </c>
      <c r="E98" s="32" t="s">
        <v>434</v>
      </c>
      <c r="F98" s="32">
        <v>21274115</v>
      </c>
      <c r="G98" t="s">
        <v>10</v>
      </c>
      <c r="H98" t="s">
        <v>11</v>
      </c>
      <c r="I98" t="s">
        <v>12</v>
      </c>
      <c r="J98" s="30" t="str">
        <f>IF(ISNUMBER(MATCH($D98,'Lopettaneet 2013-&gt;'!$D:$D,0)),INDEX('Lopettaneet 2013-&gt;'!$K:$K,MATCH($D98,'Lopettaneet 2013-&gt;'!$D:$D,0)),"Continues")</f>
        <v>Closed</v>
      </c>
      <c r="K98" s="30">
        <f ca="1">IF($J98="Continues",DATEDIF($B98,TODAY(),"Y"),INDEX('Lopettaneet 2013-&gt;'!$L:$L,MATCH($D98,'Lopettaneet 2013-&gt;'!$D:$D,0)))</f>
        <v>2</v>
      </c>
      <c r="L98" s="31" t="str">
        <f>IFERROR(INDEX('[1]30.06.2024'!$H:$H,MATCH($E98,'[1]30.06.2024'!$B:$B,0)),"Not found")</f>
        <v>Not found</v>
      </c>
      <c r="M98" s="31" t="str">
        <f>IFERROR(INDEX([2]Sheet1!$B:$B,MATCH($D98,[2]Sheet1!$A:$A,0)),"Not found")</f>
        <v>Not found</v>
      </c>
      <c r="N98">
        <f t="shared" si="2"/>
        <v>0</v>
      </c>
      <c r="O98">
        <f t="shared" si="3"/>
        <v>0</v>
      </c>
    </row>
    <row r="99" spans="1:15" x14ac:dyDescent="0.25">
      <c r="A99" t="s">
        <v>7</v>
      </c>
      <c r="B99" s="1">
        <v>41974</v>
      </c>
      <c r="C99" s="1">
        <v>55153</v>
      </c>
      <c r="D99" s="4" t="s">
        <v>435</v>
      </c>
      <c r="E99" s="32" t="s">
        <v>436</v>
      </c>
      <c r="F99" s="32">
        <v>21243490</v>
      </c>
      <c r="G99" t="s">
        <v>10</v>
      </c>
      <c r="H99" t="s">
        <v>11</v>
      </c>
      <c r="I99" t="s">
        <v>12</v>
      </c>
      <c r="J99" s="30" t="str">
        <f>IF(ISNUMBER(MATCH($D99,'Lopettaneet 2013-&gt;'!$D:$D,0)),INDEX('Lopettaneet 2013-&gt;'!$K:$K,MATCH($D99,'Lopettaneet 2013-&gt;'!$D:$D,0)),"Continues")</f>
        <v>Continues</v>
      </c>
      <c r="K99" s="30">
        <f ca="1">IF($J99="Continues",DATEDIF($B99,TODAY(),"Y"),INDEX('Lopettaneet 2013-&gt;'!$L:$L,MATCH($D99,'Lopettaneet 2013-&gt;'!$D:$D,0)))</f>
        <v>10</v>
      </c>
      <c r="L99" s="31" t="str">
        <f>IFERROR(INDEX('[1]30.06.2024'!$H:$H,MATCH($E99,'[1]30.06.2024'!$B:$B,0)),"Not found")</f>
        <v>Not found</v>
      </c>
      <c r="M99" s="31" t="str">
        <f>IFERROR(INDEX([2]Sheet1!$B:$B,MATCH($D99,[2]Sheet1!$A:$A,0)),"Not found")</f>
        <v>Not found</v>
      </c>
      <c r="N99">
        <f t="shared" si="2"/>
        <v>0</v>
      </c>
      <c r="O99">
        <f t="shared" si="3"/>
        <v>0</v>
      </c>
    </row>
    <row r="100" spans="1:15" x14ac:dyDescent="0.25">
      <c r="A100" t="s">
        <v>7</v>
      </c>
      <c r="B100" s="1">
        <v>41974</v>
      </c>
      <c r="C100" s="1">
        <v>43281</v>
      </c>
      <c r="D100" s="4" t="s">
        <v>437</v>
      </c>
      <c r="E100" s="32" t="s">
        <v>438</v>
      </c>
      <c r="F100" s="32">
        <v>21153487</v>
      </c>
      <c r="G100" t="s">
        <v>10</v>
      </c>
      <c r="H100" t="s">
        <v>11</v>
      </c>
      <c r="I100" t="s">
        <v>12</v>
      </c>
      <c r="J100" s="30" t="str">
        <f>IF(ISNUMBER(MATCH($D100,'Lopettaneet 2013-&gt;'!$D:$D,0)),INDEX('Lopettaneet 2013-&gt;'!$K:$K,MATCH($D100,'Lopettaneet 2013-&gt;'!$D:$D,0)),"Continues")</f>
        <v>Closed</v>
      </c>
      <c r="K100" s="30">
        <f ca="1">IF($J100="Continues",DATEDIF($B100,TODAY(),"Y"),INDEX('Lopettaneet 2013-&gt;'!$L:$L,MATCH($D100,'Lopettaneet 2013-&gt;'!$D:$D,0)))</f>
        <v>3</v>
      </c>
      <c r="L100" s="31" t="str">
        <f>IFERROR(INDEX('[1]30.06.2024'!$H:$H,MATCH($E100,'[1]30.06.2024'!$B:$B,0)),"Not found")</f>
        <v>Not found</v>
      </c>
      <c r="M100" s="31" t="str">
        <f>IFERROR(INDEX([2]Sheet1!$B:$B,MATCH($D100,[2]Sheet1!$A:$A,0)),"Not found")</f>
        <v>Not found</v>
      </c>
      <c r="N100">
        <f t="shared" si="2"/>
        <v>0</v>
      </c>
      <c r="O100">
        <f t="shared" si="3"/>
        <v>0</v>
      </c>
    </row>
    <row r="101" spans="1:15" x14ac:dyDescent="0.25">
      <c r="A101" t="s">
        <v>7</v>
      </c>
      <c r="B101" s="1">
        <v>41974</v>
      </c>
      <c r="C101" s="1">
        <v>43100</v>
      </c>
      <c r="D101" s="4" t="s">
        <v>439</v>
      </c>
      <c r="E101" s="32" t="s">
        <v>440</v>
      </c>
      <c r="F101" s="32">
        <v>21147212</v>
      </c>
      <c r="G101" t="s">
        <v>10</v>
      </c>
      <c r="H101" t="s">
        <v>11</v>
      </c>
      <c r="I101" t="s">
        <v>12</v>
      </c>
      <c r="J101" s="30" t="str">
        <f>IF(ISNUMBER(MATCH($D101,'Lopettaneet 2013-&gt;'!$D:$D,0)),INDEX('Lopettaneet 2013-&gt;'!$K:$K,MATCH($D101,'Lopettaneet 2013-&gt;'!$D:$D,0)),"Continues")</f>
        <v>Closed</v>
      </c>
      <c r="K101" s="30">
        <f ca="1">IF($J101="Continues",DATEDIF($B101,TODAY(),"Y"),INDEX('Lopettaneet 2013-&gt;'!$L:$L,MATCH($D101,'Lopettaneet 2013-&gt;'!$D:$D,0)))</f>
        <v>3</v>
      </c>
      <c r="L101" s="31" t="str">
        <f>IFERROR(INDEX('[1]30.06.2024'!$H:$H,MATCH($E101,'[1]30.06.2024'!$B:$B,0)),"Not found")</f>
        <v>Not found</v>
      </c>
      <c r="M101" s="31" t="str">
        <f>IFERROR(INDEX([2]Sheet1!$B:$B,MATCH($D101,[2]Sheet1!$A:$A,0)),"Not found")</f>
        <v>Not found</v>
      </c>
      <c r="N101">
        <f t="shared" si="2"/>
        <v>0</v>
      </c>
      <c r="O101">
        <f t="shared" si="3"/>
        <v>0</v>
      </c>
    </row>
    <row r="102" spans="1:15" x14ac:dyDescent="0.25">
      <c r="A102" t="s">
        <v>7</v>
      </c>
      <c r="B102" s="1">
        <v>41974</v>
      </c>
      <c r="C102" s="1">
        <v>44196</v>
      </c>
      <c r="D102" s="4" t="s">
        <v>441</v>
      </c>
      <c r="E102" s="32" t="s">
        <v>442</v>
      </c>
      <c r="F102" s="32">
        <v>20533584</v>
      </c>
      <c r="G102" t="s">
        <v>10</v>
      </c>
      <c r="H102" t="s">
        <v>11</v>
      </c>
      <c r="I102" t="s">
        <v>12</v>
      </c>
      <c r="J102" s="30" t="str">
        <f>IF(ISNUMBER(MATCH($D102,'Lopettaneet 2013-&gt;'!$D:$D,0)),INDEX('Lopettaneet 2013-&gt;'!$K:$K,MATCH($D102,'Lopettaneet 2013-&gt;'!$D:$D,0)),"Continues")</f>
        <v>Closed</v>
      </c>
      <c r="K102" s="30">
        <f ca="1">IF($J102="Continues",DATEDIF($B102,TODAY(),"Y"),INDEX('Lopettaneet 2013-&gt;'!$L:$L,MATCH($D102,'Lopettaneet 2013-&gt;'!$D:$D,0)))</f>
        <v>6</v>
      </c>
      <c r="L102" s="31" t="str">
        <f>IFERROR(INDEX('[1]30.06.2024'!$H:$H,MATCH($E102,'[1]30.06.2024'!$B:$B,0)),"Not found")</f>
        <v>Not found</v>
      </c>
      <c r="M102" s="31" t="str">
        <f>IFERROR(INDEX([2]Sheet1!$B:$B,MATCH($D102,[2]Sheet1!$A:$A,0)),"Not found")</f>
        <v>Not found</v>
      </c>
      <c r="N102">
        <f t="shared" si="2"/>
        <v>0</v>
      </c>
      <c r="O102">
        <f t="shared" si="3"/>
        <v>0</v>
      </c>
    </row>
    <row r="103" spans="1:15" x14ac:dyDescent="0.25">
      <c r="A103" t="s">
        <v>7</v>
      </c>
      <c r="B103" s="1">
        <v>41974</v>
      </c>
      <c r="C103" s="1">
        <v>55153</v>
      </c>
      <c r="D103" s="4" t="s">
        <v>443</v>
      </c>
      <c r="E103" s="32" t="s">
        <v>444</v>
      </c>
      <c r="F103" s="32">
        <v>20457876</v>
      </c>
      <c r="G103" t="s">
        <v>10</v>
      </c>
      <c r="H103" t="s">
        <v>11</v>
      </c>
      <c r="I103" t="s">
        <v>12</v>
      </c>
      <c r="J103" s="30" t="str">
        <f>IF(ISNUMBER(MATCH($D103,'Lopettaneet 2013-&gt;'!$D:$D,0)),INDEX('Lopettaneet 2013-&gt;'!$K:$K,MATCH($D103,'Lopettaneet 2013-&gt;'!$D:$D,0)),"Continues")</f>
        <v>Continues</v>
      </c>
      <c r="K103" s="30">
        <f ca="1">IF($J103="Continues",DATEDIF($B103,TODAY(),"Y"),INDEX('Lopettaneet 2013-&gt;'!$L:$L,MATCH($D103,'Lopettaneet 2013-&gt;'!$D:$D,0)))</f>
        <v>10</v>
      </c>
      <c r="L103" s="31" t="str">
        <f>IFERROR(INDEX('[1]30.06.2024'!$H:$H,MATCH($E103,'[1]30.06.2024'!$B:$B,0)),"Not found")</f>
        <v>Midinvest Management Oy</v>
      </c>
      <c r="M103" s="31" t="str">
        <f>IFERROR(INDEX([2]Sheet1!$B:$B,MATCH($D103,[2]Sheet1!$A:$A,0)),"Not found")</f>
        <v>Non-Retail</v>
      </c>
      <c r="N103">
        <f t="shared" si="2"/>
        <v>0</v>
      </c>
      <c r="O103">
        <f t="shared" si="3"/>
        <v>1</v>
      </c>
    </row>
    <row r="104" spans="1:15" x14ac:dyDescent="0.25">
      <c r="A104" t="s">
        <v>7</v>
      </c>
      <c r="B104" s="1">
        <v>41974</v>
      </c>
      <c r="C104" s="1">
        <v>43738</v>
      </c>
      <c r="D104" s="4" t="s">
        <v>445</v>
      </c>
      <c r="E104" s="32" t="s">
        <v>446</v>
      </c>
      <c r="F104" s="32">
        <v>20426674</v>
      </c>
      <c r="G104" t="s">
        <v>10</v>
      </c>
      <c r="H104" t="s">
        <v>11</v>
      </c>
      <c r="I104" t="s">
        <v>12</v>
      </c>
      <c r="J104" s="30" t="str">
        <f>IF(ISNUMBER(MATCH($D104,'Lopettaneet 2013-&gt;'!$D:$D,0)),INDEX('Lopettaneet 2013-&gt;'!$K:$K,MATCH($D104,'Lopettaneet 2013-&gt;'!$D:$D,0)),"Continues")</f>
        <v>Closed</v>
      </c>
      <c r="K104" s="30">
        <f ca="1">IF($J104="Continues",DATEDIF($B104,TODAY(),"Y"),INDEX('Lopettaneet 2013-&gt;'!$L:$L,MATCH($D104,'Lopettaneet 2013-&gt;'!$D:$D,0)))</f>
        <v>4</v>
      </c>
      <c r="L104" s="31" t="str">
        <f>IFERROR(INDEX('[1]30.06.2024'!$H:$H,MATCH($E104,'[1]30.06.2024'!$B:$B,0)),"Not found")</f>
        <v>Not found</v>
      </c>
      <c r="M104" s="31" t="str">
        <f>IFERROR(INDEX([2]Sheet1!$B:$B,MATCH($D104,[2]Sheet1!$A:$A,0)),"Not found")</f>
        <v>Not found</v>
      </c>
      <c r="N104">
        <f t="shared" si="2"/>
        <v>0</v>
      </c>
      <c r="O104">
        <f t="shared" si="3"/>
        <v>0</v>
      </c>
    </row>
    <row r="105" spans="1:15" x14ac:dyDescent="0.25">
      <c r="A105" t="s">
        <v>7</v>
      </c>
      <c r="B105" s="1">
        <v>41974</v>
      </c>
      <c r="C105" s="1">
        <v>55153</v>
      </c>
      <c r="D105" s="4" t="s">
        <v>447</v>
      </c>
      <c r="E105" s="32" t="s">
        <v>448</v>
      </c>
      <c r="F105" s="32">
        <v>20218541</v>
      </c>
      <c r="G105" t="s">
        <v>10</v>
      </c>
      <c r="H105" t="s">
        <v>11</v>
      </c>
      <c r="I105" t="s">
        <v>12</v>
      </c>
      <c r="J105" s="30" t="str">
        <f>IF(ISNUMBER(MATCH($D105,'Lopettaneet 2013-&gt;'!$D:$D,0)),INDEX('Lopettaneet 2013-&gt;'!$K:$K,MATCH($D105,'Lopettaneet 2013-&gt;'!$D:$D,0)),"Continues")</f>
        <v>Continues</v>
      </c>
      <c r="K105" s="30">
        <f ca="1">IF($J105="Continues",DATEDIF($B105,TODAY(),"Y"),INDEX('Lopettaneet 2013-&gt;'!$L:$L,MATCH($D105,'Lopettaneet 2013-&gt;'!$D:$D,0)))</f>
        <v>10</v>
      </c>
      <c r="L105" s="31" t="str">
        <f>IFERROR(INDEX('[1]30.06.2024'!$H:$H,MATCH($E105,'[1]30.06.2024'!$B:$B,0)),"Not found")</f>
        <v>Not found</v>
      </c>
      <c r="M105" s="31" t="str">
        <f>IFERROR(INDEX([2]Sheet1!$B:$B,MATCH($D105,[2]Sheet1!$A:$A,0)),"Not found")</f>
        <v>Not found</v>
      </c>
      <c r="N105">
        <f t="shared" si="2"/>
        <v>0</v>
      </c>
      <c r="O105">
        <f t="shared" si="3"/>
        <v>0</v>
      </c>
    </row>
    <row r="106" spans="1:15" x14ac:dyDescent="0.25">
      <c r="A106" t="s">
        <v>7</v>
      </c>
      <c r="B106" s="1">
        <v>41974</v>
      </c>
      <c r="C106" s="1">
        <v>55153</v>
      </c>
      <c r="D106" s="4" t="s">
        <v>449</v>
      </c>
      <c r="E106" s="32" t="s">
        <v>450</v>
      </c>
      <c r="F106" s="32">
        <v>20135834</v>
      </c>
      <c r="G106" t="s">
        <v>10</v>
      </c>
      <c r="H106" t="s">
        <v>11</v>
      </c>
      <c r="I106" t="s">
        <v>80</v>
      </c>
      <c r="J106" s="30" t="str">
        <f>IF(ISNUMBER(MATCH($D106,'Lopettaneet 2013-&gt;'!$D:$D,0)),INDEX('Lopettaneet 2013-&gt;'!$K:$K,MATCH($D106,'Lopettaneet 2013-&gt;'!$D:$D,0)),"Continues")</f>
        <v>Continues</v>
      </c>
      <c r="K106" s="30">
        <f ca="1">IF($J106="Continues",DATEDIF($B106,TODAY(),"Y"),INDEX('Lopettaneet 2013-&gt;'!$L:$L,MATCH($D106,'Lopettaneet 2013-&gt;'!$D:$D,0)))</f>
        <v>10</v>
      </c>
      <c r="L106" s="31" t="str">
        <f>IFERROR(INDEX('[1]30.06.2024'!$H:$H,MATCH($E106,'[1]30.06.2024'!$B:$B,0)),"Not found")</f>
        <v>Conor Venture Partners Oy</v>
      </c>
      <c r="M106" s="31" t="str">
        <f>IFERROR(INDEX([2]Sheet1!$B:$B,MATCH($D106,[2]Sheet1!$A:$A,0)),"Not found")</f>
        <v>Non-Retail</v>
      </c>
      <c r="N106">
        <f t="shared" si="2"/>
        <v>0</v>
      </c>
      <c r="O106">
        <f t="shared" si="3"/>
        <v>1</v>
      </c>
    </row>
    <row r="107" spans="1:15" x14ac:dyDescent="0.25">
      <c r="A107" t="s">
        <v>7</v>
      </c>
      <c r="B107" s="1">
        <v>41974</v>
      </c>
      <c r="C107" s="1">
        <v>55153</v>
      </c>
      <c r="D107" s="4" t="s">
        <v>451</v>
      </c>
      <c r="E107" s="32" t="s">
        <v>452</v>
      </c>
      <c r="F107" s="32">
        <v>20078016</v>
      </c>
      <c r="G107" t="s">
        <v>10</v>
      </c>
      <c r="H107" t="s">
        <v>11</v>
      </c>
      <c r="I107" t="s">
        <v>12</v>
      </c>
      <c r="J107" s="30" t="str">
        <f>IF(ISNUMBER(MATCH($D107,'Lopettaneet 2013-&gt;'!$D:$D,0)),INDEX('Lopettaneet 2013-&gt;'!$K:$K,MATCH($D107,'Lopettaneet 2013-&gt;'!$D:$D,0)),"Continues")</f>
        <v>Continues</v>
      </c>
      <c r="K107" s="30">
        <f ca="1">IF($J107="Continues",DATEDIF($B107,TODAY(),"Y"),INDEX('Lopettaneet 2013-&gt;'!$L:$L,MATCH($D107,'Lopettaneet 2013-&gt;'!$D:$D,0)))</f>
        <v>10</v>
      </c>
      <c r="L107" s="31" t="str">
        <f>IFERROR(INDEX('[1]30.06.2024'!$H:$H,MATCH($E107,'[1]30.06.2024'!$B:$B,0)),"Not found")</f>
        <v>Sentica Partners Oy</v>
      </c>
      <c r="M107" s="31" t="str">
        <f>IFERROR(INDEX([2]Sheet1!$B:$B,MATCH($D107,[2]Sheet1!$A:$A,0)),"Not found")</f>
        <v>Non-Retail</v>
      </c>
      <c r="N107">
        <f t="shared" si="2"/>
        <v>0</v>
      </c>
      <c r="O107">
        <f t="shared" si="3"/>
        <v>1</v>
      </c>
    </row>
    <row r="108" spans="1:15" x14ac:dyDescent="0.25">
      <c r="A108" t="s">
        <v>7</v>
      </c>
      <c r="B108" s="1">
        <v>41974</v>
      </c>
      <c r="C108" s="1">
        <v>44561</v>
      </c>
      <c r="D108" s="4" t="s">
        <v>453</v>
      </c>
      <c r="E108" s="32" t="s">
        <v>454</v>
      </c>
      <c r="F108" s="32">
        <v>19853548</v>
      </c>
      <c r="G108" t="s">
        <v>10</v>
      </c>
      <c r="H108" t="s">
        <v>11</v>
      </c>
      <c r="I108" t="s">
        <v>12</v>
      </c>
      <c r="J108" s="30" t="str">
        <f>IF(ISNUMBER(MATCH($D108,'Lopettaneet 2013-&gt;'!$D:$D,0)),INDEX('Lopettaneet 2013-&gt;'!$K:$K,MATCH($D108,'Lopettaneet 2013-&gt;'!$D:$D,0)),"Continues")</f>
        <v>Closed</v>
      </c>
      <c r="K108" s="30">
        <f ca="1">IF($J108="Continues",DATEDIF($B108,TODAY(),"Y"),INDEX('Lopettaneet 2013-&gt;'!$L:$L,MATCH($D108,'Lopettaneet 2013-&gt;'!$D:$D,0)))</f>
        <v>7</v>
      </c>
      <c r="L108" s="31" t="str">
        <f>IFERROR(INDEX('[1]30.06.2024'!$H:$H,MATCH($E108,'[1]30.06.2024'!$B:$B,0)),"Not found")</f>
        <v>Not found</v>
      </c>
      <c r="M108" s="31" t="str">
        <f>IFERROR(INDEX([2]Sheet1!$B:$B,MATCH($D108,[2]Sheet1!$A:$A,0)),"Not found")</f>
        <v>Not found</v>
      </c>
      <c r="N108">
        <f t="shared" si="2"/>
        <v>0</v>
      </c>
      <c r="O108">
        <f t="shared" si="3"/>
        <v>0</v>
      </c>
    </row>
    <row r="109" spans="1:15" x14ac:dyDescent="0.25">
      <c r="A109" t="s">
        <v>7</v>
      </c>
      <c r="B109" s="1">
        <v>41974</v>
      </c>
      <c r="C109" s="1">
        <v>42735</v>
      </c>
      <c r="D109" s="4" t="s">
        <v>455</v>
      </c>
      <c r="E109" s="32" t="s">
        <v>456</v>
      </c>
      <c r="F109" s="32">
        <v>19650820</v>
      </c>
      <c r="G109" t="s">
        <v>10</v>
      </c>
      <c r="H109" t="s">
        <v>11</v>
      </c>
      <c r="I109" t="s">
        <v>12</v>
      </c>
      <c r="J109" s="30" t="str">
        <f>IF(ISNUMBER(MATCH($D109,'Lopettaneet 2013-&gt;'!$D:$D,0)),INDEX('Lopettaneet 2013-&gt;'!$K:$K,MATCH($D109,'Lopettaneet 2013-&gt;'!$D:$D,0)),"Continues")</f>
        <v>Closed</v>
      </c>
      <c r="K109" s="30">
        <f ca="1">IF($J109="Continues",DATEDIF($B109,TODAY(),"Y"),INDEX('Lopettaneet 2013-&gt;'!$L:$L,MATCH($D109,'Lopettaneet 2013-&gt;'!$D:$D,0)))</f>
        <v>2</v>
      </c>
      <c r="L109" s="31" t="str">
        <f>IFERROR(INDEX('[1]30.06.2024'!$H:$H,MATCH($E109,'[1]30.06.2024'!$B:$B,0)),"Not found")</f>
        <v>Not found</v>
      </c>
      <c r="M109" s="31" t="str">
        <f>IFERROR(INDEX([2]Sheet1!$B:$B,MATCH($D109,[2]Sheet1!$A:$A,0)),"Not found")</f>
        <v>Not found</v>
      </c>
      <c r="N109">
        <f t="shared" si="2"/>
        <v>0</v>
      </c>
      <c r="O109">
        <f t="shared" si="3"/>
        <v>0</v>
      </c>
    </row>
    <row r="110" spans="1:15" x14ac:dyDescent="0.25">
      <c r="A110" t="s">
        <v>7</v>
      </c>
      <c r="B110" s="1">
        <v>41974</v>
      </c>
      <c r="C110" s="1">
        <v>44104</v>
      </c>
      <c r="D110" s="4" t="s">
        <v>457</v>
      </c>
      <c r="E110" s="32" t="s">
        <v>458</v>
      </c>
      <c r="F110" s="32">
        <v>19650361</v>
      </c>
      <c r="G110" t="s">
        <v>10</v>
      </c>
      <c r="H110" t="s">
        <v>11</v>
      </c>
      <c r="I110" t="s">
        <v>12</v>
      </c>
      <c r="J110" s="30" t="str">
        <f>IF(ISNUMBER(MATCH($D110,'Lopettaneet 2013-&gt;'!$D:$D,0)),INDEX('Lopettaneet 2013-&gt;'!$K:$K,MATCH($D110,'Lopettaneet 2013-&gt;'!$D:$D,0)),"Continues")</f>
        <v>Closed</v>
      </c>
      <c r="K110" s="30">
        <f ca="1">IF($J110="Continues",DATEDIF($B110,TODAY(),"Y"),INDEX('Lopettaneet 2013-&gt;'!$L:$L,MATCH($D110,'Lopettaneet 2013-&gt;'!$D:$D,0)))</f>
        <v>5</v>
      </c>
      <c r="L110" s="31" t="str">
        <f>IFERROR(INDEX('[1]30.06.2024'!$H:$H,MATCH($E110,'[1]30.06.2024'!$B:$B,0)),"Not found")</f>
        <v>Not found</v>
      </c>
      <c r="M110" s="31" t="str">
        <f>IFERROR(INDEX([2]Sheet1!$B:$B,MATCH($D110,[2]Sheet1!$A:$A,0)),"Not found")</f>
        <v>Not found</v>
      </c>
      <c r="N110">
        <f t="shared" si="2"/>
        <v>0</v>
      </c>
      <c r="O110">
        <f t="shared" si="3"/>
        <v>0</v>
      </c>
    </row>
    <row r="111" spans="1:15" x14ac:dyDescent="0.25">
      <c r="A111" t="s">
        <v>7</v>
      </c>
      <c r="B111" s="1">
        <v>41974</v>
      </c>
      <c r="C111" s="1">
        <v>55153</v>
      </c>
      <c r="D111" s="4" t="s">
        <v>459</v>
      </c>
      <c r="E111" s="32" t="s">
        <v>460</v>
      </c>
      <c r="F111" s="32">
        <v>23367243</v>
      </c>
      <c r="G111" t="s">
        <v>10</v>
      </c>
      <c r="H111" t="s">
        <v>11</v>
      </c>
      <c r="I111" t="s">
        <v>80</v>
      </c>
      <c r="J111" s="30" t="str">
        <f>IF(ISNUMBER(MATCH($D111,'Lopettaneet 2013-&gt;'!$D:$D,0)),INDEX('Lopettaneet 2013-&gt;'!$K:$K,MATCH($D111,'Lopettaneet 2013-&gt;'!$D:$D,0)),"Continues")</f>
        <v>Continues</v>
      </c>
      <c r="K111" s="30">
        <f ca="1">IF($J111="Continues",DATEDIF($B111,TODAY(),"Y"),INDEX('Lopettaneet 2013-&gt;'!$L:$L,MATCH($D111,'Lopettaneet 2013-&gt;'!$D:$D,0)))</f>
        <v>10</v>
      </c>
      <c r="L111" s="31" t="str">
        <f>IFERROR(INDEX('[1]30.06.2024'!$H:$H,MATCH($E111,'[1]30.06.2024'!$B:$B,0)),"Not found")</f>
        <v>Conor Venture Partners Oy</v>
      </c>
      <c r="M111" s="31" t="str">
        <f>IFERROR(INDEX([2]Sheet1!$B:$B,MATCH($D111,[2]Sheet1!$A:$A,0)),"Not found")</f>
        <v>Non-Retail</v>
      </c>
      <c r="N111">
        <f t="shared" si="2"/>
        <v>0</v>
      </c>
      <c r="O111">
        <f t="shared" si="3"/>
        <v>1</v>
      </c>
    </row>
    <row r="112" spans="1:15" x14ac:dyDescent="0.25">
      <c r="A112" t="s">
        <v>7</v>
      </c>
      <c r="B112" s="1">
        <v>41974</v>
      </c>
      <c r="C112" s="1">
        <v>55153</v>
      </c>
      <c r="D112" s="4" t="s">
        <v>461</v>
      </c>
      <c r="E112" s="32" t="s">
        <v>462</v>
      </c>
      <c r="F112" s="32">
        <v>23248965</v>
      </c>
      <c r="G112" t="s">
        <v>10</v>
      </c>
      <c r="H112" t="s">
        <v>11</v>
      </c>
      <c r="I112" t="s">
        <v>12</v>
      </c>
      <c r="J112" s="30" t="str">
        <f>IF(ISNUMBER(MATCH($D112,'Lopettaneet 2013-&gt;'!$D:$D,0)),INDEX('Lopettaneet 2013-&gt;'!$K:$K,MATCH($D112,'Lopettaneet 2013-&gt;'!$D:$D,0)),"Continues")</f>
        <v>Continues</v>
      </c>
      <c r="K112" s="30">
        <f ca="1">IF($J112="Continues",DATEDIF($B112,TODAY(),"Y"),INDEX('Lopettaneet 2013-&gt;'!$L:$L,MATCH($D112,'Lopettaneet 2013-&gt;'!$D:$D,0)))</f>
        <v>10</v>
      </c>
      <c r="L112" s="31" t="str">
        <f>IFERROR(INDEX('[1]30.06.2024'!$H:$H,MATCH($E112,'[1]30.06.2024'!$B:$B,0)),"Not found")</f>
        <v>Access Capital Advisors Finland Oy</v>
      </c>
      <c r="M112" s="31" t="str">
        <f>IFERROR(INDEX([2]Sheet1!$B:$B,MATCH($D112,[2]Sheet1!$A:$A,0)),"Not found")</f>
        <v>Non-Retail</v>
      </c>
      <c r="N112">
        <f t="shared" si="2"/>
        <v>0</v>
      </c>
      <c r="O112">
        <f t="shared" si="3"/>
        <v>1</v>
      </c>
    </row>
    <row r="113" spans="1:15" x14ac:dyDescent="0.25">
      <c r="A113" t="s">
        <v>7</v>
      </c>
      <c r="B113" s="1">
        <v>41974</v>
      </c>
      <c r="C113" s="1">
        <v>44926</v>
      </c>
      <c r="D113" s="4" t="s">
        <v>463</v>
      </c>
      <c r="E113" s="32" t="s">
        <v>464</v>
      </c>
      <c r="F113" s="32">
        <v>22808019</v>
      </c>
      <c r="G113" t="s">
        <v>10</v>
      </c>
      <c r="H113" t="s">
        <v>11</v>
      </c>
      <c r="I113" t="s">
        <v>80</v>
      </c>
      <c r="J113" s="30" t="str">
        <f>IF(ISNUMBER(MATCH($D113,'Lopettaneet 2013-&gt;'!$D:$D,0)),INDEX('Lopettaneet 2013-&gt;'!$K:$K,MATCH($D113,'Lopettaneet 2013-&gt;'!$D:$D,0)),"Continues")</f>
        <v>Closed</v>
      </c>
      <c r="K113" s="30">
        <f ca="1">IF($J113="Continues",DATEDIF($B113,TODAY(),"Y"),INDEX('Lopettaneet 2013-&gt;'!$L:$L,MATCH($D113,'Lopettaneet 2013-&gt;'!$D:$D,0)))</f>
        <v>8</v>
      </c>
      <c r="L113" s="31" t="str">
        <f>IFERROR(INDEX('[1]30.06.2024'!$H:$H,MATCH($E113,'[1]30.06.2024'!$B:$B,0)),"Not found")</f>
        <v>Not found</v>
      </c>
      <c r="M113" s="31" t="str">
        <f>IFERROR(INDEX([2]Sheet1!$B:$B,MATCH($D113,[2]Sheet1!$A:$A,0)),"Not found")</f>
        <v>Not found</v>
      </c>
      <c r="N113">
        <f t="shared" si="2"/>
        <v>0</v>
      </c>
      <c r="O113">
        <f t="shared" si="3"/>
        <v>0</v>
      </c>
    </row>
    <row r="114" spans="1:15" x14ac:dyDescent="0.25">
      <c r="A114" t="s">
        <v>7</v>
      </c>
      <c r="B114" s="1">
        <v>41974</v>
      </c>
      <c r="C114" s="1">
        <v>55153</v>
      </c>
      <c r="D114" s="4" t="s">
        <v>465</v>
      </c>
      <c r="E114" s="32" t="s">
        <v>466</v>
      </c>
      <c r="F114" s="32">
        <v>22764642</v>
      </c>
      <c r="G114" t="s">
        <v>10</v>
      </c>
      <c r="H114" t="s">
        <v>11</v>
      </c>
      <c r="I114" t="s">
        <v>12</v>
      </c>
      <c r="J114" s="30" t="str">
        <f>IF(ISNUMBER(MATCH($D114,'Lopettaneet 2013-&gt;'!$D:$D,0)),INDEX('Lopettaneet 2013-&gt;'!$K:$K,MATCH($D114,'Lopettaneet 2013-&gt;'!$D:$D,0)),"Continues")</f>
        <v>Continues</v>
      </c>
      <c r="K114" s="30">
        <f ca="1">IF($J114="Continues",DATEDIF($B114,TODAY(),"Y"),INDEX('Lopettaneet 2013-&gt;'!$L:$L,MATCH($D114,'Lopettaneet 2013-&gt;'!$D:$D,0)))</f>
        <v>10</v>
      </c>
      <c r="L114" s="31" t="str">
        <f>IFERROR(INDEX('[1]30.06.2024'!$H:$H,MATCH($E114,'[1]30.06.2024'!$B:$B,0)),"Not found")</f>
        <v>Folmer Management Oy</v>
      </c>
      <c r="M114" s="31" t="str">
        <f>IFERROR(INDEX([2]Sheet1!$B:$B,MATCH($D114,[2]Sheet1!$A:$A,0)),"Not found")</f>
        <v>Non-Retail</v>
      </c>
      <c r="N114">
        <f t="shared" si="2"/>
        <v>0</v>
      </c>
      <c r="O114">
        <f t="shared" si="3"/>
        <v>1</v>
      </c>
    </row>
    <row r="115" spans="1:15" x14ac:dyDescent="0.25">
      <c r="A115" t="s">
        <v>7</v>
      </c>
      <c r="B115" s="1">
        <v>41974</v>
      </c>
      <c r="C115" s="1">
        <v>42643</v>
      </c>
      <c r="D115" s="4" t="s">
        <v>467</v>
      </c>
      <c r="E115" s="32" t="s">
        <v>468</v>
      </c>
      <c r="F115" s="32">
        <v>22713802</v>
      </c>
      <c r="G115" t="s">
        <v>10</v>
      </c>
      <c r="H115" t="s">
        <v>11</v>
      </c>
      <c r="I115" t="s">
        <v>32</v>
      </c>
      <c r="J115" s="30" t="str">
        <f>IF(ISNUMBER(MATCH($D115,'Lopettaneet 2013-&gt;'!$D:$D,0)),INDEX('Lopettaneet 2013-&gt;'!$K:$K,MATCH($D115,'Lopettaneet 2013-&gt;'!$D:$D,0)),"Continues")</f>
        <v>Closed</v>
      </c>
      <c r="K115" s="30">
        <f ca="1">IF($J115="Continues",DATEDIF($B115,TODAY(),"Y"),INDEX('Lopettaneet 2013-&gt;'!$L:$L,MATCH($D115,'Lopettaneet 2013-&gt;'!$D:$D,0)))</f>
        <v>1</v>
      </c>
      <c r="L115" s="31" t="str">
        <f>IFERROR(INDEX('[1]30.06.2024'!$H:$H,MATCH($E115,'[1]30.06.2024'!$B:$B,0)),"Not found")</f>
        <v>Not found</v>
      </c>
      <c r="M115" s="31" t="str">
        <f>IFERROR(INDEX([2]Sheet1!$B:$B,MATCH($D115,[2]Sheet1!$A:$A,0)),"Not found")</f>
        <v>Not found</v>
      </c>
      <c r="N115">
        <f t="shared" si="2"/>
        <v>0</v>
      </c>
      <c r="O115">
        <f t="shared" si="3"/>
        <v>0</v>
      </c>
    </row>
    <row r="116" spans="1:15" x14ac:dyDescent="0.25">
      <c r="A116" t="s">
        <v>7</v>
      </c>
      <c r="B116" s="1">
        <v>41974</v>
      </c>
      <c r="C116" s="1">
        <v>55153</v>
      </c>
      <c r="D116" s="4" t="s">
        <v>469</v>
      </c>
      <c r="E116" s="32" t="s">
        <v>470</v>
      </c>
      <c r="F116" s="32">
        <v>22380366</v>
      </c>
      <c r="G116" t="s">
        <v>10</v>
      </c>
      <c r="H116" t="s">
        <v>11</v>
      </c>
      <c r="I116" t="s">
        <v>80</v>
      </c>
      <c r="J116" s="30" t="str">
        <f>IF(ISNUMBER(MATCH($D116,'Lopettaneet 2013-&gt;'!$D:$D,0)),INDEX('Lopettaneet 2013-&gt;'!$K:$K,MATCH($D116,'Lopettaneet 2013-&gt;'!$D:$D,0)),"Continues")</f>
        <v>Continues</v>
      </c>
      <c r="K116" s="30">
        <f ca="1">IF($J116="Continues",DATEDIF($B116,TODAY(),"Y"),INDEX('Lopettaneet 2013-&gt;'!$L:$L,MATCH($D116,'Lopettaneet 2013-&gt;'!$D:$D,0)))</f>
        <v>10</v>
      </c>
      <c r="L116" s="31" t="str">
        <f>IFERROR(INDEX('[1]30.06.2024'!$H:$H,MATCH($E116,'[1]30.06.2024'!$B:$B,0)),"Not found")</f>
        <v>Tesi Fund Management Oy</v>
      </c>
      <c r="M116" s="31" t="str">
        <f>IFERROR(INDEX([2]Sheet1!$B:$B,MATCH($D116,[2]Sheet1!$A:$A,0)),"Not found")</f>
        <v>Non-Retail</v>
      </c>
      <c r="N116">
        <f t="shared" si="2"/>
        <v>0</v>
      </c>
      <c r="O116">
        <f t="shared" si="3"/>
        <v>1</v>
      </c>
    </row>
    <row r="117" spans="1:15" x14ac:dyDescent="0.25">
      <c r="A117" t="s">
        <v>7</v>
      </c>
      <c r="B117" s="1">
        <v>41974</v>
      </c>
      <c r="C117" s="1">
        <v>44834</v>
      </c>
      <c r="D117" s="4" t="s">
        <v>471</v>
      </c>
      <c r="E117" s="32" t="s">
        <v>472</v>
      </c>
      <c r="F117" s="32">
        <v>22370184</v>
      </c>
      <c r="G117" t="s">
        <v>10</v>
      </c>
      <c r="H117" t="s">
        <v>11</v>
      </c>
      <c r="I117" t="s">
        <v>12</v>
      </c>
      <c r="J117" s="30" t="str">
        <f>IF(ISNUMBER(MATCH($D117,'Lopettaneet 2013-&gt;'!$D:$D,0)),INDEX('Lopettaneet 2013-&gt;'!$K:$K,MATCH($D117,'Lopettaneet 2013-&gt;'!$D:$D,0)),"Continues")</f>
        <v>Closed</v>
      </c>
      <c r="K117" s="30">
        <f ca="1">IF($J117="Continues",DATEDIF($B117,TODAY(),"Y"),INDEX('Lopettaneet 2013-&gt;'!$L:$L,MATCH($D117,'Lopettaneet 2013-&gt;'!$D:$D,0)))</f>
        <v>7</v>
      </c>
      <c r="L117" s="31" t="str">
        <f>IFERROR(INDEX('[1]30.06.2024'!$H:$H,MATCH($E117,'[1]30.06.2024'!$B:$B,0)),"Not found")</f>
        <v>Not found</v>
      </c>
      <c r="M117" s="31" t="str">
        <f>IFERROR(INDEX([2]Sheet1!$B:$B,MATCH($D117,[2]Sheet1!$A:$A,0)),"Not found")</f>
        <v>Not found</v>
      </c>
      <c r="N117">
        <f t="shared" si="2"/>
        <v>0</v>
      </c>
      <c r="O117">
        <f t="shared" si="3"/>
        <v>0</v>
      </c>
    </row>
    <row r="118" spans="1:15" x14ac:dyDescent="0.25">
      <c r="A118" t="s">
        <v>7</v>
      </c>
      <c r="B118" s="1">
        <v>41974</v>
      </c>
      <c r="C118" s="1">
        <v>55153</v>
      </c>
      <c r="D118" s="4" t="s">
        <v>473</v>
      </c>
      <c r="E118" s="32" t="s">
        <v>474</v>
      </c>
      <c r="F118" s="32">
        <v>22341180</v>
      </c>
      <c r="G118" t="s">
        <v>10</v>
      </c>
      <c r="H118" t="s">
        <v>11</v>
      </c>
      <c r="I118" t="s">
        <v>32</v>
      </c>
      <c r="J118" s="30" t="str">
        <f>IF(ISNUMBER(MATCH($D118,'Lopettaneet 2013-&gt;'!$D:$D,0)),INDEX('Lopettaneet 2013-&gt;'!$K:$K,MATCH($D118,'Lopettaneet 2013-&gt;'!$D:$D,0)),"Continues")</f>
        <v>Continues</v>
      </c>
      <c r="K118" s="30">
        <f ca="1">IF($J118="Continues",DATEDIF($B118,TODAY(),"Y"),INDEX('Lopettaneet 2013-&gt;'!$L:$L,MATCH($D118,'Lopettaneet 2013-&gt;'!$D:$D,0)))</f>
        <v>10</v>
      </c>
      <c r="L118" s="31" t="str">
        <f>IFERROR(INDEX('[1]30.06.2024'!$H:$H,MATCH($E118,'[1]30.06.2024'!$B:$B,0)),"Not found")</f>
        <v>Not found</v>
      </c>
      <c r="M118" s="31" t="str">
        <f>IFERROR(INDEX([2]Sheet1!$B:$B,MATCH($D118,[2]Sheet1!$A:$A,0)),"Not found")</f>
        <v>Non-Retail</v>
      </c>
      <c r="N118">
        <f t="shared" si="2"/>
        <v>0</v>
      </c>
      <c r="O118">
        <f t="shared" si="3"/>
        <v>1</v>
      </c>
    </row>
    <row r="119" spans="1:15" x14ac:dyDescent="0.25">
      <c r="A119" t="s">
        <v>7</v>
      </c>
      <c r="B119" s="1">
        <v>41974</v>
      </c>
      <c r="C119" s="1">
        <v>55153</v>
      </c>
      <c r="D119" s="4" t="s">
        <v>475</v>
      </c>
      <c r="E119" s="32" t="s">
        <v>476</v>
      </c>
      <c r="F119" s="32">
        <v>22181842</v>
      </c>
      <c r="G119" t="s">
        <v>10</v>
      </c>
      <c r="H119" t="s">
        <v>11</v>
      </c>
      <c r="I119" t="s">
        <v>12</v>
      </c>
      <c r="J119" s="30" t="str">
        <f>IF(ISNUMBER(MATCH($D119,'Lopettaneet 2013-&gt;'!$D:$D,0)),INDEX('Lopettaneet 2013-&gt;'!$K:$K,MATCH($D119,'Lopettaneet 2013-&gt;'!$D:$D,0)),"Continues")</f>
        <v>Continues</v>
      </c>
      <c r="K119" s="30">
        <f ca="1">IF($J119="Continues",DATEDIF($B119,TODAY(),"Y"),INDEX('Lopettaneet 2013-&gt;'!$L:$L,MATCH($D119,'Lopettaneet 2013-&gt;'!$D:$D,0)))</f>
        <v>10</v>
      </c>
      <c r="L119" s="31" t="str">
        <f>IFERROR(INDEX('[1]30.06.2024'!$H:$H,MATCH($E119,'[1]30.06.2024'!$B:$B,0)),"Not found")</f>
        <v>eQ Rahastoyhtiö Oy</v>
      </c>
      <c r="M119" s="31" t="str">
        <f>IFERROR(INDEX([2]Sheet1!$B:$B,MATCH($D119,[2]Sheet1!$A:$A,0)),"Not found")</f>
        <v>Non-Retail</v>
      </c>
      <c r="N119">
        <f t="shared" si="2"/>
        <v>0</v>
      </c>
      <c r="O119">
        <f t="shared" si="3"/>
        <v>1</v>
      </c>
    </row>
    <row r="120" spans="1:15" x14ac:dyDescent="0.25">
      <c r="A120" t="s">
        <v>7</v>
      </c>
      <c r="B120" s="1">
        <v>41974</v>
      </c>
      <c r="C120" s="1">
        <v>42369</v>
      </c>
      <c r="D120" s="4" t="s">
        <v>477</v>
      </c>
      <c r="E120" s="32" t="s">
        <v>478</v>
      </c>
      <c r="F120" s="32">
        <v>22155185</v>
      </c>
      <c r="G120" t="s">
        <v>10</v>
      </c>
      <c r="H120" t="s">
        <v>11</v>
      </c>
      <c r="I120" t="s">
        <v>32</v>
      </c>
      <c r="J120" s="30" t="str">
        <f>IF(ISNUMBER(MATCH($D120,'Lopettaneet 2013-&gt;'!$D:$D,0)),INDEX('Lopettaneet 2013-&gt;'!$K:$K,MATCH($D120,'Lopettaneet 2013-&gt;'!$D:$D,0)),"Continues")</f>
        <v>Closed</v>
      </c>
      <c r="K120" s="30">
        <f ca="1">IF($J120="Continues",DATEDIF($B120,TODAY(),"Y"),INDEX('Lopettaneet 2013-&gt;'!$L:$L,MATCH($D120,'Lopettaneet 2013-&gt;'!$D:$D,0)))</f>
        <v>1</v>
      </c>
      <c r="L120" s="31" t="str">
        <f>IFERROR(INDEX('[1]30.06.2024'!$H:$H,MATCH($E120,'[1]30.06.2024'!$B:$B,0)),"Not found")</f>
        <v>Not found</v>
      </c>
      <c r="M120" s="31" t="str">
        <f>IFERROR(INDEX([2]Sheet1!$B:$B,MATCH($D120,[2]Sheet1!$A:$A,0)),"Not found")</f>
        <v>Not found</v>
      </c>
      <c r="N120">
        <f t="shared" si="2"/>
        <v>0</v>
      </c>
      <c r="O120">
        <f t="shared" si="3"/>
        <v>0</v>
      </c>
    </row>
    <row r="121" spans="1:15" x14ac:dyDescent="0.25">
      <c r="A121" t="s">
        <v>7</v>
      </c>
      <c r="B121" s="1">
        <v>41974</v>
      </c>
      <c r="C121" s="1">
        <v>43465</v>
      </c>
      <c r="D121" s="4" t="s">
        <v>479</v>
      </c>
      <c r="E121" s="32" t="s">
        <v>480</v>
      </c>
      <c r="F121" s="32">
        <v>22110817</v>
      </c>
      <c r="G121" t="s">
        <v>10</v>
      </c>
      <c r="H121" t="s">
        <v>11</v>
      </c>
      <c r="I121" t="s">
        <v>12</v>
      </c>
      <c r="J121" s="30" t="str">
        <f>IF(ISNUMBER(MATCH($D121,'Lopettaneet 2013-&gt;'!$D:$D,0)),INDEX('Lopettaneet 2013-&gt;'!$K:$K,MATCH($D121,'Lopettaneet 2013-&gt;'!$D:$D,0)),"Continues")</f>
        <v>Closed</v>
      </c>
      <c r="K121" s="30">
        <f ca="1">IF($J121="Continues",DATEDIF($B121,TODAY(),"Y"),INDEX('Lopettaneet 2013-&gt;'!$L:$L,MATCH($D121,'Lopettaneet 2013-&gt;'!$D:$D,0)))</f>
        <v>4</v>
      </c>
      <c r="L121" s="31" t="str">
        <f>IFERROR(INDEX('[1]30.06.2024'!$H:$H,MATCH($E121,'[1]30.06.2024'!$B:$B,0)),"Not found")</f>
        <v>Not found</v>
      </c>
      <c r="M121" s="31" t="str">
        <f>IFERROR(INDEX([2]Sheet1!$B:$B,MATCH($D121,[2]Sheet1!$A:$A,0)),"Not found")</f>
        <v>Not found</v>
      </c>
      <c r="N121">
        <f t="shared" si="2"/>
        <v>0</v>
      </c>
      <c r="O121">
        <f t="shared" si="3"/>
        <v>0</v>
      </c>
    </row>
    <row r="122" spans="1:15" x14ac:dyDescent="0.25">
      <c r="A122" t="s">
        <v>7</v>
      </c>
      <c r="B122" s="1">
        <v>41974</v>
      </c>
      <c r="C122" s="1">
        <v>44926</v>
      </c>
      <c r="D122" s="4" t="s">
        <v>481</v>
      </c>
      <c r="E122" s="32" t="s">
        <v>482</v>
      </c>
      <c r="F122" s="32">
        <v>22068073</v>
      </c>
      <c r="G122" t="s">
        <v>10</v>
      </c>
      <c r="H122" t="s">
        <v>11</v>
      </c>
      <c r="I122" t="s">
        <v>29</v>
      </c>
      <c r="J122" s="30" t="str">
        <f>IF(ISNUMBER(MATCH($D122,'Lopettaneet 2013-&gt;'!$D:$D,0)),INDEX('Lopettaneet 2013-&gt;'!$K:$K,MATCH($D122,'Lopettaneet 2013-&gt;'!$D:$D,0)),"Continues")</f>
        <v>Closed</v>
      </c>
      <c r="K122" s="30">
        <f ca="1">IF($J122="Continues",DATEDIF($B122,TODAY(),"Y"),INDEX('Lopettaneet 2013-&gt;'!$L:$L,MATCH($D122,'Lopettaneet 2013-&gt;'!$D:$D,0)))</f>
        <v>8</v>
      </c>
      <c r="L122" s="31" t="str">
        <f>IFERROR(INDEX('[1]30.06.2024'!$H:$H,MATCH($E122,'[1]30.06.2024'!$B:$B,0)),"Not found")</f>
        <v>Not found</v>
      </c>
      <c r="M122" s="31" t="str">
        <f>IFERROR(INDEX([2]Sheet1!$B:$B,MATCH($D122,[2]Sheet1!$A:$A,0)),"Not found")</f>
        <v>Not found</v>
      </c>
      <c r="N122">
        <f t="shared" si="2"/>
        <v>0</v>
      </c>
      <c r="O122">
        <f t="shared" si="3"/>
        <v>0</v>
      </c>
    </row>
    <row r="123" spans="1:15" x14ac:dyDescent="0.25">
      <c r="A123" t="s">
        <v>7</v>
      </c>
      <c r="B123" s="1">
        <v>41974</v>
      </c>
      <c r="C123" s="1">
        <v>44926</v>
      </c>
      <c r="D123" s="4" t="s">
        <v>483</v>
      </c>
      <c r="E123" s="32" t="s">
        <v>484</v>
      </c>
      <c r="F123" s="32">
        <v>22068057</v>
      </c>
      <c r="G123" t="s">
        <v>10</v>
      </c>
      <c r="H123" t="s">
        <v>11</v>
      </c>
      <c r="I123" t="s">
        <v>29</v>
      </c>
      <c r="J123" s="30" t="str">
        <f>IF(ISNUMBER(MATCH($D123,'Lopettaneet 2013-&gt;'!$D:$D,0)),INDEX('Lopettaneet 2013-&gt;'!$K:$K,MATCH($D123,'Lopettaneet 2013-&gt;'!$D:$D,0)),"Continues")</f>
        <v>Closed</v>
      </c>
      <c r="K123" s="30">
        <f ca="1">IF($J123="Continues",DATEDIF($B123,TODAY(),"Y"),INDEX('Lopettaneet 2013-&gt;'!$L:$L,MATCH($D123,'Lopettaneet 2013-&gt;'!$D:$D,0)))</f>
        <v>8</v>
      </c>
      <c r="L123" s="31" t="str">
        <f>IFERROR(INDEX('[1]30.06.2024'!$H:$H,MATCH($E123,'[1]30.06.2024'!$B:$B,0)),"Not found")</f>
        <v>Not found</v>
      </c>
      <c r="M123" s="31" t="str">
        <f>IFERROR(INDEX([2]Sheet1!$B:$B,MATCH($D123,[2]Sheet1!$A:$A,0)),"Not found")</f>
        <v>Not found</v>
      </c>
      <c r="N123">
        <f t="shared" si="2"/>
        <v>0</v>
      </c>
      <c r="O123">
        <f t="shared" si="3"/>
        <v>0</v>
      </c>
    </row>
    <row r="124" spans="1:15" x14ac:dyDescent="0.25">
      <c r="A124" t="s">
        <v>7</v>
      </c>
      <c r="B124" s="1">
        <v>41974</v>
      </c>
      <c r="C124" s="1">
        <v>44196</v>
      </c>
      <c r="D124" s="4" t="s">
        <v>485</v>
      </c>
      <c r="E124" s="32" t="s">
        <v>486</v>
      </c>
      <c r="F124" s="32">
        <v>22063766</v>
      </c>
      <c r="G124" t="s">
        <v>10</v>
      </c>
      <c r="H124" t="s">
        <v>11</v>
      </c>
      <c r="I124" t="s">
        <v>32</v>
      </c>
      <c r="J124" s="30" t="str">
        <f>IF(ISNUMBER(MATCH($D124,'Lopettaneet 2013-&gt;'!$D:$D,0)),INDEX('Lopettaneet 2013-&gt;'!$K:$K,MATCH($D124,'Lopettaneet 2013-&gt;'!$D:$D,0)),"Continues")</f>
        <v>Closed</v>
      </c>
      <c r="K124" s="30">
        <f ca="1">IF($J124="Continues",DATEDIF($B124,TODAY(),"Y"),INDEX('Lopettaneet 2013-&gt;'!$L:$L,MATCH($D124,'Lopettaneet 2013-&gt;'!$D:$D,0)))</f>
        <v>6</v>
      </c>
      <c r="L124" s="31" t="str">
        <f>IFERROR(INDEX('[1]30.06.2024'!$H:$H,MATCH($E124,'[1]30.06.2024'!$B:$B,0)),"Not found")</f>
        <v>Not found</v>
      </c>
      <c r="M124" s="31" t="str">
        <f>IFERROR(INDEX([2]Sheet1!$B:$B,MATCH($D124,[2]Sheet1!$A:$A,0)),"Not found")</f>
        <v>Not found</v>
      </c>
      <c r="N124">
        <f t="shared" si="2"/>
        <v>0</v>
      </c>
      <c r="O124">
        <f t="shared" si="3"/>
        <v>0</v>
      </c>
    </row>
    <row r="125" spans="1:15" x14ac:dyDescent="0.25">
      <c r="A125" t="s">
        <v>7</v>
      </c>
      <c r="B125" s="1">
        <v>41974</v>
      </c>
      <c r="C125" s="1">
        <v>55153</v>
      </c>
      <c r="D125" s="4" t="s">
        <v>487</v>
      </c>
      <c r="E125" s="32" t="s">
        <v>488</v>
      </c>
      <c r="F125" s="32">
        <v>21770506</v>
      </c>
      <c r="G125" t="s">
        <v>10</v>
      </c>
      <c r="H125" t="s">
        <v>11</v>
      </c>
      <c r="I125" t="s">
        <v>12</v>
      </c>
      <c r="J125" s="30" t="str">
        <f>IF(ISNUMBER(MATCH($D125,'Lopettaneet 2013-&gt;'!$D:$D,0)),INDEX('Lopettaneet 2013-&gt;'!$K:$K,MATCH($D125,'Lopettaneet 2013-&gt;'!$D:$D,0)),"Continues")</f>
        <v>Continues</v>
      </c>
      <c r="K125" s="30">
        <f ca="1">IF($J125="Continues",DATEDIF($B125,TODAY(),"Y"),INDEX('Lopettaneet 2013-&gt;'!$L:$L,MATCH($D125,'Lopettaneet 2013-&gt;'!$D:$D,0)))</f>
        <v>10</v>
      </c>
      <c r="L125" s="31" t="str">
        <f>IFERROR(INDEX('[1]30.06.2024'!$H:$H,MATCH($E125,'[1]30.06.2024'!$B:$B,0)),"Not found")</f>
        <v>CapMan Classic GP Oy</v>
      </c>
      <c r="M125" s="31" t="str">
        <f>IFERROR(INDEX([2]Sheet1!$B:$B,MATCH($D125,[2]Sheet1!$A:$A,0)),"Not found")</f>
        <v>Non-Retail</v>
      </c>
      <c r="N125">
        <f t="shared" si="2"/>
        <v>0</v>
      </c>
      <c r="O125">
        <f t="shared" si="3"/>
        <v>1</v>
      </c>
    </row>
    <row r="126" spans="1:15" x14ac:dyDescent="0.25">
      <c r="A126" t="s">
        <v>7</v>
      </c>
      <c r="B126" s="1">
        <v>41974</v>
      </c>
      <c r="C126" s="1">
        <v>43830</v>
      </c>
      <c r="D126" s="4" t="s">
        <v>489</v>
      </c>
      <c r="E126" s="32" t="s">
        <v>490</v>
      </c>
      <c r="F126" s="32">
        <v>21722408</v>
      </c>
      <c r="G126" t="s">
        <v>10</v>
      </c>
      <c r="H126" t="s">
        <v>11</v>
      </c>
      <c r="I126" t="s">
        <v>32</v>
      </c>
      <c r="J126" s="30" t="str">
        <f>IF(ISNUMBER(MATCH($D126,'Lopettaneet 2013-&gt;'!$D:$D,0)),INDEX('Lopettaneet 2013-&gt;'!$K:$K,MATCH($D126,'Lopettaneet 2013-&gt;'!$D:$D,0)),"Continues")</f>
        <v>Closed</v>
      </c>
      <c r="K126" s="30">
        <f ca="1">IF($J126="Continues",DATEDIF($B126,TODAY(),"Y"),INDEX('Lopettaneet 2013-&gt;'!$L:$L,MATCH($D126,'Lopettaneet 2013-&gt;'!$D:$D,0)))</f>
        <v>5</v>
      </c>
      <c r="L126" s="31" t="str">
        <f>IFERROR(INDEX('[1]30.06.2024'!$H:$H,MATCH($E126,'[1]30.06.2024'!$B:$B,0)),"Not found")</f>
        <v>Not found</v>
      </c>
      <c r="M126" s="31" t="str">
        <f>IFERROR(INDEX([2]Sheet1!$B:$B,MATCH($D126,[2]Sheet1!$A:$A,0)),"Not found")</f>
        <v>Not found</v>
      </c>
      <c r="N126">
        <f t="shared" si="2"/>
        <v>0</v>
      </c>
      <c r="O126">
        <f t="shared" si="3"/>
        <v>0</v>
      </c>
    </row>
    <row r="127" spans="1:15" x14ac:dyDescent="0.25">
      <c r="A127" t="s">
        <v>7</v>
      </c>
      <c r="B127" s="1">
        <v>41974</v>
      </c>
      <c r="C127" s="1">
        <v>55153</v>
      </c>
      <c r="D127" s="4" t="s">
        <v>491</v>
      </c>
      <c r="E127" s="32" t="s">
        <v>492</v>
      </c>
      <c r="F127" s="32">
        <v>21721739</v>
      </c>
      <c r="G127" t="s">
        <v>10</v>
      </c>
      <c r="H127" t="s">
        <v>11</v>
      </c>
      <c r="I127" t="s">
        <v>80</v>
      </c>
      <c r="J127" s="30" t="str">
        <f>IF(ISNUMBER(MATCH($D127,'Lopettaneet 2013-&gt;'!$D:$D,0)),INDEX('Lopettaneet 2013-&gt;'!$K:$K,MATCH($D127,'Lopettaneet 2013-&gt;'!$D:$D,0)),"Continues")</f>
        <v>Continues</v>
      </c>
      <c r="K127" s="30">
        <f ca="1">IF($J127="Continues",DATEDIF($B127,TODAY(),"Y"),INDEX('Lopettaneet 2013-&gt;'!$L:$L,MATCH($D127,'Lopettaneet 2013-&gt;'!$D:$D,0)))</f>
        <v>10</v>
      </c>
      <c r="L127" s="31" t="str">
        <f>IFERROR(INDEX('[1]30.06.2024'!$H:$H,MATCH($E127,'[1]30.06.2024'!$B:$B,0)),"Not found")</f>
        <v>Onventure Oy</v>
      </c>
      <c r="M127" s="31" t="str">
        <f>IFERROR(INDEX([2]Sheet1!$B:$B,MATCH($D127,[2]Sheet1!$A:$A,0)),"Not found")</f>
        <v>Non-Retail</v>
      </c>
      <c r="N127">
        <f t="shared" si="2"/>
        <v>0</v>
      </c>
      <c r="O127">
        <f t="shared" si="3"/>
        <v>1</v>
      </c>
    </row>
    <row r="128" spans="1:15" x14ac:dyDescent="0.25">
      <c r="A128" t="s">
        <v>7</v>
      </c>
      <c r="B128" s="1">
        <v>41974</v>
      </c>
      <c r="C128" s="1">
        <v>43100</v>
      </c>
      <c r="D128" s="4" t="s">
        <v>493</v>
      </c>
      <c r="E128" s="32" t="s">
        <v>494</v>
      </c>
      <c r="F128" s="32">
        <v>21616920</v>
      </c>
      <c r="G128" t="s">
        <v>10</v>
      </c>
      <c r="H128" t="s">
        <v>11</v>
      </c>
      <c r="I128" t="s">
        <v>12</v>
      </c>
      <c r="J128" s="30" t="str">
        <f>IF(ISNUMBER(MATCH($D128,'Lopettaneet 2013-&gt;'!$D:$D,0)),INDEX('Lopettaneet 2013-&gt;'!$K:$K,MATCH($D128,'Lopettaneet 2013-&gt;'!$D:$D,0)),"Continues")</f>
        <v>Closed</v>
      </c>
      <c r="K128" s="30">
        <f ca="1">IF($J128="Continues",DATEDIF($B128,TODAY(),"Y"),INDEX('Lopettaneet 2013-&gt;'!$L:$L,MATCH($D128,'Lopettaneet 2013-&gt;'!$D:$D,0)))</f>
        <v>3</v>
      </c>
      <c r="L128" s="31" t="str">
        <f>IFERROR(INDEX('[1]30.06.2024'!$H:$H,MATCH($E128,'[1]30.06.2024'!$B:$B,0)),"Not found")</f>
        <v>Not found</v>
      </c>
      <c r="M128" s="31" t="str">
        <f>IFERROR(INDEX([2]Sheet1!$B:$B,MATCH($D128,[2]Sheet1!$A:$A,0)),"Not found")</f>
        <v>Not found</v>
      </c>
      <c r="N128">
        <f t="shared" si="2"/>
        <v>0</v>
      </c>
      <c r="O128">
        <f t="shared" si="3"/>
        <v>0</v>
      </c>
    </row>
    <row r="129" spans="1:15" x14ac:dyDescent="0.25">
      <c r="A129" t="s">
        <v>7</v>
      </c>
      <c r="B129" s="1">
        <v>41974</v>
      </c>
      <c r="C129" s="1">
        <v>44196</v>
      </c>
      <c r="D129" s="4" t="s">
        <v>495</v>
      </c>
      <c r="E129" s="32" t="s">
        <v>496</v>
      </c>
      <c r="F129" s="32">
        <v>21616912</v>
      </c>
      <c r="G129" t="s">
        <v>10</v>
      </c>
      <c r="H129" t="s">
        <v>11</v>
      </c>
      <c r="I129" t="s">
        <v>12</v>
      </c>
      <c r="J129" s="30" t="str">
        <f>IF(ISNUMBER(MATCH($D129,'Lopettaneet 2013-&gt;'!$D:$D,0)),INDEX('Lopettaneet 2013-&gt;'!$K:$K,MATCH($D129,'Lopettaneet 2013-&gt;'!$D:$D,0)),"Continues")</f>
        <v>Closed</v>
      </c>
      <c r="K129" s="30">
        <f ca="1">IF($J129="Continues",DATEDIF($B129,TODAY(),"Y"),INDEX('Lopettaneet 2013-&gt;'!$L:$L,MATCH($D129,'Lopettaneet 2013-&gt;'!$D:$D,0)))</f>
        <v>6</v>
      </c>
      <c r="L129" s="31" t="str">
        <f>IFERROR(INDEX('[1]30.06.2024'!$H:$H,MATCH($E129,'[1]30.06.2024'!$B:$B,0)),"Not found")</f>
        <v>Not found</v>
      </c>
      <c r="M129" s="31" t="str">
        <f>IFERROR(INDEX([2]Sheet1!$B:$B,MATCH($D129,[2]Sheet1!$A:$A,0)),"Not found")</f>
        <v>Not found</v>
      </c>
      <c r="N129">
        <f t="shared" si="2"/>
        <v>0</v>
      </c>
      <c r="O129">
        <f t="shared" si="3"/>
        <v>0</v>
      </c>
    </row>
    <row r="130" spans="1:15" x14ac:dyDescent="0.25">
      <c r="A130" t="s">
        <v>7</v>
      </c>
      <c r="B130" s="1">
        <v>41974</v>
      </c>
      <c r="C130" s="1">
        <v>44196</v>
      </c>
      <c r="D130" s="4" t="s">
        <v>497</v>
      </c>
      <c r="E130" s="32" t="s">
        <v>498</v>
      </c>
      <c r="F130" s="32">
        <v>21616904</v>
      </c>
      <c r="G130" t="s">
        <v>10</v>
      </c>
      <c r="H130" t="s">
        <v>11</v>
      </c>
      <c r="I130" t="s">
        <v>12</v>
      </c>
      <c r="J130" s="30" t="str">
        <f>IF(ISNUMBER(MATCH($D130,'Lopettaneet 2013-&gt;'!$D:$D,0)),INDEX('Lopettaneet 2013-&gt;'!$K:$K,MATCH($D130,'Lopettaneet 2013-&gt;'!$D:$D,0)),"Continues")</f>
        <v>Closed</v>
      </c>
      <c r="K130" s="30">
        <f ca="1">IF($J130="Continues",DATEDIF($B130,TODAY(),"Y"),INDEX('Lopettaneet 2013-&gt;'!$L:$L,MATCH($D130,'Lopettaneet 2013-&gt;'!$D:$D,0)))</f>
        <v>6</v>
      </c>
      <c r="L130" s="31" t="str">
        <f>IFERROR(INDEX('[1]30.06.2024'!$H:$H,MATCH($E130,'[1]30.06.2024'!$B:$B,0)),"Not found")</f>
        <v>Not found</v>
      </c>
      <c r="M130" s="31" t="str">
        <f>IFERROR(INDEX([2]Sheet1!$B:$B,MATCH($D130,[2]Sheet1!$A:$A,0)),"Not found")</f>
        <v>Not found</v>
      </c>
      <c r="N130">
        <f t="shared" si="2"/>
        <v>0</v>
      </c>
      <c r="O130">
        <f t="shared" si="3"/>
        <v>0</v>
      </c>
    </row>
    <row r="131" spans="1:15" x14ac:dyDescent="0.25">
      <c r="A131" t="s">
        <v>7</v>
      </c>
      <c r="B131" s="1">
        <v>41974</v>
      </c>
      <c r="C131" s="1">
        <v>44196</v>
      </c>
      <c r="D131" s="4" t="s">
        <v>499</v>
      </c>
      <c r="E131" s="32" t="s">
        <v>500</v>
      </c>
      <c r="F131" s="32">
        <v>21616891</v>
      </c>
      <c r="G131" t="s">
        <v>10</v>
      </c>
      <c r="H131" t="s">
        <v>11</v>
      </c>
      <c r="I131" t="s">
        <v>12</v>
      </c>
      <c r="J131" s="30" t="str">
        <f>IF(ISNUMBER(MATCH($D131,'Lopettaneet 2013-&gt;'!$D:$D,0)),INDEX('Lopettaneet 2013-&gt;'!$K:$K,MATCH($D131,'Lopettaneet 2013-&gt;'!$D:$D,0)),"Continues")</f>
        <v>Closed</v>
      </c>
      <c r="K131" s="30">
        <f ca="1">IF($J131="Continues",DATEDIF($B131,TODAY(),"Y"),INDEX('Lopettaneet 2013-&gt;'!$L:$L,MATCH($D131,'Lopettaneet 2013-&gt;'!$D:$D,0)))</f>
        <v>6</v>
      </c>
      <c r="L131" s="31" t="str">
        <f>IFERROR(INDEX('[1]30.06.2024'!$H:$H,MATCH($E131,'[1]30.06.2024'!$B:$B,0)),"Not found")</f>
        <v>Not found</v>
      </c>
      <c r="M131" s="31" t="str">
        <f>IFERROR(INDEX([2]Sheet1!$B:$B,MATCH($D131,[2]Sheet1!$A:$A,0)),"Not found")</f>
        <v>Not found</v>
      </c>
      <c r="N131">
        <f t="shared" ref="N131:N194" si="4">IF($M131="Retail",1,0)</f>
        <v>0</v>
      </c>
      <c r="O131">
        <f t="shared" ref="O131:O194" si="5">IF($M131="Non-Retail",1,0)</f>
        <v>0</v>
      </c>
    </row>
    <row r="132" spans="1:15" x14ac:dyDescent="0.25">
      <c r="A132" t="s">
        <v>7</v>
      </c>
      <c r="B132" s="1">
        <v>41974</v>
      </c>
      <c r="C132" s="1">
        <v>44196</v>
      </c>
      <c r="D132" s="4" t="s">
        <v>501</v>
      </c>
      <c r="E132" s="32" t="s">
        <v>502</v>
      </c>
      <c r="F132" s="32">
        <v>21616883</v>
      </c>
      <c r="G132" t="s">
        <v>10</v>
      </c>
      <c r="H132" t="s">
        <v>11</v>
      </c>
      <c r="I132" t="s">
        <v>12</v>
      </c>
      <c r="J132" s="30" t="str">
        <f>IF(ISNUMBER(MATCH($D132,'Lopettaneet 2013-&gt;'!$D:$D,0)),INDEX('Lopettaneet 2013-&gt;'!$K:$K,MATCH($D132,'Lopettaneet 2013-&gt;'!$D:$D,0)),"Continues")</f>
        <v>Closed</v>
      </c>
      <c r="K132" s="30">
        <f ca="1">IF($J132="Continues",DATEDIF($B132,TODAY(),"Y"),INDEX('Lopettaneet 2013-&gt;'!$L:$L,MATCH($D132,'Lopettaneet 2013-&gt;'!$D:$D,0)))</f>
        <v>6</v>
      </c>
      <c r="L132" s="31" t="str">
        <f>IFERROR(INDEX('[1]30.06.2024'!$H:$H,MATCH($E132,'[1]30.06.2024'!$B:$B,0)),"Not found")</f>
        <v>Not found</v>
      </c>
      <c r="M132" s="31" t="str">
        <f>IFERROR(INDEX([2]Sheet1!$B:$B,MATCH($D132,[2]Sheet1!$A:$A,0)),"Not found")</f>
        <v>Not found</v>
      </c>
      <c r="N132">
        <f t="shared" si="4"/>
        <v>0</v>
      </c>
      <c r="O132">
        <f t="shared" si="5"/>
        <v>0</v>
      </c>
    </row>
    <row r="133" spans="1:15" x14ac:dyDescent="0.25">
      <c r="A133" t="s">
        <v>7</v>
      </c>
      <c r="B133" s="1">
        <v>41974</v>
      </c>
      <c r="C133" s="1">
        <v>44196</v>
      </c>
      <c r="D133" s="4" t="s">
        <v>503</v>
      </c>
      <c r="E133" s="32" t="s">
        <v>504</v>
      </c>
      <c r="F133" s="32">
        <v>21616875</v>
      </c>
      <c r="G133" t="s">
        <v>10</v>
      </c>
      <c r="H133" t="s">
        <v>11</v>
      </c>
      <c r="I133" t="s">
        <v>12</v>
      </c>
      <c r="J133" s="30" t="str">
        <f>IF(ISNUMBER(MATCH($D133,'Lopettaneet 2013-&gt;'!$D:$D,0)),INDEX('Lopettaneet 2013-&gt;'!$K:$K,MATCH($D133,'Lopettaneet 2013-&gt;'!$D:$D,0)),"Continues")</f>
        <v>Closed</v>
      </c>
      <c r="K133" s="30">
        <f ca="1">IF($J133="Continues",DATEDIF($B133,TODAY(),"Y"),INDEX('Lopettaneet 2013-&gt;'!$L:$L,MATCH($D133,'Lopettaneet 2013-&gt;'!$D:$D,0)))</f>
        <v>6</v>
      </c>
      <c r="L133" s="31" t="str">
        <f>IFERROR(INDEX('[1]30.06.2024'!$H:$H,MATCH($E133,'[1]30.06.2024'!$B:$B,0)),"Not found")</f>
        <v>Not found</v>
      </c>
      <c r="M133" s="31" t="str">
        <f>IFERROR(INDEX([2]Sheet1!$B:$B,MATCH($D133,[2]Sheet1!$A:$A,0)),"Not found")</f>
        <v>Not found</v>
      </c>
      <c r="N133">
        <f t="shared" si="4"/>
        <v>0</v>
      </c>
      <c r="O133">
        <f t="shared" si="5"/>
        <v>0</v>
      </c>
    </row>
    <row r="134" spans="1:15" x14ac:dyDescent="0.25">
      <c r="A134" t="s">
        <v>7</v>
      </c>
      <c r="B134" s="1">
        <v>41974</v>
      </c>
      <c r="C134" s="1">
        <v>55153</v>
      </c>
      <c r="D134" s="4" t="s">
        <v>505</v>
      </c>
      <c r="E134" s="32" t="s">
        <v>506</v>
      </c>
      <c r="F134" s="32">
        <v>25113917</v>
      </c>
      <c r="G134" t="s">
        <v>10</v>
      </c>
      <c r="H134" t="s">
        <v>11</v>
      </c>
      <c r="I134" t="s">
        <v>12</v>
      </c>
      <c r="J134" s="30" t="str">
        <f>IF(ISNUMBER(MATCH($D134,'Lopettaneet 2013-&gt;'!$D:$D,0)),INDEX('Lopettaneet 2013-&gt;'!$K:$K,MATCH($D134,'Lopettaneet 2013-&gt;'!$D:$D,0)),"Continues")</f>
        <v>Continues</v>
      </c>
      <c r="K134" s="30">
        <f ca="1">IF($J134="Continues",DATEDIF($B134,TODAY(),"Y"),INDEX('Lopettaneet 2013-&gt;'!$L:$L,MATCH($D134,'Lopettaneet 2013-&gt;'!$D:$D,0)))</f>
        <v>10</v>
      </c>
      <c r="L134" s="31" t="str">
        <f>IFERROR(INDEX('[1]30.06.2024'!$H:$H,MATCH($E134,'[1]30.06.2024'!$B:$B,0)),"Not found")</f>
        <v>Sentica Partners Oy</v>
      </c>
      <c r="M134" s="31" t="str">
        <f>IFERROR(INDEX([2]Sheet1!$B:$B,MATCH($D134,[2]Sheet1!$A:$A,0)),"Not found")</f>
        <v>Non-Retail</v>
      </c>
      <c r="N134">
        <f t="shared" si="4"/>
        <v>0</v>
      </c>
      <c r="O134">
        <f t="shared" si="5"/>
        <v>1</v>
      </c>
    </row>
    <row r="135" spans="1:15" x14ac:dyDescent="0.25">
      <c r="A135" t="s">
        <v>7</v>
      </c>
      <c r="B135" s="1">
        <v>41974</v>
      </c>
      <c r="C135" s="1">
        <v>55153</v>
      </c>
      <c r="D135" s="4" t="s">
        <v>507</v>
      </c>
      <c r="E135" s="32" t="s">
        <v>508</v>
      </c>
      <c r="F135" s="32">
        <v>25113837</v>
      </c>
      <c r="G135" t="s">
        <v>10</v>
      </c>
      <c r="H135" t="s">
        <v>11</v>
      </c>
      <c r="I135" t="s">
        <v>12</v>
      </c>
      <c r="J135" s="30" t="str">
        <f>IF(ISNUMBER(MATCH($D135,'Lopettaneet 2013-&gt;'!$D:$D,0)),INDEX('Lopettaneet 2013-&gt;'!$K:$K,MATCH($D135,'Lopettaneet 2013-&gt;'!$D:$D,0)),"Continues")</f>
        <v>Continues</v>
      </c>
      <c r="K135" s="30">
        <f ca="1">IF($J135="Continues",DATEDIF($B135,TODAY(),"Y"),INDEX('Lopettaneet 2013-&gt;'!$L:$L,MATCH($D135,'Lopettaneet 2013-&gt;'!$D:$D,0)))</f>
        <v>10</v>
      </c>
      <c r="L135" s="31" t="str">
        <f>IFERROR(INDEX('[1]30.06.2024'!$H:$H,MATCH($E135,'[1]30.06.2024'!$B:$B,0)),"Not found")</f>
        <v>Sentica Partners Oy</v>
      </c>
      <c r="M135" s="31" t="str">
        <f>IFERROR(INDEX([2]Sheet1!$B:$B,MATCH($D135,[2]Sheet1!$A:$A,0)),"Not found")</f>
        <v>Non-Retail</v>
      </c>
      <c r="N135">
        <f t="shared" si="4"/>
        <v>0</v>
      </c>
      <c r="O135">
        <f t="shared" si="5"/>
        <v>1</v>
      </c>
    </row>
    <row r="136" spans="1:15" x14ac:dyDescent="0.25">
      <c r="A136" t="s">
        <v>7</v>
      </c>
      <c r="B136" s="1">
        <v>41974</v>
      </c>
      <c r="C136" s="1">
        <v>55153</v>
      </c>
      <c r="D136" s="4" t="s">
        <v>509</v>
      </c>
      <c r="E136" s="32" t="s">
        <v>510</v>
      </c>
      <c r="F136" s="32">
        <v>24891485</v>
      </c>
      <c r="G136" t="s">
        <v>10</v>
      </c>
      <c r="H136" t="s">
        <v>11</v>
      </c>
      <c r="I136" t="s">
        <v>12</v>
      </c>
      <c r="J136" s="30" t="str">
        <f>IF(ISNUMBER(MATCH($D136,'Lopettaneet 2013-&gt;'!$D:$D,0)),INDEX('Lopettaneet 2013-&gt;'!$K:$K,MATCH($D136,'Lopettaneet 2013-&gt;'!$D:$D,0)),"Continues")</f>
        <v>Continues</v>
      </c>
      <c r="K136" s="30">
        <f ca="1">IF($J136="Continues",DATEDIF($B136,TODAY(),"Y"),INDEX('Lopettaneet 2013-&gt;'!$L:$L,MATCH($D136,'Lopettaneet 2013-&gt;'!$D:$D,0)))</f>
        <v>10</v>
      </c>
      <c r="L136" s="31" t="str">
        <f>IFERROR(INDEX('[1]30.06.2024'!$H:$H,MATCH($E136,'[1]30.06.2024'!$B:$B,0)),"Not found")</f>
        <v>Vaaka Partners Oy</v>
      </c>
      <c r="M136" s="31" t="str">
        <f>IFERROR(INDEX([2]Sheet1!$B:$B,MATCH($D136,[2]Sheet1!$A:$A,0)),"Not found")</f>
        <v>Non-Retail</v>
      </c>
      <c r="N136">
        <f t="shared" si="4"/>
        <v>0</v>
      </c>
      <c r="O136">
        <f t="shared" si="5"/>
        <v>1</v>
      </c>
    </row>
    <row r="137" spans="1:15" x14ac:dyDescent="0.25">
      <c r="A137" t="s">
        <v>7</v>
      </c>
      <c r="B137" s="1">
        <v>41974</v>
      </c>
      <c r="C137" s="1">
        <v>43465</v>
      </c>
      <c r="D137" s="4" t="s">
        <v>511</v>
      </c>
      <c r="E137" s="32" t="s">
        <v>512</v>
      </c>
      <c r="F137" s="32">
        <v>24795282</v>
      </c>
      <c r="G137" t="s">
        <v>10</v>
      </c>
      <c r="H137" t="s">
        <v>11</v>
      </c>
      <c r="I137" t="s">
        <v>32</v>
      </c>
      <c r="J137" s="30" t="str">
        <f>IF(ISNUMBER(MATCH($D137,'Lopettaneet 2013-&gt;'!$D:$D,0)),INDEX('Lopettaneet 2013-&gt;'!$K:$K,MATCH($D137,'Lopettaneet 2013-&gt;'!$D:$D,0)),"Continues")</f>
        <v>Closed</v>
      </c>
      <c r="K137" s="30">
        <f ca="1">IF($J137="Continues",DATEDIF($B137,TODAY(),"Y"),INDEX('Lopettaneet 2013-&gt;'!$L:$L,MATCH($D137,'Lopettaneet 2013-&gt;'!$D:$D,0)))</f>
        <v>4</v>
      </c>
      <c r="L137" s="31" t="str">
        <f>IFERROR(INDEX('[1]30.06.2024'!$H:$H,MATCH($E137,'[1]30.06.2024'!$B:$B,0)),"Not found")</f>
        <v>Not found</v>
      </c>
      <c r="M137" s="31" t="str">
        <f>IFERROR(INDEX([2]Sheet1!$B:$B,MATCH($D137,[2]Sheet1!$A:$A,0)),"Not found")</f>
        <v>Not found</v>
      </c>
      <c r="N137">
        <f t="shared" si="4"/>
        <v>0</v>
      </c>
      <c r="O137">
        <f t="shared" si="5"/>
        <v>0</v>
      </c>
    </row>
    <row r="138" spans="1:15" x14ac:dyDescent="0.25">
      <c r="A138" t="s">
        <v>7</v>
      </c>
      <c r="B138" s="1">
        <v>41974</v>
      </c>
      <c r="C138" s="1">
        <v>45016</v>
      </c>
      <c r="D138" s="4" t="s">
        <v>15</v>
      </c>
      <c r="E138" s="32" t="s">
        <v>16</v>
      </c>
      <c r="F138" s="32">
        <v>24732572</v>
      </c>
      <c r="G138" t="s">
        <v>10</v>
      </c>
      <c r="H138" t="s">
        <v>11</v>
      </c>
      <c r="I138" t="s">
        <v>12</v>
      </c>
      <c r="J138" s="30" t="str">
        <f>IF(ISNUMBER(MATCH($D138,'Lopettaneet 2013-&gt;'!$D:$D,0)),INDEX('Lopettaneet 2013-&gt;'!$K:$K,MATCH($D138,'Lopettaneet 2013-&gt;'!$D:$D,0)),"Continues")</f>
        <v>Closed</v>
      </c>
      <c r="K138" s="30">
        <f ca="1">IF($J138="Continues",DATEDIF($B138,TODAY(),"Y"),INDEX('Lopettaneet 2013-&gt;'!$L:$L,MATCH($D138,'Lopettaneet 2013-&gt;'!$D:$D,0)))</f>
        <v>8</v>
      </c>
      <c r="L138" s="31" t="str">
        <f>IFERROR(INDEX('[1]30.06.2024'!$H:$H,MATCH($E138,'[1]30.06.2024'!$B:$B,0)),"Not found")</f>
        <v>Not found</v>
      </c>
      <c r="M138" s="31" t="str">
        <f>IFERROR(INDEX([2]Sheet1!$B:$B,MATCH($D138,[2]Sheet1!$A:$A,0)),"Not found")</f>
        <v>Not found</v>
      </c>
      <c r="N138">
        <f t="shared" si="4"/>
        <v>0</v>
      </c>
      <c r="O138">
        <f t="shared" si="5"/>
        <v>0</v>
      </c>
    </row>
    <row r="139" spans="1:15" x14ac:dyDescent="0.25">
      <c r="A139" t="s">
        <v>7</v>
      </c>
      <c r="B139" s="1">
        <v>41974</v>
      </c>
      <c r="C139" s="1">
        <v>43830</v>
      </c>
      <c r="D139" s="4" t="s">
        <v>513</v>
      </c>
      <c r="E139" s="32" t="s">
        <v>514</v>
      </c>
      <c r="F139" s="32">
        <v>24729146</v>
      </c>
      <c r="G139" t="s">
        <v>10</v>
      </c>
      <c r="H139" t="s">
        <v>11</v>
      </c>
      <c r="I139" t="s">
        <v>32</v>
      </c>
      <c r="J139" s="30" t="str">
        <f>IF(ISNUMBER(MATCH($D139,'Lopettaneet 2013-&gt;'!$D:$D,0)),INDEX('Lopettaneet 2013-&gt;'!$K:$K,MATCH($D139,'Lopettaneet 2013-&gt;'!$D:$D,0)),"Continues")</f>
        <v>Closed</v>
      </c>
      <c r="K139" s="30">
        <f ca="1">IF($J139="Continues",DATEDIF($B139,TODAY(),"Y"),INDEX('Lopettaneet 2013-&gt;'!$L:$L,MATCH($D139,'Lopettaneet 2013-&gt;'!$D:$D,0)))</f>
        <v>5</v>
      </c>
      <c r="L139" s="31" t="str">
        <f>IFERROR(INDEX('[1]30.06.2024'!$H:$H,MATCH($E139,'[1]30.06.2024'!$B:$B,0)),"Not found")</f>
        <v>Not found</v>
      </c>
      <c r="M139" s="31" t="str">
        <f>IFERROR(INDEX([2]Sheet1!$B:$B,MATCH($D139,[2]Sheet1!$A:$A,0)),"Not found")</f>
        <v>Not found</v>
      </c>
      <c r="N139">
        <f t="shared" si="4"/>
        <v>0</v>
      </c>
      <c r="O139">
        <f t="shared" si="5"/>
        <v>0</v>
      </c>
    </row>
    <row r="140" spans="1:15" x14ac:dyDescent="0.25">
      <c r="A140" t="s">
        <v>7</v>
      </c>
      <c r="B140" s="1">
        <v>41974</v>
      </c>
      <c r="C140" s="1">
        <v>55153</v>
      </c>
      <c r="D140" s="4" t="s">
        <v>515</v>
      </c>
      <c r="E140" s="32" t="s">
        <v>516</v>
      </c>
      <c r="F140" s="32">
        <v>24691862</v>
      </c>
      <c r="G140" t="s">
        <v>10</v>
      </c>
      <c r="H140" t="s">
        <v>11</v>
      </c>
      <c r="I140" t="s">
        <v>80</v>
      </c>
      <c r="J140" s="30" t="str">
        <f>IF(ISNUMBER(MATCH($D140,'Lopettaneet 2013-&gt;'!$D:$D,0)),INDEX('Lopettaneet 2013-&gt;'!$K:$K,MATCH($D140,'Lopettaneet 2013-&gt;'!$D:$D,0)),"Continues")</f>
        <v>Continues</v>
      </c>
      <c r="K140" s="30">
        <f ca="1">IF($J140="Continues",DATEDIF($B140,TODAY(),"Y"),INDEX('Lopettaneet 2013-&gt;'!$L:$L,MATCH($D140,'Lopettaneet 2013-&gt;'!$D:$D,0)))</f>
        <v>10</v>
      </c>
      <c r="L140" s="31" t="str">
        <f>IFERROR(INDEX('[1]30.06.2024'!$H:$H,MATCH($E140,'[1]30.06.2024'!$B:$B,0)),"Not found")</f>
        <v>Not found</v>
      </c>
      <c r="M140" s="31" t="str">
        <f>IFERROR(INDEX([2]Sheet1!$B:$B,MATCH($D140,[2]Sheet1!$A:$A,0)),"Not found")</f>
        <v>Non-Retail</v>
      </c>
      <c r="N140">
        <f t="shared" si="4"/>
        <v>0</v>
      </c>
      <c r="O140">
        <f t="shared" si="5"/>
        <v>1</v>
      </c>
    </row>
    <row r="141" spans="1:15" x14ac:dyDescent="0.25">
      <c r="A141" t="s">
        <v>7</v>
      </c>
      <c r="B141" s="1">
        <v>41974</v>
      </c>
      <c r="C141" s="1">
        <v>55153</v>
      </c>
      <c r="D141" s="4" t="s">
        <v>517</v>
      </c>
      <c r="E141" s="32" t="s">
        <v>518</v>
      </c>
      <c r="F141" s="32">
        <v>24669331</v>
      </c>
      <c r="G141" t="s">
        <v>10</v>
      </c>
      <c r="H141" t="s">
        <v>11</v>
      </c>
      <c r="I141" t="s">
        <v>80</v>
      </c>
      <c r="J141" s="30" t="str">
        <f>IF(ISNUMBER(MATCH($D141,'Lopettaneet 2013-&gt;'!$D:$D,0)),INDEX('Lopettaneet 2013-&gt;'!$K:$K,MATCH($D141,'Lopettaneet 2013-&gt;'!$D:$D,0)),"Continues")</f>
        <v>Continues</v>
      </c>
      <c r="K141" s="30">
        <f ca="1">IF($J141="Continues",DATEDIF($B141,TODAY(),"Y"),INDEX('Lopettaneet 2013-&gt;'!$L:$L,MATCH($D141,'Lopettaneet 2013-&gt;'!$D:$D,0)))</f>
        <v>10</v>
      </c>
      <c r="L141" s="31" t="str">
        <f>IFERROR(INDEX('[1]30.06.2024'!$H:$H,MATCH($E141,'[1]30.06.2024'!$B:$B,0)),"Not found")</f>
        <v>VisionPlus Oyj</v>
      </c>
      <c r="M141" s="31" t="str">
        <f>IFERROR(INDEX([2]Sheet1!$B:$B,MATCH($D141,[2]Sheet1!$A:$A,0)),"Not found")</f>
        <v>Non-Retail</v>
      </c>
      <c r="N141">
        <f t="shared" si="4"/>
        <v>0</v>
      </c>
      <c r="O141">
        <f t="shared" si="5"/>
        <v>1</v>
      </c>
    </row>
    <row r="142" spans="1:15" x14ac:dyDescent="0.25">
      <c r="A142" t="s">
        <v>7</v>
      </c>
      <c r="B142" s="1">
        <v>41974</v>
      </c>
      <c r="C142" s="1">
        <v>55153</v>
      </c>
      <c r="D142" s="4" t="s">
        <v>519</v>
      </c>
      <c r="E142" s="32" t="s">
        <v>520</v>
      </c>
      <c r="F142" s="32">
        <v>24400789</v>
      </c>
      <c r="G142" t="s">
        <v>10</v>
      </c>
      <c r="H142" t="s">
        <v>11</v>
      </c>
      <c r="I142" t="s">
        <v>80</v>
      </c>
      <c r="J142" s="30" t="str">
        <f>IF(ISNUMBER(MATCH($D142,'Lopettaneet 2013-&gt;'!$D:$D,0)),INDEX('Lopettaneet 2013-&gt;'!$K:$K,MATCH($D142,'Lopettaneet 2013-&gt;'!$D:$D,0)),"Continues")</f>
        <v>Continues</v>
      </c>
      <c r="K142" s="30">
        <f ca="1">IF($J142="Continues",DATEDIF($B142,TODAY(),"Y"),INDEX('Lopettaneet 2013-&gt;'!$L:$L,MATCH($D142,'Lopettaneet 2013-&gt;'!$D:$D,0)))</f>
        <v>10</v>
      </c>
      <c r="L142" s="31" t="str">
        <f>IFERROR(INDEX('[1]30.06.2024'!$H:$H,MATCH($E142,'[1]30.06.2024'!$B:$B,0)),"Not found")</f>
        <v>VNT Management Oy</v>
      </c>
      <c r="M142" s="31" t="str">
        <f>IFERROR(INDEX([2]Sheet1!$B:$B,MATCH($D142,[2]Sheet1!$A:$A,0)),"Not found")</f>
        <v>Non-Retail</v>
      </c>
      <c r="N142">
        <f t="shared" si="4"/>
        <v>0</v>
      </c>
      <c r="O142">
        <f t="shared" si="5"/>
        <v>1</v>
      </c>
    </row>
    <row r="143" spans="1:15" x14ac:dyDescent="0.25">
      <c r="A143" t="s">
        <v>7</v>
      </c>
      <c r="B143" s="1">
        <v>41974</v>
      </c>
      <c r="C143" s="1">
        <v>55153</v>
      </c>
      <c r="D143" s="4" t="s">
        <v>521</v>
      </c>
      <c r="E143" s="32" t="s">
        <v>522</v>
      </c>
      <c r="F143" s="32">
        <v>24214644</v>
      </c>
      <c r="G143" t="s">
        <v>10</v>
      </c>
      <c r="H143" t="s">
        <v>11</v>
      </c>
      <c r="I143" t="s">
        <v>80</v>
      </c>
      <c r="J143" s="30" t="str">
        <f>IF(ISNUMBER(MATCH($D143,'Lopettaneet 2013-&gt;'!$D:$D,0)),INDEX('Lopettaneet 2013-&gt;'!$K:$K,MATCH($D143,'Lopettaneet 2013-&gt;'!$D:$D,0)),"Continues")</f>
        <v>Continues</v>
      </c>
      <c r="K143" s="30">
        <f ca="1">IF($J143="Continues",DATEDIF($B143,TODAY(),"Y"),INDEX('Lopettaneet 2013-&gt;'!$L:$L,MATCH($D143,'Lopettaneet 2013-&gt;'!$D:$D,0)))</f>
        <v>10</v>
      </c>
      <c r="L143" s="31" t="str">
        <f>IFERROR(INDEX('[1]30.06.2024'!$H:$H,MATCH($E143,'[1]30.06.2024'!$B:$B,0)),"Not found")</f>
        <v>Conor Venture Partners Oy</v>
      </c>
      <c r="M143" s="31" t="str">
        <f>IFERROR(INDEX([2]Sheet1!$B:$B,MATCH($D143,[2]Sheet1!$A:$A,0)),"Not found")</f>
        <v>Non-Retail</v>
      </c>
      <c r="N143">
        <f t="shared" si="4"/>
        <v>0</v>
      </c>
      <c r="O143">
        <f t="shared" si="5"/>
        <v>1</v>
      </c>
    </row>
    <row r="144" spans="1:15" x14ac:dyDescent="0.25">
      <c r="A144" t="s">
        <v>7</v>
      </c>
      <c r="B144" s="1">
        <v>41974</v>
      </c>
      <c r="C144" s="1">
        <v>45107</v>
      </c>
      <c r="D144" s="4" t="s">
        <v>17</v>
      </c>
      <c r="E144" s="32" t="s">
        <v>523</v>
      </c>
      <c r="F144" s="32">
        <v>24070919</v>
      </c>
      <c r="G144" t="s">
        <v>10</v>
      </c>
      <c r="H144" t="s">
        <v>11</v>
      </c>
      <c r="I144" t="s">
        <v>12</v>
      </c>
      <c r="J144" s="30" t="str">
        <f>IF(ISNUMBER(MATCH($D144,'Lopettaneet 2013-&gt;'!$D:$D,0)),INDEX('Lopettaneet 2013-&gt;'!$K:$K,MATCH($D144,'Lopettaneet 2013-&gt;'!$D:$D,0)),"Continues")</f>
        <v>Closed</v>
      </c>
      <c r="K144" s="30">
        <f ca="1">IF($J144="Continues",DATEDIF($B144,TODAY(),"Y"),INDEX('Lopettaneet 2013-&gt;'!$L:$L,MATCH($D144,'Lopettaneet 2013-&gt;'!$D:$D,0)))</f>
        <v>8</v>
      </c>
      <c r="L144" s="31" t="str">
        <f>IFERROR(INDEX('[1]30.06.2024'!$H:$H,MATCH($E144,'[1]30.06.2024'!$B:$B,0)),"Not found")</f>
        <v>Not found</v>
      </c>
      <c r="M144" s="31" t="str">
        <f>IFERROR(INDEX([2]Sheet1!$B:$B,MATCH($D144,[2]Sheet1!$A:$A,0)),"Not found")</f>
        <v>Not found</v>
      </c>
      <c r="N144">
        <f t="shared" si="4"/>
        <v>0</v>
      </c>
      <c r="O144">
        <f t="shared" si="5"/>
        <v>0</v>
      </c>
    </row>
    <row r="145" spans="1:15" x14ac:dyDescent="0.25">
      <c r="A145" t="s">
        <v>7</v>
      </c>
      <c r="B145" s="1">
        <v>41974</v>
      </c>
      <c r="C145" s="1">
        <v>44926</v>
      </c>
      <c r="D145" s="4" t="s">
        <v>524</v>
      </c>
      <c r="E145" s="32" t="s">
        <v>525</v>
      </c>
      <c r="F145" s="32">
        <v>24065212</v>
      </c>
      <c r="G145" t="s">
        <v>10</v>
      </c>
      <c r="H145" t="s">
        <v>11</v>
      </c>
      <c r="I145" t="s">
        <v>12</v>
      </c>
      <c r="J145" s="30" t="str">
        <f>IF(ISNUMBER(MATCH($D145,'Lopettaneet 2013-&gt;'!$D:$D,0)),INDEX('Lopettaneet 2013-&gt;'!$K:$K,MATCH($D145,'Lopettaneet 2013-&gt;'!$D:$D,0)),"Continues")</f>
        <v>Closed</v>
      </c>
      <c r="K145" s="30">
        <f ca="1">IF($J145="Continues",DATEDIF($B145,TODAY(),"Y"),INDEX('Lopettaneet 2013-&gt;'!$L:$L,MATCH($D145,'Lopettaneet 2013-&gt;'!$D:$D,0)))</f>
        <v>8</v>
      </c>
      <c r="L145" s="31" t="str">
        <f>IFERROR(INDEX('[1]30.06.2024'!$H:$H,MATCH($E145,'[1]30.06.2024'!$B:$B,0)),"Not found")</f>
        <v>Not found</v>
      </c>
      <c r="M145" s="31" t="str">
        <f>IFERROR(INDEX([2]Sheet1!$B:$B,MATCH($D145,[2]Sheet1!$A:$A,0)),"Not found")</f>
        <v>Not found</v>
      </c>
      <c r="N145">
        <f t="shared" si="4"/>
        <v>0</v>
      </c>
      <c r="O145">
        <f t="shared" si="5"/>
        <v>0</v>
      </c>
    </row>
    <row r="146" spans="1:15" x14ac:dyDescent="0.25">
      <c r="A146" t="s">
        <v>7</v>
      </c>
      <c r="B146" s="1">
        <v>41974</v>
      </c>
      <c r="C146" s="1">
        <v>55153</v>
      </c>
      <c r="D146" s="4" t="s">
        <v>526</v>
      </c>
      <c r="E146" s="32" t="s">
        <v>527</v>
      </c>
      <c r="F146" s="32">
        <v>24023901</v>
      </c>
      <c r="G146" t="s">
        <v>10</v>
      </c>
      <c r="H146" t="s">
        <v>11</v>
      </c>
      <c r="I146" t="s">
        <v>32</v>
      </c>
      <c r="J146" s="30" t="str">
        <f>IF(ISNUMBER(MATCH($D146,'Lopettaneet 2013-&gt;'!$D:$D,0)),INDEX('Lopettaneet 2013-&gt;'!$K:$K,MATCH($D146,'Lopettaneet 2013-&gt;'!$D:$D,0)),"Continues")</f>
        <v>Continues</v>
      </c>
      <c r="K146" s="30">
        <f ca="1">IF($J146="Continues",DATEDIF($B146,TODAY(),"Y"),INDEX('Lopettaneet 2013-&gt;'!$L:$L,MATCH($D146,'Lopettaneet 2013-&gt;'!$D:$D,0)))</f>
        <v>10</v>
      </c>
      <c r="L146" s="31" t="str">
        <f>IFERROR(INDEX('[1]30.06.2024'!$H:$H,MATCH($E146,'[1]30.06.2024'!$B:$B,0)),"Not found")</f>
        <v>OP Kiinteistösijoitus Oy</v>
      </c>
      <c r="M146" s="31" t="str">
        <f>IFERROR(INDEX([2]Sheet1!$B:$B,MATCH($D146,[2]Sheet1!$A:$A,0)),"Not found")</f>
        <v>Non-Retail</v>
      </c>
      <c r="N146">
        <f t="shared" si="4"/>
        <v>0</v>
      </c>
      <c r="O146">
        <f t="shared" si="5"/>
        <v>1</v>
      </c>
    </row>
    <row r="147" spans="1:15" x14ac:dyDescent="0.25">
      <c r="A147" t="s">
        <v>7</v>
      </c>
      <c r="B147" s="1">
        <v>41974</v>
      </c>
      <c r="C147" s="1">
        <v>55153</v>
      </c>
      <c r="D147" s="4" t="s">
        <v>528</v>
      </c>
      <c r="E147" s="32" t="s">
        <v>529</v>
      </c>
      <c r="F147" s="32">
        <v>25550391</v>
      </c>
      <c r="G147" t="s">
        <v>10</v>
      </c>
      <c r="H147" t="s">
        <v>11</v>
      </c>
      <c r="I147" t="s">
        <v>12</v>
      </c>
      <c r="J147" s="30" t="str">
        <f>IF(ISNUMBER(MATCH($D147,'Lopettaneet 2013-&gt;'!$D:$D,0)),INDEX('Lopettaneet 2013-&gt;'!$K:$K,MATCH($D147,'Lopettaneet 2013-&gt;'!$D:$D,0)),"Continues")</f>
        <v>Continues</v>
      </c>
      <c r="K147" s="30">
        <f ca="1">IF($J147="Continues",DATEDIF($B147,TODAY(),"Y"),INDEX('Lopettaneet 2013-&gt;'!$L:$L,MATCH($D147,'Lopettaneet 2013-&gt;'!$D:$D,0)))</f>
        <v>10</v>
      </c>
      <c r="L147" s="31" t="str">
        <f>IFERROR(INDEX('[1]30.06.2024'!$H:$H,MATCH($E147,'[1]30.06.2024'!$B:$B,0)),"Not found")</f>
        <v>CapMan Buyout X GP Oy</v>
      </c>
      <c r="M147" s="31" t="str">
        <f>IFERROR(INDEX([2]Sheet1!$B:$B,MATCH($D147,[2]Sheet1!$A:$A,0)),"Not found")</f>
        <v>Non-Retail</v>
      </c>
      <c r="N147">
        <f t="shared" si="4"/>
        <v>0</v>
      </c>
      <c r="O147">
        <f t="shared" si="5"/>
        <v>1</v>
      </c>
    </row>
    <row r="148" spans="1:15" x14ac:dyDescent="0.25">
      <c r="A148" t="s">
        <v>7</v>
      </c>
      <c r="B148" s="1">
        <v>41974</v>
      </c>
      <c r="C148" s="1">
        <v>44926</v>
      </c>
      <c r="D148" s="4" t="s">
        <v>530</v>
      </c>
      <c r="E148" s="32" t="s">
        <v>531</v>
      </c>
      <c r="F148" s="32">
        <v>21032044</v>
      </c>
      <c r="G148" t="s">
        <v>10</v>
      </c>
      <c r="H148" t="s">
        <v>11</v>
      </c>
      <c r="I148" t="s">
        <v>12</v>
      </c>
      <c r="J148" s="30" t="str">
        <f>IF(ISNUMBER(MATCH($D148,'Lopettaneet 2013-&gt;'!$D:$D,0)),INDEX('Lopettaneet 2013-&gt;'!$K:$K,MATCH($D148,'Lopettaneet 2013-&gt;'!$D:$D,0)),"Continues")</f>
        <v>Closed</v>
      </c>
      <c r="K148" s="30">
        <f ca="1">IF($J148="Continues",DATEDIF($B148,TODAY(),"Y"),INDEX('Lopettaneet 2013-&gt;'!$L:$L,MATCH($D148,'Lopettaneet 2013-&gt;'!$D:$D,0)))</f>
        <v>8</v>
      </c>
      <c r="L148" s="31" t="str">
        <f>IFERROR(INDEX('[1]30.06.2024'!$H:$H,MATCH($E148,'[1]30.06.2024'!$B:$B,0)),"Not found")</f>
        <v>Not found</v>
      </c>
      <c r="M148" s="31" t="str">
        <f>IFERROR(INDEX([2]Sheet1!$B:$B,MATCH($D148,[2]Sheet1!$A:$A,0)),"Not found")</f>
        <v>Not found</v>
      </c>
      <c r="N148">
        <f t="shared" si="4"/>
        <v>0</v>
      </c>
      <c r="O148">
        <f t="shared" si="5"/>
        <v>0</v>
      </c>
    </row>
    <row r="149" spans="1:15" x14ac:dyDescent="0.25">
      <c r="A149" t="s">
        <v>7</v>
      </c>
      <c r="B149" s="1">
        <v>41974</v>
      </c>
      <c r="C149" s="1">
        <v>55153</v>
      </c>
      <c r="D149" s="4" t="s">
        <v>532</v>
      </c>
      <c r="E149" s="32" t="s">
        <v>533</v>
      </c>
      <c r="F149" s="32">
        <v>20133206</v>
      </c>
      <c r="G149" t="s">
        <v>10</v>
      </c>
      <c r="H149" t="s">
        <v>11</v>
      </c>
      <c r="I149" t="s">
        <v>12</v>
      </c>
      <c r="J149" s="30" t="str">
        <f>IF(ISNUMBER(MATCH($D149,'Lopettaneet 2013-&gt;'!$D:$D,0)),INDEX('Lopettaneet 2013-&gt;'!$K:$K,MATCH($D149,'Lopettaneet 2013-&gt;'!$D:$D,0)),"Continues")</f>
        <v>Continues</v>
      </c>
      <c r="K149" s="30">
        <f ca="1">IF($J149="Continues",DATEDIF($B149,TODAY(),"Y"),INDEX('Lopettaneet 2013-&gt;'!$L:$L,MATCH($D149,'Lopettaneet 2013-&gt;'!$D:$D,0)))</f>
        <v>10</v>
      </c>
      <c r="L149" s="31" t="str">
        <f>IFERROR(INDEX('[1]30.06.2024'!$H:$H,MATCH($E149,'[1]30.06.2024'!$B:$B,0)),"Not found")</f>
        <v>Not found</v>
      </c>
      <c r="M149" s="31" t="str">
        <f>IFERROR(INDEX([2]Sheet1!$B:$B,MATCH($D149,[2]Sheet1!$A:$A,0)),"Not found")</f>
        <v>Not found</v>
      </c>
      <c r="N149">
        <f t="shared" si="4"/>
        <v>0</v>
      </c>
      <c r="O149">
        <f t="shared" si="5"/>
        <v>0</v>
      </c>
    </row>
    <row r="150" spans="1:15" x14ac:dyDescent="0.25">
      <c r="A150" t="s">
        <v>7</v>
      </c>
      <c r="B150" s="1">
        <v>41974</v>
      </c>
      <c r="C150" s="1">
        <v>55153</v>
      </c>
      <c r="D150" s="4" t="s">
        <v>534</v>
      </c>
      <c r="E150" s="32" t="s">
        <v>535</v>
      </c>
      <c r="F150" s="32">
        <v>20088097</v>
      </c>
      <c r="G150" t="s">
        <v>10</v>
      </c>
      <c r="H150" t="s">
        <v>11</v>
      </c>
      <c r="I150" t="s">
        <v>12</v>
      </c>
      <c r="J150" s="30" t="str">
        <f>IF(ISNUMBER(MATCH($D150,'Lopettaneet 2013-&gt;'!$D:$D,0)),INDEX('Lopettaneet 2013-&gt;'!$K:$K,MATCH($D150,'Lopettaneet 2013-&gt;'!$D:$D,0)),"Continues")</f>
        <v>Continues</v>
      </c>
      <c r="K150" s="30">
        <f ca="1">IF($J150="Continues",DATEDIF($B150,TODAY(),"Y"),INDEX('Lopettaneet 2013-&gt;'!$L:$L,MATCH($D150,'Lopettaneet 2013-&gt;'!$D:$D,0)))</f>
        <v>10</v>
      </c>
      <c r="L150" s="31" t="str">
        <f>IFERROR(INDEX('[1]30.06.2024'!$H:$H,MATCH($E150,'[1]30.06.2024'!$B:$B,0)),"Not found")</f>
        <v>CapMan Classic GP Oy</v>
      </c>
      <c r="M150" s="31" t="str">
        <f>IFERROR(INDEX([2]Sheet1!$B:$B,MATCH($D150,[2]Sheet1!$A:$A,0)),"Not found")</f>
        <v>Non-Retail</v>
      </c>
      <c r="N150">
        <f t="shared" si="4"/>
        <v>0</v>
      </c>
      <c r="O150">
        <f t="shared" si="5"/>
        <v>1</v>
      </c>
    </row>
    <row r="151" spans="1:15" x14ac:dyDescent="0.25">
      <c r="A151" t="s">
        <v>7</v>
      </c>
      <c r="B151" s="1">
        <v>41974</v>
      </c>
      <c r="C151" s="1">
        <v>55153</v>
      </c>
      <c r="D151" s="4" t="s">
        <v>536</v>
      </c>
      <c r="E151" s="32" t="s">
        <v>537</v>
      </c>
      <c r="F151" s="32">
        <v>19039335</v>
      </c>
      <c r="G151" t="s">
        <v>10</v>
      </c>
      <c r="H151" t="s">
        <v>11</v>
      </c>
      <c r="I151" t="s">
        <v>29</v>
      </c>
      <c r="J151" s="30" t="str">
        <f>IF(ISNUMBER(MATCH($D151,'Lopettaneet 2013-&gt;'!$D:$D,0)),INDEX('Lopettaneet 2013-&gt;'!$K:$K,MATCH($D151,'Lopettaneet 2013-&gt;'!$D:$D,0)),"Continues")</f>
        <v>Continues</v>
      </c>
      <c r="K151" s="30">
        <f ca="1">IF($J151="Continues",DATEDIF($B151,TODAY(),"Y"),INDEX('Lopettaneet 2013-&gt;'!$L:$L,MATCH($D151,'Lopettaneet 2013-&gt;'!$D:$D,0)))</f>
        <v>10</v>
      </c>
      <c r="L151" s="31" t="str">
        <f>IFERROR(INDEX('[1]30.06.2024'!$H:$H,MATCH($E151,'[1]30.06.2024'!$B:$B,0)),"Not found")</f>
        <v>CapMan Classic GP Oy</v>
      </c>
      <c r="M151" s="31" t="str">
        <f>IFERROR(INDEX([2]Sheet1!$B:$B,MATCH($D151,[2]Sheet1!$A:$A,0)),"Not found")</f>
        <v>Non-Retail</v>
      </c>
      <c r="N151">
        <f t="shared" si="4"/>
        <v>0</v>
      </c>
      <c r="O151">
        <f t="shared" si="5"/>
        <v>1</v>
      </c>
    </row>
    <row r="152" spans="1:15" x14ac:dyDescent="0.25">
      <c r="A152" t="s">
        <v>0</v>
      </c>
      <c r="B152" s="1">
        <v>41671</v>
      </c>
      <c r="C152" s="1">
        <v>43799</v>
      </c>
      <c r="D152" s="4" t="s">
        <v>538</v>
      </c>
      <c r="E152" s="32" t="s">
        <v>539</v>
      </c>
      <c r="F152" s="32">
        <v>26060183</v>
      </c>
      <c r="G152" t="s">
        <v>10</v>
      </c>
      <c r="H152" t="s">
        <v>4</v>
      </c>
      <c r="I152" t="s">
        <v>20</v>
      </c>
      <c r="J152" s="30" t="str">
        <f>IF(ISNUMBER(MATCH($D152,'Lopettaneet 2013-&gt;'!$D:$D,0)),INDEX('Lopettaneet 2013-&gt;'!$K:$K,MATCH($D152,'Lopettaneet 2013-&gt;'!$D:$D,0)),"Continues")</f>
        <v>Merged</v>
      </c>
      <c r="K152" s="30">
        <f ca="1">IF($J152="Continues",DATEDIF($B152,TODAY(),"Y"),INDEX('Lopettaneet 2013-&gt;'!$L:$L,MATCH($D152,'Lopettaneet 2013-&gt;'!$D:$D,0)))</f>
        <v>5</v>
      </c>
      <c r="L152" s="31" t="str">
        <f>IFERROR(INDEX('[1]30.06.2024'!$H:$H,MATCH($E152,'[1]30.06.2024'!$B:$B,0)),"Not found")</f>
        <v>Not found</v>
      </c>
      <c r="M152" s="31" t="str">
        <f>IFERROR(INDEX([2]Sheet1!$B:$B,MATCH($D152,[2]Sheet1!$A:$A,0)),"Not found")</f>
        <v>Not found</v>
      </c>
      <c r="N152">
        <f t="shared" si="4"/>
        <v>0</v>
      </c>
      <c r="O152">
        <f t="shared" si="5"/>
        <v>0</v>
      </c>
    </row>
    <row r="153" spans="1:15" x14ac:dyDescent="0.25">
      <c r="A153" t="s">
        <v>0</v>
      </c>
      <c r="B153" s="1">
        <v>41730</v>
      </c>
      <c r="C153" s="1">
        <v>55153</v>
      </c>
      <c r="D153" s="4" t="s">
        <v>540</v>
      </c>
      <c r="E153" s="32" t="s">
        <v>541</v>
      </c>
      <c r="F153" s="32">
        <v>26083131</v>
      </c>
      <c r="G153" t="s">
        <v>3</v>
      </c>
      <c r="H153" t="s">
        <v>4</v>
      </c>
      <c r="I153" t="s">
        <v>20</v>
      </c>
      <c r="J153" s="30" t="str">
        <f>IF(ISNUMBER(MATCH($D153,'Lopettaneet 2013-&gt;'!$D:$D,0)),INDEX('Lopettaneet 2013-&gt;'!$K:$K,MATCH($D153,'Lopettaneet 2013-&gt;'!$D:$D,0)),"Continues")</f>
        <v>Continues</v>
      </c>
      <c r="K153" s="30">
        <f ca="1">IF($J153="Continues",DATEDIF($B153,TODAY(),"Y"),INDEX('Lopettaneet 2013-&gt;'!$L:$L,MATCH($D153,'Lopettaneet 2013-&gt;'!$D:$D,0)))</f>
        <v>11</v>
      </c>
      <c r="L153" s="31" t="str">
        <f>IFERROR(INDEX('[1]30.06.2024'!$H:$H,MATCH($E153,'[1]30.06.2024'!$B:$B,0)),"Not found")</f>
        <v>Nordea Funds Oy</v>
      </c>
      <c r="M153" s="31" t="str">
        <f>IFERROR(INDEX([2]Sheet1!$B:$B,MATCH($D153,[2]Sheet1!$A:$A,0)),"Not found")</f>
        <v>Retail</v>
      </c>
      <c r="N153">
        <f t="shared" si="4"/>
        <v>1</v>
      </c>
      <c r="O153">
        <f t="shared" si="5"/>
        <v>0</v>
      </c>
    </row>
    <row r="154" spans="1:15" x14ac:dyDescent="0.25">
      <c r="A154" t="s">
        <v>0</v>
      </c>
      <c r="B154" s="1">
        <v>41821</v>
      </c>
      <c r="C154" s="1">
        <v>55153</v>
      </c>
      <c r="D154" s="4" t="s">
        <v>542</v>
      </c>
      <c r="E154" s="32" t="s">
        <v>543</v>
      </c>
      <c r="F154" s="32">
        <v>26124386</v>
      </c>
      <c r="G154" t="s">
        <v>10</v>
      </c>
      <c r="H154" t="s">
        <v>4</v>
      </c>
      <c r="I154" t="s">
        <v>20</v>
      </c>
      <c r="J154" s="30" t="str">
        <f>IF(ISNUMBER(MATCH($D154,'Lopettaneet 2013-&gt;'!$D:$D,0)),INDEX('Lopettaneet 2013-&gt;'!$K:$K,MATCH($D154,'Lopettaneet 2013-&gt;'!$D:$D,0)),"Continues")</f>
        <v>Continues</v>
      </c>
      <c r="K154" s="30">
        <f ca="1">IF($J154="Continues",DATEDIF($B154,TODAY(),"Y"),INDEX('Lopettaneet 2013-&gt;'!$L:$L,MATCH($D154,'Lopettaneet 2013-&gt;'!$D:$D,0)))</f>
        <v>10</v>
      </c>
      <c r="L154" s="31" t="str">
        <f>IFERROR(INDEX('[1]30.06.2024'!$H:$H,MATCH($E154,'[1]30.06.2024'!$B:$B,0)),"Not found")</f>
        <v>Helsinki Capital Partners Oy</v>
      </c>
      <c r="M154" s="31" t="str">
        <f>IFERROR(INDEX([2]Sheet1!$B:$B,MATCH($D154,[2]Sheet1!$A:$A,0)),"Not found")</f>
        <v>Retail</v>
      </c>
      <c r="N154">
        <f t="shared" si="4"/>
        <v>1</v>
      </c>
      <c r="O154">
        <f t="shared" si="5"/>
        <v>0</v>
      </c>
    </row>
    <row r="155" spans="1:15" x14ac:dyDescent="0.25">
      <c r="A155" t="s">
        <v>0</v>
      </c>
      <c r="B155" s="1">
        <v>41730</v>
      </c>
      <c r="C155" s="1">
        <v>55153</v>
      </c>
      <c r="D155" s="4" t="s">
        <v>544</v>
      </c>
      <c r="E155" s="32" t="s">
        <v>545</v>
      </c>
      <c r="F155" s="32">
        <v>26103702</v>
      </c>
      <c r="G155" t="s">
        <v>3</v>
      </c>
      <c r="H155" t="s">
        <v>4</v>
      </c>
      <c r="I155" t="s">
        <v>50</v>
      </c>
      <c r="J155" s="30" t="str">
        <f>IF(ISNUMBER(MATCH($D155,'Lopettaneet 2013-&gt;'!$D:$D,0)),INDEX('Lopettaneet 2013-&gt;'!$K:$K,MATCH($D155,'Lopettaneet 2013-&gt;'!$D:$D,0)),"Continues")</f>
        <v>Continues</v>
      </c>
      <c r="K155" s="30">
        <f ca="1">IF($J155="Continues",DATEDIF($B155,TODAY(),"Y"),INDEX('Lopettaneet 2013-&gt;'!$L:$L,MATCH($D155,'Lopettaneet 2013-&gt;'!$D:$D,0)))</f>
        <v>11</v>
      </c>
      <c r="L155" s="31" t="str">
        <f>IFERROR(INDEX('[1]30.06.2024'!$H:$H,MATCH($E155,'[1]30.06.2024'!$B:$B,0)),"Not found")</f>
        <v>Nordea Funds Oy</v>
      </c>
      <c r="M155" s="31" t="str">
        <f>IFERROR(INDEX([2]Sheet1!$B:$B,MATCH($D155,[2]Sheet1!$A:$A,0)),"Not found")</f>
        <v>Retail</v>
      </c>
      <c r="N155">
        <f t="shared" si="4"/>
        <v>1</v>
      </c>
      <c r="O155">
        <f t="shared" si="5"/>
        <v>0</v>
      </c>
    </row>
    <row r="156" spans="1:15" x14ac:dyDescent="0.25">
      <c r="A156" t="s">
        <v>0</v>
      </c>
      <c r="B156" s="1">
        <v>41791</v>
      </c>
      <c r="C156" s="1">
        <v>55153</v>
      </c>
      <c r="D156" s="4" t="s">
        <v>546</v>
      </c>
      <c r="E156" s="32" t="s">
        <v>547</v>
      </c>
      <c r="F156" s="32">
        <v>26110988</v>
      </c>
      <c r="G156" t="s">
        <v>10</v>
      </c>
      <c r="H156" t="s">
        <v>4</v>
      </c>
      <c r="I156" t="s">
        <v>32</v>
      </c>
      <c r="J156" s="30" t="str">
        <f>IF(ISNUMBER(MATCH($D156,'Lopettaneet 2013-&gt;'!$D:$D,0)),INDEX('Lopettaneet 2013-&gt;'!$K:$K,MATCH($D156,'Lopettaneet 2013-&gt;'!$D:$D,0)),"Continues")</f>
        <v>Continues</v>
      </c>
      <c r="K156" s="30">
        <f ca="1">IF($J156="Continues",DATEDIF($B156,TODAY(),"Y"),INDEX('Lopettaneet 2013-&gt;'!$L:$L,MATCH($D156,'Lopettaneet 2013-&gt;'!$D:$D,0)))</f>
        <v>10</v>
      </c>
      <c r="L156" s="31" t="str">
        <f>IFERROR(INDEX('[1]30.06.2024'!$H:$H,MATCH($E156,'[1]30.06.2024'!$B:$B,0)),"Not found")</f>
        <v>S-Pankki Rahastoyhtiö Oy</v>
      </c>
      <c r="M156" s="31" t="str">
        <f>IFERROR(INDEX([2]Sheet1!$B:$B,MATCH($D156,[2]Sheet1!$A:$A,0)),"Not found")</f>
        <v>Retail</v>
      </c>
      <c r="N156">
        <f t="shared" si="4"/>
        <v>1</v>
      </c>
      <c r="O156">
        <f t="shared" si="5"/>
        <v>0</v>
      </c>
    </row>
    <row r="157" spans="1:15" x14ac:dyDescent="0.25">
      <c r="A157" t="s">
        <v>0</v>
      </c>
      <c r="B157" s="1">
        <v>41730</v>
      </c>
      <c r="C157" s="1">
        <v>43524</v>
      </c>
      <c r="D157" s="4" t="s">
        <v>548</v>
      </c>
      <c r="E157" s="32" t="s">
        <v>549</v>
      </c>
      <c r="F157" s="32">
        <v>26135261</v>
      </c>
      <c r="G157" t="s">
        <v>10</v>
      </c>
      <c r="H157" t="s">
        <v>4</v>
      </c>
      <c r="I157" t="s">
        <v>5</v>
      </c>
      <c r="J157" s="30" t="str">
        <f>IF(ISNUMBER(MATCH($D157,'Lopettaneet 2013-&gt;'!$D:$D,0)),INDEX('Lopettaneet 2013-&gt;'!$K:$K,MATCH($D157,'Lopettaneet 2013-&gt;'!$D:$D,0)),"Continues")</f>
        <v>Merged</v>
      </c>
      <c r="K157" s="30">
        <f ca="1">IF($J157="Continues",DATEDIF($B157,TODAY(),"Y"),INDEX('Lopettaneet 2013-&gt;'!$L:$L,MATCH($D157,'Lopettaneet 2013-&gt;'!$D:$D,0)))</f>
        <v>4</v>
      </c>
      <c r="L157" s="31" t="str">
        <f>IFERROR(INDEX('[1]30.06.2024'!$H:$H,MATCH($E157,'[1]30.06.2024'!$B:$B,0)),"Not found")</f>
        <v>Not found</v>
      </c>
      <c r="M157" s="31" t="str">
        <f>IFERROR(INDEX([2]Sheet1!$B:$B,MATCH($D157,[2]Sheet1!$A:$A,0)),"Not found")</f>
        <v>Not found</v>
      </c>
      <c r="N157">
        <f t="shared" si="4"/>
        <v>0</v>
      </c>
      <c r="O157">
        <f t="shared" si="5"/>
        <v>0</v>
      </c>
    </row>
    <row r="158" spans="1:15" x14ac:dyDescent="0.25">
      <c r="A158" t="s">
        <v>0</v>
      </c>
      <c r="B158" s="1">
        <v>41944</v>
      </c>
      <c r="C158" s="1">
        <v>55153</v>
      </c>
      <c r="D158" s="4" t="s">
        <v>550</v>
      </c>
      <c r="E158" s="32" t="s">
        <v>551</v>
      </c>
      <c r="F158" s="32">
        <v>26474765</v>
      </c>
      <c r="G158" t="s">
        <v>10</v>
      </c>
      <c r="H158" t="s">
        <v>4</v>
      </c>
      <c r="I158" t="s">
        <v>50</v>
      </c>
      <c r="J158" s="30" t="str">
        <f>IF(ISNUMBER(MATCH($D158,'Lopettaneet 2013-&gt;'!$D:$D,0)),INDEX('Lopettaneet 2013-&gt;'!$K:$K,MATCH($D158,'Lopettaneet 2013-&gt;'!$D:$D,0)),"Continues")</f>
        <v>Continues</v>
      </c>
      <c r="K158" s="30">
        <f ca="1">IF($J158="Continues",DATEDIF($B158,TODAY(),"Y"),INDEX('Lopettaneet 2013-&gt;'!$L:$L,MATCH($D158,'Lopettaneet 2013-&gt;'!$D:$D,0)))</f>
        <v>10</v>
      </c>
      <c r="L158" s="31" t="str">
        <f>IFERROR(INDEX('[1]30.06.2024'!$H:$H,MATCH($E158,'[1]30.06.2024'!$B:$B,0)),"Not found")</f>
        <v>Sp-Rahastoyhtiö Oy</v>
      </c>
      <c r="M158" s="31" t="str">
        <f>IFERROR(INDEX([2]Sheet1!$B:$B,MATCH($D158,[2]Sheet1!$A:$A,0)),"Not found")</f>
        <v>Retail</v>
      </c>
      <c r="N158">
        <f t="shared" si="4"/>
        <v>1</v>
      </c>
      <c r="O158">
        <f t="shared" si="5"/>
        <v>0</v>
      </c>
    </row>
    <row r="159" spans="1:15" x14ac:dyDescent="0.25">
      <c r="A159" t="s">
        <v>0</v>
      </c>
      <c r="B159" s="1">
        <v>41791</v>
      </c>
      <c r="C159" s="1">
        <v>45382</v>
      </c>
      <c r="D159" s="4" t="s">
        <v>235</v>
      </c>
      <c r="E159" s="32" t="s">
        <v>236</v>
      </c>
      <c r="F159" s="32">
        <v>26229209</v>
      </c>
      <c r="G159" t="s">
        <v>10</v>
      </c>
      <c r="H159" t="s">
        <v>4</v>
      </c>
      <c r="I159" t="s">
        <v>20</v>
      </c>
      <c r="J159" s="30" t="str">
        <f>IF(ISNUMBER(MATCH($D159,'Lopettaneet 2013-&gt;'!$D:$D,0)),INDEX('Lopettaneet 2013-&gt;'!$K:$K,MATCH($D159,'Lopettaneet 2013-&gt;'!$D:$D,0)),"Continues")</f>
        <v>Merged</v>
      </c>
      <c r="K159" s="30">
        <f ca="1">IF($J159="Continues",DATEDIF($B159,TODAY(),"Y"),INDEX('Lopettaneet 2013-&gt;'!$L:$L,MATCH($D159,'Lopettaneet 2013-&gt;'!$D:$D,0)))</f>
        <v>9</v>
      </c>
      <c r="L159" s="31" t="str">
        <f>IFERROR(INDEX('[1]30.06.2024'!$H:$H,MATCH($E159,'[1]30.06.2024'!$B:$B,0)),"Not found")</f>
        <v>Not found</v>
      </c>
      <c r="M159" s="31" t="str">
        <f>IFERROR(INDEX([2]Sheet1!$B:$B,MATCH($D159,[2]Sheet1!$A:$A,0)),"Not found")</f>
        <v>Retail</v>
      </c>
      <c r="N159">
        <f t="shared" si="4"/>
        <v>1</v>
      </c>
      <c r="O159">
        <f t="shared" si="5"/>
        <v>0</v>
      </c>
    </row>
    <row r="160" spans="1:15" x14ac:dyDescent="0.25">
      <c r="A160" t="s">
        <v>0</v>
      </c>
      <c r="B160" s="1">
        <v>41730</v>
      </c>
      <c r="C160" s="1">
        <v>55153</v>
      </c>
      <c r="D160" s="4" t="s">
        <v>552</v>
      </c>
      <c r="E160" s="32" t="s">
        <v>553</v>
      </c>
      <c r="F160" s="32">
        <v>26129611</v>
      </c>
      <c r="G160" t="s">
        <v>3</v>
      </c>
      <c r="H160" t="s">
        <v>4</v>
      </c>
      <c r="I160" t="s">
        <v>20</v>
      </c>
      <c r="J160" s="30" t="str">
        <f>IF(ISNUMBER(MATCH($D160,'Lopettaneet 2013-&gt;'!$D:$D,0)),INDEX('Lopettaneet 2013-&gt;'!$K:$K,MATCH($D160,'Lopettaneet 2013-&gt;'!$D:$D,0)),"Continues")</f>
        <v>Continues</v>
      </c>
      <c r="K160" s="30">
        <f ca="1">IF($J160="Continues",DATEDIF($B160,TODAY(),"Y"),INDEX('Lopettaneet 2013-&gt;'!$L:$L,MATCH($D160,'Lopettaneet 2013-&gt;'!$D:$D,0)))</f>
        <v>11</v>
      </c>
      <c r="L160" s="31" t="str">
        <f>IFERROR(INDEX('[1]30.06.2024'!$H:$H,MATCH($E160,'[1]30.06.2024'!$B:$B,0)),"Not found")</f>
        <v>OP-Rahastoyhtiö Oy</v>
      </c>
      <c r="M160" s="31" t="str">
        <f>IFERROR(INDEX([2]Sheet1!$B:$B,MATCH($D160,[2]Sheet1!$A:$A,0)),"Not found")</f>
        <v>Retail</v>
      </c>
      <c r="N160">
        <f t="shared" si="4"/>
        <v>1</v>
      </c>
      <c r="O160">
        <f t="shared" si="5"/>
        <v>0</v>
      </c>
    </row>
    <row r="161" spans="1:15" x14ac:dyDescent="0.25">
      <c r="A161" t="s">
        <v>0</v>
      </c>
      <c r="B161" s="1">
        <v>41883</v>
      </c>
      <c r="C161" s="1">
        <v>43708</v>
      </c>
      <c r="D161" s="4" t="s">
        <v>554</v>
      </c>
      <c r="E161" s="32" t="s">
        <v>555</v>
      </c>
      <c r="F161" s="32">
        <v>26134808</v>
      </c>
      <c r="G161" t="s">
        <v>3</v>
      </c>
      <c r="H161" t="s">
        <v>4</v>
      </c>
      <c r="I161" t="s">
        <v>20</v>
      </c>
      <c r="J161" s="30" t="str">
        <f>IF(ISNUMBER(MATCH($D161,'Lopettaneet 2013-&gt;'!$D:$D,0)),INDEX('Lopettaneet 2013-&gt;'!$K:$K,MATCH($D161,'Lopettaneet 2013-&gt;'!$D:$D,0)),"Continues")</f>
        <v>Merged</v>
      </c>
      <c r="K161" s="30">
        <f ca="1">IF($J161="Continues",DATEDIF($B161,TODAY(),"Y"),INDEX('Lopettaneet 2013-&gt;'!$L:$L,MATCH($D161,'Lopettaneet 2013-&gt;'!$D:$D,0)))</f>
        <v>4</v>
      </c>
      <c r="L161" s="31" t="str">
        <f>IFERROR(INDEX('[1]30.06.2024'!$H:$H,MATCH($E161,'[1]30.06.2024'!$B:$B,0)),"Not found")</f>
        <v>Not found</v>
      </c>
      <c r="M161" s="31" t="str">
        <f>IFERROR(INDEX([2]Sheet1!$B:$B,MATCH($D161,[2]Sheet1!$A:$A,0)),"Not found")</f>
        <v>Not found</v>
      </c>
      <c r="N161">
        <f t="shared" si="4"/>
        <v>0</v>
      </c>
      <c r="O161">
        <f t="shared" si="5"/>
        <v>0</v>
      </c>
    </row>
    <row r="162" spans="1:15" x14ac:dyDescent="0.25">
      <c r="A162" t="s">
        <v>0</v>
      </c>
      <c r="B162" s="1">
        <v>41791</v>
      </c>
      <c r="C162" s="1">
        <v>45291</v>
      </c>
      <c r="D162" s="4" t="s">
        <v>18</v>
      </c>
      <c r="E162" s="32" t="s">
        <v>19</v>
      </c>
      <c r="F162" s="32">
        <v>26186085</v>
      </c>
      <c r="G162" t="s">
        <v>3</v>
      </c>
      <c r="H162" t="s">
        <v>4</v>
      </c>
      <c r="I162" t="s">
        <v>20</v>
      </c>
      <c r="J162" s="30" t="str">
        <f>IF(ISNUMBER(MATCH($D162,'Lopettaneet 2013-&gt;'!$D:$D,0)),INDEX('Lopettaneet 2013-&gt;'!$K:$K,MATCH($D162,'Lopettaneet 2013-&gt;'!$D:$D,0)),"Continues")</f>
        <v>Merged</v>
      </c>
      <c r="K162" s="30">
        <f ca="1">IF($J162="Continues",DATEDIF($B162,TODAY(),"Y"),INDEX('Lopettaneet 2013-&gt;'!$L:$L,MATCH($D162,'Lopettaneet 2013-&gt;'!$D:$D,0)))</f>
        <v>9</v>
      </c>
      <c r="L162" s="31" t="str">
        <f>IFERROR(INDEX('[1]30.06.2024'!$H:$H,MATCH($E162,'[1]30.06.2024'!$B:$B,0)),"Not found")</f>
        <v>Not found</v>
      </c>
      <c r="M162" s="31" t="str">
        <f>IFERROR(INDEX([2]Sheet1!$B:$B,MATCH($D162,[2]Sheet1!$A:$A,0)),"Not found")</f>
        <v>Not found</v>
      </c>
      <c r="N162">
        <f t="shared" si="4"/>
        <v>0</v>
      </c>
      <c r="O162">
        <f t="shared" si="5"/>
        <v>0</v>
      </c>
    </row>
    <row r="163" spans="1:15" x14ac:dyDescent="0.25">
      <c r="A163" t="s">
        <v>0</v>
      </c>
      <c r="B163" s="1">
        <v>41760</v>
      </c>
      <c r="C163" s="1">
        <v>55153</v>
      </c>
      <c r="D163" s="4" t="s">
        <v>556</v>
      </c>
      <c r="E163" s="32" t="s">
        <v>557</v>
      </c>
      <c r="F163" s="32">
        <v>26199134</v>
      </c>
      <c r="G163" t="s">
        <v>3</v>
      </c>
      <c r="H163" t="s">
        <v>4</v>
      </c>
      <c r="I163" t="s">
        <v>20</v>
      </c>
      <c r="J163" s="30" t="str">
        <f>IF(ISNUMBER(MATCH($D163,'Lopettaneet 2013-&gt;'!$D:$D,0)),INDEX('Lopettaneet 2013-&gt;'!$K:$K,MATCH($D163,'Lopettaneet 2013-&gt;'!$D:$D,0)),"Continues")</f>
        <v>Continues</v>
      </c>
      <c r="K163" s="30">
        <f ca="1">IF($J163="Continues",DATEDIF($B163,TODAY(),"Y"),INDEX('Lopettaneet 2013-&gt;'!$L:$L,MATCH($D163,'Lopettaneet 2013-&gt;'!$D:$D,0)))</f>
        <v>11</v>
      </c>
      <c r="L163" s="31" t="str">
        <f>IFERROR(INDEX('[1]30.06.2024'!$H:$H,MATCH($E163,'[1]30.06.2024'!$B:$B,0)),"Not found")</f>
        <v>Evli-Rahastoyhtiö Oy</v>
      </c>
      <c r="M163" s="31" t="str">
        <f>IFERROR(INDEX([2]Sheet1!$B:$B,MATCH($D163,[2]Sheet1!$A:$A,0)),"Not found")</f>
        <v>Retail</v>
      </c>
      <c r="N163">
        <f t="shared" si="4"/>
        <v>1</v>
      </c>
      <c r="O163">
        <f t="shared" si="5"/>
        <v>0</v>
      </c>
    </row>
    <row r="164" spans="1:15" x14ac:dyDescent="0.25">
      <c r="A164" t="s">
        <v>0</v>
      </c>
      <c r="B164" s="1">
        <v>41852</v>
      </c>
      <c r="C164" s="1">
        <v>55153</v>
      </c>
      <c r="D164" s="4" t="s">
        <v>558</v>
      </c>
      <c r="E164" s="32" t="s">
        <v>559</v>
      </c>
      <c r="F164" s="32">
        <v>26254682</v>
      </c>
      <c r="G164" t="s">
        <v>3</v>
      </c>
      <c r="H164" t="s">
        <v>4</v>
      </c>
      <c r="I164" t="s">
        <v>50</v>
      </c>
      <c r="J164" s="30" t="str">
        <f>IF(ISNUMBER(MATCH($D164,'Lopettaneet 2013-&gt;'!$D:$D,0)),INDEX('Lopettaneet 2013-&gt;'!$K:$K,MATCH($D164,'Lopettaneet 2013-&gt;'!$D:$D,0)),"Continues")</f>
        <v>Continues</v>
      </c>
      <c r="K164" s="30">
        <f ca="1">IF($J164="Continues",DATEDIF($B164,TODAY(),"Y"),INDEX('Lopettaneet 2013-&gt;'!$L:$L,MATCH($D164,'Lopettaneet 2013-&gt;'!$D:$D,0)))</f>
        <v>10</v>
      </c>
      <c r="L164" s="31" t="str">
        <f>IFERROR(INDEX('[1]30.06.2024'!$H:$H,MATCH($E164,'[1]30.06.2024'!$B:$B,0)),"Not found")</f>
        <v>Nordea Funds Oy</v>
      </c>
      <c r="M164" s="31" t="str">
        <f>IFERROR(INDEX([2]Sheet1!$B:$B,MATCH($D164,[2]Sheet1!$A:$A,0)),"Not found")</f>
        <v>Retail</v>
      </c>
      <c r="N164">
        <f t="shared" si="4"/>
        <v>1</v>
      </c>
      <c r="O164">
        <f t="shared" si="5"/>
        <v>0</v>
      </c>
    </row>
    <row r="165" spans="1:15" x14ac:dyDescent="0.25">
      <c r="A165" t="s">
        <v>0</v>
      </c>
      <c r="B165" s="1">
        <v>41883</v>
      </c>
      <c r="C165" s="1">
        <v>43799</v>
      </c>
      <c r="D165" s="4" t="s">
        <v>560</v>
      </c>
      <c r="E165" s="32" t="s">
        <v>561</v>
      </c>
      <c r="F165" s="32">
        <v>24076157</v>
      </c>
      <c r="G165" t="s">
        <v>3</v>
      </c>
      <c r="H165" t="s">
        <v>4</v>
      </c>
      <c r="I165" t="s">
        <v>20</v>
      </c>
      <c r="J165" s="30" t="str">
        <f>IF(ISNUMBER(MATCH($D165,'Lopettaneet 2013-&gt;'!$D:$D,0)),INDEX('Lopettaneet 2013-&gt;'!$K:$K,MATCH($D165,'Lopettaneet 2013-&gt;'!$D:$D,0)),"Continues")</f>
        <v>Merged</v>
      </c>
      <c r="K165" s="30">
        <f ca="1">IF($J165="Continues",DATEDIF($B165,TODAY(),"Y"),INDEX('Lopettaneet 2013-&gt;'!$L:$L,MATCH($D165,'Lopettaneet 2013-&gt;'!$D:$D,0)))</f>
        <v>5</v>
      </c>
      <c r="L165" s="31" t="str">
        <f>IFERROR(INDEX('[1]30.06.2024'!$H:$H,MATCH($E165,'[1]30.06.2024'!$B:$B,0)),"Not found")</f>
        <v>Not found</v>
      </c>
      <c r="M165" s="31" t="str">
        <f>IFERROR(INDEX([2]Sheet1!$B:$B,MATCH($D165,[2]Sheet1!$A:$A,0)),"Not found")</f>
        <v>Not found</v>
      </c>
      <c r="N165">
        <f t="shared" si="4"/>
        <v>0</v>
      </c>
      <c r="O165">
        <f t="shared" si="5"/>
        <v>0</v>
      </c>
    </row>
    <row r="166" spans="1:15" x14ac:dyDescent="0.25">
      <c r="A166" t="s">
        <v>0</v>
      </c>
      <c r="B166" s="1">
        <v>41852</v>
      </c>
      <c r="C166" s="1">
        <v>43404</v>
      </c>
      <c r="D166" s="4" t="s">
        <v>562</v>
      </c>
      <c r="E166" s="32" t="s">
        <v>563</v>
      </c>
      <c r="F166" s="32">
        <v>26138155</v>
      </c>
      <c r="G166" t="s">
        <v>10</v>
      </c>
      <c r="H166" t="s">
        <v>4</v>
      </c>
      <c r="I166" t="s">
        <v>47</v>
      </c>
      <c r="J166" s="30" t="str">
        <f>IF(ISNUMBER(MATCH($D166,'Lopettaneet 2013-&gt;'!$D:$D,0)),INDEX('Lopettaneet 2013-&gt;'!$K:$K,MATCH($D166,'Lopettaneet 2013-&gt;'!$D:$D,0)),"Continues")</f>
        <v>Closed</v>
      </c>
      <c r="K166" s="30">
        <f ca="1">IF($J166="Continues",DATEDIF($B166,TODAY(),"Y"),INDEX('Lopettaneet 2013-&gt;'!$L:$L,MATCH($D166,'Lopettaneet 2013-&gt;'!$D:$D,0)))</f>
        <v>4</v>
      </c>
      <c r="L166" s="31" t="str">
        <f>IFERROR(INDEX('[1]30.06.2024'!$H:$H,MATCH($E166,'[1]30.06.2024'!$B:$B,0)),"Not found")</f>
        <v>Not found</v>
      </c>
      <c r="M166" s="31" t="str">
        <f>IFERROR(INDEX([2]Sheet1!$B:$B,MATCH($D166,[2]Sheet1!$A:$A,0)),"Not found")</f>
        <v>Not found</v>
      </c>
      <c r="N166">
        <f t="shared" si="4"/>
        <v>0</v>
      </c>
      <c r="O166">
        <f t="shared" si="5"/>
        <v>0</v>
      </c>
    </row>
    <row r="167" spans="1:15" x14ac:dyDescent="0.25">
      <c r="A167" t="s">
        <v>0</v>
      </c>
      <c r="B167" s="1">
        <v>41883</v>
      </c>
      <c r="C167" s="1">
        <v>55153</v>
      </c>
      <c r="D167" s="4" t="s">
        <v>564</v>
      </c>
      <c r="E167" s="32" t="s">
        <v>565</v>
      </c>
      <c r="F167" s="32">
        <v>26306227</v>
      </c>
      <c r="G167" t="s">
        <v>3</v>
      </c>
      <c r="H167" t="s">
        <v>4</v>
      </c>
      <c r="I167" t="s">
        <v>50</v>
      </c>
      <c r="J167" s="30" t="str">
        <f>IF(ISNUMBER(MATCH($D167,'Lopettaneet 2013-&gt;'!$D:$D,0)),INDEX('Lopettaneet 2013-&gt;'!$K:$K,MATCH($D167,'Lopettaneet 2013-&gt;'!$D:$D,0)),"Continues")</f>
        <v>Continues</v>
      </c>
      <c r="K167" s="30">
        <f ca="1">IF($J167="Continues",DATEDIF($B167,TODAY(),"Y"),INDEX('Lopettaneet 2013-&gt;'!$L:$L,MATCH($D167,'Lopettaneet 2013-&gt;'!$D:$D,0)))</f>
        <v>10</v>
      </c>
      <c r="L167" s="31" t="str">
        <f>IFERROR(INDEX('[1]30.06.2024'!$H:$H,MATCH($E167,'[1]30.06.2024'!$B:$B,0)),"Not found")</f>
        <v>Aktia Rahastoyhtiö Oy</v>
      </c>
      <c r="M167" s="31" t="str">
        <f>IFERROR(INDEX([2]Sheet1!$B:$B,MATCH($D167,[2]Sheet1!$A:$A,0)),"Not found")</f>
        <v>Retail</v>
      </c>
      <c r="N167">
        <f t="shared" si="4"/>
        <v>1</v>
      </c>
      <c r="O167">
        <f t="shared" si="5"/>
        <v>0</v>
      </c>
    </row>
    <row r="168" spans="1:15" x14ac:dyDescent="0.25">
      <c r="A168" t="s">
        <v>7</v>
      </c>
      <c r="B168" s="1">
        <v>41974</v>
      </c>
      <c r="C168" s="1">
        <v>55153</v>
      </c>
      <c r="D168" s="4" t="s">
        <v>566</v>
      </c>
      <c r="E168" s="32" t="s">
        <v>567</v>
      </c>
      <c r="F168" s="32">
        <v>26232133</v>
      </c>
      <c r="G168" t="s">
        <v>10</v>
      </c>
      <c r="H168" t="s">
        <v>11</v>
      </c>
      <c r="I168" t="s">
        <v>29</v>
      </c>
      <c r="J168" s="30" t="str">
        <f>IF(ISNUMBER(MATCH($D168,'Lopettaneet 2013-&gt;'!$D:$D,0)),INDEX('Lopettaneet 2013-&gt;'!$K:$K,MATCH($D168,'Lopettaneet 2013-&gt;'!$D:$D,0)),"Continues")</f>
        <v>Continues</v>
      </c>
      <c r="K168" s="30">
        <f ca="1">IF($J168="Continues",DATEDIF($B168,TODAY(),"Y"),INDEX('Lopettaneet 2013-&gt;'!$L:$L,MATCH($D168,'Lopettaneet 2013-&gt;'!$D:$D,0)))</f>
        <v>10</v>
      </c>
      <c r="L168" s="31" t="str">
        <f>IFERROR(INDEX('[1]30.06.2024'!$H:$H,MATCH($E168,'[1]30.06.2024'!$B:$B,0)),"Not found")</f>
        <v>Armada Credit Partners Oy</v>
      </c>
      <c r="M168" s="31" t="str">
        <f>IFERROR(INDEX([2]Sheet1!$B:$B,MATCH($D168,[2]Sheet1!$A:$A,0)),"Not found")</f>
        <v>Non-Retail</v>
      </c>
      <c r="N168">
        <f t="shared" si="4"/>
        <v>0</v>
      </c>
      <c r="O168">
        <f t="shared" si="5"/>
        <v>1</v>
      </c>
    </row>
    <row r="169" spans="1:15" x14ac:dyDescent="0.25">
      <c r="A169" t="s">
        <v>7</v>
      </c>
      <c r="B169" s="1">
        <v>41974</v>
      </c>
      <c r="C169" s="1">
        <v>43830</v>
      </c>
      <c r="D169" s="4" t="s">
        <v>568</v>
      </c>
      <c r="E169" s="32" t="s">
        <v>569</v>
      </c>
      <c r="F169" s="32">
        <v>25361742</v>
      </c>
      <c r="G169" t="s">
        <v>10</v>
      </c>
      <c r="H169" t="s">
        <v>11</v>
      </c>
      <c r="I169" t="s">
        <v>32</v>
      </c>
      <c r="J169" s="30" t="str">
        <f>IF(ISNUMBER(MATCH($D169,'Lopettaneet 2013-&gt;'!$D:$D,0)),INDEX('Lopettaneet 2013-&gt;'!$K:$K,MATCH($D169,'Lopettaneet 2013-&gt;'!$D:$D,0)),"Continues")</f>
        <v>Closed</v>
      </c>
      <c r="K169" s="30">
        <f ca="1">IF($J169="Continues",DATEDIF($B169,TODAY(),"Y"),INDEX('Lopettaneet 2013-&gt;'!$L:$L,MATCH($D169,'Lopettaneet 2013-&gt;'!$D:$D,0)))</f>
        <v>5</v>
      </c>
      <c r="L169" s="31" t="str">
        <f>IFERROR(INDEX('[1]30.06.2024'!$H:$H,MATCH($E169,'[1]30.06.2024'!$B:$B,0)),"Not found")</f>
        <v>Not found</v>
      </c>
      <c r="M169" s="31" t="str">
        <f>IFERROR(INDEX([2]Sheet1!$B:$B,MATCH($D169,[2]Sheet1!$A:$A,0)),"Not found")</f>
        <v>Not found</v>
      </c>
      <c r="N169">
        <f t="shared" si="4"/>
        <v>0</v>
      </c>
      <c r="O169">
        <f t="shared" si="5"/>
        <v>0</v>
      </c>
    </row>
    <row r="170" spans="1:15" x14ac:dyDescent="0.25">
      <c r="A170" t="s">
        <v>7</v>
      </c>
      <c r="B170" s="1">
        <v>41974</v>
      </c>
      <c r="C170" s="1">
        <v>42521</v>
      </c>
      <c r="D170" s="4" t="s">
        <v>570</v>
      </c>
      <c r="E170" s="32" t="s">
        <v>571</v>
      </c>
      <c r="F170" s="32">
        <v>25934387</v>
      </c>
      <c r="G170" t="s">
        <v>10</v>
      </c>
      <c r="H170" t="s">
        <v>11</v>
      </c>
      <c r="I170" t="s">
        <v>47</v>
      </c>
      <c r="J170" s="30" t="str">
        <f>IF(ISNUMBER(MATCH($D170,'Lopettaneet 2013-&gt;'!$D:$D,0)),INDEX('Lopettaneet 2013-&gt;'!$K:$K,MATCH($D170,'Lopettaneet 2013-&gt;'!$D:$D,0)),"Continues")</f>
        <v>Closed</v>
      </c>
      <c r="K170" s="30">
        <f ca="1">IF($J170="Continues",DATEDIF($B170,TODAY(),"Y"),INDEX('Lopettaneet 2013-&gt;'!$L:$L,MATCH($D170,'Lopettaneet 2013-&gt;'!$D:$D,0)))</f>
        <v>1</v>
      </c>
      <c r="L170" s="31" t="str">
        <f>IFERROR(INDEX('[1]30.06.2024'!$H:$H,MATCH($E170,'[1]30.06.2024'!$B:$B,0)),"Not found")</f>
        <v>Not found</v>
      </c>
      <c r="M170" s="31" t="str">
        <f>IFERROR(INDEX([2]Sheet1!$B:$B,MATCH($D170,[2]Sheet1!$A:$A,0)),"Not found")</f>
        <v>Not found</v>
      </c>
      <c r="N170">
        <f t="shared" si="4"/>
        <v>0</v>
      </c>
      <c r="O170">
        <f t="shared" si="5"/>
        <v>0</v>
      </c>
    </row>
    <row r="171" spans="1:15" x14ac:dyDescent="0.25">
      <c r="A171" t="s">
        <v>7</v>
      </c>
      <c r="B171" s="1">
        <v>41974</v>
      </c>
      <c r="C171" s="1">
        <v>55153</v>
      </c>
      <c r="D171" s="4" t="s">
        <v>572</v>
      </c>
      <c r="E171" s="32" t="s">
        <v>573</v>
      </c>
      <c r="F171" s="32">
        <v>25920161</v>
      </c>
      <c r="G171" t="s">
        <v>10</v>
      </c>
      <c r="H171" t="s">
        <v>11</v>
      </c>
      <c r="I171" t="s">
        <v>80</v>
      </c>
      <c r="J171" s="30" t="str">
        <f>IF(ISNUMBER(MATCH($D171,'Lopettaneet 2013-&gt;'!$D:$D,0)),INDEX('Lopettaneet 2013-&gt;'!$K:$K,MATCH($D171,'Lopettaneet 2013-&gt;'!$D:$D,0)),"Continues")</f>
        <v>Continues</v>
      </c>
      <c r="K171" s="30">
        <f ca="1">IF($J171="Continues",DATEDIF($B171,TODAY(),"Y"),INDEX('Lopettaneet 2013-&gt;'!$L:$L,MATCH($D171,'Lopettaneet 2013-&gt;'!$D:$D,0)))</f>
        <v>10</v>
      </c>
      <c r="L171" s="31" t="str">
        <f>IFERROR(INDEX('[1]30.06.2024'!$H:$H,MATCH($E171,'[1]30.06.2024'!$B:$B,0)),"Not found")</f>
        <v>Tesi Fund Management Oy</v>
      </c>
      <c r="M171" s="31" t="str">
        <f>IFERROR(INDEX([2]Sheet1!$B:$B,MATCH($D171,[2]Sheet1!$A:$A,0)),"Not found")</f>
        <v>Non-Retail</v>
      </c>
      <c r="N171">
        <f t="shared" si="4"/>
        <v>0</v>
      </c>
      <c r="O171">
        <f t="shared" si="5"/>
        <v>1</v>
      </c>
    </row>
    <row r="172" spans="1:15" x14ac:dyDescent="0.25">
      <c r="A172" t="s">
        <v>0</v>
      </c>
      <c r="B172" s="1">
        <v>41883</v>
      </c>
      <c r="C172" s="1">
        <v>43465</v>
      </c>
      <c r="D172" s="4" t="s">
        <v>574</v>
      </c>
      <c r="E172" s="32" t="s">
        <v>575</v>
      </c>
      <c r="F172" s="32">
        <v>26373956</v>
      </c>
      <c r="G172" t="s">
        <v>3</v>
      </c>
      <c r="H172" t="s">
        <v>4</v>
      </c>
      <c r="I172" t="s">
        <v>50</v>
      </c>
      <c r="J172" s="30" t="str">
        <f>IF(ISNUMBER(MATCH($D172,'Lopettaneet 2013-&gt;'!$D:$D,0)),INDEX('Lopettaneet 2013-&gt;'!$K:$K,MATCH($D172,'Lopettaneet 2013-&gt;'!$D:$D,0)),"Continues")</f>
        <v>Merged</v>
      </c>
      <c r="K172" s="30">
        <f ca="1">IF($J172="Continues",DATEDIF($B172,TODAY(),"Y"),INDEX('Lopettaneet 2013-&gt;'!$L:$L,MATCH($D172,'Lopettaneet 2013-&gt;'!$D:$D,0)))</f>
        <v>4</v>
      </c>
      <c r="L172" s="31" t="str">
        <f>IFERROR(INDEX('[1]30.06.2024'!$H:$H,MATCH($E172,'[1]30.06.2024'!$B:$B,0)),"Not found")</f>
        <v>Not found</v>
      </c>
      <c r="M172" s="31" t="str">
        <f>IFERROR(INDEX([2]Sheet1!$B:$B,MATCH($D172,[2]Sheet1!$A:$A,0)),"Not found")</f>
        <v>Not found</v>
      </c>
      <c r="N172">
        <f t="shared" si="4"/>
        <v>0</v>
      </c>
      <c r="O172">
        <f t="shared" si="5"/>
        <v>0</v>
      </c>
    </row>
    <row r="173" spans="1:15" x14ac:dyDescent="0.25">
      <c r="A173" t="s">
        <v>0</v>
      </c>
      <c r="B173" s="1">
        <v>41883</v>
      </c>
      <c r="C173" s="1">
        <v>43465</v>
      </c>
      <c r="D173" s="4" t="s">
        <v>576</v>
      </c>
      <c r="E173" s="32" t="s">
        <v>577</v>
      </c>
      <c r="F173" s="32">
        <v>26370034</v>
      </c>
      <c r="G173" t="s">
        <v>3</v>
      </c>
      <c r="H173" t="s">
        <v>4</v>
      </c>
      <c r="I173" t="s">
        <v>20</v>
      </c>
      <c r="J173" s="30" t="str">
        <f>IF(ISNUMBER(MATCH($D173,'Lopettaneet 2013-&gt;'!$D:$D,0)),INDEX('Lopettaneet 2013-&gt;'!$K:$K,MATCH($D173,'Lopettaneet 2013-&gt;'!$D:$D,0)),"Continues")</f>
        <v>Merged</v>
      </c>
      <c r="K173" s="30">
        <f ca="1">IF($J173="Continues",DATEDIF($B173,TODAY(),"Y"),INDEX('Lopettaneet 2013-&gt;'!$L:$L,MATCH($D173,'Lopettaneet 2013-&gt;'!$D:$D,0)))</f>
        <v>4</v>
      </c>
      <c r="L173" s="31" t="str">
        <f>IFERROR(INDEX('[1]30.06.2024'!$H:$H,MATCH($E173,'[1]30.06.2024'!$B:$B,0)),"Not found")</f>
        <v>Not found</v>
      </c>
      <c r="M173" s="31" t="str">
        <f>IFERROR(INDEX([2]Sheet1!$B:$B,MATCH($D173,[2]Sheet1!$A:$A,0)),"Not found")</f>
        <v>Not found</v>
      </c>
      <c r="N173">
        <f t="shared" si="4"/>
        <v>0</v>
      </c>
      <c r="O173">
        <f t="shared" si="5"/>
        <v>0</v>
      </c>
    </row>
    <row r="174" spans="1:15" x14ac:dyDescent="0.25">
      <c r="A174" t="s">
        <v>0</v>
      </c>
      <c r="B174" s="1">
        <v>41944</v>
      </c>
      <c r="C174" s="1">
        <v>55153</v>
      </c>
      <c r="D174" s="4" t="s">
        <v>578</v>
      </c>
      <c r="E174" s="32" t="s">
        <v>579</v>
      </c>
      <c r="F174" s="32">
        <v>26330905</v>
      </c>
      <c r="G174" t="s">
        <v>10</v>
      </c>
      <c r="H174" t="s">
        <v>4</v>
      </c>
      <c r="I174" t="s">
        <v>5</v>
      </c>
      <c r="J174" s="30" t="str">
        <f>IF(ISNUMBER(MATCH($D174,'Lopettaneet 2013-&gt;'!$D:$D,0)),INDEX('Lopettaneet 2013-&gt;'!$K:$K,MATCH($D174,'Lopettaneet 2013-&gt;'!$D:$D,0)),"Continues")</f>
        <v>Continues</v>
      </c>
      <c r="K174" s="30">
        <f ca="1">IF($J174="Continues",DATEDIF($B174,TODAY(),"Y"),INDEX('Lopettaneet 2013-&gt;'!$L:$L,MATCH($D174,'Lopettaneet 2013-&gt;'!$D:$D,0)))</f>
        <v>10</v>
      </c>
      <c r="L174" s="31" t="str">
        <f>IFERROR(INDEX('[1]30.06.2024'!$H:$H,MATCH($E174,'[1]30.06.2024'!$B:$B,0)),"Not found")</f>
        <v>Nordea Funds Oy</v>
      </c>
      <c r="M174" s="31" t="str">
        <f>IFERROR(INDEX([2]Sheet1!$B:$B,MATCH($D174,[2]Sheet1!$A:$A,0)),"Not found")</f>
        <v>Retail</v>
      </c>
      <c r="N174">
        <f t="shared" si="4"/>
        <v>1</v>
      </c>
      <c r="O174">
        <f t="shared" si="5"/>
        <v>0</v>
      </c>
    </row>
    <row r="175" spans="1:15" x14ac:dyDescent="0.25">
      <c r="A175" t="s">
        <v>0</v>
      </c>
      <c r="B175" s="1">
        <v>42005</v>
      </c>
      <c r="C175" s="1">
        <v>44255</v>
      </c>
      <c r="D175" s="4" t="s">
        <v>580</v>
      </c>
      <c r="E175" s="32" t="s">
        <v>581</v>
      </c>
      <c r="F175" s="32">
        <v>26328864</v>
      </c>
      <c r="G175" t="s">
        <v>3</v>
      </c>
      <c r="H175" t="s">
        <v>4</v>
      </c>
      <c r="I175" t="s">
        <v>20</v>
      </c>
      <c r="J175" s="30" t="str">
        <f>IF(ISNUMBER(MATCH($D175,'Lopettaneet 2013-&gt;'!$D:$D,0)),INDEX('Lopettaneet 2013-&gt;'!$K:$K,MATCH($D175,'Lopettaneet 2013-&gt;'!$D:$D,0)),"Continues")</f>
        <v>Merged</v>
      </c>
      <c r="K175" s="30">
        <f ca="1">IF($J175="Continues",DATEDIF($B175,TODAY(),"Y"),INDEX('Lopettaneet 2013-&gt;'!$L:$L,MATCH($D175,'Lopettaneet 2013-&gt;'!$D:$D,0)))</f>
        <v>6</v>
      </c>
      <c r="L175" s="31" t="str">
        <f>IFERROR(INDEX('[1]30.06.2024'!$H:$H,MATCH($E175,'[1]30.06.2024'!$B:$B,0)),"Not found")</f>
        <v>Not found</v>
      </c>
      <c r="M175" s="31" t="str">
        <f>IFERROR(INDEX([2]Sheet1!$B:$B,MATCH($D175,[2]Sheet1!$A:$A,0)),"Not found")</f>
        <v>Not found</v>
      </c>
      <c r="N175">
        <f t="shared" si="4"/>
        <v>0</v>
      </c>
      <c r="O175">
        <f t="shared" si="5"/>
        <v>0</v>
      </c>
    </row>
    <row r="176" spans="1:15" x14ac:dyDescent="0.25">
      <c r="A176" t="s">
        <v>0</v>
      </c>
      <c r="B176" s="1">
        <v>42036</v>
      </c>
      <c r="C176" s="1">
        <v>55153</v>
      </c>
      <c r="D176" s="4" t="s">
        <v>582</v>
      </c>
      <c r="E176" s="32" t="s">
        <v>583</v>
      </c>
      <c r="F176" s="32">
        <v>26729246</v>
      </c>
      <c r="G176" t="s">
        <v>3</v>
      </c>
      <c r="H176" t="s">
        <v>4</v>
      </c>
      <c r="I176" t="s">
        <v>20</v>
      </c>
      <c r="J176" s="30" t="str">
        <f>IF(ISNUMBER(MATCH($D176,'Lopettaneet 2013-&gt;'!$D:$D,0)),INDEX('Lopettaneet 2013-&gt;'!$K:$K,MATCH($D176,'Lopettaneet 2013-&gt;'!$D:$D,0)),"Continues")</f>
        <v>Continues</v>
      </c>
      <c r="K176" s="30">
        <f ca="1">IF($J176="Continues",DATEDIF($B176,TODAY(),"Y"),INDEX('Lopettaneet 2013-&gt;'!$L:$L,MATCH($D176,'Lopettaneet 2013-&gt;'!$D:$D,0)))</f>
        <v>10</v>
      </c>
      <c r="L176" s="31" t="str">
        <f>IFERROR(INDEX('[1]30.06.2024'!$H:$H,MATCH($E176,'[1]30.06.2024'!$B:$B,0)),"Not found")</f>
        <v>Ålandsbanken Fondbolag Ab</v>
      </c>
      <c r="M176" s="31" t="str">
        <f>IFERROR(INDEX([2]Sheet1!$B:$B,MATCH($D176,[2]Sheet1!$A:$A,0)),"Not found")</f>
        <v>Retail</v>
      </c>
      <c r="N176">
        <f t="shared" si="4"/>
        <v>1</v>
      </c>
      <c r="O176">
        <f t="shared" si="5"/>
        <v>0</v>
      </c>
    </row>
    <row r="177" spans="1:15" x14ac:dyDescent="0.25">
      <c r="A177" t="s">
        <v>0</v>
      </c>
      <c r="B177" s="1">
        <v>41974</v>
      </c>
      <c r="C177" s="1">
        <v>43434</v>
      </c>
      <c r="D177" s="4" t="s">
        <v>584</v>
      </c>
      <c r="E177" s="32" t="s">
        <v>585</v>
      </c>
      <c r="F177" s="32">
        <v>26613534</v>
      </c>
      <c r="G177" t="s">
        <v>3</v>
      </c>
      <c r="H177" t="s">
        <v>4</v>
      </c>
      <c r="I177" t="s">
        <v>20</v>
      </c>
      <c r="J177" s="30" t="str">
        <f>IF(ISNUMBER(MATCH($D177,'Lopettaneet 2013-&gt;'!$D:$D,0)),INDEX('Lopettaneet 2013-&gt;'!$K:$K,MATCH($D177,'Lopettaneet 2013-&gt;'!$D:$D,0)),"Continues")</f>
        <v>Merged</v>
      </c>
      <c r="K177" s="30">
        <f ca="1">IF($J177="Continues",DATEDIF($B177,TODAY(),"Y"),INDEX('Lopettaneet 2013-&gt;'!$L:$L,MATCH($D177,'Lopettaneet 2013-&gt;'!$D:$D,0)))</f>
        <v>3</v>
      </c>
      <c r="L177" s="31" t="str">
        <f>IFERROR(INDEX('[1]30.06.2024'!$H:$H,MATCH($E177,'[1]30.06.2024'!$B:$B,0)),"Not found")</f>
        <v>Not found</v>
      </c>
      <c r="M177" s="31" t="str">
        <f>IFERROR(INDEX([2]Sheet1!$B:$B,MATCH($D177,[2]Sheet1!$A:$A,0)),"Not found")</f>
        <v>Not found</v>
      </c>
      <c r="N177">
        <f t="shared" si="4"/>
        <v>0</v>
      </c>
      <c r="O177">
        <f t="shared" si="5"/>
        <v>0</v>
      </c>
    </row>
    <row r="178" spans="1:15" x14ac:dyDescent="0.25">
      <c r="A178" t="s">
        <v>0</v>
      </c>
      <c r="B178" s="1">
        <v>42064</v>
      </c>
      <c r="C178" s="1">
        <v>43465</v>
      </c>
      <c r="D178" s="4" t="s">
        <v>586</v>
      </c>
      <c r="E178" s="32" t="s">
        <v>587</v>
      </c>
      <c r="F178" s="32">
        <v>26729297</v>
      </c>
      <c r="G178" t="s">
        <v>3</v>
      </c>
      <c r="H178" t="s">
        <v>4</v>
      </c>
      <c r="I178" t="s">
        <v>20</v>
      </c>
      <c r="J178" s="30" t="str">
        <f>IF(ISNUMBER(MATCH($D178,'Lopettaneet 2013-&gt;'!$D:$D,0)),INDEX('Lopettaneet 2013-&gt;'!$K:$K,MATCH($D178,'Lopettaneet 2013-&gt;'!$D:$D,0)),"Continues")</f>
        <v>Merged</v>
      </c>
      <c r="K178" s="30">
        <f ca="1">IF($J178="Continues",DATEDIF($B178,TODAY(),"Y"),INDEX('Lopettaneet 2013-&gt;'!$L:$L,MATCH($D178,'Lopettaneet 2013-&gt;'!$D:$D,0)))</f>
        <v>3</v>
      </c>
      <c r="L178" s="31" t="str">
        <f>IFERROR(INDEX('[1]30.06.2024'!$H:$H,MATCH($E178,'[1]30.06.2024'!$B:$B,0)),"Not found")</f>
        <v>Not found</v>
      </c>
      <c r="M178" s="31" t="str">
        <f>IFERROR(INDEX([2]Sheet1!$B:$B,MATCH($D178,[2]Sheet1!$A:$A,0)),"Not found")</f>
        <v>Not found</v>
      </c>
      <c r="N178">
        <f t="shared" si="4"/>
        <v>0</v>
      </c>
      <c r="O178">
        <f t="shared" si="5"/>
        <v>0</v>
      </c>
    </row>
    <row r="179" spans="1:15" x14ac:dyDescent="0.25">
      <c r="A179" t="s">
        <v>7</v>
      </c>
      <c r="B179" s="1">
        <v>41974</v>
      </c>
      <c r="C179" s="1">
        <v>43190</v>
      </c>
      <c r="D179" s="4" t="s">
        <v>588</v>
      </c>
      <c r="E179" s="32" t="s">
        <v>589</v>
      </c>
      <c r="F179" s="32">
        <v>17392207</v>
      </c>
      <c r="G179" t="s">
        <v>10</v>
      </c>
      <c r="H179" t="s">
        <v>11</v>
      </c>
      <c r="I179" t="s">
        <v>80</v>
      </c>
      <c r="J179" s="30" t="str">
        <f>IF(ISNUMBER(MATCH($D179,'Lopettaneet 2013-&gt;'!$D:$D,0)),INDEX('Lopettaneet 2013-&gt;'!$K:$K,MATCH($D179,'Lopettaneet 2013-&gt;'!$D:$D,0)),"Continues")</f>
        <v>Closed</v>
      </c>
      <c r="K179" s="30">
        <f ca="1">IF($J179="Continues",DATEDIF($B179,TODAY(),"Y"),INDEX('Lopettaneet 2013-&gt;'!$L:$L,MATCH($D179,'Lopettaneet 2013-&gt;'!$D:$D,0)))</f>
        <v>3</v>
      </c>
      <c r="L179" s="31" t="str">
        <f>IFERROR(INDEX('[1]30.06.2024'!$H:$H,MATCH($E179,'[1]30.06.2024'!$B:$B,0)),"Not found")</f>
        <v>Not found</v>
      </c>
      <c r="M179" s="31" t="str">
        <f>IFERROR(INDEX([2]Sheet1!$B:$B,MATCH($D179,[2]Sheet1!$A:$A,0)),"Not found")</f>
        <v>Not found</v>
      </c>
      <c r="N179">
        <f t="shared" si="4"/>
        <v>0</v>
      </c>
      <c r="O179">
        <f t="shared" si="5"/>
        <v>0</v>
      </c>
    </row>
    <row r="180" spans="1:15" x14ac:dyDescent="0.25">
      <c r="A180" t="s">
        <v>7</v>
      </c>
      <c r="B180" s="1">
        <v>41974</v>
      </c>
      <c r="C180" s="1">
        <v>55153</v>
      </c>
      <c r="D180" s="4" t="s">
        <v>590</v>
      </c>
      <c r="E180" s="32" t="s">
        <v>591</v>
      </c>
      <c r="F180" s="32">
        <v>26469448</v>
      </c>
      <c r="G180" t="s">
        <v>10</v>
      </c>
      <c r="H180" t="s">
        <v>11</v>
      </c>
      <c r="I180" t="s">
        <v>12</v>
      </c>
      <c r="J180" s="30" t="str">
        <f>IF(ISNUMBER(MATCH($D180,'Lopettaneet 2013-&gt;'!$D:$D,0)),INDEX('Lopettaneet 2013-&gt;'!$K:$K,MATCH($D180,'Lopettaneet 2013-&gt;'!$D:$D,0)),"Continues")</f>
        <v>Continues</v>
      </c>
      <c r="K180" s="30">
        <f ca="1">IF($J180="Continues",DATEDIF($B180,TODAY(),"Y"),INDEX('Lopettaneet 2013-&gt;'!$L:$L,MATCH($D180,'Lopettaneet 2013-&gt;'!$D:$D,0)))</f>
        <v>10</v>
      </c>
      <c r="L180" s="31" t="str">
        <f>IFERROR(INDEX('[1]30.06.2024'!$H:$H,MATCH($E180,'[1]30.06.2024'!$B:$B,0)),"Not found")</f>
        <v>Sponsor Capital Oy</v>
      </c>
      <c r="M180" s="31" t="str">
        <f>IFERROR(INDEX([2]Sheet1!$B:$B,MATCH($D180,[2]Sheet1!$A:$A,0)),"Not found")</f>
        <v>Non-Retail</v>
      </c>
      <c r="N180">
        <f t="shared" si="4"/>
        <v>0</v>
      </c>
      <c r="O180">
        <f t="shared" si="5"/>
        <v>1</v>
      </c>
    </row>
    <row r="181" spans="1:15" x14ac:dyDescent="0.25">
      <c r="A181" t="s">
        <v>7</v>
      </c>
      <c r="B181" s="1">
        <v>41974</v>
      </c>
      <c r="C181" s="1">
        <v>55153</v>
      </c>
      <c r="D181" s="4" t="s">
        <v>592</v>
      </c>
      <c r="E181" s="32" t="s">
        <v>593</v>
      </c>
      <c r="F181" s="32">
        <v>26351909</v>
      </c>
      <c r="G181" t="s">
        <v>10</v>
      </c>
      <c r="H181" t="s">
        <v>11</v>
      </c>
      <c r="I181" t="s">
        <v>12</v>
      </c>
      <c r="J181" s="30" t="str">
        <f>IF(ISNUMBER(MATCH($D181,'Lopettaneet 2013-&gt;'!$D:$D,0)),INDEX('Lopettaneet 2013-&gt;'!$K:$K,MATCH($D181,'Lopettaneet 2013-&gt;'!$D:$D,0)),"Continues")</f>
        <v>Continues</v>
      </c>
      <c r="K181" s="30">
        <f ca="1">IF($J181="Continues",DATEDIF($B181,TODAY(),"Y"),INDEX('Lopettaneet 2013-&gt;'!$L:$L,MATCH($D181,'Lopettaneet 2013-&gt;'!$D:$D,0)))</f>
        <v>10</v>
      </c>
      <c r="L181" s="31" t="str">
        <f>IFERROR(INDEX('[1]30.06.2024'!$H:$H,MATCH($E181,'[1]30.06.2024'!$B:$B,0)),"Not found")</f>
        <v>eQ Rahastoyhtiö Oy</v>
      </c>
      <c r="M181" s="31" t="str">
        <f>IFERROR(INDEX([2]Sheet1!$B:$B,MATCH($D181,[2]Sheet1!$A:$A,0)),"Not found")</f>
        <v>Retail</v>
      </c>
      <c r="N181">
        <f t="shared" si="4"/>
        <v>1</v>
      </c>
      <c r="O181">
        <f t="shared" si="5"/>
        <v>0</v>
      </c>
    </row>
    <row r="182" spans="1:15" x14ac:dyDescent="0.25">
      <c r="A182" t="s">
        <v>7</v>
      </c>
      <c r="B182" s="1">
        <v>41974</v>
      </c>
      <c r="C182" s="1">
        <v>55153</v>
      </c>
      <c r="D182" s="4" t="s">
        <v>594</v>
      </c>
      <c r="E182" s="32" t="s">
        <v>595</v>
      </c>
      <c r="F182" s="32">
        <v>26351896</v>
      </c>
      <c r="G182" t="s">
        <v>10</v>
      </c>
      <c r="H182" t="s">
        <v>11</v>
      </c>
      <c r="I182" t="s">
        <v>12</v>
      </c>
      <c r="J182" s="30" t="str">
        <f>IF(ISNUMBER(MATCH($D182,'Lopettaneet 2013-&gt;'!$D:$D,0)),INDEX('Lopettaneet 2013-&gt;'!$K:$K,MATCH($D182,'Lopettaneet 2013-&gt;'!$D:$D,0)),"Continues")</f>
        <v>Continues</v>
      </c>
      <c r="K182" s="30">
        <f ca="1">IF($J182="Continues",DATEDIF($B182,TODAY(),"Y"),INDEX('Lopettaneet 2013-&gt;'!$L:$L,MATCH($D182,'Lopettaneet 2013-&gt;'!$D:$D,0)))</f>
        <v>10</v>
      </c>
      <c r="L182" s="31" t="str">
        <f>IFERROR(INDEX('[1]30.06.2024'!$H:$H,MATCH($E182,'[1]30.06.2024'!$B:$B,0)),"Not found")</f>
        <v>eQ Rahastoyhtiö Oy</v>
      </c>
      <c r="M182" s="31" t="str">
        <f>IFERROR(INDEX([2]Sheet1!$B:$B,MATCH($D182,[2]Sheet1!$A:$A,0)),"Not found")</f>
        <v>Non-Retail</v>
      </c>
      <c r="N182">
        <f t="shared" si="4"/>
        <v>0</v>
      </c>
      <c r="O182">
        <f t="shared" si="5"/>
        <v>1</v>
      </c>
    </row>
    <row r="183" spans="1:15" x14ac:dyDescent="0.25">
      <c r="A183" t="s">
        <v>7</v>
      </c>
      <c r="B183" s="1">
        <v>41974</v>
      </c>
      <c r="C183" s="1">
        <v>55153</v>
      </c>
      <c r="D183" s="4" t="s">
        <v>596</v>
      </c>
      <c r="E183" s="32" t="s">
        <v>597</v>
      </c>
      <c r="F183" s="32">
        <v>26466722</v>
      </c>
      <c r="G183" t="s">
        <v>10</v>
      </c>
      <c r="H183" t="s">
        <v>11</v>
      </c>
      <c r="I183" t="s">
        <v>80</v>
      </c>
      <c r="J183" s="30" t="str">
        <f>IF(ISNUMBER(MATCH($D183,'Lopettaneet 2013-&gt;'!$D:$D,0)),INDEX('Lopettaneet 2013-&gt;'!$K:$K,MATCH($D183,'Lopettaneet 2013-&gt;'!$D:$D,0)),"Continues")</f>
        <v>Continues</v>
      </c>
      <c r="K183" s="30">
        <f ca="1">IF($J183="Continues",DATEDIF($B183,TODAY(),"Y"),INDEX('Lopettaneet 2013-&gt;'!$L:$L,MATCH($D183,'Lopettaneet 2013-&gt;'!$D:$D,0)))</f>
        <v>10</v>
      </c>
      <c r="L183" s="31" t="str">
        <f>IFERROR(INDEX('[1]30.06.2024'!$H:$H,MATCH($E183,'[1]30.06.2024'!$B:$B,0)),"Not found")</f>
        <v>Verso Capital Oy</v>
      </c>
      <c r="M183" s="31" t="str">
        <f>IFERROR(INDEX([2]Sheet1!$B:$B,MATCH($D183,[2]Sheet1!$A:$A,0)),"Not found")</f>
        <v>Non-Retail</v>
      </c>
      <c r="N183">
        <f t="shared" si="4"/>
        <v>0</v>
      </c>
      <c r="O183">
        <f t="shared" si="5"/>
        <v>1</v>
      </c>
    </row>
    <row r="184" spans="1:15" x14ac:dyDescent="0.25">
      <c r="A184" t="s">
        <v>0</v>
      </c>
      <c r="B184" s="1">
        <v>41883</v>
      </c>
      <c r="C184" s="1">
        <v>44439</v>
      </c>
      <c r="D184" s="4" t="s">
        <v>598</v>
      </c>
      <c r="E184" s="32" t="s">
        <v>599</v>
      </c>
      <c r="F184" s="32">
        <v>26313582</v>
      </c>
      <c r="G184" t="s">
        <v>10</v>
      </c>
      <c r="H184" t="s">
        <v>4</v>
      </c>
      <c r="I184" t="s">
        <v>5</v>
      </c>
      <c r="J184" s="30" t="str">
        <f>IF(ISNUMBER(MATCH($D184,'Lopettaneet 2013-&gt;'!$D:$D,0)),INDEX('Lopettaneet 2013-&gt;'!$K:$K,MATCH($D184,'Lopettaneet 2013-&gt;'!$D:$D,0)),"Continues")</f>
        <v>Merged</v>
      </c>
      <c r="K184" s="30">
        <f ca="1">IF($J184="Continues",DATEDIF($B184,TODAY(),"Y"),INDEX('Lopettaneet 2013-&gt;'!$L:$L,MATCH($D184,'Lopettaneet 2013-&gt;'!$D:$D,0)))</f>
        <v>6</v>
      </c>
      <c r="L184" s="31" t="str">
        <f>IFERROR(INDEX('[1]30.06.2024'!$H:$H,MATCH($E184,'[1]30.06.2024'!$B:$B,0)),"Not found")</f>
        <v>Not found</v>
      </c>
      <c r="M184" s="31" t="str">
        <f>IFERROR(INDEX([2]Sheet1!$B:$B,MATCH($D184,[2]Sheet1!$A:$A,0)),"Not found")</f>
        <v>Not found</v>
      </c>
      <c r="N184">
        <f t="shared" si="4"/>
        <v>0</v>
      </c>
      <c r="O184">
        <f t="shared" si="5"/>
        <v>0</v>
      </c>
    </row>
    <row r="185" spans="1:15" x14ac:dyDescent="0.25">
      <c r="A185" t="s">
        <v>0</v>
      </c>
      <c r="B185" s="1">
        <v>41913</v>
      </c>
      <c r="C185" s="1">
        <v>55153</v>
      </c>
      <c r="D185" s="4" t="s">
        <v>600</v>
      </c>
      <c r="E185" s="32" t="s">
        <v>601</v>
      </c>
      <c r="F185" s="32">
        <v>26487224</v>
      </c>
      <c r="G185" t="s">
        <v>3</v>
      </c>
      <c r="H185" t="s">
        <v>4</v>
      </c>
      <c r="I185" t="s">
        <v>20</v>
      </c>
      <c r="J185" s="30" t="str">
        <f>IF(ISNUMBER(MATCH($D185,'Lopettaneet 2013-&gt;'!$D:$D,0)),INDEX('Lopettaneet 2013-&gt;'!$K:$K,MATCH($D185,'Lopettaneet 2013-&gt;'!$D:$D,0)),"Continues")</f>
        <v>Continues</v>
      </c>
      <c r="K185" s="30">
        <f ca="1">IF($J185="Continues",DATEDIF($B185,TODAY(),"Y"),INDEX('Lopettaneet 2013-&gt;'!$L:$L,MATCH($D185,'Lopettaneet 2013-&gt;'!$D:$D,0)))</f>
        <v>10</v>
      </c>
      <c r="L185" s="31" t="str">
        <f>IFERROR(INDEX('[1]30.06.2024'!$H:$H,MATCH($E185,'[1]30.06.2024'!$B:$B,0)),"Not found")</f>
        <v>Not found</v>
      </c>
      <c r="M185" s="31" t="str">
        <f>IFERROR(INDEX([2]Sheet1!$B:$B,MATCH($D185,[2]Sheet1!$A:$A,0)),"Not found")</f>
        <v>Retail</v>
      </c>
      <c r="N185">
        <f t="shared" si="4"/>
        <v>1</v>
      </c>
      <c r="O185">
        <f t="shared" si="5"/>
        <v>0</v>
      </c>
    </row>
    <row r="186" spans="1:15" x14ac:dyDescent="0.25">
      <c r="A186" t="s">
        <v>7</v>
      </c>
      <c r="B186" s="1">
        <v>41974</v>
      </c>
      <c r="C186" s="1">
        <v>55153</v>
      </c>
      <c r="D186" s="4" t="s">
        <v>602</v>
      </c>
      <c r="E186" s="32" t="s">
        <v>603</v>
      </c>
      <c r="F186" s="32">
        <v>26192506</v>
      </c>
      <c r="G186" t="s">
        <v>10</v>
      </c>
      <c r="H186" t="s">
        <v>11</v>
      </c>
      <c r="I186" t="s">
        <v>29</v>
      </c>
      <c r="J186" s="30" t="str">
        <f>IF(ISNUMBER(MATCH($D186,'Lopettaneet 2013-&gt;'!$D:$D,0)),INDEX('Lopettaneet 2013-&gt;'!$K:$K,MATCH($D186,'Lopettaneet 2013-&gt;'!$D:$D,0)),"Continues")</f>
        <v>Continues</v>
      </c>
      <c r="K186" s="30">
        <f ca="1">IF($J186="Continues",DATEDIF($B186,TODAY(),"Y"),INDEX('Lopettaneet 2013-&gt;'!$L:$L,MATCH($D186,'Lopettaneet 2013-&gt;'!$D:$D,0)))</f>
        <v>10</v>
      </c>
      <c r="L186" s="31" t="str">
        <f>IFERROR(INDEX('[1]30.06.2024'!$H:$H,MATCH($E186,'[1]30.06.2024'!$B:$B,0)),"Not found")</f>
        <v>Taaleri Pääomarahastot Oy</v>
      </c>
      <c r="M186" s="31" t="str">
        <f>IFERROR(INDEX([2]Sheet1!$B:$B,MATCH($D186,[2]Sheet1!$A:$A,0)),"Not found")</f>
        <v>Non-Retail</v>
      </c>
      <c r="N186">
        <f t="shared" si="4"/>
        <v>0</v>
      </c>
      <c r="O186">
        <f t="shared" si="5"/>
        <v>1</v>
      </c>
    </row>
    <row r="187" spans="1:15" x14ac:dyDescent="0.25">
      <c r="A187" t="s">
        <v>0</v>
      </c>
      <c r="B187" s="1">
        <v>41944</v>
      </c>
      <c r="C187" s="1">
        <v>44530</v>
      </c>
      <c r="D187" s="4" t="s">
        <v>604</v>
      </c>
      <c r="E187" s="32" t="s">
        <v>605</v>
      </c>
      <c r="F187" s="32">
        <v>26515395</v>
      </c>
      <c r="G187" t="s">
        <v>3</v>
      </c>
      <c r="H187" t="s">
        <v>4</v>
      </c>
      <c r="I187" t="s">
        <v>20</v>
      </c>
      <c r="J187" s="30" t="str">
        <f>IF(ISNUMBER(MATCH($D187,'Lopettaneet 2013-&gt;'!$D:$D,0)),INDEX('Lopettaneet 2013-&gt;'!$K:$K,MATCH($D187,'Lopettaneet 2013-&gt;'!$D:$D,0)),"Continues")</f>
        <v>Merged</v>
      </c>
      <c r="K187" s="30">
        <f ca="1">IF($J187="Continues",DATEDIF($B187,TODAY(),"Y"),INDEX('Lopettaneet 2013-&gt;'!$L:$L,MATCH($D187,'Lopettaneet 2013-&gt;'!$D:$D,0)))</f>
        <v>7</v>
      </c>
      <c r="L187" s="31" t="str">
        <f>IFERROR(INDEX('[1]30.06.2024'!$H:$H,MATCH($E187,'[1]30.06.2024'!$B:$B,0)),"Not found")</f>
        <v>Not found</v>
      </c>
      <c r="M187" s="31" t="str">
        <f>IFERROR(INDEX([2]Sheet1!$B:$B,MATCH($D187,[2]Sheet1!$A:$A,0)),"Not found")</f>
        <v>Not found</v>
      </c>
      <c r="N187">
        <f t="shared" si="4"/>
        <v>0</v>
      </c>
      <c r="O187">
        <f t="shared" si="5"/>
        <v>0</v>
      </c>
    </row>
    <row r="188" spans="1:15" x14ac:dyDescent="0.25">
      <c r="A188" t="s">
        <v>7</v>
      </c>
      <c r="B188" s="1">
        <v>41974</v>
      </c>
      <c r="C188" s="1">
        <v>55153</v>
      </c>
      <c r="D188" s="4" t="s">
        <v>606</v>
      </c>
      <c r="E188" s="32" t="s">
        <v>607</v>
      </c>
      <c r="F188" s="32">
        <v>25729172</v>
      </c>
      <c r="G188" t="s">
        <v>10</v>
      </c>
      <c r="H188" t="s">
        <v>11</v>
      </c>
      <c r="I188" t="s">
        <v>12</v>
      </c>
      <c r="J188" s="30" t="str">
        <f>IF(ISNUMBER(MATCH($D188,'Lopettaneet 2013-&gt;'!$D:$D,0)),INDEX('Lopettaneet 2013-&gt;'!$K:$K,MATCH($D188,'Lopettaneet 2013-&gt;'!$D:$D,0)),"Continues")</f>
        <v>Continues</v>
      </c>
      <c r="K188" s="30">
        <f ca="1">IF($J188="Continues",DATEDIF($B188,TODAY(),"Y"),INDEX('Lopettaneet 2013-&gt;'!$L:$L,MATCH($D188,'Lopettaneet 2013-&gt;'!$D:$D,0)))</f>
        <v>10</v>
      </c>
      <c r="L188" s="31" t="str">
        <f>IFERROR(INDEX('[1]30.06.2024'!$H:$H,MATCH($E188,'[1]30.06.2024'!$B:$B,0)),"Not found")</f>
        <v>eQ Rahastoyhtiö Oy</v>
      </c>
      <c r="M188" s="31" t="str">
        <f>IFERROR(INDEX([2]Sheet1!$B:$B,MATCH($D188,[2]Sheet1!$A:$A,0)),"Not found")</f>
        <v>Non-Retail</v>
      </c>
      <c r="N188">
        <f t="shared" si="4"/>
        <v>0</v>
      </c>
      <c r="O188">
        <f t="shared" si="5"/>
        <v>1</v>
      </c>
    </row>
    <row r="189" spans="1:15" x14ac:dyDescent="0.25">
      <c r="A189" t="s">
        <v>7</v>
      </c>
      <c r="B189" s="1">
        <v>41974</v>
      </c>
      <c r="C189" s="1">
        <v>45016</v>
      </c>
      <c r="D189" s="4" t="s">
        <v>21</v>
      </c>
      <c r="E189" s="32" t="s">
        <v>22</v>
      </c>
      <c r="F189" s="32">
        <v>25729201</v>
      </c>
      <c r="G189" t="s">
        <v>10</v>
      </c>
      <c r="H189" t="s">
        <v>11</v>
      </c>
      <c r="I189" t="s">
        <v>12</v>
      </c>
      <c r="J189" s="30" t="str">
        <f>IF(ISNUMBER(MATCH($D189,'Lopettaneet 2013-&gt;'!$D:$D,0)),INDEX('Lopettaneet 2013-&gt;'!$K:$K,MATCH($D189,'Lopettaneet 2013-&gt;'!$D:$D,0)),"Continues")</f>
        <v>Closed</v>
      </c>
      <c r="K189" s="30">
        <f ca="1">IF($J189="Continues",DATEDIF($B189,TODAY(),"Y"),INDEX('Lopettaneet 2013-&gt;'!$L:$L,MATCH($D189,'Lopettaneet 2013-&gt;'!$D:$D,0)))</f>
        <v>8</v>
      </c>
      <c r="L189" s="31" t="str">
        <f>IFERROR(INDEX('[1]30.06.2024'!$H:$H,MATCH($E189,'[1]30.06.2024'!$B:$B,0)),"Not found")</f>
        <v>Not found</v>
      </c>
      <c r="M189" s="31" t="str">
        <f>IFERROR(INDEX([2]Sheet1!$B:$B,MATCH($D189,[2]Sheet1!$A:$A,0)),"Not found")</f>
        <v>Not found</v>
      </c>
      <c r="N189">
        <f t="shared" si="4"/>
        <v>0</v>
      </c>
      <c r="O189">
        <f t="shared" si="5"/>
        <v>0</v>
      </c>
    </row>
    <row r="190" spans="1:15" x14ac:dyDescent="0.25">
      <c r="A190" t="s">
        <v>7</v>
      </c>
      <c r="B190" s="1">
        <v>41974</v>
      </c>
      <c r="C190" s="1">
        <v>45016</v>
      </c>
      <c r="D190" s="4" t="s">
        <v>23</v>
      </c>
      <c r="E190" s="32" t="s">
        <v>24</v>
      </c>
      <c r="F190" s="32">
        <v>26075588</v>
      </c>
      <c r="G190" t="s">
        <v>10</v>
      </c>
      <c r="H190" t="s">
        <v>11</v>
      </c>
      <c r="I190" t="s">
        <v>12</v>
      </c>
      <c r="J190" s="30" t="str">
        <f>IF(ISNUMBER(MATCH($D190,'Lopettaneet 2013-&gt;'!$D:$D,0)),INDEX('Lopettaneet 2013-&gt;'!$K:$K,MATCH($D190,'Lopettaneet 2013-&gt;'!$D:$D,0)),"Continues")</f>
        <v>Closed</v>
      </c>
      <c r="K190" s="30">
        <f ca="1">IF($J190="Continues",DATEDIF($B190,TODAY(),"Y"),INDEX('Lopettaneet 2013-&gt;'!$L:$L,MATCH($D190,'Lopettaneet 2013-&gt;'!$D:$D,0)))</f>
        <v>8</v>
      </c>
      <c r="L190" s="31" t="str">
        <f>IFERROR(INDEX('[1]30.06.2024'!$H:$H,MATCH($E190,'[1]30.06.2024'!$B:$B,0)),"Not found")</f>
        <v>Not found</v>
      </c>
      <c r="M190" s="31" t="str">
        <f>IFERROR(INDEX([2]Sheet1!$B:$B,MATCH($D190,[2]Sheet1!$A:$A,0)),"Not found")</f>
        <v>Not found</v>
      </c>
      <c r="N190">
        <f t="shared" si="4"/>
        <v>0</v>
      </c>
      <c r="O190">
        <f t="shared" si="5"/>
        <v>0</v>
      </c>
    </row>
    <row r="191" spans="1:15" x14ac:dyDescent="0.25">
      <c r="A191" t="s">
        <v>7</v>
      </c>
      <c r="B191" s="1">
        <v>41974</v>
      </c>
      <c r="C191" s="1">
        <v>45016</v>
      </c>
      <c r="D191" s="4" t="s">
        <v>25</v>
      </c>
      <c r="E191" s="32" t="s">
        <v>26</v>
      </c>
      <c r="F191" s="32">
        <v>26311712</v>
      </c>
      <c r="G191" t="s">
        <v>10</v>
      </c>
      <c r="H191" t="s">
        <v>11</v>
      </c>
      <c r="I191" t="s">
        <v>12</v>
      </c>
      <c r="J191" s="30" t="str">
        <f>IF(ISNUMBER(MATCH($D191,'Lopettaneet 2013-&gt;'!$D:$D,0)),INDEX('Lopettaneet 2013-&gt;'!$K:$K,MATCH($D191,'Lopettaneet 2013-&gt;'!$D:$D,0)),"Continues")</f>
        <v>Closed</v>
      </c>
      <c r="K191" s="30">
        <f ca="1">IF($J191="Continues",DATEDIF($B191,TODAY(),"Y"),INDEX('Lopettaneet 2013-&gt;'!$L:$L,MATCH($D191,'Lopettaneet 2013-&gt;'!$D:$D,0)))</f>
        <v>8</v>
      </c>
      <c r="L191" s="31" t="str">
        <f>IFERROR(INDEX('[1]30.06.2024'!$H:$H,MATCH($E191,'[1]30.06.2024'!$B:$B,0)),"Not found")</f>
        <v>Not found</v>
      </c>
      <c r="M191" s="31" t="str">
        <f>IFERROR(INDEX([2]Sheet1!$B:$B,MATCH($D191,[2]Sheet1!$A:$A,0)),"Not found")</f>
        <v>Not found</v>
      </c>
      <c r="N191">
        <f t="shared" si="4"/>
        <v>0</v>
      </c>
      <c r="O191">
        <f t="shared" si="5"/>
        <v>0</v>
      </c>
    </row>
    <row r="192" spans="1:15" x14ac:dyDescent="0.25">
      <c r="A192" t="s">
        <v>7</v>
      </c>
      <c r="B192" s="1">
        <v>41974</v>
      </c>
      <c r="C192" s="1">
        <v>55153</v>
      </c>
      <c r="D192" s="4" t="s">
        <v>608</v>
      </c>
      <c r="E192" s="32" t="s">
        <v>609</v>
      </c>
      <c r="F192" s="32">
        <v>25578036</v>
      </c>
      <c r="G192" t="s">
        <v>10</v>
      </c>
      <c r="H192" t="s">
        <v>11</v>
      </c>
      <c r="I192" t="s">
        <v>12</v>
      </c>
      <c r="J192" s="30" t="str">
        <f>IF(ISNUMBER(MATCH($D192,'Lopettaneet 2013-&gt;'!$D:$D,0)),INDEX('Lopettaneet 2013-&gt;'!$K:$K,MATCH($D192,'Lopettaneet 2013-&gt;'!$D:$D,0)),"Continues")</f>
        <v>Continues</v>
      </c>
      <c r="K192" s="30">
        <f ca="1">IF($J192="Continues",DATEDIF($B192,TODAY(),"Y"),INDEX('Lopettaneet 2013-&gt;'!$L:$L,MATCH($D192,'Lopettaneet 2013-&gt;'!$D:$D,0)))</f>
        <v>10</v>
      </c>
      <c r="L192" s="31" t="str">
        <f>IFERROR(INDEX('[1]30.06.2024'!$H:$H,MATCH($E192,'[1]30.06.2024'!$B:$B,0)),"Not found")</f>
        <v>eQ Rahastoyhtiö Oy</v>
      </c>
      <c r="M192" s="31" t="str">
        <f>IFERROR(INDEX([2]Sheet1!$B:$B,MATCH($D192,[2]Sheet1!$A:$A,0)),"Not found")</f>
        <v>Non-Retail</v>
      </c>
      <c r="N192">
        <f t="shared" si="4"/>
        <v>0</v>
      </c>
      <c r="O192">
        <f t="shared" si="5"/>
        <v>1</v>
      </c>
    </row>
    <row r="193" spans="1:15" x14ac:dyDescent="0.25">
      <c r="A193" t="s">
        <v>0</v>
      </c>
      <c r="B193" s="1">
        <v>41974</v>
      </c>
      <c r="C193" s="1">
        <v>55153</v>
      </c>
      <c r="D193" s="4" t="s">
        <v>610</v>
      </c>
      <c r="E193" s="32" t="s">
        <v>611</v>
      </c>
      <c r="F193" s="32">
        <v>26543089</v>
      </c>
      <c r="G193" t="s">
        <v>3</v>
      </c>
      <c r="H193" t="s">
        <v>4</v>
      </c>
      <c r="I193" t="s">
        <v>32</v>
      </c>
      <c r="J193" s="30" t="str">
        <f>IF(ISNUMBER(MATCH($D193,'Lopettaneet 2013-&gt;'!$D:$D,0)),INDEX('Lopettaneet 2013-&gt;'!$K:$K,MATCH($D193,'Lopettaneet 2013-&gt;'!$D:$D,0)),"Continues")</f>
        <v>Continues</v>
      </c>
      <c r="K193" s="30">
        <f ca="1">IF($J193="Continues",DATEDIF($B193,TODAY(),"Y"),INDEX('Lopettaneet 2013-&gt;'!$L:$L,MATCH($D193,'Lopettaneet 2013-&gt;'!$D:$D,0)))</f>
        <v>10</v>
      </c>
      <c r="L193" s="31" t="str">
        <f>IFERROR(INDEX('[1]30.06.2024'!$H:$H,MATCH($E193,'[1]30.06.2024'!$B:$B,0)),"Not found")</f>
        <v>UB Rahastoyhtiö Oy</v>
      </c>
      <c r="M193" s="31" t="str">
        <f>IFERROR(INDEX([2]Sheet1!$B:$B,MATCH($D193,[2]Sheet1!$A:$A,0)),"Not found")</f>
        <v>Retail</v>
      </c>
      <c r="N193">
        <f t="shared" si="4"/>
        <v>1</v>
      </c>
      <c r="O193">
        <f t="shared" si="5"/>
        <v>0</v>
      </c>
    </row>
    <row r="194" spans="1:15" x14ac:dyDescent="0.25">
      <c r="A194" t="s">
        <v>0</v>
      </c>
      <c r="B194" s="1">
        <v>41974</v>
      </c>
      <c r="C194" s="1">
        <v>55153</v>
      </c>
      <c r="D194" s="4" t="s">
        <v>612</v>
      </c>
      <c r="E194" s="32" t="s">
        <v>613</v>
      </c>
      <c r="F194" s="32">
        <v>26551927</v>
      </c>
      <c r="G194" t="s">
        <v>3</v>
      </c>
      <c r="H194" t="s">
        <v>4</v>
      </c>
      <c r="I194" t="s">
        <v>20</v>
      </c>
      <c r="J194" s="30" t="str">
        <f>IF(ISNUMBER(MATCH($D194,'Lopettaneet 2013-&gt;'!$D:$D,0)),INDEX('Lopettaneet 2013-&gt;'!$K:$K,MATCH($D194,'Lopettaneet 2013-&gt;'!$D:$D,0)),"Continues")</f>
        <v>Continues</v>
      </c>
      <c r="K194" s="30">
        <f ca="1">IF($J194="Continues",DATEDIF($B194,TODAY(),"Y"),INDEX('Lopettaneet 2013-&gt;'!$L:$L,MATCH($D194,'Lopettaneet 2013-&gt;'!$D:$D,0)))</f>
        <v>10</v>
      </c>
      <c r="L194" s="31" t="str">
        <f>IFERROR(INDEX('[1]30.06.2024'!$H:$H,MATCH($E194,'[1]30.06.2024'!$B:$B,0)),"Not found")</f>
        <v>Not found</v>
      </c>
      <c r="M194" s="31" t="str">
        <f>IFERROR(INDEX([2]Sheet1!$B:$B,MATCH($D194,[2]Sheet1!$A:$A,0)),"Not found")</f>
        <v>Retail</v>
      </c>
      <c r="N194">
        <f t="shared" si="4"/>
        <v>1</v>
      </c>
      <c r="O194">
        <f t="shared" si="5"/>
        <v>0</v>
      </c>
    </row>
    <row r="195" spans="1:15" x14ac:dyDescent="0.25">
      <c r="A195" t="s">
        <v>0</v>
      </c>
      <c r="B195" s="1">
        <v>41944</v>
      </c>
      <c r="C195" s="1">
        <v>43039</v>
      </c>
      <c r="D195" s="4" t="s">
        <v>614</v>
      </c>
      <c r="E195" s="32" t="s">
        <v>615</v>
      </c>
      <c r="F195" s="32">
        <v>26499073</v>
      </c>
      <c r="G195" t="s">
        <v>10</v>
      </c>
      <c r="H195" t="s">
        <v>4</v>
      </c>
      <c r="I195" t="s">
        <v>29</v>
      </c>
      <c r="J195" s="30" t="str">
        <f>IF(ISNUMBER(MATCH($D195,'Lopettaneet 2013-&gt;'!$D:$D,0)),INDEX('Lopettaneet 2013-&gt;'!$K:$K,MATCH($D195,'Lopettaneet 2013-&gt;'!$D:$D,0)),"Continues")</f>
        <v>Closed</v>
      </c>
      <c r="K195" s="30">
        <f ca="1">IF($J195="Continues",DATEDIF($B195,TODAY(),"Y"),INDEX('Lopettaneet 2013-&gt;'!$L:$L,MATCH($D195,'Lopettaneet 2013-&gt;'!$D:$D,0)))</f>
        <v>2</v>
      </c>
      <c r="L195" s="31" t="str">
        <f>IFERROR(INDEX('[1]30.06.2024'!$H:$H,MATCH($E195,'[1]30.06.2024'!$B:$B,0)),"Not found")</f>
        <v>Not found</v>
      </c>
      <c r="M195" s="31" t="str">
        <f>IFERROR(INDEX([2]Sheet1!$B:$B,MATCH($D195,[2]Sheet1!$A:$A,0)),"Not found")</f>
        <v>Not found</v>
      </c>
      <c r="N195">
        <f t="shared" ref="N195:N258" si="6">IF($M195="Retail",1,0)</f>
        <v>0</v>
      </c>
      <c r="O195">
        <f t="shared" ref="O195:O258" si="7">IF($M195="Non-Retail",1,0)</f>
        <v>0</v>
      </c>
    </row>
    <row r="196" spans="1:15" x14ac:dyDescent="0.25">
      <c r="A196" t="s">
        <v>0</v>
      </c>
      <c r="B196" s="1">
        <v>42095</v>
      </c>
      <c r="C196" s="1">
        <v>55153</v>
      </c>
      <c r="D196" s="4" t="s">
        <v>616</v>
      </c>
      <c r="E196" s="32" t="s">
        <v>617</v>
      </c>
      <c r="F196" s="32">
        <v>26388744</v>
      </c>
      <c r="G196" t="s">
        <v>10</v>
      </c>
      <c r="H196" t="s">
        <v>4</v>
      </c>
      <c r="I196" t="s">
        <v>29</v>
      </c>
      <c r="J196" s="30" t="str">
        <f>IF(ISNUMBER(MATCH($D196,'Lopettaneet 2013-&gt;'!$D:$D,0)),INDEX('Lopettaneet 2013-&gt;'!$K:$K,MATCH($D196,'Lopettaneet 2013-&gt;'!$D:$D,0)),"Continues")</f>
        <v>Continues</v>
      </c>
      <c r="K196" s="30">
        <f ca="1">IF($J196="Continues",DATEDIF($B196,TODAY(),"Y"),INDEX('Lopettaneet 2013-&gt;'!$L:$L,MATCH($D196,'Lopettaneet 2013-&gt;'!$D:$D,0)))</f>
        <v>10</v>
      </c>
      <c r="L196" s="31" t="str">
        <f>IFERROR(INDEX('[1]30.06.2024'!$H:$H,MATCH($E196,'[1]30.06.2024'!$B:$B,0)),"Not found")</f>
        <v>OP-Rahastoyhtiö Oy</v>
      </c>
      <c r="M196" s="31" t="str">
        <f>IFERROR(INDEX([2]Sheet1!$B:$B,MATCH($D196,[2]Sheet1!$A:$A,0)),"Not found")</f>
        <v>Retail</v>
      </c>
      <c r="N196">
        <f t="shared" si="6"/>
        <v>1</v>
      </c>
      <c r="O196">
        <f t="shared" si="7"/>
        <v>0</v>
      </c>
    </row>
    <row r="197" spans="1:15" x14ac:dyDescent="0.25">
      <c r="A197" t="s">
        <v>7</v>
      </c>
      <c r="B197" s="1">
        <v>41974</v>
      </c>
      <c r="C197" s="1">
        <v>55153</v>
      </c>
      <c r="D197" s="4" t="s">
        <v>618</v>
      </c>
      <c r="E197" s="32" t="s">
        <v>619</v>
      </c>
      <c r="F197" s="32">
        <v>24673904</v>
      </c>
      <c r="G197" t="s">
        <v>10</v>
      </c>
      <c r="H197" t="s">
        <v>11</v>
      </c>
      <c r="I197" t="s">
        <v>32</v>
      </c>
      <c r="J197" s="30" t="str">
        <f>IF(ISNUMBER(MATCH($D197,'Lopettaneet 2013-&gt;'!$D:$D,0)),INDEX('Lopettaneet 2013-&gt;'!$K:$K,MATCH($D197,'Lopettaneet 2013-&gt;'!$D:$D,0)),"Continues")</f>
        <v>Continues</v>
      </c>
      <c r="K197" s="30">
        <f ca="1">IF($J197="Continues",DATEDIF($B197,TODAY(),"Y"),INDEX('Lopettaneet 2013-&gt;'!$L:$L,MATCH($D197,'Lopettaneet 2013-&gt;'!$D:$D,0)))</f>
        <v>10</v>
      </c>
      <c r="L197" s="31" t="str">
        <f>IFERROR(INDEX('[1]30.06.2024'!$H:$H,MATCH($E197,'[1]30.06.2024'!$B:$B,0)),"Not found")</f>
        <v>Confido Kiinteistöhallinta Oy</v>
      </c>
      <c r="M197" s="31" t="str">
        <f>IFERROR(INDEX([2]Sheet1!$B:$B,MATCH($D197,[2]Sheet1!$A:$A,0)),"Not found")</f>
        <v>Non-Retail</v>
      </c>
      <c r="N197">
        <f t="shared" si="6"/>
        <v>0</v>
      </c>
      <c r="O197">
        <f t="shared" si="7"/>
        <v>1</v>
      </c>
    </row>
    <row r="198" spans="1:15" x14ac:dyDescent="0.25">
      <c r="A198" t="s">
        <v>7</v>
      </c>
      <c r="B198" s="1">
        <v>41974</v>
      </c>
      <c r="C198" s="1">
        <v>55153</v>
      </c>
      <c r="D198" s="4" t="s">
        <v>620</v>
      </c>
      <c r="E198" s="32" t="s">
        <v>621</v>
      </c>
      <c r="F198" s="32">
        <v>25454025</v>
      </c>
      <c r="G198" t="s">
        <v>10</v>
      </c>
      <c r="H198" t="s">
        <v>11</v>
      </c>
      <c r="I198" t="s">
        <v>32</v>
      </c>
      <c r="J198" s="30" t="str">
        <f>IF(ISNUMBER(MATCH($D198,'Lopettaneet 2013-&gt;'!$D:$D,0)),INDEX('Lopettaneet 2013-&gt;'!$K:$K,MATCH($D198,'Lopettaneet 2013-&gt;'!$D:$D,0)),"Continues")</f>
        <v>Continues</v>
      </c>
      <c r="K198" s="30">
        <f ca="1">IF($J198="Continues",DATEDIF($B198,TODAY(),"Y"),INDEX('Lopettaneet 2013-&gt;'!$L:$L,MATCH($D198,'Lopettaneet 2013-&gt;'!$D:$D,0)))</f>
        <v>10</v>
      </c>
      <c r="L198" s="31" t="str">
        <f>IFERROR(INDEX('[1]30.06.2024'!$H:$H,MATCH($E198,'[1]30.06.2024'!$B:$B,0)),"Not found")</f>
        <v>Confido Kiinteistöhallinta Oy</v>
      </c>
      <c r="M198" s="31" t="str">
        <f>IFERROR(INDEX([2]Sheet1!$B:$B,MATCH($D198,[2]Sheet1!$A:$A,0)),"Not found")</f>
        <v>Non-Retail</v>
      </c>
      <c r="N198">
        <f t="shared" si="6"/>
        <v>0</v>
      </c>
      <c r="O198">
        <f t="shared" si="7"/>
        <v>1</v>
      </c>
    </row>
    <row r="199" spans="1:15" x14ac:dyDescent="0.25">
      <c r="A199" t="s">
        <v>7</v>
      </c>
      <c r="B199" s="1">
        <v>41974</v>
      </c>
      <c r="C199" s="1">
        <v>55153</v>
      </c>
      <c r="D199" s="4" t="s">
        <v>622</v>
      </c>
      <c r="E199" s="32" t="s">
        <v>623</v>
      </c>
      <c r="F199" s="32">
        <v>26256653</v>
      </c>
      <c r="G199" t="s">
        <v>10</v>
      </c>
      <c r="H199" t="s">
        <v>11</v>
      </c>
      <c r="I199" t="s">
        <v>29</v>
      </c>
      <c r="J199" s="30" t="str">
        <f>IF(ISNUMBER(MATCH($D199,'Lopettaneet 2013-&gt;'!$D:$D,0)),INDEX('Lopettaneet 2013-&gt;'!$K:$K,MATCH($D199,'Lopettaneet 2013-&gt;'!$D:$D,0)),"Continues")</f>
        <v>Continues</v>
      </c>
      <c r="K199" s="30">
        <f ca="1">IF($J199="Continues",DATEDIF($B199,TODAY(),"Y"),INDEX('Lopettaneet 2013-&gt;'!$L:$L,MATCH($D199,'Lopettaneet 2013-&gt;'!$D:$D,0)))</f>
        <v>10</v>
      </c>
      <c r="L199" s="31" t="str">
        <f>IFERROR(INDEX('[1]30.06.2024'!$H:$H,MATCH($E199,'[1]30.06.2024'!$B:$B,0)),"Not found")</f>
        <v>Not found</v>
      </c>
      <c r="M199" s="31" t="str">
        <f>IFERROR(INDEX([2]Sheet1!$B:$B,MATCH($D199,[2]Sheet1!$A:$A,0)),"Not found")</f>
        <v>Non-Retail</v>
      </c>
      <c r="N199">
        <f t="shared" si="6"/>
        <v>0</v>
      </c>
      <c r="O199">
        <f t="shared" si="7"/>
        <v>1</v>
      </c>
    </row>
    <row r="200" spans="1:15" x14ac:dyDescent="0.25">
      <c r="A200" t="s">
        <v>7</v>
      </c>
      <c r="B200" s="1">
        <v>41974</v>
      </c>
      <c r="C200" s="1">
        <v>43738</v>
      </c>
      <c r="D200" s="4" t="s">
        <v>624</v>
      </c>
      <c r="E200" s="32" t="s">
        <v>625</v>
      </c>
      <c r="F200" s="32">
        <v>24333694</v>
      </c>
      <c r="G200" t="s">
        <v>10</v>
      </c>
      <c r="H200" t="s">
        <v>11</v>
      </c>
      <c r="I200" t="s">
        <v>80</v>
      </c>
      <c r="J200" s="30" t="str">
        <f>IF(ISNUMBER(MATCH($D200,'Lopettaneet 2013-&gt;'!$D:$D,0)),INDEX('Lopettaneet 2013-&gt;'!$K:$K,MATCH($D200,'Lopettaneet 2013-&gt;'!$D:$D,0)),"Continues")</f>
        <v>Closed</v>
      </c>
      <c r="K200" s="30">
        <f ca="1">IF($J200="Continues",DATEDIF($B200,TODAY(),"Y"),INDEX('Lopettaneet 2013-&gt;'!$L:$L,MATCH($D200,'Lopettaneet 2013-&gt;'!$D:$D,0)))</f>
        <v>4</v>
      </c>
      <c r="L200" s="31" t="str">
        <f>IFERROR(INDEX('[1]30.06.2024'!$H:$H,MATCH($E200,'[1]30.06.2024'!$B:$B,0)),"Not found")</f>
        <v>Not found</v>
      </c>
      <c r="M200" s="31" t="str">
        <f>IFERROR(INDEX([2]Sheet1!$B:$B,MATCH($D200,[2]Sheet1!$A:$A,0)),"Not found")</f>
        <v>Not found</v>
      </c>
      <c r="N200">
        <f t="shared" si="6"/>
        <v>0</v>
      </c>
      <c r="O200">
        <f t="shared" si="7"/>
        <v>0</v>
      </c>
    </row>
    <row r="201" spans="1:15" x14ac:dyDescent="0.25">
      <c r="A201" t="s">
        <v>7</v>
      </c>
      <c r="B201" s="1">
        <v>41974</v>
      </c>
      <c r="C201" s="1">
        <v>43738</v>
      </c>
      <c r="D201" s="4" t="s">
        <v>626</v>
      </c>
      <c r="E201" s="32" t="s">
        <v>627</v>
      </c>
      <c r="F201" s="32">
        <v>25938476</v>
      </c>
      <c r="G201" t="s">
        <v>10</v>
      </c>
      <c r="H201" t="s">
        <v>11</v>
      </c>
      <c r="I201" t="s">
        <v>80</v>
      </c>
      <c r="J201" s="30" t="str">
        <f>IF(ISNUMBER(MATCH($D201,'Lopettaneet 2013-&gt;'!$D:$D,0)),INDEX('Lopettaneet 2013-&gt;'!$K:$K,MATCH($D201,'Lopettaneet 2013-&gt;'!$D:$D,0)),"Continues")</f>
        <v>Closed</v>
      </c>
      <c r="K201" s="30">
        <f ca="1">IF($J201="Continues",DATEDIF($B201,TODAY(),"Y"),INDEX('Lopettaneet 2013-&gt;'!$L:$L,MATCH($D201,'Lopettaneet 2013-&gt;'!$D:$D,0)))</f>
        <v>4</v>
      </c>
      <c r="L201" s="31" t="str">
        <f>IFERROR(INDEX('[1]30.06.2024'!$H:$H,MATCH($E201,'[1]30.06.2024'!$B:$B,0)),"Not found")</f>
        <v>Not found</v>
      </c>
      <c r="M201" s="31" t="str">
        <f>IFERROR(INDEX([2]Sheet1!$B:$B,MATCH($D201,[2]Sheet1!$A:$A,0)),"Not found")</f>
        <v>Not found</v>
      </c>
      <c r="N201">
        <f t="shared" si="6"/>
        <v>0</v>
      </c>
      <c r="O201">
        <f t="shared" si="7"/>
        <v>0</v>
      </c>
    </row>
    <row r="202" spans="1:15" x14ac:dyDescent="0.25">
      <c r="A202" t="s">
        <v>7</v>
      </c>
      <c r="B202" s="1">
        <v>41974</v>
      </c>
      <c r="C202" s="1">
        <v>43890</v>
      </c>
      <c r="D202" s="4" t="s">
        <v>628</v>
      </c>
      <c r="E202" s="32" t="s">
        <v>629</v>
      </c>
      <c r="F202" s="32">
        <v>24701100</v>
      </c>
      <c r="G202" t="s">
        <v>10</v>
      </c>
      <c r="H202" t="s">
        <v>11</v>
      </c>
      <c r="I202" t="s">
        <v>80</v>
      </c>
      <c r="J202" s="30" t="str">
        <f>IF(ISNUMBER(MATCH($D202,'Lopettaneet 2013-&gt;'!$D:$D,0)),INDEX('Lopettaneet 2013-&gt;'!$K:$K,MATCH($D202,'Lopettaneet 2013-&gt;'!$D:$D,0)),"Continues")</f>
        <v>Closed</v>
      </c>
      <c r="K202" s="30">
        <f ca="1">IF($J202="Continues",DATEDIF($B202,TODAY(),"Y"),INDEX('Lopettaneet 2013-&gt;'!$L:$L,MATCH($D202,'Lopettaneet 2013-&gt;'!$D:$D,0)))</f>
        <v>5</v>
      </c>
      <c r="L202" s="31" t="str">
        <f>IFERROR(INDEX('[1]30.06.2024'!$H:$H,MATCH($E202,'[1]30.06.2024'!$B:$B,0)),"Not found")</f>
        <v>Not found</v>
      </c>
      <c r="M202" s="31" t="str">
        <f>IFERROR(INDEX([2]Sheet1!$B:$B,MATCH($D202,[2]Sheet1!$A:$A,0)),"Not found")</f>
        <v>Not found</v>
      </c>
      <c r="N202">
        <f t="shared" si="6"/>
        <v>0</v>
      </c>
      <c r="O202">
        <f t="shared" si="7"/>
        <v>0</v>
      </c>
    </row>
    <row r="203" spans="1:15" x14ac:dyDescent="0.25">
      <c r="A203" t="s">
        <v>7</v>
      </c>
      <c r="B203" s="1">
        <v>41974</v>
      </c>
      <c r="C203" s="1">
        <v>45107</v>
      </c>
      <c r="D203" s="4" t="s">
        <v>27</v>
      </c>
      <c r="E203" s="32" t="s">
        <v>28</v>
      </c>
      <c r="F203" s="32">
        <v>26531758</v>
      </c>
      <c r="G203" t="s">
        <v>10</v>
      </c>
      <c r="H203" t="s">
        <v>11</v>
      </c>
      <c r="I203" t="s">
        <v>29</v>
      </c>
      <c r="J203" s="30" t="str">
        <f>IF(ISNUMBER(MATCH($D203,'Lopettaneet 2013-&gt;'!$D:$D,0)),INDEX('Lopettaneet 2013-&gt;'!$K:$K,MATCH($D203,'Lopettaneet 2013-&gt;'!$D:$D,0)),"Continues")</f>
        <v>Closed</v>
      </c>
      <c r="K203" s="30">
        <f ca="1">IF($J203="Continues",DATEDIF($B203,TODAY(),"Y"),INDEX('Lopettaneet 2013-&gt;'!$L:$L,MATCH($D203,'Lopettaneet 2013-&gt;'!$D:$D,0)))</f>
        <v>8</v>
      </c>
      <c r="L203" s="31" t="str">
        <f>IFERROR(INDEX('[1]30.06.2024'!$H:$H,MATCH($E203,'[1]30.06.2024'!$B:$B,0)),"Not found")</f>
        <v>Not found</v>
      </c>
      <c r="M203" s="31" t="str">
        <f>IFERROR(INDEX([2]Sheet1!$B:$B,MATCH($D203,[2]Sheet1!$A:$A,0)),"Not found")</f>
        <v>Not found</v>
      </c>
      <c r="N203">
        <f t="shared" si="6"/>
        <v>0</v>
      </c>
      <c r="O203">
        <f t="shared" si="7"/>
        <v>0</v>
      </c>
    </row>
    <row r="204" spans="1:15" x14ac:dyDescent="0.25">
      <c r="A204" t="s">
        <v>7</v>
      </c>
      <c r="B204" s="1">
        <v>41974</v>
      </c>
      <c r="C204" s="1">
        <v>55153</v>
      </c>
      <c r="D204" s="4" t="s">
        <v>630</v>
      </c>
      <c r="E204" s="32" t="s">
        <v>631</v>
      </c>
      <c r="F204" s="32">
        <v>26078949</v>
      </c>
      <c r="G204" t="s">
        <v>10</v>
      </c>
      <c r="H204" t="s">
        <v>11</v>
      </c>
      <c r="I204" t="s">
        <v>32</v>
      </c>
      <c r="J204" s="30" t="str">
        <f>IF(ISNUMBER(MATCH($D204,'Lopettaneet 2013-&gt;'!$D:$D,0)),INDEX('Lopettaneet 2013-&gt;'!$K:$K,MATCH($D204,'Lopettaneet 2013-&gt;'!$D:$D,0)),"Continues")</f>
        <v>Continues</v>
      </c>
      <c r="K204" s="30">
        <f ca="1">IF($J204="Continues",DATEDIF($B204,TODAY(),"Y"),INDEX('Lopettaneet 2013-&gt;'!$L:$L,MATCH($D204,'Lopettaneet 2013-&gt;'!$D:$D,0)))</f>
        <v>10</v>
      </c>
      <c r="L204" s="31" t="str">
        <f>IFERROR(INDEX('[1]30.06.2024'!$H:$H,MATCH($E204,'[1]30.06.2024'!$B:$B,0)),"Not found")</f>
        <v>ICECAPITAL REAM Oy</v>
      </c>
      <c r="M204" s="31" t="str">
        <f>IFERROR(INDEX([2]Sheet1!$B:$B,MATCH($D204,[2]Sheet1!$A:$A,0)),"Not found")</f>
        <v>Retail</v>
      </c>
      <c r="N204">
        <f t="shared" si="6"/>
        <v>1</v>
      </c>
      <c r="O204">
        <f t="shared" si="7"/>
        <v>0</v>
      </c>
    </row>
    <row r="205" spans="1:15" x14ac:dyDescent="0.25">
      <c r="A205" t="s">
        <v>7</v>
      </c>
      <c r="B205" s="1">
        <v>41974</v>
      </c>
      <c r="C205" s="1">
        <v>55153</v>
      </c>
      <c r="D205" s="4" t="s">
        <v>632</v>
      </c>
      <c r="E205" s="32" t="s">
        <v>633</v>
      </c>
      <c r="F205" s="32">
        <v>26078965</v>
      </c>
      <c r="G205" t="s">
        <v>10</v>
      </c>
      <c r="H205" t="s">
        <v>11</v>
      </c>
      <c r="I205" t="s">
        <v>32</v>
      </c>
      <c r="J205" s="30" t="str">
        <f>IF(ISNUMBER(MATCH($D205,'Lopettaneet 2013-&gt;'!$D:$D,0)),INDEX('Lopettaneet 2013-&gt;'!$K:$K,MATCH($D205,'Lopettaneet 2013-&gt;'!$D:$D,0)),"Continues")</f>
        <v>Continues</v>
      </c>
      <c r="K205" s="30">
        <f ca="1">IF($J205="Continues",DATEDIF($B205,TODAY(),"Y"),INDEX('Lopettaneet 2013-&gt;'!$L:$L,MATCH($D205,'Lopettaneet 2013-&gt;'!$D:$D,0)))</f>
        <v>10</v>
      </c>
      <c r="L205" s="31" t="str">
        <f>IFERROR(INDEX('[1]30.06.2024'!$H:$H,MATCH($E205,'[1]30.06.2024'!$B:$B,0)),"Not found")</f>
        <v>ICECAPITAL REAM Oy</v>
      </c>
      <c r="M205" s="31" t="str">
        <f>IFERROR(INDEX([2]Sheet1!$B:$B,MATCH($D205,[2]Sheet1!$A:$A,0)),"Not found")</f>
        <v>Retail</v>
      </c>
      <c r="N205">
        <f t="shared" si="6"/>
        <v>1</v>
      </c>
      <c r="O205">
        <f t="shared" si="7"/>
        <v>0</v>
      </c>
    </row>
    <row r="206" spans="1:15" x14ac:dyDescent="0.25">
      <c r="A206" t="s">
        <v>0</v>
      </c>
      <c r="B206" s="1">
        <v>42005</v>
      </c>
      <c r="C206" s="1">
        <v>44773</v>
      </c>
      <c r="D206" s="4" t="s">
        <v>634</v>
      </c>
      <c r="E206" s="32" t="s">
        <v>635</v>
      </c>
      <c r="F206" s="32">
        <v>26595727</v>
      </c>
      <c r="G206" t="s">
        <v>10</v>
      </c>
      <c r="H206" t="s">
        <v>4</v>
      </c>
      <c r="I206" t="s">
        <v>20</v>
      </c>
      <c r="J206" s="30" t="str">
        <f>IF(ISNUMBER(MATCH($D206,'Lopettaneet 2013-&gt;'!$D:$D,0)),INDEX('Lopettaneet 2013-&gt;'!$K:$K,MATCH($D206,'Lopettaneet 2013-&gt;'!$D:$D,0)),"Continues")</f>
        <v>Merged</v>
      </c>
      <c r="K206" s="30">
        <f ca="1">IF($J206="Continues",DATEDIF($B206,TODAY(),"Y"),INDEX('Lopettaneet 2013-&gt;'!$L:$L,MATCH($D206,'Lopettaneet 2013-&gt;'!$D:$D,0)))</f>
        <v>7</v>
      </c>
      <c r="L206" s="31" t="str">
        <f>IFERROR(INDEX('[1]30.06.2024'!$H:$H,MATCH($E206,'[1]30.06.2024'!$B:$B,0)),"Not found")</f>
        <v>Not found</v>
      </c>
      <c r="M206" s="31" t="str">
        <f>IFERROR(INDEX([2]Sheet1!$B:$B,MATCH($D206,[2]Sheet1!$A:$A,0)),"Not found")</f>
        <v>Not found</v>
      </c>
      <c r="N206">
        <f t="shared" si="6"/>
        <v>0</v>
      </c>
      <c r="O206">
        <f t="shared" si="7"/>
        <v>0</v>
      </c>
    </row>
    <row r="207" spans="1:15" x14ac:dyDescent="0.25">
      <c r="A207" t="s">
        <v>7</v>
      </c>
      <c r="B207" s="1">
        <v>41974</v>
      </c>
      <c r="C207" s="1">
        <v>55153</v>
      </c>
      <c r="D207" s="4" t="s">
        <v>636</v>
      </c>
      <c r="E207" s="32" t="s">
        <v>637</v>
      </c>
      <c r="F207" s="32">
        <v>26277825</v>
      </c>
      <c r="G207" t="s">
        <v>10</v>
      </c>
      <c r="H207" t="s">
        <v>11</v>
      </c>
      <c r="I207" t="s">
        <v>29</v>
      </c>
      <c r="J207" s="30" t="str">
        <f>IF(ISNUMBER(MATCH($D207,'Lopettaneet 2013-&gt;'!$D:$D,0)),INDEX('Lopettaneet 2013-&gt;'!$K:$K,MATCH($D207,'Lopettaneet 2013-&gt;'!$D:$D,0)),"Continues")</f>
        <v>Continues</v>
      </c>
      <c r="K207" s="30">
        <f ca="1">IF($J207="Continues",DATEDIF($B207,TODAY(),"Y"),INDEX('Lopettaneet 2013-&gt;'!$L:$L,MATCH($D207,'Lopettaneet 2013-&gt;'!$D:$D,0)))</f>
        <v>10</v>
      </c>
      <c r="L207" s="31" t="str">
        <f>IFERROR(INDEX('[1]30.06.2024'!$H:$H,MATCH($E207,'[1]30.06.2024'!$B:$B,0)),"Not found")</f>
        <v>Access Capital Advisors Finland Oy</v>
      </c>
      <c r="M207" s="31" t="str">
        <f>IFERROR(INDEX([2]Sheet1!$B:$B,MATCH($D207,[2]Sheet1!$A:$A,0)),"Not found")</f>
        <v>Non-Retail</v>
      </c>
      <c r="N207">
        <f t="shared" si="6"/>
        <v>0</v>
      </c>
      <c r="O207">
        <f t="shared" si="7"/>
        <v>1</v>
      </c>
    </row>
    <row r="208" spans="1:15" x14ac:dyDescent="0.25">
      <c r="A208" t="s">
        <v>7</v>
      </c>
      <c r="B208" s="1">
        <v>41974</v>
      </c>
      <c r="C208" s="1">
        <v>55153</v>
      </c>
      <c r="D208" s="4" t="s">
        <v>638</v>
      </c>
      <c r="E208" s="32" t="s">
        <v>639</v>
      </c>
      <c r="F208" s="32">
        <v>26478184</v>
      </c>
      <c r="G208" t="s">
        <v>10</v>
      </c>
      <c r="H208" t="s">
        <v>11</v>
      </c>
      <c r="I208" t="s">
        <v>32</v>
      </c>
      <c r="J208" s="30" t="str">
        <f>IF(ISNUMBER(MATCH($D208,'Lopettaneet 2013-&gt;'!$D:$D,0)),INDEX('Lopettaneet 2013-&gt;'!$K:$K,MATCH($D208,'Lopettaneet 2013-&gt;'!$D:$D,0)),"Continues")</f>
        <v>Continues</v>
      </c>
      <c r="K208" s="30">
        <f ca="1">IF($J208="Continues",DATEDIF($B208,TODAY(),"Y"),INDEX('Lopettaneet 2013-&gt;'!$L:$L,MATCH($D208,'Lopettaneet 2013-&gt;'!$D:$D,0)))</f>
        <v>10</v>
      </c>
      <c r="L208" s="31" t="str">
        <f>IFERROR(INDEX('[1]30.06.2024'!$H:$H,MATCH($E208,'[1]30.06.2024'!$B:$B,0)),"Not found")</f>
        <v>Evli-Rahastoyhtiö Oy</v>
      </c>
      <c r="M208" s="31" t="str">
        <f>IFERROR(INDEX([2]Sheet1!$B:$B,MATCH($D208,[2]Sheet1!$A:$A,0)),"Not found")</f>
        <v>Non-Retail</v>
      </c>
      <c r="N208">
        <f t="shared" si="6"/>
        <v>0</v>
      </c>
      <c r="O208">
        <f t="shared" si="7"/>
        <v>1</v>
      </c>
    </row>
    <row r="209" spans="1:15" x14ac:dyDescent="0.25">
      <c r="A209" t="s">
        <v>7</v>
      </c>
      <c r="B209" s="1">
        <v>41974</v>
      </c>
      <c r="C209" s="1">
        <v>43830</v>
      </c>
      <c r="D209" s="4" t="s">
        <v>640</v>
      </c>
      <c r="E209" s="32" t="s">
        <v>641</v>
      </c>
      <c r="F209" s="32">
        <v>26690142</v>
      </c>
      <c r="G209" t="s">
        <v>10</v>
      </c>
      <c r="H209" t="s">
        <v>11</v>
      </c>
      <c r="I209" t="s">
        <v>32</v>
      </c>
      <c r="J209" s="30" t="str">
        <f>IF(ISNUMBER(MATCH($D209,'Lopettaneet 2013-&gt;'!$D:$D,0)),INDEX('Lopettaneet 2013-&gt;'!$K:$K,MATCH($D209,'Lopettaneet 2013-&gt;'!$D:$D,0)),"Continues")</f>
        <v>Closed</v>
      </c>
      <c r="K209" s="30">
        <f ca="1">IF($J209="Continues",DATEDIF($B209,TODAY(),"Y"),INDEX('Lopettaneet 2013-&gt;'!$L:$L,MATCH($D209,'Lopettaneet 2013-&gt;'!$D:$D,0)))</f>
        <v>5</v>
      </c>
      <c r="L209" s="31" t="str">
        <f>IFERROR(INDEX('[1]30.06.2024'!$H:$H,MATCH($E209,'[1]30.06.2024'!$B:$B,0)),"Not found")</f>
        <v>Not found</v>
      </c>
      <c r="M209" s="31" t="str">
        <f>IFERROR(INDEX([2]Sheet1!$B:$B,MATCH($D209,[2]Sheet1!$A:$A,0)),"Not found")</f>
        <v>Not found</v>
      </c>
      <c r="N209">
        <f t="shared" si="6"/>
        <v>0</v>
      </c>
      <c r="O209">
        <f t="shared" si="7"/>
        <v>0</v>
      </c>
    </row>
    <row r="210" spans="1:15" x14ac:dyDescent="0.25">
      <c r="A210" t="s">
        <v>7</v>
      </c>
      <c r="B210" s="1">
        <v>41974</v>
      </c>
      <c r="C210" s="1">
        <v>42916</v>
      </c>
      <c r="D210" s="4" t="s">
        <v>642</v>
      </c>
      <c r="E210" s="32" t="s">
        <v>643</v>
      </c>
      <c r="F210" s="32">
        <v>25585551</v>
      </c>
      <c r="G210" t="s">
        <v>10</v>
      </c>
      <c r="H210" t="s">
        <v>11</v>
      </c>
      <c r="I210" t="s">
        <v>32</v>
      </c>
      <c r="J210" s="30" t="str">
        <f>IF(ISNUMBER(MATCH($D210,'Lopettaneet 2013-&gt;'!$D:$D,0)),INDEX('Lopettaneet 2013-&gt;'!$K:$K,MATCH($D210,'Lopettaneet 2013-&gt;'!$D:$D,0)),"Continues")</f>
        <v>Closed</v>
      </c>
      <c r="K210" s="30">
        <f ca="1">IF($J210="Continues",DATEDIF($B210,TODAY(),"Y"),INDEX('Lopettaneet 2013-&gt;'!$L:$L,MATCH($D210,'Lopettaneet 2013-&gt;'!$D:$D,0)))</f>
        <v>2</v>
      </c>
      <c r="L210" s="31" t="str">
        <f>IFERROR(INDEX('[1]30.06.2024'!$H:$H,MATCH($E210,'[1]30.06.2024'!$B:$B,0)),"Not found")</f>
        <v>Not found</v>
      </c>
      <c r="M210" s="31" t="str">
        <f>IFERROR(INDEX([2]Sheet1!$B:$B,MATCH($D210,[2]Sheet1!$A:$A,0)),"Not found")</f>
        <v>Not found</v>
      </c>
      <c r="N210">
        <f t="shared" si="6"/>
        <v>0</v>
      </c>
      <c r="O210">
        <f t="shared" si="7"/>
        <v>0</v>
      </c>
    </row>
    <row r="211" spans="1:15" x14ac:dyDescent="0.25">
      <c r="A211" t="s">
        <v>7</v>
      </c>
      <c r="B211" s="1">
        <v>41974</v>
      </c>
      <c r="C211" s="1">
        <v>42916</v>
      </c>
      <c r="D211" s="4" t="s">
        <v>644</v>
      </c>
      <c r="E211" s="32" t="s">
        <v>645</v>
      </c>
      <c r="F211" s="32">
        <v>25965212</v>
      </c>
      <c r="G211" t="s">
        <v>10</v>
      </c>
      <c r="H211" t="s">
        <v>11</v>
      </c>
      <c r="I211" t="s">
        <v>32</v>
      </c>
      <c r="J211" s="30" t="str">
        <f>IF(ISNUMBER(MATCH($D211,'Lopettaneet 2013-&gt;'!$D:$D,0)),INDEX('Lopettaneet 2013-&gt;'!$K:$K,MATCH($D211,'Lopettaneet 2013-&gt;'!$D:$D,0)),"Continues")</f>
        <v>Closed</v>
      </c>
      <c r="K211" s="30">
        <f ca="1">IF($J211="Continues",DATEDIF($B211,TODAY(),"Y"),INDEX('Lopettaneet 2013-&gt;'!$L:$L,MATCH($D211,'Lopettaneet 2013-&gt;'!$D:$D,0)))</f>
        <v>2</v>
      </c>
      <c r="L211" s="31" t="str">
        <f>IFERROR(INDEX('[1]30.06.2024'!$H:$H,MATCH($E211,'[1]30.06.2024'!$B:$B,0)),"Not found")</f>
        <v>Not found</v>
      </c>
      <c r="M211" s="31" t="str">
        <f>IFERROR(INDEX([2]Sheet1!$B:$B,MATCH($D211,[2]Sheet1!$A:$A,0)),"Not found")</f>
        <v>Not found</v>
      </c>
      <c r="N211">
        <f t="shared" si="6"/>
        <v>0</v>
      </c>
      <c r="O211">
        <f t="shared" si="7"/>
        <v>0</v>
      </c>
    </row>
    <row r="212" spans="1:15" x14ac:dyDescent="0.25">
      <c r="A212" t="s">
        <v>7</v>
      </c>
      <c r="B212" s="1">
        <v>41974</v>
      </c>
      <c r="C212" s="1">
        <v>42916</v>
      </c>
      <c r="D212" s="4" t="s">
        <v>646</v>
      </c>
      <c r="E212" s="32" t="s">
        <v>647</v>
      </c>
      <c r="F212" s="32">
        <v>26301178</v>
      </c>
      <c r="G212" t="s">
        <v>10</v>
      </c>
      <c r="H212" t="s">
        <v>11</v>
      </c>
      <c r="I212" t="s">
        <v>32</v>
      </c>
      <c r="J212" s="30" t="str">
        <f>IF(ISNUMBER(MATCH($D212,'Lopettaneet 2013-&gt;'!$D:$D,0)),INDEX('Lopettaneet 2013-&gt;'!$K:$K,MATCH($D212,'Lopettaneet 2013-&gt;'!$D:$D,0)),"Continues")</f>
        <v>Closed</v>
      </c>
      <c r="K212" s="30">
        <f ca="1">IF($J212="Continues",DATEDIF($B212,TODAY(),"Y"),INDEX('Lopettaneet 2013-&gt;'!$L:$L,MATCH($D212,'Lopettaneet 2013-&gt;'!$D:$D,0)))</f>
        <v>2</v>
      </c>
      <c r="L212" s="31" t="str">
        <f>IFERROR(INDEX('[1]30.06.2024'!$H:$H,MATCH($E212,'[1]30.06.2024'!$B:$B,0)),"Not found")</f>
        <v>Not found</v>
      </c>
      <c r="M212" s="31" t="str">
        <f>IFERROR(INDEX([2]Sheet1!$B:$B,MATCH($D212,[2]Sheet1!$A:$A,0)),"Not found")</f>
        <v>Not found</v>
      </c>
      <c r="N212">
        <f t="shared" si="6"/>
        <v>0</v>
      </c>
      <c r="O212">
        <f t="shared" si="7"/>
        <v>0</v>
      </c>
    </row>
    <row r="213" spans="1:15" x14ac:dyDescent="0.25">
      <c r="A213" t="s">
        <v>7</v>
      </c>
      <c r="B213" s="1">
        <v>41974</v>
      </c>
      <c r="C213" s="1">
        <v>55153</v>
      </c>
      <c r="D213" s="4" t="s">
        <v>648</v>
      </c>
      <c r="E213" s="32" t="s">
        <v>649</v>
      </c>
      <c r="F213" s="32">
        <v>25673172</v>
      </c>
      <c r="G213" t="s">
        <v>10</v>
      </c>
      <c r="H213" t="s">
        <v>11</v>
      </c>
      <c r="I213" t="s">
        <v>80</v>
      </c>
      <c r="J213" s="30" t="str">
        <f>IF(ISNUMBER(MATCH($D213,'Lopettaneet 2013-&gt;'!$D:$D,0)),INDEX('Lopettaneet 2013-&gt;'!$K:$K,MATCH($D213,'Lopettaneet 2013-&gt;'!$D:$D,0)),"Continues")</f>
        <v>Continues</v>
      </c>
      <c r="K213" s="30">
        <f ca="1">IF($J213="Continues",DATEDIF($B213,TODAY(),"Y"),INDEX('Lopettaneet 2013-&gt;'!$L:$L,MATCH($D213,'Lopettaneet 2013-&gt;'!$D:$D,0)))</f>
        <v>10</v>
      </c>
      <c r="L213" s="31" t="str">
        <f>IFERROR(INDEX('[1]30.06.2024'!$H:$H,MATCH($E213,'[1]30.06.2024'!$B:$B,0)),"Not found")</f>
        <v>Not found</v>
      </c>
      <c r="M213" s="31" t="str">
        <f>IFERROR(INDEX([2]Sheet1!$B:$B,MATCH($D213,[2]Sheet1!$A:$A,0)),"Not found")</f>
        <v>Non-Retail</v>
      </c>
      <c r="N213">
        <f t="shared" si="6"/>
        <v>0</v>
      </c>
      <c r="O213">
        <f t="shared" si="7"/>
        <v>1</v>
      </c>
    </row>
    <row r="214" spans="1:15" x14ac:dyDescent="0.25">
      <c r="A214" t="s">
        <v>7</v>
      </c>
      <c r="B214" s="1">
        <v>41974</v>
      </c>
      <c r="C214" s="1">
        <v>55153</v>
      </c>
      <c r="D214" s="4" t="s">
        <v>650</v>
      </c>
      <c r="E214" s="32" t="s">
        <v>651</v>
      </c>
      <c r="F214" s="32">
        <v>24804062</v>
      </c>
      <c r="G214" t="s">
        <v>10</v>
      </c>
      <c r="H214" t="s">
        <v>11</v>
      </c>
      <c r="I214" t="s">
        <v>80</v>
      </c>
      <c r="J214" s="30" t="str">
        <f>IF(ISNUMBER(MATCH($D214,'Lopettaneet 2013-&gt;'!$D:$D,0)),INDEX('Lopettaneet 2013-&gt;'!$K:$K,MATCH($D214,'Lopettaneet 2013-&gt;'!$D:$D,0)),"Continues")</f>
        <v>Continues</v>
      </c>
      <c r="K214" s="30">
        <f ca="1">IF($J214="Continues",DATEDIF($B214,TODAY(),"Y"),INDEX('Lopettaneet 2013-&gt;'!$L:$L,MATCH($D214,'Lopettaneet 2013-&gt;'!$D:$D,0)))</f>
        <v>10</v>
      </c>
      <c r="L214" s="31" t="str">
        <f>IFERROR(INDEX('[1]30.06.2024'!$H:$H,MATCH($E214,'[1]30.06.2024'!$B:$B,0)),"Not found")</f>
        <v>Verso Capital Oy</v>
      </c>
      <c r="M214" s="31" t="str">
        <f>IFERROR(INDEX([2]Sheet1!$B:$B,MATCH($D214,[2]Sheet1!$A:$A,0)),"Not found")</f>
        <v>Non-Retail</v>
      </c>
      <c r="N214">
        <f t="shared" si="6"/>
        <v>0</v>
      </c>
      <c r="O214">
        <f t="shared" si="7"/>
        <v>1</v>
      </c>
    </row>
    <row r="215" spans="1:15" x14ac:dyDescent="0.25">
      <c r="A215" t="s">
        <v>7</v>
      </c>
      <c r="B215" s="1">
        <v>41974</v>
      </c>
      <c r="C215" s="1">
        <v>55153</v>
      </c>
      <c r="D215" s="4" t="s">
        <v>652</v>
      </c>
      <c r="E215" s="32" t="s">
        <v>653</v>
      </c>
      <c r="F215" s="32">
        <v>25730501</v>
      </c>
      <c r="G215" t="s">
        <v>10</v>
      </c>
      <c r="H215" t="s">
        <v>11</v>
      </c>
      <c r="I215" t="s">
        <v>80</v>
      </c>
      <c r="J215" s="30" t="str">
        <f>IF(ISNUMBER(MATCH($D215,'Lopettaneet 2013-&gt;'!$D:$D,0)),INDEX('Lopettaneet 2013-&gt;'!$K:$K,MATCH($D215,'Lopettaneet 2013-&gt;'!$D:$D,0)),"Continues")</f>
        <v>Continues</v>
      </c>
      <c r="K215" s="30">
        <f ca="1">IF($J215="Continues",DATEDIF($B215,TODAY(),"Y"),INDEX('Lopettaneet 2013-&gt;'!$L:$L,MATCH($D215,'Lopettaneet 2013-&gt;'!$D:$D,0)))</f>
        <v>10</v>
      </c>
      <c r="L215" s="31" t="str">
        <f>IFERROR(INDEX('[1]30.06.2024'!$H:$H,MATCH($E215,'[1]30.06.2024'!$B:$B,0)),"Not found")</f>
        <v>Royal Majestics Helsinki Oy</v>
      </c>
      <c r="M215" s="31" t="str">
        <f>IFERROR(INDEX([2]Sheet1!$B:$B,MATCH($D215,[2]Sheet1!$A:$A,0)),"Not found")</f>
        <v>Non-Retail</v>
      </c>
      <c r="N215">
        <f t="shared" si="6"/>
        <v>0</v>
      </c>
      <c r="O215">
        <f t="shared" si="7"/>
        <v>1</v>
      </c>
    </row>
    <row r="216" spans="1:15" x14ac:dyDescent="0.25">
      <c r="A216" t="s">
        <v>0</v>
      </c>
      <c r="B216" s="1">
        <v>42156</v>
      </c>
      <c r="C216" s="1">
        <v>55153</v>
      </c>
      <c r="D216" s="4" t="s">
        <v>654</v>
      </c>
      <c r="E216" s="32" t="s">
        <v>655</v>
      </c>
      <c r="F216" s="32">
        <v>26574395</v>
      </c>
      <c r="G216" t="s">
        <v>10</v>
      </c>
      <c r="H216" t="s">
        <v>4</v>
      </c>
      <c r="I216" t="s">
        <v>32</v>
      </c>
      <c r="J216" s="30" t="str">
        <f>IF(ISNUMBER(MATCH($D216,'Lopettaneet 2013-&gt;'!$D:$D,0)),INDEX('Lopettaneet 2013-&gt;'!$K:$K,MATCH($D216,'Lopettaneet 2013-&gt;'!$D:$D,0)),"Continues")</f>
        <v>Continues</v>
      </c>
      <c r="K216" s="30">
        <f ca="1">IF($J216="Continues",DATEDIF($B216,TODAY(),"Y"),INDEX('Lopettaneet 2013-&gt;'!$L:$L,MATCH($D216,'Lopettaneet 2013-&gt;'!$D:$D,0)))</f>
        <v>9</v>
      </c>
      <c r="L216" s="31" t="str">
        <f>IFERROR(INDEX('[1]30.06.2024'!$H:$H,MATCH($E216,'[1]30.06.2024'!$B:$B,0)),"Not found")</f>
        <v>eQ Rahastoyhtiö Oy</v>
      </c>
      <c r="M216" s="31" t="str">
        <f>IFERROR(INDEX([2]Sheet1!$B:$B,MATCH($D216,[2]Sheet1!$A:$A,0)),"Not found")</f>
        <v>Retail</v>
      </c>
      <c r="N216">
        <f t="shared" si="6"/>
        <v>1</v>
      </c>
      <c r="O216">
        <f t="shared" si="7"/>
        <v>0</v>
      </c>
    </row>
    <row r="217" spans="1:15" x14ac:dyDescent="0.25">
      <c r="A217" t="s">
        <v>7</v>
      </c>
      <c r="B217" s="1">
        <v>41974</v>
      </c>
      <c r="C217" s="1">
        <v>55153</v>
      </c>
      <c r="D217" s="4" t="s">
        <v>656</v>
      </c>
      <c r="E217" s="32" t="s">
        <v>657</v>
      </c>
      <c r="F217" s="32">
        <v>26582424</v>
      </c>
      <c r="G217" t="s">
        <v>10</v>
      </c>
      <c r="H217" t="s">
        <v>11</v>
      </c>
      <c r="I217" t="s">
        <v>32</v>
      </c>
      <c r="J217" s="30" t="str">
        <f>IF(ISNUMBER(MATCH($D217,'Lopettaneet 2013-&gt;'!$D:$D,0)),INDEX('Lopettaneet 2013-&gt;'!$K:$K,MATCH($D217,'Lopettaneet 2013-&gt;'!$D:$D,0)),"Continues")</f>
        <v>Continues</v>
      </c>
      <c r="K217" s="30">
        <f ca="1">IF($J217="Continues",DATEDIF($B217,TODAY(),"Y"),INDEX('Lopettaneet 2013-&gt;'!$L:$L,MATCH($D217,'Lopettaneet 2013-&gt;'!$D:$D,0)))</f>
        <v>10</v>
      </c>
      <c r="L217" s="31" t="str">
        <f>IFERROR(INDEX('[1]30.06.2024'!$H:$H,MATCH($E217,'[1]30.06.2024'!$B:$B,0)),"Not found")</f>
        <v>eQ Rahastoyhtiö Oy</v>
      </c>
      <c r="M217" s="31" t="str">
        <f>IFERROR(INDEX([2]Sheet1!$B:$B,MATCH($D217,[2]Sheet1!$A:$A,0)),"Not found")</f>
        <v>Non-Retail</v>
      </c>
      <c r="N217">
        <f t="shared" si="6"/>
        <v>0</v>
      </c>
      <c r="O217">
        <f t="shared" si="7"/>
        <v>1</v>
      </c>
    </row>
    <row r="218" spans="1:15" x14ac:dyDescent="0.25">
      <c r="A218" t="s">
        <v>0</v>
      </c>
      <c r="B218" s="1">
        <v>42125</v>
      </c>
      <c r="C218" s="1">
        <v>55153</v>
      </c>
      <c r="D218" s="4" t="s">
        <v>658</v>
      </c>
      <c r="E218" s="32" t="s">
        <v>659</v>
      </c>
      <c r="F218" s="32">
        <v>26587831</v>
      </c>
      <c r="G218" t="s">
        <v>10</v>
      </c>
      <c r="H218" t="s">
        <v>4</v>
      </c>
      <c r="I218" t="s">
        <v>50</v>
      </c>
      <c r="J218" s="30" t="str">
        <f>IF(ISNUMBER(MATCH($D218,'Lopettaneet 2013-&gt;'!$D:$D,0)),INDEX('Lopettaneet 2013-&gt;'!$K:$K,MATCH($D218,'Lopettaneet 2013-&gt;'!$D:$D,0)),"Continues")</f>
        <v>Continues</v>
      </c>
      <c r="K218" s="30">
        <f ca="1">IF($J218="Continues",DATEDIF($B218,TODAY(),"Y"),INDEX('Lopettaneet 2013-&gt;'!$L:$L,MATCH($D218,'Lopettaneet 2013-&gt;'!$D:$D,0)))</f>
        <v>10</v>
      </c>
      <c r="L218" s="31" t="str">
        <f>IFERROR(INDEX('[1]30.06.2024'!$H:$H,MATCH($E218,'[1]30.06.2024'!$B:$B,0)),"Not found")</f>
        <v>OP-Rahastoyhtiö Oy</v>
      </c>
      <c r="M218" s="31" t="str">
        <f>IFERROR(INDEX([2]Sheet1!$B:$B,MATCH($D218,[2]Sheet1!$A:$A,0)),"Not found")</f>
        <v>Retail</v>
      </c>
      <c r="N218">
        <f t="shared" si="6"/>
        <v>1</v>
      </c>
      <c r="O218">
        <f t="shared" si="7"/>
        <v>0</v>
      </c>
    </row>
    <row r="219" spans="1:15" x14ac:dyDescent="0.25">
      <c r="A219" t="s">
        <v>0</v>
      </c>
      <c r="B219" s="1">
        <v>42125</v>
      </c>
      <c r="C219" s="1">
        <v>55153</v>
      </c>
      <c r="D219" s="4" t="s">
        <v>660</v>
      </c>
      <c r="E219" s="32" t="s">
        <v>661</v>
      </c>
      <c r="F219" s="32">
        <v>26588439</v>
      </c>
      <c r="G219" t="s">
        <v>10</v>
      </c>
      <c r="H219" t="s">
        <v>4</v>
      </c>
      <c r="I219" t="s">
        <v>50</v>
      </c>
      <c r="J219" s="30" t="str">
        <f>IF(ISNUMBER(MATCH($D219,'Lopettaneet 2013-&gt;'!$D:$D,0)),INDEX('Lopettaneet 2013-&gt;'!$K:$K,MATCH($D219,'Lopettaneet 2013-&gt;'!$D:$D,0)),"Continues")</f>
        <v>Continues</v>
      </c>
      <c r="K219" s="30">
        <f ca="1">IF($J219="Continues",DATEDIF($B219,TODAY(),"Y"),INDEX('Lopettaneet 2013-&gt;'!$L:$L,MATCH($D219,'Lopettaneet 2013-&gt;'!$D:$D,0)))</f>
        <v>10</v>
      </c>
      <c r="L219" s="31" t="str">
        <f>IFERROR(INDEX('[1]30.06.2024'!$H:$H,MATCH($E219,'[1]30.06.2024'!$B:$B,0)),"Not found")</f>
        <v>OP-Rahastoyhtiö Oy</v>
      </c>
      <c r="M219" s="31" t="str">
        <f>IFERROR(INDEX([2]Sheet1!$B:$B,MATCH($D219,[2]Sheet1!$A:$A,0)),"Not found")</f>
        <v>Retail</v>
      </c>
      <c r="N219">
        <f t="shared" si="6"/>
        <v>1</v>
      </c>
      <c r="O219">
        <f t="shared" si="7"/>
        <v>0</v>
      </c>
    </row>
    <row r="220" spans="1:15" x14ac:dyDescent="0.25">
      <c r="A220" t="s">
        <v>0</v>
      </c>
      <c r="B220" s="1">
        <v>42125</v>
      </c>
      <c r="C220" s="1">
        <v>55153</v>
      </c>
      <c r="D220" s="4" t="s">
        <v>662</v>
      </c>
      <c r="E220" s="32" t="s">
        <v>663</v>
      </c>
      <c r="F220" s="32">
        <v>26587794</v>
      </c>
      <c r="G220" t="s">
        <v>10</v>
      </c>
      <c r="H220" t="s">
        <v>4</v>
      </c>
      <c r="I220" t="s">
        <v>5</v>
      </c>
      <c r="J220" s="30" t="str">
        <f>IF(ISNUMBER(MATCH($D220,'Lopettaneet 2013-&gt;'!$D:$D,0)),INDEX('Lopettaneet 2013-&gt;'!$K:$K,MATCH($D220,'Lopettaneet 2013-&gt;'!$D:$D,0)),"Continues")</f>
        <v>Continues</v>
      </c>
      <c r="K220" s="30">
        <f ca="1">IF($J220="Continues",DATEDIF($B220,TODAY(),"Y"),INDEX('Lopettaneet 2013-&gt;'!$L:$L,MATCH($D220,'Lopettaneet 2013-&gt;'!$D:$D,0)))</f>
        <v>10</v>
      </c>
      <c r="L220" s="31" t="str">
        <f>IFERROR(INDEX('[1]30.06.2024'!$H:$H,MATCH($E220,'[1]30.06.2024'!$B:$B,0)),"Not found")</f>
        <v>OP-Rahastoyhtiö Oy</v>
      </c>
      <c r="M220" s="31" t="str">
        <f>IFERROR(INDEX([2]Sheet1!$B:$B,MATCH($D220,[2]Sheet1!$A:$A,0)),"Not found")</f>
        <v>Retail</v>
      </c>
      <c r="N220">
        <f t="shared" si="6"/>
        <v>1</v>
      </c>
      <c r="O220">
        <f t="shared" si="7"/>
        <v>0</v>
      </c>
    </row>
    <row r="221" spans="1:15" x14ac:dyDescent="0.25">
      <c r="A221" t="s">
        <v>0</v>
      </c>
      <c r="B221" s="1">
        <v>42125</v>
      </c>
      <c r="C221" s="1">
        <v>55153</v>
      </c>
      <c r="D221" s="4" t="s">
        <v>664</v>
      </c>
      <c r="E221" s="32" t="s">
        <v>665</v>
      </c>
      <c r="F221" s="32">
        <v>26607556</v>
      </c>
      <c r="G221" t="s">
        <v>10</v>
      </c>
      <c r="H221" t="s">
        <v>4</v>
      </c>
      <c r="I221" t="s">
        <v>20</v>
      </c>
      <c r="J221" s="30" t="str">
        <f>IF(ISNUMBER(MATCH($D221,'Lopettaneet 2013-&gt;'!$D:$D,0)),INDEX('Lopettaneet 2013-&gt;'!$K:$K,MATCH($D221,'Lopettaneet 2013-&gt;'!$D:$D,0)),"Continues")</f>
        <v>Continues</v>
      </c>
      <c r="K221" s="30">
        <f ca="1">IF($J221="Continues",DATEDIF($B221,TODAY(),"Y"),INDEX('Lopettaneet 2013-&gt;'!$L:$L,MATCH($D221,'Lopettaneet 2013-&gt;'!$D:$D,0)))</f>
        <v>10</v>
      </c>
      <c r="L221" s="31" t="str">
        <f>IFERROR(INDEX('[1]30.06.2024'!$H:$H,MATCH($E221,'[1]30.06.2024'!$B:$B,0)),"Not found")</f>
        <v>OP-Rahastoyhtiö Oy</v>
      </c>
      <c r="M221" s="31" t="str">
        <f>IFERROR(INDEX([2]Sheet1!$B:$B,MATCH($D221,[2]Sheet1!$A:$A,0)),"Not found")</f>
        <v>Retail</v>
      </c>
      <c r="N221">
        <f t="shared" si="6"/>
        <v>1</v>
      </c>
      <c r="O221">
        <f t="shared" si="7"/>
        <v>0</v>
      </c>
    </row>
    <row r="222" spans="1:15" x14ac:dyDescent="0.25">
      <c r="A222" t="s">
        <v>0</v>
      </c>
      <c r="B222" s="1">
        <v>42125</v>
      </c>
      <c r="C222" s="1">
        <v>55153</v>
      </c>
      <c r="D222" s="4" t="s">
        <v>666</v>
      </c>
      <c r="E222" s="32" t="s">
        <v>667</v>
      </c>
      <c r="F222" s="32">
        <v>26588391</v>
      </c>
      <c r="G222" t="s">
        <v>10</v>
      </c>
      <c r="H222" t="s">
        <v>4</v>
      </c>
      <c r="I222" t="s">
        <v>20</v>
      </c>
      <c r="J222" s="30" t="str">
        <f>IF(ISNUMBER(MATCH($D222,'Lopettaneet 2013-&gt;'!$D:$D,0)),INDEX('Lopettaneet 2013-&gt;'!$K:$K,MATCH($D222,'Lopettaneet 2013-&gt;'!$D:$D,0)),"Continues")</f>
        <v>Continues</v>
      </c>
      <c r="K222" s="30">
        <f ca="1">IF($J222="Continues",DATEDIF($B222,TODAY(),"Y"),INDEX('Lopettaneet 2013-&gt;'!$L:$L,MATCH($D222,'Lopettaneet 2013-&gt;'!$D:$D,0)))</f>
        <v>10</v>
      </c>
      <c r="L222" s="31" t="str">
        <f>IFERROR(INDEX('[1]30.06.2024'!$H:$H,MATCH($E222,'[1]30.06.2024'!$B:$B,0)),"Not found")</f>
        <v>OP-Rahastoyhtiö Oy</v>
      </c>
      <c r="M222" s="31" t="str">
        <f>IFERROR(INDEX([2]Sheet1!$B:$B,MATCH($D222,[2]Sheet1!$A:$A,0)),"Not found")</f>
        <v>Retail</v>
      </c>
      <c r="N222">
        <f t="shared" si="6"/>
        <v>1</v>
      </c>
      <c r="O222">
        <f t="shared" si="7"/>
        <v>0</v>
      </c>
    </row>
    <row r="223" spans="1:15" x14ac:dyDescent="0.25">
      <c r="A223" t="s">
        <v>0</v>
      </c>
      <c r="B223" s="1">
        <v>42064</v>
      </c>
      <c r="C223" s="1">
        <v>55153</v>
      </c>
      <c r="D223" s="4" t="s">
        <v>668</v>
      </c>
      <c r="E223" s="32" t="s">
        <v>669</v>
      </c>
      <c r="F223" s="32">
        <v>26744972</v>
      </c>
      <c r="G223" t="s">
        <v>3</v>
      </c>
      <c r="H223" t="s">
        <v>4</v>
      </c>
      <c r="I223" t="s">
        <v>20</v>
      </c>
      <c r="J223" s="30" t="str">
        <f>IF(ISNUMBER(MATCH($D223,'Lopettaneet 2013-&gt;'!$D:$D,0)),INDEX('Lopettaneet 2013-&gt;'!$K:$K,MATCH($D223,'Lopettaneet 2013-&gt;'!$D:$D,0)),"Continues")</f>
        <v>Continues</v>
      </c>
      <c r="K223" s="30">
        <f ca="1">IF($J223="Continues",DATEDIF($B223,TODAY(),"Y"),INDEX('Lopettaneet 2013-&gt;'!$L:$L,MATCH($D223,'Lopettaneet 2013-&gt;'!$D:$D,0)))</f>
        <v>10</v>
      </c>
      <c r="L223" s="31" t="str">
        <f>IFERROR(INDEX('[1]30.06.2024'!$H:$H,MATCH($E223,'[1]30.06.2024'!$B:$B,0)),"Not found")</f>
        <v>Nordea Funds Oy</v>
      </c>
      <c r="M223" s="31" t="str">
        <f>IFERROR(INDEX([2]Sheet1!$B:$B,MATCH($D223,[2]Sheet1!$A:$A,0)),"Not found")</f>
        <v>Retail</v>
      </c>
      <c r="N223">
        <f t="shared" si="6"/>
        <v>1</v>
      </c>
      <c r="O223">
        <f t="shared" si="7"/>
        <v>0</v>
      </c>
    </row>
    <row r="224" spans="1:15" x14ac:dyDescent="0.25">
      <c r="A224" t="s">
        <v>0</v>
      </c>
      <c r="B224" s="1">
        <v>42064</v>
      </c>
      <c r="C224" s="1">
        <v>55153</v>
      </c>
      <c r="D224" s="4" t="s">
        <v>670</v>
      </c>
      <c r="E224" s="32" t="s">
        <v>671</v>
      </c>
      <c r="F224" s="32">
        <v>26742942</v>
      </c>
      <c r="G224" t="s">
        <v>3</v>
      </c>
      <c r="H224" t="s">
        <v>4</v>
      </c>
      <c r="I224" t="s">
        <v>20</v>
      </c>
      <c r="J224" s="30" t="str">
        <f>IF(ISNUMBER(MATCH($D224,'Lopettaneet 2013-&gt;'!$D:$D,0)),INDEX('Lopettaneet 2013-&gt;'!$K:$K,MATCH($D224,'Lopettaneet 2013-&gt;'!$D:$D,0)),"Continues")</f>
        <v>Continues</v>
      </c>
      <c r="K224" s="30">
        <f ca="1">IF($J224="Continues",DATEDIF($B224,TODAY(),"Y"),INDEX('Lopettaneet 2013-&gt;'!$L:$L,MATCH($D224,'Lopettaneet 2013-&gt;'!$D:$D,0)))</f>
        <v>10</v>
      </c>
      <c r="L224" s="31" t="str">
        <f>IFERROR(INDEX('[1]30.06.2024'!$H:$H,MATCH($E224,'[1]30.06.2024'!$B:$B,0)),"Not found")</f>
        <v>Nordea Funds Oy</v>
      </c>
      <c r="M224" s="31" t="str">
        <f>IFERROR(INDEX([2]Sheet1!$B:$B,MATCH($D224,[2]Sheet1!$A:$A,0)),"Not found")</f>
        <v>Retail</v>
      </c>
      <c r="N224">
        <f t="shared" si="6"/>
        <v>1</v>
      </c>
      <c r="O224">
        <f t="shared" si="7"/>
        <v>0</v>
      </c>
    </row>
    <row r="225" spans="1:15" x14ac:dyDescent="0.25">
      <c r="A225" t="s">
        <v>0</v>
      </c>
      <c r="B225" s="1">
        <v>42064</v>
      </c>
      <c r="C225" s="1">
        <v>55153</v>
      </c>
      <c r="D225" s="4" t="s">
        <v>672</v>
      </c>
      <c r="E225" s="32" t="s">
        <v>673</v>
      </c>
      <c r="F225" s="32">
        <v>26741544</v>
      </c>
      <c r="G225" t="s">
        <v>3</v>
      </c>
      <c r="H225" t="s">
        <v>4</v>
      </c>
      <c r="I225" t="s">
        <v>50</v>
      </c>
      <c r="J225" s="30" t="str">
        <f>IF(ISNUMBER(MATCH($D225,'Lopettaneet 2013-&gt;'!$D:$D,0)),INDEX('Lopettaneet 2013-&gt;'!$K:$K,MATCH($D225,'Lopettaneet 2013-&gt;'!$D:$D,0)),"Continues")</f>
        <v>Continues</v>
      </c>
      <c r="K225" s="30">
        <f ca="1">IF($J225="Continues",DATEDIF($B225,TODAY(),"Y"),INDEX('Lopettaneet 2013-&gt;'!$L:$L,MATCH($D225,'Lopettaneet 2013-&gt;'!$D:$D,0)))</f>
        <v>10</v>
      </c>
      <c r="L225" s="31" t="str">
        <f>IFERROR(INDEX('[1]30.06.2024'!$H:$H,MATCH($E225,'[1]30.06.2024'!$B:$B,0)),"Not found")</f>
        <v>Nordea Funds Oy</v>
      </c>
      <c r="M225" s="31" t="str">
        <f>IFERROR(INDEX([2]Sheet1!$B:$B,MATCH($D225,[2]Sheet1!$A:$A,0)),"Not found")</f>
        <v>Not found</v>
      </c>
      <c r="N225">
        <f t="shared" si="6"/>
        <v>0</v>
      </c>
      <c r="O225">
        <f t="shared" si="7"/>
        <v>0</v>
      </c>
    </row>
    <row r="226" spans="1:15" x14ac:dyDescent="0.25">
      <c r="A226" t="s">
        <v>7</v>
      </c>
      <c r="B226" s="1">
        <v>41974</v>
      </c>
      <c r="C226" s="1">
        <v>43251</v>
      </c>
      <c r="D226" s="4" t="s">
        <v>674</v>
      </c>
      <c r="E226" s="32" t="s">
        <v>675</v>
      </c>
      <c r="F226" s="32">
        <v>25483547</v>
      </c>
      <c r="G226" t="s">
        <v>10</v>
      </c>
      <c r="H226" t="s">
        <v>11</v>
      </c>
      <c r="I226" t="s">
        <v>32</v>
      </c>
      <c r="J226" s="30" t="str">
        <f>IF(ISNUMBER(MATCH($D226,'Lopettaneet 2013-&gt;'!$D:$D,0)),INDEX('Lopettaneet 2013-&gt;'!$K:$K,MATCH($D226,'Lopettaneet 2013-&gt;'!$D:$D,0)),"Continues")</f>
        <v>Merged</v>
      </c>
      <c r="K226" s="30">
        <f ca="1">IF($J226="Continues",DATEDIF($B226,TODAY(),"Y"),INDEX('Lopettaneet 2013-&gt;'!$L:$L,MATCH($D226,'Lopettaneet 2013-&gt;'!$D:$D,0)))</f>
        <v>3</v>
      </c>
      <c r="L226" s="31" t="str">
        <f>IFERROR(INDEX('[1]30.06.2024'!$H:$H,MATCH($E226,'[1]30.06.2024'!$B:$B,0)),"Not found")</f>
        <v>Not found</v>
      </c>
      <c r="M226" s="31" t="str">
        <f>IFERROR(INDEX([2]Sheet1!$B:$B,MATCH($D226,[2]Sheet1!$A:$A,0)),"Not found")</f>
        <v>Not found</v>
      </c>
      <c r="N226">
        <f t="shared" si="6"/>
        <v>0</v>
      </c>
      <c r="O226">
        <f t="shared" si="7"/>
        <v>0</v>
      </c>
    </row>
    <row r="227" spans="1:15" x14ac:dyDescent="0.25">
      <c r="A227" t="s">
        <v>7</v>
      </c>
      <c r="B227" s="1">
        <v>41974</v>
      </c>
      <c r="C227" s="1">
        <v>44651</v>
      </c>
      <c r="D227" s="4" t="s">
        <v>676</v>
      </c>
      <c r="E227" s="32" t="s">
        <v>677</v>
      </c>
      <c r="F227" s="32">
        <v>24510689</v>
      </c>
      <c r="G227" t="s">
        <v>10</v>
      </c>
      <c r="H227" t="s">
        <v>11</v>
      </c>
      <c r="I227" t="s">
        <v>32</v>
      </c>
      <c r="J227" s="30" t="str">
        <f>IF(ISNUMBER(MATCH($D227,'Lopettaneet 2013-&gt;'!$D:$D,0)),INDEX('Lopettaneet 2013-&gt;'!$K:$K,MATCH($D227,'Lopettaneet 2013-&gt;'!$D:$D,0)),"Continues")</f>
        <v>Merged</v>
      </c>
      <c r="K227" s="30">
        <f ca="1">IF($J227="Continues",DATEDIF($B227,TODAY(),"Y"),INDEX('Lopettaneet 2013-&gt;'!$L:$L,MATCH($D227,'Lopettaneet 2013-&gt;'!$D:$D,0)))</f>
        <v>7</v>
      </c>
      <c r="L227" s="31" t="str">
        <f>IFERROR(INDEX('[1]30.06.2024'!$H:$H,MATCH($E227,'[1]30.06.2024'!$B:$B,0)),"Not found")</f>
        <v>Not found</v>
      </c>
      <c r="M227" s="31" t="str">
        <f>IFERROR(INDEX([2]Sheet1!$B:$B,MATCH($D227,[2]Sheet1!$A:$A,0)),"Not found")</f>
        <v>Not found</v>
      </c>
      <c r="N227">
        <f t="shared" si="6"/>
        <v>0</v>
      </c>
      <c r="O227">
        <f t="shared" si="7"/>
        <v>0</v>
      </c>
    </row>
    <row r="228" spans="1:15" x14ac:dyDescent="0.25">
      <c r="A228" t="s">
        <v>7</v>
      </c>
      <c r="B228" s="1">
        <v>41974</v>
      </c>
      <c r="C228" s="1">
        <v>55153</v>
      </c>
      <c r="D228" s="4" t="s">
        <v>678</v>
      </c>
      <c r="E228" s="32" t="s">
        <v>679</v>
      </c>
      <c r="F228" s="32">
        <v>23223047</v>
      </c>
      <c r="G228" t="s">
        <v>10</v>
      </c>
      <c r="H228" t="s">
        <v>11</v>
      </c>
      <c r="I228" t="s">
        <v>12</v>
      </c>
      <c r="J228" s="30" t="str">
        <f>IF(ISNUMBER(MATCH($D228,'Lopettaneet 2013-&gt;'!$D:$D,0)),INDEX('Lopettaneet 2013-&gt;'!$K:$K,MATCH($D228,'Lopettaneet 2013-&gt;'!$D:$D,0)),"Continues")</f>
        <v>Continues</v>
      </c>
      <c r="K228" s="30">
        <f ca="1">IF($J228="Continues",DATEDIF($B228,TODAY(),"Y"),INDEX('Lopettaneet 2013-&gt;'!$L:$L,MATCH($D228,'Lopettaneet 2013-&gt;'!$D:$D,0)))</f>
        <v>10</v>
      </c>
      <c r="L228" s="31" t="str">
        <f>IFERROR(INDEX('[1]30.06.2024'!$H:$H,MATCH($E228,'[1]30.06.2024'!$B:$B,0)),"Not found")</f>
        <v>Access Capital Advisors Finland Oy</v>
      </c>
      <c r="M228" s="31" t="str">
        <f>IFERROR(INDEX([2]Sheet1!$B:$B,MATCH($D228,[2]Sheet1!$A:$A,0)),"Not found")</f>
        <v>Non-Retail</v>
      </c>
      <c r="N228">
        <f t="shared" si="6"/>
        <v>0</v>
      </c>
      <c r="O228">
        <f t="shared" si="7"/>
        <v>1</v>
      </c>
    </row>
    <row r="229" spans="1:15" x14ac:dyDescent="0.25">
      <c r="A229" t="s">
        <v>7</v>
      </c>
      <c r="B229" s="1">
        <v>41974</v>
      </c>
      <c r="C229" s="1">
        <v>42551</v>
      </c>
      <c r="D229" s="4" t="s">
        <v>680</v>
      </c>
      <c r="E229" s="32" t="s">
        <v>681</v>
      </c>
      <c r="F229" s="32">
        <v>23203943</v>
      </c>
      <c r="G229" t="s">
        <v>10</v>
      </c>
      <c r="H229" t="s">
        <v>11</v>
      </c>
      <c r="I229" t="s">
        <v>80</v>
      </c>
      <c r="J229" s="30" t="str">
        <f>IF(ISNUMBER(MATCH($D229,'Lopettaneet 2013-&gt;'!$D:$D,0)),INDEX('Lopettaneet 2013-&gt;'!$K:$K,MATCH($D229,'Lopettaneet 2013-&gt;'!$D:$D,0)),"Continues")</f>
        <v>Closed</v>
      </c>
      <c r="K229" s="30">
        <f ca="1">IF($J229="Continues",DATEDIF($B229,TODAY(),"Y"),INDEX('Lopettaneet 2013-&gt;'!$L:$L,MATCH($D229,'Lopettaneet 2013-&gt;'!$D:$D,0)))</f>
        <v>1</v>
      </c>
      <c r="L229" s="31" t="str">
        <f>IFERROR(INDEX('[1]30.06.2024'!$H:$H,MATCH($E229,'[1]30.06.2024'!$B:$B,0)),"Not found")</f>
        <v>Not found</v>
      </c>
      <c r="M229" s="31" t="str">
        <f>IFERROR(INDEX([2]Sheet1!$B:$B,MATCH($D229,[2]Sheet1!$A:$A,0)),"Not found")</f>
        <v>Not found</v>
      </c>
      <c r="N229">
        <f t="shared" si="6"/>
        <v>0</v>
      </c>
      <c r="O229">
        <f t="shared" si="7"/>
        <v>0</v>
      </c>
    </row>
    <row r="230" spans="1:15" x14ac:dyDescent="0.25">
      <c r="A230" t="s">
        <v>7</v>
      </c>
      <c r="B230" s="1">
        <v>41974</v>
      </c>
      <c r="C230" s="1">
        <v>42369</v>
      </c>
      <c r="D230" s="4" t="s">
        <v>682</v>
      </c>
      <c r="E230" s="32" t="s">
        <v>683</v>
      </c>
      <c r="F230" s="32">
        <v>22919528</v>
      </c>
      <c r="G230" t="s">
        <v>10</v>
      </c>
      <c r="H230" t="s">
        <v>11</v>
      </c>
      <c r="I230" t="s">
        <v>80</v>
      </c>
      <c r="J230" s="30" t="str">
        <f>IF(ISNUMBER(MATCH($D230,'Lopettaneet 2013-&gt;'!$D:$D,0)),INDEX('Lopettaneet 2013-&gt;'!$K:$K,MATCH($D230,'Lopettaneet 2013-&gt;'!$D:$D,0)),"Continues")</f>
        <v>Closed</v>
      </c>
      <c r="K230" s="30">
        <f ca="1">IF($J230="Continues",DATEDIF($B230,TODAY(),"Y"),INDEX('Lopettaneet 2013-&gt;'!$L:$L,MATCH($D230,'Lopettaneet 2013-&gt;'!$D:$D,0)))</f>
        <v>1</v>
      </c>
      <c r="L230" s="31" t="str">
        <f>IFERROR(INDEX('[1]30.06.2024'!$H:$H,MATCH($E230,'[1]30.06.2024'!$B:$B,0)),"Not found")</f>
        <v>Not found</v>
      </c>
      <c r="M230" s="31" t="str">
        <f>IFERROR(INDEX([2]Sheet1!$B:$B,MATCH($D230,[2]Sheet1!$A:$A,0)),"Not found")</f>
        <v>Not found</v>
      </c>
      <c r="N230">
        <f t="shared" si="6"/>
        <v>0</v>
      </c>
      <c r="O230">
        <f t="shared" si="7"/>
        <v>0</v>
      </c>
    </row>
    <row r="231" spans="1:15" x14ac:dyDescent="0.25">
      <c r="A231" t="s">
        <v>7</v>
      </c>
      <c r="B231" s="1">
        <v>41974</v>
      </c>
      <c r="C231" s="1">
        <v>43190</v>
      </c>
      <c r="D231" s="4" t="s">
        <v>684</v>
      </c>
      <c r="E231" s="32" t="s">
        <v>685</v>
      </c>
      <c r="F231" s="32">
        <v>23189344</v>
      </c>
      <c r="G231" t="s">
        <v>10</v>
      </c>
      <c r="H231" t="s">
        <v>11</v>
      </c>
      <c r="I231" t="s">
        <v>80</v>
      </c>
      <c r="J231" s="30" t="str">
        <f>IF(ISNUMBER(MATCH($D231,'Lopettaneet 2013-&gt;'!$D:$D,0)),INDEX('Lopettaneet 2013-&gt;'!$K:$K,MATCH($D231,'Lopettaneet 2013-&gt;'!$D:$D,0)),"Continues")</f>
        <v>Closed</v>
      </c>
      <c r="K231" s="30">
        <f ca="1">IF($J231="Continues",DATEDIF($B231,TODAY(),"Y"),INDEX('Lopettaneet 2013-&gt;'!$L:$L,MATCH($D231,'Lopettaneet 2013-&gt;'!$D:$D,0)))</f>
        <v>3</v>
      </c>
      <c r="L231" s="31" t="str">
        <f>IFERROR(INDEX('[1]30.06.2024'!$H:$H,MATCH($E231,'[1]30.06.2024'!$B:$B,0)),"Not found")</f>
        <v>Not found</v>
      </c>
      <c r="M231" s="31" t="str">
        <f>IFERROR(INDEX([2]Sheet1!$B:$B,MATCH($D231,[2]Sheet1!$A:$A,0)),"Not found")</f>
        <v>Not found</v>
      </c>
      <c r="N231">
        <f t="shared" si="6"/>
        <v>0</v>
      </c>
      <c r="O231">
        <f t="shared" si="7"/>
        <v>0</v>
      </c>
    </row>
    <row r="232" spans="1:15" x14ac:dyDescent="0.25">
      <c r="A232" t="s">
        <v>7</v>
      </c>
      <c r="B232" s="1">
        <v>41974</v>
      </c>
      <c r="C232" s="1">
        <v>55153</v>
      </c>
      <c r="D232" s="4" t="s">
        <v>686</v>
      </c>
      <c r="E232" s="32" t="s">
        <v>687</v>
      </c>
      <c r="F232" s="32">
        <v>20078059</v>
      </c>
      <c r="G232" t="s">
        <v>10</v>
      </c>
      <c r="H232" t="s">
        <v>11</v>
      </c>
      <c r="I232" t="s">
        <v>12</v>
      </c>
      <c r="J232" s="30" t="str">
        <f>IF(ISNUMBER(MATCH($D232,'Lopettaneet 2013-&gt;'!$D:$D,0)),INDEX('Lopettaneet 2013-&gt;'!$K:$K,MATCH($D232,'Lopettaneet 2013-&gt;'!$D:$D,0)),"Continues")</f>
        <v>Continues</v>
      </c>
      <c r="K232" s="30">
        <f ca="1">IF($J232="Continues",DATEDIF($B232,TODAY(),"Y"),INDEX('Lopettaneet 2013-&gt;'!$L:$L,MATCH($D232,'Lopettaneet 2013-&gt;'!$D:$D,0)))</f>
        <v>10</v>
      </c>
      <c r="L232" s="31" t="str">
        <f>IFERROR(INDEX('[1]30.06.2024'!$H:$H,MATCH($E232,'[1]30.06.2024'!$B:$B,0)),"Not found")</f>
        <v>Sentica Partners Oy</v>
      </c>
      <c r="M232" s="31" t="str">
        <f>IFERROR(INDEX([2]Sheet1!$B:$B,MATCH($D232,[2]Sheet1!$A:$A,0)),"Not found")</f>
        <v>Non-Retail</v>
      </c>
      <c r="N232">
        <f t="shared" si="6"/>
        <v>0</v>
      </c>
      <c r="O232">
        <f t="shared" si="7"/>
        <v>1</v>
      </c>
    </row>
    <row r="233" spans="1:15" x14ac:dyDescent="0.25">
      <c r="A233" t="s">
        <v>7</v>
      </c>
      <c r="B233" s="1">
        <v>41974</v>
      </c>
      <c r="C233" s="1">
        <v>55153</v>
      </c>
      <c r="D233" s="4" t="s">
        <v>688</v>
      </c>
      <c r="E233" s="32" t="s">
        <v>689</v>
      </c>
      <c r="F233" s="32">
        <v>26170649</v>
      </c>
      <c r="G233" t="s">
        <v>10</v>
      </c>
      <c r="H233" t="s">
        <v>11</v>
      </c>
      <c r="I233" t="s">
        <v>32</v>
      </c>
      <c r="J233" s="30" t="str">
        <f>IF(ISNUMBER(MATCH($D233,'Lopettaneet 2013-&gt;'!$D:$D,0)),INDEX('Lopettaneet 2013-&gt;'!$K:$K,MATCH($D233,'Lopettaneet 2013-&gt;'!$D:$D,0)),"Continues")</f>
        <v>Continues</v>
      </c>
      <c r="K233" s="30">
        <f ca="1">IF($J233="Continues",DATEDIF($B233,TODAY(),"Y"),INDEX('Lopettaneet 2013-&gt;'!$L:$L,MATCH($D233,'Lopettaneet 2013-&gt;'!$D:$D,0)))</f>
        <v>10</v>
      </c>
      <c r="L233" s="31" t="str">
        <f>IFERROR(INDEX('[1]30.06.2024'!$H:$H,MATCH($E233,'[1]30.06.2024'!$B:$B,0)),"Not found")</f>
        <v>Taaleri Pääomarahastot Oy</v>
      </c>
      <c r="M233" s="31" t="str">
        <f>IFERROR(INDEX([2]Sheet1!$B:$B,MATCH($D233,[2]Sheet1!$A:$A,0)),"Not found")</f>
        <v>Non-Retail</v>
      </c>
      <c r="N233">
        <f t="shared" si="6"/>
        <v>0</v>
      </c>
      <c r="O233">
        <f t="shared" si="7"/>
        <v>1</v>
      </c>
    </row>
    <row r="234" spans="1:15" x14ac:dyDescent="0.25">
      <c r="A234" t="s">
        <v>7</v>
      </c>
      <c r="B234" s="1">
        <v>41974</v>
      </c>
      <c r="C234" s="1">
        <v>44561</v>
      </c>
      <c r="D234" s="4" t="s">
        <v>690</v>
      </c>
      <c r="E234" s="32" t="s">
        <v>691</v>
      </c>
      <c r="F234" s="32">
        <v>23857752</v>
      </c>
      <c r="G234" t="s">
        <v>10</v>
      </c>
      <c r="H234" t="s">
        <v>11</v>
      </c>
      <c r="I234" t="s">
        <v>29</v>
      </c>
      <c r="J234" s="30" t="str">
        <f>IF(ISNUMBER(MATCH($D234,'Lopettaneet 2013-&gt;'!$D:$D,0)),INDEX('Lopettaneet 2013-&gt;'!$K:$K,MATCH($D234,'Lopettaneet 2013-&gt;'!$D:$D,0)),"Continues")</f>
        <v>Closed</v>
      </c>
      <c r="K234" s="30">
        <f ca="1">IF($J234="Continues",DATEDIF($B234,TODAY(),"Y"),INDEX('Lopettaneet 2013-&gt;'!$L:$L,MATCH($D234,'Lopettaneet 2013-&gt;'!$D:$D,0)))</f>
        <v>7</v>
      </c>
      <c r="L234" s="31" t="str">
        <f>IFERROR(INDEX('[1]30.06.2024'!$H:$H,MATCH($E234,'[1]30.06.2024'!$B:$B,0)),"Not found")</f>
        <v>Not found</v>
      </c>
      <c r="M234" s="31" t="str">
        <f>IFERROR(INDEX([2]Sheet1!$B:$B,MATCH($D234,[2]Sheet1!$A:$A,0)),"Not found")</f>
        <v>Not found</v>
      </c>
      <c r="N234">
        <f t="shared" si="6"/>
        <v>0</v>
      </c>
      <c r="O234">
        <f t="shared" si="7"/>
        <v>0</v>
      </c>
    </row>
    <row r="235" spans="1:15" x14ac:dyDescent="0.25">
      <c r="A235" t="s">
        <v>7</v>
      </c>
      <c r="B235" s="1">
        <v>41974</v>
      </c>
      <c r="C235" s="1">
        <v>55153</v>
      </c>
      <c r="D235" s="4" t="s">
        <v>692</v>
      </c>
      <c r="E235" s="32" t="s">
        <v>693</v>
      </c>
      <c r="F235" s="32">
        <v>26594257</v>
      </c>
      <c r="G235" t="s">
        <v>10</v>
      </c>
      <c r="H235" t="s">
        <v>11</v>
      </c>
      <c r="I235" t="s">
        <v>29</v>
      </c>
      <c r="J235" s="30" t="str">
        <f>IF(ISNUMBER(MATCH($D235,'Lopettaneet 2013-&gt;'!$D:$D,0)),INDEX('Lopettaneet 2013-&gt;'!$K:$K,MATCH($D235,'Lopettaneet 2013-&gt;'!$D:$D,0)),"Continues")</f>
        <v>Continues</v>
      </c>
      <c r="K235" s="30">
        <f ca="1">IF($J235="Continues",DATEDIF($B235,TODAY(),"Y"),INDEX('Lopettaneet 2013-&gt;'!$L:$L,MATCH($D235,'Lopettaneet 2013-&gt;'!$D:$D,0)))</f>
        <v>10</v>
      </c>
      <c r="L235" s="31" t="str">
        <f>IFERROR(INDEX('[1]30.06.2024'!$H:$H,MATCH($E235,'[1]30.06.2024'!$B:$B,0)),"Not found")</f>
        <v>Taaleri Pääomarahastot Oy</v>
      </c>
      <c r="M235" s="31" t="str">
        <f>IFERROR(INDEX([2]Sheet1!$B:$B,MATCH($D235,[2]Sheet1!$A:$A,0)),"Not found")</f>
        <v>Retail</v>
      </c>
      <c r="N235">
        <f t="shared" si="6"/>
        <v>1</v>
      </c>
      <c r="O235">
        <f t="shared" si="7"/>
        <v>0</v>
      </c>
    </row>
    <row r="236" spans="1:15" x14ac:dyDescent="0.25">
      <c r="A236" t="s">
        <v>7</v>
      </c>
      <c r="B236" s="1">
        <v>41974</v>
      </c>
      <c r="C236" s="1">
        <v>44561</v>
      </c>
      <c r="D236" s="4" t="s">
        <v>694</v>
      </c>
      <c r="E236" s="32" t="s">
        <v>695</v>
      </c>
      <c r="F236" s="32">
        <v>24854799</v>
      </c>
      <c r="G236" t="s">
        <v>10</v>
      </c>
      <c r="H236" t="s">
        <v>11</v>
      </c>
      <c r="I236" t="s">
        <v>32</v>
      </c>
      <c r="J236" s="30" t="str">
        <f>IF(ISNUMBER(MATCH($D236,'Lopettaneet 2013-&gt;'!$D:$D,0)),INDEX('Lopettaneet 2013-&gt;'!$K:$K,MATCH($D236,'Lopettaneet 2013-&gt;'!$D:$D,0)),"Continues")</f>
        <v>Closed</v>
      </c>
      <c r="K236" s="30">
        <f ca="1">IF($J236="Continues",DATEDIF($B236,TODAY(),"Y"),INDEX('Lopettaneet 2013-&gt;'!$L:$L,MATCH($D236,'Lopettaneet 2013-&gt;'!$D:$D,0)))</f>
        <v>7</v>
      </c>
      <c r="L236" s="31" t="str">
        <f>IFERROR(INDEX('[1]30.06.2024'!$H:$H,MATCH($E236,'[1]30.06.2024'!$B:$B,0)),"Not found")</f>
        <v>Not found</v>
      </c>
      <c r="M236" s="31" t="str">
        <f>IFERROR(INDEX([2]Sheet1!$B:$B,MATCH($D236,[2]Sheet1!$A:$A,0)),"Not found")</f>
        <v>Not found</v>
      </c>
      <c r="N236">
        <f t="shared" si="6"/>
        <v>0</v>
      </c>
      <c r="O236">
        <f t="shared" si="7"/>
        <v>0</v>
      </c>
    </row>
    <row r="237" spans="1:15" x14ac:dyDescent="0.25">
      <c r="A237" t="s">
        <v>7</v>
      </c>
      <c r="B237" s="1">
        <v>41974</v>
      </c>
      <c r="C237" s="1">
        <v>44561</v>
      </c>
      <c r="D237" s="4" t="s">
        <v>696</v>
      </c>
      <c r="E237" s="32" t="s">
        <v>697</v>
      </c>
      <c r="F237" s="32">
        <v>23953381</v>
      </c>
      <c r="G237" t="s">
        <v>10</v>
      </c>
      <c r="H237" t="s">
        <v>11</v>
      </c>
      <c r="I237" t="s">
        <v>29</v>
      </c>
      <c r="J237" s="30" t="str">
        <f>IF(ISNUMBER(MATCH($D237,'Lopettaneet 2013-&gt;'!$D:$D,0)),INDEX('Lopettaneet 2013-&gt;'!$K:$K,MATCH($D237,'Lopettaneet 2013-&gt;'!$D:$D,0)),"Continues")</f>
        <v>Closed</v>
      </c>
      <c r="K237" s="30">
        <f ca="1">IF($J237="Continues",DATEDIF($B237,TODAY(),"Y"),INDEX('Lopettaneet 2013-&gt;'!$L:$L,MATCH($D237,'Lopettaneet 2013-&gt;'!$D:$D,0)))</f>
        <v>7</v>
      </c>
      <c r="L237" s="31" t="str">
        <f>IFERROR(INDEX('[1]30.06.2024'!$H:$H,MATCH($E237,'[1]30.06.2024'!$B:$B,0)),"Not found")</f>
        <v>Not found</v>
      </c>
      <c r="M237" s="31" t="str">
        <f>IFERROR(INDEX([2]Sheet1!$B:$B,MATCH($D237,[2]Sheet1!$A:$A,0)),"Not found")</f>
        <v>Not found</v>
      </c>
      <c r="N237">
        <f t="shared" si="6"/>
        <v>0</v>
      </c>
      <c r="O237">
        <f t="shared" si="7"/>
        <v>0</v>
      </c>
    </row>
    <row r="238" spans="1:15" x14ac:dyDescent="0.25">
      <c r="A238" t="s">
        <v>7</v>
      </c>
      <c r="B238" s="1">
        <v>41974</v>
      </c>
      <c r="C238" s="1">
        <v>43890</v>
      </c>
      <c r="D238" s="4" t="s">
        <v>698</v>
      </c>
      <c r="E238" s="32" t="s">
        <v>699</v>
      </c>
      <c r="F238" s="32">
        <v>24670260</v>
      </c>
      <c r="G238" t="s">
        <v>10</v>
      </c>
      <c r="H238" t="s">
        <v>11</v>
      </c>
      <c r="I238" t="s">
        <v>80</v>
      </c>
      <c r="J238" s="30" t="str">
        <f>IF(ISNUMBER(MATCH($D238,'Lopettaneet 2013-&gt;'!$D:$D,0)),INDEX('Lopettaneet 2013-&gt;'!$K:$K,MATCH($D238,'Lopettaneet 2013-&gt;'!$D:$D,0)),"Continues")</f>
        <v>Closed</v>
      </c>
      <c r="K238" s="30">
        <f ca="1">IF($J238="Continues",DATEDIF($B238,TODAY(),"Y"),INDEX('Lopettaneet 2013-&gt;'!$L:$L,MATCH($D238,'Lopettaneet 2013-&gt;'!$D:$D,0)))</f>
        <v>5</v>
      </c>
      <c r="L238" s="31" t="str">
        <f>IFERROR(INDEX('[1]30.06.2024'!$H:$H,MATCH($E238,'[1]30.06.2024'!$B:$B,0)),"Not found")</f>
        <v>Not found</v>
      </c>
      <c r="M238" s="31" t="str">
        <f>IFERROR(INDEX([2]Sheet1!$B:$B,MATCH($D238,[2]Sheet1!$A:$A,0)),"Not found")</f>
        <v>Not found</v>
      </c>
      <c r="N238">
        <f t="shared" si="6"/>
        <v>0</v>
      </c>
      <c r="O238">
        <f t="shared" si="7"/>
        <v>0</v>
      </c>
    </row>
    <row r="239" spans="1:15" x14ac:dyDescent="0.25">
      <c r="A239" t="s">
        <v>7</v>
      </c>
      <c r="B239" s="1">
        <v>41974</v>
      </c>
      <c r="C239" s="1">
        <v>55153</v>
      </c>
      <c r="D239" s="4" t="s">
        <v>700</v>
      </c>
      <c r="E239" s="32" t="s">
        <v>701</v>
      </c>
      <c r="F239" s="32">
        <v>24403250</v>
      </c>
      <c r="G239" t="s">
        <v>10</v>
      </c>
      <c r="H239" t="s">
        <v>11</v>
      </c>
      <c r="I239" t="s">
        <v>32</v>
      </c>
      <c r="J239" s="30" t="str">
        <f>IF(ISNUMBER(MATCH($D239,'Lopettaneet 2013-&gt;'!$D:$D,0)),INDEX('Lopettaneet 2013-&gt;'!$K:$K,MATCH($D239,'Lopettaneet 2013-&gt;'!$D:$D,0)),"Continues")</f>
        <v>Continues</v>
      </c>
      <c r="K239" s="30">
        <f ca="1">IF($J239="Continues",DATEDIF($B239,TODAY(),"Y"),INDEX('Lopettaneet 2013-&gt;'!$L:$L,MATCH($D239,'Lopettaneet 2013-&gt;'!$D:$D,0)))</f>
        <v>10</v>
      </c>
      <c r="L239" s="31" t="str">
        <f>IFERROR(INDEX('[1]30.06.2024'!$H:$H,MATCH($E239,'[1]30.06.2024'!$B:$B,0)),"Not found")</f>
        <v>Taaleri Pääomarahastot Oy</v>
      </c>
      <c r="M239" s="31" t="str">
        <f>IFERROR(INDEX([2]Sheet1!$B:$B,MATCH($D239,[2]Sheet1!$A:$A,0)),"Not found")</f>
        <v>Non-Retail</v>
      </c>
      <c r="N239">
        <f t="shared" si="6"/>
        <v>0</v>
      </c>
      <c r="O239">
        <f t="shared" si="7"/>
        <v>1</v>
      </c>
    </row>
    <row r="240" spans="1:15" x14ac:dyDescent="0.25">
      <c r="A240" t="s">
        <v>7</v>
      </c>
      <c r="B240" s="1">
        <v>41974</v>
      </c>
      <c r="C240" s="1">
        <v>43100</v>
      </c>
      <c r="D240" s="4" t="s">
        <v>702</v>
      </c>
      <c r="E240" s="32" t="s">
        <v>703</v>
      </c>
      <c r="F240" s="32">
        <v>25164191</v>
      </c>
      <c r="G240" t="s">
        <v>10</v>
      </c>
      <c r="H240" t="s">
        <v>11</v>
      </c>
      <c r="I240" t="s">
        <v>29</v>
      </c>
      <c r="J240" s="30" t="str">
        <f>IF(ISNUMBER(MATCH($D240,'Lopettaneet 2013-&gt;'!$D:$D,0)),INDEX('Lopettaneet 2013-&gt;'!$K:$K,MATCH($D240,'Lopettaneet 2013-&gt;'!$D:$D,0)),"Continues")</f>
        <v>Closed</v>
      </c>
      <c r="K240" s="30">
        <f ca="1">IF($J240="Continues",DATEDIF($B240,TODAY(),"Y"),INDEX('Lopettaneet 2013-&gt;'!$L:$L,MATCH($D240,'Lopettaneet 2013-&gt;'!$D:$D,0)))</f>
        <v>3</v>
      </c>
      <c r="L240" s="31" t="str">
        <f>IFERROR(INDEX('[1]30.06.2024'!$H:$H,MATCH($E240,'[1]30.06.2024'!$B:$B,0)),"Not found")</f>
        <v>Not found</v>
      </c>
      <c r="M240" s="31" t="str">
        <f>IFERROR(INDEX([2]Sheet1!$B:$B,MATCH($D240,[2]Sheet1!$A:$A,0)),"Not found")</f>
        <v>Not found</v>
      </c>
      <c r="N240">
        <f t="shared" si="6"/>
        <v>0</v>
      </c>
      <c r="O240">
        <f t="shared" si="7"/>
        <v>0</v>
      </c>
    </row>
    <row r="241" spans="1:15" x14ac:dyDescent="0.25">
      <c r="A241" t="s">
        <v>7</v>
      </c>
      <c r="B241" s="1">
        <v>41974</v>
      </c>
      <c r="C241" s="1">
        <v>55153</v>
      </c>
      <c r="D241" s="4" t="s">
        <v>704</v>
      </c>
      <c r="E241" s="32" t="s">
        <v>705</v>
      </c>
      <c r="F241" s="32">
        <v>26015622</v>
      </c>
      <c r="G241" t="s">
        <v>10</v>
      </c>
      <c r="H241" t="s">
        <v>11</v>
      </c>
      <c r="I241" t="s">
        <v>32</v>
      </c>
      <c r="J241" s="30" t="str">
        <f>IF(ISNUMBER(MATCH($D241,'Lopettaneet 2013-&gt;'!$D:$D,0)),INDEX('Lopettaneet 2013-&gt;'!$K:$K,MATCH($D241,'Lopettaneet 2013-&gt;'!$D:$D,0)),"Continues")</f>
        <v>Continues</v>
      </c>
      <c r="K241" s="30">
        <f ca="1">IF($J241="Continues",DATEDIF($B241,TODAY(),"Y"),INDEX('Lopettaneet 2013-&gt;'!$L:$L,MATCH($D241,'Lopettaneet 2013-&gt;'!$D:$D,0)))</f>
        <v>10</v>
      </c>
      <c r="L241" s="31" t="str">
        <f>IFERROR(INDEX('[1]30.06.2024'!$H:$H,MATCH($E241,'[1]30.06.2024'!$B:$B,0)),"Not found")</f>
        <v>Taaleri Pääomarahastot Oy</v>
      </c>
      <c r="M241" s="31" t="str">
        <f>IFERROR(INDEX([2]Sheet1!$B:$B,MATCH($D241,[2]Sheet1!$A:$A,0)),"Not found")</f>
        <v>Non-Retail</v>
      </c>
      <c r="N241">
        <f t="shared" si="6"/>
        <v>0</v>
      </c>
      <c r="O241">
        <f t="shared" si="7"/>
        <v>1</v>
      </c>
    </row>
    <row r="242" spans="1:15" x14ac:dyDescent="0.25">
      <c r="A242" t="s">
        <v>7</v>
      </c>
      <c r="B242" s="1">
        <v>41974</v>
      </c>
      <c r="C242" s="1">
        <v>44834</v>
      </c>
      <c r="D242" s="4" t="s">
        <v>706</v>
      </c>
      <c r="E242" s="32" t="s">
        <v>707</v>
      </c>
      <c r="F242" s="32">
        <v>24213510</v>
      </c>
      <c r="G242" t="s">
        <v>10</v>
      </c>
      <c r="H242" t="s">
        <v>11</v>
      </c>
      <c r="I242" t="s">
        <v>32</v>
      </c>
      <c r="J242" s="30" t="str">
        <f>IF(ISNUMBER(MATCH($D242,'Lopettaneet 2013-&gt;'!$D:$D,0)),INDEX('Lopettaneet 2013-&gt;'!$K:$K,MATCH($D242,'Lopettaneet 2013-&gt;'!$D:$D,0)),"Continues")</f>
        <v>Closed</v>
      </c>
      <c r="K242" s="30">
        <f ca="1">IF($J242="Continues",DATEDIF($B242,TODAY(),"Y"),INDEX('Lopettaneet 2013-&gt;'!$L:$L,MATCH($D242,'Lopettaneet 2013-&gt;'!$D:$D,0)))</f>
        <v>7</v>
      </c>
      <c r="L242" s="31" t="str">
        <f>IFERROR(INDEX('[1]30.06.2024'!$H:$H,MATCH($E242,'[1]30.06.2024'!$B:$B,0)),"Not found")</f>
        <v>Not found</v>
      </c>
      <c r="M242" s="31" t="str">
        <f>IFERROR(INDEX([2]Sheet1!$B:$B,MATCH($D242,[2]Sheet1!$A:$A,0)),"Not found")</f>
        <v>Not found</v>
      </c>
      <c r="N242">
        <f t="shared" si="6"/>
        <v>0</v>
      </c>
      <c r="O242">
        <f t="shared" si="7"/>
        <v>0</v>
      </c>
    </row>
    <row r="243" spans="1:15" x14ac:dyDescent="0.25">
      <c r="A243" t="s">
        <v>7</v>
      </c>
      <c r="B243" s="1">
        <v>41974</v>
      </c>
      <c r="C243" s="1">
        <v>55153</v>
      </c>
      <c r="D243" s="4" t="s">
        <v>708</v>
      </c>
      <c r="E243" s="32" t="s">
        <v>709</v>
      </c>
      <c r="F243" s="32">
        <v>26333591</v>
      </c>
      <c r="G243" t="s">
        <v>10</v>
      </c>
      <c r="H243" t="s">
        <v>11</v>
      </c>
      <c r="I243" t="s">
        <v>29</v>
      </c>
      <c r="J243" s="30" t="str">
        <f>IF(ISNUMBER(MATCH($D243,'Lopettaneet 2013-&gt;'!$D:$D,0)),INDEX('Lopettaneet 2013-&gt;'!$K:$K,MATCH($D243,'Lopettaneet 2013-&gt;'!$D:$D,0)),"Continues")</f>
        <v>Continues</v>
      </c>
      <c r="K243" s="30">
        <f ca="1">IF($J243="Continues",DATEDIF($B243,TODAY(),"Y"),INDEX('Lopettaneet 2013-&gt;'!$L:$L,MATCH($D243,'Lopettaneet 2013-&gt;'!$D:$D,0)))</f>
        <v>10</v>
      </c>
      <c r="L243" s="31" t="str">
        <f>IFERROR(INDEX('[1]30.06.2024'!$H:$H,MATCH($E243,'[1]30.06.2024'!$B:$B,0)),"Not found")</f>
        <v>Taaleri Pääomarahastot Oy</v>
      </c>
      <c r="M243" s="31" t="str">
        <f>IFERROR(INDEX([2]Sheet1!$B:$B,MATCH($D243,[2]Sheet1!$A:$A,0)),"Not found")</f>
        <v>Non-Retail</v>
      </c>
      <c r="N243">
        <f t="shared" si="6"/>
        <v>0</v>
      </c>
      <c r="O243">
        <f t="shared" si="7"/>
        <v>1</v>
      </c>
    </row>
    <row r="244" spans="1:15" x14ac:dyDescent="0.25">
      <c r="A244" t="s">
        <v>7</v>
      </c>
      <c r="B244" s="1">
        <v>41974</v>
      </c>
      <c r="C244" s="1">
        <v>44469</v>
      </c>
      <c r="D244" s="4" t="s">
        <v>710</v>
      </c>
      <c r="E244" s="32" t="s">
        <v>711</v>
      </c>
      <c r="F244" s="32">
        <v>24904354</v>
      </c>
      <c r="G244" t="s">
        <v>10</v>
      </c>
      <c r="H244" t="s">
        <v>11</v>
      </c>
      <c r="I244" t="s">
        <v>32</v>
      </c>
      <c r="J244" s="30" t="str">
        <f>IF(ISNUMBER(MATCH($D244,'Lopettaneet 2013-&gt;'!$D:$D,0)),INDEX('Lopettaneet 2013-&gt;'!$K:$K,MATCH($D244,'Lopettaneet 2013-&gt;'!$D:$D,0)),"Continues")</f>
        <v>Closed</v>
      </c>
      <c r="K244" s="30">
        <f ca="1">IF($J244="Continues",DATEDIF($B244,TODAY(),"Y"),INDEX('Lopettaneet 2013-&gt;'!$L:$L,MATCH($D244,'Lopettaneet 2013-&gt;'!$D:$D,0)))</f>
        <v>6</v>
      </c>
      <c r="L244" s="31" t="str">
        <f>IFERROR(INDEX('[1]30.06.2024'!$H:$H,MATCH($E244,'[1]30.06.2024'!$B:$B,0)),"Not found")</f>
        <v>Not found</v>
      </c>
      <c r="M244" s="31" t="str">
        <f>IFERROR(INDEX([2]Sheet1!$B:$B,MATCH($D244,[2]Sheet1!$A:$A,0)),"Not found")</f>
        <v>Not found</v>
      </c>
      <c r="N244">
        <f t="shared" si="6"/>
        <v>0</v>
      </c>
      <c r="O244">
        <f t="shared" si="7"/>
        <v>0</v>
      </c>
    </row>
    <row r="245" spans="1:15" x14ac:dyDescent="0.25">
      <c r="A245" t="s">
        <v>7</v>
      </c>
      <c r="B245" s="1">
        <v>41974</v>
      </c>
      <c r="C245" s="1">
        <v>43100</v>
      </c>
      <c r="D245" s="4" t="s">
        <v>712</v>
      </c>
      <c r="E245" s="32" t="s">
        <v>713</v>
      </c>
      <c r="F245" s="32">
        <v>25131971</v>
      </c>
      <c r="G245" t="s">
        <v>10</v>
      </c>
      <c r="H245" t="s">
        <v>11</v>
      </c>
      <c r="I245" t="s">
        <v>29</v>
      </c>
      <c r="J245" s="30" t="str">
        <f>IF(ISNUMBER(MATCH($D245,'Lopettaneet 2013-&gt;'!$D:$D,0)),INDEX('Lopettaneet 2013-&gt;'!$K:$K,MATCH($D245,'Lopettaneet 2013-&gt;'!$D:$D,0)),"Continues")</f>
        <v>Closed</v>
      </c>
      <c r="K245" s="30">
        <f ca="1">IF($J245="Continues",DATEDIF($B245,TODAY(),"Y"),INDEX('Lopettaneet 2013-&gt;'!$L:$L,MATCH($D245,'Lopettaneet 2013-&gt;'!$D:$D,0)))</f>
        <v>3</v>
      </c>
      <c r="L245" s="31" t="str">
        <f>IFERROR(INDEX('[1]30.06.2024'!$H:$H,MATCH($E245,'[1]30.06.2024'!$B:$B,0)),"Not found")</f>
        <v>Not found</v>
      </c>
      <c r="M245" s="31" t="str">
        <f>IFERROR(INDEX([2]Sheet1!$B:$B,MATCH($D245,[2]Sheet1!$A:$A,0)),"Not found")</f>
        <v>Not found</v>
      </c>
      <c r="N245">
        <f t="shared" si="6"/>
        <v>0</v>
      </c>
      <c r="O245">
        <f t="shared" si="7"/>
        <v>0</v>
      </c>
    </row>
    <row r="246" spans="1:15" x14ac:dyDescent="0.25">
      <c r="A246" t="s">
        <v>7</v>
      </c>
      <c r="B246" s="1">
        <v>41974</v>
      </c>
      <c r="C246" s="1">
        <v>43830</v>
      </c>
      <c r="D246" s="4" t="s">
        <v>714</v>
      </c>
      <c r="E246" s="32" t="s">
        <v>715</v>
      </c>
      <c r="F246" s="32">
        <v>23676740</v>
      </c>
      <c r="G246" t="s">
        <v>10</v>
      </c>
      <c r="H246" t="s">
        <v>11</v>
      </c>
      <c r="I246" t="s">
        <v>32</v>
      </c>
      <c r="J246" s="30" t="str">
        <f>IF(ISNUMBER(MATCH($D246,'Lopettaneet 2013-&gt;'!$D:$D,0)),INDEX('Lopettaneet 2013-&gt;'!$K:$K,MATCH($D246,'Lopettaneet 2013-&gt;'!$D:$D,0)),"Continues")</f>
        <v>Closed</v>
      </c>
      <c r="K246" s="30">
        <f ca="1">IF($J246="Continues",DATEDIF($B246,TODAY(),"Y"),INDEX('Lopettaneet 2013-&gt;'!$L:$L,MATCH($D246,'Lopettaneet 2013-&gt;'!$D:$D,0)))</f>
        <v>5</v>
      </c>
      <c r="L246" s="31" t="str">
        <f>IFERROR(INDEX('[1]30.06.2024'!$H:$H,MATCH($E246,'[1]30.06.2024'!$B:$B,0)),"Not found")</f>
        <v>Not found</v>
      </c>
      <c r="M246" s="31" t="str">
        <f>IFERROR(INDEX([2]Sheet1!$B:$B,MATCH($D246,[2]Sheet1!$A:$A,0)),"Not found")</f>
        <v>Not found</v>
      </c>
      <c r="N246">
        <f t="shared" si="6"/>
        <v>0</v>
      </c>
      <c r="O246">
        <f t="shared" si="7"/>
        <v>0</v>
      </c>
    </row>
    <row r="247" spans="1:15" x14ac:dyDescent="0.25">
      <c r="A247" t="s">
        <v>7</v>
      </c>
      <c r="B247" s="1">
        <v>41974</v>
      </c>
      <c r="C247" s="1">
        <v>55153</v>
      </c>
      <c r="D247" s="4" t="s">
        <v>716</v>
      </c>
      <c r="E247" s="32" t="s">
        <v>717</v>
      </c>
      <c r="F247" s="32">
        <v>23835895</v>
      </c>
      <c r="G247" t="s">
        <v>10</v>
      </c>
      <c r="H247" t="s">
        <v>11</v>
      </c>
      <c r="I247" t="s">
        <v>32</v>
      </c>
      <c r="J247" s="30" t="str">
        <f>IF(ISNUMBER(MATCH($D247,'Lopettaneet 2013-&gt;'!$D:$D,0)),INDEX('Lopettaneet 2013-&gt;'!$K:$K,MATCH($D247,'Lopettaneet 2013-&gt;'!$D:$D,0)),"Continues")</f>
        <v>Continues</v>
      </c>
      <c r="K247" s="30">
        <f ca="1">IF($J247="Continues",DATEDIF($B247,TODAY(),"Y"),INDEX('Lopettaneet 2013-&gt;'!$L:$L,MATCH($D247,'Lopettaneet 2013-&gt;'!$D:$D,0)))</f>
        <v>10</v>
      </c>
      <c r="L247" s="31" t="str">
        <f>IFERROR(INDEX('[1]30.06.2024'!$H:$H,MATCH($E247,'[1]30.06.2024'!$B:$B,0)),"Not found")</f>
        <v>Taaleri Pääomarahastot Oy</v>
      </c>
      <c r="M247" s="31" t="str">
        <f>IFERROR(INDEX([2]Sheet1!$B:$B,MATCH($D247,[2]Sheet1!$A:$A,0)),"Not found")</f>
        <v>Non-Retail</v>
      </c>
      <c r="N247">
        <f t="shared" si="6"/>
        <v>0</v>
      </c>
      <c r="O247">
        <f t="shared" si="7"/>
        <v>1</v>
      </c>
    </row>
    <row r="248" spans="1:15" x14ac:dyDescent="0.25">
      <c r="A248" t="s">
        <v>7</v>
      </c>
      <c r="B248" s="1">
        <v>41974</v>
      </c>
      <c r="C248" s="1">
        <v>44561</v>
      </c>
      <c r="D248" s="4" t="s">
        <v>718</v>
      </c>
      <c r="E248" s="32" t="s">
        <v>719</v>
      </c>
      <c r="F248" s="32">
        <v>26278596</v>
      </c>
      <c r="G248" t="s">
        <v>10</v>
      </c>
      <c r="H248" t="s">
        <v>11</v>
      </c>
      <c r="I248" t="s">
        <v>12</v>
      </c>
      <c r="J248" s="30" t="str">
        <f>IF(ISNUMBER(MATCH($D248,'Lopettaneet 2013-&gt;'!$D:$D,0)),INDEX('Lopettaneet 2013-&gt;'!$K:$K,MATCH($D248,'Lopettaneet 2013-&gt;'!$D:$D,0)),"Continues")</f>
        <v>Closed</v>
      </c>
      <c r="K248" s="30">
        <f ca="1">IF($J248="Continues",DATEDIF($B248,TODAY(),"Y"),INDEX('Lopettaneet 2013-&gt;'!$L:$L,MATCH($D248,'Lopettaneet 2013-&gt;'!$D:$D,0)))</f>
        <v>7</v>
      </c>
      <c r="L248" s="31" t="str">
        <f>IFERROR(INDEX('[1]30.06.2024'!$H:$H,MATCH($E248,'[1]30.06.2024'!$B:$B,0)),"Not found")</f>
        <v>Not found</v>
      </c>
      <c r="M248" s="31" t="str">
        <f>IFERROR(INDEX([2]Sheet1!$B:$B,MATCH($D248,[2]Sheet1!$A:$A,0)),"Not found")</f>
        <v>Not found</v>
      </c>
      <c r="N248">
        <f t="shared" si="6"/>
        <v>0</v>
      </c>
      <c r="O248">
        <f t="shared" si="7"/>
        <v>0</v>
      </c>
    </row>
    <row r="249" spans="1:15" x14ac:dyDescent="0.25">
      <c r="A249" t="s">
        <v>7</v>
      </c>
      <c r="B249" s="1">
        <v>41974</v>
      </c>
      <c r="C249" s="1">
        <v>55153</v>
      </c>
      <c r="D249" s="4" t="s">
        <v>720</v>
      </c>
      <c r="E249" s="32" t="s">
        <v>721</v>
      </c>
      <c r="F249" s="32">
        <v>23444923</v>
      </c>
      <c r="G249" t="s">
        <v>10</v>
      </c>
      <c r="H249" t="s">
        <v>11</v>
      </c>
      <c r="I249" t="s">
        <v>80</v>
      </c>
      <c r="J249" s="30" t="str">
        <f>IF(ISNUMBER(MATCH($D249,'Lopettaneet 2013-&gt;'!$D:$D,0)),INDEX('Lopettaneet 2013-&gt;'!$K:$K,MATCH($D249,'Lopettaneet 2013-&gt;'!$D:$D,0)),"Continues")</f>
        <v>Continues</v>
      </c>
      <c r="K249" s="30">
        <f ca="1">IF($J249="Continues",DATEDIF($B249,TODAY(),"Y"),INDEX('Lopettaneet 2013-&gt;'!$L:$L,MATCH($D249,'Lopettaneet 2013-&gt;'!$D:$D,0)))</f>
        <v>10</v>
      </c>
      <c r="L249" s="31" t="str">
        <f>IFERROR(INDEX('[1]30.06.2024'!$H:$H,MATCH($E249,'[1]30.06.2024'!$B:$B,0)),"Not found")</f>
        <v>Essedel Capital Partners Oy</v>
      </c>
      <c r="M249" s="31" t="str">
        <f>IFERROR(INDEX([2]Sheet1!$B:$B,MATCH($D249,[2]Sheet1!$A:$A,0)),"Not found")</f>
        <v>Non-Retail</v>
      </c>
      <c r="N249">
        <f t="shared" si="6"/>
        <v>0</v>
      </c>
      <c r="O249">
        <f t="shared" si="7"/>
        <v>1</v>
      </c>
    </row>
    <row r="250" spans="1:15" x14ac:dyDescent="0.25">
      <c r="A250" t="s">
        <v>7</v>
      </c>
      <c r="B250" s="1">
        <v>41974</v>
      </c>
      <c r="C250" s="1">
        <v>55153</v>
      </c>
      <c r="D250" s="4" t="s">
        <v>722</v>
      </c>
      <c r="E250" s="32" t="s">
        <v>723</v>
      </c>
      <c r="F250" s="32">
        <v>26837618</v>
      </c>
      <c r="G250" t="s">
        <v>10</v>
      </c>
      <c r="H250" t="s">
        <v>11</v>
      </c>
      <c r="I250" t="s">
        <v>12</v>
      </c>
      <c r="J250" s="30" t="str">
        <f>IF(ISNUMBER(MATCH($D250,'Lopettaneet 2013-&gt;'!$D:$D,0)),INDEX('Lopettaneet 2013-&gt;'!$K:$K,MATCH($D250,'Lopettaneet 2013-&gt;'!$D:$D,0)),"Continues")</f>
        <v>Continues</v>
      </c>
      <c r="K250" s="30">
        <f ca="1">IF($J250="Continues",DATEDIF($B250,TODAY(),"Y"),INDEX('Lopettaneet 2013-&gt;'!$L:$L,MATCH($D250,'Lopettaneet 2013-&gt;'!$D:$D,0)))</f>
        <v>10</v>
      </c>
      <c r="L250" s="31" t="str">
        <f>IFERROR(INDEX('[1]30.06.2024'!$H:$H,MATCH($E250,'[1]30.06.2024'!$B:$B,0)),"Not found")</f>
        <v>Juuri Partners Oy</v>
      </c>
      <c r="M250" s="31" t="str">
        <f>IFERROR(INDEX([2]Sheet1!$B:$B,MATCH($D250,[2]Sheet1!$A:$A,0)),"Not found")</f>
        <v>Non-Retail</v>
      </c>
      <c r="N250">
        <f t="shared" si="6"/>
        <v>0</v>
      </c>
      <c r="O250">
        <f t="shared" si="7"/>
        <v>1</v>
      </c>
    </row>
    <row r="251" spans="1:15" x14ac:dyDescent="0.25">
      <c r="A251" t="s">
        <v>7</v>
      </c>
      <c r="B251" s="1">
        <v>41974</v>
      </c>
      <c r="C251" s="1">
        <v>55153</v>
      </c>
      <c r="D251" s="4" t="s">
        <v>724</v>
      </c>
      <c r="E251" s="32" t="s">
        <v>725</v>
      </c>
      <c r="F251" s="32">
        <v>25844306</v>
      </c>
      <c r="G251" t="s">
        <v>10</v>
      </c>
      <c r="H251" t="s">
        <v>11</v>
      </c>
      <c r="I251" t="s">
        <v>32</v>
      </c>
      <c r="J251" s="30" t="str">
        <f>IF(ISNUMBER(MATCH($D251,'Lopettaneet 2013-&gt;'!$D:$D,0)),INDEX('Lopettaneet 2013-&gt;'!$K:$K,MATCH($D251,'Lopettaneet 2013-&gt;'!$D:$D,0)),"Continues")</f>
        <v>Continues</v>
      </c>
      <c r="K251" s="30">
        <f ca="1">IF($J251="Continues",DATEDIF($B251,TODAY(),"Y"),INDEX('Lopettaneet 2013-&gt;'!$L:$L,MATCH($D251,'Lopettaneet 2013-&gt;'!$D:$D,0)))</f>
        <v>10</v>
      </c>
      <c r="L251" s="31" t="str">
        <f>IFERROR(INDEX('[1]30.06.2024'!$H:$H,MATCH($E251,'[1]30.06.2024'!$B:$B,0)),"Not found")</f>
        <v>CapMan Endowment GP Oy</v>
      </c>
      <c r="M251" s="31" t="str">
        <f>IFERROR(INDEX([2]Sheet1!$B:$B,MATCH($D251,[2]Sheet1!$A:$A,0)),"Not found")</f>
        <v>Non-Retail</v>
      </c>
      <c r="N251">
        <f t="shared" si="6"/>
        <v>0</v>
      </c>
      <c r="O251">
        <f t="shared" si="7"/>
        <v>1</v>
      </c>
    </row>
    <row r="252" spans="1:15" x14ac:dyDescent="0.25">
      <c r="A252" t="s">
        <v>7</v>
      </c>
      <c r="B252" s="1">
        <v>41974</v>
      </c>
      <c r="C252" s="1">
        <v>44834</v>
      </c>
      <c r="D252" s="4" t="s">
        <v>726</v>
      </c>
      <c r="E252" s="32" t="s">
        <v>727</v>
      </c>
      <c r="F252" s="32">
        <v>25416731</v>
      </c>
      <c r="G252" t="s">
        <v>10</v>
      </c>
      <c r="H252" t="s">
        <v>11</v>
      </c>
      <c r="I252" t="s">
        <v>32</v>
      </c>
      <c r="J252" s="30" t="str">
        <f>IF(ISNUMBER(MATCH($D252,'Lopettaneet 2013-&gt;'!$D:$D,0)),INDEX('Lopettaneet 2013-&gt;'!$K:$K,MATCH($D252,'Lopettaneet 2013-&gt;'!$D:$D,0)),"Continues")</f>
        <v>Closed</v>
      </c>
      <c r="K252" s="30">
        <f ca="1">IF($J252="Continues",DATEDIF($B252,TODAY(),"Y"),INDEX('Lopettaneet 2013-&gt;'!$L:$L,MATCH($D252,'Lopettaneet 2013-&gt;'!$D:$D,0)))</f>
        <v>7</v>
      </c>
      <c r="L252" s="31" t="str">
        <f>IFERROR(INDEX('[1]30.06.2024'!$H:$H,MATCH($E252,'[1]30.06.2024'!$B:$B,0)),"Not found")</f>
        <v>Not found</v>
      </c>
      <c r="M252" s="31" t="str">
        <f>IFERROR(INDEX([2]Sheet1!$B:$B,MATCH($D252,[2]Sheet1!$A:$A,0)),"Not found")</f>
        <v>Not found</v>
      </c>
      <c r="N252">
        <f t="shared" si="6"/>
        <v>0</v>
      </c>
      <c r="O252">
        <f t="shared" si="7"/>
        <v>0</v>
      </c>
    </row>
    <row r="253" spans="1:15" x14ac:dyDescent="0.25">
      <c r="A253" t="s">
        <v>7</v>
      </c>
      <c r="B253" s="1">
        <v>41974</v>
      </c>
      <c r="C253" s="1">
        <v>55153</v>
      </c>
      <c r="D253" s="4" t="s">
        <v>728</v>
      </c>
      <c r="E253" s="32" t="s">
        <v>729</v>
      </c>
      <c r="F253" s="32">
        <v>25668664</v>
      </c>
      <c r="G253" t="s">
        <v>10</v>
      </c>
      <c r="H253" t="s">
        <v>11</v>
      </c>
      <c r="I253" t="s">
        <v>80</v>
      </c>
      <c r="J253" s="30" t="str">
        <f>IF(ISNUMBER(MATCH($D253,'Lopettaneet 2013-&gt;'!$D:$D,0)),INDEX('Lopettaneet 2013-&gt;'!$K:$K,MATCH($D253,'Lopettaneet 2013-&gt;'!$D:$D,0)),"Continues")</f>
        <v>Continues</v>
      </c>
      <c r="K253" s="30">
        <f ca="1">IF($J253="Continues",DATEDIF($B253,TODAY(),"Y"),INDEX('Lopettaneet 2013-&gt;'!$L:$L,MATCH($D253,'Lopettaneet 2013-&gt;'!$D:$D,0)))</f>
        <v>10</v>
      </c>
      <c r="L253" s="31" t="str">
        <f>IFERROR(INDEX('[1]30.06.2024'!$H:$H,MATCH($E253,'[1]30.06.2024'!$B:$B,0)),"Not found")</f>
        <v>Yrityskiihdyttämö East Wings Oy</v>
      </c>
      <c r="M253" s="31" t="str">
        <f>IFERROR(INDEX([2]Sheet1!$B:$B,MATCH($D253,[2]Sheet1!$A:$A,0)),"Not found")</f>
        <v>Non-Retail</v>
      </c>
      <c r="N253">
        <f t="shared" si="6"/>
        <v>0</v>
      </c>
      <c r="O253">
        <f t="shared" si="7"/>
        <v>1</v>
      </c>
    </row>
    <row r="254" spans="1:15" x14ac:dyDescent="0.25">
      <c r="A254" t="s">
        <v>7</v>
      </c>
      <c r="B254" s="1">
        <v>41974</v>
      </c>
      <c r="C254" s="1">
        <v>55153</v>
      </c>
      <c r="D254" s="4" t="s">
        <v>730</v>
      </c>
      <c r="E254" s="32" t="s">
        <v>731</v>
      </c>
      <c r="F254" s="32">
        <v>25194139</v>
      </c>
      <c r="G254" t="s">
        <v>10</v>
      </c>
      <c r="H254" t="s">
        <v>11</v>
      </c>
      <c r="I254" t="s">
        <v>32</v>
      </c>
      <c r="J254" s="30" t="str">
        <f>IF(ISNUMBER(MATCH($D254,'Lopettaneet 2013-&gt;'!$D:$D,0)),INDEX('Lopettaneet 2013-&gt;'!$K:$K,MATCH($D254,'Lopettaneet 2013-&gt;'!$D:$D,0)),"Continues")</f>
        <v>Continues</v>
      </c>
      <c r="K254" s="30">
        <f ca="1">IF($J254="Continues",DATEDIF($B254,TODAY(),"Y"),INDEX('Lopettaneet 2013-&gt;'!$L:$L,MATCH($D254,'Lopettaneet 2013-&gt;'!$D:$D,0)))</f>
        <v>10</v>
      </c>
      <c r="L254" s="31" t="str">
        <f>IFERROR(INDEX('[1]30.06.2024'!$H:$H,MATCH($E254,'[1]30.06.2024'!$B:$B,0)),"Not found")</f>
        <v>Not found</v>
      </c>
      <c r="M254" s="31" t="str">
        <f>IFERROR(INDEX([2]Sheet1!$B:$B,MATCH($D254,[2]Sheet1!$A:$A,0)),"Not found")</f>
        <v>Non-Retail</v>
      </c>
      <c r="N254">
        <f t="shared" si="6"/>
        <v>0</v>
      </c>
      <c r="O254">
        <f t="shared" si="7"/>
        <v>1</v>
      </c>
    </row>
    <row r="255" spans="1:15" x14ac:dyDescent="0.25">
      <c r="A255" t="s">
        <v>7</v>
      </c>
      <c r="B255" s="1">
        <v>41974</v>
      </c>
      <c r="C255" s="1">
        <v>43830</v>
      </c>
      <c r="D255" s="4" t="s">
        <v>732</v>
      </c>
      <c r="E255" s="32" t="s">
        <v>733</v>
      </c>
      <c r="F255" s="32">
        <v>25504301</v>
      </c>
      <c r="G255" t="s">
        <v>10</v>
      </c>
      <c r="H255" t="s">
        <v>11</v>
      </c>
      <c r="I255" t="s">
        <v>32</v>
      </c>
      <c r="J255" s="30" t="str">
        <f>IF(ISNUMBER(MATCH($D255,'Lopettaneet 2013-&gt;'!$D:$D,0)),INDEX('Lopettaneet 2013-&gt;'!$K:$K,MATCH($D255,'Lopettaneet 2013-&gt;'!$D:$D,0)),"Continues")</f>
        <v>Closed</v>
      </c>
      <c r="K255" s="30">
        <f ca="1">IF($J255="Continues",DATEDIF($B255,TODAY(),"Y"),INDEX('Lopettaneet 2013-&gt;'!$L:$L,MATCH($D255,'Lopettaneet 2013-&gt;'!$D:$D,0)))</f>
        <v>5</v>
      </c>
      <c r="L255" s="31" t="str">
        <f>IFERROR(INDEX('[1]30.06.2024'!$H:$H,MATCH($E255,'[1]30.06.2024'!$B:$B,0)),"Not found")</f>
        <v>Not found</v>
      </c>
      <c r="M255" s="31" t="str">
        <f>IFERROR(INDEX([2]Sheet1!$B:$B,MATCH($D255,[2]Sheet1!$A:$A,0)),"Not found")</f>
        <v>Not found</v>
      </c>
      <c r="N255">
        <f t="shared" si="6"/>
        <v>0</v>
      </c>
      <c r="O255">
        <f t="shared" si="7"/>
        <v>0</v>
      </c>
    </row>
    <row r="256" spans="1:15" x14ac:dyDescent="0.25">
      <c r="A256" t="s">
        <v>7</v>
      </c>
      <c r="B256" s="1">
        <v>41974</v>
      </c>
      <c r="C256" s="1">
        <v>42369</v>
      </c>
      <c r="D256" s="4" t="s">
        <v>734</v>
      </c>
      <c r="E256" s="32" t="s">
        <v>735</v>
      </c>
      <c r="F256" s="32">
        <v>25776964</v>
      </c>
      <c r="G256" t="s">
        <v>10</v>
      </c>
      <c r="H256" t="s">
        <v>11</v>
      </c>
      <c r="I256" t="s">
        <v>32</v>
      </c>
      <c r="J256" s="30" t="str">
        <f>IF(ISNUMBER(MATCH($D256,'Lopettaneet 2013-&gt;'!$D:$D,0)),INDEX('Lopettaneet 2013-&gt;'!$K:$K,MATCH($D256,'Lopettaneet 2013-&gt;'!$D:$D,0)),"Continues")</f>
        <v>Closed</v>
      </c>
      <c r="K256" s="30">
        <f ca="1">IF($J256="Continues",DATEDIF($B256,TODAY(),"Y"),INDEX('Lopettaneet 2013-&gt;'!$L:$L,MATCH($D256,'Lopettaneet 2013-&gt;'!$D:$D,0)))</f>
        <v>1</v>
      </c>
      <c r="L256" s="31" t="str">
        <f>IFERROR(INDEX('[1]30.06.2024'!$H:$H,MATCH($E256,'[1]30.06.2024'!$B:$B,0)),"Not found")</f>
        <v>Not found</v>
      </c>
      <c r="M256" s="31" t="str">
        <f>IFERROR(INDEX([2]Sheet1!$B:$B,MATCH($D256,[2]Sheet1!$A:$A,0)),"Not found")</f>
        <v>Not found</v>
      </c>
      <c r="N256">
        <f t="shared" si="6"/>
        <v>0</v>
      </c>
      <c r="O256">
        <f t="shared" si="7"/>
        <v>0</v>
      </c>
    </row>
    <row r="257" spans="1:15" x14ac:dyDescent="0.25">
      <c r="A257" t="s">
        <v>7</v>
      </c>
      <c r="B257" s="1">
        <v>41974</v>
      </c>
      <c r="C257" s="1">
        <v>43646</v>
      </c>
      <c r="D257" s="4" t="s">
        <v>736</v>
      </c>
      <c r="E257" s="32" t="s">
        <v>737</v>
      </c>
      <c r="F257" s="32">
        <v>26351888</v>
      </c>
      <c r="G257" t="s">
        <v>10</v>
      </c>
      <c r="H257" t="s">
        <v>11</v>
      </c>
      <c r="I257" t="s">
        <v>32</v>
      </c>
      <c r="J257" s="30" t="str">
        <f>IF(ISNUMBER(MATCH($D257,'Lopettaneet 2013-&gt;'!$D:$D,0)),INDEX('Lopettaneet 2013-&gt;'!$K:$K,MATCH($D257,'Lopettaneet 2013-&gt;'!$D:$D,0)),"Continues")</f>
        <v>Closed</v>
      </c>
      <c r="K257" s="30">
        <f ca="1">IF($J257="Continues",DATEDIF($B257,TODAY(),"Y"),INDEX('Lopettaneet 2013-&gt;'!$L:$L,MATCH($D257,'Lopettaneet 2013-&gt;'!$D:$D,0)))</f>
        <v>4</v>
      </c>
      <c r="L257" s="31" t="str">
        <f>IFERROR(INDEX('[1]30.06.2024'!$H:$H,MATCH($E257,'[1]30.06.2024'!$B:$B,0)),"Not found")</f>
        <v>Not found</v>
      </c>
      <c r="M257" s="31" t="str">
        <f>IFERROR(INDEX([2]Sheet1!$B:$B,MATCH($D257,[2]Sheet1!$A:$A,0)),"Not found")</f>
        <v>Not found</v>
      </c>
      <c r="N257">
        <f t="shared" si="6"/>
        <v>0</v>
      </c>
      <c r="O257">
        <f t="shared" si="7"/>
        <v>0</v>
      </c>
    </row>
    <row r="258" spans="1:15" x14ac:dyDescent="0.25">
      <c r="A258" t="s">
        <v>7</v>
      </c>
      <c r="B258" s="1">
        <v>41974</v>
      </c>
      <c r="C258" s="1">
        <v>44196</v>
      </c>
      <c r="D258" s="4" t="s">
        <v>738</v>
      </c>
      <c r="E258" s="32" t="s">
        <v>739</v>
      </c>
      <c r="F258" s="32">
        <v>23753072</v>
      </c>
      <c r="G258" t="s">
        <v>10</v>
      </c>
      <c r="H258" t="s">
        <v>11</v>
      </c>
      <c r="I258" t="s">
        <v>32</v>
      </c>
      <c r="J258" s="30" t="str">
        <f>IF(ISNUMBER(MATCH($D258,'Lopettaneet 2013-&gt;'!$D:$D,0)),INDEX('Lopettaneet 2013-&gt;'!$K:$K,MATCH($D258,'Lopettaneet 2013-&gt;'!$D:$D,0)),"Continues")</f>
        <v>Closed</v>
      </c>
      <c r="K258" s="30">
        <f ca="1">IF($J258="Continues",DATEDIF($B258,TODAY(),"Y"),INDEX('Lopettaneet 2013-&gt;'!$L:$L,MATCH($D258,'Lopettaneet 2013-&gt;'!$D:$D,0)))</f>
        <v>6</v>
      </c>
      <c r="L258" s="31" t="str">
        <f>IFERROR(INDEX('[1]30.06.2024'!$H:$H,MATCH($E258,'[1]30.06.2024'!$B:$B,0)),"Not found")</f>
        <v>Not found</v>
      </c>
      <c r="M258" s="31" t="str">
        <f>IFERROR(INDEX([2]Sheet1!$B:$B,MATCH($D258,[2]Sheet1!$A:$A,0)),"Not found")</f>
        <v>Not found</v>
      </c>
      <c r="N258">
        <f t="shared" si="6"/>
        <v>0</v>
      </c>
      <c r="O258">
        <f t="shared" si="7"/>
        <v>0</v>
      </c>
    </row>
    <row r="259" spans="1:15" x14ac:dyDescent="0.25">
      <c r="A259" t="s">
        <v>7</v>
      </c>
      <c r="B259" s="1">
        <v>41974</v>
      </c>
      <c r="C259" s="1">
        <v>55153</v>
      </c>
      <c r="D259" s="4" t="s">
        <v>740</v>
      </c>
      <c r="E259" s="32" t="s">
        <v>741</v>
      </c>
      <c r="F259" s="32">
        <v>26263466</v>
      </c>
      <c r="G259" t="s">
        <v>10</v>
      </c>
      <c r="H259" t="s">
        <v>11</v>
      </c>
      <c r="I259" t="s">
        <v>32</v>
      </c>
      <c r="J259" s="30" t="str">
        <f>IF(ISNUMBER(MATCH($D259,'Lopettaneet 2013-&gt;'!$D:$D,0)),INDEX('Lopettaneet 2013-&gt;'!$K:$K,MATCH($D259,'Lopettaneet 2013-&gt;'!$D:$D,0)),"Continues")</f>
        <v>Continues</v>
      </c>
      <c r="K259" s="30">
        <f ca="1">IF($J259="Continues",DATEDIF($B259,TODAY(),"Y"),INDEX('Lopettaneet 2013-&gt;'!$L:$L,MATCH($D259,'Lopettaneet 2013-&gt;'!$D:$D,0)))</f>
        <v>10</v>
      </c>
      <c r="L259" s="31" t="str">
        <f>IFERROR(INDEX('[1]30.06.2024'!$H:$H,MATCH($E259,'[1]30.06.2024'!$B:$B,0)),"Not found")</f>
        <v>OP Kiinteistösijoitus Oy</v>
      </c>
      <c r="M259" s="31" t="str">
        <f>IFERROR(INDEX([2]Sheet1!$B:$B,MATCH($D259,[2]Sheet1!$A:$A,0)),"Not found")</f>
        <v>Non-Retail</v>
      </c>
      <c r="N259">
        <f t="shared" ref="N259:N322" si="8">IF($M259="Retail",1,0)</f>
        <v>0</v>
      </c>
      <c r="O259">
        <f t="shared" ref="O259:O322" si="9">IF($M259="Non-Retail",1,0)</f>
        <v>1</v>
      </c>
    </row>
    <row r="260" spans="1:15" x14ac:dyDescent="0.25">
      <c r="A260" t="s">
        <v>7</v>
      </c>
      <c r="B260" s="1">
        <v>41974</v>
      </c>
      <c r="C260" s="1">
        <v>44286</v>
      </c>
      <c r="D260" s="4" t="s">
        <v>742</v>
      </c>
      <c r="E260" s="32" t="s">
        <v>743</v>
      </c>
      <c r="F260" s="32">
        <v>25383335</v>
      </c>
      <c r="G260" t="s">
        <v>10</v>
      </c>
      <c r="H260" t="s">
        <v>11</v>
      </c>
      <c r="I260" t="s">
        <v>32</v>
      </c>
      <c r="J260" s="30" t="str">
        <f>IF(ISNUMBER(MATCH($D260,'Lopettaneet 2013-&gt;'!$D:$D,0)),INDEX('Lopettaneet 2013-&gt;'!$K:$K,MATCH($D260,'Lopettaneet 2013-&gt;'!$D:$D,0)),"Continues")</f>
        <v>Closed</v>
      </c>
      <c r="K260" s="30">
        <f ca="1">IF($J260="Continues",DATEDIF($B260,TODAY(),"Y"),INDEX('Lopettaneet 2013-&gt;'!$L:$L,MATCH($D260,'Lopettaneet 2013-&gt;'!$D:$D,0)))</f>
        <v>6</v>
      </c>
      <c r="L260" s="31" t="str">
        <f>IFERROR(INDEX('[1]30.06.2024'!$H:$H,MATCH($E260,'[1]30.06.2024'!$B:$B,0)),"Not found")</f>
        <v>Not found</v>
      </c>
      <c r="M260" s="31" t="str">
        <f>IFERROR(INDEX([2]Sheet1!$B:$B,MATCH($D260,[2]Sheet1!$A:$A,0)),"Not found")</f>
        <v>Not found</v>
      </c>
      <c r="N260">
        <f t="shared" si="8"/>
        <v>0</v>
      </c>
      <c r="O260">
        <f t="shared" si="9"/>
        <v>0</v>
      </c>
    </row>
    <row r="261" spans="1:15" x14ac:dyDescent="0.25">
      <c r="A261" t="s">
        <v>7</v>
      </c>
      <c r="B261" s="1">
        <v>41974</v>
      </c>
      <c r="C261" s="1">
        <v>55153</v>
      </c>
      <c r="D261" s="4" t="s">
        <v>744</v>
      </c>
      <c r="E261" s="32" t="s">
        <v>745</v>
      </c>
      <c r="F261" s="32">
        <v>25954687</v>
      </c>
      <c r="G261" t="s">
        <v>10</v>
      </c>
      <c r="H261" t="s">
        <v>11</v>
      </c>
      <c r="I261" t="s">
        <v>80</v>
      </c>
      <c r="J261" s="30" t="str">
        <f>IF(ISNUMBER(MATCH($D261,'Lopettaneet 2013-&gt;'!$D:$D,0)),INDEX('Lopettaneet 2013-&gt;'!$K:$K,MATCH($D261,'Lopettaneet 2013-&gt;'!$D:$D,0)),"Continues")</f>
        <v>Continues</v>
      </c>
      <c r="K261" s="30">
        <f ca="1">IF($J261="Continues",DATEDIF($B261,TODAY(),"Y"),INDEX('Lopettaneet 2013-&gt;'!$L:$L,MATCH($D261,'Lopettaneet 2013-&gt;'!$D:$D,0)))</f>
        <v>10</v>
      </c>
      <c r="L261" s="31" t="str">
        <f>IFERROR(INDEX('[1]30.06.2024'!$H:$H,MATCH($E261,'[1]30.06.2024'!$B:$B,0)),"Not found")</f>
        <v>Onventure Oy</v>
      </c>
      <c r="M261" s="31" t="str">
        <f>IFERROR(INDEX([2]Sheet1!$B:$B,MATCH($D261,[2]Sheet1!$A:$A,0)),"Not found")</f>
        <v>Non-Retail</v>
      </c>
      <c r="N261">
        <f t="shared" si="8"/>
        <v>0</v>
      </c>
      <c r="O261">
        <f t="shared" si="9"/>
        <v>1</v>
      </c>
    </row>
    <row r="262" spans="1:15" x14ac:dyDescent="0.25">
      <c r="A262" t="s">
        <v>7</v>
      </c>
      <c r="B262" s="1">
        <v>41974</v>
      </c>
      <c r="C262" s="1">
        <v>55153</v>
      </c>
      <c r="D262" s="4" t="s">
        <v>746</v>
      </c>
      <c r="E262" s="32" t="s">
        <v>747</v>
      </c>
      <c r="F262" s="32">
        <v>25886303</v>
      </c>
      <c r="G262" t="s">
        <v>10</v>
      </c>
      <c r="H262" t="s">
        <v>11</v>
      </c>
      <c r="I262" t="s">
        <v>80</v>
      </c>
      <c r="J262" s="30" t="str">
        <f>IF(ISNUMBER(MATCH($D262,'Lopettaneet 2013-&gt;'!$D:$D,0)),INDEX('Lopettaneet 2013-&gt;'!$K:$K,MATCH($D262,'Lopettaneet 2013-&gt;'!$D:$D,0)),"Continues")</f>
        <v>Continues</v>
      </c>
      <c r="K262" s="30">
        <f ca="1">IF($J262="Continues",DATEDIF($B262,TODAY(),"Y"),INDEX('Lopettaneet 2013-&gt;'!$L:$L,MATCH($D262,'Lopettaneet 2013-&gt;'!$D:$D,0)))</f>
        <v>10</v>
      </c>
      <c r="L262" s="31" t="str">
        <f>IFERROR(INDEX('[1]30.06.2024'!$H:$H,MATCH($E262,'[1]30.06.2024'!$B:$B,0)),"Not found")</f>
        <v>Butterfly Ventures Oy</v>
      </c>
      <c r="M262" s="31" t="str">
        <f>IFERROR(INDEX([2]Sheet1!$B:$B,MATCH($D262,[2]Sheet1!$A:$A,0)),"Not found")</f>
        <v>Non-Retail</v>
      </c>
      <c r="N262">
        <f t="shared" si="8"/>
        <v>0</v>
      </c>
      <c r="O262">
        <f t="shared" si="9"/>
        <v>1</v>
      </c>
    </row>
    <row r="263" spans="1:15" x14ac:dyDescent="0.25">
      <c r="A263" t="s">
        <v>7</v>
      </c>
      <c r="B263" s="1">
        <v>41974</v>
      </c>
      <c r="C263" s="1">
        <v>55153</v>
      </c>
      <c r="D263" s="4" t="s">
        <v>748</v>
      </c>
      <c r="E263" s="32" t="s">
        <v>749</v>
      </c>
      <c r="F263" s="32">
        <v>25097697</v>
      </c>
      <c r="G263" t="s">
        <v>10</v>
      </c>
      <c r="H263" t="s">
        <v>11</v>
      </c>
      <c r="I263" t="s">
        <v>80</v>
      </c>
      <c r="J263" s="30" t="str">
        <f>IF(ISNUMBER(MATCH($D263,'Lopettaneet 2013-&gt;'!$D:$D,0)),INDEX('Lopettaneet 2013-&gt;'!$K:$K,MATCH($D263,'Lopettaneet 2013-&gt;'!$D:$D,0)),"Continues")</f>
        <v>Continues</v>
      </c>
      <c r="K263" s="30">
        <f ca="1">IF($J263="Continues",DATEDIF($B263,TODAY(),"Y"),INDEX('Lopettaneet 2013-&gt;'!$L:$L,MATCH($D263,'Lopettaneet 2013-&gt;'!$D:$D,0)))</f>
        <v>10</v>
      </c>
      <c r="L263" s="31" t="str">
        <f>IFERROR(INDEX('[1]30.06.2024'!$H:$H,MATCH($E263,'[1]30.06.2024'!$B:$B,0)),"Not found")</f>
        <v>Butterfly Ventures Oy</v>
      </c>
      <c r="M263" s="31" t="str">
        <f>IFERROR(INDEX([2]Sheet1!$B:$B,MATCH($D263,[2]Sheet1!$A:$A,0)),"Not found")</f>
        <v>Non-Retail</v>
      </c>
      <c r="N263">
        <f t="shared" si="8"/>
        <v>0</v>
      </c>
      <c r="O263">
        <f t="shared" si="9"/>
        <v>1</v>
      </c>
    </row>
    <row r="264" spans="1:15" x14ac:dyDescent="0.25">
      <c r="A264" t="s">
        <v>7</v>
      </c>
      <c r="B264" s="1">
        <v>41974</v>
      </c>
      <c r="C264" s="1">
        <v>55153</v>
      </c>
      <c r="D264" s="4" t="s">
        <v>750</v>
      </c>
      <c r="E264" s="32" t="s">
        <v>751</v>
      </c>
      <c r="F264" s="32">
        <v>25113888</v>
      </c>
      <c r="G264" t="s">
        <v>10</v>
      </c>
      <c r="H264" t="s">
        <v>11</v>
      </c>
      <c r="I264" t="s">
        <v>12</v>
      </c>
      <c r="J264" s="30" t="str">
        <f>IF(ISNUMBER(MATCH($D264,'Lopettaneet 2013-&gt;'!$D:$D,0)),INDEX('Lopettaneet 2013-&gt;'!$K:$K,MATCH($D264,'Lopettaneet 2013-&gt;'!$D:$D,0)),"Continues")</f>
        <v>Continues</v>
      </c>
      <c r="K264" s="30">
        <f ca="1">IF($J264="Continues",DATEDIF($B264,TODAY(),"Y"),INDEX('Lopettaneet 2013-&gt;'!$L:$L,MATCH($D264,'Lopettaneet 2013-&gt;'!$D:$D,0)))</f>
        <v>10</v>
      </c>
      <c r="L264" s="31" t="str">
        <f>IFERROR(INDEX('[1]30.06.2024'!$H:$H,MATCH($E264,'[1]30.06.2024'!$B:$B,0)),"Not found")</f>
        <v>Sentica Partners Oy</v>
      </c>
      <c r="M264" s="31" t="str">
        <f>IFERROR(INDEX([2]Sheet1!$B:$B,MATCH($D264,[2]Sheet1!$A:$A,0)),"Not found")</f>
        <v>Non-Retail</v>
      </c>
      <c r="N264">
        <f t="shared" si="8"/>
        <v>0</v>
      </c>
      <c r="O264">
        <f t="shared" si="9"/>
        <v>1</v>
      </c>
    </row>
    <row r="265" spans="1:15" x14ac:dyDescent="0.25">
      <c r="A265" t="s">
        <v>7</v>
      </c>
      <c r="B265" s="1">
        <v>41974</v>
      </c>
      <c r="C265" s="1">
        <v>55153</v>
      </c>
      <c r="D265" s="4" t="s">
        <v>752</v>
      </c>
      <c r="E265" s="32" t="s">
        <v>753</v>
      </c>
      <c r="F265" s="32">
        <v>25171586</v>
      </c>
      <c r="G265" t="s">
        <v>10</v>
      </c>
      <c r="H265" t="s">
        <v>11</v>
      </c>
      <c r="I265" t="s">
        <v>32</v>
      </c>
      <c r="J265" s="30" t="str">
        <f>IF(ISNUMBER(MATCH($D265,'Lopettaneet 2013-&gt;'!$D:$D,0)),INDEX('Lopettaneet 2013-&gt;'!$K:$K,MATCH($D265,'Lopettaneet 2013-&gt;'!$D:$D,0)),"Continues")</f>
        <v>Continues</v>
      </c>
      <c r="K265" s="30">
        <f ca="1">IF($J265="Continues",DATEDIF($B265,TODAY(),"Y"),INDEX('Lopettaneet 2013-&gt;'!$L:$L,MATCH($D265,'Lopettaneet 2013-&gt;'!$D:$D,0)))</f>
        <v>10</v>
      </c>
      <c r="L265" s="31" t="str">
        <f>IFERROR(INDEX('[1]30.06.2024'!$H:$H,MATCH($E265,'[1]30.06.2024'!$B:$B,0)),"Not found")</f>
        <v>Hamilton &amp; Cooper Properties Oy</v>
      </c>
      <c r="M265" s="31" t="str">
        <f>IFERROR(INDEX([2]Sheet1!$B:$B,MATCH($D265,[2]Sheet1!$A:$A,0)),"Not found")</f>
        <v>Non-Retail</v>
      </c>
      <c r="N265">
        <f t="shared" si="8"/>
        <v>0</v>
      </c>
      <c r="O265">
        <f t="shared" si="9"/>
        <v>1</v>
      </c>
    </row>
    <row r="266" spans="1:15" x14ac:dyDescent="0.25">
      <c r="A266" t="s">
        <v>7</v>
      </c>
      <c r="B266" s="1">
        <v>41974</v>
      </c>
      <c r="C266" s="1">
        <v>43100</v>
      </c>
      <c r="D266" s="4" t="s">
        <v>754</v>
      </c>
      <c r="E266" s="32" t="s">
        <v>755</v>
      </c>
      <c r="F266" s="32">
        <v>25616784</v>
      </c>
      <c r="G266" t="s">
        <v>10</v>
      </c>
      <c r="H266" t="s">
        <v>11</v>
      </c>
      <c r="I266" t="s">
        <v>32</v>
      </c>
      <c r="J266" s="30" t="str">
        <f>IF(ISNUMBER(MATCH($D266,'Lopettaneet 2013-&gt;'!$D:$D,0)),INDEX('Lopettaneet 2013-&gt;'!$K:$K,MATCH($D266,'Lopettaneet 2013-&gt;'!$D:$D,0)),"Continues")</f>
        <v>Closed</v>
      </c>
      <c r="K266" s="30">
        <f ca="1">IF($J266="Continues",DATEDIF($B266,TODAY(),"Y"),INDEX('Lopettaneet 2013-&gt;'!$L:$L,MATCH($D266,'Lopettaneet 2013-&gt;'!$D:$D,0)))</f>
        <v>3</v>
      </c>
      <c r="L266" s="31" t="str">
        <f>IFERROR(INDEX('[1]30.06.2024'!$H:$H,MATCH($E266,'[1]30.06.2024'!$B:$B,0)),"Not found")</f>
        <v>Not found</v>
      </c>
      <c r="M266" s="31" t="str">
        <f>IFERROR(INDEX([2]Sheet1!$B:$B,MATCH($D266,[2]Sheet1!$A:$A,0)),"Not found")</f>
        <v>Not found</v>
      </c>
      <c r="N266">
        <f t="shared" si="8"/>
        <v>0</v>
      </c>
      <c r="O266">
        <f t="shared" si="9"/>
        <v>0</v>
      </c>
    </row>
    <row r="267" spans="1:15" x14ac:dyDescent="0.25">
      <c r="A267" t="s">
        <v>7</v>
      </c>
      <c r="B267" s="1">
        <v>41974</v>
      </c>
      <c r="C267" s="1">
        <v>55153</v>
      </c>
      <c r="D267" s="4" t="s">
        <v>756</v>
      </c>
      <c r="E267" s="32" t="s">
        <v>757</v>
      </c>
      <c r="F267" s="32">
        <v>26260345</v>
      </c>
      <c r="G267" t="s">
        <v>10</v>
      </c>
      <c r="H267" t="s">
        <v>11</v>
      </c>
      <c r="I267" t="s">
        <v>32</v>
      </c>
      <c r="J267" s="30" t="str">
        <f>IF(ISNUMBER(MATCH($D267,'Lopettaneet 2013-&gt;'!$D:$D,0)),INDEX('Lopettaneet 2013-&gt;'!$K:$K,MATCH($D267,'Lopettaneet 2013-&gt;'!$D:$D,0)),"Continues")</f>
        <v>Continues</v>
      </c>
      <c r="K267" s="30">
        <f ca="1">IF($J267="Continues",DATEDIF($B267,TODAY(),"Y"),INDEX('Lopettaneet 2013-&gt;'!$L:$L,MATCH($D267,'Lopettaneet 2013-&gt;'!$D:$D,0)))</f>
        <v>10</v>
      </c>
      <c r="L267" s="31" t="str">
        <f>IFERROR(INDEX('[1]30.06.2024'!$H:$H,MATCH($E267,'[1]30.06.2024'!$B:$B,0)),"Not found")</f>
        <v>OP Kiinteistösijoitus Oy</v>
      </c>
      <c r="M267" s="31" t="str">
        <f>IFERROR(INDEX([2]Sheet1!$B:$B,MATCH($D267,[2]Sheet1!$A:$A,0)),"Not found")</f>
        <v>Non-Retail</v>
      </c>
      <c r="N267">
        <f t="shared" si="8"/>
        <v>0</v>
      </c>
      <c r="O267">
        <f t="shared" si="9"/>
        <v>1</v>
      </c>
    </row>
    <row r="268" spans="1:15" x14ac:dyDescent="0.25">
      <c r="A268" t="s">
        <v>7</v>
      </c>
      <c r="B268" s="1">
        <v>41974</v>
      </c>
      <c r="C268" s="1">
        <v>43100</v>
      </c>
      <c r="D268" s="4" t="s">
        <v>758</v>
      </c>
      <c r="E268" s="32" t="s">
        <v>759</v>
      </c>
      <c r="F268" s="32">
        <v>24510101</v>
      </c>
      <c r="G268" t="s">
        <v>10</v>
      </c>
      <c r="H268" t="s">
        <v>11</v>
      </c>
      <c r="I268" t="s">
        <v>32</v>
      </c>
      <c r="J268" s="30" t="str">
        <f>IF(ISNUMBER(MATCH($D268,'Lopettaneet 2013-&gt;'!$D:$D,0)),INDEX('Lopettaneet 2013-&gt;'!$K:$K,MATCH($D268,'Lopettaneet 2013-&gt;'!$D:$D,0)),"Continues")</f>
        <v>Closed</v>
      </c>
      <c r="K268" s="30">
        <f ca="1">IF($J268="Continues",DATEDIF($B268,TODAY(),"Y"),INDEX('Lopettaneet 2013-&gt;'!$L:$L,MATCH($D268,'Lopettaneet 2013-&gt;'!$D:$D,0)))</f>
        <v>3</v>
      </c>
      <c r="L268" s="31" t="str">
        <f>IFERROR(INDEX('[1]30.06.2024'!$H:$H,MATCH($E268,'[1]30.06.2024'!$B:$B,0)),"Not found")</f>
        <v>Not found</v>
      </c>
      <c r="M268" s="31" t="str">
        <f>IFERROR(INDEX([2]Sheet1!$B:$B,MATCH($D268,[2]Sheet1!$A:$A,0)),"Not found")</f>
        <v>Not found</v>
      </c>
      <c r="N268">
        <f t="shared" si="8"/>
        <v>0</v>
      </c>
      <c r="O268">
        <f t="shared" si="9"/>
        <v>0</v>
      </c>
    </row>
    <row r="269" spans="1:15" x14ac:dyDescent="0.25">
      <c r="A269" t="s">
        <v>7</v>
      </c>
      <c r="B269" s="1">
        <v>41974</v>
      </c>
      <c r="C269" s="1">
        <v>42277</v>
      </c>
      <c r="D269" s="4" t="s">
        <v>760</v>
      </c>
      <c r="E269" s="32" t="s">
        <v>761</v>
      </c>
      <c r="F269" s="32">
        <v>26185592</v>
      </c>
      <c r="G269" t="s">
        <v>10</v>
      </c>
      <c r="H269" t="s">
        <v>11</v>
      </c>
      <c r="I269" t="s">
        <v>32</v>
      </c>
      <c r="J269" s="30" t="str">
        <f>IF(ISNUMBER(MATCH($D269,'Lopettaneet 2013-&gt;'!$D:$D,0)),INDEX('Lopettaneet 2013-&gt;'!$K:$K,MATCH($D269,'Lopettaneet 2013-&gt;'!$D:$D,0)),"Continues")</f>
        <v>Closed</v>
      </c>
      <c r="K269" s="30">
        <f ca="1">IF($J269="Continues",DATEDIF($B269,TODAY(),"Y"),INDEX('Lopettaneet 2013-&gt;'!$L:$L,MATCH($D269,'Lopettaneet 2013-&gt;'!$D:$D,0)))</f>
        <v>0</v>
      </c>
      <c r="L269" s="31" t="str">
        <f>IFERROR(INDEX('[1]30.06.2024'!$H:$H,MATCH($E269,'[1]30.06.2024'!$B:$B,0)),"Not found")</f>
        <v>Not found</v>
      </c>
      <c r="M269" s="31" t="str">
        <f>IFERROR(INDEX([2]Sheet1!$B:$B,MATCH($D269,[2]Sheet1!$A:$A,0)),"Not found")</f>
        <v>Not found</v>
      </c>
      <c r="N269">
        <f t="shared" si="8"/>
        <v>0</v>
      </c>
      <c r="O269">
        <f t="shared" si="9"/>
        <v>0</v>
      </c>
    </row>
    <row r="270" spans="1:15" x14ac:dyDescent="0.25">
      <c r="A270" t="s">
        <v>7</v>
      </c>
      <c r="B270" s="1">
        <v>41974</v>
      </c>
      <c r="C270" s="1">
        <v>42277</v>
      </c>
      <c r="D270" s="4" t="s">
        <v>762</v>
      </c>
      <c r="E270" s="32" t="s">
        <v>763</v>
      </c>
      <c r="F270" s="32">
        <v>26186819</v>
      </c>
      <c r="G270" t="s">
        <v>10</v>
      </c>
      <c r="H270" t="s">
        <v>11</v>
      </c>
      <c r="I270" t="s">
        <v>32</v>
      </c>
      <c r="J270" s="30" t="str">
        <f>IF(ISNUMBER(MATCH($D270,'Lopettaneet 2013-&gt;'!$D:$D,0)),INDEX('Lopettaneet 2013-&gt;'!$K:$K,MATCH($D270,'Lopettaneet 2013-&gt;'!$D:$D,0)),"Continues")</f>
        <v>Closed</v>
      </c>
      <c r="K270" s="30">
        <f ca="1">IF($J270="Continues",DATEDIF($B270,TODAY(),"Y"),INDEX('Lopettaneet 2013-&gt;'!$L:$L,MATCH($D270,'Lopettaneet 2013-&gt;'!$D:$D,0)))</f>
        <v>0</v>
      </c>
      <c r="L270" s="31" t="str">
        <f>IFERROR(INDEX('[1]30.06.2024'!$H:$H,MATCH($E270,'[1]30.06.2024'!$B:$B,0)),"Not found")</f>
        <v>Not found</v>
      </c>
      <c r="M270" s="31" t="str">
        <f>IFERROR(INDEX([2]Sheet1!$B:$B,MATCH($D270,[2]Sheet1!$A:$A,0)),"Not found")</f>
        <v>Not found</v>
      </c>
      <c r="N270">
        <f t="shared" si="8"/>
        <v>0</v>
      </c>
      <c r="O270">
        <f t="shared" si="9"/>
        <v>0</v>
      </c>
    </row>
    <row r="271" spans="1:15" x14ac:dyDescent="0.25">
      <c r="A271" t="s">
        <v>7</v>
      </c>
      <c r="B271" s="1">
        <v>41974</v>
      </c>
      <c r="C271" s="1">
        <v>42277</v>
      </c>
      <c r="D271" s="4" t="s">
        <v>764</v>
      </c>
      <c r="E271" s="32" t="s">
        <v>765</v>
      </c>
      <c r="F271" s="32">
        <v>24690368</v>
      </c>
      <c r="G271" t="s">
        <v>10</v>
      </c>
      <c r="H271" t="s">
        <v>11</v>
      </c>
      <c r="I271" t="s">
        <v>32</v>
      </c>
      <c r="J271" s="30" t="str">
        <f>IF(ISNUMBER(MATCH($D271,'Lopettaneet 2013-&gt;'!$D:$D,0)),INDEX('Lopettaneet 2013-&gt;'!$K:$K,MATCH($D271,'Lopettaneet 2013-&gt;'!$D:$D,0)),"Continues")</f>
        <v>Closed</v>
      </c>
      <c r="K271" s="30">
        <f ca="1">IF($J271="Continues",DATEDIF($B271,TODAY(),"Y"),INDEX('Lopettaneet 2013-&gt;'!$L:$L,MATCH($D271,'Lopettaneet 2013-&gt;'!$D:$D,0)))</f>
        <v>0</v>
      </c>
      <c r="L271" s="31" t="str">
        <f>IFERROR(INDEX('[1]30.06.2024'!$H:$H,MATCH($E271,'[1]30.06.2024'!$B:$B,0)),"Not found")</f>
        <v>Not found</v>
      </c>
      <c r="M271" s="31" t="str">
        <f>IFERROR(INDEX([2]Sheet1!$B:$B,MATCH($D271,[2]Sheet1!$A:$A,0)),"Not found")</f>
        <v>Not found</v>
      </c>
      <c r="N271">
        <f t="shared" si="8"/>
        <v>0</v>
      </c>
      <c r="O271">
        <f t="shared" si="9"/>
        <v>0</v>
      </c>
    </row>
    <row r="272" spans="1:15" x14ac:dyDescent="0.25">
      <c r="A272" t="s">
        <v>7</v>
      </c>
      <c r="B272" s="1">
        <v>41974</v>
      </c>
      <c r="C272" s="1">
        <v>42277</v>
      </c>
      <c r="D272" s="4" t="s">
        <v>766</v>
      </c>
      <c r="E272" s="32" t="s">
        <v>767</v>
      </c>
      <c r="F272" s="32">
        <v>26549747</v>
      </c>
      <c r="G272" t="s">
        <v>10</v>
      </c>
      <c r="H272" t="s">
        <v>11</v>
      </c>
      <c r="I272" t="s">
        <v>32</v>
      </c>
      <c r="J272" s="30" t="str">
        <f>IF(ISNUMBER(MATCH($D272,'Lopettaneet 2013-&gt;'!$D:$D,0)),INDEX('Lopettaneet 2013-&gt;'!$K:$K,MATCH($D272,'Lopettaneet 2013-&gt;'!$D:$D,0)),"Continues")</f>
        <v>Closed</v>
      </c>
      <c r="K272" s="30">
        <f ca="1">IF($J272="Continues",DATEDIF($B272,TODAY(),"Y"),INDEX('Lopettaneet 2013-&gt;'!$L:$L,MATCH($D272,'Lopettaneet 2013-&gt;'!$D:$D,0)))</f>
        <v>0</v>
      </c>
      <c r="L272" s="31" t="str">
        <f>IFERROR(INDEX('[1]30.06.2024'!$H:$H,MATCH($E272,'[1]30.06.2024'!$B:$B,0)),"Not found")</f>
        <v>Not found</v>
      </c>
      <c r="M272" s="31" t="str">
        <f>IFERROR(INDEX([2]Sheet1!$B:$B,MATCH($D272,[2]Sheet1!$A:$A,0)),"Not found")</f>
        <v>Not found</v>
      </c>
      <c r="N272">
        <f t="shared" si="8"/>
        <v>0</v>
      </c>
      <c r="O272">
        <f t="shared" si="9"/>
        <v>0</v>
      </c>
    </row>
    <row r="273" spans="1:15" x14ac:dyDescent="0.25">
      <c r="A273" t="s">
        <v>7</v>
      </c>
      <c r="B273" s="1">
        <v>41974</v>
      </c>
      <c r="C273" s="1">
        <v>42277</v>
      </c>
      <c r="D273" s="4" t="s">
        <v>768</v>
      </c>
      <c r="E273" s="32" t="s">
        <v>769</v>
      </c>
      <c r="F273" s="32">
        <v>25775865</v>
      </c>
      <c r="G273" t="s">
        <v>10</v>
      </c>
      <c r="H273" t="s">
        <v>11</v>
      </c>
      <c r="I273" t="s">
        <v>32</v>
      </c>
      <c r="J273" s="30" t="str">
        <f>IF(ISNUMBER(MATCH($D273,'Lopettaneet 2013-&gt;'!$D:$D,0)),INDEX('Lopettaneet 2013-&gt;'!$K:$K,MATCH($D273,'Lopettaneet 2013-&gt;'!$D:$D,0)),"Continues")</f>
        <v>Closed</v>
      </c>
      <c r="K273" s="30">
        <f ca="1">IF($J273="Continues",DATEDIF($B273,TODAY(),"Y"),INDEX('Lopettaneet 2013-&gt;'!$L:$L,MATCH($D273,'Lopettaneet 2013-&gt;'!$D:$D,0)))</f>
        <v>0</v>
      </c>
      <c r="L273" s="31" t="str">
        <f>IFERROR(INDEX('[1]30.06.2024'!$H:$H,MATCH($E273,'[1]30.06.2024'!$B:$B,0)),"Not found")</f>
        <v>Not found</v>
      </c>
      <c r="M273" s="31" t="str">
        <f>IFERROR(INDEX([2]Sheet1!$B:$B,MATCH($D273,[2]Sheet1!$A:$A,0)),"Not found")</f>
        <v>Not found</v>
      </c>
      <c r="N273">
        <f t="shared" si="8"/>
        <v>0</v>
      </c>
      <c r="O273">
        <f t="shared" si="9"/>
        <v>0</v>
      </c>
    </row>
    <row r="274" spans="1:15" x14ac:dyDescent="0.25">
      <c r="A274" t="s">
        <v>7</v>
      </c>
      <c r="B274" s="1">
        <v>41974</v>
      </c>
      <c r="C274" s="1">
        <v>42277</v>
      </c>
      <c r="D274" s="4" t="s">
        <v>770</v>
      </c>
      <c r="E274" s="32" t="s">
        <v>771</v>
      </c>
      <c r="F274" s="32">
        <v>25384813</v>
      </c>
      <c r="G274" t="s">
        <v>10</v>
      </c>
      <c r="H274" t="s">
        <v>11</v>
      </c>
      <c r="I274" t="s">
        <v>32</v>
      </c>
      <c r="J274" s="30" t="str">
        <f>IF(ISNUMBER(MATCH($D274,'Lopettaneet 2013-&gt;'!$D:$D,0)),INDEX('Lopettaneet 2013-&gt;'!$K:$K,MATCH($D274,'Lopettaneet 2013-&gt;'!$D:$D,0)),"Continues")</f>
        <v>Closed</v>
      </c>
      <c r="K274" s="30">
        <f ca="1">IF($J274="Continues",DATEDIF($B274,TODAY(),"Y"),INDEX('Lopettaneet 2013-&gt;'!$L:$L,MATCH($D274,'Lopettaneet 2013-&gt;'!$D:$D,0)))</f>
        <v>0</v>
      </c>
      <c r="L274" s="31" t="str">
        <f>IFERROR(INDEX('[1]30.06.2024'!$H:$H,MATCH($E274,'[1]30.06.2024'!$B:$B,0)),"Not found")</f>
        <v>Not found</v>
      </c>
      <c r="M274" s="31" t="str">
        <f>IFERROR(INDEX([2]Sheet1!$B:$B,MATCH($D274,[2]Sheet1!$A:$A,0)),"Not found")</f>
        <v>Not found</v>
      </c>
      <c r="N274">
        <f t="shared" si="8"/>
        <v>0</v>
      </c>
      <c r="O274">
        <f t="shared" si="9"/>
        <v>0</v>
      </c>
    </row>
    <row r="275" spans="1:15" x14ac:dyDescent="0.25">
      <c r="A275" t="s">
        <v>7</v>
      </c>
      <c r="B275" s="1">
        <v>41974</v>
      </c>
      <c r="C275" s="1">
        <v>42277</v>
      </c>
      <c r="D275" s="4" t="s">
        <v>772</v>
      </c>
      <c r="E275" s="32" t="s">
        <v>773</v>
      </c>
      <c r="F275" s="32">
        <v>26549704</v>
      </c>
      <c r="G275" t="s">
        <v>10</v>
      </c>
      <c r="H275" t="s">
        <v>11</v>
      </c>
      <c r="I275" t="s">
        <v>32</v>
      </c>
      <c r="J275" s="30" t="str">
        <f>IF(ISNUMBER(MATCH($D275,'Lopettaneet 2013-&gt;'!$D:$D,0)),INDEX('Lopettaneet 2013-&gt;'!$K:$K,MATCH($D275,'Lopettaneet 2013-&gt;'!$D:$D,0)),"Continues")</f>
        <v>Closed</v>
      </c>
      <c r="K275" s="30">
        <f ca="1">IF($J275="Continues",DATEDIF($B275,TODAY(),"Y"),INDEX('Lopettaneet 2013-&gt;'!$L:$L,MATCH($D275,'Lopettaneet 2013-&gt;'!$D:$D,0)))</f>
        <v>0</v>
      </c>
      <c r="L275" s="31" t="str">
        <f>IFERROR(INDEX('[1]30.06.2024'!$H:$H,MATCH($E275,'[1]30.06.2024'!$B:$B,0)),"Not found")</f>
        <v>Not found</v>
      </c>
      <c r="M275" s="31" t="str">
        <f>IFERROR(INDEX([2]Sheet1!$B:$B,MATCH($D275,[2]Sheet1!$A:$A,0)),"Not found")</f>
        <v>Not found</v>
      </c>
      <c r="N275">
        <f t="shared" si="8"/>
        <v>0</v>
      </c>
      <c r="O275">
        <f t="shared" si="9"/>
        <v>0</v>
      </c>
    </row>
    <row r="276" spans="1:15" x14ac:dyDescent="0.25">
      <c r="A276" t="s">
        <v>7</v>
      </c>
      <c r="B276" s="1">
        <v>41974</v>
      </c>
      <c r="C276" s="1">
        <v>55153</v>
      </c>
      <c r="D276" s="4" t="s">
        <v>774</v>
      </c>
      <c r="E276" s="32" t="s">
        <v>775</v>
      </c>
      <c r="F276" s="32">
        <v>25106311</v>
      </c>
      <c r="G276" t="s">
        <v>10</v>
      </c>
      <c r="H276" t="s">
        <v>11</v>
      </c>
      <c r="I276" t="s">
        <v>80</v>
      </c>
      <c r="J276" s="30" t="str">
        <f>IF(ISNUMBER(MATCH($D276,'Lopettaneet 2013-&gt;'!$D:$D,0)),INDEX('Lopettaneet 2013-&gt;'!$K:$K,MATCH($D276,'Lopettaneet 2013-&gt;'!$D:$D,0)),"Continues")</f>
        <v>Continues</v>
      </c>
      <c r="K276" s="30">
        <f ca="1">IF($J276="Continues",DATEDIF($B276,TODAY(),"Y"),INDEX('Lopettaneet 2013-&gt;'!$L:$L,MATCH($D276,'Lopettaneet 2013-&gt;'!$D:$D,0)))</f>
        <v>10</v>
      </c>
      <c r="L276" s="31" t="str">
        <f>IFERROR(INDEX('[1]30.06.2024'!$H:$H,MATCH($E276,'[1]30.06.2024'!$B:$B,0)),"Not found")</f>
        <v>Gorilla Ventures Oy</v>
      </c>
      <c r="M276" s="31" t="str">
        <f>IFERROR(INDEX([2]Sheet1!$B:$B,MATCH($D276,[2]Sheet1!$A:$A,0)),"Not found")</f>
        <v>Non-Retail</v>
      </c>
      <c r="N276">
        <f t="shared" si="8"/>
        <v>0</v>
      </c>
      <c r="O276">
        <f t="shared" si="9"/>
        <v>1</v>
      </c>
    </row>
    <row r="277" spans="1:15" x14ac:dyDescent="0.25">
      <c r="A277" t="s">
        <v>7</v>
      </c>
      <c r="B277" s="1">
        <v>41974</v>
      </c>
      <c r="C277" s="1">
        <v>43830</v>
      </c>
      <c r="D277" s="4" t="s">
        <v>776</v>
      </c>
      <c r="E277" s="32" t="s">
        <v>777</v>
      </c>
      <c r="F277" s="32">
        <v>25757018</v>
      </c>
      <c r="G277" t="s">
        <v>10</v>
      </c>
      <c r="H277" t="s">
        <v>11</v>
      </c>
      <c r="I277" t="s">
        <v>32</v>
      </c>
      <c r="J277" s="30" t="str">
        <f>IF(ISNUMBER(MATCH($D277,'Lopettaneet 2013-&gt;'!$D:$D,0)),INDEX('Lopettaneet 2013-&gt;'!$K:$K,MATCH($D277,'Lopettaneet 2013-&gt;'!$D:$D,0)),"Continues")</f>
        <v>Closed</v>
      </c>
      <c r="K277" s="30">
        <f ca="1">IF($J277="Continues",DATEDIF($B277,TODAY(),"Y"),INDEX('Lopettaneet 2013-&gt;'!$L:$L,MATCH($D277,'Lopettaneet 2013-&gt;'!$D:$D,0)))</f>
        <v>5</v>
      </c>
      <c r="L277" s="31" t="str">
        <f>IFERROR(INDEX('[1]30.06.2024'!$H:$H,MATCH($E277,'[1]30.06.2024'!$B:$B,0)),"Not found")</f>
        <v>Not found</v>
      </c>
      <c r="M277" s="31" t="str">
        <f>IFERROR(INDEX([2]Sheet1!$B:$B,MATCH($D277,[2]Sheet1!$A:$A,0)),"Not found")</f>
        <v>Not found</v>
      </c>
      <c r="N277">
        <f t="shared" si="8"/>
        <v>0</v>
      </c>
      <c r="O277">
        <f t="shared" si="9"/>
        <v>0</v>
      </c>
    </row>
    <row r="278" spans="1:15" x14ac:dyDescent="0.25">
      <c r="A278" t="s">
        <v>7</v>
      </c>
      <c r="B278" s="1">
        <v>41974</v>
      </c>
      <c r="C278" s="1">
        <v>55153</v>
      </c>
      <c r="D278" s="4" t="s">
        <v>778</v>
      </c>
      <c r="E278" s="32" t="s">
        <v>779</v>
      </c>
      <c r="F278" s="32">
        <v>23075654</v>
      </c>
      <c r="G278" t="s">
        <v>10</v>
      </c>
      <c r="H278" t="s">
        <v>11</v>
      </c>
      <c r="I278" t="s">
        <v>80</v>
      </c>
      <c r="J278" s="30" t="str">
        <f>IF(ISNUMBER(MATCH($D278,'Lopettaneet 2013-&gt;'!$D:$D,0)),INDEX('Lopettaneet 2013-&gt;'!$K:$K,MATCH($D278,'Lopettaneet 2013-&gt;'!$D:$D,0)),"Continues")</f>
        <v>Continues</v>
      </c>
      <c r="K278" s="30">
        <f ca="1">IF($J278="Continues",DATEDIF($B278,TODAY(),"Y"),INDEX('Lopettaneet 2013-&gt;'!$L:$L,MATCH($D278,'Lopettaneet 2013-&gt;'!$D:$D,0)))</f>
        <v>10</v>
      </c>
      <c r="L278" s="31" t="str">
        <f>IFERROR(INDEX('[1]30.06.2024'!$H:$H,MATCH($E278,'[1]30.06.2024'!$B:$B,0)),"Not found")</f>
        <v>Not found</v>
      </c>
      <c r="M278" s="31" t="str">
        <f>IFERROR(INDEX([2]Sheet1!$B:$B,MATCH($D278,[2]Sheet1!$A:$A,0)),"Not found")</f>
        <v>Non-Retail</v>
      </c>
      <c r="N278">
        <f t="shared" si="8"/>
        <v>0</v>
      </c>
      <c r="O278">
        <f t="shared" si="9"/>
        <v>1</v>
      </c>
    </row>
    <row r="279" spans="1:15" x14ac:dyDescent="0.25">
      <c r="A279" t="s">
        <v>7</v>
      </c>
      <c r="B279" s="1">
        <v>41974</v>
      </c>
      <c r="C279" s="1">
        <v>55153</v>
      </c>
      <c r="D279" s="4" t="s">
        <v>780</v>
      </c>
      <c r="E279" s="32" t="s">
        <v>781</v>
      </c>
      <c r="F279" s="32">
        <v>24175016</v>
      </c>
      <c r="G279" t="s">
        <v>10</v>
      </c>
      <c r="H279" t="s">
        <v>11</v>
      </c>
      <c r="I279" t="s">
        <v>80</v>
      </c>
      <c r="J279" s="30" t="str">
        <f>IF(ISNUMBER(MATCH($D279,'Lopettaneet 2013-&gt;'!$D:$D,0)),INDEX('Lopettaneet 2013-&gt;'!$K:$K,MATCH($D279,'Lopettaneet 2013-&gt;'!$D:$D,0)),"Continues")</f>
        <v>Continues</v>
      </c>
      <c r="K279" s="30">
        <f ca="1">IF($J279="Continues",DATEDIF($B279,TODAY(),"Y"),INDEX('Lopettaneet 2013-&gt;'!$L:$L,MATCH($D279,'Lopettaneet 2013-&gt;'!$D:$D,0)))</f>
        <v>10</v>
      </c>
      <c r="L279" s="31" t="str">
        <f>IFERROR(INDEX('[1]30.06.2024'!$H:$H,MATCH($E279,'[1]30.06.2024'!$B:$B,0)),"Not found")</f>
        <v>Not found</v>
      </c>
      <c r="M279" s="31" t="str">
        <f>IFERROR(INDEX([2]Sheet1!$B:$B,MATCH($D279,[2]Sheet1!$A:$A,0)),"Not found")</f>
        <v>Non-Retail</v>
      </c>
      <c r="N279">
        <f t="shared" si="8"/>
        <v>0</v>
      </c>
      <c r="O279">
        <f t="shared" si="9"/>
        <v>1</v>
      </c>
    </row>
    <row r="280" spans="1:15" x14ac:dyDescent="0.25">
      <c r="A280" t="s">
        <v>7</v>
      </c>
      <c r="B280" s="1">
        <v>41974</v>
      </c>
      <c r="C280" s="1">
        <v>43830</v>
      </c>
      <c r="D280" s="4" t="s">
        <v>782</v>
      </c>
      <c r="E280" s="32" t="s">
        <v>783</v>
      </c>
      <c r="F280" s="32">
        <v>25757341</v>
      </c>
      <c r="G280" t="s">
        <v>10</v>
      </c>
      <c r="H280" t="s">
        <v>11</v>
      </c>
      <c r="I280" t="s">
        <v>32</v>
      </c>
      <c r="J280" s="30" t="str">
        <f>IF(ISNUMBER(MATCH($D280,'Lopettaneet 2013-&gt;'!$D:$D,0)),INDEX('Lopettaneet 2013-&gt;'!$K:$K,MATCH($D280,'Lopettaneet 2013-&gt;'!$D:$D,0)),"Continues")</f>
        <v>Closed</v>
      </c>
      <c r="K280" s="30">
        <f ca="1">IF($J280="Continues",DATEDIF($B280,TODAY(),"Y"),INDEX('Lopettaneet 2013-&gt;'!$L:$L,MATCH($D280,'Lopettaneet 2013-&gt;'!$D:$D,0)))</f>
        <v>5</v>
      </c>
      <c r="L280" s="31" t="str">
        <f>IFERROR(INDEX('[1]30.06.2024'!$H:$H,MATCH($E280,'[1]30.06.2024'!$B:$B,0)),"Not found")</f>
        <v>Not found</v>
      </c>
      <c r="M280" s="31" t="str">
        <f>IFERROR(INDEX([2]Sheet1!$B:$B,MATCH($D280,[2]Sheet1!$A:$A,0)),"Not found")</f>
        <v>Not found</v>
      </c>
      <c r="N280">
        <f t="shared" si="8"/>
        <v>0</v>
      </c>
      <c r="O280">
        <f t="shared" si="9"/>
        <v>0</v>
      </c>
    </row>
    <row r="281" spans="1:15" x14ac:dyDescent="0.25">
      <c r="A281" t="s">
        <v>7</v>
      </c>
      <c r="B281" s="1">
        <v>41974</v>
      </c>
      <c r="C281" s="1">
        <v>43830</v>
      </c>
      <c r="D281" s="4" t="s">
        <v>784</v>
      </c>
      <c r="E281" s="32" t="s">
        <v>785</v>
      </c>
      <c r="F281" s="32">
        <v>25565868</v>
      </c>
      <c r="G281" t="s">
        <v>10</v>
      </c>
      <c r="H281" t="s">
        <v>11</v>
      </c>
      <c r="I281" t="s">
        <v>32</v>
      </c>
      <c r="J281" s="30" t="str">
        <f>IF(ISNUMBER(MATCH($D281,'Lopettaneet 2013-&gt;'!$D:$D,0)),INDEX('Lopettaneet 2013-&gt;'!$K:$K,MATCH($D281,'Lopettaneet 2013-&gt;'!$D:$D,0)),"Continues")</f>
        <v>Closed</v>
      </c>
      <c r="K281" s="30">
        <f ca="1">IF($J281="Continues",DATEDIF($B281,TODAY(),"Y"),INDEX('Lopettaneet 2013-&gt;'!$L:$L,MATCH($D281,'Lopettaneet 2013-&gt;'!$D:$D,0)))</f>
        <v>5</v>
      </c>
      <c r="L281" s="31" t="str">
        <f>IFERROR(INDEX('[1]30.06.2024'!$H:$H,MATCH($E281,'[1]30.06.2024'!$B:$B,0)),"Not found")</f>
        <v>Not found</v>
      </c>
      <c r="M281" s="31" t="str">
        <f>IFERROR(INDEX([2]Sheet1!$B:$B,MATCH($D281,[2]Sheet1!$A:$A,0)),"Not found")</f>
        <v>Not found</v>
      </c>
      <c r="N281">
        <f t="shared" si="8"/>
        <v>0</v>
      </c>
      <c r="O281">
        <f t="shared" si="9"/>
        <v>0</v>
      </c>
    </row>
    <row r="282" spans="1:15" x14ac:dyDescent="0.25">
      <c r="A282" t="s">
        <v>7</v>
      </c>
      <c r="B282" s="1">
        <v>41974</v>
      </c>
      <c r="C282" s="1">
        <v>55153</v>
      </c>
      <c r="D282" s="4" t="s">
        <v>786</v>
      </c>
      <c r="E282" s="32" t="s">
        <v>787</v>
      </c>
      <c r="F282" s="32">
        <v>25382797</v>
      </c>
      <c r="G282" t="s">
        <v>10</v>
      </c>
      <c r="H282" t="s">
        <v>11</v>
      </c>
      <c r="I282" t="s">
        <v>32</v>
      </c>
      <c r="J282" s="30" t="str">
        <f>IF(ISNUMBER(MATCH($D282,'Lopettaneet 2013-&gt;'!$D:$D,0)),INDEX('Lopettaneet 2013-&gt;'!$K:$K,MATCH($D282,'Lopettaneet 2013-&gt;'!$D:$D,0)),"Continues")</f>
        <v>Continues</v>
      </c>
      <c r="K282" s="30">
        <f ca="1">IF($J282="Continues",DATEDIF($B282,TODAY(),"Y"),INDEX('Lopettaneet 2013-&gt;'!$L:$L,MATCH($D282,'Lopettaneet 2013-&gt;'!$D:$D,0)))</f>
        <v>10</v>
      </c>
      <c r="L282" s="31" t="str">
        <f>IFERROR(INDEX('[1]30.06.2024'!$H:$H,MATCH($E282,'[1]30.06.2024'!$B:$B,0)),"Not found")</f>
        <v>OP Kiinteistösijoitus Oy</v>
      </c>
      <c r="M282" s="31" t="str">
        <f>IFERROR(INDEX([2]Sheet1!$B:$B,MATCH($D282,[2]Sheet1!$A:$A,0)),"Not found")</f>
        <v>Non-Retail</v>
      </c>
      <c r="N282">
        <f t="shared" si="8"/>
        <v>0</v>
      </c>
      <c r="O282">
        <f t="shared" si="9"/>
        <v>1</v>
      </c>
    </row>
    <row r="283" spans="1:15" x14ac:dyDescent="0.25">
      <c r="A283" t="s">
        <v>7</v>
      </c>
      <c r="B283" s="1">
        <v>41974</v>
      </c>
      <c r="C283" s="1">
        <v>43921</v>
      </c>
      <c r="D283" s="4" t="s">
        <v>788</v>
      </c>
      <c r="E283" s="32" t="s">
        <v>789</v>
      </c>
      <c r="F283" s="32">
        <v>26186448</v>
      </c>
      <c r="G283" t="s">
        <v>10</v>
      </c>
      <c r="H283" t="s">
        <v>11</v>
      </c>
      <c r="I283" t="s">
        <v>32</v>
      </c>
      <c r="J283" s="30" t="str">
        <f>IF(ISNUMBER(MATCH($D283,'Lopettaneet 2013-&gt;'!$D:$D,0)),INDEX('Lopettaneet 2013-&gt;'!$K:$K,MATCH($D283,'Lopettaneet 2013-&gt;'!$D:$D,0)),"Continues")</f>
        <v>Closed</v>
      </c>
      <c r="K283" s="30">
        <f ca="1">IF($J283="Continues",DATEDIF($B283,TODAY(),"Y"),INDEX('Lopettaneet 2013-&gt;'!$L:$L,MATCH($D283,'Lopettaneet 2013-&gt;'!$D:$D,0)))</f>
        <v>5</v>
      </c>
      <c r="L283" s="31" t="str">
        <f>IFERROR(INDEX('[1]30.06.2024'!$H:$H,MATCH($E283,'[1]30.06.2024'!$B:$B,0)),"Not found")</f>
        <v>Not found</v>
      </c>
      <c r="M283" s="31" t="str">
        <f>IFERROR(INDEX([2]Sheet1!$B:$B,MATCH($D283,[2]Sheet1!$A:$A,0)),"Not found")</f>
        <v>Not found</v>
      </c>
      <c r="N283">
        <f t="shared" si="8"/>
        <v>0</v>
      </c>
      <c r="O283">
        <f t="shared" si="9"/>
        <v>0</v>
      </c>
    </row>
    <row r="284" spans="1:15" x14ac:dyDescent="0.25">
      <c r="A284" t="s">
        <v>7</v>
      </c>
      <c r="B284" s="1">
        <v>41974</v>
      </c>
      <c r="C284" s="1">
        <v>43921</v>
      </c>
      <c r="D284" s="4" t="s">
        <v>790</v>
      </c>
      <c r="E284" s="32" t="s">
        <v>791</v>
      </c>
      <c r="F284" s="32">
        <v>24800862</v>
      </c>
      <c r="G284" t="s">
        <v>10</v>
      </c>
      <c r="H284" t="s">
        <v>11</v>
      </c>
      <c r="I284" t="s">
        <v>32</v>
      </c>
      <c r="J284" s="30" t="str">
        <f>IF(ISNUMBER(MATCH($D284,'Lopettaneet 2013-&gt;'!$D:$D,0)),INDEX('Lopettaneet 2013-&gt;'!$K:$K,MATCH($D284,'Lopettaneet 2013-&gt;'!$D:$D,0)),"Continues")</f>
        <v>Closed</v>
      </c>
      <c r="K284" s="30">
        <f ca="1">IF($J284="Continues",DATEDIF($B284,TODAY(),"Y"),INDEX('Lopettaneet 2013-&gt;'!$L:$L,MATCH($D284,'Lopettaneet 2013-&gt;'!$D:$D,0)))</f>
        <v>5</v>
      </c>
      <c r="L284" s="31" t="str">
        <f>IFERROR(INDEX('[1]30.06.2024'!$H:$H,MATCH($E284,'[1]30.06.2024'!$B:$B,0)),"Not found")</f>
        <v>Not found</v>
      </c>
      <c r="M284" s="31" t="str">
        <f>IFERROR(INDEX([2]Sheet1!$B:$B,MATCH($D284,[2]Sheet1!$A:$A,0)),"Not found")</f>
        <v>Not found</v>
      </c>
      <c r="N284">
        <f t="shared" si="8"/>
        <v>0</v>
      </c>
      <c r="O284">
        <f t="shared" si="9"/>
        <v>0</v>
      </c>
    </row>
    <row r="285" spans="1:15" x14ac:dyDescent="0.25">
      <c r="A285" t="s">
        <v>7</v>
      </c>
      <c r="B285" s="1">
        <v>41974</v>
      </c>
      <c r="C285" s="1">
        <v>43921</v>
      </c>
      <c r="D285" s="4" t="s">
        <v>792</v>
      </c>
      <c r="E285" s="32" t="s">
        <v>793</v>
      </c>
      <c r="F285" s="32">
        <v>19417623</v>
      </c>
      <c r="G285" t="s">
        <v>10</v>
      </c>
      <c r="H285" t="s">
        <v>11</v>
      </c>
      <c r="I285" t="s">
        <v>32</v>
      </c>
      <c r="J285" s="30" t="str">
        <f>IF(ISNUMBER(MATCH($D285,'Lopettaneet 2013-&gt;'!$D:$D,0)),INDEX('Lopettaneet 2013-&gt;'!$K:$K,MATCH($D285,'Lopettaneet 2013-&gt;'!$D:$D,0)),"Continues")</f>
        <v>Closed</v>
      </c>
      <c r="K285" s="30">
        <f ca="1">IF($J285="Continues",DATEDIF($B285,TODAY(),"Y"),INDEX('Lopettaneet 2013-&gt;'!$L:$L,MATCH($D285,'Lopettaneet 2013-&gt;'!$D:$D,0)))</f>
        <v>5</v>
      </c>
      <c r="L285" s="31" t="str">
        <f>IFERROR(INDEX('[1]30.06.2024'!$H:$H,MATCH($E285,'[1]30.06.2024'!$B:$B,0)),"Not found")</f>
        <v>Not found</v>
      </c>
      <c r="M285" s="31" t="str">
        <f>IFERROR(INDEX([2]Sheet1!$B:$B,MATCH($D285,[2]Sheet1!$A:$A,0)),"Not found")</f>
        <v>Not found</v>
      </c>
      <c r="N285">
        <f t="shared" si="8"/>
        <v>0</v>
      </c>
      <c r="O285">
        <f t="shared" si="9"/>
        <v>0</v>
      </c>
    </row>
    <row r="286" spans="1:15" x14ac:dyDescent="0.25">
      <c r="A286" t="s">
        <v>7</v>
      </c>
      <c r="B286" s="1">
        <v>41974</v>
      </c>
      <c r="C286" s="1">
        <v>43465</v>
      </c>
      <c r="D286" s="4" t="s">
        <v>794</v>
      </c>
      <c r="E286" s="32" t="s">
        <v>795</v>
      </c>
      <c r="F286" s="32">
        <v>24862983</v>
      </c>
      <c r="G286" t="s">
        <v>10</v>
      </c>
      <c r="H286" t="s">
        <v>11</v>
      </c>
      <c r="I286" t="s">
        <v>32</v>
      </c>
      <c r="J286" s="30" t="str">
        <f>IF(ISNUMBER(MATCH($D286,'Lopettaneet 2013-&gt;'!$D:$D,0)),INDEX('Lopettaneet 2013-&gt;'!$K:$K,MATCH($D286,'Lopettaneet 2013-&gt;'!$D:$D,0)),"Continues")</f>
        <v>Closed</v>
      </c>
      <c r="K286" s="30">
        <f ca="1">IF($J286="Continues",DATEDIF($B286,TODAY(),"Y"),INDEX('Lopettaneet 2013-&gt;'!$L:$L,MATCH($D286,'Lopettaneet 2013-&gt;'!$D:$D,0)))</f>
        <v>4</v>
      </c>
      <c r="L286" s="31" t="str">
        <f>IFERROR(INDEX('[1]30.06.2024'!$H:$H,MATCH($E286,'[1]30.06.2024'!$B:$B,0)),"Not found")</f>
        <v>Not found</v>
      </c>
      <c r="M286" s="31" t="str">
        <f>IFERROR(INDEX([2]Sheet1!$B:$B,MATCH($D286,[2]Sheet1!$A:$A,0)),"Not found")</f>
        <v>Not found</v>
      </c>
      <c r="N286">
        <f t="shared" si="8"/>
        <v>0</v>
      </c>
      <c r="O286">
        <f t="shared" si="9"/>
        <v>0</v>
      </c>
    </row>
    <row r="287" spans="1:15" x14ac:dyDescent="0.25">
      <c r="A287" t="s">
        <v>7</v>
      </c>
      <c r="B287" s="1">
        <v>41974</v>
      </c>
      <c r="C287" s="1">
        <v>42735</v>
      </c>
      <c r="D287" s="4" t="s">
        <v>796</v>
      </c>
      <c r="E287" s="32" t="s">
        <v>797</v>
      </c>
      <c r="F287" s="32">
        <v>21274158</v>
      </c>
      <c r="G287" t="s">
        <v>10</v>
      </c>
      <c r="H287" t="s">
        <v>11</v>
      </c>
      <c r="I287" t="s">
        <v>12</v>
      </c>
      <c r="J287" s="30" t="str">
        <f>IF(ISNUMBER(MATCH($D287,'Lopettaneet 2013-&gt;'!$D:$D,0)),INDEX('Lopettaneet 2013-&gt;'!$K:$K,MATCH($D287,'Lopettaneet 2013-&gt;'!$D:$D,0)),"Continues")</f>
        <v>Closed</v>
      </c>
      <c r="K287" s="30">
        <f ca="1">IF($J287="Continues",DATEDIF($B287,TODAY(),"Y"),INDEX('Lopettaneet 2013-&gt;'!$L:$L,MATCH($D287,'Lopettaneet 2013-&gt;'!$D:$D,0)))</f>
        <v>2</v>
      </c>
      <c r="L287" s="31" t="str">
        <f>IFERROR(INDEX('[1]30.06.2024'!$H:$H,MATCH($E287,'[1]30.06.2024'!$B:$B,0)),"Not found")</f>
        <v>Not found</v>
      </c>
      <c r="M287" s="31" t="str">
        <f>IFERROR(INDEX([2]Sheet1!$B:$B,MATCH($D287,[2]Sheet1!$A:$A,0)),"Not found")</f>
        <v>Not found</v>
      </c>
      <c r="N287">
        <f t="shared" si="8"/>
        <v>0</v>
      </c>
      <c r="O287">
        <f t="shared" si="9"/>
        <v>0</v>
      </c>
    </row>
    <row r="288" spans="1:15" x14ac:dyDescent="0.25">
      <c r="A288" t="s">
        <v>7</v>
      </c>
      <c r="B288" s="1">
        <v>41974</v>
      </c>
      <c r="C288" s="1">
        <v>42369</v>
      </c>
      <c r="D288" s="4" t="s">
        <v>798</v>
      </c>
      <c r="E288" s="32" t="s">
        <v>799</v>
      </c>
      <c r="F288" s="32">
        <v>25571942</v>
      </c>
      <c r="G288" t="s">
        <v>10</v>
      </c>
      <c r="H288" t="s">
        <v>11</v>
      </c>
      <c r="I288" t="s">
        <v>32</v>
      </c>
      <c r="J288" s="30" t="str">
        <f>IF(ISNUMBER(MATCH($D288,'Lopettaneet 2013-&gt;'!$D:$D,0)),INDEX('Lopettaneet 2013-&gt;'!$K:$K,MATCH($D288,'Lopettaneet 2013-&gt;'!$D:$D,0)),"Continues")</f>
        <v>Closed</v>
      </c>
      <c r="K288" s="30">
        <f ca="1">IF($J288="Continues",DATEDIF($B288,TODAY(),"Y"),INDEX('Lopettaneet 2013-&gt;'!$L:$L,MATCH($D288,'Lopettaneet 2013-&gt;'!$D:$D,0)))</f>
        <v>1</v>
      </c>
      <c r="L288" s="31" t="str">
        <f>IFERROR(INDEX('[1]30.06.2024'!$H:$H,MATCH($E288,'[1]30.06.2024'!$B:$B,0)),"Not found")</f>
        <v>Not found</v>
      </c>
      <c r="M288" s="31" t="str">
        <f>IFERROR(INDEX([2]Sheet1!$B:$B,MATCH($D288,[2]Sheet1!$A:$A,0)),"Not found")</f>
        <v>Not found</v>
      </c>
      <c r="N288">
        <f t="shared" si="8"/>
        <v>0</v>
      </c>
      <c r="O288">
        <f t="shared" si="9"/>
        <v>0</v>
      </c>
    </row>
    <row r="289" spans="1:15" x14ac:dyDescent="0.25">
      <c r="A289" t="s">
        <v>7</v>
      </c>
      <c r="B289" s="1">
        <v>41974</v>
      </c>
      <c r="C289" s="1">
        <v>45291</v>
      </c>
      <c r="D289" s="4" t="s">
        <v>30</v>
      </c>
      <c r="E289" s="32" t="s">
        <v>31</v>
      </c>
      <c r="F289" s="32">
        <v>25572371</v>
      </c>
      <c r="G289" t="s">
        <v>10</v>
      </c>
      <c r="H289" t="s">
        <v>11</v>
      </c>
      <c r="I289" t="s">
        <v>32</v>
      </c>
      <c r="J289" s="30" t="str">
        <f>IF(ISNUMBER(MATCH($D289,'Lopettaneet 2013-&gt;'!$D:$D,0)),INDEX('Lopettaneet 2013-&gt;'!$K:$K,MATCH($D289,'Lopettaneet 2013-&gt;'!$D:$D,0)),"Continues")</f>
        <v>Closed</v>
      </c>
      <c r="K289" s="30">
        <f ca="1">IF($J289="Continues",DATEDIF($B289,TODAY(),"Y"),INDEX('Lopettaneet 2013-&gt;'!$L:$L,MATCH($D289,'Lopettaneet 2013-&gt;'!$D:$D,0)))</f>
        <v>9</v>
      </c>
      <c r="L289" s="31" t="str">
        <f>IFERROR(INDEX('[1]30.06.2024'!$H:$H,MATCH($E289,'[1]30.06.2024'!$B:$B,0)),"Not found")</f>
        <v>Not found</v>
      </c>
      <c r="M289" s="31" t="str">
        <f>IFERROR(INDEX([2]Sheet1!$B:$B,MATCH($D289,[2]Sheet1!$A:$A,0)),"Not found")</f>
        <v>Not found</v>
      </c>
      <c r="N289">
        <f t="shared" si="8"/>
        <v>0</v>
      </c>
      <c r="O289">
        <f t="shared" si="9"/>
        <v>0</v>
      </c>
    </row>
    <row r="290" spans="1:15" x14ac:dyDescent="0.25">
      <c r="A290" t="s">
        <v>7</v>
      </c>
      <c r="B290" s="1">
        <v>41974</v>
      </c>
      <c r="C290" s="1">
        <v>55153</v>
      </c>
      <c r="D290" s="4" t="s">
        <v>800</v>
      </c>
      <c r="E290" s="32" t="s">
        <v>801</v>
      </c>
      <c r="F290" s="32">
        <v>22038667</v>
      </c>
      <c r="G290" t="s">
        <v>10</v>
      </c>
      <c r="H290" t="s">
        <v>11</v>
      </c>
      <c r="I290" t="s">
        <v>29</v>
      </c>
      <c r="J290" s="30" t="str">
        <f>IF(ISNUMBER(MATCH($D290,'Lopettaneet 2013-&gt;'!$D:$D,0)),INDEX('Lopettaneet 2013-&gt;'!$K:$K,MATCH($D290,'Lopettaneet 2013-&gt;'!$D:$D,0)),"Continues")</f>
        <v>Continues</v>
      </c>
      <c r="K290" s="30">
        <f ca="1">IF($J290="Continues",DATEDIF($B290,TODAY(),"Y"),INDEX('Lopettaneet 2013-&gt;'!$L:$L,MATCH($D290,'Lopettaneet 2013-&gt;'!$D:$D,0)))</f>
        <v>10</v>
      </c>
      <c r="L290" s="31" t="str">
        <f>IFERROR(INDEX('[1]30.06.2024'!$H:$H,MATCH($E290,'[1]30.06.2024'!$B:$B,0)),"Not found")</f>
        <v>Access Capital Advisors Finland Oy</v>
      </c>
      <c r="M290" s="31" t="str">
        <f>IFERROR(INDEX([2]Sheet1!$B:$B,MATCH($D290,[2]Sheet1!$A:$A,0)),"Not found")</f>
        <v>Non-Retail</v>
      </c>
      <c r="N290">
        <f t="shared" si="8"/>
        <v>0</v>
      </c>
      <c r="O290">
        <f t="shared" si="9"/>
        <v>1</v>
      </c>
    </row>
    <row r="291" spans="1:15" x14ac:dyDescent="0.25">
      <c r="A291" t="s">
        <v>7</v>
      </c>
      <c r="B291" s="1">
        <v>41974</v>
      </c>
      <c r="C291" s="1">
        <v>42369</v>
      </c>
      <c r="D291" s="4" t="s">
        <v>802</v>
      </c>
      <c r="E291" s="32" t="s">
        <v>803</v>
      </c>
      <c r="F291" s="32">
        <v>24956031</v>
      </c>
      <c r="G291" t="s">
        <v>10</v>
      </c>
      <c r="H291" t="s">
        <v>11</v>
      </c>
      <c r="I291" t="s">
        <v>32</v>
      </c>
      <c r="J291" s="30" t="str">
        <f>IF(ISNUMBER(MATCH($D291,'Lopettaneet 2013-&gt;'!$D:$D,0)),INDEX('Lopettaneet 2013-&gt;'!$K:$K,MATCH($D291,'Lopettaneet 2013-&gt;'!$D:$D,0)),"Continues")</f>
        <v>Closed</v>
      </c>
      <c r="K291" s="30">
        <f ca="1">IF($J291="Continues",DATEDIF($B291,TODAY(),"Y"),INDEX('Lopettaneet 2013-&gt;'!$L:$L,MATCH($D291,'Lopettaneet 2013-&gt;'!$D:$D,0)))</f>
        <v>1</v>
      </c>
      <c r="L291" s="31" t="str">
        <f>IFERROR(INDEX('[1]30.06.2024'!$H:$H,MATCH($E291,'[1]30.06.2024'!$B:$B,0)),"Not found")</f>
        <v>Not found</v>
      </c>
      <c r="M291" s="31" t="str">
        <f>IFERROR(INDEX([2]Sheet1!$B:$B,MATCH($D291,[2]Sheet1!$A:$A,0)),"Not found")</f>
        <v>Not found</v>
      </c>
      <c r="N291">
        <f t="shared" si="8"/>
        <v>0</v>
      </c>
      <c r="O291">
        <f t="shared" si="9"/>
        <v>0</v>
      </c>
    </row>
    <row r="292" spans="1:15" x14ac:dyDescent="0.25">
      <c r="A292" t="s">
        <v>7</v>
      </c>
      <c r="B292" s="1">
        <v>41974</v>
      </c>
      <c r="C292" s="1">
        <v>42460</v>
      </c>
      <c r="D292" s="4" t="s">
        <v>804</v>
      </c>
      <c r="E292" s="32" t="s">
        <v>805</v>
      </c>
      <c r="F292" s="32">
        <v>19488085</v>
      </c>
      <c r="G292" t="s">
        <v>10</v>
      </c>
      <c r="H292" t="s">
        <v>11</v>
      </c>
      <c r="I292" t="s">
        <v>32</v>
      </c>
      <c r="J292" s="30" t="str">
        <f>IF(ISNUMBER(MATCH($D292,'Lopettaneet 2013-&gt;'!$D:$D,0)),INDEX('Lopettaneet 2013-&gt;'!$K:$K,MATCH($D292,'Lopettaneet 2013-&gt;'!$D:$D,0)),"Continues")</f>
        <v>Closed</v>
      </c>
      <c r="K292" s="30">
        <f ca="1">IF($J292="Continues",DATEDIF($B292,TODAY(),"Y"),INDEX('Lopettaneet 2013-&gt;'!$L:$L,MATCH($D292,'Lopettaneet 2013-&gt;'!$D:$D,0)))</f>
        <v>1</v>
      </c>
      <c r="L292" s="31" t="str">
        <f>IFERROR(INDEX('[1]30.06.2024'!$H:$H,MATCH($E292,'[1]30.06.2024'!$B:$B,0)),"Not found")</f>
        <v>Not found</v>
      </c>
      <c r="M292" s="31" t="str">
        <f>IFERROR(INDEX([2]Sheet1!$B:$B,MATCH($D292,[2]Sheet1!$A:$A,0)),"Not found")</f>
        <v>Not found</v>
      </c>
      <c r="N292">
        <f t="shared" si="8"/>
        <v>0</v>
      </c>
      <c r="O292">
        <f t="shared" si="9"/>
        <v>0</v>
      </c>
    </row>
    <row r="293" spans="1:15" x14ac:dyDescent="0.25">
      <c r="A293" t="s">
        <v>7</v>
      </c>
      <c r="B293" s="1">
        <v>41974</v>
      </c>
      <c r="C293" s="1">
        <v>43100</v>
      </c>
      <c r="D293" s="4" t="s">
        <v>806</v>
      </c>
      <c r="E293" s="32" t="s">
        <v>807</v>
      </c>
      <c r="F293" s="32" t="s">
        <v>14</v>
      </c>
      <c r="G293" t="s">
        <v>10</v>
      </c>
      <c r="H293" t="s">
        <v>11</v>
      </c>
      <c r="I293" t="s">
        <v>47</v>
      </c>
      <c r="J293" s="30" t="str">
        <f>IF(ISNUMBER(MATCH($D293,'Lopettaneet 2013-&gt;'!$D:$D,0)),INDEX('Lopettaneet 2013-&gt;'!$K:$K,MATCH($D293,'Lopettaneet 2013-&gt;'!$D:$D,0)),"Continues")</f>
        <v>Closed</v>
      </c>
      <c r="K293" s="30">
        <f ca="1">IF($J293="Continues",DATEDIF($B293,TODAY(),"Y"),INDEX('Lopettaneet 2013-&gt;'!$L:$L,MATCH($D293,'Lopettaneet 2013-&gt;'!$D:$D,0)))</f>
        <v>3</v>
      </c>
      <c r="L293" s="31" t="str">
        <f>IFERROR(INDEX('[1]30.06.2024'!$H:$H,MATCH($E293,'[1]30.06.2024'!$B:$B,0)),"Not found")</f>
        <v>Not found</v>
      </c>
      <c r="M293" s="31" t="str">
        <f>IFERROR(INDEX([2]Sheet1!$B:$B,MATCH($D293,[2]Sheet1!$A:$A,0)),"Not found")</f>
        <v>Not found</v>
      </c>
      <c r="N293">
        <f t="shared" si="8"/>
        <v>0</v>
      </c>
      <c r="O293">
        <f t="shared" si="9"/>
        <v>0</v>
      </c>
    </row>
    <row r="294" spans="1:15" x14ac:dyDescent="0.25">
      <c r="A294" t="s">
        <v>7</v>
      </c>
      <c r="B294" s="1">
        <v>41974</v>
      </c>
      <c r="C294" s="1">
        <v>43373</v>
      </c>
      <c r="D294" s="4" t="s">
        <v>808</v>
      </c>
      <c r="E294" s="32" t="s">
        <v>809</v>
      </c>
      <c r="F294" s="32">
        <v>18634351</v>
      </c>
      <c r="G294" t="s">
        <v>10</v>
      </c>
      <c r="H294" t="s">
        <v>11</v>
      </c>
      <c r="I294" t="s">
        <v>12</v>
      </c>
      <c r="J294" s="30" t="str">
        <f>IF(ISNUMBER(MATCH($D294,'Lopettaneet 2013-&gt;'!$D:$D,0)),INDEX('Lopettaneet 2013-&gt;'!$K:$K,MATCH($D294,'Lopettaneet 2013-&gt;'!$D:$D,0)),"Continues")</f>
        <v>Closed</v>
      </c>
      <c r="K294" s="30">
        <f ca="1">IF($J294="Continues",DATEDIF($B294,TODAY(),"Y"),INDEX('Lopettaneet 2013-&gt;'!$L:$L,MATCH($D294,'Lopettaneet 2013-&gt;'!$D:$D,0)))</f>
        <v>3</v>
      </c>
      <c r="L294" s="31" t="str">
        <f>IFERROR(INDEX('[1]30.06.2024'!$H:$H,MATCH($E294,'[1]30.06.2024'!$B:$B,0)),"Not found")</f>
        <v>Not found</v>
      </c>
      <c r="M294" s="31" t="str">
        <f>IFERROR(INDEX([2]Sheet1!$B:$B,MATCH($D294,[2]Sheet1!$A:$A,0)),"Not found")</f>
        <v>Not found</v>
      </c>
      <c r="N294">
        <f t="shared" si="8"/>
        <v>0</v>
      </c>
      <c r="O294">
        <f t="shared" si="9"/>
        <v>0</v>
      </c>
    </row>
    <row r="295" spans="1:15" x14ac:dyDescent="0.25">
      <c r="A295" t="s">
        <v>7</v>
      </c>
      <c r="B295" s="1">
        <v>41974</v>
      </c>
      <c r="C295" s="1">
        <v>55153</v>
      </c>
      <c r="D295" s="4" t="s">
        <v>810</v>
      </c>
      <c r="E295" s="32" t="s">
        <v>811</v>
      </c>
      <c r="F295" s="32">
        <v>25129345</v>
      </c>
      <c r="G295" t="s">
        <v>10</v>
      </c>
      <c r="H295" t="s">
        <v>11</v>
      </c>
      <c r="I295" t="s">
        <v>32</v>
      </c>
      <c r="J295" s="30" t="str">
        <f>IF(ISNUMBER(MATCH($D295,'Lopettaneet 2013-&gt;'!$D:$D,0)),INDEX('Lopettaneet 2013-&gt;'!$K:$K,MATCH($D295,'Lopettaneet 2013-&gt;'!$D:$D,0)),"Continues")</f>
        <v>Continues</v>
      </c>
      <c r="K295" s="30">
        <f ca="1">IF($J295="Continues",DATEDIF($B295,TODAY(),"Y"),INDEX('Lopettaneet 2013-&gt;'!$L:$L,MATCH($D295,'Lopettaneet 2013-&gt;'!$D:$D,0)))</f>
        <v>10</v>
      </c>
      <c r="L295" s="31" t="str">
        <f>IFERROR(INDEX('[1]30.06.2024'!$H:$H,MATCH($E295,'[1]30.06.2024'!$B:$B,0)),"Not found")</f>
        <v>Taitokaari Property Management Oy</v>
      </c>
      <c r="M295" s="31" t="str">
        <f>IFERROR(INDEX([2]Sheet1!$B:$B,MATCH($D295,[2]Sheet1!$A:$A,0)),"Not found")</f>
        <v>Non-Retail</v>
      </c>
      <c r="N295">
        <f t="shared" si="8"/>
        <v>0</v>
      </c>
      <c r="O295">
        <f t="shared" si="9"/>
        <v>1</v>
      </c>
    </row>
    <row r="296" spans="1:15" x14ac:dyDescent="0.25">
      <c r="A296" t="s">
        <v>7</v>
      </c>
      <c r="B296" s="1">
        <v>41974</v>
      </c>
      <c r="C296" s="1">
        <v>55153</v>
      </c>
      <c r="D296" s="4" t="s">
        <v>812</v>
      </c>
      <c r="E296" s="32" t="s">
        <v>813</v>
      </c>
      <c r="F296" s="32">
        <v>25038101</v>
      </c>
      <c r="G296" t="s">
        <v>10</v>
      </c>
      <c r="H296" t="s">
        <v>11</v>
      </c>
      <c r="I296" t="s">
        <v>32</v>
      </c>
      <c r="J296" s="30" t="str">
        <f>IF(ISNUMBER(MATCH($D296,'Lopettaneet 2013-&gt;'!$D:$D,0)),INDEX('Lopettaneet 2013-&gt;'!$K:$K,MATCH($D296,'Lopettaneet 2013-&gt;'!$D:$D,0)),"Continues")</f>
        <v>Continues</v>
      </c>
      <c r="K296" s="30">
        <f ca="1">IF($J296="Continues",DATEDIF($B296,TODAY(),"Y"),INDEX('Lopettaneet 2013-&gt;'!$L:$L,MATCH($D296,'Lopettaneet 2013-&gt;'!$D:$D,0)))</f>
        <v>10</v>
      </c>
      <c r="L296" s="31" t="str">
        <f>IFERROR(INDEX('[1]30.06.2024'!$H:$H,MATCH($E296,'[1]30.06.2024'!$B:$B,0)),"Not found")</f>
        <v>LähiTapiola Vaihtoehtorahastot Oy</v>
      </c>
      <c r="M296" s="31" t="str">
        <f>IFERROR(INDEX([2]Sheet1!$B:$B,MATCH($D296,[2]Sheet1!$A:$A,0)),"Not found")</f>
        <v>Non-Retail</v>
      </c>
      <c r="N296">
        <f t="shared" si="8"/>
        <v>0</v>
      </c>
      <c r="O296">
        <f t="shared" si="9"/>
        <v>1</v>
      </c>
    </row>
    <row r="297" spans="1:15" x14ac:dyDescent="0.25">
      <c r="A297" t="s">
        <v>7</v>
      </c>
      <c r="B297" s="1">
        <v>41974</v>
      </c>
      <c r="C297" s="1">
        <v>43646</v>
      </c>
      <c r="D297" s="4" t="s">
        <v>814</v>
      </c>
      <c r="E297" s="32" t="s">
        <v>815</v>
      </c>
      <c r="F297" s="32">
        <v>20748876</v>
      </c>
      <c r="G297" t="s">
        <v>10</v>
      </c>
      <c r="H297" t="s">
        <v>11</v>
      </c>
      <c r="I297" t="s">
        <v>80</v>
      </c>
      <c r="J297" s="30" t="str">
        <f>IF(ISNUMBER(MATCH($D297,'Lopettaneet 2013-&gt;'!$D:$D,0)),INDEX('Lopettaneet 2013-&gt;'!$K:$K,MATCH($D297,'Lopettaneet 2013-&gt;'!$D:$D,0)),"Continues")</f>
        <v>Closed</v>
      </c>
      <c r="K297" s="30">
        <f ca="1">IF($J297="Continues",DATEDIF($B297,TODAY(),"Y"),INDEX('Lopettaneet 2013-&gt;'!$L:$L,MATCH($D297,'Lopettaneet 2013-&gt;'!$D:$D,0)))</f>
        <v>4</v>
      </c>
      <c r="L297" s="31" t="str">
        <f>IFERROR(INDEX('[1]30.06.2024'!$H:$H,MATCH($E297,'[1]30.06.2024'!$B:$B,0)),"Not found")</f>
        <v>Not found</v>
      </c>
      <c r="M297" s="31" t="str">
        <f>IFERROR(INDEX([2]Sheet1!$B:$B,MATCH($D297,[2]Sheet1!$A:$A,0)),"Not found")</f>
        <v>Not found</v>
      </c>
      <c r="N297">
        <f t="shared" si="8"/>
        <v>0</v>
      </c>
      <c r="O297">
        <f t="shared" si="9"/>
        <v>0</v>
      </c>
    </row>
    <row r="298" spans="1:15" x14ac:dyDescent="0.25">
      <c r="A298" t="s">
        <v>7</v>
      </c>
      <c r="B298" s="1">
        <v>41974</v>
      </c>
      <c r="C298" s="1">
        <v>55153</v>
      </c>
      <c r="D298" s="4" t="s">
        <v>816</v>
      </c>
      <c r="E298" s="32" t="s">
        <v>817</v>
      </c>
      <c r="F298" s="32">
        <v>25317098</v>
      </c>
      <c r="G298" t="s">
        <v>10</v>
      </c>
      <c r="H298" t="s">
        <v>11</v>
      </c>
      <c r="I298" t="s">
        <v>32</v>
      </c>
      <c r="J298" s="30" t="str">
        <f>IF(ISNUMBER(MATCH($D298,'Lopettaneet 2013-&gt;'!$D:$D,0)),INDEX('Lopettaneet 2013-&gt;'!$K:$K,MATCH($D298,'Lopettaneet 2013-&gt;'!$D:$D,0)),"Continues")</f>
        <v>Continues</v>
      </c>
      <c r="K298" s="30">
        <f ca="1">IF($J298="Continues",DATEDIF($B298,TODAY(),"Y"),INDEX('Lopettaneet 2013-&gt;'!$L:$L,MATCH($D298,'Lopettaneet 2013-&gt;'!$D:$D,0)))</f>
        <v>10</v>
      </c>
      <c r="L298" s="31" t="str">
        <f>IFERROR(INDEX('[1]30.06.2024'!$H:$H,MATCH($E298,'[1]30.06.2024'!$B:$B,0)),"Not found")</f>
        <v>LähiTapiola Vaihtoehtorahastot Oy</v>
      </c>
      <c r="M298" s="31" t="str">
        <f>IFERROR(INDEX([2]Sheet1!$B:$B,MATCH($D298,[2]Sheet1!$A:$A,0)),"Not found")</f>
        <v>Non-Retail</v>
      </c>
      <c r="N298">
        <f t="shared" si="8"/>
        <v>0</v>
      </c>
      <c r="O298">
        <f t="shared" si="9"/>
        <v>1</v>
      </c>
    </row>
    <row r="299" spans="1:15" x14ac:dyDescent="0.25">
      <c r="A299" t="s">
        <v>7</v>
      </c>
      <c r="B299" s="1">
        <v>41974</v>
      </c>
      <c r="C299" s="1">
        <v>42735</v>
      </c>
      <c r="D299" s="4" t="s">
        <v>818</v>
      </c>
      <c r="E299" s="32" t="s">
        <v>819</v>
      </c>
      <c r="F299" s="32">
        <v>24297267</v>
      </c>
      <c r="G299" t="s">
        <v>10</v>
      </c>
      <c r="H299" t="s">
        <v>11</v>
      </c>
      <c r="I299" t="s">
        <v>80</v>
      </c>
      <c r="J299" s="30" t="str">
        <f>IF(ISNUMBER(MATCH($D299,'Lopettaneet 2013-&gt;'!$D:$D,0)),INDEX('Lopettaneet 2013-&gt;'!$K:$K,MATCH($D299,'Lopettaneet 2013-&gt;'!$D:$D,0)),"Continues")</f>
        <v>Closed</v>
      </c>
      <c r="K299" s="30">
        <f ca="1">IF($J299="Continues",DATEDIF($B299,TODAY(),"Y"),INDEX('Lopettaneet 2013-&gt;'!$L:$L,MATCH($D299,'Lopettaneet 2013-&gt;'!$D:$D,0)))</f>
        <v>2</v>
      </c>
      <c r="L299" s="31" t="str">
        <f>IFERROR(INDEX('[1]30.06.2024'!$H:$H,MATCH($E299,'[1]30.06.2024'!$B:$B,0)),"Not found")</f>
        <v>Not found</v>
      </c>
      <c r="M299" s="31" t="str">
        <f>IFERROR(INDEX([2]Sheet1!$B:$B,MATCH($D299,[2]Sheet1!$A:$A,0)),"Not found")</f>
        <v>Not found</v>
      </c>
      <c r="N299">
        <f t="shared" si="8"/>
        <v>0</v>
      </c>
      <c r="O299">
        <f t="shared" si="9"/>
        <v>0</v>
      </c>
    </row>
    <row r="300" spans="1:15" x14ac:dyDescent="0.25">
      <c r="A300" t="s">
        <v>7</v>
      </c>
      <c r="B300" s="1">
        <v>41974</v>
      </c>
      <c r="C300" s="1">
        <v>55153</v>
      </c>
      <c r="D300" s="4" t="s">
        <v>820</v>
      </c>
      <c r="E300" s="32" t="s">
        <v>821</v>
      </c>
      <c r="F300" s="32">
        <v>23351831</v>
      </c>
      <c r="G300" t="s">
        <v>10</v>
      </c>
      <c r="H300" t="s">
        <v>11</v>
      </c>
      <c r="I300" t="s">
        <v>12</v>
      </c>
      <c r="J300" s="30" t="str">
        <f>IF(ISNUMBER(MATCH($D300,'Lopettaneet 2013-&gt;'!$D:$D,0)),INDEX('Lopettaneet 2013-&gt;'!$K:$K,MATCH($D300,'Lopettaneet 2013-&gt;'!$D:$D,0)),"Continues")</f>
        <v>Continues</v>
      </c>
      <c r="K300" s="30">
        <f ca="1">IF($J300="Continues",DATEDIF($B300,TODAY(),"Y"),INDEX('Lopettaneet 2013-&gt;'!$L:$L,MATCH($D300,'Lopettaneet 2013-&gt;'!$D:$D,0)))</f>
        <v>10</v>
      </c>
      <c r="L300" s="31" t="str">
        <f>IFERROR(INDEX('[1]30.06.2024'!$H:$H,MATCH($E300,'[1]30.06.2024'!$B:$B,0)),"Not found")</f>
        <v>Access Capital Advisors Finland Oy</v>
      </c>
      <c r="M300" s="31" t="str">
        <f>IFERROR(INDEX([2]Sheet1!$B:$B,MATCH($D300,[2]Sheet1!$A:$A,0)),"Not found")</f>
        <v>Non-Retail</v>
      </c>
      <c r="N300">
        <f t="shared" si="8"/>
        <v>0</v>
      </c>
      <c r="O300">
        <f t="shared" si="9"/>
        <v>1</v>
      </c>
    </row>
    <row r="301" spans="1:15" x14ac:dyDescent="0.25">
      <c r="A301" t="s">
        <v>7</v>
      </c>
      <c r="B301" s="1">
        <v>41974</v>
      </c>
      <c r="C301" s="1">
        <v>42369</v>
      </c>
      <c r="D301" s="4" t="s">
        <v>822</v>
      </c>
      <c r="E301" s="32" t="s">
        <v>823</v>
      </c>
      <c r="F301" s="32">
        <v>23591261</v>
      </c>
      <c r="G301" t="s">
        <v>10</v>
      </c>
      <c r="H301" t="s">
        <v>11</v>
      </c>
      <c r="I301" t="s">
        <v>80</v>
      </c>
      <c r="J301" s="30" t="str">
        <f>IF(ISNUMBER(MATCH($D301,'Lopettaneet 2013-&gt;'!$D:$D,0)),INDEX('Lopettaneet 2013-&gt;'!$K:$K,MATCH($D301,'Lopettaneet 2013-&gt;'!$D:$D,0)),"Continues")</f>
        <v>Closed</v>
      </c>
      <c r="K301" s="30">
        <f ca="1">IF($J301="Continues",DATEDIF($B301,TODAY(),"Y"),INDEX('Lopettaneet 2013-&gt;'!$L:$L,MATCH($D301,'Lopettaneet 2013-&gt;'!$D:$D,0)))</f>
        <v>1</v>
      </c>
      <c r="L301" s="31" t="str">
        <f>IFERROR(INDEX('[1]30.06.2024'!$H:$H,MATCH($E301,'[1]30.06.2024'!$B:$B,0)),"Not found")</f>
        <v>Not found</v>
      </c>
      <c r="M301" s="31" t="str">
        <f>IFERROR(INDEX([2]Sheet1!$B:$B,MATCH($D301,[2]Sheet1!$A:$A,0)),"Not found")</f>
        <v>Not found</v>
      </c>
      <c r="N301">
        <f t="shared" si="8"/>
        <v>0</v>
      </c>
      <c r="O301">
        <f t="shared" si="9"/>
        <v>0</v>
      </c>
    </row>
    <row r="302" spans="1:15" x14ac:dyDescent="0.25">
      <c r="A302" t="s">
        <v>7</v>
      </c>
      <c r="B302" s="1">
        <v>41974</v>
      </c>
      <c r="C302" s="1">
        <v>43100</v>
      </c>
      <c r="D302" s="4" t="s">
        <v>824</v>
      </c>
      <c r="E302" s="32" t="s">
        <v>825</v>
      </c>
      <c r="F302" s="32">
        <v>25429196</v>
      </c>
      <c r="G302" t="s">
        <v>10</v>
      </c>
      <c r="H302" t="s">
        <v>11</v>
      </c>
      <c r="I302" t="s">
        <v>80</v>
      </c>
      <c r="J302" s="30" t="str">
        <f>IF(ISNUMBER(MATCH($D302,'Lopettaneet 2013-&gt;'!$D:$D,0)),INDEX('Lopettaneet 2013-&gt;'!$K:$K,MATCH($D302,'Lopettaneet 2013-&gt;'!$D:$D,0)),"Continues")</f>
        <v>Closed</v>
      </c>
      <c r="K302" s="30">
        <f ca="1">IF($J302="Continues",DATEDIF($B302,TODAY(),"Y"),INDEX('Lopettaneet 2013-&gt;'!$L:$L,MATCH($D302,'Lopettaneet 2013-&gt;'!$D:$D,0)))</f>
        <v>3</v>
      </c>
      <c r="L302" s="31" t="str">
        <f>IFERROR(INDEX('[1]30.06.2024'!$H:$H,MATCH($E302,'[1]30.06.2024'!$B:$B,0)),"Not found")</f>
        <v>Not found</v>
      </c>
      <c r="M302" s="31" t="str">
        <f>IFERROR(INDEX([2]Sheet1!$B:$B,MATCH($D302,[2]Sheet1!$A:$A,0)),"Not found")</f>
        <v>Not found</v>
      </c>
      <c r="N302">
        <f t="shared" si="8"/>
        <v>0</v>
      </c>
      <c r="O302">
        <f t="shared" si="9"/>
        <v>0</v>
      </c>
    </row>
    <row r="303" spans="1:15" x14ac:dyDescent="0.25">
      <c r="A303" t="s">
        <v>7</v>
      </c>
      <c r="B303" s="1">
        <v>41974</v>
      </c>
      <c r="C303" s="1">
        <v>44742</v>
      </c>
      <c r="D303" s="4" t="s">
        <v>826</v>
      </c>
      <c r="E303" s="32" t="s">
        <v>827</v>
      </c>
      <c r="F303" s="32">
        <v>25510867</v>
      </c>
      <c r="G303" t="s">
        <v>10</v>
      </c>
      <c r="H303" t="s">
        <v>11</v>
      </c>
      <c r="I303" t="s">
        <v>12</v>
      </c>
      <c r="J303" s="30" t="str">
        <f>IF(ISNUMBER(MATCH($D303,'Lopettaneet 2013-&gt;'!$D:$D,0)),INDEX('Lopettaneet 2013-&gt;'!$K:$K,MATCH($D303,'Lopettaneet 2013-&gt;'!$D:$D,0)),"Continues")</f>
        <v>Closed</v>
      </c>
      <c r="K303" s="30">
        <f ca="1">IF($J303="Continues",DATEDIF($B303,TODAY(),"Y"),INDEX('Lopettaneet 2013-&gt;'!$L:$L,MATCH($D303,'Lopettaneet 2013-&gt;'!$D:$D,0)))</f>
        <v>7</v>
      </c>
      <c r="L303" s="31" t="str">
        <f>IFERROR(INDEX('[1]30.06.2024'!$H:$H,MATCH($E303,'[1]30.06.2024'!$B:$B,0)),"Not found")</f>
        <v>Not found</v>
      </c>
      <c r="M303" s="31" t="str">
        <f>IFERROR(INDEX([2]Sheet1!$B:$B,MATCH($D303,[2]Sheet1!$A:$A,0)),"Not found")</f>
        <v>Not found</v>
      </c>
      <c r="N303">
        <f t="shared" si="8"/>
        <v>0</v>
      </c>
      <c r="O303">
        <f t="shared" si="9"/>
        <v>0</v>
      </c>
    </row>
    <row r="304" spans="1:15" x14ac:dyDescent="0.25">
      <c r="A304" t="s">
        <v>7</v>
      </c>
      <c r="B304" s="1">
        <v>41974</v>
      </c>
      <c r="C304" s="1">
        <v>43008</v>
      </c>
      <c r="D304" s="4" t="s">
        <v>828</v>
      </c>
      <c r="E304" s="32" t="s">
        <v>829</v>
      </c>
      <c r="F304" s="32">
        <v>20487880</v>
      </c>
      <c r="G304" t="s">
        <v>10</v>
      </c>
      <c r="H304" t="s">
        <v>11</v>
      </c>
      <c r="I304" t="s">
        <v>80</v>
      </c>
      <c r="J304" s="30" t="str">
        <f>IF(ISNUMBER(MATCH($D304,'Lopettaneet 2013-&gt;'!$D:$D,0)),INDEX('Lopettaneet 2013-&gt;'!$K:$K,MATCH($D304,'Lopettaneet 2013-&gt;'!$D:$D,0)),"Continues")</f>
        <v>Closed</v>
      </c>
      <c r="K304" s="30">
        <f ca="1">IF($J304="Continues",DATEDIF($B304,TODAY(),"Y"),INDEX('Lopettaneet 2013-&gt;'!$L:$L,MATCH($D304,'Lopettaneet 2013-&gt;'!$D:$D,0)))</f>
        <v>2</v>
      </c>
      <c r="L304" s="31" t="str">
        <f>IFERROR(INDEX('[1]30.06.2024'!$H:$H,MATCH($E304,'[1]30.06.2024'!$B:$B,0)),"Not found")</f>
        <v>Not found</v>
      </c>
      <c r="M304" s="31" t="str">
        <f>IFERROR(INDEX([2]Sheet1!$B:$B,MATCH($D304,[2]Sheet1!$A:$A,0)),"Not found")</f>
        <v>Not found</v>
      </c>
      <c r="N304">
        <f t="shared" si="8"/>
        <v>0</v>
      </c>
      <c r="O304">
        <f t="shared" si="9"/>
        <v>0</v>
      </c>
    </row>
    <row r="305" spans="1:15" x14ac:dyDescent="0.25">
      <c r="A305" t="s">
        <v>7</v>
      </c>
      <c r="B305" s="1">
        <v>41974</v>
      </c>
      <c r="C305" s="1">
        <v>42369</v>
      </c>
      <c r="D305" s="4" t="s">
        <v>830</v>
      </c>
      <c r="E305" s="32" t="s">
        <v>831</v>
      </c>
      <c r="F305" s="32">
        <v>24006669</v>
      </c>
      <c r="G305" t="s">
        <v>10</v>
      </c>
      <c r="H305" t="s">
        <v>11</v>
      </c>
      <c r="I305" t="s">
        <v>80</v>
      </c>
      <c r="J305" s="30" t="str">
        <f>IF(ISNUMBER(MATCH($D305,'Lopettaneet 2013-&gt;'!$D:$D,0)),INDEX('Lopettaneet 2013-&gt;'!$K:$K,MATCH($D305,'Lopettaneet 2013-&gt;'!$D:$D,0)),"Continues")</f>
        <v>Closed</v>
      </c>
      <c r="K305" s="30">
        <f ca="1">IF($J305="Continues",DATEDIF($B305,TODAY(),"Y"),INDEX('Lopettaneet 2013-&gt;'!$L:$L,MATCH($D305,'Lopettaneet 2013-&gt;'!$D:$D,0)))</f>
        <v>1</v>
      </c>
      <c r="L305" s="31" t="str">
        <f>IFERROR(INDEX('[1]30.06.2024'!$H:$H,MATCH($E305,'[1]30.06.2024'!$B:$B,0)),"Not found")</f>
        <v>Not found</v>
      </c>
      <c r="M305" s="31" t="str">
        <f>IFERROR(INDEX([2]Sheet1!$B:$B,MATCH($D305,[2]Sheet1!$A:$A,0)),"Not found")</f>
        <v>Not found</v>
      </c>
      <c r="N305">
        <f t="shared" si="8"/>
        <v>0</v>
      </c>
      <c r="O305">
        <f t="shared" si="9"/>
        <v>0</v>
      </c>
    </row>
    <row r="306" spans="1:15" x14ac:dyDescent="0.25">
      <c r="A306" t="s">
        <v>7</v>
      </c>
      <c r="B306" s="1">
        <v>41974</v>
      </c>
      <c r="C306" s="1">
        <v>42735</v>
      </c>
      <c r="D306" s="4" t="s">
        <v>832</v>
      </c>
      <c r="E306" s="32" t="s">
        <v>833</v>
      </c>
      <c r="F306" s="32">
        <v>24636791</v>
      </c>
      <c r="G306" t="s">
        <v>10</v>
      </c>
      <c r="H306" t="s">
        <v>11</v>
      </c>
      <c r="I306" t="s">
        <v>80</v>
      </c>
      <c r="J306" s="30" t="str">
        <f>IF(ISNUMBER(MATCH($D306,'Lopettaneet 2013-&gt;'!$D:$D,0)),INDEX('Lopettaneet 2013-&gt;'!$K:$K,MATCH($D306,'Lopettaneet 2013-&gt;'!$D:$D,0)),"Continues")</f>
        <v>Closed</v>
      </c>
      <c r="K306" s="30">
        <f ca="1">IF($J306="Continues",DATEDIF($B306,TODAY(),"Y"),INDEX('Lopettaneet 2013-&gt;'!$L:$L,MATCH($D306,'Lopettaneet 2013-&gt;'!$D:$D,0)))</f>
        <v>2</v>
      </c>
      <c r="L306" s="31" t="str">
        <f>IFERROR(INDEX('[1]30.06.2024'!$H:$H,MATCH($E306,'[1]30.06.2024'!$B:$B,0)),"Not found")</f>
        <v>Not found</v>
      </c>
      <c r="M306" s="31" t="str">
        <f>IFERROR(INDEX([2]Sheet1!$B:$B,MATCH($D306,[2]Sheet1!$A:$A,0)),"Not found")</f>
        <v>Not found</v>
      </c>
      <c r="N306">
        <f t="shared" si="8"/>
        <v>0</v>
      </c>
      <c r="O306">
        <f t="shared" si="9"/>
        <v>0</v>
      </c>
    </row>
    <row r="307" spans="1:15" x14ac:dyDescent="0.25">
      <c r="A307" t="s">
        <v>7</v>
      </c>
      <c r="B307" s="1">
        <v>41974</v>
      </c>
      <c r="C307" s="1">
        <v>42369</v>
      </c>
      <c r="D307" s="4" t="s">
        <v>834</v>
      </c>
      <c r="E307" s="32" t="s">
        <v>835</v>
      </c>
      <c r="F307" s="32">
        <v>25153847</v>
      </c>
      <c r="G307" t="s">
        <v>10</v>
      </c>
      <c r="H307" t="s">
        <v>11</v>
      </c>
      <c r="I307" t="s">
        <v>80</v>
      </c>
      <c r="J307" s="30" t="str">
        <f>IF(ISNUMBER(MATCH($D307,'Lopettaneet 2013-&gt;'!$D:$D,0)),INDEX('Lopettaneet 2013-&gt;'!$K:$K,MATCH($D307,'Lopettaneet 2013-&gt;'!$D:$D,0)),"Continues")</f>
        <v>Closed</v>
      </c>
      <c r="K307" s="30">
        <f ca="1">IF($J307="Continues",DATEDIF($B307,TODAY(),"Y"),INDEX('Lopettaneet 2013-&gt;'!$L:$L,MATCH($D307,'Lopettaneet 2013-&gt;'!$D:$D,0)))</f>
        <v>1</v>
      </c>
      <c r="L307" s="31" t="str">
        <f>IFERROR(INDEX('[1]30.06.2024'!$H:$H,MATCH($E307,'[1]30.06.2024'!$B:$B,0)),"Not found")</f>
        <v>Not found</v>
      </c>
      <c r="M307" s="31" t="str">
        <f>IFERROR(INDEX([2]Sheet1!$B:$B,MATCH($D307,[2]Sheet1!$A:$A,0)),"Not found")</f>
        <v>Not found</v>
      </c>
      <c r="N307">
        <f t="shared" si="8"/>
        <v>0</v>
      </c>
      <c r="O307">
        <f t="shared" si="9"/>
        <v>0</v>
      </c>
    </row>
    <row r="308" spans="1:15" x14ac:dyDescent="0.25">
      <c r="A308" t="s">
        <v>7</v>
      </c>
      <c r="B308" s="1">
        <v>41974</v>
      </c>
      <c r="C308" s="1">
        <v>42369</v>
      </c>
      <c r="D308" s="4" t="s">
        <v>836</v>
      </c>
      <c r="E308" s="32" t="s">
        <v>837</v>
      </c>
      <c r="F308" s="32">
        <v>23236024</v>
      </c>
      <c r="G308" t="s">
        <v>10</v>
      </c>
      <c r="H308" t="s">
        <v>11</v>
      </c>
      <c r="I308" t="s">
        <v>80</v>
      </c>
      <c r="J308" s="30" t="str">
        <f>IF(ISNUMBER(MATCH($D308,'Lopettaneet 2013-&gt;'!$D:$D,0)),INDEX('Lopettaneet 2013-&gt;'!$K:$K,MATCH($D308,'Lopettaneet 2013-&gt;'!$D:$D,0)),"Continues")</f>
        <v>Closed</v>
      </c>
      <c r="K308" s="30">
        <f ca="1">IF($J308="Continues",DATEDIF($B308,TODAY(),"Y"),INDEX('Lopettaneet 2013-&gt;'!$L:$L,MATCH($D308,'Lopettaneet 2013-&gt;'!$D:$D,0)))</f>
        <v>1</v>
      </c>
      <c r="L308" s="31" t="str">
        <f>IFERROR(INDEX('[1]30.06.2024'!$H:$H,MATCH($E308,'[1]30.06.2024'!$B:$B,0)),"Not found")</f>
        <v>Not found</v>
      </c>
      <c r="M308" s="31" t="str">
        <f>IFERROR(INDEX([2]Sheet1!$B:$B,MATCH($D308,[2]Sheet1!$A:$A,0)),"Not found")</f>
        <v>Not found</v>
      </c>
      <c r="N308">
        <f t="shared" si="8"/>
        <v>0</v>
      </c>
      <c r="O308">
        <f t="shared" si="9"/>
        <v>0</v>
      </c>
    </row>
    <row r="309" spans="1:15" x14ac:dyDescent="0.25">
      <c r="A309" t="s">
        <v>7</v>
      </c>
      <c r="B309" s="1">
        <v>41974</v>
      </c>
      <c r="C309" s="1">
        <v>42369</v>
      </c>
      <c r="D309" s="4" t="s">
        <v>838</v>
      </c>
      <c r="E309" s="32" t="s">
        <v>839</v>
      </c>
      <c r="F309" s="32">
        <v>23236067</v>
      </c>
      <c r="G309" t="s">
        <v>10</v>
      </c>
      <c r="H309" t="s">
        <v>11</v>
      </c>
      <c r="I309" t="s">
        <v>80</v>
      </c>
      <c r="J309" s="30" t="str">
        <f>IF(ISNUMBER(MATCH($D309,'Lopettaneet 2013-&gt;'!$D:$D,0)),INDEX('Lopettaneet 2013-&gt;'!$K:$K,MATCH($D309,'Lopettaneet 2013-&gt;'!$D:$D,0)),"Continues")</f>
        <v>Closed</v>
      </c>
      <c r="K309" s="30">
        <f ca="1">IF($J309="Continues",DATEDIF($B309,TODAY(),"Y"),INDEX('Lopettaneet 2013-&gt;'!$L:$L,MATCH($D309,'Lopettaneet 2013-&gt;'!$D:$D,0)))</f>
        <v>1</v>
      </c>
      <c r="L309" s="31" t="str">
        <f>IFERROR(INDEX('[1]30.06.2024'!$H:$H,MATCH($E309,'[1]30.06.2024'!$B:$B,0)),"Not found")</f>
        <v>Not found</v>
      </c>
      <c r="M309" s="31" t="str">
        <f>IFERROR(INDEX([2]Sheet1!$B:$B,MATCH($D309,[2]Sheet1!$A:$A,0)),"Not found")</f>
        <v>Not found</v>
      </c>
      <c r="N309">
        <f t="shared" si="8"/>
        <v>0</v>
      </c>
      <c r="O309">
        <f t="shared" si="9"/>
        <v>0</v>
      </c>
    </row>
    <row r="310" spans="1:15" x14ac:dyDescent="0.25">
      <c r="A310" t="s">
        <v>7</v>
      </c>
      <c r="B310" s="1">
        <v>41974</v>
      </c>
      <c r="C310" s="1">
        <v>43190</v>
      </c>
      <c r="D310" s="4" t="s">
        <v>840</v>
      </c>
      <c r="E310" s="32" t="s">
        <v>841</v>
      </c>
      <c r="F310" s="32">
        <v>25902705</v>
      </c>
      <c r="G310" t="s">
        <v>10</v>
      </c>
      <c r="H310" t="s">
        <v>11</v>
      </c>
      <c r="I310" t="s">
        <v>32</v>
      </c>
      <c r="J310" s="30" t="str">
        <f>IF(ISNUMBER(MATCH($D310,'Lopettaneet 2013-&gt;'!$D:$D,0)),INDEX('Lopettaneet 2013-&gt;'!$K:$K,MATCH($D310,'Lopettaneet 2013-&gt;'!$D:$D,0)),"Continues")</f>
        <v>Closed</v>
      </c>
      <c r="K310" s="30">
        <f ca="1">IF($J310="Continues",DATEDIF($B310,TODAY(),"Y"),INDEX('Lopettaneet 2013-&gt;'!$L:$L,MATCH($D310,'Lopettaneet 2013-&gt;'!$D:$D,0)))</f>
        <v>3</v>
      </c>
      <c r="L310" s="31" t="str">
        <f>IFERROR(INDEX('[1]30.06.2024'!$H:$H,MATCH($E310,'[1]30.06.2024'!$B:$B,0)),"Not found")</f>
        <v>Not found</v>
      </c>
      <c r="M310" s="31" t="str">
        <f>IFERROR(INDEX([2]Sheet1!$B:$B,MATCH($D310,[2]Sheet1!$A:$A,0)),"Not found")</f>
        <v>Not found</v>
      </c>
      <c r="N310">
        <f t="shared" si="8"/>
        <v>0</v>
      </c>
      <c r="O310">
        <f t="shared" si="9"/>
        <v>0</v>
      </c>
    </row>
    <row r="311" spans="1:15" x14ac:dyDescent="0.25">
      <c r="A311" t="s">
        <v>7</v>
      </c>
      <c r="B311" s="1">
        <v>41974</v>
      </c>
      <c r="C311" s="1">
        <v>43190</v>
      </c>
      <c r="D311" s="4" t="s">
        <v>842</v>
      </c>
      <c r="E311" s="32" t="s">
        <v>843</v>
      </c>
      <c r="F311" s="32">
        <v>25989214</v>
      </c>
      <c r="G311" t="s">
        <v>10</v>
      </c>
      <c r="H311" t="s">
        <v>11</v>
      </c>
      <c r="I311" t="s">
        <v>29</v>
      </c>
      <c r="J311" s="30" t="str">
        <f>IF(ISNUMBER(MATCH($D311,'Lopettaneet 2013-&gt;'!$D:$D,0)),INDEX('Lopettaneet 2013-&gt;'!$K:$K,MATCH($D311,'Lopettaneet 2013-&gt;'!$D:$D,0)),"Continues")</f>
        <v>Closed</v>
      </c>
      <c r="K311" s="30">
        <f ca="1">IF($J311="Continues",DATEDIF($B311,TODAY(),"Y"),INDEX('Lopettaneet 2013-&gt;'!$L:$L,MATCH($D311,'Lopettaneet 2013-&gt;'!$D:$D,0)))</f>
        <v>3</v>
      </c>
      <c r="L311" s="31" t="str">
        <f>IFERROR(INDEX('[1]30.06.2024'!$H:$H,MATCH($E311,'[1]30.06.2024'!$B:$B,0)),"Not found")</f>
        <v>Not found</v>
      </c>
      <c r="M311" s="31" t="str">
        <f>IFERROR(INDEX([2]Sheet1!$B:$B,MATCH($D311,[2]Sheet1!$A:$A,0)),"Not found")</f>
        <v>Not found</v>
      </c>
      <c r="N311">
        <f t="shared" si="8"/>
        <v>0</v>
      </c>
      <c r="O311">
        <f t="shared" si="9"/>
        <v>0</v>
      </c>
    </row>
    <row r="312" spans="1:15" x14ac:dyDescent="0.25">
      <c r="A312" t="s">
        <v>7</v>
      </c>
      <c r="B312" s="1">
        <v>41974</v>
      </c>
      <c r="C312" s="1">
        <v>44012</v>
      </c>
      <c r="D312" s="4" t="s">
        <v>844</v>
      </c>
      <c r="E312" s="32" t="s">
        <v>845</v>
      </c>
      <c r="F312" s="32">
        <v>25612337</v>
      </c>
      <c r="G312" t="s">
        <v>10</v>
      </c>
      <c r="H312" t="s">
        <v>11</v>
      </c>
      <c r="I312" t="s">
        <v>29</v>
      </c>
      <c r="J312" s="30" t="str">
        <f>IF(ISNUMBER(MATCH($D312,'Lopettaneet 2013-&gt;'!$D:$D,0)),INDEX('Lopettaneet 2013-&gt;'!$K:$K,MATCH($D312,'Lopettaneet 2013-&gt;'!$D:$D,0)),"Continues")</f>
        <v>Closed</v>
      </c>
      <c r="K312" s="30">
        <f ca="1">IF($J312="Continues",DATEDIF($B312,TODAY(),"Y"),INDEX('Lopettaneet 2013-&gt;'!$L:$L,MATCH($D312,'Lopettaneet 2013-&gt;'!$D:$D,0)))</f>
        <v>5</v>
      </c>
      <c r="L312" s="31" t="str">
        <f>IFERROR(INDEX('[1]30.06.2024'!$H:$H,MATCH($E312,'[1]30.06.2024'!$B:$B,0)),"Not found")</f>
        <v>Not found</v>
      </c>
      <c r="M312" s="31" t="str">
        <f>IFERROR(INDEX([2]Sheet1!$B:$B,MATCH($D312,[2]Sheet1!$A:$A,0)),"Not found")</f>
        <v>Not found</v>
      </c>
      <c r="N312">
        <f t="shared" si="8"/>
        <v>0</v>
      </c>
      <c r="O312">
        <f t="shared" si="9"/>
        <v>0</v>
      </c>
    </row>
    <row r="313" spans="1:15" x14ac:dyDescent="0.25">
      <c r="A313" t="s">
        <v>7</v>
      </c>
      <c r="B313" s="1">
        <v>41974</v>
      </c>
      <c r="C313" s="1">
        <v>55153</v>
      </c>
      <c r="D313" s="4" t="s">
        <v>846</v>
      </c>
      <c r="E313" s="32" t="s">
        <v>847</v>
      </c>
      <c r="F313" s="32">
        <v>25536119</v>
      </c>
      <c r="G313" t="s">
        <v>10</v>
      </c>
      <c r="H313" t="s">
        <v>11</v>
      </c>
      <c r="I313" t="s">
        <v>12</v>
      </c>
      <c r="J313" s="30" t="str">
        <f>IF(ISNUMBER(MATCH($D313,'Lopettaneet 2013-&gt;'!$D:$D,0)),INDEX('Lopettaneet 2013-&gt;'!$K:$K,MATCH($D313,'Lopettaneet 2013-&gt;'!$D:$D,0)),"Continues")</f>
        <v>Continues</v>
      </c>
      <c r="K313" s="30">
        <f ca="1">IF($J313="Continues",DATEDIF($B313,TODAY(),"Y"),INDEX('Lopettaneet 2013-&gt;'!$L:$L,MATCH($D313,'Lopettaneet 2013-&gt;'!$D:$D,0)))</f>
        <v>10</v>
      </c>
      <c r="L313" s="31" t="str">
        <f>IFERROR(INDEX('[1]30.06.2024'!$H:$H,MATCH($E313,'[1]30.06.2024'!$B:$B,0)),"Not found")</f>
        <v>CapMan Endowment GP Oy</v>
      </c>
      <c r="M313" s="31" t="str">
        <f>IFERROR(INDEX([2]Sheet1!$B:$B,MATCH($D313,[2]Sheet1!$A:$A,0)),"Not found")</f>
        <v>Non-Retail</v>
      </c>
      <c r="N313">
        <f t="shared" si="8"/>
        <v>0</v>
      </c>
      <c r="O313">
        <f t="shared" si="9"/>
        <v>1</v>
      </c>
    </row>
    <row r="314" spans="1:15" x14ac:dyDescent="0.25">
      <c r="A314" t="s">
        <v>7</v>
      </c>
      <c r="B314" s="1">
        <v>41974</v>
      </c>
      <c r="C314" s="1">
        <v>55153</v>
      </c>
      <c r="D314" s="4" t="s">
        <v>848</v>
      </c>
      <c r="E314" s="32" t="s">
        <v>849</v>
      </c>
      <c r="F314" s="32">
        <v>25429102</v>
      </c>
      <c r="G314" t="s">
        <v>10</v>
      </c>
      <c r="H314" t="s">
        <v>11</v>
      </c>
      <c r="I314" t="s">
        <v>32</v>
      </c>
      <c r="J314" s="30" t="str">
        <f>IF(ISNUMBER(MATCH($D314,'Lopettaneet 2013-&gt;'!$D:$D,0)),INDEX('Lopettaneet 2013-&gt;'!$K:$K,MATCH($D314,'Lopettaneet 2013-&gt;'!$D:$D,0)),"Continues")</f>
        <v>Continues</v>
      </c>
      <c r="K314" s="30">
        <f ca="1">IF($J314="Continues",DATEDIF($B314,TODAY(),"Y"),INDEX('Lopettaneet 2013-&gt;'!$L:$L,MATCH($D314,'Lopettaneet 2013-&gt;'!$D:$D,0)))</f>
        <v>10</v>
      </c>
      <c r="L314" s="31" t="str">
        <f>IFERROR(INDEX('[1]30.06.2024'!$H:$H,MATCH($E314,'[1]30.06.2024'!$B:$B,0)),"Not found")</f>
        <v>Not found</v>
      </c>
      <c r="M314" s="31" t="str">
        <f>IFERROR(INDEX([2]Sheet1!$B:$B,MATCH($D314,[2]Sheet1!$A:$A,0)),"Not found")</f>
        <v>Non-Retail</v>
      </c>
      <c r="N314">
        <f t="shared" si="8"/>
        <v>0</v>
      </c>
      <c r="O314">
        <f t="shared" si="9"/>
        <v>1</v>
      </c>
    </row>
    <row r="315" spans="1:15" x14ac:dyDescent="0.25">
      <c r="A315" t="s">
        <v>7</v>
      </c>
      <c r="B315" s="1">
        <v>41974</v>
      </c>
      <c r="C315" s="1">
        <v>43738</v>
      </c>
      <c r="D315" s="4" t="s">
        <v>850</v>
      </c>
      <c r="E315" s="32" t="s">
        <v>851</v>
      </c>
      <c r="F315" s="32">
        <v>25793262</v>
      </c>
      <c r="G315" t="s">
        <v>10</v>
      </c>
      <c r="H315" t="s">
        <v>11</v>
      </c>
      <c r="I315" t="s">
        <v>32</v>
      </c>
      <c r="J315" s="30" t="str">
        <f>IF(ISNUMBER(MATCH($D315,'Lopettaneet 2013-&gt;'!$D:$D,0)),INDEX('Lopettaneet 2013-&gt;'!$K:$K,MATCH($D315,'Lopettaneet 2013-&gt;'!$D:$D,0)),"Continues")</f>
        <v>Closed</v>
      </c>
      <c r="K315" s="30">
        <f ca="1">IF($J315="Continues",DATEDIF($B315,TODAY(),"Y"),INDEX('Lopettaneet 2013-&gt;'!$L:$L,MATCH($D315,'Lopettaneet 2013-&gt;'!$D:$D,0)))</f>
        <v>4</v>
      </c>
      <c r="L315" s="31" t="str">
        <f>IFERROR(INDEX('[1]30.06.2024'!$H:$H,MATCH($E315,'[1]30.06.2024'!$B:$B,0)),"Not found")</f>
        <v>Not found</v>
      </c>
      <c r="M315" s="31" t="str">
        <f>IFERROR(INDEX([2]Sheet1!$B:$B,MATCH($D315,[2]Sheet1!$A:$A,0)),"Not found")</f>
        <v>Not found</v>
      </c>
      <c r="N315">
        <f t="shared" si="8"/>
        <v>0</v>
      </c>
      <c r="O315">
        <f t="shared" si="9"/>
        <v>0</v>
      </c>
    </row>
    <row r="316" spans="1:15" x14ac:dyDescent="0.25">
      <c r="A316" t="s">
        <v>7</v>
      </c>
      <c r="B316" s="1">
        <v>41974</v>
      </c>
      <c r="C316" s="1">
        <v>55153</v>
      </c>
      <c r="D316" s="4" t="s">
        <v>852</v>
      </c>
      <c r="E316" s="32" t="s">
        <v>853</v>
      </c>
      <c r="F316" s="32">
        <v>26597482</v>
      </c>
      <c r="G316" t="s">
        <v>10</v>
      </c>
      <c r="H316" t="s">
        <v>11</v>
      </c>
      <c r="I316" t="s">
        <v>32</v>
      </c>
      <c r="J316" s="30" t="str">
        <f>IF(ISNUMBER(MATCH($D316,'Lopettaneet 2013-&gt;'!$D:$D,0)),INDEX('Lopettaneet 2013-&gt;'!$K:$K,MATCH($D316,'Lopettaneet 2013-&gt;'!$D:$D,0)),"Continues")</f>
        <v>Continues</v>
      </c>
      <c r="K316" s="30">
        <f ca="1">IF($J316="Continues",DATEDIF($B316,TODAY(),"Y"),INDEX('Lopettaneet 2013-&gt;'!$L:$L,MATCH($D316,'Lopettaneet 2013-&gt;'!$D:$D,0)))</f>
        <v>10</v>
      </c>
      <c r="L316" s="31" t="str">
        <f>IFERROR(INDEX('[1]30.06.2024'!$H:$H,MATCH($E316,'[1]30.06.2024'!$B:$B,0)),"Not found")</f>
        <v>Not found</v>
      </c>
      <c r="M316" s="31" t="str">
        <f>IFERROR(INDEX([2]Sheet1!$B:$B,MATCH($D316,[2]Sheet1!$A:$A,0)),"Not found")</f>
        <v>Non-Retail</v>
      </c>
      <c r="N316">
        <f t="shared" si="8"/>
        <v>0</v>
      </c>
      <c r="O316">
        <f t="shared" si="9"/>
        <v>1</v>
      </c>
    </row>
    <row r="317" spans="1:15" x14ac:dyDescent="0.25">
      <c r="A317" t="s">
        <v>7</v>
      </c>
      <c r="B317" s="1">
        <v>41974</v>
      </c>
      <c r="C317" s="1">
        <v>44651</v>
      </c>
      <c r="D317" s="4" t="s">
        <v>854</v>
      </c>
      <c r="E317" s="32" t="s">
        <v>855</v>
      </c>
      <c r="F317" s="32">
        <v>24450567</v>
      </c>
      <c r="G317" t="s">
        <v>10</v>
      </c>
      <c r="H317" t="s">
        <v>11</v>
      </c>
      <c r="I317" t="s">
        <v>12</v>
      </c>
      <c r="J317" s="30" t="str">
        <f>IF(ISNUMBER(MATCH($D317,'Lopettaneet 2013-&gt;'!$D:$D,0)),INDEX('Lopettaneet 2013-&gt;'!$K:$K,MATCH($D317,'Lopettaneet 2013-&gt;'!$D:$D,0)),"Continues")</f>
        <v>Closed</v>
      </c>
      <c r="K317" s="30">
        <f ca="1">IF($J317="Continues",DATEDIF($B317,TODAY(),"Y"),INDEX('Lopettaneet 2013-&gt;'!$L:$L,MATCH($D317,'Lopettaneet 2013-&gt;'!$D:$D,0)))</f>
        <v>7</v>
      </c>
      <c r="L317" s="31" t="str">
        <f>IFERROR(INDEX('[1]30.06.2024'!$H:$H,MATCH($E317,'[1]30.06.2024'!$B:$B,0)),"Not found")</f>
        <v>Not found</v>
      </c>
      <c r="M317" s="31" t="str">
        <f>IFERROR(INDEX([2]Sheet1!$B:$B,MATCH($D317,[2]Sheet1!$A:$A,0)),"Not found")</f>
        <v>Not found</v>
      </c>
      <c r="N317">
        <f t="shared" si="8"/>
        <v>0</v>
      </c>
      <c r="O317">
        <f t="shared" si="9"/>
        <v>0</v>
      </c>
    </row>
    <row r="318" spans="1:15" x14ac:dyDescent="0.25">
      <c r="A318" t="s">
        <v>7</v>
      </c>
      <c r="B318" s="1">
        <v>41974</v>
      </c>
      <c r="C318" s="1">
        <v>55153</v>
      </c>
      <c r="D318" s="4" t="s">
        <v>856</v>
      </c>
      <c r="E318" s="32" t="s">
        <v>857</v>
      </c>
      <c r="F318" s="32">
        <v>24137693</v>
      </c>
      <c r="G318" t="s">
        <v>10</v>
      </c>
      <c r="H318" t="s">
        <v>11</v>
      </c>
      <c r="I318" t="s">
        <v>32</v>
      </c>
      <c r="J318" s="30" t="str">
        <f>IF(ISNUMBER(MATCH($D318,'Lopettaneet 2013-&gt;'!$D:$D,0)),INDEX('Lopettaneet 2013-&gt;'!$K:$K,MATCH($D318,'Lopettaneet 2013-&gt;'!$D:$D,0)),"Continues")</f>
        <v>Continues</v>
      </c>
      <c r="K318" s="30">
        <f ca="1">IF($J318="Continues",DATEDIF($B318,TODAY(),"Y"),INDEX('Lopettaneet 2013-&gt;'!$L:$L,MATCH($D318,'Lopettaneet 2013-&gt;'!$D:$D,0)))</f>
        <v>10</v>
      </c>
      <c r="L318" s="31" t="str">
        <f>IFERROR(INDEX('[1]30.06.2024'!$H:$H,MATCH($E318,'[1]30.06.2024'!$B:$B,0)),"Not found")</f>
        <v>Confido Kiinteistöhallinta Oy</v>
      </c>
      <c r="M318" s="31" t="str">
        <f>IFERROR(INDEX([2]Sheet1!$B:$B,MATCH($D318,[2]Sheet1!$A:$A,0)),"Not found")</f>
        <v>Non-Retail</v>
      </c>
      <c r="N318">
        <f t="shared" si="8"/>
        <v>0</v>
      </c>
      <c r="O318">
        <f t="shared" si="9"/>
        <v>1</v>
      </c>
    </row>
    <row r="319" spans="1:15" x14ac:dyDescent="0.25">
      <c r="A319" t="s">
        <v>7</v>
      </c>
      <c r="B319" s="1">
        <v>41974</v>
      </c>
      <c r="C319" s="1">
        <v>42460</v>
      </c>
      <c r="D319" s="4" t="s">
        <v>858</v>
      </c>
      <c r="E319" s="32" t="s">
        <v>859</v>
      </c>
      <c r="F319" s="32">
        <v>26042532</v>
      </c>
      <c r="G319" t="s">
        <v>10</v>
      </c>
      <c r="H319" t="s">
        <v>11</v>
      </c>
      <c r="I319" t="s">
        <v>32</v>
      </c>
      <c r="J319" s="30" t="str">
        <f>IF(ISNUMBER(MATCH($D319,'Lopettaneet 2013-&gt;'!$D:$D,0)),INDEX('Lopettaneet 2013-&gt;'!$K:$K,MATCH($D319,'Lopettaneet 2013-&gt;'!$D:$D,0)),"Continues")</f>
        <v>Closed</v>
      </c>
      <c r="K319" s="30">
        <f ca="1">IF($J319="Continues",DATEDIF($B319,TODAY(),"Y"),INDEX('Lopettaneet 2013-&gt;'!$L:$L,MATCH($D319,'Lopettaneet 2013-&gt;'!$D:$D,0)))</f>
        <v>1</v>
      </c>
      <c r="L319" s="31" t="str">
        <f>IFERROR(INDEX('[1]30.06.2024'!$H:$H,MATCH($E319,'[1]30.06.2024'!$B:$B,0)),"Not found")</f>
        <v>Not found</v>
      </c>
      <c r="M319" s="31" t="str">
        <f>IFERROR(INDEX([2]Sheet1!$B:$B,MATCH($D319,[2]Sheet1!$A:$A,0)),"Not found")</f>
        <v>Not found</v>
      </c>
      <c r="N319">
        <f t="shared" si="8"/>
        <v>0</v>
      </c>
      <c r="O319">
        <f t="shared" si="9"/>
        <v>0</v>
      </c>
    </row>
    <row r="320" spans="1:15" x14ac:dyDescent="0.25">
      <c r="A320" t="s">
        <v>7</v>
      </c>
      <c r="B320" s="1">
        <v>41974</v>
      </c>
      <c r="C320" s="1">
        <v>55153</v>
      </c>
      <c r="D320" s="4" t="s">
        <v>860</v>
      </c>
      <c r="E320" s="32" t="s">
        <v>861</v>
      </c>
      <c r="F320" s="32">
        <v>26124431</v>
      </c>
      <c r="G320" t="s">
        <v>10</v>
      </c>
      <c r="H320" t="s">
        <v>11</v>
      </c>
      <c r="I320" t="s">
        <v>80</v>
      </c>
      <c r="J320" s="30" t="str">
        <f>IF(ISNUMBER(MATCH($D320,'Lopettaneet 2013-&gt;'!$D:$D,0)),INDEX('Lopettaneet 2013-&gt;'!$K:$K,MATCH($D320,'Lopettaneet 2013-&gt;'!$D:$D,0)),"Continues")</f>
        <v>Continues</v>
      </c>
      <c r="K320" s="30">
        <f ca="1">IF($J320="Continues",DATEDIF($B320,TODAY(),"Y"),INDEX('Lopettaneet 2013-&gt;'!$L:$L,MATCH($D320,'Lopettaneet 2013-&gt;'!$D:$D,0)))</f>
        <v>10</v>
      </c>
      <c r="L320" s="31" t="str">
        <f>IFERROR(INDEX('[1]30.06.2024'!$H:$H,MATCH($E320,'[1]30.06.2024'!$B:$B,0)),"Not found")</f>
        <v>Not found</v>
      </c>
      <c r="M320" s="31" t="str">
        <f>IFERROR(INDEX([2]Sheet1!$B:$B,MATCH($D320,[2]Sheet1!$A:$A,0)),"Not found")</f>
        <v>Non-Retail</v>
      </c>
      <c r="N320">
        <f t="shared" si="8"/>
        <v>0</v>
      </c>
      <c r="O320">
        <f t="shared" si="9"/>
        <v>1</v>
      </c>
    </row>
    <row r="321" spans="1:15" x14ac:dyDescent="0.25">
      <c r="A321" t="s">
        <v>0</v>
      </c>
      <c r="B321" s="1">
        <v>42095</v>
      </c>
      <c r="C321" s="1">
        <v>55153</v>
      </c>
      <c r="D321" s="4" t="s">
        <v>862</v>
      </c>
      <c r="E321" s="32" t="s">
        <v>863</v>
      </c>
      <c r="F321" s="32">
        <v>26753684</v>
      </c>
      <c r="G321" t="s">
        <v>3</v>
      </c>
      <c r="H321" t="s">
        <v>4</v>
      </c>
      <c r="I321" t="s">
        <v>20</v>
      </c>
      <c r="J321" s="30" t="str">
        <f>IF(ISNUMBER(MATCH($D321,'Lopettaneet 2013-&gt;'!$D:$D,0)),INDEX('Lopettaneet 2013-&gt;'!$K:$K,MATCH($D321,'Lopettaneet 2013-&gt;'!$D:$D,0)),"Continues")</f>
        <v>Continues</v>
      </c>
      <c r="K321" s="30">
        <f ca="1">IF($J321="Continues",DATEDIF($B321,TODAY(),"Y"),INDEX('Lopettaneet 2013-&gt;'!$L:$L,MATCH($D321,'Lopettaneet 2013-&gt;'!$D:$D,0)))</f>
        <v>10</v>
      </c>
      <c r="L321" s="31" t="str">
        <f>IFERROR(INDEX('[1]30.06.2024'!$H:$H,MATCH($E321,'[1]30.06.2024'!$B:$B,0)),"Not found")</f>
        <v>OP-Rahastoyhtiö Oy</v>
      </c>
      <c r="M321" s="31" t="str">
        <f>IFERROR(INDEX([2]Sheet1!$B:$B,MATCH($D321,[2]Sheet1!$A:$A,0)),"Not found")</f>
        <v>Retail</v>
      </c>
      <c r="N321">
        <f t="shared" si="8"/>
        <v>1</v>
      </c>
      <c r="O321">
        <f t="shared" si="9"/>
        <v>0</v>
      </c>
    </row>
    <row r="322" spans="1:15" x14ac:dyDescent="0.25">
      <c r="A322" t="s">
        <v>0</v>
      </c>
      <c r="B322" s="1">
        <v>42064</v>
      </c>
      <c r="C322" s="1">
        <v>44012</v>
      </c>
      <c r="D322" s="4" t="s">
        <v>864</v>
      </c>
      <c r="E322" s="32" t="s">
        <v>865</v>
      </c>
      <c r="F322" s="32">
        <v>26607599</v>
      </c>
      <c r="G322" t="s">
        <v>3</v>
      </c>
      <c r="H322" t="s">
        <v>4</v>
      </c>
      <c r="I322" t="s">
        <v>50</v>
      </c>
      <c r="J322" s="30" t="str">
        <f>IF(ISNUMBER(MATCH($D322,'Lopettaneet 2013-&gt;'!$D:$D,0)),INDEX('Lopettaneet 2013-&gt;'!$K:$K,MATCH($D322,'Lopettaneet 2013-&gt;'!$D:$D,0)),"Continues")</f>
        <v>Closed</v>
      </c>
      <c r="K322" s="30">
        <f ca="1">IF($J322="Continues",DATEDIF($B322,TODAY(),"Y"),INDEX('Lopettaneet 2013-&gt;'!$L:$L,MATCH($D322,'Lopettaneet 2013-&gt;'!$D:$D,0)))</f>
        <v>5</v>
      </c>
      <c r="L322" s="31" t="str">
        <f>IFERROR(INDEX('[1]30.06.2024'!$H:$H,MATCH($E322,'[1]30.06.2024'!$B:$B,0)),"Not found")</f>
        <v>Not found</v>
      </c>
      <c r="M322" s="31" t="str">
        <f>IFERROR(INDEX([2]Sheet1!$B:$B,MATCH($D322,[2]Sheet1!$A:$A,0)),"Not found")</f>
        <v>Not found</v>
      </c>
      <c r="N322">
        <f t="shared" si="8"/>
        <v>0</v>
      </c>
      <c r="O322">
        <f t="shared" si="9"/>
        <v>0</v>
      </c>
    </row>
    <row r="323" spans="1:15" x14ac:dyDescent="0.25">
      <c r="A323" t="s">
        <v>7</v>
      </c>
      <c r="B323" s="1">
        <v>41974</v>
      </c>
      <c r="C323" s="1">
        <v>44286</v>
      </c>
      <c r="D323" s="4" t="s">
        <v>866</v>
      </c>
      <c r="E323" s="32" t="s">
        <v>867</v>
      </c>
      <c r="F323" s="32">
        <v>25383095</v>
      </c>
      <c r="G323" t="s">
        <v>10</v>
      </c>
      <c r="H323" t="s">
        <v>11</v>
      </c>
      <c r="I323" t="s">
        <v>32</v>
      </c>
      <c r="J323" s="30" t="str">
        <f>IF(ISNUMBER(MATCH($D323,'Lopettaneet 2013-&gt;'!$D:$D,0)),INDEX('Lopettaneet 2013-&gt;'!$K:$K,MATCH($D323,'Lopettaneet 2013-&gt;'!$D:$D,0)),"Continues")</f>
        <v>Closed</v>
      </c>
      <c r="K323" s="30">
        <f ca="1">IF($J323="Continues",DATEDIF($B323,TODAY(),"Y"),INDEX('Lopettaneet 2013-&gt;'!$L:$L,MATCH($D323,'Lopettaneet 2013-&gt;'!$D:$D,0)))</f>
        <v>6</v>
      </c>
      <c r="L323" s="31" t="str">
        <f>IFERROR(INDEX('[1]30.06.2024'!$H:$H,MATCH($E323,'[1]30.06.2024'!$B:$B,0)),"Not found")</f>
        <v>Not found</v>
      </c>
      <c r="M323" s="31" t="str">
        <f>IFERROR(INDEX([2]Sheet1!$B:$B,MATCH($D323,[2]Sheet1!$A:$A,0)),"Not found")</f>
        <v>Not found</v>
      </c>
      <c r="N323">
        <f t="shared" ref="N323:N386" si="10">IF($M323="Retail",1,0)</f>
        <v>0</v>
      </c>
      <c r="O323">
        <f t="shared" ref="O323:O386" si="11">IF($M323="Non-Retail",1,0)</f>
        <v>0</v>
      </c>
    </row>
    <row r="324" spans="1:15" x14ac:dyDescent="0.25">
      <c r="A324" t="s">
        <v>7</v>
      </c>
      <c r="B324" s="1">
        <v>41974</v>
      </c>
      <c r="C324" s="1">
        <v>44286</v>
      </c>
      <c r="D324" s="4" t="s">
        <v>868</v>
      </c>
      <c r="E324" s="32" t="s">
        <v>869</v>
      </c>
      <c r="F324" s="32">
        <v>25529808</v>
      </c>
      <c r="G324" t="s">
        <v>10</v>
      </c>
      <c r="H324" t="s">
        <v>11</v>
      </c>
      <c r="I324" t="s">
        <v>32</v>
      </c>
      <c r="J324" s="30" t="str">
        <f>IF(ISNUMBER(MATCH($D324,'Lopettaneet 2013-&gt;'!$D:$D,0)),INDEX('Lopettaneet 2013-&gt;'!$K:$K,MATCH($D324,'Lopettaneet 2013-&gt;'!$D:$D,0)),"Continues")</f>
        <v>Closed</v>
      </c>
      <c r="K324" s="30">
        <f ca="1">IF($J324="Continues",DATEDIF($B324,TODAY(),"Y"),INDEX('Lopettaneet 2013-&gt;'!$L:$L,MATCH($D324,'Lopettaneet 2013-&gt;'!$D:$D,0)))</f>
        <v>6</v>
      </c>
      <c r="L324" s="31" t="str">
        <f>IFERROR(INDEX('[1]30.06.2024'!$H:$H,MATCH($E324,'[1]30.06.2024'!$B:$B,0)),"Not found")</f>
        <v>Not found</v>
      </c>
      <c r="M324" s="31" t="str">
        <f>IFERROR(INDEX([2]Sheet1!$B:$B,MATCH($D324,[2]Sheet1!$A:$A,0)),"Not found")</f>
        <v>Not found</v>
      </c>
      <c r="N324">
        <f t="shared" si="10"/>
        <v>0</v>
      </c>
      <c r="O324">
        <f t="shared" si="11"/>
        <v>0</v>
      </c>
    </row>
    <row r="325" spans="1:15" x14ac:dyDescent="0.25">
      <c r="A325" t="s">
        <v>7</v>
      </c>
      <c r="B325" s="1">
        <v>41974</v>
      </c>
      <c r="C325" s="1">
        <v>44286</v>
      </c>
      <c r="D325" s="4" t="s">
        <v>870</v>
      </c>
      <c r="E325" s="32" t="s">
        <v>871</v>
      </c>
      <c r="F325" s="32">
        <v>26056037</v>
      </c>
      <c r="G325" t="s">
        <v>10</v>
      </c>
      <c r="H325" t="s">
        <v>11</v>
      </c>
      <c r="I325" t="s">
        <v>32</v>
      </c>
      <c r="J325" s="30" t="str">
        <f>IF(ISNUMBER(MATCH($D325,'Lopettaneet 2013-&gt;'!$D:$D,0)),INDEX('Lopettaneet 2013-&gt;'!$K:$K,MATCH($D325,'Lopettaneet 2013-&gt;'!$D:$D,0)),"Continues")</f>
        <v>Closed</v>
      </c>
      <c r="K325" s="30">
        <f ca="1">IF($J325="Continues",DATEDIF($B325,TODAY(),"Y"),INDEX('Lopettaneet 2013-&gt;'!$L:$L,MATCH($D325,'Lopettaneet 2013-&gt;'!$D:$D,0)))</f>
        <v>6</v>
      </c>
      <c r="L325" s="31" t="str">
        <f>IFERROR(INDEX('[1]30.06.2024'!$H:$H,MATCH($E325,'[1]30.06.2024'!$B:$B,0)),"Not found")</f>
        <v>Not found</v>
      </c>
      <c r="M325" s="31" t="str">
        <f>IFERROR(INDEX([2]Sheet1!$B:$B,MATCH($D325,[2]Sheet1!$A:$A,0)),"Not found")</f>
        <v>Not found</v>
      </c>
      <c r="N325">
        <f t="shared" si="10"/>
        <v>0</v>
      </c>
      <c r="O325">
        <f t="shared" si="11"/>
        <v>0</v>
      </c>
    </row>
    <row r="326" spans="1:15" x14ac:dyDescent="0.25">
      <c r="A326" t="s">
        <v>7</v>
      </c>
      <c r="B326" s="1">
        <v>41974</v>
      </c>
      <c r="C326" s="1">
        <v>44286</v>
      </c>
      <c r="D326" s="4" t="s">
        <v>872</v>
      </c>
      <c r="E326" s="32" t="s">
        <v>873</v>
      </c>
      <c r="F326" s="32">
        <v>26187248</v>
      </c>
      <c r="G326" t="s">
        <v>10</v>
      </c>
      <c r="H326" t="s">
        <v>11</v>
      </c>
      <c r="I326" t="s">
        <v>32</v>
      </c>
      <c r="J326" s="30" t="str">
        <f>IF(ISNUMBER(MATCH($D326,'Lopettaneet 2013-&gt;'!$D:$D,0)),INDEX('Lopettaneet 2013-&gt;'!$K:$K,MATCH($D326,'Lopettaneet 2013-&gt;'!$D:$D,0)),"Continues")</f>
        <v>Closed</v>
      </c>
      <c r="K326" s="30">
        <f ca="1">IF($J326="Continues",DATEDIF($B326,TODAY(),"Y"),INDEX('Lopettaneet 2013-&gt;'!$L:$L,MATCH($D326,'Lopettaneet 2013-&gt;'!$D:$D,0)))</f>
        <v>6</v>
      </c>
      <c r="L326" s="31" t="str">
        <f>IFERROR(INDEX('[1]30.06.2024'!$H:$H,MATCH($E326,'[1]30.06.2024'!$B:$B,0)),"Not found")</f>
        <v>Not found</v>
      </c>
      <c r="M326" s="31" t="str">
        <f>IFERROR(INDEX([2]Sheet1!$B:$B,MATCH($D326,[2]Sheet1!$A:$A,0)),"Not found")</f>
        <v>Not found</v>
      </c>
      <c r="N326">
        <f t="shared" si="10"/>
        <v>0</v>
      </c>
      <c r="O326">
        <f t="shared" si="11"/>
        <v>0</v>
      </c>
    </row>
    <row r="327" spans="1:15" x14ac:dyDescent="0.25">
      <c r="A327" t="s">
        <v>7</v>
      </c>
      <c r="B327" s="1">
        <v>42156</v>
      </c>
      <c r="C327" s="1">
        <v>55153</v>
      </c>
      <c r="D327" s="4" t="s">
        <v>874</v>
      </c>
      <c r="E327" s="32" t="s">
        <v>875</v>
      </c>
      <c r="F327" s="32">
        <v>26870119</v>
      </c>
      <c r="G327" t="s">
        <v>10</v>
      </c>
      <c r="H327" t="s">
        <v>11</v>
      </c>
      <c r="I327" t="s">
        <v>12</v>
      </c>
      <c r="J327" s="30" t="str">
        <f>IF(ISNUMBER(MATCH($D327,'Lopettaneet 2013-&gt;'!$D:$D,0)),INDEX('Lopettaneet 2013-&gt;'!$K:$K,MATCH($D327,'Lopettaneet 2013-&gt;'!$D:$D,0)),"Continues")</f>
        <v>Continues</v>
      </c>
      <c r="K327" s="30">
        <f ca="1">IF($J327="Continues",DATEDIF($B327,TODAY(),"Y"),INDEX('Lopettaneet 2013-&gt;'!$L:$L,MATCH($D327,'Lopettaneet 2013-&gt;'!$D:$D,0)))</f>
        <v>9</v>
      </c>
      <c r="L327" s="31" t="str">
        <f>IFERROR(INDEX('[1]30.06.2024'!$H:$H,MATCH($E327,'[1]30.06.2024'!$B:$B,0)),"Not found")</f>
        <v>eQ Rahastoyhtiö Oy</v>
      </c>
      <c r="M327" s="31" t="str">
        <f>IFERROR(INDEX([2]Sheet1!$B:$B,MATCH($D327,[2]Sheet1!$A:$A,0)),"Not found")</f>
        <v>Retail</v>
      </c>
      <c r="N327">
        <f t="shared" si="10"/>
        <v>1</v>
      </c>
      <c r="O327">
        <f t="shared" si="11"/>
        <v>0</v>
      </c>
    </row>
    <row r="328" spans="1:15" x14ac:dyDescent="0.25">
      <c r="A328" t="s">
        <v>7</v>
      </c>
      <c r="B328" s="1">
        <v>42156</v>
      </c>
      <c r="C328" s="1">
        <v>55153</v>
      </c>
      <c r="D328" s="4" t="s">
        <v>876</v>
      </c>
      <c r="E328" s="32" t="s">
        <v>877</v>
      </c>
      <c r="F328" s="32">
        <v>26870207</v>
      </c>
      <c r="G328" t="s">
        <v>10</v>
      </c>
      <c r="H328" t="s">
        <v>11</v>
      </c>
      <c r="I328" t="s">
        <v>12</v>
      </c>
      <c r="J328" s="30" t="str">
        <f>IF(ISNUMBER(MATCH($D328,'Lopettaneet 2013-&gt;'!$D:$D,0)),INDEX('Lopettaneet 2013-&gt;'!$K:$K,MATCH($D328,'Lopettaneet 2013-&gt;'!$D:$D,0)),"Continues")</f>
        <v>Continues</v>
      </c>
      <c r="K328" s="30">
        <f ca="1">IF($J328="Continues",DATEDIF($B328,TODAY(),"Y"),INDEX('Lopettaneet 2013-&gt;'!$L:$L,MATCH($D328,'Lopettaneet 2013-&gt;'!$D:$D,0)))</f>
        <v>9</v>
      </c>
      <c r="L328" s="31" t="str">
        <f>IFERROR(INDEX('[1]30.06.2024'!$H:$H,MATCH($E328,'[1]30.06.2024'!$B:$B,0)),"Not found")</f>
        <v>eQ Rahastoyhtiö Oy</v>
      </c>
      <c r="M328" s="31" t="str">
        <f>IFERROR(INDEX([2]Sheet1!$B:$B,MATCH($D328,[2]Sheet1!$A:$A,0)),"Not found")</f>
        <v>Retail</v>
      </c>
      <c r="N328">
        <f t="shared" si="10"/>
        <v>1</v>
      </c>
      <c r="O328">
        <f t="shared" si="11"/>
        <v>0</v>
      </c>
    </row>
    <row r="329" spans="1:15" x14ac:dyDescent="0.25">
      <c r="A329" t="s">
        <v>7</v>
      </c>
      <c r="B329" s="1">
        <v>42156</v>
      </c>
      <c r="C329" s="1">
        <v>55153</v>
      </c>
      <c r="D329" s="4" t="s">
        <v>878</v>
      </c>
      <c r="E329" s="32" t="s">
        <v>879</v>
      </c>
      <c r="F329" s="32">
        <v>26870055</v>
      </c>
      <c r="G329" t="s">
        <v>10</v>
      </c>
      <c r="H329" t="s">
        <v>11</v>
      </c>
      <c r="I329" t="s">
        <v>12</v>
      </c>
      <c r="J329" s="30" t="str">
        <f>IF(ISNUMBER(MATCH($D329,'Lopettaneet 2013-&gt;'!$D:$D,0)),INDEX('Lopettaneet 2013-&gt;'!$K:$K,MATCH($D329,'Lopettaneet 2013-&gt;'!$D:$D,0)),"Continues")</f>
        <v>Continues</v>
      </c>
      <c r="K329" s="30">
        <f ca="1">IF($J329="Continues",DATEDIF($B329,TODAY(),"Y"),INDEX('Lopettaneet 2013-&gt;'!$L:$L,MATCH($D329,'Lopettaneet 2013-&gt;'!$D:$D,0)))</f>
        <v>9</v>
      </c>
      <c r="L329" s="31" t="str">
        <f>IFERROR(INDEX('[1]30.06.2024'!$H:$H,MATCH($E329,'[1]30.06.2024'!$B:$B,0)),"Not found")</f>
        <v>eQ Rahastoyhtiö Oy</v>
      </c>
      <c r="M329" s="31" t="str">
        <f>IFERROR(INDEX([2]Sheet1!$B:$B,MATCH($D329,[2]Sheet1!$A:$A,0)),"Not found")</f>
        <v>Retail</v>
      </c>
      <c r="N329">
        <f t="shared" si="10"/>
        <v>1</v>
      </c>
      <c r="O329">
        <f t="shared" si="11"/>
        <v>0</v>
      </c>
    </row>
    <row r="330" spans="1:15" x14ac:dyDescent="0.25">
      <c r="A330" t="s">
        <v>0</v>
      </c>
      <c r="B330" s="1">
        <v>42095</v>
      </c>
      <c r="C330" s="1">
        <v>55153</v>
      </c>
      <c r="D330" s="4" t="s">
        <v>33</v>
      </c>
      <c r="E330" s="32" t="s">
        <v>880</v>
      </c>
      <c r="F330" s="32">
        <v>26850708</v>
      </c>
      <c r="G330" t="s">
        <v>3</v>
      </c>
      <c r="H330" t="s">
        <v>4</v>
      </c>
      <c r="I330" t="s">
        <v>5</v>
      </c>
      <c r="J330" s="30" t="str">
        <f>IF(ISNUMBER(MATCH($D330,'Lopettaneet 2013-&gt;'!$D:$D,0)),INDEX('Lopettaneet 2013-&gt;'!$K:$K,MATCH($D330,'Lopettaneet 2013-&gt;'!$D:$D,0)),"Continues")</f>
        <v>Closed</v>
      </c>
      <c r="K330" s="30">
        <f ca="1">IF($J330="Continues",DATEDIF($B330,TODAY(),"Y"),INDEX('Lopettaneet 2013-&gt;'!$L:$L,MATCH($D330,'Lopettaneet 2013-&gt;'!$D:$D,0)))</f>
        <v>35</v>
      </c>
      <c r="L330" s="31" t="str">
        <f>IFERROR(INDEX('[1]30.06.2024'!$H:$H,MATCH($E330,'[1]30.06.2024'!$B:$B,0)),"Not found")</f>
        <v>Not found</v>
      </c>
      <c r="M330" s="31" t="str">
        <f>IFERROR(INDEX([2]Sheet1!$B:$B,MATCH($D330,[2]Sheet1!$A:$A,0)),"Not found")</f>
        <v>Retail</v>
      </c>
      <c r="N330">
        <f t="shared" si="10"/>
        <v>1</v>
      </c>
      <c r="O330">
        <f t="shared" si="11"/>
        <v>0</v>
      </c>
    </row>
    <row r="331" spans="1:15" x14ac:dyDescent="0.25">
      <c r="A331" t="s">
        <v>7</v>
      </c>
      <c r="B331" s="1">
        <v>41974</v>
      </c>
      <c r="C331" s="1">
        <v>43373</v>
      </c>
      <c r="D331" s="4" t="s">
        <v>881</v>
      </c>
      <c r="E331" s="32" t="s">
        <v>882</v>
      </c>
      <c r="F331" s="32">
        <v>25599996</v>
      </c>
      <c r="G331" t="s">
        <v>10</v>
      </c>
      <c r="H331" t="s">
        <v>11</v>
      </c>
      <c r="I331" t="s">
        <v>80</v>
      </c>
      <c r="J331" s="30" t="str">
        <f>IF(ISNUMBER(MATCH($D331,'Lopettaneet 2013-&gt;'!$D:$D,0)),INDEX('Lopettaneet 2013-&gt;'!$K:$K,MATCH($D331,'Lopettaneet 2013-&gt;'!$D:$D,0)),"Continues")</f>
        <v>Closed</v>
      </c>
      <c r="K331" s="30">
        <f ca="1">IF($J331="Continues",DATEDIF($B331,TODAY(),"Y"),INDEX('Lopettaneet 2013-&gt;'!$L:$L,MATCH($D331,'Lopettaneet 2013-&gt;'!$D:$D,0)))</f>
        <v>3</v>
      </c>
      <c r="L331" s="31" t="str">
        <f>IFERROR(INDEX('[1]30.06.2024'!$H:$H,MATCH($E331,'[1]30.06.2024'!$B:$B,0)),"Not found")</f>
        <v>Not found</v>
      </c>
      <c r="M331" s="31" t="str">
        <f>IFERROR(INDEX([2]Sheet1!$B:$B,MATCH($D331,[2]Sheet1!$A:$A,0)),"Not found")</f>
        <v>Not found</v>
      </c>
      <c r="N331">
        <f t="shared" si="10"/>
        <v>0</v>
      </c>
      <c r="O331">
        <f t="shared" si="11"/>
        <v>0</v>
      </c>
    </row>
    <row r="332" spans="1:15" x14ac:dyDescent="0.25">
      <c r="A332" t="s">
        <v>7</v>
      </c>
      <c r="B332" s="1">
        <v>41974</v>
      </c>
      <c r="C332" s="1">
        <v>43373</v>
      </c>
      <c r="D332" s="4" t="s">
        <v>883</v>
      </c>
      <c r="E332" s="32" t="s">
        <v>884</v>
      </c>
      <c r="F332" s="32">
        <v>26259723</v>
      </c>
      <c r="G332" t="s">
        <v>10</v>
      </c>
      <c r="H332" t="s">
        <v>11</v>
      </c>
      <c r="I332" t="s">
        <v>80</v>
      </c>
      <c r="J332" s="30" t="str">
        <f>IF(ISNUMBER(MATCH($D332,'Lopettaneet 2013-&gt;'!$D:$D,0)),INDEX('Lopettaneet 2013-&gt;'!$K:$K,MATCH($D332,'Lopettaneet 2013-&gt;'!$D:$D,0)),"Continues")</f>
        <v>Closed</v>
      </c>
      <c r="K332" s="30">
        <f ca="1">IF($J332="Continues",DATEDIF($B332,TODAY(),"Y"),INDEX('Lopettaneet 2013-&gt;'!$L:$L,MATCH($D332,'Lopettaneet 2013-&gt;'!$D:$D,0)))</f>
        <v>3</v>
      </c>
      <c r="L332" s="31" t="str">
        <f>IFERROR(INDEX('[1]30.06.2024'!$H:$H,MATCH($E332,'[1]30.06.2024'!$B:$B,0)),"Not found")</f>
        <v>Not found</v>
      </c>
      <c r="M332" s="31" t="str">
        <f>IFERROR(INDEX([2]Sheet1!$B:$B,MATCH($D332,[2]Sheet1!$A:$A,0)),"Not found")</f>
        <v>Not found</v>
      </c>
      <c r="N332">
        <f t="shared" si="10"/>
        <v>0</v>
      </c>
      <c r="O332">
        <f t="shared" si="11"/>
        <v>0</v>
      </c>
    </row>
    <row r="333" spans="1:15" x14ac:dyDescent="0.25">
      <c r="A333" t="s">
        <v>7</v>
      </c>
      <c r="B333" s="1">
        <v>41974</v>
      </c>
      <c r="C333" s="1">
        <v>55153</v>
      </c>
      <c r="D333" s="4" t="s">
        <v>885</v>
      </c>
      <c r="E333" s="32" t="s">
        <v>886</v>
      </c>
      <c r="F333" s="32">
        <v>24872700</v>
      </c>
      <c r="G333" t="s">
        <v>10</v>
      </c>
      <c r="H333" t="s">
        <v>11</v>
      </c>
      <c r="I333" t="s">
        <v>80</v>
      </c>
      <c r="J333" s="30" t="str">
        <f>IF(ISNUMBER(MATCH($D333,'Lopettaneet 2013-&gt;'!$D:$D,0)),INDEX('Lopettaneet 2013-&gt;'!$K:$K,MATCH($D333,'Lopettaneet 2013-&gt;'!$D:$D,0)),"Continues")</f>
        <v>Continues</v>
      </c>
      <c r="K333" s="30">
        <f ca="1">IF($J333="Continues",DATEDIF($B333,TODAY(),"Y"),INDEX('Lopettaneet 2013-&gt;'!$L:$L,MATCH($D333,'Lopettaneet 2013-&gt;'!$D:$D,0)))</f>
        <v>10</v>
      </c>
      <c r="L333" s="31" t="str">
        <f>IFERROR(INDEX('[1]30.06.2024'!$H:$H,MATCH($E333,'[1]30.06.2024'!$B:$B,0)),"Not found")</f>
        <v>Not found</v>
      </c>
      <c r="M333" s="31" t="str">
        <f>IFERROR(INDEX([2]Sheet1!$B:$B,MATCH($D333,[2]Sheet1!$A:$A,0)),"Not found")</f>
        <v>Non-Retail</v>
      </c>
      <c r="N333">
        <f t="shared" si="10"/>
        <v>0</v>
      </c>
      <c r="O333">
        <f t="shared" si="11"/>
        <v>1</v>
      </c>
    </row>
    <row r="334" spans="1:15" x14ac:dyDescent="0.25">
      <c r="A334" t="s">
        <v>7</v>
      </c>
      <c r="B334" s="1">
        <v>42430</v>
      </c>
      <c r="C334" s="1">
        <v>55153</v>
      </c>
      <c r="D334" s="4" t="s">
        <v>887</v>
      </c>
      <c r="E334" s="32" t="s">
        <v>888</v>
      </c>
      <c r="F334" s="32">
        <v>27466003</v>
      </c>
      <c r="G334" t="s">
        <v>10</v>
      </c>
      <c r="H334" t="s">
        <v>11</v>
      </c>
      <c r="I334" t="s">
        <v>12</v>
      </c>
      <c r="J334" s="30" t="str">
        <f>IF(ISNUMBER(MATCH($D334,'Lopettaneet 2013-&gt;'!$D:$D,0)),INDEX('Lopettaneet 2013-&gt;'!$K:$K,MATCH($D334,'Lopettaneet 2013-&gt;'!$D:$D,0)),"Continues")</f>
        <v>Continues</v>
      </c>
      <c r="K334" s="30">
        <f ca="1">IF($J334="Continues",DATEDIF($B334,TODAY(),"Y"),INDEX('Lopettaneet 2013-&gt;'!$L:$L,MATCH($D334,'Lopettaneet 2013-&gt;'!$D:$D,0)))</f>
        <v>9</v>
      </c>
      <c r="L334" s="31" t="str">
        <f>IFERROR(INDEX('[1]30.06.2024'!$H:$H,MATCH($E334,'[1]30.06.2024'!$B:$B,0)),"Not found")</f>
        <v>Access Capital Advisors Finland Oy</v>
      </c>
      <c r="M334" s="31" t="str">
        <f>IFERROR(INDEX([2]Sheet1!$B:$B,MATCH($D334,[2]Sheet1!$A:$A,0)),"Not found")</f>
        <v>Non-Retail</v>
      </c>
      <c r="N334">
        <f t="shared" si="10"/>
        <v>0</v>
      </c>
      <c r="O334">
        <f t="shared" si="11"/>
        <v>1</v>
      </c>
    </row>
    <row r="335" spans="1:15" x14ac:dyDescent="0.25">
      <c r="A335" t="s">
        <v>0</v>
      </c>
      <c r="B335" s="1">
        <v>42278</v>
      </c>
      <c r="C335" s="1">
        <v>55153</v>
      </c>
      <c r="D335" s="4" t="s">
        <v>889</v>
      </c>
      <c r="E335" s="32" t="s">
        <v>890</v>
      </c>
      <c r="F335" s="32">
        <v>26906767</v>
      </c>
      <c r="G335" t="s">
        <v>3</v>
      </c>
      <c r="H335" t="s">
        <v>4</v>
      </c>
      <c r="I335" t="s">
        <v>20</v>
      </c>
      <c r="J335" s="30" t="str">
        <f>IF(ISNUMBER(MATCH($D335,'Lopettaneet 2013-&gt;'!$D:$D,0)),INDEX('Lopettaneet 2013-&gt;'!$K:$K,MATCH($D335,'Lopettaneet 2013-&gt;'!$D:$D,0)),"Continues")</f>
        <v>Continues</v>
      </c>
      <c r="K335" s="30">
        <f ca="1">IF($J335="Continues",DATEDIF($B335,TODAY(),"Y"),INDEX('Lopettaneet 2013-&gt;'!$L:$L,MATCH($D335,'Lopettaneet 2013-&gt;'!$D:$D,0)))</f>
        <v>9</v>
      </c>
      <c r="L335" s="31" t="str">
        <f>IFERROR(INDEX('[1]30.06.2024'!$H:$H,MATCH($E335,'[1]30.06.2024'!$B:$B,0)),"Not found")</f>
        <v>Evli-Rahastoyhtiö Oy</v>
      </c>
      <c r="M335" s="31" t="str">
        <f>IFERROR(INDEX([2]Sheet1!$B:$B,MATCH($D335,[2]Sheet1!$A:$A,0)),"Not found")</f>
        <v>Retail</v>
      </c>
      <c r="N335">
        <f t="shared" si="10"/>
        <v>1</v>
      </c>
      <c r="O335">
        <f t="shared" si="11"/>
        <v>0</v>
      </c>
    </row>
    <row r="336" spans="1:15" x14ac:dyDescent="0.25">
      <c r="A336" t="s">
        <v>0</v>
      </c>
      <c r="B336" s="1">
        <v>42156</v>
      </c>
      <c r="C336" s="1">
        <v>55153</v>
      </c>
      <c r="D336" s="4" t="s">
        <v>891</v>
      </c>
      <c r="E336" s="32" t="s">
        <v>892</v>
      </c>
      <c r="F336" s="32">
        <v>26899712</v>
      </c>
      <c r="G336" t="s">
        <v>3</v>
      </c>
      <c r="H336" t="s">
        <v>4</v>
      </c>
      <c r="I336" t="s">
        <v>50</v>
      </c>
      <c r="J336" s="30" t="str">
        <f>IF(ISNUMBER(MATCH($D336,'Lopettaneet 2013-&gt;'!$D:$D,0)),INDEX('Lopettaneet 2013-&gt;'!$K:$K,MATCH($D336,'Lopettaneet 2013-&gt;'!$D:$D,0)),"Continues")</f>
        <v>Continues</v>
      </c>
      <c r="K336" s="30">
        <f ca="1">IF($J336="Continues",DATEDIF($B336,TODAY(),"Y"),INDEX('Lopettaneet 2013-&gt;'!$L:$L,MATCH($D336,'Lopettaneet 2013-&gt;'!$D:$D,0)))</f>
        <v>9</v>
      </c>
      <c r="L336" s="31" t="str">
        <f>IFERROR(INDEX('[1]30.06.2024'!$H:$H,MATCH($E336,'[1]30.06.2024'!$B:$B,0)),"Not found")</f>
        <v>OP-Rahastoyhtiö Oy</v>
      </c>
      <c r="M336" s="31" t="str">
        <f>IFERROR(INDEX([2]Sheet1!$B:$B,MATCH($D336,[2]Sheet1!$A:$A,0)),"Not found")</f>
        <v>Retail</v>
      </c>
      <c r="N336">
        <f t="shared" si="10"/>
        <v>1</v>
      </c>
      <c r="O336">
        <f t="shared" si="11"/>
        <v>0</v>
      </c>
    </row>
    <row r="337" spans="1:15" x14ac:dyDescent="0.25">
      <c r="A337" t="s">
        <v>7</v>
      </c>
      <c r="B337" s="1">
        <v>42522</v>
      </c>
      <c r="C337" s="1">
        <v>55153</v>
      </c>
      <c r="D337" s="4" t="s">
        <v>893</v>
      </c>
      <c r="E337" s="32" t="s">
        <v>894</v>
      </c>
      <c r="F337" s="32">
        <v>26813165</v>
      </c>
      <c r="G337" t="s">
        <v>10</v>
      </c>
      <c r="H337" t="s">
        <v>11</v>
      </c>
      <c r="I337" t="s">
        <v>29</v>
      </c>
      <c r="J337" s="30" t="str">
        <f>IF(ISNUMBER(MATCH($D337,'Lopettaneet 2013-&gt;'!$D:$D,0)),INDEX('Lopettaneet 2013-&gt;'!$K:$K,MATCH($D337,'Lopettaneet 2013-&gt;'!$D:$D,0)),"Continues")</f>
        <v>Continues</v>
      </c>
      <c r="K337" s="30">
        <f ca="1">IF($J337="Continues",DATEDIF($B337,TODAY(),"Y"),INDEX('Lopettaneet 2013-&gt;'!$L:$L,MATCH($D337,'Lopettaneet 2013-&gt;'!$D:$D,0)))</f>
        <v>8</v>
      </c>
      <c r="L337" s="31" t="str">
        <f>IFERROR(INDEX('[1]30.06.2024'!$H:$H,MATCH($E337,'[1]30.06.2024'!$B:$B,0)),"Not found")</f>
        <v>Not found</v>
      </c>
      <c r="M337" s="31" t="str">
        <f>IFERROR(INDEX([2]Sheet1!$B:$B,MATCH($D337,[2]Sheet1!$A:$A,0)),"Not found")</f>
        <v>Non-Retail</v>
      </c>
      <c r="N337">
        <f t="shared" si="10"/>
        <v>0</v>
      </c>
      <c r="O337">
        <f t="shared" si="11"/>
        <v>1</v>
      </c>
    </row>
    <row r="338" spans="1:15" x14ac:dyDescent="0.25">
      <c r="A338" t="s">
        <v>7</v>
      </c>
      <c r="B338" s="1">
        <v>42095</v>
      </c>
      <c r="C338" s="1">
        <v>44377</v>
      </c>
      <c r="D338" s="4" t="s">
        <v>895</v>
      </c>
      <c r="E338" s="32" t="s">
        <v>896</v>
      </c>
      <c r="F338" s="32">
        <v>26941116</v>
      </c>
      <c r="G338" t="s">
        <v>10</v>
      </c>
      <c r="H338" t="s">
        <v>11</v>
      </c>
      <c r="I338" t="s">
        <v>32</v>
      </c>
      <c r="J338" s="30" t="str">
        <f>IF(ISNUMBER(MATCH($D338,'Lopettaneet 2013-&gt;'!$D:$D,0)),INDEX('Lopettaneet 2013-&gt;'!$K:$K,MATCH($D338,'Lopettaneet 2013-&gt;'!$D:$D,0)),"Continues")</f>
        <v>Closed</v>
      </c>
      <c r="K338" s="30">
        <f ca="1">IF($J338="Continues",DATEDIF($B338,TODAY(),"Y"),INDEX('Lopettaneet 2013-&gt;'!$L:$L,MATCH($D338,'Lopettaneet 2013-&gt;'!$D:$D,0)))</f>
        <v>6</v>
      </c>
      <c r="L338" s="31" t="str">
        <f>IFERROR(INDEX('[1]30.06.2024'!$H:$H,MATCH($E338,'[1]30.06.2024'!$B:$B,0)),"Not found")</f>
        <v>Not found</v>
      </c>
      <c r="M338" s="31" t="str">
        <f>IFERROR(INDEX([2]Sheet1!$B:$B,MATCH($D338,[2]Sheet1!$A:$A,0)),"Not found")</f>
        <v>Not found</v>
      </c>
      <c r="N338">
        <f t="shared" si="10"/>
        <v>0</v>
      </c>
      <c r="O338">
        <f t="shared" si="11"/>
        <v>0</v>
      </c>
    </row>
    <row r="339" spans="1:15" x14ac:dyDescent="0.25">
      <c r="A339" t="s">
        <v>7</v>
      </c>
      <c r="B339" s="1">
        <v>42095</v>
      </c>
      <c r="C339" s="1">
        <v>44377</v>
      </c>
      <c r="D339" s="4" t="s">
        <v>897</v>
      </c>
      <c r="E339" s="32" t="s">
        <v>898</v>
      </c>
      <c r="F339" s="32">
        <v>26941087</v>
      </c>
      <c r="G339" t="s">
        <v>10</v>
      </c>
      <c r="H339" t="s">
        <v>11</v>
      </c>
      <c r="I339" t="s">
        <v>32</v>
      </c>
      <c r="J339" s="30" t="str">
        <f>IF(ISNUMBER(MATCH($D339,'Lopettaneet 2013-&gt;'!$D:$D,0)),INDEX('Lopettaneet 2013-&gt;'!$K:$K,MATCH($D339,'Lopettaneet 2013-&gt;'!$D:$D,0)),"Continues")</f>
        <v>Closed</v>
      </c>
      <c r="K339" s="30">
        <f ca="1">IF($J339="Continues",DATEDIF($B339,TODAY(),"Y"),INDEX('Lopettaneet 2013-&gt;'!$L:$L,MATCH($D339,'Lopettaneet 2013-&gt;'!$D:$D,0)))</f>
        <v>6</v>
      </c>
      <c r="L339" s="31" t="str">
        <f>IFERROR(INDEX('[1]30.06.2024'!$H:$H,MATCH($E339,'[1]30.06.2024'!$B:$B,0)),"Not found")</f>
        <v>Not found</v>
      </c>
      <c r="M339" s="31" t="str">
        <f>IFERROR(INDEX([2]Sheet1!$B:$B,MATCH($D339,[2]Sheet1!$A:$A,0)),"Not found")</f>
        <v>Not found</v>
      </c>
      <c r="N339">
        <f t="shared" si="10"/>
        <v>0</v>
      </c>
      <c r="O339">
        <f t="shared" si="11"/>
        <v>0</v>
      </c>
    </row>
    <row r="340" spans="1:15" x14ac:dyDescent="0.25">
      <c r="A340" t="s">
        <v>7</v>
      </c>
      <c r="B340" s="1">
        <v>42795</v>
      </c>
      <c r="C340" s="1">
        <v>43465</v>
      </c>
      <c r="D340" s="4" t="s">
        <v>899</v>
      </c>
      <c r="E340" s="32" t="s">
        <v>900</v>
      </c>
      <c r="F340" s="32">
        <v>26855947</v>
      </c>
      <c r="G340" t="s">
        <v>10</v>
      </c>
      <c r="H340" t="s">
        <v>11</v>
      </c>
      <c r="I340" t="s">
        <v>32</v>
      </c>
      <c r="J340" s="30" t="str">
        <f>IF(ISNUMBER(MATCH($D340,'Lopettaneet 2013-&gt;'!$D:$D,0)),INDEX('Lopettaneet 2013-&gt;'!$K:$K,MATCH($D340,'Lopettaneet 2013-&gt;'!$D:$D,0)),"Continues")</f>
        <v>Closed</v>
      </c>
      <c r="K340" s="30">
        <f ca="1">IF($J340="Continues",DATEDIF($B340,TODAY(),"Y"),INDEX('Lopettaneet 2013-&gt;'!$L:$L,MATCH($D340,'Lopettaneet 2013-&gt;'!$D:$D,0)))</f>
        <v>1</v>
      </c>
      <c r="L340" s="31" t="str">
        <f>IFERROR(INDEX('[1]30.06.2024'!$H:$H,MATCH($E340,'[1]30.06.2024'!$B:$B,0)),"Not found")</f>
        <v>Not found</v>
      </c>
      <c r="M340" s="31" t="str">
        <f>IFERROR(INDEX([2]Sheet1!$B:$B,MATCH($D340,[2]Sheet1!$A:$A,0)),"Not found")</f>
        <v>Not found</v>
      </c>
      <c r="N340">
        <f t="shared" si="10"/>
        <v>0</v>
      </c>
      <c r="O340">
        <f t="shared" si="11"/>
        <v>0</v>
      </c>
    </row>
    <row r="341" spans="1:15" x14ac:dyDescent="0.25">
      <c r="A341" t="s">
        <v>0</v>
      </c>
      <c r="B341" s="1">
        <v>42370</v>
      </c>
      <c r="C341" s="1">
        <v>55153</v>
      </c>
      <c r="D341" s="4" t="s">
        <v>901</v>
      </c>
      <c r="E341" s="32" t="s">
        <v>902</v>
      </c>
      <c r="F341" s="32">
        <v>26899763</v>
      </c>
      <c r="G341" t="s">
        <v>3</v>
      </c>
      <c r="H341" t="s">
        <v>4</v>
      </c>
      <c r="I341" t="s">
        <v>20</v>
      </c>
      <c r="J341" s="30" t="str">
        <f>IF(ISNUMBER(MATCH($D341,'Lopettaneet 2013-&gt;'!$D:$D,0)),INDEX('Lopettaneet 2013-&gt;'!$K:$K,MATCH($D341,'Lopettaneet 2013-&gt;'!$D:$D,0)),"Continues")</f>
        <v>Continues</v>
      </c>
      <c r="K341" s="30">
        <f ca="1">IF($J341="Continues",DATEDIF($B341,TODAY(),"Y"),INDEX('Lopettaneet 2013-&gt;'!$L:$L,MATCH($D341,'Lopettaneet 2013-&gt;'!$D:$D,0)))</f>
        <v>9</v>
      </c>
      <c r="L341" s="31" t="str">
        <f>IFERROR(INDEX('[1]30.06.2024'!$H:$H,MATCH($E341,'[1]30.06.2024'!$B:$B,0)),"Not found")</f>
        <v>Evli-Rahastoyhtiö Oy</v>
      </c>
      <c r="M341" s="31" t="str">
        <f>IFERROR(INDEX([2]Sheet1!$B:$B,MATCH($D341,[2]Sheet1!$A:$A,0)),"Not found")</f>
        <v>Retail</v>
      </c>
      <c r="N341">
        <f t="shared" si="10"/>
        <v>1</v>
      </c>
      <c r="O341">
        <f t="shared" si="11"/>
        <v>0</v>
      </c>
    </row>
    <row r="342" spans="1:15" x14ac:dyDescent="0.25">
      <c r="A342" t="s">
        <v>7</v>
      </c>
      <c r="B342" s="1">
        <v>42430</v>
      </c>
      <c r="C342" s="1">
        <v>55153</v>
      </c>
      <c r="D342" s="4" t="s">
        <v>903</v>
      </c>
      <c r="E342" s="32" t="s">
        <v>904</v>
      </c>
      <c r="F342" s="32">
        <v>26829677</v>
      </c>
      <c r="G342" t="s">
        <v>10</v>
      </c>
      <c r="H342" t="s">
        <v>11</v>
      </c>
      <c r="I342" t="s">
        <v>32</v>
      </c>
      <c r="J342" s="30" t="str">
        <f>IF(ISNUMBER(MATCH($D342,'Lopettaneet 2013-&gt;'!$D:$D,0)),INDEX('Lopettaneet 2013-&gt;'!$K:$K,MATCH($D342,'Lopettaneet 2013-&gt;'!$D:$D,0)),"Continues")</f>
        <v>Continues</v>
      </c>
      <c r="K342" s="30">
        <f ca="1">IF($J342="Continues",DATEDIF($B342,TODAY(),"Y"),INDEX('Lopettaneet 2013-&gt;'!$L:$L,MATCH($D342,'Lopettaneet 2013-&gt;'!$D:$D,0)))</f>
        <v>9</v>
      </c>
      <c r="L342" s="31" t="str">
        <f>IFERROR(INDEX('[1]30.06.2024'!$H:$H,MATCH($E342,'[1]30.06.2024'!$B:$B,0)),"Not found")</f>
        <v>S-Pankki Rahastoyhtiö Oy</v>
      </c>
      <c r="M342" s="31" t="str">
        <f>IFERROR(INDEX([2]Sheet1!$B:$B,MATCH($D342,[2]Sheet1!$A:$A,0)),"Not found")</f>
        <v>Retail</v>
      </c>
      <c r="N342">
        <f t="shared" si="10"/>
        <v>1</v>
      </c>
      <c r="O342">
        <f t="shared" si="11"/>
        <v>0</v>
      </c>
    </row>
    <row r="343" spans="1:15" x14ac:dyDescent="0.25">
      <c r="A343" t="s">
        <v>7</v>
      </c>
      <c r="B343" s="1">
        <v>42156</v>
      </c>
      <c r="C343" s="1">
        <v>55153</v>
      </c>
      <c r="D343" s="4" t="s">
        <v>905</v>
      </c>
      <c r="E343" s="32" t="s">
        <v>906</v>
      </c>
      <c r="F343" s="32">
        <v>26829669</v>
      </c>
      <c r="G343" t="s">
        <v>10</v>
      </c>
      <c r="H343" t="s">
        <v>11</v>
      </c>
      <c r="I343" t="s">
        <v>32</v>
      </c>
      <c r="J343" s="30" t="str">
        <f>IF(ISNUMBER(MATCH($D343,'Lopettaneet 2013-&gt;'!$D:$D,0)),INDEX('Lopettaneet 2013-&gt;'!$K:$K,MATCH($D343,'Lopettaneet 2013-&gt;'!$D:$D,0)),"Continues")</f>
        <v>Continues</v>
      </c>
      <c r="K343" s="30">
        <f ca="1">IF($J343="Continues",DATEDIF($B343,TODAY(),"Y"),INDEX('Lopettaneet 2013-&gt;'!$L:$L,MATCH($D343,'Lopettaneet 2013-&gt;'!$D:$D,0)))</f>
        <v>9</v>
      </c>
      <c r="L343" s="31" t="str">
        <f>IFERROR(INDEX('[1]30.06.2024'!$H:$H,MATCH($E343,'[1]30.06.2024'!$B:$B,0)),"Not found")</f>
        <v>S-Pankki Rahastoyhtiö Oy</v>
      </c>
      <c r="M343" s="31" t="str">
        <f>IFERROR(INDEX([2]Sheet1!$B:$B,MATCH($D343,[2]Sheet1!$A:$A,0)),"Not found")</f>
        <v>Retail</v>
      </c>
      <c r="N343">
        <f t="shared" si="10"/>
        <v>1</v>
      </c>
      <c r="O343">
        <f t="shared" si="11"/>
        <v>0</v>
      </c>
    </row>
    <row r="344" spans="1:15" x14ac:dyDescent="0.25">
      <c r="A344" t="s">
        <v>7</v>
      </c>
      <c r="B344" s="1">
        <v>42278</v>
      </c>
      <c r="C344" s="1">
        <v>55153</v>
      </c>
      <c r="D344" s="4" t="s">
        <v>907</v>
      </c>
      <c r="E344" s="32" t="s">
        <v>908</v>
      </c>
      <c r="F344" s="32">
        <v>27161752</v>
      </c>
      <c r="G344" t="s">
        <v>10</v>
      </c>
      <c r="H344" t="s">
        <v>11</v>
      </c>
      <c r="I344" t="s">
        <v>32</v>
      </c>
      <c r="J344" s="30" t="str">
        <f>IF(ISNUMBER(MATCH($D344,'Lopettaneet 2013-&gt;'!$D:$D,0)),INDEX('Lopettaneet 2013-&gt;'!$K:$K,MATCH($D344,'Lopettaneet 2013-&gt;'!$D:$D,0)),"Continues")</f>
        <v>Continues</v>
      </c>
      <c r="K344" s="30">
        <f ca="1">IF($J344="Continues",DATEDIF($B344,TODAY(),"Y"),INDEX('Lopettaneet 2013-&gt;'!$L:$L,MATCH($D344,'Lopettaneet 2013-&gt;'!$D:$D,0)))</f>
        <v>9</v>
      </c>
      <c r="L344" s="31" t="str">
        <f>IFERROR(INDEX('[1]30.06.2024'!$H:$H,MATCH($E344,'[1]30.06.2024'!$B:$B,0)),"Not found")</f>
        <v>Evli-Rahastoyhtiö Oy</v>
      </c>
      <c r="M344" s="31" t="str">
        <f>IFERROR(INDEX([2]Sheet1!$B:$B,MATCH($D344,[2]Sheet1!$A:$A,0)),"Not found")</f>
        <v>Non-Retail</v>
      </c>
      <c r="N344">
        <f t="shared" si="10"/>
        <v>0</v>
      </c>
      <c r="O344">
        <f t="shared" si="11"/>
        <v>1</v>
      </c>
    </row>
    <row r="345" spans="1:15" x14ac:dyDescent="0.25">
      <c r="A345" t="s">
        <v>7</v>
      </c>
      <c r="B345" s="1">
        <v>42156</v>
      </c>
      <c r="C345" s="1">
        <v>55153</v>
      </c>
      <c r="D345" s="4" t="s">
        <v>909</v>
      </c>
      <c r="E345" s="32" t="s">
        <v>910</v>
      </c>
      <c r="F345" s="32">
        <v>26711118</v>
      </c>
      <c r="G345" t="s">
        <v>10</v>
      </c>
      <c r="H345" t="s">
        <v>11</v>
      </c>
      <c r="I345" t="s">
        <v>32</v>
      </c>
      <c r="J345" s="30" t="str">
        <f>IF(ISNUMBER(MATCH($D345,'Lopettaneet 2013-&gt;'!$D:$D,0)),INDEX('Lopettaneet 2013-&gt;'!$K:$K,MATCH($D345,'Lopettaneet 2013-&gt;'!$D:$D,0)),"Continues")</f>
        <v>Continues</v>
      </c>
      <c r="K345" s="30">
        <f ca="1">IF($J345="Continues",DATEDIF($B345,TODAY(),"Y"),INDEX('Lopettaneet 2013-&gt;'!$L:$L,MATCH($D345,'Lopettaneet 2013-&gt;'!$D:$D,0)))</f>
        <v>9</v>
      </c>
      <c r="L345" s="31" t="str">
        <f>IFERROR(INDEX('[1]30.06.2024'!$H:$H,MATCH($E345,'[1]30.06.2024'!$B:$B,0)),"Not found")</f>
        <v>Taaleri Pääomarahastot Oy</v>
      </c>
      <c r="M345" s="31" t="str">
        <f>IFERROR(INDEX([2]Sheet1!$B:$B,MATCH($D345,[2]Sheet1!$A:$A,0)),"Not found")</f>
        <v>Retail</v>
      </c>
      <c r="N345">
        <f t="shared" si="10"/>
        <v>1</v>
      </c>
      <c r="O345">
        <f t="shared" si="11"/>
        <v>0</v>
      </c>
    </row>
    <row r="346" spans="1:15" x14ac:dyDescent="0.25">
      <c r="A346" t="s">
        <v>7</v>
      </c>
      <c r="B346" s="1">
        <v>42156</v>
      </c>
      <c r="C346" s="1">
        <v>55153</v>
      </c>
      <c r="D346" s="4" t="s">
        <v>911</v>
      </c>
      <c r="E346" s="32" t="s">
        <v>912</v>
      </c>
      <c r="F346" s="32">
        <v>26872915</v>
      </c>
      <c r="G346" t="s">
        <v>10</v>
      </c>
      <c r="H346" t="s">
        <v>11</v>
      </c>
      <c r="I346" t="s">
        <v>32</v>
      </c>
      <c r="J346" s="30" t="str">
        <f>IF(ISNUMBER(MATCH($D346,'Lopettaneet 2013-&gt;'!$D:$D,0)),INDEX('Lopettaneet 2013-&gt;'!$K:$K,MATCH($D346,'Lopettaneet 2013-&gt;'!$D:$D,0)),"Continues")</f>
        <v>Continues</v>
      </c>
      <c r="K346" s="30">
        <f ca="1">IF($J346="Continues",DATEDIF($B346,TODAY(),"Y"),INDEX('Lopettaneet 2013-&gt;'!$L:$L,MATCH($D346,'Lopettaneet 2013-&gt;'!$D:$D,0)))</f>
        <v>9</v>
      </c>
      <c r="L346" s="31" t="str">
        <f>IFERROR(INDEX('[1]30.06.2024'!$H:$H,MATCH($E346,'[1]30.06.2024'!$B:$B,0)),"Not found")</f>
        <v>Taaleri Pääomarahastot Oy</v>
      </c>
      <c r="M346" s="31" t="str">
        <f>IFERROR(INDEX([2]Sheet1!$B:$B,MATCH($D346,[2]Sheet1!$A:$A,0)),"Not found")</f>
        <v>Retail</v>
      </c>
      <c r="N346">
        <f t="shared" si="10"/>
        <v>1</v>
      </c>
      <c r="O346">
        <f t="shared" si="11"/>
        <v>0</v>
      </c>
    </row>
    <row r="347" spans="1:15" x14ac:dyDescent="0.25">
      <c r="A347" t="s">
        <v>7</v>
      </c>
      <c r="B347" s="1">
        <v>42156</v>
      </c>
      <c r="C347" s="1">
        <v>55153</v>
      </c>
      <c r="D347" s="4" t="s">
        <v>913</v>
      </c>
      <c r="E347" s="32" t="s">
        <v>914</v>
      </c>
      <c r="F347" s="32">
        <v>23070554</v>
      </c>
      <c r="G347" t="s">
        <v>10</v>
      </c>
      <c r="H347" t="s">
        <v>11</v>
      </c>
      <c r="I347" t="s">
        <v>32</v>
      </c>
      <c r="J347" s="30" t="str">
        <f>IF(ISNUMBER(MATCH($D347,'Lopettaneet 2013-&gt;'!$D:$D,0)),INDEX('Lopettaneet 2013-&gt;'!$K:$K,MATCH($D347,'Lopettaneet 2013-&gt;'!$D:$D,0)),"Continues")</f>
        <v>Continues</v>
      </c>
      <c r="K347" s="30">
        <f ca="1">IF($J347="Continues",DATEDIF($B347,TODAY(),"Y"),INDEX('Lopettaneet 2013-&gt;'!$L:$L,MATCH($D347,'Lopettaneet 2013-&gt;'!$D:$D,0)))</f>
        <v>9</v>
      </c>
      <c r="L347" s="31" t="str">
        <f>IFERROR(INDEX('[1]30.06.2024'!$H:$H,MATCH($E347,'[1]30.06.2024'!$B:$B,0)),"Not found")</f>
        <v>LähiTapiola Vaihtoehtorahastot Oy</v>
      </c>
      <c r="M347" s="31" t="str">
        <f>IFERROR(INDEX([2]Sheet1!$B:$B,MATCH($D347,[2]Sheet1!$A:$A,0)),"Not found")</f>
        <v>Non-Retail</v>
      </c>
      <c r="N347">
        <f t="shared" si="10"/>
        <v>0</v>
      </c>
      <c r="O347">
        <f t="shared" si="11"/>
        <v>1</v>
      </c>
    </row>
    <row r="348" spans="1:15" x14ac:dyDescent="0.25">
      <c r="A348" t="s">
        <v>7</v>
      </c>
      <c r="B348" s="1">
        <v>42248</v>
      </c>
      <c r="C348" s="1">
        <v>55153</v>
      </c>
      <c r="D348" s="4" t="s">
        <v>915</v>
      </c>
      <c r="E348" s="32" t="s">
        <v>916</v>
      </c>
      <c r="F348" s="32">
        <v>26923663</v>
      </c>
      <c r="G348" t="s">
        <v>10</v>
      </c>
      <c r="H348" t="s">
        <v>11</v>
      </c>
      <c r="I348" t="s">
        <v>29</v>
      </c>
      <c r="J348" s="30" t="str">
        <f>IF(ISNUMBER(MATCH($D348,'Lopettaneet 2013-&gt;'!$D:$D,0)),INDEX('Lopettaneet 2013-&gt;'!$K:$K,MATCH($D348,'Lopettaneet 2013-&gt;'!$D:$D,0)),"Continues")</f>
        <v>Continues</v>
      </c>
      <c r="K348" s="30">
        <f ca="1">IF($J348="Continues",DATEDIF($B348,TODAY(),"Y"),INDEX('Lopettaneet 2013-&gt;'!$L:$L,MATCH($D348,'Lopettaneet 2013-&gt;'!$D:$D,0)))</f>
        <v>9</v>
      </c>
      <c r="L348" s="31" t="str">
        <f>IFERROR(INDEX('[1]30.06.2024'!$H:$H,MATCH($E348,'[1]30.06.2024'!$B:$B,0)),"Not found")</f>
        <v>NegaWatt Energia Oy</v>
      </c>
      <c r="M348" s="31" t="str">
        <f>IFERROR(INDEX([2]Sheet1!$B:$B,MATCH($D348,[2]Sheet1!$A:$A,0)),"Not found")</f>
        <v>Non-Retail</v>
      </c>
      <c r="N348">
        <f t="shared" si="10"/>
        <v>0</v>
      </c>
      <c r="O348">
        <f t="shared" si="11"/>
        <v>1</v>
      </c>
    </row>
    <row r="349" spans="1:15" x14ac:dyDescent="0.25">
      <c r="A349" t="s">
        <v>7</v>
      </c>
      <c r="B349" s="1">
        <v>42156</v>
      </c>
      <c r="C349" s="1">
        <v>44104</v>
      </c>
      <c r="D349" s="4" t="s">
        <v>917</v>
      </c>
      <c r="E349" s="32" t="s">
        <v>918</v>
      </c>
      <c r="F349" s="32">
        <v>26841297</v>
      </c>
      <c r="G349" t="s">
        <v>10</v>
      </c>
      <c r="H349" t="s">
        <v>11</v>
      </c>
      <c r="I349" t="s">
        <v>29</v>
      </c>
      <c r="J349" s="30" t="str">
        <f>IF(ISNUMBER(MATCH($D349,'Lopettaneet 2013-&gt;'!$D:$D,0)),INDEX('Lopettaneet 2013-&gt;'!$K:$K,MATCH($D349,'Lopettaneet 2013-&gt;'!$D:$D,0)),"Continues")</f>
        <v>Closed</v>
      </c>
      <c r="K349" s="30">
        <f ca="1">IF($J349="Continues",DATEDIF($B349,TODAY(),"Y"),INDEX('Lopettaneet 2013-&gt;'!$L:$L,MATCH($D349,'Lopettaneet 2013-&gt;'!$D:$D,0)))</f>
        <v>5</v>
      </c>
      <c r="L349" s="31" t="str">
        <f>IFERROR(INDEX('[1]30.06.2024'!$H:$H,MATCH($E349,'[1]30.06.2024'!$B:$B,0)),"Not found")</f>
        <v>Not found</v>
      </c>
      <c r="M349" s="31" t="str">
        <f>IFERROR(INDEX([2]Sheet1!$B:$B,MATCH($D349,[2]Sheet1!$A:$A,0)),"Not found")</f>
        <v>Not found</v>
      </c>
      <c r="N349">
        <f t="shared" si="10"/>
        <v>0</v>
      </c>
      <c r="O349">
        <f t="shared" si="11"/>
        <v>0</v>
      </c>
    </row>
    <row r="350" spans="1:15" x14ac:dyDescent="0.25">
      <c r="A350" t="s">
        <v>7</v>
      </c>
      <c r="B350" s="1">
        <v>42156</v>
      </c>
      <c r="C350" s="1">
        <v>55153</v>
      </c>
      <c r="D350" s="4" t="s">
        <v>919</v>
      </c>
      <c r="E350" s="32" t="s">
        <v>920</v>
      </c>
      <c r="F350" s="32">
        <v>26888802</v>
      </c>
      <c r="G350" t="s">
        <v>10</v>
      </c>
      <c r="H350" t="s">
        <v>11</v>
      </c>
      <c r="I350" t="s">
        <v>29</v>
      </c>
      <c r="J350" s="30" t="str">
        <f>IF(ISNUMBER(MATCH($D350,'Lopettaneet 2013-&gt;'!$D:$D,0)),INDEX('Lopettaneet 2013-&gt;'!$K:$K,MATCH($D350,'Lopettaneet 2013-&gt;'!$D:$D,0)),"Continues")</f>
        <v>Continues</v>
      </c>
      <c r="K350" s="30">
        <f ca="1">IF($J350="Continues",DATEDIF($B350,TODAY(),"Y"),INDEX('Lopettaneet 2013-&gt;'!$L:$L,MATCH($D350,'Lopettaneet 2013-&gt;'!$D:$D,0)))</f>
        <v>9</v>
      </c>
      <c r="L350" s="31" t="str">
        <f>IFERROR(INDEX('[1]30.06.2024'!$H:$H,MATCH($E350,'[1]30.06.2024'!$B:$B,0)),"Not found")</f>
        <v>Certior Capital Oy</v>
      </c>
      <c r="M350" s="31" t="str">
        <f>IFERROR(INDEX([2]Sheet1!$B:$B,MATCH($D350,[2]Sheet1!$A:$A,0)),"Not found")</f>
        <v>Non-Retail</v>
      </c>
      <c r="N350">
        <f t="shared" si="10"/>
        <v>0</v>
      </c>
      <c r="O350">
        <f t="shared" si="11"/>
        <v>1</v>
      </c>
    </row>
    <row r="351" spans="1:15" x14ac:dyDescent="0.25">
      <c r="A351" t="s">
        <v>7</v>
      </c>
      <c r="B351" s="1">
        <v>42248</v>
      </c>
      <c r="C351" s="1">
        <v>55153</v>
      </c>
      <c r="D351" s="4" t="s">
        <v>921</v>
      </c>
      <c r="E351" s="32" t="s">
        <v>922</v>
      </c>
      <c r="F351" s="32">
        <v>27111413</v>
      </c>
      <c r="G351" t="s">
        <v>10</v>
      </c>
      <c r="H351" t="s">
        <v>11</v>
      </c>
      <c r="I351" t="s">
        <v>29</v>
      </c>
      <c r="J351" s="30" t="str">
        <f>IF(ISNUMBER(MATCH($D351,'Lopettaneet 2013-&gt;'!$D:$D,0)),INDEX('Lopettaneet 2013-&gt;'!$K:$K,MATCH($D351,'Lopettaneet 2013-&gt;'!$D:$D,0)),"Continues")</f>
        <v>Continues</v>
      </c>
      <c r="K351" s="30">
        <f ca="1">IF($J351="Continues",DATEDIF($B351,TODAY(),"Y"),INDEX('Lopettaneet 2013-&gt;'!$L:$L,MATCH($D351,'Lopettaneet 2013-&gt;'!$D:$D,0)))</f>
        <v>9</v>
      </c>
      <c r="L351" s="31" t="str">
        <f>IFERROR(INDEX('[1]30.06.2024'!$H:$H,MATCH($E351,'[1]30.06.2024'!$B:$B,0)),"Not found")</f>
        <v>IPR.VC Management Oy</v>
      </c>
      <c r="M351" s="31" t="str">
        <f>IFERROR(INDEX([2]Sheet1!$B:$B,MATCH($D351,[2]Sheet1!$A:$A,0)),"Not found")</f>
        <v>Non-Retail</v>
      </c>
      <c r="N351">
        <f t="shared" si="10"/>
        <v>0</v>
      </c>
      <c r="O351">
        <f t="shared" si="11"/>
        <v>1</v>
      </c>
    </row>
    <row r="352" spans="1:15" x14ac:dyDescent="0.25">
      <c r="A352" t="s">
        <v>7</v>
      </c>
      <c r="B352" s="1">
        <v>42156</v>
      </c>
      <c r="C352" s="1">
        <v>45382</v>
      </c>
      <c r="D352" s="4" t="s">
        <v>237</v>
      </c>
      <c r="E352" s="32" t="s">
        <v>238</v>
      </c>
      <c r="F352" s="32">
        <v>26886436</v>
      </c>
      <c r="G352" t="s">
        <v>10</v>
      </c>
      <c r="H352" t="s">
        <v>11</v>
      </c>
      <c r="I352" t="s">
        <v>29</v>
      </c>
      <c r="J352" s="30" t="str">
        <f>IF(ISNUMBER(MATCH($D352,'Lopettaneet 2013-&gt;'!$D:$D,0)),INDEX('Lopettaneet 2013-&gt;'!$K:$K,MATCH($D352,'Lopettaneet 2013-&gt;'!$D:$D,0)),"Continues")</f>
        <v>Closed</v>
      </c>
      <c r="K352" s="30">
        <f ca="1">IF($J352="Continues",DATEDIF($B352,TODAY(),"Y"),INDEX('Lopettaneet 2013-&gt;'!$L:$L,MATCH($D352,'Lopettaneet 2013-&gt;'!$D:$D,0)))</f>
        <v>8</v>
      </c>
      <c r="L352" s="31" t="str">
        <f>IFERROR(INDEX('[1]30.06.2024'!$H:$H,MATCH($E352,'[1]30.06.2024'!$B:$B,0)),"Not found")</f>
        <v>Not found</v>
      </c>
      <c r="M352" s="31" t="str">
        <f>IFERROR(INDEX([2]Sheet1!$B:$B,MATCH($D352,[2]Sheet1!$A:$A,0)),"Not found")</f>
        <v>Non-Retail</v>
      </c>
      <c r="N352">
        <f t="shared" si="10"/>
        <v>0</v>
      </c>
      <c r="O352">
        <f t="shared" si="11"/>
        <v>1</v>
      </c>
    </row>
    <row r="353" spans="1:15" x14ac:dyDescent="0.25">
      <c r="A353" t="s">
        <v>7</v>
      </c>
      <c r="B353" s="1">
        <v>42461</v>
      </c>
      <c r="C353" s="1">
        <v>55153</v>
      </c>
      <c r="D353" s="4" t="s">
        <v>923</v>
      </c>
      <c r="E353" s="32" t="s">
        <v>924</v>
      </c>
      <c r="F353" s="32">
        <v>27779923</v>
      </c>
      <c r="G353" t="s">
        <v>10</v>
      </c>
      <c r="H353" t="s">
        <v>11</v>
      </c>
      <c r="I353" t="s">
        <v>80</v>
      </c>
      <c r="J353" s="30" t="str">
        <f>IF(ISNUMBER(MATCH($D353,'Lopettaneet 2013-&gt;'!$D:$D,0)),INDEX('Lopettaneet 2013-&gt;'!$K:$K,MATCH($D353,'Lopettaneet 2013-&gt;'!$D:$D,0)),"Continues")</f>
        <v>Continues</v>
      </c>
      <c r="K353" s="30">
        <f ca="1">IF($J353="Continues",DATEDIF($B353,TODAY(),"Y"),INDEX('Lopettaneet 2013-&gt;'!$L:$L,MATCH($D353,'Lopettaneet 2013-&gt;'!$D:$D,0)))</f>
        <v>9</v>
      </c>
      <c r="L353" s="31" t="str">
        <f>IFERROR(INDEX('[1]30.06.2024'!$H:$H,MATCH($E353,'[1]30.06.2024'!$B:$B,0)),"Not found")</f>
        <v>Courage Ventures Management Oy</v>
      </c>
      <c r="M353" s="31" t="str">
        <f>IFERROR(INDEX([2]Sheet1!$B:$B,MATCH($D353,[2]Sheet1!$A:$A,0)),"Not found")</f>
        <v>Non-Retail</v>
      </c>
      <c r="N353">
        <f t="shared" si="10"/>
        <v>0</v>
      </c>
      <c r="O353">
        <f t="shared" si="11"/>
        <v>1</v>
      </c>
    </row>
    <row r="354" spans="1:15" x14ac:dyDescent="0.25">
      <c r="A354" t="s">
        <v>7</v>
      </c>
      <c r="B354" s="1">
        <v>42156</v>
      </c>
      <c r="C354" s="1">
        <v>55153</v>
      </c>
      <c r="D354" s="4" t="s">
        <v>925</v>
      </c>
      <c r="E354" s="32" t="s">
        <v>926</v>
      </c>
      <c r="F354" s="32">
        <v>26857686</v>
      </c>
      <c r="G354" t="s">
        <v>10</v>
      </c>
      <c r="H354" t="s">
        <v>11</v>
      </c>
      <c r="I354" t="s">
        <v>32</v>
      </c>
      <c r="J354" s="30" t="str">
        <f>IF(ISNUMBER(MATCH($D354,'Lopettaneet 2013-&gt;'!$D:$D,0)),INDEX('Lopettaneet 2013-&gt;'!$K:$K,MATCH($D354,'Lopettaneet 2013-&gt;'!$D:$D,0)),"Continues")</f>
        <v>Continues</v>
      </c>
      <c r="K354" s="30">
        <f ca="1">IF($J354="Continues",DATEDIF($B354,TODAY(),"Y"),INDEX('Lopettaneet 2013-&gt;'!$L:$L,MATCH($D354,'Lopettaneet 2013-&gt;'!$D:$D,0)))</f>
        <v>9</v>
      </c>
      <c r="L354" s="31" t="str">
        <f>IFERROR(INDEX('[1]30.06.2024'!$H:$H,MATCH($E354,'[1]30.06.2024'!$B:$B,0)),"Not found")</f>
        <v>Confido Cataluna Oy</v>
      </c>
      <c r="M354" s="31" t="str">
        <f>IFERROR(INDEX([2]Sheet1!$B:$B,MATCH($D354,[2]Sheet1!$A:$A,0)),"Not found")</f>
        <v>Non-Retail</v>
      </c>
      <c r="N354">
        <f t="shared" si="10"/>
        <v>0</v>
      </c>
      <c r="O354">
        <f t="shared" si="11"/>
        <v>1</v>
      </c>
    </row>
    <row r="355" spans="1:15" x14ac:dyDescent="0.25">
      <c r="A355" t="s">
        <v>7</v>
      </c>
      <c r="B355" s="1">
        <v>42186</v>
      </c>
      <c r="C355" s="1">
        <v>55153</v>
      </c>
      <c r="D355" s="4" t="s">
        <v>927</v>
      </c>
      <c r="E355" s="32" t="s">
        <v>928</v>
      </c>
      <c r="F355" s="32">
        <v>26907049</v>
      </c>
      <c r="G355" t="s">
        <v>10</v>
      </c>
      <c r="H355" t="s">
        <v>11</v>
      </c>
      <c r="I355" t="s">
        <v>32</v>
      </c>
      <c r="J355" s="30" t="str">
        <f>IF(ISNUMBER(MATCH($D355,'Lopettaneet 2013-&gt;'!$D:$D,0)),INDEX('Lopettaneet 2013-&gt;'!$K:$K,MATCH($D355,'Lopettaneet 2013-&gt;'!$D:$D,0)),"Continues")</f>
        <v>Continues</v>
      </c>
      <c r="K355" s="30">
        <f ca="1">IF($J355="Continues",DATEDIF($B355,TODAY(),"Y"),INDEX('Lopettaneet 2013-&gt;'!$L:$L,MATCH($D355,'Lopettaneet 2013-&gt;'!$D:$D,0)))</f>
        <v>9</v>
      </c>
      <c r="L355" s="31" t="str">
        <f>IFERROR(INDEX('[1]30.06.2024'!$H:$H,MATCH($E355,'[1]30.06.2024'!$B:$B,0)),"Not found")</f>
        <v>Samla Capital Oy</v>
      </c>
      <c r="M355" s="31" t="str">
        <f>IFERROR(INDEX([2]Sheet1!$B:$B,MATCH($D355,[2]Sheet1!$A:$A,0)),"Not found")</f>
        <v>Non-Retail</v>
      </c>
      <c r="N355">
        <f t="shared" si="10"/>
        <v>0</v>
      </c>
      <c r="O355">
        <f t="shared" si="11"/>
        <v>1</v>
      </c>
    </row>
    <row r="356" spans="1:15" x14ac:dyDescent="0.25">
      <c r="A356" t="s">
        <v>7</v>
      </c>
      <c r="B356" s="1">
        <v>42186</v>
      </c>
      <c r="C356" s="1">
        <v>55153</v>
      </c>
      <c r="D356" s="4" t="s">
        <v>929</v>
      </c>
      <c r="E356" s="32" t="s">
        <v>930</v>
      </c>
      <c r="F356" s="32">
        <v>26930134</v>
      </c>
      <c r="G356" t="s">
        <v>10</v>
      </c>
      <c r="H356" t="s">
        <v>11</v>
      </c>
      <c r="I356" t="s">
        <v>32</v>
      </c>
      <c r="J356" s="30" t="str">
        <f>IF(ISNUMBER(MATCH($D356,'Lopettaneet 2013-&gt;'!$D:$D,0)),INDEX('Lopettaneet 2013-&gt;'!$K:$K,MATCH($D356,'Lopettaneet 2013-&gt;'!$D:$D,0)),"Continues")</f>
        <v>Continues</v>
      </c>
      <c r="K356" s="30">
        <f ca="1">IF($J356="Continues",DATEDIF($B356,TODAY(),"Y"),INDEX('Lopettaneet 2013-&gt;'!$L:$L,MATCH($D356,'Lopettaneet 2013-&gt;'!$D:$D,0)))</f>
        <v>9</v>
      </c>
      <c r="L356" s="31" t="str">
        <f>IFERROR(INDEX('[1]30.06.2024'!$H:$H,MATCH($E356,'[1]30.06.2024'!$B:$B,0)),"Not found")</f>
        <v>Taaleri Pääomarahastot Oy</v>
      </c>
      <c r="M356" s="31" t="str">
        <f>IFERROR(INDEX([2]Sheet1!$B:$B,MATCH($D356,[2]Sheet1!$A:$A,0)),"Not found")</f>
        <v>Retail</v>
      </c>
      <c r="N356">
        <f t="shared" si="10"/>
        <v>1</v>
      </c>
      <c r="O356">
        <f t="shared" si="11"/>
        <v>0</v>
      </c>
    </row>
    <row r="357" spans="1:15" x14ac:dyDescent="0.25">
      <c r="A357" t="s">
        <v>7</v>
      </c>
      <c r="B357" s="1">
        <v>42186</v>
      </c>
      <c r="C357" s="1">
        <v>55153</v>
      </c>
      <c r="D357" s="4" t="s">
        <v>931</v>
      </c>
      <c r="E357" s="32" t="s">
        <v>932</v>
      </c>
      <c r="F357" s="32">
        <v>26930177</v>
      </c>
      <c r="G357" t="s">
        <v>10</v>
      </c>
      <c r="H357" t="s">
        <v>11</v>
      </c>
      <c r="I357" t="s">
        <v>32</v>
      </c>
      <c r="J357" s="30" t="str">
        <f>IF(ISNUMBER(MATCH($D357,'Lopettaneet 2013-&gt;'!$D:$D,0)),INDEX('Lopettaneet 2013-&gt;'!$K:$K,MATCH($D357,'Lopettaneet 2013-&gt;'!$D:$D,0)),"Continues")</f>
        <v>Continues</v>
      </c>
      <c r="K357" s="30">
        <f ca="1">IF($J357="Continues",DATEDIF($B357,TODAY(),"Y"),INDEX('Lopettaneet 2013-&gt;'!$L:$L,MATCH($D357,'Lopettaneet 2013-&gt;'!$D:$D,0)))</f>
        <v>9</v>
      </c>
      <c r="L357" s="31" t="str">
        <f>IFERROR(INDEX('[1]30.06.2024'!$H:$H,MATCH($E357,'[1]30.06.2024'!$B:$B,0)),"Not found")</f>
        <v>Taaleri Pääomarahastot Oy</v>
      </c>
      <c r="M357" s="31" t="str">
        <f>IFERROR(INDEX([2]Sheet1!$B:$B,MATCH($D357,[2]Sheet1!$A:$A,0)),"Not found")</f>
        <v>Retail</v>
      </c>
      <c r="N357">
        <f t="shared" si="10"/>
        <v>1</v>
      </c>
      <c r="O357">
        <f t="shared" si="11"/>
        <v>0</v>
      </c>
    </row>
    <row r="358" spans="1:15" x14ac:dyDescent="0.25">
      <c r="A358" t="s">
        <v>7</v>
      </c>
      <c r="B358" s="1">
        <v>42186</v>
      </c>
      <c r="C358" s="1">
        <v>55153</v>
      </c>
      <c r="D358" s="4" t="s">
        <v>933</v>
      </c>
      <c r="E358" s="32" t="s">
        <v>934</v>
      </c>
      <c r="F358" s="32">
        <v>26909378</v>
      </c>
      <c r="G358" t="s">
        <v>10</v>
      </c>
      <c r="H358" t="s">
        <v>11</v>
      </c>
      <c r="I358" t="s">
        <v>32</v>
      </c>
      <c r="J358" s="30" t="str">
        <f>IF(ISNUMBER(MATCH($D358,'Lopettaneet 2013-&gt;'!$D:$D,0)),INDEX('Lopettaneet 2013-&gt;'!$K:$K,MATCH($D358,'Lopettaneet 2013-&gt;'!$D:$D,0)),"Continues")</f>
        <v>Continues</v>
      </c>
      <c r="K358" s="30">
        <f ca="1">IF($J358="Continues",DATEDIF($B358,TODAY(),"Y"),INDEX('Lopettaneet 2013-&gt;'!$L:$L,MATCH($D358,'Lopettaneet 2013-&gt;'!$D:$D,0)))</f>
        <v>9</v>
      </c>
      <c r="L358" s="31" t="str">
        <f>IFERROR(INDEX('[1]30.06.2024'!$H:$H,MATCH($E358,'[1]30.06.2024'!$B:$B,0)),"Not found")</f>
        <v>Taaleri Pääomarahastot Oy</v>
      </c>
      <c r="M358" s="31" t="str">
        <f>IFERROR(INDEX([2]Sheet1!$B:$B,MATCH($D358,[2]Sheet1!$A:$A,0)),"Not found")</f>
        <v>Retail</v>
      </c>
      <c r="N358">
        <f t="shared" si="10"/>
        <v>1</v>
      </c>
      <c r="O358">
        <f t="shared" si="11"/>
        <v>0</v>
      </c>
    </row>
    <row r="359" spans="1:15" x14ac:dyDescent="0.25">
      <c r="A359" t="s">
        <v>7</v>
      </c>
      <c r="B359" s="1">
        <v>42186</v>
      </c>
      <c r="C359" s="1">
        <v>42551</v>
      </c>
      <c r="D359" s="4" t="s">
        <v>935</v>
      </c>
      <c r="E359" s="32" t="s">
        <v>936</v>
      </c>
      <c r="F359" s="32">
        <v>26783525</v>
      </c>
      <c r="G359" t="s">
        <v>10</v>
      </c>
      <c r="H359" t="s">
        <v>11</v>
      </c>
      <c r="I359" t="s">
        <v>80</v>
      </c>
      <c r="J359" s="30" t="str">
        <f>IF(ISNUMBER(MATCH($D359,'Lopettaneet 2013-&gt;'!$D:$D,0)),INDEX('Lopettaneet 2013-&gt;'!$K:$K,MATCH($D359,'Lopettaneet 2013-&gt;'!$D:$D,0)),"Continues")</f>
        <v>Closed</v>
      </c>
      <c r="K359" s="30">
        <f ca="1">IF($J359="Continues",DATEDIF($B359,TODAY(),"Y"),INDEX('Lopettaneet 2013-&gt;'!$L:$L,MATCH($D359,'Lopettaneet 2013-&gt;'!$D:$D,0)))</f>
        <v>0</v>
      </c>
      <c r="L359" s="31" t="str">
        <f>IFERROR(INDEX('[1]30.06.2024'!$H:$H,MATCH($E359,'[1]30.06.2024'!$B:$B,0)),"Not found")</f>
        <v>Not found</v>
      </c>
      <c r="M359" s="31" t="str">
        <f>IFERROR(INDEX([2]Sheet1!$B:$B,MATCH($D359,[2]Sheet1!$A:$A,0)),"Not found")</f>
        <v>Not found</v>
      </c>
      <c r="N359">
        <f t="shared" si="10"/>
        <v>0</v>
      </c>
      <c r="O359">
        <f t="shared" si="11"/>
        <v>0</v>
      </c>
    </row>
    <row r="360" spans="1:15" x14ac:dyDescent="0.25">
      <c r="A360" t="s">
        <v>7</v>
      </c>
      <c r="B360" s="1">
        <v>42186</v>
      </c>
      <c r="C360" s="1">
        <v>42521</v>
      </c>
      <c r="D360" s="4" t="s">
        <v>937</v>
      </c>
      <c r="E360" s="32" t="s">
        <v>938</v>
      </c>
      <c r="F360" s="32" t="s">
        <v>14</v>
      </c>
      <c r="G360" t="s">
        <v>10</v>
      </c>
      <c r="H360" t="s">
        <v>11</v>
      </c>
      <c r="I360" t="s">
        <v>80</v>
      </c>
      <c r="J360" s="30" t="str">
        <f>IF(ISNUMBER(MATCH($D360,'Lopettaneet 2013-&gt;'!$D:$D,0)),INDEX('Lopettaneet 2013-&gt;'!$K:$K,MATCH($D360,'Lopettaneet 2013-&gt;'!$D:$D,0)),"Continues")</f>
        <v>Closed</v>
      </c>
      <c r="K360" s="30">
        <f ca="1">IF($J360="Continues",DATEDIF($B360,TODAY(),"Y"),INDEX('Lopettaneet 2013-&gt;'!$L:$L,MATCH($D360,'Lopettaneet 2013-&gt;'!$D:$D,0)))</f>
        <v>0</v>
      </c>
      <c r="L360" s="31" t="str">
        <f>IFERROR(INDEX('[1]30.06.2024'!$H:$H,MATCH($E360,'[1]30.06.2024'!$B:$B,0)),"Not found")</f>
        <v>Not found</v>
      </c>
      <c r="M360" s="31" t="str">
        <f>IFERROR(INDEX([2]Sheet1!$B:$B,MATCH($D360,[2]Sheet1!$A:$A,0)),"Not found")</f>
        <v>Not found</v>
      </c>
      <c r="N360">
        <f t="shared" si="10"/>
        <v>0</v>
      </c>
      <c r="O360">
        <f t="shared" si="11"/>
        <v>0</v>
      </c>
    </row>
    <row r="361" spans="1:15" x14ac:dyDescent="0.25">
      <c r="A361" t="s">
        <v>7</v>
      </c>
      <c r="B361" s="1">
        <v>42156</v>
      </c>
      <c r="C361" s="1">
        <v>55153</v>
      </c>
      <c r="D361" s="4" t="s">
        <v>939</v>
      </c>
      <c r="E361" s="32" t="s">
        <v>940</v>
      </c>
      <c r="F361" s="32">
        <v>26992837</v>
      </c>
      <c r="G361" t="s">
        <v>10</v>
      </c>
      <c r="H361" t="s">
        <v>11</v>
      </c>
      <c r="I361" t="s">
        <v>12</v>
      </c>
      <c r="J361" s="30" t="str">
        <f>IF(ISNUMBER(MATCH($D361,'Lopettaneet 2013-&gt;'!$D:$D,0)),INDEX('Lopettaneet 2013-&gt;'!$K:$K,MATCH($D361,'Lopettaneet 2013-&gt;'!$D:$D,0)),"Continues")</f>
        <v>Continues</v>
      </c>
      <c r="K361" s="30">
        <f ca="1">IF($J361="Continues",DATEDIF($B361,TODAY(),"Y"),INDEX('Lopettaneet 2013-&gt;'!$L:$L,MATCH($D361,'Lopettaneet 2013-&gt;'!$D:$D,0)))</f>
        <v>9</v>
      </c>
      <c r="L361" s="31" t="str">
        <f>IFERROR(INDEX('[1]30.06.2024'!$H:$H,MATCH($E361,'[1]30.06.2024'!$B:$B,0)),"Not found")</f>
        <v>Aboa Venture Management Oy</v>
      </c>
      <c r="M361" s="31" t="str">
        <f>IFERROR(INDEX([2]Sheet1!$B:$B,MATCH($D361,[2]Sheet1!$A:$A,0)),"Not found")</f>
        <v>Non-Retail</v>
      </c>
      <c r="N361">
        <f t="shared" si="10"/>
        <v>0</v>
      </c>
      <c r="O361">
        <f t="shared" si="11"/>
        <v>1</v>
      </c>
    </row>
    <row r="362" spans="1:15" x14ac:dyDescent="0.25">
      <c r="A362" t="s">
        <v>7</v>
      </c>
      <c r="B362" s="1">
        <v>42248</v>
      </c>
      <c r="C362" s="1">
        <v>55153</v>
      </c>
      <c r="D362" s="4" t="s">
        <v>941</v>
      </c>
      <c r="E362" s="32" t="s">
        <v>942</v>
      </c>
      <c r="F362" s="32">
        <v>27050315</v>
      </c>
      <c r="G362" t="s">
        <v>10</v>
      </c>
      <c r="H362" t="s">
        <v>11</v>
      </c>
      <c r="I362" t="s">
        <v>80</v>
      </c>
      <c r="J362" s="30" t="str">
        <f>IF(ISNUMBER(MATCH($D362,'Lopettaneet 2013-&gt;'!$D:$D,0)),INDEX('Lopettaneet 2013-&gt;'!$K:$K,MATCH($D362,'Lopettaneet 2013-&gt;'!$D:$D,0)),"Continues")</f>
        <v>Continues</v>
      </c>
      <c r="K362" s="30">
        <f ca="1">IF($J362="Continues",DATEDIF($B362,TODAY(),"Y"),INDEX('Lopettaneet 2013-&gt;'!$L:$L,MATCH($D362,'Lopettaneet 2013-&gt;'!$D:$D,0)))</f>
        <v>9</v>
      </c>
      <c r="L362" s="31" t="str">
        <f>IFERROR(INDEX('[1]30.06.2024'!$H:$H,MATCH($E362,'[1]30.06.2024'!$B:$B,0)),"Not found")</f>
        <v>Open Ocean Partners Oy</v>
      </c>
      <c r="M362" s="31" t="str">
        <f>IFERROR(INDEX([2]Sheet1!$B:$B,MATCH($D362,[2]Sheet1!$A:$A,0)),"Not found")</f>
        <v>Non-Retail</v>
      </c>
      <c r="N362">
        <f t="shared" si="10"/>
        <v>0</v>
      </c>
      <c r="O362">
        <f t="shared" si="11"/>
        <v>1</v>
      </c>
    </row>
    <row r="363" spans="1:15" x14ac:dyDescent="0.25">
      <c r="A363" t="s">
        <v>0</v>
      </c>
      <c r="B363" s="1">
        <v>42186</v>
      </c>
      <c r="C363" s="1">
        <v>55153</v>
      </c>
      <c r="D363" s="4" t="s">
        <v>943</v>
      </c>
      <c r="E363" s="32" t="s">
        <v>944</v>
      </c>
      <c r="F363" s="32">
        <v>26980107</v>
      </c>
      <c r="G363" t="s">
        <v>10</v>
      </c>
      <c r="H363" t="s">
        <v>4</v>
      </c>
      <c r="I363" t="s">
        <v>20</v>
      </c>
      <c r="J363" s="30" t="str">
        <f>IF(ISNUMBER(MATCH($D363,'Lopettaneet 2013-&gt;'!$D:$D,0)),INDEX('Lopettaneet 2013-&gt;'!$K:$K,MATCH($D363,'Lopettaneet 2013-&gt;'!$D:$D,0)),"Continues")</f>
        <v>Closed</v>
      </c>
      <c r="K363" s="30">
        <f ca="1">IF($J363="Continues",DATEDIF($B363,TODAY(),"Y"),INDEX('Lopettaneet 2013-&gt;'!$L:$L,MATCH($D363,'Lopettaneet 2013-&gt;'!$D:$D,0)))</f>
        <v>8</v>
      </c>
      <c r="L363" s="31" t="str">
        <f>IFERROR(INDEX('[1]30.06.2024'!$H:$H,MATCH($E363,'[1]30.06.2024'!$B:$B,0)),"Not found")</f>
        <v>Not found</v>
      </c>
      <c r="M363" s="31" t="str">
        <f>IFERROR(INDEX([2]Sheet1!$B:$B,MATCH($D363,[2]Sheet1!$A:$A,0)),"Not found")</f>
        <v>Non-Retail</v>
      </c>
      <c r="N363">
        <f t="shared" si="10"/>
        <v>0</v>
      </c>
      <c r="O363">
        <f t="shared" si="11"/>
        <v>1</v>
      </c>
    </row>
    <row r="364" spans="1:15" x14ac:dyDescent="0.25">
      <c r="A364" t="s">
        <v>7</v>
      </c>
      <c r="B364" s="1">
        <v>42217</v>
      </c>
      <c r="C364" s="1">
        <v>55153</v>
      </c>
      <c r="D364" s="4" t="s">
        <v>945</v>
      </c>
      <c r="E364" s="32" t="s">
        <v>946</v>
      </c>
      <c r="F364" s="32">
        <v>26870493</v>
      </c>
      <c r="G364" t="s">
        <v>10</v>
      </c>
      <c r="H364" t="s">
        <v>11</v>
      </c>
      <c r="I364" t="s">
        <v>32</v>
      </c>
      <c r="J364" s="30" t="str">
        <f>IF(ISNUMBER(MATCH($D364,'Lopettaneet 2013-&gt;'!$D:$D,0)),INDEX('Lopettaneet 2013-&gt;'!$K:$K,MATCH($D364,'Lopettaneet 2013-&gt;'!$D:$D,0)),"Continues")</f>
        <v>Continues</v>
      </c>
      <c r="K364" s="30">
        <f ca="1">IF($J364="Continues",DATEDIF($B364,TODAY(),"Y"),INDEX('Lopettaneet 2013-&gt;'!$L:$L,MATCH($D364,'Lopettaneet 2013-&gt;'!$D:$D,0)))</f>
        <v>9</v>
      </c>
      <c r="L364" s="31" t="str">
        <f>IFERROR(INDEX('[1]30.06.2024'!$H:$H,MATCH($E364,'[1]30.06.2024'!$B:$B,0)),"Not found")</f>
        <v>WasaGroup Funds Oy</v>
      </c>
      <c r="M364" s="31" t="str">
        <f>IFERROR(INDEX([2]Sheet1!$B:$B,MATCH($D364,[2]Sheet1!$A:$A,0)),"Not found")</f>
        <v>Non-Retail</v>
      </c>
      <c r="N364">
        <f t="shared" si="10"/>
        <v>0</v>
      </c>
      <c r="O364">
        <f t="shared" si="11"/>
        <v>1</v>
      </c>
    </row>
    <row r="365" spans="1:15" x14ac:dyDescent="0.25">
      <c r="A365" t="s">
        <v>7</v>
      </c>
      <c r="B365" s="1">
        <v>42217</v>
      </c>
      <c r="C365" s="1">
        <v>55153</v>
      </c>
      <c r="D365" s="4" t="s">
        <v>947</v>
      </c>
      <c r="E365" s="32" t="s">
        <v>948</v>
      </c>
      <c r="F365" s="32">
        <v>26870418</v>
      </c>
      <c r="G365" t="s">
        <v>10</v>
      </c>
      <c r="H365" t="s">
        <v>11</v>
      </c>
      <c r="I365" t="s">
        <v>32</v>
      </c>
      <c r="J365" s="30" t="str">
        <f>IF(ISNUMBER(MATCH($D365,'Lopettaneet 2013-&gt;'!$D:$D,0)),INDEX('Lopettaneet 2013-&gt;'!$K:$K,MATCH($D365,'Lopettaneet 2013-&gt;'!$D:$D,0)),"Continues")</f>
        <v>Continues</v>
      </c>
      <c r="K365" s="30">
        <f ca="1">IF($J365="Continues",DATEDIF($B365,TODAY(),"Y"),INDEX('Lopettaneet 2013-&gt;'!$L:$L,MATCH($D365,'Lopettaneet 2013-&gt;'!$D:$D,0)))</f>
        <v>9</v>
      </c>
      <c r="L365" s="31" t="str">
        <f>IFERROR(INDEX('[1]30.06.2024'!$H:$H,MATCH($E365,'[1]30.06.2024'!$B:$B,0)),"Not found")</f>
        <v>WasaGroup Funds Oy</v>
      </c>
      <c r="M365" s="31" t="str">
        <f>IFERROR(INDEX([2]Sheet1!$B:$B,MATCH($D365,[2]Sheet1!$A:$A,0)),"Not found")</f>
        <v>Non-Retail</v>
      </c>
      <c r="N365">
        <f t="shared" si="10"/>
        <v>0</v>
      </c>
      <c r="O365">
        <f t="shared" si="11"/>
        <v>1</v>
      </c>
    </row>
    <row r="366" spans="1:15" x14ac:dyDescent="0.25">
      <c r="A366" t="s">
        <v>7</v>
      </c>
      <c r="B366" s="1">
        <v>42217</v>
      </c>
      <c r="C366" s="1">
        <v>55153</v>
      </c>
      <c r="D366" s="4" t="s">
        <v>949</v>
      </c>
      <c r="E366" s="32" t="s">
        <v>950</v>
      </c>
      <c r="F366" s="32">
        <v>26975746</v>
      </c>
      <c r="G366" t="s">
        <v>10</v>
      </c>
      <c r="H366" t="s">
        <v>11</v>
      </c>
      <c r="I366" t="s">
        <v>32</v>
      </c>
      <c r="J366" s="30" t="str">
        <f>IF(ISNUMBER(MATCH($D366,'Lopettaneet 2013-&gt;'!$D:$D,0)),INDEX('Lopettaneet 2013-&gt;'!$K:$K,MATCH($D366,'Lopettaneet 2013-&gt;'!$D:$D,0)),"Continues")</f>
        <v>Continues</v>
      </c>
      <c r="K366" s="30">
        <f ca="1">IF($J366="Continues",DATEDIF($B366,TODAY(),"Y"),INDEX('Lopettaneet 2013-&gt;'!$L:$L,MATCH($D366,'Lopettaneet 2013-&gt;'!$D:$D,0)))</f>
        <v>9</v>
      </c>
      <c r="L366" s="31" t="str">
        <f>IFERROR(INDEX('[1]30.06.2024'!$H:$H,MATCH($E366,'[1]30.06.2024'!$B:$B,0)),"Not found")</f>
        <v>Taaleri Pääomarahastot Oy</v>
      </c>
      <c r="M366" s="31" t="str">
        <f>IFERROR(INDEX([2]Sheet1!$B:$B,MATCH($D366,[2]Sheet1!$A:$A,0)),"Not found")</f>
        <v>Retail</v>
      </c>
      <c r="N366">
        <f t="shared" si="10"/>
        <v>1</v>
      </c>
      <c r="O366">
        <f t="shared" si="11"/>
        <v>0</v>
      </c>
    </row>
    <row r="367" spans="1:15" x14ac:dyDescent="0.25">
      <c r="A367" t="s">
        <v>0</v>
      </c>
      <c r="B367" s="1">
        <v>42248</v>
      </c>
      <c r="C367" s="1">
        <v>43434</v>
      </c>
      <c r="D367" s="4" t="s">
        <v>951</v>
      </c>
      <c r="E367" s="32" t="s">
        <v>952</v>
      </c>
      <c r="F367" s="32">
        <v>27068806</v>
      </c>
      <c r="G367" t="s">
        <v>3</v>
      </c>
      <c r="H367" t="s">
        <v>4</v>
      </c>
      <c r="I367" t="s">
        <v>50</v>
      </c>
      <c r="J367" s="30" t="str">
        <f>IF(ISNUMBER(MATCH($D367,'Lopettaneet 2013-&gt;'!$D:$D,0)),INDEX('Lopettaneet 2013-&gt;'!$K:$K,MATCH($D367,'Lopettaneet 2013-&gt;'!$D:$D,0)),"Continues")</f>
        <v>Merged</v>
      </c>
      <c r="K367" s="30">
        <f ca="1">IF($J367="Continues",DATEDIF($B367,TODAY(),"Y"),INDEX('Lopettaneet 2013-&gt;'!$L:$L,MATCH($D367,'Lopettaneet 2013-&gt;'!$D:$D,0)))</f>
        <v>3</v>
      </c>
      <c r="L367" s="31" t="str">
        <f>IFERROR(INDEX('[1]30.06.2024'!$H:$H,MATCH($E367,'[1]30.06.2024'!$B:$B,0)),"Not found")</f>
        <v>Not found</v>
      </c>
      <c r="M367" s="31" t="str">
        <f>IFERROR(INDEX([2]Sheet1!$B:$B,MATCH($D367,[2]Sheet1!$A:$A,0)),"Not found")</f>
        <v>Not found</v>
      </c>
      <c r="N367">
        <f t="shared" si="10"/>
        <v>0</v>
      </c>
      <c r="O367">
        <f t="shared" si="11"/>
        <v>0</v>
      </c>
    </row>
    <row r="368" spans="1:15" x14ac:dyDescent="0.25">
      <c r="A368" t="s">
        <v>0</v>
      </c>
      <c r="B368" s="1">
        <v>42309</v>
      </c>
      <c r="C368" s="1">
        <v>43404</v>
      </c>
      <c r="D368" s="4" t="s">
        <v>953</v>
      </c>
      <c r="E368" s="32" t="s">
        <v>954</v>
      </c>
      <c r="F368" s="32">
        <v>27068865</v>
      </c>
      <c r="G368" t="s">
        <v>3</v>
      </c>
      <c r="H368" t="s">
        <v>4</v>
      </c>
      <c r="I368" t="s">
        <v>50</v>
      </c>
      <c r="J368" s="30" t="str">
        <f>IF(ISNUMBER(MATCH($D368,'Lopettaneet 2013-&gt;'!$D:$D,0)),INDEX('Lopettaneet 2013-&gt;'!$K:$K,MATCH($D368,'Lopettaneet 2013-&gt;'!$D:$D,0)),"Continues")</f>
        <v>Merged</v>
      </c>
      <c r="K368" s="30">
        <f ca="1">IF($J368="Continues",DATEDIF($B368,TODAY(),"Y"),INDEX('Lopettaneet 2013-&gt;'!$L:$L,MATCH($D368,'Lopettaneet 2013-&gt;'!$D:$D,0)))</f>
        <v>2</v>
      </c>
      <c r="L368" s="31" t="str">
        <f>IFERROR(INDEX('[1]30.06.2024'!$H:$H,MATCH($E368,'[1]30.06.2024'!$B:$B,0)),"Not found")</f>
        <v>Not found</v>
      </c>
      <c r="M368" s="31" t="str">
        <f>IFERROR(INDEX([2]Sheet1!$B:$B,MATCH($D368,[2]Sheet1!$A:$A,0)),"Not found")</f>
        <v>Not found</v>
      </c>
      <c r="N368">
        <f t="shared" si="10"/>
        <v>0</v>
      </c>
      <c r="O368">
        <f t="shared" si="11"/>
        <v>0</v>
      </c>
    </row>
    <row r="369" spans="1:15" x14ac:dyDescent="0.25">
      <c r="A369" t="s">
        <v>0</v>
      </c>
      <c r="B369" s="1">
        <v>42309</v>
      </c>
      <c r="C369" s="1">
        <v>55153</v>
      </c>
      <c r="D369" s="4" t="s">
        <v>955</v>
      </c>
      <c r="E369" s="32" t="s">
        <v>956</v>
      </c>
      <c r="F369" s="32">
        <v>27148398</v>
      </c>
      <c r="G369" t="s">
        <v>3</v>
      </c>
      <c r="H369" t="s">
        <v>4</v>
      </c>
      <c r="I369" t="s">
        <v>20</v>
      </c>
      <c r="J369" s="30" t="str">
        <f>IF(ISNUMBER(MATCH($D369,'Lopettaneet 2013-&gt;'!$D:$D,0)),INDEX('Lopettaneet 2013-&gt;'!$K:$K,MATCH($D369,'Lopettaneet 2013-&gt;'!$D:$D,0)),"Continues")</f>
        <v>Continues</v>
      </c>
      <c r="K369" s="30">
        <f ca="1">IF($J369="Continues",DATEDIF($B369,TODAY(),"Y"),INDEX('Lopettaneet 2013-&gt;'!$L:$L,MATCH($D369,'Lopettaneet 2013-&gt;'!$D:$D,0)))</f>
        <v>9</v>
      </c>
      <c r="L369" s="31" t="str">
        <f>IFERROR(INDEX('[1]30.06.2024'!$H:$H,MATCH($E369,'[1]30.06.2024'!$B:$B,0)),"Not found")</f>
        <v>Not found</v>
      </c>
      <c r="M369" s="31" t="str">
        <f>IFERROR(INDEX([2]Sheet1!$B:$B,MATCH($D369,[2]Sheet1!$A:$A,0)),"Not found")</f>
        <v>Retail</v>
      </c>
      <c r="N369">
        <f t="shared" si="10"/>
        <v>1</v>
      </c>
      <c r="O369">
        <f t="shared" si="11"/>
        <v>0</v>
      </c>
    </row>
    <row r="370" spans="1:15" x14ac:dyDescent="0.25">
      <c r="A370" t="s">
        <v>7</v>
      </c>
      <c r="B370" s="1">
        <v>42278</v>
      </c>
      <c r="C370" s="1">
        <v>55153</v>
      </c>
      <c r="D370" s="4" t="s">
        <v>957</v>
      </c>
      <c r="E370" s="32" t="s">
        <v>958</v>
      </c>
      <c r="F370" s="32">
        <v>26904753</v>
      </c>
      <c r="G370" t="s">
        <v>10</v>
      </c>
      <c r="H370" t="s">
        <v>11</v>
      </c>
      <c r="I370" t="s">
        <v>32</v>
      </c>
      <c r="J370" s="30" t="str">
        <f>IF(ISNUMBER(MATCH($D370,'Lopettaneet 2013-&gt;'!$D:$D,0)),INDEX('Lopettaneet 2013-&gt;'!$K:$K,MATCH($D370,'Lopettaneet 2013-&gt;'!$D:$D,0)),"Continues")</f>
        <v>Continues</v>
      </c>
      <c r="K370" s="30">
        <f ca="1">IF($J370="Continues",DATEDIF($B370,TODAY(),"Y"),INDEX('Lopettaneet 2013-&gt;'!$L:$L,MATCH($D370,'Lopettaneet 2013-&gt;'!$D:$D,0)))</f>
        <v>9</v>
      </c>
      <c r="L370" s="31" t="str">
        <f>IFERROR(INDEX('[1]30.06.2024'!$H:$H,MATCH($E370,'[1]30.06.2024'!$B:$B,0)),"Not found")</f>
        <v>Evli-Rahastoyhtiö Oy</v>
      </c>
      <c r="M370" s="31" t="str">
        <f>IFERROR(INDEX([2]Sheet1!$B:$B,MATCH($D370,[2]Sheet1!$A:$A,0)),"Not found")</f>
        <v>Non-Retail</v>
      </c>
      <c r="N370">
        <f t="shared" si="10"/>
        <v>0</v>
      </c>
      <c r="O370">
        <f t="shared" si="11"/>
        <v>1</v>
      </c>
    </row>
    <row r="371" spans="1:15" x14ac:dyDescent="0.25">
      <c r="A371" t="s">
        <v>7</v>
      </c>
      <c r="B371" s="1">
        <v>42278</v>
      </c>
      <c r="C371" s="1">
        <v>55153</v>
      </c>
      <c r="D371" s="4" t="s">
        <v>959</v>
      </c>
      <c r="E371" s="32" t="s">
        <v>960</v>
      </c>
      <c r="F371" s="32">
        <v>27013303</v>
      </c>
      <c r="G371" t="s">
        <v>10</v>
      </c>
      <c r="H371" t="s">
        <v>11</v>
      </c>
      <c r="I371" t="s">
        <v>32</v>
      </c>
      <c r="J371" s="30" t="str">
        <f>IF(ISNUMBER(MATCH($D371,'Lopettaneet 2013-&gt;'!$D:$D,0)),INDEX('Lopettaneet 2013-&gt;'!$K:$K,MATCH($D371,'Lopettaneet 2013-&gt;'!$D:$D,0)),"Continues")</f>
        <v>Continues</v>
      </c>
      <c r="K371" s="30">
        <f ca="1">IF($J371="Continues",DATEDIF($B371,TODAY(),"Y"),INDEX('Lopettaneet 2013-&gt;'!$L:$L,MATCH($D371,'Lopettaneet 2013-&gt;'!$D:$D,0)))</f>
        <v>9</v>
      </c>
      <c r="L371" s="31" t="str">
        <f>IFERROR(INDEX('[1]30.06.2024'!$H:$H,MATCH($E371,'[1]30.06.2024'!$B:$B,0)),"Not found")</f>
        <v>Evli-Rahastoyhtiö Oy</v>
      </c>
      <c r="M371" s="31" t="str">
        <f>IFERROR(INDEX([2]Sheet1!$B:$B,MATCH($D371,[2]Sheet1!$A:$A,0)),"Not found")</f>
        <v>Non-Retail</v>
      </c>
      <c r="N371">
        <f t="shared" si="10"/>
        <v>0</v>
      </c>
      <c r="O371">
        <f t="shared" si="11"/>
        <v>1</v>
      </c>
    </row>
    <row r="372" spans="1:15" x14ac:dyDescent="0.25">
      <c r="A372" t="s">
        <v>7</v>
      </c>
      <c r="B372" s="1">
        <v>42278</v>
      </c>
      <c r="C372" s="1">
        <v>55153</v>
      </c>
      <c r="D372" s="4" t="s">
        <v>961</v>
      </c>
      <c r="E372" s="32" t="s">
        <v>962</v>
      </c>
      <c r="F372" s="32">
        <v>27336794</v>
      </c>
      <c r="G372" t="s">
        <v>10</v>
      </c>
      <c r="H372" t="s">
        <v>11</v>
      </c>
      <c r="I372" t="s">
        <v>12</v>
      </c>
      <c r="J372" s="30" t="str">
        <f>IF(ISNUMBER(MATCH($D372,'Lopettaneet 2013-&gt;'!$D:$D,0)),INDEX('Lopettaneet 2013-&gt;'!$K:$K,MATCH($D372,'Lopettaneet 2013-&gt;'!$D:$D,0)),"Continues")</f>
        <v>Continues</v>
      </c>
      <c r="K372" s="30">
        <f ca="1">IF($J372="Continues",DATEDIF($B372,TODAY(),"Y"),INDEX('Lopettaneet 2013-&gt;'!$L:$L,MATCH($D372,'Lopettaneet 2013-&gt;'!$D:$D,0)))</f>
        <v>9</v>
      </c>
      <c r="L372" s="31" t="str">
        <f>IFERROR(INDEX('[1]30.06.2024'!$H:$H,MATCH($E372,'[1]30.06.2024'!$B:$B,0)),"Not found")</f>
        <v>MB Partners V Oy</v>
      </c>
      <c r="M372" s="31" t="str">
        <f>IFERROR(INDEX([2]Sheet1!$B:$B,MATCH($D372,[2]Sheet1!$A:$A,0)),"Not found")</f>
        <v>Non-Retail</v>
      </c>
      <c r="N372">
        <f t="shared" si="10"/>
        <v>0</v>
      </c>
      <c r="O372">
        <f t="shared" si="11"/>
        <v>1</v>
      </c>
    </row>
    <row r="373" spans="1:15" x14ac:dyDescent="0.25">
      <c r="A373" t="s">
        <v>7</v>
      </c>
      <c r="B373" s="1">
        <v>42278</v>
      </c>
      <c r="C373" s="1">
        <v>55153</v>
      </c>
      <c r="D373" s="4" t="s">
        <v>963</v>
      </c>
      <c r="E373" s="32" t="s">
        <v>964</v>
      </c>
      <c r="F373" s="32">
        <v>27254334</v>
      </c>
      <c r="G373" t="s">
        <v>10</v>
      </c>
      <c r="H373" t="s">
        <v>11</v>
      </c>
      <c r="I373" t="s">
        <v>80</v>
      </c>
      <c r="J373" s="30" t="str">
        <f>IF(ISNUMBER(MATCH($D373,'Lopettaneet 2013-&gt;'!$D:$D,0)),INDEX('Lopettaneet 2013-&gt;'!$K:$K,MATCH($D373,'Lopettaneet 2013-&gt;'!$D:$D,0)),"Continues")</f>
        <v>Continues</v>
      </c>
      <c r="K373" s="30">
        <f ca="1">IF($J373="Continues",DATEDIF($B373,TODAY(),"Y"),INDEX('Lopettaneet 2013-&gt;'!$L:$L,MATCH($D373,'Lopettaneet 2013-&gt;'!$D:$D,0)))</f>
        <v>9</v>
      </c>
      <c r="L373" s="31" t="str">
        <f>IFERROR(INDEX('[1]30.06.2024'!$H:$H,MATCH($E373,'[1]30.06.2024'!$B:$B,0)),"Not found")</f>
        <v>Superhero Capital Oy</v>
      </c>
      <c r="M373" s="31" t="str">
        <f>IFERROR(INDEX([2]Sheet1!$B:$B,MATCH($D373,[2]Sheet1!$A:$A,0)),"Not found")</f>
        <v>Non-Retail</v>
      </c>
      <c r="N373">
        <f t="shared" si="10"/>
        <v>0</v>
      </c>
      <c r="O373">
        <f t="shared" si="11"/>
        <v>1</v>
      </c>
    </row>
    <row r="374" spans="1:15" x14ac:dyDescent="0.25">
      <c r="A374" t="s">
        <v>7</v>
      </c>
      <c r="B374" s="1">
        <v>42278</v>
      </c>
      <c r="C374" s="1">
        <v>55153</v>
      </c>
      <c r="D374" s="4" t="s">
        <v>965</v>
      </c>
      <c r="E374" s="32" t="s">
        <v>966</v>
      </c>
      <c r="F374" s="32">
        <v>27342107</v>
      </c>
      <c r="G374" t="s">
        <v>10</v>
      </c>
      <c r="H374" t="s">
        <v>11</v>
      </c>
      <c r="I374" t="s">
        <v>32</v>
      </c>
      <c r="J374" s="30" t="str">
        <f>IF(ISNUMBER(MATCH($D374,'Lopettaneet 2013-&gt;'!$D:$D,0)),INDEX('Lopettaneet 2013-&gt;'!$K:$K,MATCH($D374,'Lopettaneet 2013-&gt;'!$D:$D,0)),"Continues")</f>
        <v>Continues</v>
      </c>
      <c r="K374" s="30">
        <f ca="1">IF($J374="Continues",DATEDIF($B374,TODAY(),"Y"),INDEX('Lopettaneet 2013-&gt;'!$L:$L,MATCH($D374,'Lopettaneet 2013-&gt;'!$D:$D,0)))</f>
        <v>9</v>
      </c>
      <c r="L374" s="31" t="str">
        <f>IFERROR(INDEX('[1]30.06.2024'!$H:$H,MATCH($E374,'[1]30.06.2024'!$B:$B,0)),"Not found")</f>
        <v>Avara Rahastot Oy</v>
      </c>
      <c r="M374" s="31" t="str">
        <f>IFERROR(INDEX([2]Sheet1!$B:$B,MATCH($D374,[2]Sheet1!$A:$A,0)),"Not found")</f>
        <v>Non-Retail</v>
      </c>
      <c r="N374">
        <f t="shared" si="10"/>
        <v>0</v>
      </c>
      <c r="O374">
        <f t="shared" si="11"/>
        <v>1</v>
      </c>
    </row>
    <row r="375" spans="1:15" x14ac:dyDescent="0.25">
      <c r="A375" t="s">
        <v>7</v>
      </c>
      <c r="B375" s="1">
        <v>42248</v>
      </c>
      <c r="C375" s="1">
        <v>44742</v>
      </c>
      <c r="D375" s="4" t="s">
        <v>967</v>
      </c>
      <c r="E375" s="32" t="s">
        <v>968</v>
      </c>
      <c r="F375" s="32">
        <v>27117241</v>
      </c>
      <c r="G375" t="s">
        <v>10</v>
      </c>
      <c r="H375" t="s">
        <v>11</v>
      </c>
      <c r="I375" t="s">
        <v>12</v>
      </c>
      <c r="J375" s="30" t="str">
        <f>IF(ISNUMBER(MATCH($D375,'Lopettaneet 2013-&gt;'!$D:$D,0)),INDEX('Lopettaneet 2013-&gt;'!$K:$K,MATCH($D375,'Lopettaneet 2013-&gt;'!$D:$D,0)),"Continues")</f>
        <v>Closed</v>
      </c>
      <c r="K375" s="30">
        <f ca="1">IF($J375="Continues",DATEDIF($B375,TODAY(),"Y"),INDEX('Lopettaneet 2013-&gt;'!$L:$L,MATCH($D375,'Lopettaneet 2013-&gt;'!$D:$D,0)))</f>
        <v>6</v>
      </c>
      <c r="L375" s="31" t="str">
        <f>IFERROR(INDEX('[1]30.06.2024'!$H:$H,MATCH($E375,'[1]30.06.2024'!$B:$B,0)),"Not found")</f>
        <v>Not found</v>
      </c>
      <c r="M375" s="31" t="str">
        <f>IFERROR(INDEX([2]Sheet1!$B:$B,MATCH($D375,[2]Sheet1!$A:$A,0)),"Not found")</f>
        <v>Not found</v>
      </c>
      <c r="N375">
        <f t="shared" si="10"/>
        <v>0</v>
      </c>
      <c r="O375">
        <f t="shared" si="11"/>
        <v>0</v>
      </c>
    </row>
    <row r="376" spans="1:15" x14ac:dyDescent="0.25">
      <c r="A376" t="s">
        <v>0</v>
      </c>
      <c r="B376" s="1">
        <v>42339</v>
      </c>
      <c r="C376" s="1">
        <v>55153</v>
      </c>
      <c r="D376" s="4" t="s">
        <v>969</v>
      </c>
      <c r="E376" s="32" t="s">
        <v>970</v>
      </c>
      <c r="F376" s="32">
        <v>27129488</v>
      </c>
      <c r="G376" t="s">
        <v>10</v>
      </c>
      <c r="H376" t="s">
        <v>4</v>
      </c>
      <c r="I376" t="s">
        <v>29</v>
      </c>
      <c r="J376" s="30" t="str">
        <f>IF(ISNUMBER(MATCH($D376,'Lopettaneet 2013-&gt;'!$D:$D,0)),INDEX('Lopettaneet 2013-&gt;'!$K:$K,MATCH($D376,'Lopettaneet 2013-&gt;'!$D:$D,0)),"Continues")</f>
        <v>Continues</v>
      </c>
      <c r="K376" s="30">
        <f ca="1">IF($J376="Continues",DATEDIF($B376,TODAY(),"Y"),INDEX('Lopettaneet 2013-&gt;'!$L:$L,MATCH($D376,'Lopettaneet 2013-&gt;'!$D:$D,0)))</f>
        <v>9</v>
      </c>
      <c r="L376" s="31" t="str">
        <f>IFERROR(INDEX('[1]30.06.2024'!$H:$H,MATCH($E376,'[1]30.06.2024'!$B:$B,0)),"Not found")</f>
        <v>UB Rahastoyhtiö Oy</v>
      </c>
      <c r="M376" s="31" t="str">
        <f>IFERROR(INDEX([2]Sheet1!$B:$B,MATCH($D376,[2]Sheet1!$A:$A,0)),"Not found")</f>
        <v>Retail</v>
      </c>
      <c r="N376">
        <f t="shared" si="10"/>
        <v>1</v>
      </c>
      <c r="O376">
        <f t="shared" si="11"/>
        <v>0</v>
      </c>
    </row>
    <row r="377" spans="1:15" x14ac:dyDescent="0.25">
      <c r="A377" t="s">
        <v>0</v>
      </c>
      <c r="B377" s="1">
        <v>42309</v>
      </c>
      <c r="C377" s="1">
        <v>55153</v>
      </c>
      <c r="D377" s="4" t="s">
        <v>971</v>
      </c>
      <c r="E377" s="32" t="s">
        <v>972</v>
      </c>
      <c r="F377" s="32">
        <v>27155192</v>
      </c>
      <c r="G377" t="s">
        <v>3</v>
      </c>
      <c r="H377" t="s">
        <v>4</v>
      </c>
      <c r="I377" t="s">
        <v>20</v>
      </c>
      <c r="J377" s="30" t="str">
        <f>IF(ISNUMBER(MATCH($D377,'Lopettaneet 2013-&gt;'!$D:$D,0)),INDEX('Lopettaneet 2013-&gt;'!$K:$K,MATCH($D377,'Lopettaneet 2013-&gt;'!$D:$D,0)),"Continues")</f>
        <v>Closed</v>
      </c>
      <c r="K377" s="30">
        <f ca="1">IF($J377="Continues",DATEDIF($B377,TODAY(),"Y"),INDEX('Lopettaneet 2013-&gt;'!$L:$L,MATCH($D377,'Lopettaneet 2013-&gt;'!$D:$D,0)))</f>
        <v>7</v>
      </c>
      <c r="L377" s="31" t="str">
        <f>IFERROR(INDEX('[1]30.06.2024'!$H:$H,MATCH($E377,'[1]30.06.2024'!$B:$B,0)),"Not found")</f>
        <v>OP-Rahastoyhtiö Oy</v>
      </c>
      <c r="M377" s="31" t="str">
        <f>IFERROR(INDEX([2]Sheet1!$B:$B,MATCH($D377,[2]Sheet1!$A:$A,0)),"Not found")</f>
        <v>Retail</v>
      </c>
      <c r="N377">
        <f t="shared" si="10"/>
        <v>1</v>
      </c>
      <c r="O377">
        <f t="shared" si="11"/>
        <v>0</v>
      </c>
    </row>
    <row r="378" spans="1:15" x14ac:dyDescent="0.25">
      <c r="A378" t="s">
        <v>7</v>
      </c>
      <c r="B378" s="1">
        <v>42339</v>
      </c>
      <c r="C378" s="1">
        <v>55153</v>
      </c>
      <c r="D378" s="4" t="s">
        <v>973</v>
      </c>
      <c r="E378" s="32" t="s">
        <v>974</v>
      </c>
      <c r="F378" s="32">
        <v>26794785</v>
      </c>
      <c r="G378" t="s">
        <v>10</v>
      </c>
      <c r="H378" t="s">
        <v>11</v>
      </c>
      <c r="I378" t="s">
        <v>29</v>
      </c>
      <c r="J378" s="30" t="str">
        <f>IF(ISNUMBER(MATCH($D378,'Lopettaneet 2013-&gt;'!$D:$D,0)),INDEX('Lopettaneet 2013-&gt;'!$K:$K,MATCH($D378,'Lopettaneet 2013-&gt;'!$D:$D,0)),"Continues")</f>
        <v>Continues</v>
      </c>
      <c r="K378" s="30">
        <f ca="1">IF($J378="Continues",DATEDIF($B378,TODAY(),"Y"),INDEX('Lopettaneet 2013-&gt;'!$L:$L,MATCH($D378,'Lopettaneet 2013-&gt;'!$D:$D,0)))</f>
        <v>9</v>
      </c>
      <c r="L378" s="31" t="str">
        <f>IFERROR(INDEX('[1]30.06.2024'!$H:$H,MATCH($E378,'[1]30.06.2024'!$B:$B,0)),"Not found")</f>
        <v>Nest Capital 2015 GP Oy</v>
      </c>
      <c r="M378" s="31" t="str">
        <f>IFERROR(INDEX([2]Sheet1!$B:$B,MATCH($D378,[2]Sheet1!$A:$A,0)),"Not found")</f>
        <v>Non-Retail</v>
      </c>
      <c r="N378">
        <f t="shared" si="10"/>
        <v>0</v>
      </c>
      <c r="O378">
        <f t="shared" si="11"/>
        <v>1</v>
      </c>
    </row>
    <row r="379" spans="1:15" x14ac:dyDescent="0.25">
      <c r="A379" t="s">
        <v>0</v>
      </c>
      <c r="B379" s="1">
        <v>42644</v>
      </c>
      <c r="C379" s="1">
        <v>55153</v>
      </c>
      <c r="D379" s="4" t="s">
        <v>975</v>
      </c>
      <c r="E379" s="32" t="s">
        <v>976</v>
      </c>
      <c r="F379" s="32">
        <v>27720219</v>
      </c>
      <c r="G379" t="s">
        <v>10</v>
      </c>
      <c r="H379" t="s">
        <v>4</v>
      </c>
      <c r="I379" t="s">
        <v>32</v>
      </c>
      <c r="J379" s="30" t="str">
        <f>IF(ISNUMBER(MATCH($D379,'Lopettaneet 2013-&gt;'!$D:$D,0)),INDEX('Lopettaneet 2013-&gt;'!$K:$K,MATCH($D379,'Lopettaneet 2013-&gt;'!$D:$D,0)),"Continues")</f>
        <v>Continues</v>
      </c>
      <c r="K379" s="30">
        <f ca="1">IF($J379="Continues",DATEDIF($B379,TODAY(),"Y"),INDEX('Lopettaneet 2013-&gt;'!$L:$L,MATCH($D379,'Lopettaneet 2013-&gt;'!$D:$D,0)))</f>
        <v>8</v>
      </c>
      <c r="L379" s="31" t="str">
        <f>IFERROR(INDEX('[1]30.06.2024'!$H:$H,MATCH($E379,'[1]30.06.2024'!$B:$B,0)),"Not found")</f>
        <v>Evli-Rahastoyhtiö Oy</v>
      </c>
      <c r="M379" s="31" t="str">
        <f>IFERROR(INDEX([2]Sheet1!$B:$B,MATCH($D379,[2]Sheet1!$A:$A,0)),"Not found")</f>
        <v>Retail</v>
      </c>
      <c r="N379">
        <f t="shared" si="10"/>
        <v>1</v>
      </c>
      <c r="O379">
        <f t="shared" si="11"/>
        <v>0</v>
      </c>
    </row>
    <row r="380" spans="1:15" x14ac:dyDescent="0.25">
      <c r="A380" t="s">
        <v>0</v>
      </c>
      <c r="B380" s="1">
        <v>42278</v>
      </c>
      <c r="C380" s="1">
        <v>55153</v>
      </c>
      <c r="D380" s="4" t="s">
        <v>977</v>
      </c>
      <c r="E380" s="32" t="s">
        <v>978</v>
      </c>
      <c r="F380" s="32">
        <v>26638678</v>
      </c>
      <c r="G380" t="s">
        <v>3</v>
      </c>
      <c r="H380" t="s">
        <v>4</v>
      </c>
      <c r="I380" t="s">
        <v>50</v>
      </c>
      <c r="J380" s="30" t="str">
        <f>IF(ISNUMBER(MATCH($D380,'Lopettaneet 2013-&gt;'!$D:$D,0)),INDEX('Lopettaneet 2013-&gt;'!$K:$K,MATCH($D380,'Lopettaneet 2013-&gt;'!$D:$D,0)),"Continues")</f>
        <v>Continues</v>
      </c>
      <c r="K380" s="30">
        <f ca="1">IF($J380="Continues",DATEDIF($B380,TODAY(),"Y"),INDEX('Lopettaneet 2013-&gt;'!$L:$L,MATCH($D380,'Lopettaneet 2013-&gt;'!$D:$D,0)))</f>
        <v>9</v>
      </c>
      <c r="L380" s="31" t="str">
        <f>IFERROR(INDEX('[1]30.06.2024'!$H:$H,MATCH($E380,'[1]30.06.2024'!$B:$B,0)),"Not found")</f>
        <v>UB Rahastoyhtiö Oy</v>
      </c>
      <c r="M380" s="31" t="str">
        <f>IFERROR(INDEX([2]Sheet1!$B:$B,MATCH($D380,[2]Sheet1!$A:$A,0)),"Not found")</f>
        <v>Retail</v>
      </c>
      <c r="N380">
        <f t="shared" si="10"/>
        <v>1</v>
      </c>
      <c r="O380">
        <f t="shared" si="11"/>
        <v>0</v>
      </c>
    </row>
    <row r="381" spans="1:15" x14ac:dyDescent="0.25">
      <c r="A381" t="s">
        <v>0</v>
      </c>
      <c r="B381" s="1">
        <v>42309</v>
      </c>
      <c r="C381" s="1">
        <v>55153</v>
      </c>
      <c r="D381" s="4" t="s">
        <v>979</v>
      </c>
      <c r="E381" s="32" t="s">
        <v>980</v>
      </c>
      <c r="F381" s="32">
        <v>27141292</v>
      </c>
      <c r="G381" t="s">
        <v>10</v>
      </c>
      <c r="H381" t="s">
        <v>4</v>
      </c>
      <c r="I381" t="s">
        <v>20</v>
      </c>
      <c r="J381" s="30" t="str">
        <f>IF(ISNUMBER(MATCH($D381,'Lopettaneet 2013-&gt;'!$D:$D,0)),INDEX('Lopettaneet 2013-&gt;'!$K:$K,MATCH($D381,'Lopettaneet 2013-&gt;'!$D:$D,0)),"Continues")</f>
        <v>Continues</v>
      </c>
      <c r="K381" s="30">
        <f ca="1">IF($J381="Continues",DATEDIF($B381,TODAY(),"Y"),INDEX('Lopettaneet 2013-&gt;'!$L:$L,MATCH($D381,'Lopettaneet 2013-&gt;'!$D:$D,0)))</f>
        <v>9</v>
      </c>
      <c r="L381" s="31" t="str">
        <f>IFERROR(INDEX('[1]30.06.2024'!$H:$H,MATCH($E381,'[1]30.06.2024'!$B:$B,0)),"Not found")</f>
        <v>Aktia Rahastoyhtiö Oy</v>
      </c>
      <c r="M381" s="31" t="str">
        <f>IFERROR(INDEX([2]Sheet1!$B:$B,MATCH($D381,[2]Sheet1!$A:$A,0)),"Not found")</f>
        <v>Retail</v>
      </c>
      <c r="N381">
        <f t="shared" si="10"/>
        <v>1</v>
      </c>
      <c r="O381">
        <f t="shared" si="11"/>
        <v>0</v>
      </c>
    </row>
    <row r="382" spans="1:15" x14ac:dyDescent="0.25">
      <c r="A382" t="s">
        <v>7</v>
      </c>
      <c r="B382" s="1">
        <v>42278</v>
      </c>
      <c r="C382" s="1">
        <v>43830</v>
      </c>
      <c r="D382" s="4" t="s">
        <v>981</v>
      </c>
      <c r="E382" s="32" t="s">
        <v>982</v>
      </c>
      <c r="F382" s="32">
        <v>26570757</v>
      </c>
      <c r="G382" t="s">
        <v>10</v>
      </c>
      <c r="H382" t="s">
        <v>11</v>
      </c>
      <c r="I382" t="s">
        <v>32</v>
      </c>
      <c r="J382" s="30" t="str">
        <f>IF(ISNUMBER(MATCH($D382,'Lopettaneet 2013-&gt;'!$D:$D,0)),INDEX('Lopettaneet 2013-&gt;'!$K:$K,MATCH($D382,'Lopettaneet 2013-&gt;'!$D:$D,0)),"Continues")</f>
        <v>Closed</v>
      </c>
      <c r="K382" s="30">
        <f ca="1">IF($J382="Continues",DATEDIF($B382,TODAY(),"Y"),INDEX('Lopettaneet 2013-&gt;'!$L:$L,MATCH($D382,'Lopettaneet 2013-&gt;'!$D:$D,0)))</f>
        <v>4</v>
      </c>
      <c r="L382" s="31" t="str">
        <f>IFERROR(INDEX('[1]30.06.2024'!$H:$H,MATCH($E382,'[1]30.06.2024'!$B:$B,0)),"Not found")</f>
        <v>Not found</v>
      </c>
      <c r="M382" s="31" t="str">
        <f>IFERROR(INDEX([2]Sheet1!$B:$B,MATCH($D382,[2]Sheet1!$A:$A,0)),"Not found")</f>
        <v>Not found</v>
      </c>
      <c r="N382">
        <f t="shared" si="10"/>
        <v>0</v>
      </c>
      <c r="O382">
        <f t="shared" si="11"/>
        <v>0</v>
      </c>
    </row>
    <row r="383" spans="1:15" x14ac:dyDescent="0.25">
      <c r="A383" t="s">
        <v>7</v>
      </c>
      <c r="B383" s="1">
        <v>42278</v>
      </c>
      <c r="C383" s="1">
        <v>44742</v>
      </c>
      <c r="D383" s="4" t="s">
        <v>983</v>
      </c>
      <c r="E383" s="32" t="s">
        <v>984</v>
      </c>
      <c r="F383" s="32" t="s">
        <v>14</v>
      </c>
      <c r="G383" t="s">
        <v>10</v>
      </c>
      <c r="H383" t="s">
        <v>11</v>
      </c>
      <c r="I383" t="s">
        <v>12</v>
      </c>
      <c r="J383" s="30" t="str">
        <f>IF(ISNUMBER(MATCH($D383,'Lopettaneet 2013-&gt;'!$D:$D,0)),INDEX('Lopettaneet 2013-&gt;'!$K:$K,MATCH($D383,'Lopettaneet 2013-&gt;'!$D:$D,0)),"Continues")</f>
        <v>Closed</v>
      </c>
      <c r="K383" s="30">
        <f ca="1">IF($J383="Continues",DATEDIF($B383,TODAY(),"Y"),INDEX('Lopettaneet 2013-&gt;'!$L:$L,MATCH($D383,'Lopettaneet 2013-&gt;'!$D:$D,0)))</f>
        <v>6</v>
      </c>
      <c r="L383" s="31" t="str">
        <f>IFERROR(INDEX('[1]30.06.2024'!$H:$H,MATCH($E383,'[1]30.06.2024'!$B:$B,0)),"Not found")</f>
        <v>Not found</v>
      </c>
      <c r="M383" s="31" t="str">
        <f>IFERROR(INDEX([2]Sheet1!$B:$B,MATCH($D383,[2]Sheet1!$A:$A,0)),"Not found")</f>
        <v>Not found</v>
      </c>
      <c r="N383">
        <f t="shared" si="10"/>
        <v>0</v>
      </c>
      <c r="O383">
        <f t="shared" si="11"/>
        <v>0</v>
      </c>
    </row>
    <row r="384" spans="1:15" x14ac:dyDescent="0.25">
      <c r="A384" t="s">
        <v>7</v>
      </c>
      <c r="B384" s="1">
        <v>42278</v>
      </c>
      <c r="C384" s="1">
        <v>55153</v>
      </c>
      <c r="D384" s="4" t="s">
        <v>985</v>
      </c>
      <c r="E384" s="32" t="s">
        <v>986</v>
      </c>
      <c r="F384" s="32">
        <v>27288753</v>
      </c>
      <c r="G384" t="s">
        <v>10</v>
      </c>
      <c r="H384" t="s">
        <v>11</v>
      </c>
      <c r="I384" t="s">
        <v>29</v>
      </c>
      <c r="J384" s="30" t="str">
        <f>IF(ISNUMBER(MATCH($D384,'Lopettaneet 2013-&gt;'!$D:$D,0)),INDEX('Lopettaneet 2013-&gt;'!$K:$K,MATCH($D384,'Lopettaneet 2013-&gt;'!$D:$D,0)),"Continues")</f>
        <v>Continues</v>
      </c>
      <c r="K384" s="30">
        <f ca="1">IF($J384="Continues",DATEDIF($B384,TODAY(),"Y"),INDEX('Lopettaneet 2013-&gt;'!$L:$L,MATCH($D384,'Lopettaneet 2013-&gt;'!$D:$D,0)))</f>
        <v>9</v>
      </c>
      <c r="L384" s="31" t="str">
        <f>IFERROR(INDEX('[1]30.06.2024'!$H:$H,MATCH($E384,'[1]30.06.2024'!$B:$B,0)),"Not found")</f>
        <v>Certior Capital Oy</v>
      </c>
      <c r="M384" s="31" t="str">
        <f>IFERROR(INDEX([2]Sheet1!$B:$B,MATCH($D384,[2]Sheet1!$A:$A,0)),"Not found")</f>
        <v>Non-Retail</v>
      </c>
      <c r="N384">
        <f t="shared" si="10"/>
        <v>0</v>
      </c>
      <c r="O384">
        <f t="shared" si="11"/>
        <v>1</v>
      </c>
    </row>
    <row r="385" spans="1:15" x14ac:dyDescent="0.25">
      <c r="A385" t="s">
        <v>7</v>
      </c>
      <c r="B385" s="1">
        <v>42370</v>
      </c>
      <c r="C385" s="1">
        <v>55153</v>
      </c>
      <c r="D385" s="4" t="s">
        <v>987</v>
      </c>
      <c r="E385" s="32" t="s">
        <v>988</v>
      </c>
      <c r="F385" s="32">
        <v>27341235</v>
      </c>
      <c r="G385" t="s">
        <v>10</v>
      </c>
      <c r="H385" t="s">
        <v>11</v>
      </c>
      <c r="I385" t="s">
        <v>12</v>
      </c>
      <c r="J385" s="30" t="str">
        <f>IF(ISNUMBER(MATCH($D385,'Lopettaneet 2013-&gt;'!$D:$D,0)),INDEX('Lopettaneet 2013-&gt;'!$K:$K,MATCH($D385,'Lopettaneet 2013-&gt;'!$D:$D,0)),"Continues")</f>
        <v>Continues</v>
      </c>
      <c r="K385" s="30">
        <f ca="1">IF($J385="Continues",DATEDIF($B385,TODAY(),"Y"),INDEX('Lopettaneet 2013-&gt;'!$L:$L,MATCH($D385,'Lopettaneet 2013-&gt;'!$D:$D,0)))</f>
        <v>9</v>
      </c>
      <c r="L385" s="31" t="str">
        <f>IFERROR(INDEX('[1]30.06.2024'!$H:$H,MATCH($E385,'[1]30.06.2024'!$B:$B,0)),"Not found")</f>
        <v>eQ Rahastoyhtiö Oy</v>
      </c>
      <c r="M385" s="31" t="str">
        <f>IFERROR(INDEX([2]Sheet1!$B:$B,MATCH($D385,[2]Sheet1!$A:$A,0)),"Not found")</f>
        <v>Non-Retail</v>
      </c>
      <c r="N385">
        <f t="shared" si="10"/>
        <v>0</v>
      </c>
      <c r="O385">
        <f t="shared" si="11"/>
        <v>1</v>
      </c>
    </row>
    <row r="386" spans="1:15" x14ac:dyDescent="0.25">
      <c r="A386" t="s">
        <v>0</v>
      </c>
      <c r="B386" s="1">
        <v>42339</v>
      </c>
      <c r="C386" s="1">
        <v>55153</v>
      </c>
      <c r="D386" s="4" t="s">
        <v>989</v>
      </c>
      <c r="E386" s="32" t="s">
        <v>990</v>
      </c>
      <c r="F386" s="32">
        <v>27236195</v>
      </c>
      <c r="G386" t="s">
        <v>3</v>
      </c>
      <c r="H386" t="s">
        <v>4</v>
      </c>
      <c r="I386" t="s">
        <v>50</v>
      </c>
      <c r="J386" s="30" t="str">
        <f>IF(ISNUMBER(MATCH($D386,'Lopettaneet 2013-&gt;'!$D:$D,0)),INDEX('Lopettaneet 2013-&gt;'!$K:$K,MATCH($D386,'Lopettaneet 2013-&gt;'!$D:$D,0)),"Continues")</f>
        <v>Continues</v>
      </c>
      <c r="K386" s="30">
        <f ca="1">IF($J386="Continues",DATEDIF($B386,TODAY(),"Y"),INDEX('Lopettaneet 2013-&gt;'!$L:$L,MATCH($D386,'Lopettaneet 2013-&gt;'!$D:$D,0)))</f>
        <v>9</v>
      </c>
      <c r="L386" s="31" t="str">
        <f>IFERROR(INDEX('[1]30.06.2024'!$H:$H,MATCH($E386,'[1]30.06.2024'!$B:$B,0)),"Not found")</f>
        <v>Not found</v>
      </c>
      <c r="M386" s="31" t="str">
        <f>IFERROR(INDEX([2]Sheet1!$B:$B,MATCH($D386,[2]Sheet1!$A:$A,0)),"Not found")</f>
        <v>Retail</v>
      </c>
      <c r="N386">
        <f t="shared" si="10"/>
        <v>1</v>
      </c>
      <c r="O386">
        <f t="shared" si="11"/>
        <v>0</v>
      </c>
    </row>
    <row r="387" spans="1:15" x14ac:dyDescent="0.25">
      <c r="A387" t="s">
        <v>7</v>
      </c>
      <c r="B387" s="1">
        <v>42064</v>
      </c>
      <c r="C387" s="1">
        <v>43465</v>
      </c>
      <c r="D387" s="4" t="s">
        <v>991</v>
      </c>
      <c r="E387" s="32" t="s">
        <v>992</v>
      </c>
      <c r="F387" s="32">
        <v>25878223</v>
      </c>
      <c r="G387" t="s">
        <v>10</v>
      </c>
      <c r="H387" t="s">
        <v>11</v>
      </c>
      <c r="I387" t="s">
        <v>32</v>
      </c>
      <c r="J387" s="30" t="str">
        <f>IF(ISNUMBER(MATCH($D387,'Lopettaneet 2013-&gt;'!$D:$D,0)),INDEX('Lopettaneet 2013-&gt;'!$K:$K,MATCH($D387,'Lopettaneet 2013-&gt;'!$D:$D,0)),"Continues")</f>
        <v>Closed</v>
      </c>
      <c r="K387" s="30">
        <f ca="1">IF($J387="Continues",DATEDIF($B387,TODAY(),"Y"),INDEX('Lopettaneet 2013-&gt;'!$L:$L,MATCH($D387,'Lopettaneet 2013-&gt;'!$D:$D,0)))</f>
        <v>3</v>
      </c>
      <c r="L387" s="31" t="str">
        <f>IFERROR(INDEX('[1]30.06.2024'!$H:$H,MATCH($E387,'[1]30.06.2024'!$B:$B,0)),"Not found")</f>
        <v>Not found</v>
      </c>
      <c r="M387" s="31" t="str">
        <f>IFERROR(INDEX([2]Sheet1!$B:$B,MATCH($D387,[2]Sheet1!$A:$A,0)),"Not found")</f>
        <v>Not found</v>
      </c>
      <c r="N387">
        <f t="shared" ref="N387:N450" si="12">IF($M387="Retail",1,0)</f>
        <v>0</v>
      </c>
      <c r="O387">
        <f t="shared" ref="O387:O450" si="13">IF($M387="Non-Retail",1,0)</f>
        <v>0</v>
      </c>
    </row>
    <row r="388" spans="1:15" x14ac:dyDescent="0.25">
      <c r="A388" t="s">
        <v>7</v>
      </c>
      <c r="B388" s="1">
        <v>42795</v>
      </c>
      <c r="C388" s="1">
        <v>43465</v>
      </c>
      <c r="D388" s="4" t="s">
        <v>993</v>
      </c>
      <c r="E388" s="32" t="s">
        <v>994</v>
      </c>
      <c r="F388" s="32">
        <v>26066745</v>
      </c>
      <c r="G388" t="s">
        <v>10</v>
      </c>
      <c r="H388" t="s">
        <v>11</v>
      </c>
      <c r="I388" t="s">
        <v>32</v>
      </c>
      <c r="J388" s="30" t="str">
        <f>IF(ISNUMBER(MATCH($D388,'Lopettaneet 2013-&gt;'!$D:$D,0)),INDEX('Lopettaneet 2013-&gt;'!$K:$K,MATCH($D388,'Lopettaneet 2013-&gt;'!$D:$D,0)),"Continues")</f>
        <v>Closed</v>
      </c>
      <c r="K388" s="30">
        <f ca="1">IF($J388="Continues",DATEDIF($B388,TODAY(),"Y"),INDEX('Lopettaneet 2013-&gt;'!$L:$L,MATCH($D388,'Lopettaneet 2013-&gt;'!$D:$D,0)))</f>
        <v>1</v>
      </c>
      <c r="L388" s="31" t="str">
        <f>IFERROR(INDEX('[1]30.06.2024'!$H:$H,MATCH($E388,'[1]30.06.2024'!$B:$B,0)),"Not found")</f>
        <v>Not found</v>
      </c>
      <c r="M388" s="31" t="str">
        <f>IFERROR(INDEX([2]Sheet1!$B:$B,MATCH($D388,[2]Sheet1!$A:$A,0)),"Not found")</f>
        <v>Not found</v>
      </c>
      <c r="N388">
        <f t="shared" si="12"/>
        <v>0</v>
      </c>
      <c r="O388">
        <f t="shared" si="13"/>
        <v>0</v>
      </c>
    </row>
    <row r="389" spans="1:15" x14ac:dyDescent="0.25">
      <c r="A389" t="s">
        <v>0</v>
      </c>
      <c r="B389" s="1">
        <v>42339</v>
      </c>
      <c r="C389" s="1">
        <v>44074</v>
      </c>
      <c r="D389" s="4" t="s">
        <v>995</v>
      </c>
      <c r="E389" s="32" t="s">
        <v>996</v>
      </c>
      <c r="F389" s="32">
        <v>27155141</v>
      </c>
      <c r="G389" t="s">
        <v>10</v>
      </c>
      <c r="H389" t="s">
        <v>4</v>
      </c>
      <c r="I389" t="s">
        <v>5</v>
      </c>
      <c r="J389" s="30" t="str">
        <f>IF(ISNUMBER(MATCH($D389,'Lopettaneet 2013-&gt;'!$D:$D,0)),INDEX('Lopettaneet 2013-&gt;'!$K:$K,MATCH($D389,'Lopettaneet 2013-&gt;'!$D:$D,0)),"Continues")</f>
        <v>Merged</v>
      </c>
      <c r="K389" s="30">
        <f ca="1">IF($J389="Continues",DATEDIF($B389,TODAY(),"Y"),INDEX('Lopettaneet 2013-&gt;'!$L:$L,MATCH($D389,'Lopettaneet 2013-&gt;'!$D:$D,0)))</f>
        <v>4</v>
      </c>
      <c r="L389" s="31" t="str">
        <f>IFERROR(INDEX('[1]30.06.2024'!$H:$H,MATCH($E389,'[1]30.06.2024'!$B:$B,0)),"Not found")</f>
        <v>Not found</v>
      </c>
      <c r="M389" s="31" t="str">
        <f>IFERROR(INDEX([2]Sheet1!$B:$B,MATCH($D389,[2]Sheet1!$A:$A,0)),"Not found")</f>
        <v>Not found</v>
      </c>
      <c r="N389">
        <f t="shared" si="12"/>
        <v>0</v>
      </c>
      <c r="O389">
        <f t="shared" si="13"/>
        <v>0</v>
      </c>
    </row>
    <row r="390" spans="1:15" x14ac:dyDescent="0.25">
      <c r="A390" t="s">
        <v>0</v>
      </c>
      <c r="B390" s="1">
        <v>42339</v>
      </c>
      <c r="C390" s="1">
        <v>44074</v>
      </c>
      <c r="D390" s="4" t="s">
        <v>997</v>
      </c>
      <c r="E390" s="32" t="s">
        <v>998</v>
      </c>
      <c r="F390" s="32">
        <v>27155678</v>
      </c>
      <c r="G390" t="s">
        <v>10</v>
      </c>
      <c r="H390" t="s">
        <v>4</v>
      </c>
      <c r="I390" t="s">
        <v>5</v>
      </c>
      <c r="J390" s="30" t="str">
        <f>IF(ISNUMBER(MATCH($D390,'Lopettaneet 2013-&gt;'!$D:$D,0)),INDEX('Lopettaneet 2013-&gt;'!$K:$K,MATCH($D390,'Lopettaneet 2013-&gt;'!$D:$D,0)),"Continues")</f>
        <v>Merged</v>
      </c>
      <c r="K390" s="30">
        <f ca="1">IF($J390="Continues",DATEDIF($B390,TODAY(),"Y"),INDEX('Lopettaneet 2013-&gt;'!$L:$L,MATCH($D390,'Lopettaneet 2013-&gt;'!$D:$D,0)))</f>
        <v>4</v>
      </c>
      <c r="L390" s="31" t="str">
        <f>IFERROR(INDEX('[1]30.06.2024'!$H:$H,MATCH($E390,'[1]30.06.2024'!$B:$B,0)),"Not found")</f>
        <v>Not found</v>
      </c>
      <c r="M390" s="31" t="str">
        <f>IFERROR(INDEX([2]Sheet1!$B:$B,MATCH($D390,[2]Sheet1!$A:$A,0)),"Not found")</f>
        <v>Not found</v>
      </c>
      <c r="N390">
        <f t="shared" si="12"/>
        <v>0</v>
      </c>
      <c r="O390">
        <f t="shared" si="13"/>
        <v>0</v>
      </c>
    </row>
    <row r="391" spans="1:15" x14ac:dyDescent="0.25">
      <c r="A391" t="s">
        <v>7</v>
      </c>
      <c r="B391" s="1">
        <v>42339</v>
      </c>
      <c r="C391" s="1">
        <v>55153</v>
      </c>
      <c r="D391" s="4" t="s">
        <v>999</v>
      </c>
      <c r="E391" s="32" t="s">
        <v>1000</v>
      </c>
      <c r="F391" s="32">
        <v>27713916</v>
      </c>
      <c r="G391" t="s">
        <v>10</v>
      </c>
      <c r="H391" t="s">
        <v>11</v>
      </c>
      <c r="I391" t="s">
        <v>32</v>
      </c>
      <c r="J391" s="30" t="str">
        <f>IF(ISNUMBER(MATCH($D391,'Lopettaneet 2013-&gt;'!$D:$D,0)),INDEX('Lopettaneet 2013-&gt;'!$K:$K,MATCH($D391,'Lopettaneet 2013-&gt;'!$D:$D,0)),"Continues")</f>
        <v>Continues</v>
      </c>
      <c r="K391" s="30">
        <f ca="1">IF($J391="Continues",DATEDIF($B391,TODAY(),"Y"),INDEX('Lopettaneet 2013-&gt;'!$L:$L,MATCH($D391,'Lopettaneet 2013-&gt;'!$D:$D,0)))</f>
        <v>9</v>
      </c>
      <c r="L391" s="31" t="str">
        <f>IFERROR(INDEX('[1]30.06.2024'!$H:$H,MATCH($E391,'[1]30.06.2024'!$B:$B,0)),"Not found")</f>
        <v>OP Kiinteistösijoitus Oy</v>
      </c>
      <c r="M391" s="31" t="str">
        <f>IFERROR(INDEX([2]Sheet1!$B:$B,MATCH($D391,[2]Sheet1!$A:$A,0)),"Not found")</f>
        <v>Non-Retail</v>
      </c>
      <c r="N391">
        <f t="shared" si="12"/>
        <v>0</v>
      </c>
      <c r="O391">
        <f t="shared" si="13"/>
        <v>1</v>
      </c>
    </row>
    <row r="392" spans="1:15" x14ac:dyDescent="0.25">
      <c r="A392" t="s">
        <v>7</v>
      </c>
      <c r="B392" s="1">
        <v>42339</v>
      </c>
      <c r="C392" s="1">
        <v>55153</v>
      </c>
      <c r="D392" s="4" t="s">
        <v>1001</v>
      </c>
      <c r="E392" s="32" t="s">
        <v>1002</v>
      </c>
      <c r="F392" s="32">
        <v>27313613</v>
      </c>
      <c r="G392" t="s">
        <v>10</v>
      </c>
      <c r="H392" t="s">
        <v>11</v>
      </c>
      <c r="I392" t="s">
        <v>32</v>
      </c>
      <c r="J392" s="30" t="str">
        <f>IF(ISNUMBER(MATCH($D392,'Lopettaneet 2013-&gt;'!$D:$D,0)),INDEX('Lopettaneet 2013-&gt;'!$K:$K,MATCH($D392,'Lopettaneet 2013-&gt;'!$D:$D,0)),"Continues")</f>
        <v>Continues</v>
      </c>
      <c r="K392" s="30">
        <f ca="1">IF($J392="Continues",DATEDIF($B392,TODAY(),"Y"),INDEX('Lopettaneet 2013-&gt;'!$L:$L,MATCH($D392,'Lopettaneet 2013-&gt;'!$D:$D,0)))</f>
        <v>9</v>
      </c>
      <c r="L392" s="31" t="str">
        <f>IFERROR(INDEX('[1]30.06.2024'!$H:$H,MATCH($E392,'[1]30.06.2024'!$B:$B,0)),"Not found")</f>
        <v>OP Kiinteistösijoitus Oy</v>
      </c>
      <c r="M392" s="31" t="str">
        <f>IFERROR(INDEX([2]Sheet1!$B:$B,MATCH($D392,[2]Sheet1!$A:$A,0)),"Not found")</f>
        <v>Non-Retail</v>
      </c>
      <c r="N392">
        <f t="shared" si="12"/>
        <v>0</v>
      </c>
      <c r="O392">
        <f t="shared" si="13"/>
        <v>1</v>
      </c>
    </row>
    <row r="393" spans="1:15" x14ac:dyDescent="0.25">
      <c r="A393" t="s">
        <v>0</v>
      </c>
      <c r="B393" s="1">
        <v>42370</v>
      </c>
      <c r="C393" s="1">
        <v>55153</v>
      </c>
      <c r="D393" s="4" t="s">
        <v>1003</v>
      </c>
      <c r="E393" s="32" t="s">
        <v>1004</v>
      </c>
      <c r="F393" s="32">
        <v>27335724</v>
      </c>
      <c r="G393" t="s">
        <v>3</v>
      </c>
      <c r="H393" t="s">
        <v>4</v>
      </c>
      <c r="I393" t="s">
        <v>20</v>
      </c>
      <c r="J393" s="30" t="str">
        <f>IF(ISNUMBER(MATCH($D393,'Lopettaneet 2013-&gt;'!$D:$D,0)),INDEX('Lopettaneet 2013-&gt;'!$K:$K,MATCH($D393,'Lopettaneet 2013-&gt;'!$D:$D,0)),"Continues")</f>
        <v>Continues</v>
      </c>
      <c r="K393" s="30">
        <f ca="1">IF($J393="Continues",DATEDIF($B393,TODAY(),"Y"),INDEX('Lopettaneet 2013-&gt;'!$L:$L,MATCH($D393,'Lopettaneet 2013-&gt;'!$D:$D,0)))</f>
        <v>9</v>
      </c>
      <c r="L393" s="31" t="str">
        <f>IFERROR(INDEX('[1]30.06.2024'!$H:$H,MATCH($E393,'[1]30.06.2024'!$B:$B,0)),"Not found")</f>
        <v>Evli-Rahastoyhtiö Oy</v>
      </c>
      <c r="M393" s="31" t="str">
        <f>IFERROR(INDEX([2]Sheet1!$B:$B,MATCH($D393,[2]Sheet1!$A:$A,0)),"Not found")</f>
        <v>Retail</v>
      </c>
      <c r="N393">
        <f t="shared" si="12"/>
        <v>1</v>
      </c>
      <c r="O393">
        <f t="shared" si="13"/>
        <v>0</v>
      </c>
    </row>
    <row r="394" spans="1:15" x14ac:dyDescent="0.25">
      <c r="A394" t="s">
        <v>7</v>
      </c>
      <c r="B394" s="1">
        <v>42430</v>
      </c>
      <c r="C394" s="1">
        <v>55153</v>
      </c>
      <c r="D394" s="4" t="s">
        <v>1005</v>
      </c>
      <c r="E394" s="32" t="s">
        <v>1006</v>
      </c>
      <c r="F394" s="32">
        <v>27873821</v>
      </c>
      <c r="G394" t="s">
        <v>10</v>
      </c>
      <c r="H394" t="s">
        <v>11</v>
      </c>
      <c r="I394" t="s">
        <v>12</v>
      </c>
      <c r="J394" s="30" t="str">
        <f>IF(ISNUMBER(MATCH($D394,'Lopettaneet 2013-&gt;'!$D:$D,0)),INDEX('Lopettaneet 2013-&gt;'!$K:$K,MATCH($D394,'Lopettaneet 2013-&gt;'!$D:$D,0)),"Continues")</f>
        <v>Continues</v>
      </c>
      <c r="K394" s="30">
        <f ca="1">IF($J394="Continues",DATEDIF($B394,TODAY(),"Y"),INDEX('Lopettaneet 2013-&gt;'!$L:$L,MATCH($D394,'Lopettaneet 2013-&gt;'!$D:$D,0)))</f>
        <v>9</v>
      </c>
      <c r="L394" s="31" t="str">
        <f>IFERROR(INDEX('[1]30.06.2024'!$H:$H,MATCH($E394,'[1]30.06.2024'!$B:$B,0)),"Not found")</f>
        <v>Korona Invest Oy</v>
      </c>
      <c r="M394" s="31" t="str">
        <f>IFERROR(INDEX([2]Sheet1!$B:$B,MATCH($D394,[2]Sheet1!$A:$A,0)),"Not found")</f>
        <v>Non-Retail</v>
      </c>
      <c r="N394">
        <f t="shared" si="12"/>
        <v>0</v>
      </c>
      <c r="O394">
        <f t="shared" si="13"/>
        <v>1</v>
      </c>
    </row>
    <row r="395" spans="1:15" x14ac:dyDescent="0.25">
      <c r="A395" t="s">
        <v>7</v>
      </c>
      <c r="B395" s="1">
        <v>42339</v>
      </c>
      <c r="C395" s="1">
        <v>43830</v>
      </c>
      <c r="D395" s="4" t="s">
        <v>1007</v>
      </c>
      <c r="E395" s="32" t="s">
        <v>1008</v>
      </c>
      <c r="F395" s="32">
        <v>26836914</v>
      </c>
      <c r="G395" t="s">
        <v>10</v>
      </c>
      <c r="H395" t="s">
        <v>11</v>
      </c>
      <c r="I395" t="s">
        <v>32</v>
      </c>
      <c r="J395" s="30" t="str">
        <f>IF(ISNUMBER(MATCH($D395,'Lopettaneet 2013-&gt;'!$D:$D,0)),INDEX('Lopettaneet 2013-&gt;'!$K:$K,MATCH($D395,'Lopettaneet 2013-&gt;'!$D:$D,0)),"Continues")</f>
        <v>Closed</v>
      </c>
      <c r="K395" s="30">
        <f ca="1">IF($J395="Continues",DATEDIF($B395,TODAY(),"Y"),INDEX('Lopettaneet 2013-&gt;'!$L:$L,MATCH($D395,'Lopettaneet 2013-&gt;'!$D:$D,0)))</f>
        <v>4</v>
      </c>
      <c r="L395" s="31" t="str">
        <f>IFERROR(INDEX('[1]30.06.2024'!$H:$H,MATCH($E395,'[1]30.06.2024'!$B:$B,0)),"Not found")</f>
        <v>Not found</v>
      </c>
      <c r="M395" s="31" t="str">
        <f>IFERROR(INDEX([2]Sheet1!$B:$B,MATCH($D395,[2]Sheet1!$A:$A,0)),"Not found")</f>
        <v>Not found</v>
      </c>
      <c r="N395">
        <f t="shared" si="12"/>
        <v>0</v>
      </c>
      <c r="O395">
        <f t="shared" si="13"/>
        <v>0</v>
      </c>
    </row>
    <row r="396" spans="1:15" x14ac:dyDescent="0.25">
      <c r="A396" t="s">
        <v>7</v>
      </c>
      <c r="B396" s="1">
        <v>42370</v>
      </c>
      <c r="C396" s="1">
        <v>55153</v>
      </c>
      <c r="D396" s="4" t="s">
        <v>1009</v>
      </c>
      <c r="E396" s="32" t="s">
        <v>1010</v>
      </c>
      <c r="F396" s="32">
        <v>27364082</v>
      </c>
      <c r="G396" t="s">
        <v>10</v>
      </c>
      <c r="H396" t="s">
        <v>11</v>
      </c>
      <c r="I396" t="s">
        <v>80</v>
      </c>
      <c r="J396" s="30" t="str">
        <f>IF(ISNUMBER(MATCH($D396,'Lopettaneet 2013-&gt;'!$D:$D,0)),INDEX('Lopettaneet 2013-&gt;'!$K:$K,MATCH($D396,'Lopettaneet 2013-&gt;'!$D:$D,0)),"Continues")</f>
        <v>Continues</v>
      </c>
      <c r="K396" s="30">
        <f ca="1">IF($J396="Continues",DATEDIF($B396,TODAY(),"Y"),INDEX('Lopettaneet 2013-&gt;'!$L:$L,MATCH($D396,'Lopettaneet 2013-&gt;'!$D:$D,0)))</f>
        <v>9</v>
      </c>
      <c r="L396" s="31" t="str">
        <f>IFERROR(INDEX('[1]30.06.2024'!$H:$H,MATCH($E396,'[1]30.06.2024'!$B:$B,0)),"Not found")</f>
        <v>Lifeline Ventures Fund Management Oy</v>
      </c>
      <c r="M396" s="31" t="str">
        <f>IFERROR(INDEX([2]Sheet1!$B:$B,MATCH($D396,[2]Sheet1!$A:$A,0)),"Not found")</f>
        <v>Non-Retail</v>
      </c>
      <c r="N396">
        <f t="shared" si="12"/>
        <v>0</v>
      </c>
      <c r="O396">
        <f t="shared" si="13"/>
        <v>1</v>
      </c>
    </row>
    <row r="397" spans="1:15" x14ac:dyDescent="0.25">
      <c r="A397" t="s">
        <v>0</v>
      </c>
      <c r="B397" s="1">
        <v>42491</v>
      </c>
      <c r="C397" s="1">
        <v>55153</v>
      </c>
      <c r="D397" s="4" t="s">
        <v>1011</v>
      </c>
      <c r="E397" s="32" t="s">
        <v>1012</v>
      </c>
      <c r="F397" s="32">
        <v>27380816</v>
      </c>
      <c r="G397" t="s">
        <v>10</v>
      </c>
      <c r="H397" t="s">
        <v>4</v>
      </c>
      <c r="I397" t="s">
        <v>32</v>
      </c>
      <c r="J397" s="30" t="str">
        <f>IF(ISNUMBER(MATCH($D397,'Lopettaneet 2013-&gt;'!$D:$D,0)),INDEX('Lopettaneet 2013-&gt;'!$K:$K,MATCH($D397,'Lopettaneet 2013-&gt;'!$D:$D,0)),"Continues")</f>
        <v>Continues</v>
      </c>
      <c r="K397" s="30">
        <f ca="1">IF($J397="Continues",DATEDIF($B397,TODAY(),"Y"),INDEX('Lopettaneet 2013-&gt;'!$L:$L,MATCH($D397,'Lopettaneet 2013-&gt;'!$D:$D,0)))</f>
        <v>9</v>
      </c>
      <c r="L397" s="31" t="str">
        <f>IFERROR(INDEX('[1]30.06.2024'!$H:$H,MATCH($E397,'[1]30.06.2024'!$B:$B,0)),"Not found")</f>
        <v>UB Rahastoyhtiö Oy</v>
      </c>
      <c r="M397" s="31" t="str">
        <f>IFERROR(INDEX([2]Sheet1!$B:$B,MATCH($D397,[2]Sheet1!$A:$A,0)),"Not found")</f>
        <v>Retail</v>
      </c>
      <c r="N397">
        <f t="shared" si="12"/>
        <v>1</v>
      </c>
      <c r="O397">
        <f t="shared" si="13"/>
        <v>0</v>
      </c>
    </row>
    <row r="398" spans="1:15" x14ac:dyDescent="0.25">
      <c r="A398" t="s">
        <v>0</v>
      </c>
      <c r="B398" s="1">
        <v>42370</v>
      </c>
      <c r="C398" s="1">
        <v>55153</v>
      </c>
      <c r="D398" s="4" t="s">
        <v>1013</v>
      </c>
      <c r="E398" s="32" t="s">
        <v>1014</v>
      </c>
      <c r="F398" s="32">
        <v>27359646</v>
      </c>
      <c r="G398" t="s">
        <v>10</v>
      </c>
      <c r="H398" t="s">
        <v>4</v>
      </c>
      <c r="I398" t="s">
        <v>32</v>
      </c>
      <c r="J398" s="30" t="str">
        <f>IF(ISNUMBER(MATCH($D398,'Lopettaneet 2013-&gt;'!$D:$D,0)),INDEX('Lopettaneet 2013-&gt;'!$K:$K,MATCH($D398,'Lopettaneet 2013-&gt;'!$D:$D,0)),"Continues")</f>
        <v>Continues</v>
      </c>
      <c r="K398" s="30">
        <f ca="1">IF($J398="Continues",DATEDIF($B398,TODAY(),"Y"),INDEX('Lopettaneet 2013-&gt;'!$L:$L,MATCH($D398,'Lopettaneet 2013-&gt;'!$D:$D,0)))</f>
        <v>9</v>
      </c>
      <c r="L398" s="31" t="str">
        <f>IFERROR(INDEX('[1]30.06.2024'!$H:$H,MATCH($E398,'[1]30.06.2024'!$B:$B,0)),"Not found")</f>
        <v>Ålandsbanken Fondbolag Ab</v>
      </c>
      <c r="M398" s="31" t="str">
        <f>IFERROR(INDEX([2]Sheet1!$B:$B,MATCH($D398,[2]Sheet1!$A:$A,0)),"Not found")</f>
        <v>Retail</v>
      </c>
      <c r="N398">
        <f t="shared" si="12"/>
        <v>1</v>
      </c>
      <c r="O398">
        <f t="shared" si="13"/>
        <v>0</v>
      </c>
    </row>
    <row r="399" spans="1:15" x14ac:dyDescent="0.25">
      <c r="A399" t="s">
        <v>7</v>
      </c>
      <c r="B399" s="1">
        <v>42430</v>
      </c>
      <c r="C399" s="1">
        <v>55153</v>
      </c>
      <c r="D399" s="4" t="s">
        <v>1015</v>
      </c>
      <c r="E399" s="32" t="s">
        <v>1016</v>
      </c>
      <c r="F399" s="32">
        <v>27296892</v>
      </c>
      <c r="G399" t="s">
        <v>10</v>
      </c>
      <c r="H399" t="s">
        <v>11</v>
      </c>
      <c r="I399" t="s">
        <v>32</v>
      </c>
      <c r="J399" s="30" t="str">
        <f>IF(ISNUMBER(MATCH($D399,'Lopettaneet 2013-&gt;'!$D:$D,0)),INDEX('Lopettaneet 2013-&gt;'!$K:$K,MATCH($D399,'Lopettaneet 2013-&gt;'!$D:$D,0)),"Continues")</f>
        <v>Continues</v>
      </c>
      <c r="K399" s="30">
        <f ca="1">IF($J399="Continues",DATEDIF($B399,TODAY(),"Y"),INDEX('Lopettaneet 2013-&gt;'!$L:$L,MATCH($D399,'Lopettaneet 2013-&gt;'!$D:$D,0)))</f>
        <v>9</v>
      </c>
      <c r="L399" s="31" t="str">
        <f>IFERROR(INDEX('[1]30.06.2024'!$H:$H,MATCH($E399,'[1]30.06.2024'!$B:$B,0)),"Not found")</f>
        <v>LähiTapiola Vaihtoehtorahastot Oy</v>
      </c>
      <c r="M399" s="31" t="str">
        <f>IFERROR(INDEX([2]Sheet1!$B:$B,MATCH($D399,[2]Sheet1!$A:$A,0)),"Not found")</f>
        <v>Non-Retail</v>
      </c>
      <c r="N399">
        <f t="shared" si="12"/>
        <v>0</v>
      </c>
      <c r="O399">
        <f t="shared" si="13"/>
        <v>1</v>
      </c>
    </row>
    <row r="400" spans="1:15" x14ac:dyDescent="0.25">
      <c r="A400" t="s">
        <v>0</v>
      </c>
      <c r="B400" s="1">
        <v>42370</v>
      </c>
      <c r="C400" s="1">
        <v>55153</v>
      </c>
      <c r="D400" s="4" t="s">
        <v>1017</v>
      </c>
      <c r="E400" s="32" t="s">
        <v>1018</v>
      </c>
      <c r="F400" s="32">
        <v>27284314</v>
      </c>
      <c r="G400" t="s">
        <v>10</v>
      </c>
      <c r="H400" t="s">
        <v>4</v>
      </c>
      <c r="I400" t="s">
        <v>5</v>
      </c>
      <c r="J400" s="30" t="str">
        <f>IF(ISNUMBER(MATCH($D400,'Lopettaneet 2013-&gt;'!$D:$D,0)),INDEX('Lopettaneet 2013-&gt;'!$K:$K,MATCH($D400,'Lopettaneet 2013-&gt;'!$D:$D,0)),"Continues")</f>
        <v>Continues</v>
      </c>
      <c r="K400" s="30">
        <f ca="1">IF($J400="Continues",DATEDIF($B400,TODAY(),"Y"),INDEX('Lopettaneet 2013-&gt;'!$L:$L,MATCH($D400,'Lopettaneet 2013-&gt;'!$D:$D,0)))</f>
        <v>9</v>
      </c>
      <c r="L400" s="31" t="str">
        <f>IFERROR(INDEX('[1]30.06.2024'!$H:$H,MATCH($E400,'[1]30.06.2024'!$B:$B,0)),"Not found")</f>
        <v>Aktia Rahastoyhtiö Oy</v>
      </c>
      <c r="M400" s="31" t="str">
        <f>IFERROR(INDEX([2]Sheet1!$B:$B,MATCH($D400,[2]Sheet1!$A:$A,0)),"Not found")</f>
        <v>Retail</v>
      </c>
      <c r="N400">
        <f t="shared" si="12"/>
        <v>1</v>
      </c>
      <c r="O400">
        <f t="shared" si="13"/>
        <v>0</v>
      </c>
    </row>
    <row r="401" spans="1:15" x14ac:dyDescent="0.25">
      <c r="A401" t="s">
        <v>0</v>
      </c>
      <c r="B401" s="1">
        <v>42370</v>
      </c>
      <c r="C401" s="1">
        <v>55153</v>
      </c>
      <c r="D401" s="4" t="s">
        <v>1019</v>
      </c>
      <c r="E401" s="32" t="s">
        <v>1020</v>
      </c>
      <c r="F401" s="32">
        <v>27284322</v>
      </c>
      <c r="G401" t="s">
        <v>10</v>
      </c>
      <c r="H401" t="s">
        <v>4</v>
      </c>
      <c r="I401" t="s">
        <v>20</v>
      </c>
      <c r="J401" s="30" t="str">
        <f>IF(ISNUMBER(MATCH($D401,'Lopettaneet 2013-&gt;'!$D:$D,0)),INDEX('Lopettaneet 2013-&gt;'!$K:$K,MATCH($D401,'Lopettaneet 2013-&gt;'!$D:$D,0)),"Continues")</f>
        <v>Continues</v>
      </c>
      <c r="K401" s="30">
        <f ca="1">IF($J401="Continues",DATEDIF($B401,TODAY(),"Y"),INDEX('Lopettaneet 2013-&gt;'!$L:$L,MATCH($D401,'Lopettaneet 2013-&gt;'!$D:$D,0)))</f>
        <v>9</v>
      </c>
      <c r="L401" s="31" t="str">
        <f>IFERROR(INDEX('[1]30.06.2024'!$H:$H,MATCH($E401,'[1]30.06.2024'!$B:$B,0)),"Not found")</f>
        <v>Aktia Rahastoyhtiö Oy</v>
      </c>
      <c r="M401" s="31" t="str">
        <f>IFERROR(INDEX([2]Sheet1!$B:$B,MATCH($D401,[2]Sheet1!$A:$A,0)),"Not found")</f>
        <v>Retail</v>
      </c>
      <c r="N401">
        <f t="shared" si="12"/>
        <v>1</v>
      </c>
      <c r="O401">
        <f t="shared" si="13"/>
        <v>0</v>
      </c>
    </row>
    <row r="402" spans="1:15" x14ac:dyDescent="0.25">
      <c r="A402" t="s">
        <v>0</v>
      </c>
      <c r="B402" s="1">
        <v>42370</v>
      </c>
      <c r="C402" s="1">
        <v>55153</v>
      </c>
      <c r="D402" s="4" t="s">
        <v>1021</v>
      </c>
      <c r="E402" s="32" t="s">
        <v>1022</v>
      </c>
      <c r="F402" s="32">
        <v>27284365</v>
      </c>
      <c r="G402" t="s">
        <v>10</v>
      </c>
      <c r="H402" t="s">
        <v>4</v>
      </c>
      <c r="I402" t="s">
        <v>50</v>
      </c>
      <c r="J402" s="30" t="str">
        <f>IF(ISNUMBER(MATCH($D402,'Lopettaneet 2013-&gt;'!$D:$D,0)),INDEX('Lopettaneet 2013-&gt;'!$K:$K,MATCH($D402,'Lopettaneet 2013-&gt;'!$D:$D,0)),"Continues")</f>
        <v>Continues</v>
      </c>
      <c r="K402" s="30">
        <f ca="1">IF($J402="Continues",DATEDIF($B402,TODAY(),"Y"),INDEX('Lopettaneet 2013-&gt;'!$L:$L,MATCH($D402,'Lopettaneet 2013-&gt;'!$D:$D,0)))</f>
        <v>9</v>
      </c>
      <c r="L402" s="31" t="str">
        <f>IFERROR(INDEX('[1]30.06.2024'!$H:$H,MATCH($E402,'[1]30.06.2024'!$B:$B,0)),"Not found")</f>
        <v>Aktia Rahastoyhtiö Oy</v>
      </c>
      <c r="M402" s="31" t="str">
        <f>IFERROR(INDEX([2]Sheet1!$B:$B,MATCH($D402,[2]Sheet1!$A:$A,0)),"Not found")</f>
        <v>Retail</v>
      </c>
      <c r="N402">
        <f t="shared" si="12"/>
        <v>1</v>
      </c>
      <c r="O402">
        <f t="shared" si="13"/>
        <v>0</v>
      </c>
    </row>
    <row r="403" spans="1:15" x14ac:dyDescent="0.25">
      <c r="A403" t="s">
        <v>0</v>
      </c>
      <c r="B403" s="1">
        <v>42370</v>
      </c>
      <c r="C403" s="1">
        <v>55153</v>
      </c>
      <c r="D403" s="4" t="s">
        <v>1023</v>
      </c>
      <c r="E403" s="32" t="s">
        <v>1024</v>
      </c>
      <c r="F403" s="32">
        <v>27379209</v>
      </c>
      <c r="G403" t="s">
        <v>10</v>
      </c>
      <c r="H403" t="s">
        <v>4</v>
      </c>
      <c r="I403" t="s">
        <v>5</v>
      </c>
      <c r="J403" s="30" t="str">
        <f>IF(ISNUMBER(MATCH($D403,'Lopettaneet 2013-&gt;'!$D:$D,0)),INDEX('Lopettaneet 2013-&gt;'!$K:$K,MATCH($D403,'Lopettaneet 2013-&gt;'!$D:$D,0)),"Continues")</f>
        <v>Continues</v>
      </c>
      <c r="K403" s="30">
        <f ca="1">IF($J403="Continues",DATEDIF($B403,TODAY(),"Y"),INDEX('Lopettaneet 2013-&gt;'!$L:$L,MATCH($D403,'Lopettaneet 2013-&gt;'!$D:$D,0)))</f>
        <v>9</v>
      </c>
      <c r="L403" s="31" t="str">
        <f>IFERROR(INDEX('[1]30.06.2024'!$H:$H,MATCH($E403,'[1]30.06.2024'!$B:$B,0)),"Not found")</f>
        <v>eQ Rahastoyhtiö Oy</v>
      </c>
      <c r="M403" s="31" t="str">
        <f>IFERROR(INDEX([2]Sheet1!$B:$B,MATCH($D403,[2]Sheet1!$A:$A,0)),"Not found")</f>
        <v>Retail</v>
      </c>
      <c r="N403">
        <f t="shared" si="12"/>
        <v>1</v>
      </c>
      <c r="O403">
        <f t="shared" si="13"/>
        <v>0</v>
      </c>
    </row>
    <row r="404" spans="1:15" x14ac:dyDescent="0.25">
      <c r="A404" t="s">
        <v>7</v>
      </c>
      <c r="B404" s="1">
        <v>42430</v>
      </c>
      <c r="C404" s="1">
        <v>45199</v>
      </c>
      <c r="D404" s="4" t="s">
        <v>34</v>
      </c>
      <c r="E404" s="32" t="s">
        <v>35</v>
      </c>
      <c r="F404" s="32">
        <v>25573606</v>
      </c>
      <c r="G404" t="s">
        <v>10</v>
      </c>
      <c r="H404" t="s">
        <v>11</v>
      </c>
      <c r="I404" t="s">
        <v>32</v>
      </c>
      <c r="J404" s="30" t="str">
        <f>IF(ISNUMBER(MATCH($D404,'Lopettaneet 2013-&gt;'!$D:$D,0)),INDEX('Lopettaneet 2013-&gt;'!$K:$K,MATCH($D404,'Lopettaneet 2013-&gt;'!$D:$D,0)),"Continues")</f>
        <v>Closed</v>
      </c>
      <c r="K404" s="30">
        <f ca="1">IF($J404="Continues",DATEDIF($B404,TODAY(),"Y"),INDEX('Lopettaneet 2013-&gt;'!$L:$L,MATCH($D404,'Lopettaneet 2013-&gt;'!$D:$D,0)))</f>
        <v>7</v>
      </c>
      <c r="L404" s="31" t="str">
        <f>IFERROR(INDEX('[1]30.06.2024'!$H:$H,MATCH($E404,'[1]30.06.2024'!$B:$B,0)),"Not found")</f>
        <v>Not found</v>
      </c>
      <c r="M404" s="31" t="str">
        <f>IFERROR(INDEX([2]Sheet1!$B:$B,MATCH($D404,[2]Sheet1!$A:$A,0)),"Not found")</f>
        <v>Not found</v>
      </c>
      <c r="N404">
        <f t="shared" si="12"/>
        <v>0</v>
      </c>
      <c r="O404">
        <f t="shared" si="13"/>
        <v>0</v>
      </c>
    </row>
    <row r="405" spans="1:15" x14ac:dyDescent="0.25">
      <c r="A405" t="s">
        <v>7</v>
      </c>
      <c r="B405" s="1">
        <v>42430</v>
      </c>
      <c r="C405" s="1">
        <v>43251</v>
      </c>
      <c r="D405" s="4" t="s">
        <v>1025</v>
      </c>
      <c r="E405" s="32" t="s">
        <v>1026</v>
      </c>
      <c r="F405" s="32">
        <v>27499104</v>
      </c>
      <c r="G405" t="s">
        <v>10</v>
      </c>
      <c r="H405" t="s">
        <v>11</v>
      </c>
      <c r="I405" t="s">
        <v>12</v>
      </c>
      <c r="J405" s="30" t="str">
        <f>IF(ISNUMBER(MATCH($D405,'Lopettaneet 2013-&gt;'!$D:$D,0)),INDEX('Lopettaneet 2013-&gt;'!$K:$K,MATCH($D405,'Lopettaneet 2013-&gt;'!$D:$D,0)),"Continues")</f>
        <v>Closed</v>
      </c>
      <c r="K405" s="30">
        <f ca="1">IF($J405="Continues",DATEDIF($B405,TODAY(),"Y"),INDEX('Lopettaneet 2013-&gt;'!$L:$L,MATCH($D405,'Lopettaneet 2013-&gt;'!$D:$D,0)))</f>
        <v>2</v>
      </c>
      <c r="L405" s="31" t="str">
        <f>IFERROR(INDEX('[1]30.06.2024'!$H:$H,MATCH($E405,'[1]30.06.2024'!$B:$B,0)),"Not found")</f>
        <v>Not found</v>
      </c>
      <c r="M405" s="31" t="str">
        <f>IFERROR(INDEX([2]Sheet1!$B:$B,MATCH($D405,[2]Sheet1!$A:$A,0)),"Not found")</f>
        <v>Not found</v>
      </c>
      <c r="N405">
        <f t="shared" si="12"/>
        <v>0</v>
      </c>
      <c r="O405">
        <f t="shared" si="13"/>
        <v>0</v>
      </c>
    </row>
    <row r="406" spans="1:15" x14ac:dyDescent="0.25">
      <c r="A406" t="s">
        <v>0</v>
      </c>
      <c r="B406" s="1">
        <v>42401</v>
      </c>
      <c r="C406" s="1">
        <v>45230</v>
      </c>
      <c r="D406" s="4" t="s">
        <v>36</v>
      </c>
      <c r="E406" s="32" t="s">
        <v>1027</v>
      </c>
      <c r="F406" s="32">
        <v>27352778</v>
      </c>
      <c r="G406" t="s">
        <v>10</v>
      </c>
      <c r="H406" t="s">
        <v>4</v>
      </c>
      <c r="I406" t="s">
        <v>29</v>
      </c>
      <c r="J406" s="30" t="str">
        <f>IF(ISNUMBER(MATCH($D406,'Lopettaneet 2013-&gt;'!$D:$D,0)),INDEX('Lopettaneet 2013-&gt;'!$K:$K,MATCH($D406,'Lopettaneet 2013-&gt;'!$D:$D,0)),"Continues")</f>
        <v>Merged</v>
      </c>
      <c r="K406" s="30">
        <f ca="1">IF($J406="Continues",DATEDIF($B406,TODAY(),"Y"),INDEX('Lopettaneet 2013-&gt;'!$L:$L,MATCH($D406,'Lopettaneet 2013-&gt;'!$D:$D,0)))</f>
        <v>7</v>
      </c>
      <c r="L406" s="31" t="str">
        <f>IFERROR(INDEX('[1]30.06.2024'!$H:$H,MATCH($E406,'[1]30.06.2024'!$B:$B,0)),"Not found")</f>
        <v>Not found</v>
      </c>
      <c r="M406" s="31" t="str">
        <f>IFERROR(INDEX([2]Sheet1!$B:$B,MATCH($D406,[2]Sheet1!$A:$A,0)),"Not found")</f>
        <v>Not found</v>
      </c>
      <c r="N406">
        <f t="shared" si="12"/>
        <v>0</v>
      </c>
      <c r="O406">
        <f t="shared" si="13"/>
        <v>0</v>
      </c>
    </row>
    <row r="407" spans="1:15" x14ac:dyDescent="0.25">
      <c r="A407" t="s">
        <v>7</v>
      </c>
      <c r="B407" s="1">
        <v>42461</v>
      </c>
      <c r="C407" s="1">
        <v>55153</v>
      </c>
      <c r="D407" s="4" t="s">
        <v>1028</v>
      </c>
      <c r="E407" s="32" t="s">
        <v>1029</v>
      </c>
      <c r="F407" s="32">
        <v>27471312</v>
      </c>
      <c r="G407" t="s">
        <v>10</v>
      </c>
      <c r="H407" t="s">
        <v>11</v>
      </c>
      <c r="I407" t="s">
        <v>32</v>
      </c>
      <c r="J407" s="30" t="str">
        <f>IF(ISNUMBER(MATCH($D407,'Lopettaneet 2013-&gt;'!$D:$D,0)),INDEX('Lopettaneet 2013-&gt;'!$K:$K,MATCH($D407,'Lopettaneet 2013-&gt;'!$D:$D,0)),"Continues")</f>
        <v>Continues</v>
      </c>
      <c r="K407" s="30">
        <f ca="1">IF($J407="Continues",DATEDIF($B407,TODAY(),"Y"),INDEX('Lopettaneet 2013-&gt;'!$L:$L,MATCH($D407,'Lopettaneet 2013-&gt;'!$D:$D,0)))</f>
        <v>9</v>
      </c>
      <c r="L407" s="31" t="str">
        <f>IFERROR(INDEX('[1]30.06.2024'!$H:$H,MATCH($E407,'[1]30.06.2024'!$B:$B,0)),"Not found")</f>
        <v>Evli-Rahastoyhtiö Oy</v>
      </c>
      <c r="M407" s="31" t="str">
        <f>IFERROR(INDEX([2]Sheet1!$B:$B,MATCH($D407,[2]Sheet1!$A:$A,0)),"Not found")</f>
        <v>Retail</v>
      </c>
      <c r="N407">
        <f t="shared" si="12"/>
        <v>1</v>
      </c>
      <c r="O407">
        <f t="shared" si="13"/>
        <v>0</v>
      </c>
    </row>
    <row r="408" spans="1:15" x14ac:dyDescent="0.25">
      <c r="A408" t="s">
        <v>0</v>
      </c>
      <c r="B408" s="1">
        <v>42522</v>
      </c>
      <c r="C408" s="1">
        <v>43677</v>
      </c>
      <c r="D408" s="4" t="s">
        <v>1030</v>
      </c>
      <c r="E408" s="32" t="s">
        <v>1031</v>
      </c>
      <c r="F408" s="32">
        <v>27572877</v>
      </c>
      <c r="G408" t="s">
        <v>3</v>
      </c>
      <c r="H408" t="s">
        <v>4</v>
      </c>
      <c r="I408" t="s">
        <v>20</v>
      </c>
      <c r="J408" s="30" t="str">
        <f>IF(ISNUMBER(MATCH($D408,'Lopettaneet 2013-&gt;'!$D:$D,0)),INDEX('Lopettaneet 2013-&gt;'!$K:$K,MATCH($D408,'Lopettaneet 2013-&gt;'!$D:$D,0)),"Continues")</f>
        <v>Closed</v>
      </c>
      <c r="K408" s="30">
        <f ca="1">IF($J408="Continues",DATEDIF($B408,TODAY(),"Y"),INDEX('Lopettaneet 2013-&gt;'!$L:$L,MATCH($D408,'Lopettaneet 2013-&gt;'!$D:$D,0)))</f>
        <v>3</v>
      </c>
      <c r="L408" s="31" t="str">
        <f>IFERROR(INDEX('[1]30.06.2024'!$H:$H,MATCH($E408,'[1]30.06.2024'!$B:$B,0)),"Not found")</f>
        <v>Not found</v>
      </c>
      <c r="M408" s="31" t="str">
        <f>IFERROR(INDEX([2]Sheet1!$B:$B,MATCH($D408,[2]Sheet1!$A:$A,0)),"Not found")</f>
        <v>Not found</v>
      </c>
      <c r="N408">
        <f t="shared" si="12"/>
        <v>0</v>
      </c>
      <c r="O408">
        <f t="shared" si="13"/>
        <v>0</v>
      </c>
    </row>
    <row r="409" spans="1:15" x14ac:dyDescent="0.25">
      <c r="A409" t="s">
        <v>0</v>
      </c>
      <c r="B409" s="1">
        <v>42491</v>
      </c>
      <c r="C409" s="1">
        <v>43404</v>
      </c>
      <c r="D409" s="4" t="s">
        <v>1032</v>
      </c>
      <c r="E409" s="32" t="s">
        <v>1033</v>
      </c>
      <c r="F409" s="32">
        <v>27534651</v>
      </c>
      <c r="G409" t="s">
        <v>3</v>
      </c>
      <c r="H409" t="s">
        <v>4</v>
      </c>
      <c r="I409" t="s">
        <v>20</v>
      </c>
      <c r="J409" s="30" t="str">
        <f>IF(ISNUMBER(MATCH($D409,'Lopettaneet 2013-&gt;'!$D:$D,0)),INDEX('Lopettaneet 2013-&gt;'!$K:$K,MATCH($D409,'Lopettaneet 2013-&gt;'!$D:$D,0)),"Continues")</f>
        <v>Closed</v>
      </c>
      <c r="K409" s="30">
        <f ca="1">IF($J409="Continues",DATEDIF($B409,TODAY(),"Y"),INDEX('Lopettaneet 2013-&gt;'!$L:$L,MATCH($D409,'Lopettaneet 2013-&gt;'!$D:$D,0)))</f>
        <v>2</v>
      </c>
      <c r="L409" s="31" t="str">
        <f>IFERROR(INDEX('[1]30.06.2024'!$H:$H,MATCH($E409,'[1]30.06.2024'!$B:$B,0)),"Not found")</f>
        <v>Not found</v>
      </c>
      <c r="M409" s="31" t="str">
        <f>IFERROR(INDEX([2]Sheet1!$B:$B,MATCH($D409,[2]Sheet1!$A:$A,0)),"Not found")</f>
        <v>Not found</v>
      </c>
      <c r="N409">
        <f t="shared" si="12"/>
        <v>0</v>
      </c>
      <c r="O409">
        <f t="shared" si="13"/>
        <v>0</v>
      </c>
    </row>
    <row r="410" spans="1:15" x14ac:dyDescent="0.25">
      <c r="A410" t="s">
        <v>0</v>
      </c>
      <c r="B410" s="1">
        <v>42491</v>
      </c>
      <c r="C410" s="1">
        <v>43404</v>
      </c>
      <c r="D410" s="4" t="s">
        <v>1034</v>
      </c>
      <c r="E410" s="32" t="s">
        <v>1035</v>
      </c>
      <c r="F410" s="32">
        <v>27534643</v>
      </c>
      <c r="G410" t="s">
        <v>3</v>
      </c>
      <c r="H410" t="s">
        <v>4</v>
      </c>
      <c r="I410" t="s">
        <v>50</v>
      </c>
      <c r="J410" s="30" t="str">
        <f>IF(ISNUMBER(MATCH($D410,'Lopettaneet 2013-&gt;'!$D:$D,0)),INDEX('Lopettaneet 2013-&gt;'!$K:$K,MATCH($D410,'Lopettaneet 2013-&gt;'!$D:$D,0)),"Continues")</f>
        <v>Closed</v>
      </c>
      <c r="K410" s="30">
        <f ca="1">IF($J410="Continues",DATEDIF($B410,TODAY(),"Y"),INDEX('Lopettaneet 2013-&gt;'!$L:$L,MATCH($D410,'Lopettaneet 2013-&gt;'!$D:$D,0)))</f>
        <v>2</v>
      </c>
      <c r="L410" s="31" t="str">
        <f>IFERROR(INDEX('[1]30.06.2024'!$H:$H,MATCH($E410,'[1]30.06.2024'!$B:$B,0)),"Not found")</f>
        <v>Not found</v>
      </c>
      <c r="M410" s="31" t="str">
        <f>IFERROR(INDEX([2]Sheet1!$B:$B,MATCH($D410,[2]Sheet1!$A:$A,0)),"Not found")</f>
        <v>Not found</v>
      </c>
      <c r="N410">
        <f t="shared" si="12"/>
        <v>0</v>
      </c>
      <c r="O410">
        <f t="shared" si="13"/>
        <v>0</v>
      </c>
    </row>
    <row r="411" spans="1:15" x14ac:dyDescent="0.25">
      <c r="A411" t="s">
        <v>0</v>
      </c>
      <c r="B411" s="1">
        <v>42491</v>
      </c>
      <c r="C411" s="1">
        <v>55153</v>
      </c>
      <c r="D411" s="4" t="s">
        <v>1036</v>
      </c>
      <c r="E411" s="32" t="s">
        <v>1037</v>
      </c>
      <c r="F411" s="32">
        <v>27526301</v>
      </c>
      <c r="G411" t="s">
        <v>3</v>
      </c>
      <c r="H411" t="s">
        <v>4</v>
      </c>
      <c r="I411" t="s">
        <v>32</v>
      </c>
      <c r="J411" s="30" t="str">
        <f>IF(ISNUMBER(MATCH($D411,'Lopettaneet 2013-&gt;'!$D:$D,0)),INDEX('Lopettaneet 2013-&gt;'!$K:$K,MATCH($D411,'Lopettaneet 2013-&gt;'!$D:$D,0)),"Continues")</f>
        <v>Continues</v>
      </c>
      <c r="K411" s="30">
        <f ca="1">IF($J411="Continues",DATEDIF($B411,TODAY(),"Y"),INDEX('Lopettaneet 2013-&gt;'!$L:$L,MATCH($D411,'Lopettaneet 2013-&gt;'!$D:$D,0)))</f>
        <v>9</v>
      </c>
      <c r="L411" s="31" t="str">
        <f>IFERROR(INDEX('[1]30.06.2024'!$H:$H,MATCH($E411,'[1]30.06.2024'!$B:$B,0)),"Not found")</f>
        <v>Sp-Rahastoyhtiö Oy</v>
      </c>
      <c r="M411" s="31" t="str">
        <f>IFERROR(INDEX([2]Sheet1!$B:$B,MATCH($D411,[2]Sheet1!$A:$A,0)),"Not found")</f>
        <v>Retail</v>
      </c>
      <c r="N411">
        <f t="shared" si="12"/>
        <v>1</v>
      </c>
      <c r="O411">
        <f t="shared" si="13"/>
        <v>0</v>
      </c>
    </row>
    <row r="412" spans="1:15" x14ac:dyDescent="0.25">
      <c r="A412" t="s">
        <v>7</v>
      </c>
      <c r="B412" s="1">
        <v>42430</v>
      </c>
      <c r="C412" s="1">
        <v>55153</v>
      </c>
      <c r="D412" s="4" t="s">
        <v>1038</v>
      </c>
      <c r="E412" s="32" t="s">
        <v>1039</v>
      </c>
      <c r="F412" s="32">
        <v>27455486</v>
      </c>
      <c r="G412" t="s">
        <v>10</v>
      </c>
      <c r="H412" t="s">
        <v>11</v>
      </c>
      <c r="I412" t="s">
        <v>80</v>
      </c>
      <c r="J412" s="30" t="str">
        <f>IF(ISNUMBER(MATCH($D412,'Lopettaneet 2013-&gt;'!$D:$D,0)),INDEX('Lopettaneet 2013-&gt;'!$K:$K,MATCH($D412,'Lopettaneet 2013-&gt;'!$D:$D,0)),"Continues")</f>
        <v>Continues</v>
      </c>
      <c r="K412" s="30">
        <f ca="1">IF($J412="Continues",DATEDIF($B412,TODAY(),"Y"),INDEX('Lopettaneet 2013-&gt;'!$L:$L,MATCH($D412,'Lopettaneet 2013-&gt;'!$D:$D,0)))</f>
        <v>9</v>
      </c>
      <c r="L412" s="31" t="str">
        <f>IFERROR(INDEX('[1]30.06.2024'!$H:$H,MATCH($E412,'[1]30.06.2024'!$B:$B,0)),"Not found")</f>
        <v>Taaleri Pääomarahastot Oy</v>
      </c>
      <c r="M412" s="31" t="str">
        <f>IFERROR(INDEX([2]Sheet1!$B:$B,MATCH($D412,[2]Sheet1!$A:$A,0)),"Not found")</f>
        <v>Retail</v>
      </c>
      <c r="N412">
        <f t="shared" si="12"/>
        <v>1</v>
      </c>
      <c r="O412">
        <f t="shared" si="13"/>
        <v>0</v>
      </c>
    </row>
    <row r="413" spans="1:15" x14ac:dyDescent="0.25">
      <c r="A413" t="s">
        <v>7</v>
      </c>
      <c r="B413" s="1">
        <v>42430</v>
      </c>
      <c r="C413" s="1">
        <v>55153</v>
      </c>
      <c r="D413" s="4" t="s">
        <v>1040</v>
      </c>
      <c r="E413" s="32" t="s">
        <v>1041</v>
      </c>
      <c r="F413" s="32">
        <v>27451338</v>
      </c>
      <c r="G413" t="s">
        <v>10</v>
      </c>
      <c r="H413" t="s">
        <v>11</v>
      </c>
      <c r="I413" t="s">
        <v>80</v>
      </c>
      <c r="J413" s="30" t="str">
        <f>IF(ISNUMBER(MATCH($D413,'Lopettaneet 2013-&gt;'!$D:$D,0)),INDEX('Lopettaneet 2013-&gt;'!$K:$K,MATCH($D413,'Lopettaneet 2013-&gt;'!$D:$D,0)),"Continues")</f>
        <v>Continues</v>
      </c>
      <c r="K413" s="30">
        <f ca="1">IF($J413="Continues",DATEDIF($B413,TODAY(),"Y"),INDEX('Lopettaneet 2013-&gt;'!$L:$L,MATCH($D413,'Lopettaneet 2013-&gt;'!$D:$D,0)))</f>
        <v>9</v>
      </c>
      <c r="L413" s="31" t="str">
        <f>IFERROR(INDEX('[1]30.06.2024'!$H:$H,MATCH($E413,'[1]30.06.2024'!$B:$B,0)),"Not found")</f>
        <v>Taaleri Pääomarahastot Oy</v>
      </c>
      <c r="M413" s="31" t="str">
        <f>IFERROR(INDEX([2]Sheet1!$B:$B,MATCH($D413,[2]Sheet1!$A:$A,0)),"Not found")</f>
        <v>Retail</v>
      </c>
      <c r="N413">
        <f t="shared" si="12"/>
        <v>1</v>
      </c>
      <c r="O413">
        <f t="shared" si="13"/>
        <v>0</v>
      </c>
    </row>
    <row r="414" spans="1:15" x14ac:dyDescent="0.25">
      <c r="A414" t="s">
        <v>7</v>
      </c>
      <c r="B414" s="1">
        <v>42430</v>
      </c>
      <c r="C414" s="1">
        <v>55153</v>
      </c>
      <c r="D414" s="4" t="s">
        <v>1042</v>
      </c>
      <c r="E414" s="32" t="s">
        <v>1043</v>
      </c>
      <c r="F414" s="32">
        <v>27479146</v>
      </c>
      <c r="G414" t="s">
        <v>10</v>
      </c>
      <c r="H414" t="s">
        <v>11</v>
      </c>
      <c r="I414" t="s">
        <v>80</v>
      </c>
      <c r="J414" s="30" t="str">
        <f>IF(ISNUMBER(MATCH($D414,'Lopettaneet 2013-&gt;'!$D:$D,0)),INDEX('Lopettaneet 2013-&gt;'!$K:$K,MATCH($D414,'Lopettaneet 2013-&gt;'!$D:$D,0)),"Continues")</f>
        <v>Continues</v>
      </c>
      <c r="K414" s="30">
        <f ca="1">IF($J414="Continues",DATEDIF($B414,TODAY(),"Y"),INDEX('Lopettaneet 2013-&gt;'!$L:$L,MATCH($D414,'Lopettaneet 2013-&gt;'!$D:$D,0)))</f>
        <v>9</v>
      </c>
      <c r="L414" s="31" t="str">
        <f>IFERROR(INDEX('[1]30.06.2024'!$H:$H,MATCH($E414,'[1]30.06.2024'!$B:$B,0)),"Not found")</f>
        <v>Taaleri Pääomarahastot Oy</v>
      </c>
      <c r="M414" s="31" t="str">
        <f>IFERROR(INDEX([2]Sheet1!$B:$B,MATCH($D414,[2]Sheet1!$A:$A,0)),"Not found")</f>
        <v>Retail</v>
      </c>
      <c r="N414">
        <f t="shared" si="12"/>
        <v>1</v>
      </c>
      <c r="O414">
        <f t="shared" si="13"/>
        <v>0</v>
      </c>
    </row>
    <row r="415" spans="1:15" x14ac:dyDescent="0.25">
      <c r="A415" t="s">
        <v>7</v>
      </c>
      <c r="B415" s="1">
        <v>42430</v>
      </c>
      <c r="C415" s="1">
        <v>55153</v>
      </c>
      <c r="D415" s="4" t="s">
        <v>1044</v>
      </c>
      <c r="E415" s="32" t="s">
        <v>1045</v>
      </c>
      <c r="F415" s="32">
        <v>26929862</v>
      </c>
      <c r="G415" t="s">
        <v>10</v>
      </c>
      <c r="H415" t="s">
        <v>11</v>
      </c>
      <c r="I415" t="s">
        <v>80</v>
      </c>
      <c r="J415" s="30" t="str">
        <f>IF(ISNUMBER(MATCH($D415,'Lopettaneet 2013-&gt;'!$D:$D,0)),INDEX('Lopettaneet 2013-&gt;'!$K:$K,MATCH($D415,'Lopettaneet 2013-&gt;'!$D:$D,0)),"Continues")</f>
        <v>Continues</v>
      </c>
      <c r="K415" s="30">
        <f ca="1">IF($J415="Continues",DATEDIF($B415,TODAY(),"Y"),INDEX('Lopettaneet 2013-&gt;'!$L:$L,MATCH($D415,'Lopettaneet 2013-&gt;'!$D:$D,0)))</f>
        <v>9</v>
      </c>
      <c r="L415" s="31" t="str">
        <f>IFERROR(INDEX('[1]30.06.2024'!$H:$H,MATCH($E415,'[1]30.06.2024'!$B:$B,0)),"Not found")</f>
        <v>Butterfly Ventures Oy</v>
      </c>
      <c r="M415" s="31" t="str">
        <f>IFERROR(INDEX([2]Sheet1!$B:$B,MATCH($D415,[2]Sheet1!$A:$A,0)),"Not found")</f>
        <v>Non-Retail</v>
      </c>
      <c r="N415">
        <f t="shared" si="12"/>
        <v>0</v>
      </c>
      <c r="O415">
        <f t="shared" si="13"/>
        <v>1</v>
      </c>
    </row>
    <row r="416" spans="1:15" x14ac:dyDescent="0.25">
      <c r="A416" t="s">
        <v>0</v>
      </c>
      <c r="B416" s="1">
        <v>42461</v>
      </c>
      <c r="C416" s="1">
        <v>43465</v>
      </c>
      <c r="D416" s="4" t="s">
        <v>1046</v>
      </c>
      <c r="E416" s="32" t="s">
        <v>1047</v>
      </c>
      <c r="F416" s="32">
        <v>27524541</v>
      </c>
      <c r="G416" t="s">
        <v>10</v>
      </c>
      <c r="H416" t="s">
        <v>4</v>
      </c>
      <c r="I416" t="s">
        <v>29</v>
      </c>
      <c r="J416" s="30" t="str">
        <f>IF(ISNUMBER(MATCH($D416,'Lopettaneet 2013-&gt;'!$D:$D,0)),INDEX('Lopettaneet 2013-&gt;'!$K:$K,MATCH($D416,'Lopettaneet 2013-&gt;'!$D:$D,0)),"Continues")</f>
        <v>Merged</v>
      </c>
      <c r="K416" s="30">
        <f ca="1">IF($J416="Continues",DATEDIF($B416,TODAY(),"Y"),INDEX('Lopettaneet 2013-&gt;'!$L:$L,MATCH($D416,'Lopettaneet 2013-&gt;'!$D:$D,0)))</f>
        <v>2</v>
      </c>
      <c r="L416" s="31" t="str">
        <f>IFERROR(INDEX('[1]30.06.2024'!$H:$H,MATCH($E416,'[1]30.06.2024'!$B:$B,0)),"Not found")</f>
        <v>Not found</v>
      </c>
      <c r="M416" s="31" t="str">
        <f>IFERROR(INDEX([2]Sheet1!$B:$B,MATCH($D416,[2]Sheet1!$A:$A,0)),"Not found")</f>
        <v>Not found</v>
      </c>
      <c r="N416">
        <f t="shared" si="12"/>
        <v>0</v>
      </c>
      <c r="O416">
        <f t="shared" si="13"/>
        <v>0</v>
      </c>
    </row>
    <row r="417" spans="1:15" x14ac:dyDescent="0.25">
      <c r="A417" t="s">
        <v>0</v>
      </c>
      <c r="B417" s="1">
        <v>42522</v>
      </c>
      <c r="C417" s="1">
        <v>55153</v>
      </c>
      <c r="D417" s="4" t="s">
        <v>1048</v>
      </c>
      <c r="E417" s="32" t="s">
        <v>1049</v>
      </c>
      <c r="F417" s="32">
        <v>27572834</v>
      </c>
      <c r="G417" t="s">
        <v>10</v>
      </c>
      <c r="H417" t="s">
        <v>4</v>
      </c>
      <c r="I417" t="s">
        <v>32</v>
      </c>
      <c r="J417" s="30" t="str">
        <f>IF(ISNUMBER(MATCH($D417,'Lopettaneet 2013-&gt;'!$D:$D,0)),INDEX('Lopettaneet 2013-&gt;'!$K:$K,MATCH($D417,'Lopettaneet 2013-&gt;'!$D:$D,0)),"Continues")</f>
        <v>Continues</v>
      </c>
      <c r="K417" s="30">
        <f ca="1">IF($J417="Continues",DATEDIF($B417,TODAY(),"Y"),INDEX('Lopettaneet 2013-&gt;'!$L:$L,MATCH($D417,'Lopettaneet 2013-&gt;'!$D:$D,0)))</f>
        <v>8</v>
      </c>
      <c r="L417" s="31" t="str">
        <f>IFERROR(INDEX('[1]30.06.2024'!$H:$H,MATCH($E417,'[1]30.06.2024'!$B:$B,0)),"Not found")</f>
        <v>Titanium Rahastoyhtiö Oy</v>
      </c>
      <c r="M417" s="31" t="str">
        <f>IFERROR(INDEX([2]Sheet1!$B:$B,MATCH($D417,[2]Sheet1!$A:$A,0)),"Not found")</f>
        <v>Retail</v>
      </c>
      <c r="N417">
        <f t="shared" si="12"/>
        <v>1</v>
      </c>
      <c r="O417">
        <f t="shared" si="13"/>
        <v>0</v>
      </c>
    </row>
    <row r="418" spans="1:15" x14ac:dyDescent="0.25">
      <c r="A418" t="s">
        <v>0</v>
      </c>
      <c r="B418" s="1">
        <v>42522</v>
      </c>
      <c r="C418" s="1">
        <v>55153</v>
      </c>
      <c r="D418" s="4" t="s">
        <v>1050</v>
      </c>
      <c r="E418" s="32" t="s">
        <v>1051</v>
      </c>
      <c r="F418" s="32">
        <v>27591533</v>
      </c>
      <c r="G418" t="s">
        <v>10</v>
      </c>
      <c r="H418" t="s">
        <v>11</v>
      </c>
      <c r="I418" t="s">
        <v>20</v>
      </c>
      <c r="J418" s="30" t="str">
        <f>IF(ISNUMBER(MATCH($D418,'Lopettaneet 2013-&gt;'!$D:$D,0)),INDEX('Lopettaneet 2013-&gt;'!$K:$K,MATCH($D418,'Lopettaneet 2013-&gt;'!$D:$D,0)),"Continues")</f>
        <v>Continues</v>
      </c>
      <c r="K418" s="30">
        <f ca="1">IF($J418="Continues",DATEDIF($B418,TODAY(),"Y"),INDEX('Lopettaneet 2013-&gt;'!$L:$L,MATCH($D418,'Lopettaneet 2013-&gt;'!$D:$D,0)))</f>
        <v>8</v>
      </c>
      <c r="L418" s="31" t="str">
        <f>IFERROR(INDEX('[1]30.06.2024'!$H:$H,MATCH($E418,'[1]30.06.2024'!$B:$B,0)),"Not found")</f>
        <v>eQ Rahastoyhtiö Oy</v>
      </c>
      <c r="M418" s="31" t="str">
        <f>IFERROR(INDEX([2]Sheet1!$B:$B,MATCH($D418,[2]Sheet1!$A:$A,0)),"Not found")</f>
        <v>Non-Retail</v>
      </c>
      <c r="N418">
        <f t="shared" si="12"/>
        <v>0</v>
      </c>
      <c r="O418">
        <f t="shared" si="13"/>
        <v>1</v>
      </c>
    </row>
    <row r="419" spans="1:15" x14ac:dyDescent="0.25">
      <c r="A419" t="s">
        <v>0</v>
      </c>
      <c r="B419" s="1">
        <v>42491</v>
      </c>
      <c r="C419" s="1">
        <v>55153</v>
      </c>
      <c r="D419" s="4" t="s">
        <v>1052</v>
      </c>
      <c r="E419" s="32" t="s">
        <v>1053</v>
      </c>
      <c r="F419" s="32">
        <v>27559824</v>
      </c>
      <c r="G419" t="s">
        <v>3</v>
      </c>
      <c r="H419" t="s">
        <v>4</v>
      </c>
      <c r="I419" t="s">
        <v>20</v>
      </c>
      <c r="J419" s="30" t="str">
        <f>IF(ISNUMBER(MATCH($D419,'Lopettaneet 2013-&gt;'!$D:$D,0)),INDEX('Lopettaneet 2013-&gt;'!$K:$K,MATCH($D419,'Lopettaneet 2013-&gt;'!$D:$D,0)),"Continues")</f>
        <v>Continues</v>
      </c>
      <c r="K419" s="30">
        <f ca="1">IF($J419="Continues",DATEDIF($B419,TODAY(),"Y"),INDEX('Lopettaneet 2013-&gt;'!$L:$L,MATCH($D419,'Lopettaneet 2013-&gt;'!$D:$D,0)))</f>
        <v>9</v>
      </c>
      <c r="L419" s="31" t="str">
        <f>IFERROR(INDEX('[1]30.06.2024'!$H:$H,MATCH($E419,'[1]30.06.2024'!$B:$B,0)),"Not found")</f>
        <v>Seligson &amp; Co Rahastoyhtiö Oyj</v>
      </c>
      <c r="M419" s="31" t="str">
        <f>IFERROR(INDEX([2]Sheet1!$B:$B,MATCH($D419,[2]Sheet1!$A:$A,0)),"Not found")</f>
        <v>Retail</v>
      </c>
      <c r="N419">
        <f t="shared" si="12"/>
        <v>1</v>
      </c>
      <c r="O419">
        <f t="shared" si="13"/>
        <v>0</v>
      </c>
    </row>
    <row r="420" spans="1:15" x14ac:dyDescent="0.25">
      <c r="A420" t="s">
        <v>0</v>
      </c>
      <c r="B420" s="1">
        <v>42522</v>
      </c>
      <c r="C420" s="1">
        <v>55153</v>
      </c>
      <c r="D420" s="4" t="s">
        <v>1054</v>
      </c>
      <c r="E420" s="32" t="s">
        <v>1055</v>
      </c>
      <c r="F420" s="32">
        <v>27626353</v>
      </c>
      <c r="G420" t="s">
        <v>3</v>
      </c>
      <c r="H420" t="s">
        <v>4</v>
      </c>
      <c r="I420" t="s">
        <v>20</v>
      </c>
      <c r="J420" s="30" t="str">
        <f>IF(ISNUMBER(MATCH($D420,'Lopettaneet 2013-&gt;'!$D:$D,0)),INDEX('Lopettaneet 2013-&gt;'!$K:$K,MATCH($D420,'Lopettaneet 2013-&gt;'!$D:$D,0)),"Continues")</f>
        <v>Continues</v>
      </c>
      <c r="K420" s="30">
        <f ca="1">IF($J420="Continues",DATEDIF($B420,TODAY(),"Y"),INDEX('Lopettaneet 2013-&gt;'!$L:$L,MATCH($D420,'Lopettaneet 2013-&gt;'!$D:$D,0)))</f>
        <v>8</v>
      </c>
      <c r="L420" s="31" t="str">
        <f>IFERROR(INDEX('[1]30.06.2024'!$H:$H,MATCH($E420,'[1]30.06.2024'!$B:$B,0)),"Not found")</f>
        <v>Finlandia Rahastoyhtiö Oy</v>
      </c>
      <c r="M420" s="31" t="str">
        <f>IFERROR(INDEX([2]Sheet1!$B:$B,MATCH($D420,[2]Sheet1!$A:$A,0)),"Not found")</f>
        <v>Retail</v>
      </c>
      <c r="N420">
        <f t="shared" si="12"/>
        <v>1</v>
      </c>
      <c r="O420">
        <f t="shared" si="13"/>
        <v>0</v>
      </c>
    </row>
    <row r="421" spans="1:15" x14ac:dyDescent="0.25">
      <c r="A421" t="s">
        <v>7</v>
      </c>
      <c r="B421" s="1">
        <v>43160</v>
      </c>
      <c r="C421" s="1">
        <v>55153</v>
      </c>
      <c r="D421" s="4" t="s">
        <v>1056</v>
      </c>
      <c r="E421" s="32" t="s">
        <v>1057</v>
      </c>
      <c r="F421" s="32">
        <v>28910153</v>
      </c>
      <c r="G421" t="s">
        <v>10</v>
      </c>
      <c r="H421" t="s">
        <v>11</v>
      </c>
      <c r="I421" t="s">
        <v>12</v>
      </c>
      <c r="J421" s="30" t="str">
        <f>IF(ISNUMBER(MATCH($D421,'Lopettaneet 2013-&gt;'!$D:$D,0)),INDEX('Lopettaneet 2013-&gt;'!$K:$K,MATCH($D421,'Lopettaneet 2013-&gt;'!$D:$D,0)),"Continues")</f>
        <v>Continues</v>
      </c>
      <c r="K421" s="30">
        <f ca="1">IF($J421="Continues",DATEDIF($B421,TODAY(),"Y"),INDEX('Lopettaneet 2013-&gt;'!$L:$L,MATCH($D421,'Lopettaneet 2013-&gt;'!$D:$D,0)))</f>
        <v>7</v>
      </c>
      <c r="L421" s="31" t="str">
        <f>IFERROR(INDEX('[1]30.06.2024'!$H:$H,MATCH($E421,'[1]30.06.2024'!$B:$B,0)),"Not found")</f>
        <v>Saari Partners Oy</v>
      </c>
      <c r="M421" s="31" t="str">
        <f>IFERROR(INDEX([2]Sheet1!$B:$B,MATCH($D421,[2]Sheet1!$A:$A,0)),"Not found")</f>
        <v>Non-Retail</v>
      </c>
      <c r="N421">
        <f t="shared" si="12"/>
        <v>0</v>
      </c>
      <c r="O421">
        <f t="shared" si="13"/>
        <v>1</v>
      </c>
    </row>
    <row r="422" spans="1:15" x14ac:dyDescent="0.25">
      <c r="A422" t="s">
        <v>0</v>
      </c>
      <c r="B422" s="1">
        <v>42491</v>
      </c>
      <c r="C422" s="1">
        <v>55153</v>
      </c>
      <c r="D422" s="4" t="s">
        <v>1058</v>
      </c>
      <c r="E422" s="32" t="s">
        <v>1059</v>
      </c>
      <c r="F422" s="32">
        <v>27591568</v>
      </c>
      <c r="G422" t="s">
        <v>10</v>
      </c>
      <c r="H422" t="s">
        <v>11</v>
      </c>
      <c r="I422" t="s">
        <v>20</v>
      </c>
      <c r="J422" s="30" t="str">
        <f>IF(ISNUMBER(MATCH($D422,'Lopettaneet 2013-&gt;'!$D:$D,0)),INDEX('Lopettaneet 2013-&gt;'!$K:$K,MATCH($D422,'Lopettaneet 2013-&gt;'!$D:$D,0)),"Continues")</f>
        <v>Continues</v>
      </c>
      <c r="K422" s="30">
        <f ca="1">IF($J422="Continues",DATEDIF($B422,TODAY(),"Y"),INDEX('Lopettaneet 2013-&gt;'!$L:$L,MATCH($D422,'Lopettaneet 2013-&gt;'!$D:$D,0)))</f>
        <v>9</v>
      </c>
      <c r="L422" s="31" t="str">
        <f>IFERROR(INDEX('[1]30.06.2024'!$H:$H,MATCH($E422,'[1]30.06.2024'!$B:$B,0)),"Not found")</f>
        <v>eQ Rahastoyhtiö Oy</v>
      </c>
      <c r="M422" s="31" t="str">
        <f>IFERROR(INDEX([2]Sheet1!$B:$B,MATCH($D422,[2]Sheet1!$A:$A,0)),"Not found")</f>
        <v>Non-Retail</v>
      </c>
      <c r="N422">
        <f t="shared" si="12"/>
        <v>0</v>
      </c>
      <c r="O422">
        <f t="shared" si="13"/>
        <v>1</v>
      </c>
    </row>
    <row r="423" spans="1:15" x14ac:dyDescent="0.25">
      <c r="A423" t="s">
        <v>7</v>
      </c>
      <c r="B423" s="1">
        <v>42614</v>
      </c>
      <c r="C423" s="1">
        <v>55153</v>
      </c>
      <c r="D423" s="4" t="s">
        <v>1060</v>
      </c>
      <c r="E423" s="32" t="s">
        <v>1061</v>
      </c>
      <c r="F423" s="32">
        <v>27522474</v>
      </c>
      <c r="G423" t="s">
        <v>10</v>
      </c>
      <c r="H423" t="s">
        <v>11</v>
      </c>
      <c r="I423" t="s">
        <v>32</v>
      </c>
      <c r="J423" s="30" t="str">
        <f>IF(ISNUMBER(MATCH($D423,'Lopettaneet 2013-&gt;'!$D:$D,0)),INDEX('Lopettaneet 2013-&gt;'!$K:$K,MATCH($D423,'Lopettaneet 2013-&gt;'!$D:$D,0)),"Continues")</f>
        <v>Continues</v>
      </c>
      <c r="K423" s="30">
        <f ca="1">IF($J423="Continues",DATEDIF($B423,TODAY(),"Y"),INDEX('Lopettaneet 2013-&gt;'!$L:$L,MATCH($D423,'Lopettaneet 2013-&gt;'!$D:$D,0)))</f>
        <v>8</v>
      </c>
      <c r="L423" s="31" t="str">
        <f>IFERROR(INDEX('[1]30.06.2024'!$H:$H,MATCH($E423,'[1]30.06.2024'!$B:$B,0)),"Not found")</f>
        <v>Evli-Rahastoyhtiö Oy</v>
      </c>
      <c r="M423" s="31" t="str">
        <f>IFERROR(INDEX([2]Sheet1!$B:$B,MATCH($D423,[2]Sheet1!$A:$A,0)),"Not found")</f>
        <v>Non-Retail</v>
      </c>
      <c r="N423">
        <f t="shared" si="12"/>
        <v>0</v>
      </c>
      <c r="O423">
        <f t="shared" si="13"/>
        <v>1</v>
      </c>
    </row>
    <row r="424" spans="1:15" x14ac:dyDescent="0.25">
      <c r="A424" t="s">
        <v>0</v>
      </c>
      <c r="B424" s="1">
        <v>42522</v>
      </c>
      <c r="C424" s="1">
        <v>55153</v>
      </c>
      <c r="D424" s="4" t="s">
        <v>1062</v>
      </c>
      <c r="E424" s="32" t="s">
        <v>1063</v>
      </c>
      <c r="F424" s="32">
        <v>27629802</v>
      </c>
      <c r="G424" t="s">
        <v>3</v>
      </c>
      <c r="H424" t="s">
        <v>4</v>
      </c>
      <c r="I424" t="s">
        <v>20</v>
      </c>
      <c r="J424" s="30" t="str">
        <f>IF(ISNUMBER(MATCH($D424,'Lopettaneet 2013-&gt;'!$D:$D,0)),INDEX('Lopettaneet 2013-&gt;'!$K:$K,MATCH($D424,'Lopettaneet 2013-&gt;'!$D:$D,0)),"Continues")</f>
        <v>Continues</v>
      </c>
      <c r="K424" s="30">
        <f ca="1">IF($J424="Continues",DATEDIF($B424,TODAY(),"Y"),INDEX('Lopettaneet 2013-&gt;'!$L:$L,MATCH($D424,'Lopettaneet 2013-&gt;'!$D:$D,0)))</f>
        <v>8</v>
      </c>
      <c r="L424" s="31" t="str">
        <f>IFERROR(INDEX('[1]30.06.2024'!$H:$H,MATCH($E424,'[1]30.06.2024'!$B:$B,0)),"Not found")</f>
        <v>Finlandia Rahastoyhtiö Oy</v>
      </c>
      <c r="M424" s="31" t="str">
        <f>IFERROR(INDEX([2]Sheet1!$B:$B,MATCH($D424,[2]Sheet1!$A:$A,0)),"Not found")</f>
        <v>Retail</v>
      </c>
      <c r="N424">
        <f t="shared" si="12"/>
        <v>1</v>
      </c>
      <c r="O424">
        <f t="shared" si="13"/>
        <v>0</v>
      </c>
    </row>
    <row r="425" spans="1:15" x14ac:dyDescent="0.25">
      <c r="A425" t="s">
        <v>7</v>
      </c>
      <c r="B425" s="1">
        <v>42522</v>
      </c>
      <c r="C425" s="1">
        <v>55153</v>
      </c>
      <c r="D425" s="4" t="s">
        <v>1064</v>
      </c>
      <c r="E425" s="32" t="s">
        <v>1065</v>
      </c>
      <c r="F425" s="32">
        <v>27662506</v>
      </c>
      <c r="G425" t="s">
        <v>10</v>
      </c>
      <c r="H425" t="s">
        <v>11</v>
      </c>
      <c r="I425" t="s">
        <v>12</v>
      </c>
      <c r="J425" s="30" t="str">
        <f>IF(ISNUMBER(MATCH($D425,'Lopettaneet 2013-&gt;'!$D:$D,0)),INDEX('Lopettaneet 2013-&gt;'!$K:$K,MATCH($D425,'Lopettaneet 2013-&gt;'!$D:$D,0)),"Continues")</f>
        <v>Continues</v>
      </c>
      <c r="K425" s="30">
        <f ca="1">IF($J425="Continues",DATEDIF($B425,TODAY(),"Y"),INDEX('Lopettaneet 2013-&gt;'!$L:$L,MATCH($D425,'Lopettaneet 2013-&gt;'!$D:$D,0)))</f>
        <v>8</v>
      </c>
      <c r="L425" s="31" t="str">
        <f>IFERROR(INDEX('[1]30.06.2024'!$H:$H,MATCH($E425,'[1]30.06.2024'!$B:$B,0)),"Not found")</f>
        <v>Not found</v>
      </c>
      <c r="M425" s="31" t="str">
        <f>IFERROR(INDEX([2]Sheet1!$B:$B,MATCH($D425,[2]Sheet1!$A:$A,0)),"Not found")</f>
        <v>Non-Retail</v>
      </c>
      <c r="N425">
        <f t="shared" si="12"/>
        <v>0</v>
      </c>
      <c r="O425">
        <f t="shared" si="13"/>
        <v>1</v>
      </c>
    </row>
    <row r="426" spans="1:15" x14ac:dyDescent="0.25">
      <c r="A426" t="s">
        <v>7</v>
      </c>
      <c r="B426" s="1">
        <v>42705</v>
      </c>
      <c r="C426" s="1">
        <v>43100</v>
      </c>
      <c r="D426" s="4" t="s">
        <v>1066</v>
      </c>
      <c r="E426" s="32" t="s">
        <v>1067</v>
      </c>
      <c r="F426" s="32">
        <v>27946998</v>
      </c>
      <c r="G426" t="s">
        <v>10</v>
      </c>
      <c r="H426" t="s">
        <v>11</v>
      </c>
      <c r="I426" t="s">
        <v>80</v>
      </c>
      <c r="J426" s="30" t="str">
        <f>IF(ISNUMBER(MATCH($D426,'Lopettaneet 2013-&gt;'!$D:$D,0)),INDEX('Lopettaneet 2013-&gt;'!$K:$K,MATCH($D426,'Lopettaneet 2013-&gt;'!$D:$D,0)),"Continues")</f>
        <v>Closed</v>
      </c>
      <c r="K426" s="30">
        <f ca="1">IF($J426="Continues",DATEDIF($B426,TODAY(),"Y"),INDEX('Lopettaneet 2013-&gt;'!$L:$L,MATCH($D426,'Lopettaneet 2013-&gt;'!$D:$D,0)))</f>
        <v>1</v>
      </c>
      <c r="L426" s="31" t="str">
        <f>IFERROR(INDEX('[1]30.06.2024'!$H:$H,MATCH($E426,'[1]30.06.2024'!$B:$B,0)),"Not found")</f>
        <v>Not found</v>
      </c>
      <c r="M426" s="31" t="str">
        <f>IFERROR(INDEX([2]Sheet1!$B:$B,MATCH($D426,[2]Sheet1!$A:$A,0)),"Not found")</f>
        <v>Not found</v>
      </c>
      <c r="N426">
        <f t="shared" si="12"/>
        <v>0</v>
      </c>
      <c r="O426">
        <f t="shared" si="13"/>
        <v>0</v>
      </c>
    </row>
    <row r="427" spans="1:15" x14ac:dyDescent="0.25">
      <c r="A427" t="s">
        <v>0</v>
      </c>
      <c r="B427" s="1">
        <v>42583</v>
      </c>
      <c r="C427" s="1">
        <v>43190</v>
      </c>
      <c r="D427" s="4" t="s">
        <v>1068</v>
      </c>
      <c r="E427" s="32" t="s">
        <v>1069</v>
      </c>
      <c r="F427" s="32">
        <v>27670792</v>
      </c>
      <c r="G427" t="s">
        <v>10</v>
      </c>
      <c r="H427" t="s">
        <v>4</v>
      </c>
      <c r="I427" t="s">
        <v>29</v>
      </c>
      <c r="J427" s="30" t="str">
        <f>IF(ISNUMBER(MATCH($D427,'Lopettaneet 2013-&gt;'!$D:$D,0)),INDEX('Lopettaneet 2013-&gt;'!$K:$K,MATCH($D427,'Lopettaneet 2013-&gt;'!$D:$D,0)),"Continues")</f>
        <v>Closed</v>
      </c>
      <c r="K427" s="30">
        <f ca="1">IF($J427="Continues",DATEDIF($B427,TODAY(),"Y"),INDEX('Lopettaneet 2013-&gt;'!$L:$L,MATCH($D427,'Lopettaneet 2013-&gt;'!$D:$D,0)))</f>
        <v>1</v>
      </c>
      <c r="L427" s="31" t="str">
        <f>IFERROR(INDEX('[1]30.06.2024'!$H:$H,MATCH($E427,'[1]30.06.2024'!$B:$B,0)),"Not found")</f>
        <v>Not found</v>
      </c>
      <c r="M427" s="31" t="str">
        <f>IFERROR(INDEX([2]Sheet1!$B:$B,MATCH($D427,[2]Sheet1!$A:$A,0)),"Not found")</f>
        <v>Not found</v>
      </c>
      <c r="N427">
        <f t="shared" si="12"/>
        <v>0</v>
      </c>
      <c r="O427">
        <f t="shared" si="13"/>
        <v>0</v>
      </c>
    </row>
    <row r="428" spans="1:15" x14ac:dyDescent="0.25">
      <c r="A428" t="s">
        <v>0</v>
      </c>
      <c r="B428" s="1">
        <v>42552</v>
      </c>
      <c r="C428" s="1">
        <v>43190</v>
      </c>
      <c r="D428" s="4" t="s">
        <v>1070</v>
      </c>
      <c r="E428" s="32" t="s">
        <v>1071</v>
      </c>
      <c r="F428" s="32">
        <v>27616112</v>
      </c>
      <c r="G428" t="s">
        <v>10</v>
      </c>
      <c r="H428" t="s">
        <v>4</v>
      </c>
      <c r="I428" t="s">
        <v>5</v>
      </c>
      <c r="J428" s="30" t="str">
        <f>IF(ISNUMBER(MATCH($D428,'Lopettaneet 2013-&gt;'!$D:$D,0)),INDEX('Lopettaneet 2013-&gt;'!$K:$K,MATCH($D428,'Lopettaneet 2013-&gt;'!$D:$D,0)),"Continues")</f>
        <v>Closed</v>
      </c>
      <c r="K428" s="30">
        <f ca="1">IF($J428="Continues",DATEDIF($B428,TODAY(),"Y"),INDEX('Lopettaneet 2013-&gt;'!$L:$L,MATCH($D428,'Lopettaneet 2013-&gt;'!$D:$D,0)))</f>
        <v>1</v>
      </c>
      <c r="L428" s="31" t="str">
        <f>IFERROR(INDEX('[1]30.06.2024'!$H:$H,MATCH($E428,'[1]30.06.2024'!$B:$B,0)),"Not found")</f>
        <v>Not found</v>
      </c>
      <c r="M428" s="31" t="str">
        <f>IFERROR(INDEX([2]Sheet1!$B:$B,MATCH($D428,[2]Sheet1!$A:$A,0)),"Not found")</f>
        <v>Not found</v>
      </c>
      <c r="N428">
        <f t="shared" si="12"/>
        <v>0</v>
      </c>
      <c r="O428">
        <f t="shared" si="13"/>
        <v>0</v>
      </c>
    </row>
    <row r="429" spans="1:15" x14ac:dyDescent="0.25">
      <c r="A429" t="s">
        <v>7</v>
      </c>
      <c r="B429" s="1">
        <v>42552</v>
      </c>
      <c r="C429" s="1">
        <v>55153</v>
      </c>
      <c r="D429" s="4" t="s">
        <v>1072</v>
      </c>
      <c r="E429" s="32" t="s">
        <v>1073</v>
      </c>
      <c r="F429" s="32">
        <v>27518619</v>
      </c>
      <c r="G429" t="s">
        <v>10</v>
      </c>
      <c r="H429" t="s">
        <v>11</v>
      </c>
      <c r="I429" t="s">
        <v>29</v>
      </c>
      <c r="J429" s="30" t="str">
        <f>IF(ISNUMBER(MATCH($D429,'Lopettaneet 2013-&gt;'!$D:$D,0)),INDEX('Lopettaneet 2013-&gt;'!$K:$K,MATCH($D429,'Lopettaneet 2013-&gt;'!$D:$D,0)),"Continues")</f>
        <v>Continues</v>
      </c>
      <c r="K429" s="30">
        <f ca="1">IF($J429="Continues",DATEDIF($B429,TODAY(),"Y"),INDEX('Lopettaneet 2013-&gt;'!$L:$L,MATCH($D429,'Lopettaneet 2013-&gt;'!$D:$D,0)))</f>
        <v>8</v>
      </c>
      <c r="L429" s="31" t="str">
        <f>IFERROR(INDEX('[1]30.06.2024'!$H:$H,MATCH($E429,'[1]30.06.2024'!$B:$B,0)),"Not found")</f>
        <v>Not found</v>
      </c>
      <c r="M429" s="31" t="str">
        <f>IFERROR(INDEX([2]Sheet1!$B:$B,MATCH($D429,[2]Sheet1!$A:$A,0)),"Not found")</f>
        <v>Retail</v>
      </c>
      <c r="N429">
        <f t="shared" si="12"/>
        <v>1</v>
      </c>
      <c r="O429">
        <f t="shared" si="13"/>
        <v>0</v>
      </c>
    </row>
    <row r="430" spans="1:15" x14ac:dyDescent="0.25">
      <c r="A430" t="s">
        <v>7</v>
      </c>
      <c r="B430" s="1">
        <v>42552</v>
      </c>
      <c r="C430" s="1">
        <v>55153</v>
      </c>
      <c r="D430" s="4" t="s">
        <v>1074</v>
      </c>
      <c r="E430" s="32" t="s">
        <v>1075</v>
      </c>
      <c r="F430" s="32">
        <v>27518563</v>
      </c>
      <c r="G430" t="s">
        <v>10</v>
      </c>
      <c r="H430" t="s">
        <v>11</v>
      </c>
      <c r="I430" t="s">
        <v>29</v>
      </c>
      <c r="J430" s="30" t="str">
        <f>IF(ISNUMBER(MATCH($D430,'Lopettaneet 2013-&gt;'!$D:$D,0)),INDEX('Lopettaneet 2013-&gt;'!$K:$K,MATCH($D430,'Lopettaneet 2013-&gt;'!$D:$D,0)),"Continues")</f>
        <v>Continues</v>
      </c>
      <c r="K430" s="30">
        <f ca="1">IF($J430="Continues",DATEDIF($B430,TODAY(),"Y"),INDEX('Lopettaneet 2013-&gt;'!$L:$L,MATCH($D430,'Lopettaneet 2013-&gt;'!$D:$D,0)))</f>
        <v>8</v>
      </c>
      <c r="L430" s="31" t="str">
        <f>IFERROR(INDEX('[1]30.06.2024'!$H:$H,MATCH($E430,'[1]30.06.2024'!$B:$B,0)),"Not found")</f>
        <v>Taaleri Pääomarahastot Oy</v>
      </c>
      <c r="M430" s="31" t="str">
        <f>IFERROR(INDEX([2]Sheet1!$B:$B,MATCH($D430,[2]Sheet1!$A:$A,0)),"Not found")</f>
        <v>Retail</v>
      </c>
      <c r="N430">
        <f t="shared" si="12"/>
        <v>1</v>
      </c>
      <c r="O430">
        <f t="shared" si="13"/>
        <v>0</v>
      </c>
    </row>
    <row r="431" spans="1:15" x14ac:dyDescent="0.25">
      <c r="A431" t="s">
        <v>7</v>
      </c>
      <c r="B431" s="1">
        <v>42552</v>
      </c>
      <c r="C431" s="1">
        <v>55153</v>
      </c>
      <c r="D431" s="4" t="s">
        <v>1076</v>
      </c>
      <c r="E431" s="32" t="s">
        <v>1077</v>
      </c>
      <c r="F431" s="32">
        <v>27518555</v>
      </c>
      <c r="G431" t="s">
        <v>10</v>
      </c>
      <c r="H431" t="s">
        <v>11</v>
      </c>
      <c r="I431" t="s">
        <v>29</v>
      </c>
      <c r="J431" s="30" t="str">
        <f>IF(ISNUMBER(MATCH($D431,'Lopettaneet 2013-&gt;'!$D:$D,0)),INDEX('Lopettaneet 2013-&gt;'!$K:$K,MATCH($D431,'Lopettaneet 2013-&gt;'!$D:$D,0)),"Continues")</f>
        <v>Continues</v>
      </c>
      <c r="K431" s="30">
        <f ca="1">IF($J431="Continues",DATEDIF($B431,TODAY(),"Y"),INDEX('Lopettaneet 2013-&gt;'!$L:$L,MATCH($D431,'Lopettaneet 2013-&gt;'!$D:$D,0)))</f>
        <v>8</v>
      </c>
      <c r="L431" s="31" t="str">
        <f>IFERROR(INDEX('[1]30.06.2024'!$H:$H,MATCH($E431,'[1]30.06.2024'!$B:$B,0)),"Not found")</f>
        <v>Taaleri Pääomarahastot Oy</v>
      </c>
      <c r="M431" s="31" t="str">
        <f>IFERROR(INDEX([2]Sheet1!$B:$B,MATCH($D431,[2]Sheet1!$A:$A,0)),"Not found")</f>
        <v>Retail</v>
      </c>
      <c r="N431">
        <f t="shared" si="12"/>
        <v>1</v>
      </c>
      <c r="O431">
        <f t="shared" si="13"/>
        <v>0</v>
      </c>
    </row>
    <row r="432" spans="1:15" x14ac:dyDescent="0.25">
      <c r="A432" t="s">
        <v>7</v>
      </c>
      <c r="B432" s="1">
        <v>42522</v>
      </c>
      <c r="C432" s="1">
        <v>55153</v>
      </c>
      <c r="D432" s="4" t="s">
        <v>1078</v>
      </c>
      <c r="E432" s="32" t="s">
        <v>1079</v>
      </c>
      <c r="F432" s="32">
        <v>27588115</v>
      </c>
      <c r="G432" t="s">
        <v>10</v>
      </c>
      <c r="H432" t="s">
        <v>11</v>
      </c>
      <c r="I432" t="s">
        <v>29</v>
      </c>
      <c r="J432" s="30" t="str">
        <f>IF(ISNUMBER(MATCH($D432,'Lopettaneet 2013-&gt;'!$D:$D,0)),INDEX('Lopettaneet 2013-&gt;'!$K:$K,MATCH($D432,'Lopettaneet 2013-&gt;'!$D:$D,0)),"Continues")</f>
        <v>Continues</v>
      </c>
      <c r="K432" s="30">
        <f ca="1">IF($J432="Continues",DATEDIF($B432,TODAY(),"Y"),INDEX('Lopettaneet 2013-&gt;'!$L:$L,MATCH($D432,'Lopettaneet 2013-&gt;'!$D:$D,0)))</f>
        <v>8</v>
      </c>
      <c r="L432" s="31" t="str">
        <f>IFERROR(INDEX('[1]30.06.2024'!$H:$H,MATCH($E432,'[1]30.06.2024'!$B:$B,0)),"Not found")</f>
        <v>CapMan Endowment GP Oy</v>
      </c>
      <c r="M432" s="31" t="str">
        <f>IFERROR(INDEX([2]Sheet1!$B:$B,MATCH($D432,[2]Sheet1!$A:$A,0)),"Not found")</f>
        <v>Non-Retail</v>
      </c>
      <c r="N432">
        <f t="shared" si="12"/>
        <v>0</v>
      </c>
      <c r="O432">
        <f t="shared" si="13"/>
        <v>1</v>
      </c>
    </row>
    <row r="433" spans="1:15" x14ac:dyDescent="0.25">
      <c r="A433" t="s">
        <v>0</v>
      </c>
      <c r="B433" s="1">
        <v>42552</v>
      </c>
      <c r="C433" s="1">
        <v>55153</v>
      </c>
      <c r="D433" s="4" t="s">
        <v>1080</v>
      </c>
      <c r="E433" s="32" t="s">
        <v>1081</v>
      </c>
      <c r="F433" s="32">
        <v>27670784</v>
      </c>
      <c r="G433" t="s">
        <v>10</v>
      </c>
      <c r="H433" t="s">
        <v>11</v>
      </c>
      <c r="I433" t="s">
        <v>20</v>
      </c>
      <c r="J433" s="30" t="str">
        <f>IF(ISNUMBER(MATCH($D433,'Lopettaneet 2013-&gt;'!$D:$D,0)),INDEX('Lopettaneet 2013-&gt;'!$K:$K,MATCH($D433,'Lopettaneet 2013-&gt;'!$D:$D,0)),"Continues")</f>
        <v>Continues</v>
      </c>
      <c r="K433" s="30">
        <f ca="1">IF($J433="Continues",DATEDIF($B433,TODAY(),"Y"),INDEX('Lopettaneet 2013-&gt;'!$L:$L,MATCH($D433,'Lopettaneet 2013-&gt;'!$D:$D,0)))</f>
        <v>8</v>
      </c>
      <c r="L433" s="31" t="str">
        <f>IFERROR(INDEX('[1]30.06.2024'!$H:$H,MATCH($E433,'[1]30.06.2024'!$B:$B,0)),"Not found")</f>
        <v>eQ Rahastoyhtiö Oy</v>
      </c>
      <c r="M433" s="31" t="str">
        <f>IFERROR(INDEX([2]Sheet1!$B:$B,MATCH($D433,[2]Sheet1!$A:$A,0)),"Not found")</f>
        <v>Non-Retail</v>
      </c>
      <c r="N433">
        <f t="shared" si="12"/>
        <v>0</v>
      </c>
      <c r="O433">
        <f t="shared" si="13"/>
        <v>1</v>
      </c>
    </row>
    <row r="434" spans="1:15" x14ac:dyDescent="0.25">
      <c r="A434" t="s">
        <v>0</v>
      </c>
      <c r="B434" s="1">
        <v>42583</v>
      </c>
      <c r="C434" s="1">
        <v>55153</v>
      </c>
      <c r="D434" s="4" t="s">
        <v>1082</v>
      </c>
      <c r="E434" s="32" t="s">
        <v>1083</v>
      </c>
      <c r="F434" s="32">
        <v>27681344</v>
      </c>
      <c r="G434" t="s">
        <v>3</v>
      </c>
      <c r="H434" t="s">
        <v>4</v>
      </c>
      <c r="I434" t="s">
        <v>20</v>
      </c>
      <c r="J434" s="30" t="str">
        <f>IF(ISNUMBER(MATCH($D434,'Lopettaneet 2013-&gt;'!$D:$D,0)),INDEX('Lopettaneet 2013-&gt;'!$K:$K,MATCH($D434,'Lopettaneet 2013-&gt;'!$D:$D,0)),"Continues")</f>
        <v>Continues</v>
      </c>
      <c r="K434" s="30">
        <f ca="1">IF($J434="Continues",DATEDIF($B434,TODAY(),"Y"),INDEX('Lopettaneet 2013-&gt;'!$L:$L,MATCH($D434,'Lopettaneet 2013-&gt;'!$D:$D,0)))</f>
        <v>8</v>
      </c>
      <c r="L434" s="31" t="str">
        <f>IFERROR(INDEX('[1]30.06.2024'!$H:$H,MATCH($E434,'[1]30.06.2024'!$B:$B,0)),"Not found")</f>
        <v>Evli-Rahastoyhtiö Oy</v>
      </c>
      <c r="M434" s="31" t="str">
        <f>IFERROR(INDEX([2]Sheet1!$B:$B,MATCH($D434,[2]Sheet1!$A:$A,0)),"Not found")</f>
        <v>Retail</v>
      </c>
      <c r="N434">
        <f t="shared" si="12"/>
        <v>1</v>
      </c>
      <c r="O434">
        <f t="shared" si="13"/>
        <v>0</v>
      </c>
    </row>
    <row r="435" spans="1:15" x14ac:dyDescent="0.25">
      <c r="A435" t="s">
        <v>0</v>
      </c>
      <c r="B435" s="1">
        <v>42614</v>
      </c>
      <c r="C435" s="1">
        <v>55153</v>
      </c>
      <c r="D435" s="4" t="s">
        <v>1084</v>
      </c>
      <c r="E435" s="32" t="s">
        <v>1085</v>
      </c>
      <c r="F435" s="32">
        <v>27652375</v>
      </c>
      <c r="G435" t="s">
        <v>3</v>
      </c>
      <c r="H435" t="s">
        <v>4</v>
      </c>
      <c r="I435" t="s">
        <v>5</v>
      </c>
      <c r="J435" s="30" t="str">
        <f>IF(ISNUMBER(MATCH($D435,'Lopettaneet 2013-&gt;'!$D:$D,0)),INDEX('Lopettaneet 2013-&gt;'!$K:$K,MATCH($D435,'Lopettaneet 2013-&gt;'!$D:$D,0)),"Continues")</f>
        <v>Continues</v>
      </c>
      <c r="K435" s="30">
        <f ca="1">IF($J435="Continues",DATEDIF($B435,TODAY(),"Y"),INDEX('Lopettaneet 2013-&gt;'!$L:$L,MATCH($D435,'Lopettaneet 2013-&gt;'!$D:$D,0)))</f>
        <v>8</v>
      </c>
      <c r="L435" s="31" t="str">
        <f>IFERROR(INDEX('[1]30.06.2024'!$H:$H,MATCH($E435,'[1]30.06.2024'!$B:$B,0)),"Not found")</f>
        <v>OP-Rahastoyhtiö Oy</v>
      </c>
      <c r="M435" s="31" t="str">
        <f>IFERROR(INDEX([2]Sheet1!$B:$B,MATCH($D435,[2]Sheet1!$A:$A,0)),"Not found")</f>
        <v>Retail</v>
      </c>
      <c r="N435">
        <f t="shared" si="12"/>
        <v>1</v>
      </c>
      <c r="O435">
        <f t="shared" si="13"/>
        <v>0</v>
      </c>
    </row>
    <row r="436" spans="1:15" x14ac:dyDescent="0.25">
      <c r="A436" t="s">
        <v>7</v>
      </c>
      <c r="B436" s="1">
        <v>42552</v>
      </c>
      <c r="C436" s="1">
        <v>45199</v>
      </c>
      <c r="D436" s="4" t="s">
        <v>37</v>
      </c>
      <c r="E436" s="32" t="s">
        <v>38</v>
      </c>
      <c r="F436" s="32">
        <v>27697354</v>
      </c>
      <c r="G436" t="s">
        <v>10</v>
      </c>
      <c r="H436" t="s">
        <v>11</v>
      </c>
      <c r="I436" t="s">
        <v>32</v>
      </c>
      <c r="J436" s="30" t="str">
        <f>IF(ISNUMBER(MATCH($D436,'Lopettaneet 2013-&gt;'!$D:$D,0)),INDEX('Lopettaneet 2013-&gt;'!$K:$K,MATCH($D436,'Lopettaneet 2013-&gt;'!$D:$D,0)),"Continues")</f>
        <v>Closed</v>
      </c>
      <c r="K436" s="30">
        <f ca="1">IF($J436="Continues",DATEDIF($B436,TODAY(),"Y"),INDEX('Lopettaneet 2013-&gt;'!$L:$L,MATCH($D436,'Lopettaneet 2013-&gt;'!$D:$D,0)))</f>
        <v>7</v>
      </c>
      <c r="L436" s="31" t="str">
        <f>IFERROR(INDEX('[1]30.06.2024'!$H:$H,MATCH($E436,'[1]30.06.2024'!$B:$B,0)),"Not found")</f>
        <v>Not found</v>
      </c>
      <c r="M436" s="31" t="str">
        <f>IFERROR(INDEX([2]Sheet1!$B:$B,MATCH($D436,[2]Sheet1!$A:$A,0)),"Not found")</f>
        <v>Not found</v>
      </c>
      <c r="N436">
        <f t="shared" si="12"/>
        <v>0</v>
      </c>
      <c r="O436">
        <f t="shared" si="13"/>
        <v>0</v>
      </c>
    </row>
    <row r="437" spans="1:15" x14ac:dyDescent="0.25">
      <c r="A437" t="s">
        <v>7</v>
      </c>
      <c r="B437" s="1">
        <v>42705</v>
      </c>
      <c r="C437" s="1">
        <v>43343</v>
      </c>
      <c r="D437" s="4" t="s">
        <v>1086</v>
      </c>
      <c r="E437" s="32" t="s">
        <v>1087</v>
      </c>
      <c r="F437" s="32">
        <v>27586291</v>
      </c>
      <c r="G437" t="s">
        <v>10</v>
      </c>
      <c r="H437" t="s">
        <v>11</v>
      </c>
      <c r="I437" t="s">
        <v>32</v>
      </c>
      <c r="J437" s="30" t="str">
        <f>IF(ISNUMBER(MATCH($D437,'Lopettaneet 2013-&gt;'!$D:$D,0)),INDEX('Lopettaneet 2013-&gt;'!$K:$K,MATCH($D437,'Lopettaneet 2013-&gt;'!$D:$D,0)),"Continues")</f>
        <v>Closed</v>
      </c>
      <c r="K437" s="30">
        <f ca="1">IF($J437="Continues",DATEDIF($B437,TODAY(),"Y"),INDEX('Lopettaneet 2013-&gt;'!$L:$L,MATCH($D437,'Lopettaneet 2013-&gt;'!$D:$D,0)))</f>
        <v>1</v>
      </c>
      <c r="L437" s="31" t="str">
        <f>IFERROR(INDEX('[1]30.06.2024'!$H:$H,MATCH($E437,'[1]30.06.2024'!$B:$B,0)),"Not found")</f>
        <v>Not found</v>
      </c>
      <c r="M437" s="31" t="str">
        <f>IFERROR(INDEX([2]Sheet1!$B:$B,MATCH($D437,[2]Sheet1!$A:$A,0)),"Not found")</f>
        <v>Not found</v>
      </c>
      <c r="N437">
        <f t="shared" si="12"/>
        <v>0</v>
      </c>
      <c r="O437">
        <f t="shared" si="13"/>
        <v>0</v>
      </c>
    </row>
    <row r="438" spans="1:15" x14ac:dyDescent="0.25">
      <c r="A438" t="s">
        <v>7</v>
      </c>
      <c r="B438" s="1">
        <v>42705</v>
      </c>
      <c r="C438" s="1">
        <v>55153</v>
      </c>
      <c r="D438" s="4" t="s">
        <v>1088</v>
      </c>
      <c r="E438" s="32" t="s">
        <v>1089</v>
      </c>
      <c r="F438" s="32">
        <v>27829425</v>
      </c>
      <c r="G438" t="s">
        <v>10</v>
      </c>
      <c r="H438" t="s">
        <v>11</v>
      </c>
      <c r="I438" t="s">
        <v>80</v>
      </c>
      <c r="J438" s="30" t="str">
        <f>IF(ISNUMBER(MATCH($D438,'Lopettaneet 2013-&gt;'!$D:$D,0)),INDEX('Lopettaneet 2013-&gt;'!$K:$K,MATCH($D438,'Lopettaneet 2013-&gt;'!$D:$D,0)),"Continues")</f>
        <v>Continues</v>
      </c>
      <c r="K438" s="30">
        <f ca="1">IF($J438="Continues",DATEDIF($B438,TODAY(),"Y"),INDEX('Lopettaneet 2013-&gt;'!$L:$L,MATCH($D438,'Lopettaneet 2013-&gt;'!$D:$D,0)))</f>
        <v>8</v>
      </c>
      <c r="L438" s="31" t="str">
        <f>IFERROR(INDEX('[1]30.06.2024'!$H:$H,MATCH($E438,'[1]30.06.2024'!$B:$B,0)),"Not found")</f>
        <v>Innovestor Ventures Oy</v>
      </c>
      <c r="M438" s="31" t="str">
        <f>IFERROR(INDEX([2]Sheet1!$B:$B,MATCH($D438,[2]Sheet1!$A:$A,0)),"Not found")</f>
        <v>Non-Retail</v>
      </c>
      <c r="N438">
        <f t="shared" si="12"/>
        <v>0</v>
      </c>
      <c r="O438">
        <f t="shared" si="13"/>
        <v>1</v>
      </c>
    </row>
    <row r="439" spans="1:15" x14ac:dyDescent="0.25">
      <c r="A439" t="s">
        <v>0</v>
      </c>
      <c r="B439" s="1">
        <v>43252</v>
      </c>
      <c r="C439" s="1">
        <v>55153</v>
      </c>
      <c r="D439" s="4" t="s">
        <v>1090</v>
      </c>
      <c r="E439" s="32" t="s">
        <v>1091</v>
      </c>
      <c r="F439" s="32">
        <v>27711742</v>
      </c>
      <c r="G439" t="s">
        <v>3</v>
      </c>
      <c r="H439" t="s">
        <v>4</v>
      </c>
      <c r="I439" t="s">
        <v>5</v>
      </c>
      <c r="J439" s="30" t="str">
        <f>IF(ISNUMBER(MATCH($D439,'Lopettaneet 2013-&gt;'!$D:$D,0)),INDEX('Lopettaneet 2013-&gt;'!$K:$K,MATCH($D439,'Lopettaneet 2013-&gt;'!$D:$D,0)),"Continues")</f>
        <v>Continues</v>
      </c>
      <c r="K439" s="30">
        <f ca="1">IF($J439="Continues",DATEDIF($B439,TODAY(),"Y"),INDEX('Lopettaneet 2013-&gt;'!$L:$L,MATCH($D439,'Lopettaneet 2013-&gt;'!$D:$D,0)))</f>
        <v>6</v>
      </c>
      <c r="L439" s="31" t="str">
        <f>IFERROR(INDEX('[1]30.06.2024'!$H:$H,MATCH($E439,'[1]30.06.2024'!$B:$B,0)),"Not found")</f>
        <v>Nordea Funds Oy</v>
      </c>
      <c r="M439" s="31" t="str">
        <f>IFERROR(INDEX([2]Sheet1!$B:$B,MATCH($D439,[2]Sheet1!$A:$A,0)),"Not found")</f>
        <v>Retail</v>
      </c>
      <c r="N439">
        <f t="shared" si="12"/>
        <v>1</v>
      </c>
      <c r="O439">
        <f t="shared" si="13"/>
        <v>0</v>
      </c>
    </row>
    <row r="440" spans="1:15" x14ac:dyDescent="0.25">
      <c r="A440" t="s">
        <v>0</v>
      </c>
      <c r="B440" s="1">
        <v>42614</v>
      </c>
      <c r="C440" s="1">
        <v>55153</v>
      </c>
      <c r="D440" s="4" t="s">
        <v>1092</v>
      </c>
      <c r="E440" s="32" t="s">
        <v>1093</v>
      </c>
      <c r="F440" s="32">
        <v>27720032</v>
      </c>
      <c r="G440" t="s">
        <v>3</v>
      </c>
      <c r="H440" t="s">
        <v>4</v>
      </c>
      <c r="I440" t="s">
        <v>20</v>
      </c>
      <c r="J440" s="30" t="str">
        <f>IF(ISNUMBER(MATCH($D440,'Lopettaneet 2013-&gt;'!$D:$D,0)),INDEX('Lopettaneet 2013-&gt;'!$K:$K,MATCH($D440,'Lopettaneet 2013-&gt;'!$D:$D,0)),"Continues")</f>
        <v>Continues</v>
      </c>
      <c r="K440" s="30">
        <f ca="1">IF($J440="Continues",DATEDIF($B440,TODAY(),"Y"),INDEX('Lopettaneet 2013-&gt;'!$L:$L,MATCH($D440,'Lopettaneet 2013-&gt;'!$D:$D,0)))</f>
        <v>8</v>
      </c>
      <c r="L440" s="31" t="str">
        <f>IFERROR(INDEX('[1]30.06.2024'!$H:$H,MATCH($E440,'[1]30.06.2024'!$B:$B,0)),"Not found")</f>
        <v>Nordea Funds Oy</v>
      </c>
      <c r="M440" s="31" t="str">
        <f>IFERROR(INDEX([2]Sheet1!$B:$B,MATCH($D440,[2]Sheet1!$A:$A,0)),"Not found")</f>
        <v>Retail</v>
      </c>
      <c r="N440">
        <f t="shared" si="12"/>
        <v>1</v>
      </c>
      <c r="O440">
        <f t="shared" si="13"/>
        <v>0</v>
      </c>
    </row>
    <row r="441" spans="1:15" x14ac:dyDescent="0.25">
      <c r="A441" t="s">
        <v>0</v>
      </c>
      <c r="B441" s="1">
        <v>42614</v>
      </c>
      <c r="C441" s="1">
        <v>55153</v>
      </c>
      <c r="D441" s="4" t="s">
        <v>1094</v>
      </c>
      <c r="E441" s="32" t="s">
        <v>1095</v>
      </c>
      <c r="F441" s="32">
        <v>27720067</v>
      </c>
      <c r="G441" t="s">
        <v>3</v>
      </c>
      <c r="H441" t="s">
        <v>4</v>
      </c>
      <c r="I441" t="s">
        <v>5</v>
      </c>
      <c r="J441" s="30" t="str">
        <f>IF(ISNUMBER(MATCH($D441,'Lopettaneet 2013-&gt;'!$D:$D,0)),INDEX('Lopettaneet 2013-&gt;'!$K:$K,MATCH($D441,'Lopettaneet 2013-&gt;'!$D:$D,0)),"Continues")</f>
        <v>Continues</v>
      </c>
      <c r="K441" s="30">
        <f ca="1">IF($J441="Continues",DATEDIF($B441,TODAY(),"Y"),INDEX('Lopettaneet 2013-&gt;'!$L:$L,MATCH($D441,'Lopettaneet 2013-&gt;'!$D:$D,0)))</f>
        <v>8</v>
      </c>
      <c r="L441" s="31" t="str">
        <f>IFERROR(INDEX('[1]30.06.2024'!$H:$H,MATCH($E441,'[1]30.06.2024'!$B:$B,0)),"Not found")</f>
        <v>Nordea Funds Oy</v>
      </c>
      <c r="M441" s="31" t="str">
        <f>IFERROR(INDEX([2]Sheet1!$B:$B,MATCH($D441,[2]Sheet1!$A:$A,0)),"Not found")</f>
        <v>Retail</v>
      </c>
      <c r="N441">
        <f t="shared" si="12"/>
        <v>1</v>
      </c>
      <c r="O441">
        <f t="shared" si="13"/>
        <v>0</v>
      </c>
    </row>
    <row r="442" spans="1:15" x14ac:dyDescent="0.25">
      <c r="A442" t="s">
        <v>0</v>
      </c>
      <c r="B442" s="1">
        <v>42614</v>
      </c>
      <c r="C442" s="1">
        <v>55153</v>
      </c>
      <c r="D442" s="4" t="s">
        <v>1096</v>
      </c>
      <c r="E442" s="32" t="s">
        <v>1097</v>
      </c>
      <c r="F442" s="32">
        <v>27723989</v>
      </c>
      <c r="G442" t="s">
        <v>3</v>
      </c>
      <c r="H442" t="s">
        <v>4</v>
      </c>
      <c r="I442" t="s">
        <v>5</v>
      </c>
      <c r="J442" s="30" t="str">
        <f>IF(ISNUMBER(MATCH($D442,'Lopettaneet 2013-&gt;'!$D:$D,0)),INDEX('Lopettaneet 2013-&gt;'!$K:$K,MATCH($D442,'Lopettaneet 2013-&gt;'!$D:$D,0)),"Continues")</f>
        <v>Continues</v>
      </c>
      <c r="K442" s="30">
        <f ca="1">IF($J442="Continues",DATEDIF($B442,TODAY(),"Y"),INDEX('Lopettaneet 2013-&gt;'!$L:$L,MATCH($D442,'Lopettaneet 2013-&gt;'!$D:$D,0)))</f>
        <v>8</v>
      </c>
      <c r="L442" s="31" t="str">
        <f>IFERROR(INDEX('[1]30.06.2024'!$H:$H,MATCH($E442,'[1]30.06.2024'!$B:$B,0)),"Not found")</f>
        <v>Nordea Funds Oy</v>
      </c>
      <c r="M442" s="31" t="str">
        <f>IFERROR(INDEX([2]Sheet1!$B:$B,MATCH($D442,[2]Sheet1!$A:$A,0)),"Not found")</f>
        <v>Retail</v>
      </c>
      <c r="N442">
        <f t="shared" si="12"/>
        <v>1</v>
      </c>
      <c r="O442">
        <f t="shared" si="13"/>
        <v>0</v>
      </c>
    </row>
    <row r="443" spans="1:15" x14ac:dyDescent="0.25">
      <c r="A443" t="s">
        <v>7</v>
      </c>
      <c r="B443" s="1">
        <v>42522</v>
      </c>
      <c r="C443" s="1">
        <v>55153</v>
      </c>
      <c r="D443" s="4" t="s">
        <v>1098</v>
      </c>
      <c r="E443" s="32" t="s">
        <v>1099</v>
      </c>
      <c r="F443" s="32">
        <v>27675294</v>
      </c>
      <c r="G443" t="s">
        <v>10</v>
      </c>
      <c r="H443" t="s">
        <v>11</v>
      </c>
      <c r="I443" t="s">
        <v>80</v>
      </c>
      <c r="J443" s="30" t="str">
        <f>IF(ISNUMBER(MATCH($D443,'Lopettaneet 2013-&gt;'!$D:$D,0)),INDEX('Lopettaneet 2013-&gt;'!$K:$K,MATCH($D443,'Lopettaneet 2013-&gt;'!$D:$D,0)),"Continues")</f>
        <v>Continues</v>
      </c>
      <c r="K443" s="30">
        <f ca="1">IF($J443="Continues",DATEDIF($B443,TODAY(),"Y"),INDEX('Lopettaneet 2013-&gt;'!$L:$L,MATCH($D443,'Lopettaneet 2013-&gt;'!$D:$D,0)))</f>
        <v>8</v>
      </c>
      <c r="L443" s="31" t="str">
        <f>IFERROR(INDEX('[1]30.06.2024'!$H:$H,MATCH($E443,'[1]30.06.2024'!$B:$B,0)),"Not found")</f>
        <v>Bocap Private Equity Oy</v>
      </c>
      <c r="M443" s="31" t="str">
        <f>IFERROR(INDEX([2]Sheet1!$B:$B,MATCH($D443,[2]Sheet1!$A:$A,0)),"Not found")</f>
        <v>Non-Retail</v>
      </c>
      <c r="N443">
        <f t="shared" si="12"/>
        <v>0</v>
      </c>
      <c r="O443">
        <f t="shared" si="13"/>
        <v>1</v>
      </c>
    </row>
    <row r="444" spans="1:15" x14ac:dyDescent="0.25">
      <c r="A444" t="s">
        <v>7</v>
      </c>
      <c r="B444" s="1">
        <v>42705</v>
      </c>
      <c r="C444" s="1">
        <v>55153</v>
      </c>
      <c r="D444" s="4" t="s">
        <v>1100</v>
      </c>
      <c r="E444" s="32" t="s">
        <v>1101</v>
      </c>
      <c r="F444" s="32">
        <v>27756676</v>
      </c>
      <c r="G444" t="s">
        <v>10</v>
      </c>
      <c r="H444" t="s">
        <v>11</v>
      </c>
      <c r="I444" t="s">
        <v>32</v>
      </c>
      <c r="J444" s="30" t="str">
        <f>IF(ISNUMBER(MATCH($D444,'Lopettaneet 2013-&gt;'!$D:$D,0)),INDEX('Lopettaneet 2013-&gt;'!$K:$K,MATCH($D444,'Lopettaneet 2013-&gt;'!$D:$D,0)),"Continues")</f>
        <v>Continues</v>
      </c>
      <c r="K444" s="30">
        <f ca="1">IF($J444="Continues",DATEDIF($B444,TODAY(),"Y"),INDEX('Lopettaneet 2013-&gt;'!$L:$L,MATCH($D444,'Lopettaneet 2013-&gt;'!$D:$D,0)))</f>
        <v>8</v>
      </c>
      <c r="L444" s="31" t="str">
        <f>IFERROR(INDEX('[1]30.06.2024'!$H:$H,MATCH($E444,'[1]30.06.2024'!$B:$B,0)),"Not found")</f>
        <v>Premico Asuntorahaston hallinnointiyhtiö Oy</v>
      </c>
      <c r="M444" s="31" t="str">
        <f>IFERROR(INDEX([2]Sheet1!$B:$B,MATCH($D444,[2]Sheet1!$A:$A,0)),"Not found")</f>
        <v>Non-Retail</v>
      </c>
      <c r="N444">
        <f t="shared" si="12"/>
        <v>0</v>
      </c>
      <c r="O444">
        <f t="shared" si="13"/>
        <v>1</v>
      </c>
    </row>
    <row r="445" spans="1:15" x14ac:dyDescent="0.25">
      <c r="A445" t="s">
        <v>7</v>
      </c>
      <c r="B445" s="1">
        <v>42705</v>
      </c>
      <c r="C445" s="1">
        <v>55153</v>
      </c>
      <c r="D445" s="4" t="s">
        <v>1102</v>
      </c>
      <c r="E445" s="32" t="s">
        <v>1103</v>
      </c>
      <c r="F445" s="32">
        <v>27721721</v>
      </c>
      <c r="G445" t="s">
        <v>10</v>
      </c>
      <c r="H445" t="s">
        <v>11</v>
      </c>
      <c r="I445" t="s">
        <v>32</v>
      </c>
      <c r="J445" s="30" t="str">
        <f>IF(ISNUMBER(MATCH($D445,'Lopettaneet 2013-&gt;'!$D:$D,0)),INDEX('Lopettaneet 2013-&gt;'!$K:$K,MATCH($D445,'Lopettaneet 2013-&gt;'!$D:$D,0)),"Continues")</f>
        <v>Continues</v>
      </c>
      <c r="K445" s="30">
        <f ca="1">IF($J445="Continues",DATEDIF($B445,TODAY(),"Y"),INDEX('Lopettaneet 2013-&gt;'!$L:$L,MATCH($D445,'Lopettaneet 2013-&gt;'!$D:$D,0)))</f>
        <v>8</v>
      </c>
      <c r="L445" s="31" t="str">
        <f>IFERROR(INDEX('[1]30.06.2024'!$H:$H,MATCH($E445,'[1]30.06.2024'!$B:$B,0)),"Not found")</f>
        <v>FinCap Kiinteistörahastot Oy</v>
      </c>
      <c r="M445" s="31" t="str">
        <f>IFERROR(INDEX([2]Sheet1!$B:$B,MATCH($D445,[2]Sheet1!$A:$A,0)),"Not found")</f>
        <v>Non-Retail</v>
      </c>
      <c r="N445">
        <f t="shared" si="12"/>
        <v>0</v>
      </c>
      <c r="O445">
        <f t="shared" si="13"/>
        <v>1</v>
      </c>
    </row>
    <row r="446" spans="1:15" x14ac:dyDescent="0.25">
      <c r="A446" t="s">
        <v>7</v>
      </c>
      <c r="B446" s="1">
        <v>42614</v>
      </c>
      <c r="C446" s="1">
        <v>43830</v>
      </c>
      <c r="D446" s="4" t="s">
        <v>1104</v>
      </c>
      <c r="E446" s="32" t="s">
        <v>1105</v>
      </c>
      <c r="F446" s="32">
        <v>27810214</v>
      </c>
      <c r="G446" t="s">
        <v>10</v>
      </c>
      <c r="H446" t="s">
        <v>11</v>
      </c>
      <c r="I446" t="s">
        <v>12</v>
      </c>
      <c r="J446" s="30" t="str">
        <f>IF(ISNUMBER(MATCH($D446,'Lopettaneet 2013-&gt;'!$D:$D,0)),INDEX('Lopettaneet 2013-&gt;'!$K:$K,MATCH($D446,'Lopettaneet 2013-&gt;'!$D:$D,0)),"Continues")</f>
        <v>Closed</v>
      </c>
      <c r="K446" s="30">
        <f ca="1">IF($J446="Continues",DATEDIF($B446,TODAY(),"Y"),INDEX('Lopettaneet 2013-&gt;'!$L:$L,MATCH($D446,'Lopettaneet 2013-&gt;'!$D:$D,0)))</f>
        <v>3</v>
      </c>
      <c r="L446" s="31" t="str">
        <f>IFERROR(INDEX('[1]30.06.2024'!$H:$H,MATCH($E446,'[1]30.06.2024'!$B:$B,0)),"Not found")</f>
        <v>Not found</v>
      </c>
      <c r="M446" s="31" t="str">
        <f>IFERROR(INDEX([2]Sheet1!$B:$B,MATCH($D446,[2]Sheet1!$A:$A,0)),"Not found")</f>
        <v>Not found</v>
      </c>
      <c r="N446">
        <f t="shared" si="12"/>
        <v>0</v>
      </c>
      <c r="O446">
        <f t="shared" si="13"/>
        <v>0</v>
      </c>
    </row>
    <row r="447" spans="1:15" x14ac:dyDescent="0.25">
      <c r="A447" t="s">
        <v>7</v>
      </c>
      <c r="B447" s="1">
        <v>42614</v>
      </c>
      <c r="C447" s="1">
        <v>55153</v>
      </c>
      <c r="D447" s="4" t="s">
        <v>1106</v>
      </c>
      <c r="E447" s="32" t="s">
        <v>1107</v>
      </c>
      <c r="F447" s="32">
        <v>27989111</v>
      </c>
      <c r="G447" t="s">
        <v>10</v>
      </c>
      <c r="H447" t="s">
        <v>11</v>
      </c>
      <c r="I447" t="s">
        <v>80</v>
      </c>
      <c r="J447" s="30" t="str">
        <f>IF(ISNUMBER(MATCH($D447,'Lopettaneet 2013-&gt;'!$D:$D,0)),INDEX('Lopettaneet 2013-&gt;'!$K:$K,MATCH($D447,'Lopettaneet 2013-&gt;'!$D:$D,0)),"Continues")</f>
        <v>Continues</v>
      </c>
      <c r="K447" s="30">
        <f ca="1">IF($J447="Continues",DATEDIF($B447,TODAY(),"Y"),INDEX('Lopettaneet 2013-&gt;'!$L:$L,MATCH($D447,'Lopettaneet 2013-&gt;'!$D:$D,0)))</f>
        <v>8</v>
      </c>
      <c r="L447" s="31" t="str">
        <f>IFERROR(INDEX('[1]30.06.2024'!$H:$H,MATCH($E447,'[1]30.06.2024'!$B:$B,0)),"Not found")</f>
        <v>Butterfly Ventures Oy</v>
      </c>
      <c r="M447" s="31" t="str">
        <f>IFERROR(INDEX([2]Sheet1!$B:$B,MATCH($D447,[2]Sheet1!$A:$A,0)),"Not found")</f>
        <v>Non-Retail</v>
      </c>
      <c r="N447">
        <f t="shared" si="12"/>
        <v>0</v>
      </c>
      <c r="O447">
        <f t="shared" si="13"/>
        <v>1</v>
      </c>
    </row>
    <row r="448" spans="1:15" x14ac:dyDescent="0.25">
      <c r="A448" t="s">
        <v>0</v>
      </c>
      <c r="B448" s="1">
        <v>42583</v>
      </c>
      <c r="C448" s="1">
        <v>55153</v>
      </c>
      <c r="D448" s="4" t="s">
        <v>1108</v>
      </c>
      <c r="E448" s="32" t="s">
        <v>1109</v>
      </c>
      <c r="F448" s="32">
        <v>27731807</v>
      </c>
      <c r="G448" t="s">
        <v>3</v>
      </c>
      <c r="H448" t="s">
        <v>4</v>
      </c>
      <c r="I448" t="s">
        <v>20</v>
      </c>
      <c r="J448" s="30" t="str">
        <f>IF(ISNUMBER(MATCH($D448,'Lopettaneet 2013-&gt;'!$D:$D,0)),INDEX('Lopettaneet 2013-&gt;'!$K:$K,MATCH($D448,'Lopettaneet 2013-&gt;'!$D:$D,0)),"Continues")</f>
        <v>Continues</v>
      </c>
      <c r="K448" s="30">
        <f ca="1">IF($J448="Continues",DATEDIF($B448,TODAY(),"Y"),INDEX('Lopettaneet 2013-&gt;'!$L:$L,MATCH($D448,'Lopettaneet 2013-&gt;'!$D:$D,0)))</f>
        <v>8</v>
      </c>
      <c r="L448" s="31" t="str">
        <f>IFERROR(INDEX('[1]30.06.2024'!$H:$H,MATCH($E448,'[1]30.06.2024'!$B:$B,0)),"Not found")</f>
        <v>eQ Rahastoyhtiö Oy</v>
      </c>
      <c r="M448" s="31" t="str">
        <f>IFERROR(INDEX([2]Sheet1!$B:$B,MATCH($D448,[2]Sheet1!$A:$A,0)),"Not found")</f>
        <v>Retail</v>
      </c>
      <c r="N448">
        <f t="shared" si="12"/>
        <v>1</v>
      </c>
      <c r="O448">
        <f t="shared" si="13"/>
        <v>0</v>
      </c>
    </row>
    <row r="449" spans="1:15" x14ac:dyDescent="0.25">
      <c r="A449" t="s">
        <v>0</v>
      </c>
      <c r="B449" s="1">
        <v>43191</v>
      </c>
      <c r="C449" s="1">
        <v>43708</v>
      </c>
      <c r="D449" s="4" t="s">
        <v>1110</v>
      </c>
      <c r="E449" s="32" t="s">
        <v>1111</v>
      </c>
      <c r="F449" s="32">
        <v>27752368</v>
      </c>
      <c r="G449" t="s">
        <v>10</v>
      </c>
      <c r="H449" t="s">
        <v>4</v>
      </c>
      <c r="I449" t="s">
        <v>47</v>
      </c>
      <c r="J449" s="30" t="str">
        <f>IF(ISNUMBER(MATCH($D449,'Lopettaneet 2013-&gt;'!$D:$D,0)),INDEX('Lopettaneet 2013-&gt;'!$K:$K,MATCH($D449,'Lopettaneet 2013-&gt;'!$D:$D,0)),"Continues")</f>
        <v>Closed</v>
      </c>
      <c r="K449" s="30">
        <f ca="1">IF($J449="Continues",DATEDIF($B449,TODAY(),"Y"),INDEX('Lopettaneet 2013-&gt;'!$L:$L,MATCH($D449,'Lopettaneet 2013-&gt;'!$D:$D,0)))</f>
        <v>1</v>
      </c>
      <c r="L449" s="31" t="str">
        <f>IFERROR(INDEX('[1]30.06.2024'!$H:$H,MATCH($E449,'[1]30.06.2024'!$B:$B,0)),"Not found")</f>
        <v>Not found</v>
      </c>
      <c r="M449" s="31" t="str">
        <f>IFERROR(INDEX([2]Sheet1!$B:$B,MATCH($D449,[2]Sheet1!$A:$A,0)),"Not found")</f>
        <v>Not found</v>
      </c>
      <c r="N449">
        <f t="shared" si="12"/>
        <v>0</v>
      </c>
      <c r="O449">
        <f t="shared" si="13"/>
        <v>0</v>
      </c>
    </row>
    <row r="450" spans="1:15" x14ac:dyDescent="0.25">
      <c r="A450" t="s">
        <v>0</v>
      </c>
      <c r="B450" s="1">
        <v>42644</v>
      </c>
      <c r="C450" s="1">
        <v>55153</v>
      </c>
      <c r="D450" s="4" t="s">
        <v>1112</v>
      </c>
      <c r="E450" s="32" t="s">
        <v>1113</v>
      </c>
      <c r="F450" s="32">
        <v>27810425</v>
      </c>
      <c r="G450" t="s">
        <v>10</v>
      </c>
      <c r="H450" t="s">
        <v>4</v>
      </c>
      <c r="I450" t="s">
        <v>5</v>
      </c>
      <c r="J450" s="30" t="str">
        <f>IF(ISNUMBER(MATCH($D450,'Lopettaneet 2013-&gt;'!$D:$D,0)),INDEX('Lopettaneet 2013-&gt;'!$K:$K,MATCH($D450,'Lopettaneet 2013-&gt;'!$D:$D,0)),"Continues")</f>
        <v>Continues</v>
      </c>
      <c r="K450" s="30">
        <f ca="1">IF($J450="Continues",DATEDIF($B450,TODAY(),"Y"),INDEX('Lopettaneet 2013-&gt;'!$L:$L,MATCH($D450,'Lopettaneet 2013-&gt;'!$D:$D,0)))</f>
        <v>8</v>
      </c>
      <c r="L450" s="31" t="str">
        <f>IFERROR(INDEX('[1]30.06.2024'!$H:$H,MATCH($E450,'[1]30.06.2024'!$B:$B,0)),"Not found")</f>
        <v>Evli-Rahastoyhtiö Oy</v>
      </c>
      <c r="M450" s="31" t="str">
        <f>IFERROR(INDEX([2]Sheet1!$B:$B,MATCH($D450,[2]Sheet1!$A:$A,0)),"Not found")</f>
        <v>Retail</v>
      </c>
      <c r="N450">
        <f t="shared" si="12"/>
        <v>1</v>
      </c>
      <c r="O450">
        <f t="shared" si="13"/>
        <v>0</v>
      </c>
    </row>
    <row r="451" spans="1:15" x14ac:dyDescent="0.25">
      <c r="A451" t="s">
        <v>7</v>
      </c>
      <c r="B451" s="1">
        <v>42705</v>
      </c>
      <c r="C451" s="1">
        <v>43100</v>
      </c>
      <c r="D451" s="4" t="s">
        <v>1114</v>
      </c>
      <c r="E451" s="32" t="s">
        <v>1115</v>
      </c>
      <c r="F451" s="32">
        <v>27946955</v>
      </c>
      <c r="G451" t="s">
        <v>10</v>
      </c>
      <c r="H451" t="s">
        <v>11</v>
      </c>
      <c r="I451" t="s">
        <v>80</v>
      </c>
      <c r="J451" s="30" t="str">
        <f>IF(ISNUMBER(MATCH($D451,'Lopettaneet 2013-&gt;'!$D:$D,0)),INDEX('Lopettaneet 2013-&gt;'!$K:$K,MATCH($D451,'Lopettaneet 2013-&gt;'!$D:$D,0)),"Continues")</f>
        <v>Closed</v>
      </c>
      <c r="K451" s="30">
        <f ca="1">IF($J451="Continues",DATEDIF($B451,TODAY(),"Y"),INDEX('Lopettaneet 2013-&gt;'!$L:$L,MATCH($D451,'Lopettaneet 2013-&gt;'!$D:$D,0)))</f>
        <v>1</v>
      </c>
      <c r="L451" s="31" t="str">
        <f>IFERROR(INDEX('[1]30.06.2024'!$H:$H,MATCH($E451,'[1]30.06.2024'!$B:$B,0)),"Not found")</f>
        <v>Not found</v>
      </c>
      <c r="M451" s="31" t="str">
        <f>IFERROR(INDEX([2]Sheet1!$B:$B,MATCH($D451,[2]Sheet1!$A:$A,0)),"Not found")</f>
        <v>Not found</v>
      </c>
      <c r="N451">
        <f t="shared" ref="N451:N514" si="14">IF($M451="Retail",1,0)</f>
        <v>0</v>
      </c>
      <c r="O451">
        <f t="shared" ref="O451:O514" si="15">IF($M451="Non-Retail",1,0)</f>
        <v>0</v>
      </c>
    </row>
    <row r="452" spans="1:15" x14ac:dyDescent="0.25">
      <c r="A452" t="s">
        <v>0</v>
      </c>
      <c r="B452" s="1">
        <v>42705</v>
      </c>
      <c r="C452" s="1">
        <v>55153</v>
      </c>
      <c r="D452" s="4" t="s">
        <v>1116</v>
      </c>
      <c r="E452" s="32" t="s">
        <v>1117</v>
      </c>
      <c r="F452" s="32">
        <v>27809598</v>
      </c>
      <c r="G452" t="s">
        <v>3</v>
      </c>
      <c r="H452" t="s">
        <v>4</v>
      </c>
      <c r="I452" t="s">
        <v>20</v>
      </c>
      <c r="J452" s="30" t="str">
        <f>IF(ISNUMBER(MATCH($D452,'Lopettaneet 2013-&gt;'!$D:$D,0)),INDEX('Lopettaneet 2013-&gt;'!$K:$K,MATCH($D452,'Lopettaneet 2013-&gt;'!$D:$D,0)),"Continues")</f>
        <v>Continues</v>
      </c>
      <c r="K452" s="30">
        <f ca="1">IF($J452="Continues",DATEDIF($B452,TODAY(),"Y"),INDEX('Lopettaneet 2013-&gt;'!$L:$L,MATCH($D452,'Lopettaneet 2013-&gt;'!$D:$D,0)))</f>
        <v>8</v>
      </c>
      <c r="L452" s="31" t="str">
        <f>IFERROR(INDEX('[1]30.06.2024'!$H:$H,MATCH($E452,'[1]30.06.2024'!$B:$B,0)),"Not found")</f>
        <v>Investors House Rahastot Oy</v>
      </c>
      <c r="M452" s="31" t="str">
        <f>IFERROR(INDEX([2]Sheet1!$B:$B,MATCH($D452,[2]Sheet1!$A:$A,0)),"Not found")</f>
        <v>Retail</v>
      </c>
      <c r="N452">
        <f t="shared" si="14"/>
        <v>1</v>
      </c>
      <c r="O452">
        <f t="shared" si="15"/>
        <v>0</v>
      </c>
    </row>
    <row r="453" spans="1:15" x14ac:dyDescent="0.25">
      <c r="A453" t="s">
        <v>0</v>
      </c>
      <c r="B453" s="1">
        <v>42795</v>
      </c>
      <c r="C453" s="1">
        <v>55153</v>
      </c>
      <c r="D453" s="4" t="s">
        <v>1118</v>
      </c>
      <c r="E453" s="32" t="s">
        <v>1119</v>
      </c>
      <c r="F453" s="32">
        <v>27824544</v>
      </c>
      <c r="G453" t="s">
        <v>3</v>
      </c>
      <c r="H453" t="s">
        <v>4</v>
      </c>
      <c r="I453" t="s">
        <v>20</v>
      </c>
      <c r="J453" s="30" t="str">
        <f>IF(ISNUMBER(MATCH($D453,'Lopettaneet 2013-&gt;'!$D:$D,0)),INDEX('Lopettaneet 2013-&gt;'!$K:$K,MATCH($D453,'Lopettaneet 2013-&gt;'!$D:$D,0)),"Continues")</f>
        <v>Continues</v>
      </c>
      <c r="K453" s="30">
        <f ca="1">IF($J453="Continues",DATEDIF($B453,TODAY(),"Y"),INDEX('Lopettaneet 2013-&gt;'!$L:$L,MATCH($D453,'Lopettaneet 2013-&gt;'!$D:$D,0)))</f>
        <v>8</v>
      </c>
      <c r="L453" s="31" t="str">
        <f>IFERROR(INDEX('[1]30.06.2024'!$H:$H,MATCH($E453,'[1]30.06.2024'!$B:$B,0)),"Not found")</f>
        <v>Nordea Funds Oy</v>
      </c>
      <c r="M453" s="31" t="str">
        <f>IFERROR(INDEX([2]Sheet1!$B:$B,MATCH($D453,[2]Sheet1!$A:$A,0)),"Not found")</f>
        <v>Retail</v>
      </c>
      <c r="N453">
        <f t="shared" si="14"/>
        <v>1</v>
      </c>
      <c r="O453">
        <f t="shared" si="15"/>
        <v>0</v>
      </c>
    </row>
    <row r="454" spans="1:15" x14ac:dyDescent="0.25">
      <c r="A454" t="s">
        <v>0</v>
      </c>
      <c r="B454" s="1">
        <v>42795</v>
      </c>
      <c r="C454" s="1">
        <v>55153</v>
      </c>
      <c r="D454" s="4" t="s">
        <v>1120</v>
      </c>
      <c r="E454" s="32" t="s">
        <v>1121</v>
      </c>
      <c r="F454" s="32">
        <v>27824608</v>
      </c>
      <c r="G454" t="s">
        <v>3</v>
      </c>
      <c r="H454" t="s">
        <v>4</v>
      </c>
      <c r="I454" t="s">
        <v>5</v>
      </c>
      <c r="J454" s="30" t="str">
        <f>IF(ISNUMBER(MATCH($D454,'Lopettaneet 2013-&gt;'!$D:$D,0)),INDEX('Lopettaneet 2013-&gt;'!$K:$K,MATCH($D454,'Lopettaneet 2013-&gt;'!$D:$D,0)),"Continues")</f>
        <v>Continues</v>
      </c>
      <c r="K454" s="30">
        <f ca="1">IF($J454="Continues",DATEDIF($B454,TODAY(),"Y"),INDEX('Lopettaneet 2013-&gt;'!$L:$L,MATCH($D454,'Lopettaneet 2013-&gt;'!$D:$D,0)))</f>
        <v>8</v>
      </c>
      <c r="L454" s="31" t="str">
        <f>IFERROR(INDEX('[1]30.06.2024'!$H:$H,MATCH($E454,'[1]30.06.2024'!$B:$B,0)),"Not found")</f>
        <v>Nordea Funds Oy</v>
      </c>
      <c r="M454" s="31" t="str">
        <f>IFERROR(INDEX([2]Sheet1!$B:$B,MATCH($D454,[2]Sheet1!$A:$A,0)),"Not found")</f>
        <v>Not found</v>
      </c>
      <c r="N454">
        <f t="shared" si="14"/>
        <v>0</v>
      </c>
      <c r="O454">
        <f t="shared" si="15"/>
        <v>0</v>
      </c>
    </row>
    <row r="455" spans="1:15" x14ac:dyDescent="0.25">
      <c r="A455" t="s">
        <v>0</v>
      </c>
      <c r="B455" s="1">
        <v>42795</v>
      </c>
      <c r="C455" s="1">
        <v>55153</v>
      </c>
      <c r="D455" s="4" t="s">
        <v>1122</v>
      </c>
      <c r="E455" s="32" t="s">
        <v>1123</v>
      </c>
      <c r="F455" s="32">
        <v>27824472</v>
      </c>
      <c r="G455" t="s">
        <v>3</v>
      </c>
      <c r="H455" t="s">
        <v>4</v>
      </c>
      <c r="I455" t="s">
        <v>50</v>
      </c>
      <c r="J455" s="30" t="str">
        <f>IF(ISNUMBER(MATCH($D455,'Lopettaneet 2013-&gt;'!$D:$D,0)),INDEX('Lopettaneet 2013-&gt;'!$K:$K,MATCH($D455,'Lopettaneet 2013-&gt;'!$D:$D,0)),"Continues")</f>
        <v>Continues</v>
      </c>
      <c r="K455" s="30">
        <f ca="1">IF($J455="Continues",DATEDIF($B455,TODAY(),"Y"),INDEX('Lopettaneet 2013-&gt;'!$L:$L,MATCH($D455,'Lopettaneet 2013-&gt;'!$D:$D,0)))</f>
        <v>8</v>
      </c>
      <c r="L455" s="31" t="str">
        <f>IFERROR(INDEX('[1]30.06.2024'!$H:$H,MATCH($E455,'[1]30.06.2024'!$B:$B,0)),"Not found")</f>
        <v>Nordea Funds Oy</v>
      </c>
      <c r="M455" s="31" t="str">
        <f>IFERROR(INDEX([2]Sheet1!$B:$B,MATCH($D455,[2]Sheet1!$A:$A,0)),"Not found")</f>
        <v>Retail</v>
      </c>
      <c r="N455">
        <f t="shared" si="14"/>
        <v>1</v>
      </c>
      <c r="O455">
        <f t="shared" si="15"/>
        <v>0</v>
      </c>
    </row>
    <row r="456" spans="1:15" x14ac:dyDescent="0.25">
      <c r="A456" t="s">
        <v>0</v>
      </c>
      <c r="B456" s="1">
        <v>42795</v>
      </c>
      <c r="C456" s="1">
        <v>55153</v>
      </c>
      <c r="D456" s="4" t="s">
        <v>1124</v>
      </c>
      <c r="E456" s="32" t="s">
        <v>1125</v>
      </c>
      <c r="F456" s="32">
        <v>27825651</v>
      </c>
      <c r="G456" t="s">
        <v>3</v>
      </c>
      <c r="H456" t="s">
        <v>4</v>
      </c>
      <c r="I456" t="s">
        <v>20</v>
      </c>
      <c r="J456" s="30" t="str">
        <f>IF(ISNUMBER(MATCH($D456,'Lopettaneet 2013-&gt;'!$D:$D,0)),INDEX('Lopettaneet 2013-&gt;'!$K:$K,MATCH($D456,'Lopettaneet 2013-&gt;'!$D:$D,0)),"Continues")</f>
        <v>Continues</v>
      </c>
      <c r="K456" s="30">
        <f ca="1">IF($J456="Continues",DATEDIF($B456,TODAY(),"Y"),INDEX('Lopettaneet 2013-&gt;'!$L:$L,MATCH($D456,'Lopettaneet 2013-&gt;'!$D:$D,0)))</f>
        <v>8</v>
      </c>
      <c r="L456" s="31" t="str">
        <f>IFERROR(INDEX('[1]30.06.2024'!$H:$H,MATCH($E456,'[1]30.06.2024'!$B:$B,0)),"Not found")</f>
        <v>Nordea Funds Oy</v>
      </c>
      <c r="M456" s="31" t="str">
        <f>IFERROR(INDEX([2]Sheet1!$B:$B,MATCH($D456,[2]Sheet1!$A:$A,0)),"Not found")</f>
        <v>Retail</v>
      </c>
      <c r="N456">
        <f t="shared" si="14"/>
        <v>1</v>
      </c>
      <c r="O456">
        <f t="shared" si="15"/>
        <v>0</v>
      </c>
    </row>
    <row r="457" spans="1:15" x14ac:dyDescent="0.25">
      <c r="A457" t="s">
        <v>7</v>
      </c>
      <c r="B457" s="1">
        <v>42614</v>
      </c>
      <c r="C457" s="1">
        <v>55153</v>
      </c>
      <c r="D457" s="4" t="s">
        <v>1126</v>
      </c>
      <c r="E457" s="32" t="s">
        <v>1127</v>
      </c>
      <c r="F457" s="32">
        <v>27781708</v>
      </c>
      <c r="G457" t="s">
        <v>10</v>
      </c>
      <c r="H457" t="s">
        <v>11</v>
      </c>
      <c r="I457" t="s">
        <v>32</v>
      </c>
      <c r="J457" s="30" t="str">
        <f>IF(ISNUMBER(MATCH($D457,'Lopettaneet 2013-&gt;'!$D:$D,0)),INDEX('Lopettaneet 2013-&gt;'!$K:$K,MATCH($D457,'Lopettaneet 2013-&gt;'!$D:$D,0)),"Continues")</f>
        <v>Continues</v>
      </c>
      <c r="K457" s="30">
        <f ca="1">IF($J457="Continues",DATEDIF($B457,TODAY(),"Y"),INDEX('Lopettaneet 2013-&gt;'!$L:$L,MATCH($D457,'Lopettaneet 2013-&gt;'!$D:$D,0)))</f>
        <v>8</v>
      </c>
      <c r="L457" s="31" t="str">
        <f>IFERROR(INDEX('[1]30.06.2024'!$H:$H,MATCH($E457,'[1]30.06.2024'!$B:$B,0)),"Not found")</f>
        <v>LähiTapiola Vaihtoehtorahastot Oy</v>
      </c>
      <c r="M457" s="31" t="str">
        <f>IFERROR(INDEX([2]Sheet1!$B:$B,MATCH($D457,[2]Sheet1!$A:$A,0)),"Not found")</f>
        <v>Non-Retail</v>
      </c>
      <c r="N457">
        <f t="shared" si="14"/>
        <v>0</v>
      </c>
      <c r="O457">
        <f t="shared" si="15"/>
        <v>1</v>
      </c>
    </row>
    <row r="458" spans="1:15" x14ac:dyDescent="0.25">
      <c r="A458" t="s">
        <v>7</v>
      </c>
      <c r="B458" s="1">
        <v>42705</v>
      </c>
      <c r="C458" s="1">
        <v>55153</v>
      </c>
      <c r="D458" s="4" t="s">
        <v>1128</v>
      </c>
      <c r="E458" s="32" t="s">
        <v>1129</v>
      </c>
      <c r="F458" s="32">
        <v>27773898</v>
      </c>
      <c r="G458" t="s">
        <v>10</v>
      </c>
      <c r="H458" t="s">
        <v>11</v>
      </c>
      <c r="I458" t="s">
        <v>80</v>
      </c>
      <c r="J458" s="30" t="str">
        <f>IF(ISNUMBER(MATCH($D458,'Lopettaneet 2013-&gt;'!$D:$D,0)),INDEX('Lopettaneet 2013-&gt;'!$K:$K,MATCH($D458,'Lopettaneet 2013-&gt;'!$D:$D,0)),"Continues")</f>
        <v>Continues</v>
      </c>
      <c r="K458" s="30">
        <f ca="1">IF($J458="Continues",DATEDIF($B458,TODAY(),"Y"),INDEX('Lopettaneet 2013-&gt;'!$L:$L,MATCH($D458,'Lopettaneet 2013-&gt;'!$D:$D,0)))</f>
        <v>8</v>
      </c>
      <c r="L458" s="31" t="str">
        <f>IFERROR(INDEX('[1]30.06.2024'!$H:$H,MATCH($E458,'[1]30.06.2024'!$B:$B,0)),"Not found")</f>
        <v>Icebreaker Fund Management Oy</v>
      </c>
      <c r="M458" s="31" t="str">
        <f>IFERROR(INDEX([2]Sheet1!$B:$B,MATCH($D458,[2]Sheet1!$A:$A,0)),"Not found")</f>
        <v>Retail</v>
      </c>
      <c r="N458">
        <f t="shared" si="14"/>
        <v>1</v>
      </c>
      <c r="O458">
        <f t="shared" si="15"/>
        <v>0</v>
      </c>
    </row>
    <row r="459" spans="1:15" x14ac:dyDescent="0.25">
      <c r="A459" t="s">
        <v>7</v>
      </c>
      <c r="B459" s="1">
        <v>42705</v>
      </c>
      <c r="C459" s="1">
        <v>43921</v>
      </c>
      <c r="D459" s="4" t="s">
        <v>1130</v>
      </c>
      <c r="E459" s="32" t="s">
        <v>1131</v>
      </c>
      <c r="F459" s="32">
        <v>27076048</v>
      </c>
      <c r="G459" t="s">
        <v>10</v>
      </c>
      <c r="H459" t="s">
        <v>11</v>
      </c>
      <c r="I459" t="s">
        <v>80</v>
      </c>
      <c r="J459" s="30" t="str">
        <f>IF(ISNUMBER(MATCH($D459,'Lopettaneet 2013-&gt;'!$D:$D,0)),INDEX('Lopettaneet 2013-&gt;'!$K:$K,MATCH($D459,'Lopettaneet 2013-&gt;'!$D:$D,0)),"Continues")</f>
        <v>Closed</v>
      </c>
      <c r="K459" s="30">
        <f ca="1">IF($J459="Continues",DATEDIF($B459,TODAY(),"Y"),INDEX('Lopettaneet 2013-&gt;'!$L:$L,MATCH($D459,'Lopettaneet 2013-&gt;'!$D:$D,0)))</f>
        <v>3</v>
      </c>
      <c r="L459" s="31" t="str">
        <f>IFERROR(INDEX('[1]30.06.2024'!$H:$H,MATCH($E459,'[1]30.06.2024'!$B:$B,0)),"Not found")</f>
        <v>Not found</v>
      </c>
      <c r="M459" s="31" t="str">
        <f>IFERROR(INDEX([2]Sheet1!$B:$B,MATCH($D459,[2]Sheet1!$A:$A,0)),"Not found")</f>
        <v>Not found</v>
      </c>
      <c r="N459">
        <f t="shared" si="14"/>
        <v>0</v>
      </c>
      <c r="O459">
        <f t="shared" si="15"/>
        <v>0</v>
      </c>
    </row>
    <row r="460" spans="1:15" x14ac:dyDescent="0.25">
      <c r="A460" t="s">
        <v>7</v>
      </c>
      <c r="B460" s="1">
        <v>42705</v>
      </c>
      <c r="C460" s="1">
        <v>43921</v>
      </c>
      <c r="D460" s="4" t="s">
        <v>1132</v>
      </c>
      <c r="E460" s="32" t="s">
        <v>1133</v>
      </c>
      <c r="F460" s="32">
        <v>27673168</v>
      </c>
      <c r="G460" t="s">
        <v>10</v>
      </c>
      <c r="H460" t="s">
        <v>11</v>
      </c>
      <c r="I460" t="s">
        <v>32</v>
      </c>
      <c r="J460" s="30" t="str">
        <f>IF(ISNUMBER(MATCH($D460,'Lopettaneet 2013-&gt;'!$D:$D,0)),INDEX('Lopettaneet 2013-&gt;'!$K:$K,MATCH($D460,'Lopettaneet 2013-&gt;'!$D:$D,0)),"Continues")</f>
        <v>Closed</v>
      </c>
      <c r="K460" s="30">
        <f ca="1">IF($J460="Continues",DATEDIF($B460,TODAY(),"Y"),INDEX('Lopettaneet 2013-&gt;'!$L:$L,MATCH($D460,'Lopettaneet 2013-&gt;'!$D:$D,0)))</f>
        <v>3</v>
      </c>
      <c r="L460" s="31" t="str">
        <f>IFERROR(INDEX('[1]30.06.2024'!$H:$H,MATCH($E460,'[1]30.06.2024'!$B:$B,0)),"Not found")</f>
        <v>Not found</v>
      </c>
      <c r="M460" s="31" t="str">
        <f>IFERROR(INDEX([2]Sheet1!$B:$B,MATCH($D460,[2]Sheet1!$A:$A,0)),"Not found")</f>
        <v>Not found</v>
      </c>
      <c r="N460">
        <f t="shared" si="14"/>
        <v>0</v>
      </c>
      <c r="O460">
        <f t="shared" si="15"/>
        <v>0</v>
      </c>
    </row>
    <row r="461" spans="1:15" x14ac:dyDescent="0.25">
      <c r="A461" t="s">
        <v>7</v>
      </c>
      <c r="B461" s="1">
        <v>42705</v>
      </c>
      <c r="C461" s="1">
        <v>44926</v>
      </c>
      <c r="D461" s="4" t="s">
        <v>1134</v>
      </c>
      <c r="E461" s="32" t="s">
        <v>1135</v>
      </c>
      <c r="F461" s="32">
        <v>27780414</v>
      </c>
      <c r="G461" t="s">
        <v>10</v>
      </c>
      <c r="H461" t="s">
        <v>11</v>
      </c>
      <c r="I461" t="s">
        <v>32</v>
      </c>
      <c r="J461" s="30" t="str">
        <f>IF(ISNUMBER(MATCH($D461,'Lopettaneet 2013-&gt;'!$D:$D,0)),INDEX('Lopettaneet 2013-&gt;'!$K:$K,MATCH($D461,'Lopettaneet 2013-&gt;'!$D:$D,0)),"Continues")</f>
        <v>Closed</v>
      </c>
      <c r="K461" s="30">
        <f ca="1">IF($J461="Continues",DATEDIF($B461,TODAY(),"Y"),INDEX('Lopettaneet 2013-&gt;'!$L:$L,MATCH($D461,'Lopettaneet 2013-&gt;'!$D:$D,0)))</f>
        <v>6</v>
      </c>
      <c r="L461" s="31" t="str">
        <f>IFERROR(INDEX('[1]30.06.2024'!$H:$H,MATCH($E461,'[1]30.06.2024'!$B:$B,0)),"Not found")</f>
        <v>Not found</v>
      </c>
      <c r="M461" s="31" t="str">
        <f>IFERROR(INDEX([2]Sheet1!$B:$B,MATCH($D461,[2]Sheet1!$A:$A,0)),"Not found")</f>
        <v>Not found</v>
      </c>
      <c r="N461">
        <f t="shared" si="14"/>
        <v>0</v>
      </c>
      <c r="O461">
        <f t="shared" si="15"/>
        <v>0</v>
      </c>
    </row>
    <row r="462" spans="1:15" x14ac:dyDescent="0.25">
      <c r="A462" t="s">
        <v>7</v>
      </c>
      <c r="B462" s="1">
        <v>42826</v>
      </c>
      <c r="C462" s="1">
        <v>42827</v>
      </c>
      <c r="D462" s="4" t="s">
        <v>1136</v>
      </c>
      <c r="E462" s="32" t="s">
        <v>1137</v>
      </c>
      <c r="F462" s="32" t="s">
        <v>14</v>
      </c>
      <c r="G462" t="s">
        <v>10</v>
      </c>
      <c r="H462" t="s">
        <v>11</v>
      </c>
      <c r="I462" t="s">
        <v>80</v>
      </c>
      <c r="J462" s="30" t="str">
        <f>IF(ISNUMBER(MATCH($D462,'Lopettaneet 2013-&gt;'!$D:$D,0)),INDEX('Lopettaneet 2013-&gt;'!$K:$K,MATCH($D462,'Lopettaneet 2013-&gt;'!$D:$D,0)),"Continues")</f>
        <v>Closed</v>
      </c>
      <c r="K462" s="30">
        <f ca="1">IF($J462="Continues",DATEDIF($B462,TODAY(),"Y"),INDEX('Lopettaneet 2013-&gt;'!$L:$L,MATCH($D462,'Lopettaneet 2013-&gt;'!$D:$D,0)))</f>
        <v>0</v>
      </c>
      <c r="L462" s="31" t="str">
        <f>IFERROR(INDEX('[1]30.06.2024'!$H:$H,MATCH($E462,'[1]30.06.2024'!$B:$B,0)),"Not found")</f>
        <v>Not found</v>
      </c>
      <c r="M462" s="31" t="str">
        <f>IFERROR(INDEX([2]Sheet1!$B:$B,MATCH($D462,[2]Sheet1!$A:$A,0)),"Not found")</f>
        <v>Not found</v>
      </c>
      <c r="N462">
        <f t="shared" si="14"/>
        <v>0</v>
      </c>
      <c r="O462">
        <f t="shared" si="15"/>
        <v>0</v>
      </c>
    </row>
    <row r="463" spans="1:15" x14ac:dyDescent="0.25">
      <c r="A463" t="s">
        <v>7</v>
      </c>
      <c r="B463" s="1">
        <v>42705</v>
      </c>
      <c r="C463" s="1">
        <v>55153</v>
      </c>
      <c r="D463" s="4" t="s">
        <v>1138</v>
      </c>
      <c r="E463" s="32" t="s">
        <v>1139</v>
      </c>
      <c r="F463" s="32">
        <v>27980037</v>
      </c>
      <c r="G463" t="s">
        <v>10</v>
      </c>
      <c r="H463" t="s">
        <v>11</v>
      </c>
      <c r="I463" t="s">
        <v>12</v>
      </c>
      <c r="J463" s="30" t="str">
        <f>IF(ISNUMBER(MATCH($D463,'Lopettaneet 2013-&gt;'!$D:$D,0)),INDEX('Lopettaneet 2013-&gt;'!$K:$K,MATCH($D463,'Lopettaneet 2013-&gt;'!$D:$D,0)),"Continues")</f>
        <v>Continues</v>
      </c>
      <c r="K463" s="30">
        <f ca="1">IF($J463="Continues",DATEDIF($B463,TODAY(),"Y"),INDEX('Lopettaneet 2013-&gt;'!$L:$L,MATCH($D463,'Lopettaneet 2013-&gt;'!$D:$D,0)))</f>
        <v>8</v>
      </c>
      <c r="L463" s="31" t="str">
        <f>IFERROR(INDEX('[1]30.06.2024'!$H:$H,MATCH($E463,'[1]30.06.2024'!$B:$B,0)),"Not found")</f>
        <v>Sentica Partners Oy</v>
      </c>
      <c r="M463" s="31" t="str">
        <f>IFERROR(INDEX([2]Sheet1!$B:$B,MATCH($D463,[2]Sheet1!$A:$A,0)),"Not found")</f>
        <v>Non-Retail</v>
      </c>
      <c r="N463">
        <f t="shared" si="14"/>
        <v>0</v>
      </c>
      <c r="O463">
        <f t="shared" si="15"/>
        <v>1</v>
      </c>
    </row>
    <row r="464" spans="1:15" x14ac:dyDescent="0.25">
      <c r="A464" t="s">
        <v>7</v>
      </c>
      <c r="B464" s="1">
        <v>42705</v>
      </c>
      <c r="C464" s="1">
        <v>55153</v>
      </c>
      <c r="D464" s="4" t="s">
        <v>1140</v>
      </c>
      <c r="E464" s="32" t="s">
        <v>1141</v>
      </c>
      <c r="F464" s="32">
        <v>27853791</v>
      </c>
      <c r="G464" t="s">
        <v>10</v>
      </c>
      <c r="H464" t="s">
        <v>11</v>
      </c>
      <c r="I464" t="s">
        <v>12</v>
      </c>
      <c r="J464" s="30" t="str">
        <f>IF(ISNUMBER(MATCH($D464,'Lopettaneet 2013-&gt;'!$D:$D,0)),INDEX('Lopettaneet 2013-&gt;'!$K:$K,MATCH($D464,'Lopettaneet 2013-&gt;'!$D:$D,0)),"Continues")</f>
        <v>Continues</v>
      </c>
      <c r="K464" s="30">
        <f ca="1">IF($J464="Continues",DATEDIF($B464,TODAY(),"Y"),INDEX('Lopettaneet 2013-&gt;'!$L:$L,MATCH($D464,'Lopettaneet 2013-&gt;'!$D:$D,0)))</f>
        <v>8</v>
      </c>
      <c r="L464" s="31" t="str">
        <f>IFERROR(INDEX('[1]30.06.2024'!$H:$H,MATCH($E464,'[1]30.06.2024'!$B:$B,0)),"Not found")</f>
        <v>Korona Invest Oy</v>
      </c>
      <c r="M464" s="31" t="str">
        <f>IFERROR(INDEX([2]Sheet1!$B:$B,MATCH($D464,[2]Sheet1!$A:$A,0)),"Not found")</f>
        <v>Non-Retail</v>
      </c>
      <c r="N464">
        <f t="shared" si="14"/>
        <v>0</v>
      </c>
      <c r="O464">
        <f t="shared" si="15"/>
        <v>1</v>
      </c>
    </row>
    <row r="465" spans="1:15" x14ac:dyDescent="0.25">
      <c r="A465" t="s">
        <v>7</v>
      </c>
      <c r="B465" s="1">
        <v>42614</v>
      </c>
      <c r="C465" s="1">
        <v>55153</v>
      </c>
      <c r="D465" s="4" t="s">
        <v>1142</v>
      </c>
      <c r="E465" s="32" t="s">
        <v>1143</v>
      </c>
      <c r="F465" s="32">
        <v>27771358</v>
      </c>
      <c r="G465" t="s">
        <v>10</v>
      </c>
      <c r="H465" t="s">
        <v>11</v>
      </c>
      <c r="I465" t="s">
        <v>29</v>
      </c>
      <c r="J465" s="30" t="str">
        <f>IF(ISNUMBER(MATCH($D465,'Lopettaneet 2013-&gt;'!$D:$D,0)),INDEX('Lopettaneet 2013-&gt;'!$K:$K,MATCH($D465,'Lopettaneet 2013-&gt;'!$D:$D,0)),"Continues")</f>
        <v>Closed</v>
      </c>
      <c r="K465" s="30">
        <f ca="1">IF($J465="Continues",DATEDIF($B465,TODAY(),"Y"),INDEX('Lopettaneet 2013-&gt;'!$L:$L,MATCH($D465,'Lopettaneet 2013-&gt;'!$D:$D,0)))</f>
        <v>7</v>
      </c>
      <c r="L465" s="31" t="str">
        <f>IFERROR(INDEX('[1]30.06.2024'!$H:$H,MATCH($E465,'[1]30.06.2024'!$B:$B,0)),"Not found")</f>
        <v>S-Pankki Vaikuttavuussijoitukset Oy</v>
      </c>
      <c r="M465" s="31" t="str">
        <f>IFERROR(INDEX([2]Sheet1!$B:$B,MATCH($D465,[2]Sheet1!$A:$A,0)),"Not found")</f>
        <v>Non-Retail</v>
      </c>
      <c r="N465">
        <f t="shared" si="14"/>
        <v>0</v>
      </c>
      <c r="O465">
        <f t="shared" si="15"/>
        <v>1</v>
      </c>
    </row>
    <row r="466" spans="1:15" x14ac:dyDescent="0.25">
      <c r="A466" t="s">
        <v>0</v>
      </c>
      <c r="B466" s="1">
        <v>42675</v>
      </c>
      <c r="C466" s="1">
        <v>55153</v>
      </c>
      <c r="D466" s="4" t="s">
        <v>1144</v>
      </c>
      <c r="E466" s="32" t="s">
        <v>1145</v>
      </c>
      <c r="F466" s="32">
        <v>27864191</v>
      </c>
      <c r="G466" t="s">
        <v>3</v>
      </c>
      <c r="H466" t="s">
        <v>4</v>
      </c>
      <c r="I466" t="s">
        <v>20</v>
      </c>
      <c r="J466" s="30" t="str">
        <f>IF(ISNUMBER(MATCH($D466,'Lopettaneet 2013-&gt;'!$D:$D,0)),INDEX('Lopettaneet 2013-&gt;'!$K:$K,MATCH($D466,'Lopettaneet 2013-&gt;'!$D:$D,0)),"Continues")</f>
        <v>Continues</v>
      </c>
      <c r="K466" s="30">
        <f ca="1">IF($J466="Continues",DATEDIF($B466,TODAY(),"Y"),INDEX('Lopettaneet 2013-&gt;'!$L:$L,MATCH($D466,'Lopettaneet 2013-&gt;'!$D:$D,0)))</f>
        <v>8</v>
      </c>
      <c r="L466" s="31" t="str">
        <f>IFERROR(INDEX('[1]30.06.2024'!$H:$H,MATCH($E466,'[1]30.06.2024'!$B:$B,0)),"Not found")</f>
        <v>Not found</v>
      </c>
      <c r="M466" s="31" t="str">
        <f>IFERROR(INDEX([2]Sheet1!$B:$B,MATCH($D466,[2]Sheet1!$A:$A,0)),"Not found")</f>
        <v>Retail</v>
      </c>
      <c r="N466">
        <f t="shared" si="14"/>
        <v>1</v>
      </c>
      <c r="O466">
        <f t="shared" si="15"/>
        <v>0</v>
      </c>
    </row>
    <row r="467" spans="1:15" x14ac:dyDescent="0.25">
      <c r="A467" t="s">
        <v>0</v>
      </c>
      <c r="B467" s="1">
        <v>42705</v>
      </c>
      <c r="C467" s="1">
        <v>55153</v>
      </c>
      <c r="D467" s="4" t="s">
        <v>1146</v>
      </c>
      <c r="E467" s="32" t="s">
        <v>1147</v>
      </c>
      <c r="F467" s="32">
        <v>27796168</v>
      </c>
      <c r="G467" t="s">
        <v>10</v>
      </c>
      <c r="H467" t="s">
        <v>4</v>
      </c>
      <c r="I467" t="s">
        <v>29</v>
      </c>
      <c r="J467" s="30" t="str">
        <f>IF(ISNUMBER(MATCH($D467,'Lopettaneet 2013-&gt;'!$D:$D,0)),INDEX('Lopettaneet 2013-&gt;'!$K:$K,MATCH($D467,'Lopettaneet 2013-&gt;'!$D:$D,0)),"Continues")</f>
        <v>Continues</v>
      </c>
      <c r="K467" s="30">
        <f ca="1">IF($J467="Continues",DATEDIF($B467,TODAY(),"Y"),INDEX('Lopettaneet 2013-&gt;'!$L:$L,MATCH($D467,'Lopettaneet 2013-&gt;'!$D:$D,0)))</f>
        <v>8</v>
      </c>
      <c r="L467" s="31" t="str">
        <f>IFERROR(INDEX('[1]30.06.2024'!$H:$H,MATCH($E467,'[1]30.06.2024'!$B:$B,0)),"Not found")</f>
        <v>S-Pankki Rahastoyhtiö Oy</v>
      </c>
      <c r="M467" s="31" t="str">
        <f>IFERROR(INDEX([2]Sheet1!$B:$B,MATCH($D467,[2]Sheet1!$A:$A,0)),"Not found")</f>
        <v>Retail</v>
      </c>
      <c r="N467">
        <f t="shared" si="14"/>
        <v>1</v>
      </c>
      <c r="O467">
        <f t="shared" si="15"/>
        <v>0</v>
      </c>
    </row>
    <row r="468" spans="1:15" x14ac:dyDescent="0.25">
      <c r="A468" t="s">
        <v>7</v>
      </c>
      <c r="B468" s="1">
        <v>42552</v>
      </c>
      <c r="C468" s="1">
        <v>44469</v>
      </c>
      <c r="D468" s="4" t="s">
        <v>1148</v>
      </c>
      <c r="E468" s="32" t="s">
        <v>1149</v>
      </c>
      <c r="F468" s="32">
        <v>27321576</v>
      </c>
      <c r="G468" t="s">
        <v>10</v>
      </c>
      <c r="H468" t="s">
        <v>11</v>
      </c>
      <c r="I468" t="s">
        <v>12</v>
      </c>
      <c r="J468" s="30" t="str">
        <f>IF(ISNUMBER(MATCH($D468,'Lopettaneet 2013-&gt;'!$D:$D,0)),INDEX('Lopettaneet 2013-&gt;'!$K:$K,MATCH($D468,'Lopettaneet 2013-&gt;'!$D:$D,0)),"Continues")</f>
        <v>Closed</v>
      </c>
      <c r="K468" s="30">
        <f ca="1">IF($J468="Continues",DATEDIF($B468,TODAY(),"Y"),INDEX('Lopettaneet 2013-&gt;'!$L:$L,MATCH($D468,'Lopettaneet 2013-&gt;'!$D:$D,0)))</f>
        <v>5</v>
      </c>
      <c r="L468" s="31" t="str">
        <f>IFERROR(INDEX('[1]30.06.2024'!$H:$H,MATCH($E468,'[1]30.06.2024'!$B:$B,0)),"Not found")</f>
        <v>Not found</v>
      </c>
      <c r="M468" s="31" t="str">
        <f>IFERROR(INDEX([2]Sheet1!$B:$B,MATCH($D468,[2]Sheet1!$A:$A,0)),"Not found")</f>
        <v>Not found</v>
      </c>
      <c r="N468">
        <f t="shared" si="14"/>
        <v>0</v>
      </c>
      <c r="O468">
        <f t="shared" si="15"/>
        <v>0</v>
      </c>
    </row>
    <row r="469" spans="1:15" x14ac:dyDescent="0.25">
      <c r="A469" t="s">
        <v>7</v>
      </c>
      <c r="B469" s="1">
        <v>42644</v>
      </c>
      <c r="C469" s="1">
        <v>45199</v>
      </c>
      <c r="D469" s="4" t="s">
        <v>39</v>
      </c>
      <c r="E469" s="32" t="s">
        <v>40</v>
      </c>
      <c r="F469" s="32">
        <v>28702725</v>
      </c>
      <c r="G469" t="s">
        <v>10</v>
      </c>
      <c r="H469" t="s">
        <v>11</v>
      </c>
      <c r="I469" t="s">
        <v>29</v>
      </c>
      <c r="J469" s="30" t="str">
        <f>IF(ISNUMBER(MATCH($D469,'Lopettaneet 2013-&gt;'!$D:$D,0)),INDEX('Lopettaneet 2013-&gt;'!$K:$K,MATCH($D469,'Lopettaneet 2013-&gt;'!$D:$D,0)),"Continues")</f>
        <v>Closed</v>
      </c>
      <c r="K469" s="30">
        <f ca="1">IF($J469="Continues",DATEDIF($B469,TODAY(),"Y"),INDEX('Lopettaneet 2013-&gt;'!$L:$L,MATCH($D469,'Lopettaneet 2013-&gt;'!$D:$D,0)))</f>
        <v>6</v>
      </c>
      <c r="L469" s="31" t="str">
        <f>IFERROR(INDEX('[1]30.06.2024'!$H:$H,MATCH($E469,'[1]30.06.2024'!$B:$B,0)),"Not found")</f>
        <v>Not found</v>
      </c>
      <c r="M469" s="31" t="str">
        <f>IFERROR(INDEX([2]Sheet1!$B:$B,MATCH($D469,[2]Sheet1!$A:$A,0)),"Not found")</f>
        <v>Not found</v>
      </c>
      <c r="N469">
        <f t="shared" si="14"/>
        <v>0</v>
      </c>
      <c r="O469">
        <f t="shared" si="15"/>
        <v>0</v>
      </c>
    </row>
    <row r="470" spans="1:15" x14ac:dyDescent="0.25">
      <c r="A470" t="s">
        <v>7</v>
      </c>
      <c r="B470" s="1">
        <v>42644</v>
      </c>
      <c r="C470" s="1">
        <v>55153</v>
      </c>
      <c r="D470" s="4" t="s">
        <v>1150</v>
      </c>
      <c r="E470" s="32" t="s">
        <v>1151</v>
      </c>
      <c r="F470" s="32">
        <v>27821757</v>
      </c>
      <c r="G470" t="s">
        <v>10</v>
      </c>
      <c r="H470" t="s">
        <v>11</v>
      </c>
      <c r="I470" t="s">
        <v>32</v>
      </c>
      <c r="J470" s="30" t="str">
        <f>IF(ISNUMBER(MATCH($D470,'Lopettaneet 2013-&gt;'!$D:$D,0)),INDEX('Lopettaneet 2013-&gt;'!$K:$K,MATCH($D470,'Lopettaneet 2013-&gt;'!$D:$D,0)),"Continues")</f>
        <v>Continues</v>
      </c>
      <c r="K470" s="30">
        <f ca="1">IF($J470="Continues",DATEDIF($B470,TODAY(),"Y"),INDEX('Lopettaneet 2013-&gt;'!$L:$L,MATCH($D470,'Lopettaneet 2013-&gt;'!$D:$D,0)))</f>
        <v>8</v>
      </c>
      <c r="L470" s="31" t="str">
        <f>IFERROR(INDEX('[1]30.06.2024'!$H:$H,MATCH($E470,'[1]30.06.2024'!$B:$B,0)),"Not found")</f>
        <v>Taaleri Pääomarahastot Oy</v>
      </c>
      <c r="M470" s="31" t="str">
        <f>IFERROR(INDEX([2]Sheet1!$B:$B,MATCH($D470,[2]Sheet1!$A:$A,0)),"Not found")</f>
        <v>Retail</v>
      </c>
      <c r="N470">
        <f t="shared" si="14"/>
        <v>1</v>
      </c>
      <c r="O470">
        <f t="shared" si="15"/>
        <v>0</v>
      </c>
    </row>
    <row r="471" spans="1:15" x14ac:dyDescent="0.25">
      <c r="A471" t="s">
        <v>7</v>
      </c>
      <c r="B471" s="1">
        <v>42705</v>
      </c>
      <c r="C471" s="1">
        <v>55153</v>
      </c>
      <c r="D471" s="4" t="s">
        <v>1152</v>
      </c>
      <c r="E471" s="32" t="s">
        <v>1153</v>
      </c>
      <c r="F471" s="32">
        <v>27821714</v>
      </c>
      <c r="G471" t="s">
        <v>10</v>
      </c>
      <c r="H471" t="s">
        <v>11</v>
      </c>
      <c r="I471" t="s">
        <v>32</v>
      </c>
      <c r="J471" s="30" t="str">
        <f>IF(ISNUMBER(MATCH($D471,'Lopettaneet 2013-&gt;'!$D:$D,0)),INDEX('Lopettaneet 2013-&gt;'!$K:$K,MATCH($D471,'Lopettaneet 2013-&gt;'!$D:$D,0)),"Continues")</f>
        <v>Continues</v>
      </c>
      <c r="K471" s="30">
        <f ca="1">IF($J471="Continues",DATEDIF($B471,TODAY(),"Y"),INDEX('Lopettaneet 2013-&gt;'!$L:$L,MATCH($D471,'Lopettaneet 2013-&gt;'!$D:$D,0)))</f>
        <v>8</v>
      </c>
      <c r="L471" s="31" t="str">
        <f>IFERROR(INDEX('[1]30.06.2024'!$H:$H,MATCH($E471,'[1]30.06.2024'!$B:$B,0)),"Not found")</f>
        <v>Taaleri Pääomarahastot Oy</v>
      </c>
      <c r="M471" s="31" t="str">
        <f>IFERROR(INDEX([2]Sheet1!$B:$B,MATCH($D471,[2]Sheet1!$A:$A,0)),"Not found")</f>
        <v>Retail</v>
      </c>
      <c r="N471">
        <f t="shared" si="14"/>
        <v>1</v>
      </c>
      <c r="O471">
        <f t="shared" si="15"/>
        <v>0</v>
      </c>
    </row>
    <row r="472" spans="1:15" x14ac:dyDescent="0.25">
      <c r="A472" t="s">
        <v>7</v>
      </c>
      <c r="B472" s="1">
        <v>42644</v>
      </c>
      <c r="C472" s="1">
        <v>55153</v>
      </c>
      <c r="D472" s="4" t="s">
        <v>1154</v>
      </c>
      <c r="E472" s="32" t="s">
        <v>1155</v>
      </c>
      <c r="F472" s="32">
        <v>27821722</v>
      </c>
      <c r="G472" t="s">
        <v>10</v>
      </c>
      <c r="H472" t="s">
        <v>11</v>
      </c>
      <c r="I472" t="s">
        <v>32</v>
      </c>
      <c r="J472" s="30" t="str">
        <f>IF(ISNUMBER(MATCH($D472,'Lopettaneet 2013-&gt;'!$D:$D,0)),INDEX('Lopettaneet 2013-&gt;'!$K:$K,MATCH($D472,'Lopettaneet 2013-&gt;'!$D:$D,0)),"Continues")</f>
        <v>Continues</v>
      </c>
      <c r="K472" s="30">
        <f ca="1">IF($J472="Continues",DATEDIF($B472,TODAY(),"Y"),INDEX('Lopettaneet 2013-&gt;'!$L:$L,MATCH($D472,'Lopettaneet 2013-&gt;'!$D:$D,0)))</f>
        <v>8</v>
      </c>
      <c r="L472" s="31" t="str">
        <f>IFERROR(INDEX('[1]30.06.2024'!$H:$H,MATCH($E472,'[1]30.06.2024'!$B:$B,0)),"Not found")</f>
        <v>Taaleri Pääomarahastot Oy</v>
      </c>
      <c r="M472" s="31" t="str">
        <f>IFERROR(INDEX([2]Sheet1!$B:$B,MATCH($D472,[2]Sheet1!$A:$A,0)),"Not found")</f>
        <v>Retail</v>
      </c>
      <c r="N472">
        <f t="shared" si="14"/>
        <v>1</v>
      </c>
      <c r="O472">
        <f t="shared" si="15"/>
        <v>0</v>
      </c>
    </row>
    <row r="473" spans="1:15" x14ac:dyDescent="0.25">
      <c r="A473" t="s">
        <v>7</v>
      </c>
      <c r="B473" s="1">
        <v>42644</v>
      </c>
      <c r="C473" s="1">
        <v>55153</v>
      </c>
      <c r="D473" s="4" t="s">
        <v>1156</v>
      </c>
      <c r="E473" s="32" t="s">
        <v>1157</v>
      </c>
      <c r="F473" s="32">
        <v>27821706</v>
      </c>
      <c r="G473" t="s">
        <v>10</v>
      </c>
      <c r="H473" t="s">
        <v>11</v>
      </c>
      <c r="I473" t="s">
        <v>32</v>
      </c>
      <c r="J473" s="30" t="str">
        <f>IF(ISNUMBER(MATCH($D473,'Lopettaneet 2013-&gt;'!$D:$D,0)),INDEX('Lopettaneet 2013-&gt;'!$K:$K,MATCH($D473,'Lopettaneet 2013-&gt;'!$D:$D,0)),"Continues")</f>
        <v>Continues</v>
      </c>
      <c r="K473" s="30">
        <f ca="1">IF($J473="Continues",DATEDIF($B473,TODAY(),"Y"),INDEX('Lopettaneet 2013-&gt;'!$L:$L,MATCH($D473,'Lopettaneet 2013-&gt;'!$D:$D,0)))</f>
        <v>8</v>
      </c>
      <c r="L473" s="31" t="str">
        <f>IFERROR(INDEX('[1]30.06.2024'!$H:$H,MATCH($E473,'[1]30.06.2024'!$B:$B,0)),"Not found")</f>
        <v>Taaleri Pääomarahastot Oy</v>
      </c>
      <c r="M473" s="31" t="str">
        <f>IFERROR(INDEX([2]Sheet1!$B:$B,MATCH($D473,[2]Sheet1!$A:$A,0)),"Not found")</f>
        <v>Retail</v>
      </c>
      <c r="N473">
        <f t="shared" si="14"/>
        <v>1</v>
      </c>
      <c r="O473">
        <f t="shared" si="15"/>
        <v>0</v>
      </c>
    </row>
    <row r="474" spans="1:15" x14ac:dyDescent="0.25">
      <c r="A474" t="s">
        <v>0</v>
      </c>
      <c r="B474" s="1">
        <v>42705</v>
      </c>
      <c r="C474" s="1">
        <v>43830</v>
      </c>
      <c r="D474" s="4" t="s">
        <v>1158</v>
      </c>
      <c r="E474" s="32" t="s">
        <v>1159</v>
      </c>
      <c r="F474" s="32">
        <v>27943543</v>
      </c>
      <c r="G474" t="s">
        <v>3</v>
      </c>
      <c r="H474" t="s">
        <v>4</v>
      </c>
      <c r="I474" t="s">
        <v>20</v>
      </c>
      <c r="J474" s="30" t="str">
        <f>IF(ISNUMBER(MATCH($D474,'Lopettaneet 2013-&gt;'!$D:$D,0)),INDEX('Lopettaneet 2013-&gt;'!$K:$K,MATCH($D474,'Lopettaneet 2013-&gt;'!$D:$D,0)),"Continues")</f>
        <v>Merged</v>
      </c>
      <c r="K474" s="30">
        <f ca="1">IF($J474="Continues",DATEDIF($B474,TODAY(),"Y"),INDEX('Lopettaneet 2013-&gt;'!$L:$L,MATCH($D474,'Lopettaneet 2013-&gt;'!$D:$D,0)))</f>
        <v>3</v>
      </c>
      <c r="L474" s="31" t="str">
        <f>IFERROR(INDEX('[1]30.06.2024'!$H:$H,MATCH($E474,'[1]30.06.2024'!$B:$B,0)),"Not found")</f>
        <v>Not found</v>
      </c>
      <c r="M474" s="31" t="str">
        <f>IFERROR(INDEX([2]Sheet1!$B:$B,MATCH($D474,[2]Sheet1!$A:$A,0)),"Not found")</f>
        <v>Not found</v>
      </c>
      <c r="N474">
        <f t="shared" si="14"/>
        <v>0</v>
      </c>
      <c r="O474">
        <f t="shared" si="15"/>
        <v>0</v>
      </c>
    </row>
    <row r="475" spans="1:15" x14ac:dyDescent="0.25">
      <c r="A475" t="s">
        <v>0</v>
      </c>
      <c r="B475" s="1">
        <v>42795</v>
      </c>
      <c r="C475" s="1">
        <v>55153</v>
      </c>
      <c r="D475" s="4" t="s">
        <v>1160</v>
      </c>
      <c r="E475" s="32" t="s">
        <v>1161</v>
      </c>
      <c r="F475" s="32">
        <v>27970701</v>
      </c>
      <c r="G475" t="s">
        <v>3</v>
      </c>
      <c r="H475" t="s">
        <v>4</v>
      </c>
      <c r="I475" t="s">
        <v>50</v>
      </c>
      <c r="J475" s="30" t="str">
        <f>IF(ISNUMBER(MATCH($D475,'Lopettaneet 2013-&gt;'!$D:$D,0)),INDEX('Lopettaneet 2013-&gt;'!$K:$K,MATCH($D475,'Lopettaneet 2013-&gt;'!$D:$D,0)),"Continues")</f>
        <v>Continues</v>
      </c>
      <c r="K475" s="30">
        <f ca="1">IF($J475="Continues",DATEDIF($B475,TODAY(),"Y"),INDEX('Lopettaneet 2013-&gt;'!$L:$L,MATCH($D475,'Lopettaneet 2013-&gt;'!$D:$D,0)))</f>
        <v>8</v>
      </c>
      <c r="L475" s="31" t="str">
        <f>IFERROR(INDEX('[1]30.06.2024'!$H:$H,MATCH($E475,'[1]30.06.2024'!$B:$B,0)),"Not found")</f>
        <v>Not found</v>
      </c>
      <c r="M475" s="31" t="str">
        <f>IFERROR(INDEX([2]Sheet1!$B:$B,MATCH($D475,[2]Sheet1!$A:$A,0)),"Not found")</f>
        <v>Retail</v>
      </c>
      <c r="N475">
        <f t="shared" si="14"/>
        <v>1</v>
      </c>
      <c r="O475">
        <f t="shared" si="15"/>
        <v>0</v>
      </c>
    </row>
    <row r="476" spans="1:15" x14ac:dyDescent="0.25">
      <c r="A476" t="s">
        <v>0</v>
      </c>
      <c r="B476" s="1">
        <v>42705</v>
      </c>
      <c r="C476" s="1">
        <v>55153</v>
      </c>
      <c r="D476" s="4" t="s">
        <v>1162</v>
      </c>
      <c r="E476" s="32" t="s">
        <v>1163</v>
      </c>
      <c r="F476" s="32">
        <v>27889313</v>
      </c>
      <c r="G476" t="s">
        <v>3</v>
      </c>
      <c r="H476" t="s">
        <v>4</v>
      </c>
      <c r="I476" t="s">
        <v>20</v>
      </c>
      <c r="J476" s="30" t="str">
        <f>IF(ISNUMBER(MATCH($D476,'Lopettaneet 2013-&gt;'!$D:$D,0)),INDEX('Lopettaneet 2013-&gt;'!$K:$K,MATCH($D476,'Lopettaneet 2013-&gt;'!$D:$D,0)),"Continues")</f>
        <v>Merged</v>
      </c>
      <c r="K476" s="30">
        <f ca="1">IF($J476="Continues",DATEDIF($B476,TODAY(),"Y"),INDEX('Lopettaneet 2013-&gt;'!$L:$L,MATCH($D476,'Lopettaneet 2013-&gt;'!$D:$D,0)))</f>
        <v>7</v>
      </c>
      <c r="L476" s="31" t="str">
        <f>IFERROR(INDEX('[1]30.06.2024'!$H:$H,MATCH($E476,'[1]30.06.2024'!$B:$B,0)),"Not found")</f>
        <v>OP-Rahastoyhtiö Oy</v>
      </c>
      <c r="M476" s="31" t="str">
        <f>IFERROR(INDEX([2]Sheet1!$B:$B,MATCH($D476,[2]Sheet1!$A:$A,0)),"Not found")</f>
        <v>Retail</v>
      </c>
      <c r="N476">
        <f t="shared" si="14"/>
        <v>1</v>
      </c>
      <c r="O476">
        <f t="shared" si="15"/>
        <v>0</v>
      </c>
    </row>
    <row r="477" spans="1:15" x14ac:dyDescent="0.25">
      <c r="A477" t="s">
        <v>0</v>
      </c>
      <c r="B477" s="1">
        <v>42795</v>
      </c>
      <c r="C477" s="1">
        <v>44255</v>
      </c>
      <c r="D477" s="4" t="s">
        <v>1164</v>
      </c>
      <c r="E477" s="32" t="s">
        <v>1165</v>
      </c>
      <c r="F477" s="32">
        <v>27943332</v>
      </c>
      <c r="G477" t="s">
        <v>3</v>
      </c>
      <c r="H477" t="s">
        <v>4</v>
      </c>
      <c r="I477" t="s">
        <v>20</v>
      </c>
      <c r="J477" s="30" t="str">
        <f>IF(ISNUMBER(MATCH($D477,'Lopettaneet 2013-&gt;'!$D:$D,0)),INDEX('Lopettaneet 2013-&gt;'!$K:$K,MATCH($D477,'Lopettaneet 2013-&gt;'!$D:$D,0)),"Continues")</f>
        <v>Merged</v>
      </c>
      <c r="K477" s="30">
        <f ca="1">IF($J477="Continues",DATEDIF($B477,TODAY(),"Y"),INDEX('Lopettaneet 2013-&gt;'!$L:$L,MATCH($D477,'Lopettaneet 2013-&gt;'!$D:$D,0)))</f>
        <v>3</v>
      </c>
      <c r="L477" s="31" t="str">
        <f>IFERROR(INDEX('[1]30.06.2024'!$H:$H,MATCH($E477,'[1]30.06.2024'!$B:$B,0)),"Not found")</f>
        <v>Not found</v>
      </c>
      <c r="M477" s="31" t="str">
        <f>IFERROR(INDEX([2]Sheet1!$B:$B,MATCH($D477,[2]Sheet1!$A:$A,0)),"Not found")</f>
        <v>Not found</v>
      </c>
      <c r="N477">
        <f t="shared" si="14"/>
        <v>0</v>
      </c>
      <c r="O477">
        <f t="shared" si="15"/>
        <v>0</v>
      </c>
    </row>
    <row r="478" spans="1:15" x14ac:dyDescent="0.25">
      <c r="A478" t="s">
        <v>7</v>
      </c>
      <c r="B478" s="1">
        <v>42795</v>
      </c>
      <c r="C478" s="1">
        <v>55153</v>
      </c>
      <c r="D478" s="4" t="s">
        <v>1166</v>
      </c>
      <c r="E478" s="32" t="s">
        <v>1167</v>
      </c>
      <c r="F478" s="32">
        <v>28017517</v>
      </c>
      <c r="G478" t="s">
        <v>10</v>
      </c>
      <c r="H478" t="s">
        <v>11</v>
      </c>
      <c r="I478" t="s">
        <v>80</v>
      </c>
      <c r="J478" s="30" t="str">
        <f>IF(ISNUMBER(MATCH($D478,'Lopettaneet 2013-&gt;'!$D:$D,0)),INDEX('Lopettaneet 2013-&gt;'!$K:$K,MATCH($D478,'Lopettaneet 2013-&gt;'!$D:$D,0)),"Continues")</f>
        <v>Continues</v>
      </c>
      <c r="K478" s="30">
        <f ca="1">IF($J478="Continues",DATEDIF($B478,TODAY(),"Y"),INDEX('Lopettaneet 2013-&gt;'!$L:$L,MATCH($D478,'Lopettaneet 2013-&gt;'!$D:$D,0)))</f>
        <v>8</v>
      </c>
      <c r="L478" s="31" t="str">
        <f>IFERROR(INDEX('[1]30.06.2024'!$H:$H,MATCH($E478,'[1]30.06.2024'!$B:$B,0)),"Not found")</f>
        <v>Wave Ventures Oy</v>
      </c>
      <c r="M478" s="31" t="str">
        <f>IFERROR(INDEX([2]Sheet1!$B:$B,MATCH($D478,[2]Sheet1!$A:$A,0)),"Not found")</f>
        <v>Non-Retail</v>
      </c>
      <c r="N478">
        <f t="shared" si="14"/>
        <v>0</v>
      </c>
      <c r="O478">
        <f t="shared" si="15"/>
        <v>1</v>
      </c>
    </row>
    <row r="479" spans="1:15" x14ac:dyDescent="0.25">
      <c r="A479" t="s">
        <v>7</v>
      </c>
      <c r="B479" s="1">
        <v>42795</v>
      </c>
      <c r="C479" s="1">
        <v>55153</v>
      </c>
      <c r="D479" s="4" t="s">
        <v>1168</v>
      </c>
      <c r="E479" s="32" t="s">
        <v>1169</v>
      </c>
      <c r="F479" s="32">
        <v>28076592</v>
      </c>
      <c r="G479" t="s">
        <v>10</v>
      </c>
      <c r="H479" t="s">
        <v>11</v>
      </c>
      <c r="I479" t="s">
        <v>29</v>
      </c>
      <c r="J479" s="30" t="str">
        <f>IF(ISNUMBER(MATCH($D479,'Lopettaneet 2013-&gt;'!$D:$D,0)),INDEX('Lopettaneet 2013-&gt;'!$K:$K,MATCH($D479,'Lopettaneet 2013-&gt;'!$D:$D,0)),"Continues")</f>
        <v>Continues</v>
      </c>
      <c r="K479" s="30">
        <f ca="1">IF($J479="Continues",DATEDIF($B479,TODAY(),"Y"),INDEX('Lopettaneet 2013-&gt;'!$L:$L,MATCH($D479,'Lopettaneet 2013-&gt;'!$D:$D,0)))</f>
        <v>8</v>
      </c>
      <c r="L479" s="31" t="str">
        <f>IFERROR(INDEX('[1]30.06.2024'!$H:$H,MATCH($E479,'[1]30.06.2024'!$B:$B,0)),"Not found")</f>
        <v>Evli-Rahastoyhtiö Oy</v>
      </c>
      <c r="M479" s="31" t="str">
        <f>IFERROR(INDEX([2]Sheet1!$B:$B,MATCH($D479,[2]Sheet1!$A:$A,0)),"Not found")</f>
        <v>Retail</v>
      </c>
      <c r="N479">
        <f t="shared" si="14"/>
        <v>1</v>
      </c>
      <c r="O479">
        <f t="shared" si="15"/>
        <v>0</v>
      </c>
    </row>
    <row r="480" spans="1:15" x14ac:dyDescent="0.25">
      <c r="A480" t="s">
        <v>7</v>
      </c>
      <c r="B480" s="1">
        <v>42644</v>
      </c>
      <c r="C480" s="1">
        <v>55153</v>
      </c>
      <c r="D480" s="4" t="s">
        <v>1170</v>
      </c>
      <c r="E480" s="32" t="s">
        <v>1171</v>
      </c>
      <c r="F480" s="32">
        <v>27979992</v>
      </c>
      <c r="G480" t="s">
        <v>10</v>
      </c>
      <c r="H480" t="s">
        <v>11</v>
      </c>
      <c r="I480" t="s">
        <v>12</v>
      </c>
      <c r="J480" s="30" t="str">
        <f>IF(ISNUMBER(MATCH($D480,'Lopettaneet 2013-&gt;'!$D:$D,0)),INDEX('Lopettaneet 2013-&gt;'!$K:$K,MATCH($D480,'Lopettaneet 2013-&gt;'!$D:$D,0)),"Continues")</f>
        <v>Continues</v>
      </c>
      <c r="K480" s="30">
        <f ca="1">IF($J480="Continues",DATEDIF($B480,TODAY(),"Y"),INDEX('Lopettaneet 2013-&gt;'!$L:$L,MATCH($D480,'Lopettaneet 2013-&gt;'!$D:$D,0)))</f>
        <v>8</v>
      </c>
      <c r="L480" s="31" t="str">
        <f>IFERROR(INDEX('[1]30.06.2024'!$H:$H,MATCH($E480,'[1]30.06.2024'!$B:$B,0)),"Not found")</f>
        <v>Sentica Partners Oy</v>
      </c>
      <c r="M480" s="31" t="str">
        <f>IFERROR(INDEX([2]Sheet1!$B:$B,MATCH($D480,[2]Sheet1!$A:$A,0)),"Not found")</f>
        <v>Non-Retail</v>
      </c>
      <c r="N480">
        <f t="shared" si="14"/>
        <v>0</v>
      </c>
      <c r="O480">
        <f t="shared" si="15"/>
        <v>1</v>
      </c>
    </row>
    <row r="481" spans="1:15" x14ac:dyDescent="0.25">
      <c r="A481" t="s">
        <v>7</v>
      </c>
      <c r="B481" s="1">
        <v>42887</v>
      </c>
      <c r="C481" s="1">
        <v>55153</v>
      </c>
      <c r="D481" s="4" t="s">
        <v>1172</v>
      </c>
      <c r="E481" s="32" t="s">
        <v>1173</v>
      </c>
      <c r="F481" s="32">
        <v>27878083</v>
      </c>
      <c r="G481" t="s">
        <v>10</v>
      </c>
      <c r="H481" t="s">
        <v>11</v>
      </c>
      <c r="I481" t="s">
        <v>32</v>
      </c>
      <c r="J481" s="30" t="str">
        <f>IF(ISNUMBER(MATCH($D481,'Lopettaneet 2013-&gt;'!$D:$D,0)),INDEX('Lopettaneet 2013-&gt;'!$K:$K,MATCH($D481,'Lopettaneet 2013-&gt;'!$D:$D,0)),"Continues")</f>
        <v>Continues</v>
      </c>
      <c r="K481" s="30">
        <f ca="1">IF($J481="Continues",DATEDIF($B481,TODAY(),"Y"),INDEX('Lopettaneet 2013-&gt;'!$L:$L,MATCH($D481,'Lopettaneet 2013-&gt;'!$D:$D,0)))</f>
        <v>7</v>
      </c>
      <c r="L481" s="31" t="str">
        <f>IFERROR(INDEX('[1]30.06.2024'!$H:$H,MATCH($E481,'[1]30.06.2024'!$B:$B,0)),"Not found")</f>
        <v>Taaleri Pääomarahastot Oy</v>
      </c>
      <c r="M481" s="31" t="str">
        <f>IFERROR(INDEX([2]Sheet1!$B:$B,MATCH($D481,[2]Sheet1!$A:$A,0)),"Not found")</f>
        <v>Retail</v>
      </c>
      <c r="N481">
        <f t="shared" si="14"/>
        <v>1</v>
      </c>
      <c r="O481">
        <f t="shared" si="15"/>
        <v>0</v>
      </c>
    </row>
    <row r="482" spans="1:15" x14ac:dyDescent="0.25">
      <c r="A482" t="s">
        <v>7</v>
      </c>
      <c r="B482" s="1">
        <v>42887</v>
      </c>
      <c r="C482" s="1">
        <v>55153</v>
      </c>
      <c r="D482" s="4" t="s">
        <v>1174</v>
      </c>
      <c r="E482" s="32" t="s">
        <v>1175</v>
      </c>
      <c r="F482" s="32">
        <v>27878067</v>
      </c>
      <c r="G482" t="s">
        <v>10</v>
      </c>
      <c r="H482" t="s">
        <v>11</v>
      </c>
      <c r="I482" t="s">
        <v>32</v>
      </c>
      <c r="J482" s="30" t="str">
        <f>IF(ISNUMBER(MATCH($D482,'Lopettaneet 2013-&gt;'!$D:$D,0)),INDEX('Lopettaneet 2013-&gt;'!$K:$K,MATCH($D482,'Lopettaneet 2013-&gt;'!$D:$D,0)),"Continues")</f>
        <v>Continues</v>
      </c>
      <c r="K482" s="30">
        <f ca="1">IF($J482="Continues",DATEDIF($B482,TODAY(),"Y"),INDEX('Lopettaneet 2013-&gt;'!$L:$L,MATCH($D482,'Lopettaneet 2013-&gt;'!$D:$D,0)))</f>
        <v>7</v>
      </c>
      <c r="L482" s="31" t="str">
        <f>IFERROR(INDEX('[1]30.06.2024'!$H:$H,MATCH($E482,'[1]30.06.2024'!$B:$B,0)),"Not found")</f>
        <v>Taaleri Pääomarahastot Oy</v>
      </c>
      <c r="M482" s="31" t="str">
        <f>IFERROR(INDEX([2]Sheet1!$B:$B,MATCH($D482,[2]Sheet1!$A:$A,0)),"Not found")</f>
        <v>Retail</v>
      </c>
      <c r="N482">
        <f t="shared" si="14"/>
        <v>1</v>
      </c>
      <c r="O482">
        <f t="shared" si="15"/>
        <v>0</v>
      </c>
    </row>
    <row r="483" spans="1:15" x14ac:dyDescent="0.25">
      <c r="A483" t="s">
        <v>7</v>
      </c>
      <c r="B483" s="1">
        <v>42887</v>
      </c>
      <c r="C483" s="1">
        <v>55153</v>
      </c>
      <c r="D483" s="4" t="s">
        <v>1176</v>
      </c>
      <c r="E483" s="32" t="s">
        <v>1177</v>
      </c>
      <c r="F483" s="32">
        <v>27878104</v>
      </c>
      <c r="G483" t="s">
        <v>10</v>
      </c>
      <c r="H483" t="s">
        <v>11</v>
      </c>
      <c r="I483" t="s">
        <v>29</v>
      </c>
      <c r="J483" s="30" t="str">
        <f>IF(ISNUMBER(MATCH($D483,'Lopettaneet 2013-&gt;'!$D:$D,0)),INDEX('Lopettaneet 2013-&gt;'!$K:$K,MATCH($D483,'Lopettaneet 2013-&gt;'!$D:$D,0)),"Continues")</f>
        <v>Continues</v>
      </c>
      <c r="K483" s="30">
        <f ca="1">IF($J483="Continues",DATEDIF($B483,TODAY(),"Y"),INDEX('Lopettaneet 2013-&gt;'!$L:$L,MATCH($D483,'Lopettaneet 2013-&gt;'!$D:$D,0)))</f>
        <v>7</v>
      </c>
      <c r="L483" s="31" t="str">
        <f>IFERROR(INDEX('[1]30.06.2024'!$H:$H,MATCH($E483,'[1]30.06.2024'!$B:$B,0)),"Not found")</f>
        <v>Not found</v>
      </c>
      <c r="M483" s="31" t="str">
        <f>IFERROR(INDEX([2]Sheet1!$B:$B,MATCH($D483,[2]Sheet1!$A:$A,0)),"Not found")</f>
        <v>Retail</v>
      </c>
      <c r="N483">
        <f t="shared" si="14"/>
        <v>1</v>
      </c>
      <c r="O483">
        <f t="shared" si="15"/>
        <v>0</v>
      </c>
    </row>
    <row r="484" spans="1:15" x14ac:dyDescent="0.25">
      <c r="A484" t="s">
        <v>7</v>
      </c>
      <c r="B484" s="1">
        <v>42887</v>
      </c>
      <c r="C484" s="1">
        <v>55153</v>
      </c>
      <c r="D484" s="4" t="s">
        <v>1178</v>
      </c>
      <c r="E484" s="32" t="s">
        <v>1179</v>
      </c>
      <c r="F484" s="32">
        <v>27878024</v>
      </c>
      <c r="G484" t="s">
        <v>10</v>
      </c>
      <c r="H484" t="s">
        <v>11</v>
      </c>
      <c r="I484" t="s">
        <v>29</v>
      </c>
      <c r="J484" s="30" t="str">
        <f>IF(ISNUMBER(MATCH($D484,'Lopettaneet 2013-&gt;'!$D:$D,0)),INDEX('Lopettaneet 2013-&gt;'!$K:$K,MATCH($D484,'Lopettaneet 2013-&gt;'!$D:$D,0)),"Continues")</f>
        <v>Continues</v>
      </c>
      <c r="K484" s="30">
        <f ca="1">IF($J484="Continues",DATEDIF($B484,TODAY(),"Y"),INDEX('Lopettaneet 2013-&gt;'!$L:$L,MATCH($D484,'Lopettaneet 2013-&gt;'!$D:$D,0)))</f>
        <v>7</v>
      </c>
      <c r="L484" s="31" t="str">
        <f>IFERROR(INDEX('[1]30.06.2024'!$H:$H,MATCH($E484,'[1]30.06.2024'!$B:$B,0)),"Not found")</f>
        <v>Taaleri Pääomarahastot Oy</v>
      </c>
      <c r="M484" s="31" t="str">
        <f>IFERROR(INDEX([2]Sheet1!$B:$B,MATCH($D484,[2]Sheet1!$A:$A,0)),"Not found")</f>
        <v>Retail</v>
      </c>
      <c r="N484">
        <f t="shared" si="14"/>
        <v>1</v>
      </c>
      <c r="O484">
        <f t="shared" si="15"/>
        <v>0</v>
      </c>
    </row>
    <row r="485" spans="1:15" x14ac:dyDescent="0.25">
      <c r="A485" t="s">
        <v>7</v>
      </c>
      <c r="B485" s="1">
        <v>42887</v>
      </c>
      <c r="C485" s="1">
        <v>55153</v>
      </c>
      <c r="D485" s="4" t="s">
        <v>1180</v>
      </c>
      <c r="E485" s="32" t="s">
        <v>1181</v>
      </c>
      <c r="F485" s="32">
        <v>27878075</v>
      </c>
      <c r="G485" t="s">
        <v>10</v>
      </c>
      <c r="H485" t="s">
        <v>11</v>
      </c>
      <c r="I485" t="s">
        <v>29</v>
      </c>
      <c r="J485" s="30" t="str">
        <f>IF(ISNUMBER(MATCH($D485,'Lopettaneet 2013-&gt;'!$D:$D,0)),INDEX('Lopettaneet 2013-&gt;'!$K:$K,MATCH($D485,'Lopettaneet 2013-&gt;'!$D:$D,0)),"Continues")</f>
        <v>Continues</v>
      </c>
      <c r="K485" s="30">
        <f ca="1">IF($J485="Continues",DATEDIF($B485,TODAY(),"Y"),INDEX('Lopettaneet 2013-&gt;'!$L:$L,MATCH($D485,'Lopettaneet 2013-&gt;'!$D:$D,0)))</f>
        <v>7</v>
      </c>
      <c r="L485" s="31" t="str">
        <f>IFERROR(INDEX('[1]30.06.2024'!$H:$H,MATCH($E485,'[1]30.06.2024'!$B:$B,0)),"Not found")</f>
        <v>Taaleri Pääomarahastot Oy</v>
      </c>
      <c r="M485" s="31" t="str">
        <f>IFERROR(INDEX([2]Sheet1!$B:$B,MATCH($D485,[2]Sheet1!$A:$A,0)),"Not found")</f>
        <v>Retail</v>
      </c>
      <c r="N485">
        <f t="shared" si="14"/>
        <v>1</v>
      </c>
      <c r="O485">
        <f t="shared" si="15"/>
        <v>0</v>
      </c>
    </row>
    <row r="486" spans="1:15" x14ac:dyDescent="0.25">
      <c r="A486" t="s">
        <v>7</v>
      </c>
      <c r="B486" s="1">
        <v>42887</v>
      </c>
      <c r="C486" s="1">
        <v>55153</v>
      </c>
      <c r="D486" s="4" t="s">
        <v>1182</v>
      </c>
      <c r="E486" s="32" t="s">
        <v>1183</v>
      </c>
      <c r="F486" s="32">
        <v>27878112</v>
      </c>
      <c r="G486" t="s">
        <v>10</v>
      </c>
      <c r="H486" t="s">
        <v>11</v>
      </c>
      <c r="I486" t="s">
        <v>29</v>
      </c>
      <c r="J486" s="30" t="str">
        <f>IF(ISNUMBER(MATCH($D486,'Lopettaneet 2013-&gt;'!$D:$D,0)),INDEX('Lopettaneet 2013-&gt;'!$K:$K,MATCH($D486,'Lopettaneet 2013-&gt;'!$D:$D,0)),"Continues")</f>
        <v>Continues</v>
      </c>
      <c r="K486" s="30">
        <f ca="1">IF($J486="Continues",DATEDIF($B486,TODAY(),"Y"),INDEX('Lopettaneet 2013-&gt;'!$L:$L,MATCH($D486,'Lopettaneet 2013-&gt;'!$D:$D,0)))</f>
        <v>7</v>
      </c>
      <c r="L486" s="31" t="str">
        <f>IFERROR(INDEX('[1]30.06.2024'!$H:$H,MATCH($E486,'[1]30.06.2024'!$B:$B,0)),"Not found")</f>
        <v>Taaleri Pääomarahastot Oy</v>
      </c>
      <c r="M486" s="31" t="str">
        <f>IFERROR(INDEX([2]Sheet1!$B:$B,MATCH($D486,[2]Sheet1!$A:$A,0)),"Not found")</f>
        <v>Retail</v>
      </c>
      <c r="N486">
        <f t="shared" si="14"/>
        <v>1</v>
      </c>
      <c r="O486">
        <f t="shared" si="15"/>
        <v>0</v>
      </c>
    </row>
    <row r="487" spans="1:15" x14ac:dyDescent="0.25">
      <c r="A487" t="s">
        <v>0</v>
      </c>
      <c r="B487" s="1">
        <v>42767</v>
      </c>
      <c r="C487" s="1">
        <v>55153</v>
      </c>
      <c r="D487" s="4" t="s">
        <v>1184</v>
      </c>
      <c r="E487" s="32" t="s">
        <v>1185</v>
      </c>
      <c r="F487" s="32">
        <v>27990542</v>
      </c>
      <c r="G487" t="s">
        <v>10</v>
      </c>
      <c r="H487" t="s">
        <v>11</v>
      </c>
      <c r="I487" t="s">
        <v>20</v>
      </c>
      <c r="J487" s="30" t="str">
        <f>IF(ISNUMBER(MATCH($D487,'Lopettaneet 2013-&gt;'!$D:$D,0)),INDEX('Lopettaneet 2013-&gt;'!$K:$K,MATCH($D487,'Lopettaneet 2013-&gt;'!$D:$D,0)),"Continues")</f>
        <v>Continues</v>
      </c>
      <c r="K487" s="30">
        <f ca="1">IF($J487="Continues",DATEDIF($B487,TODAY(),"Y"),INDEX('Lopettaneet 2013-&gt;'!$L:$L,MATCH($D487,'Lopettaneet 2013-&gt;'!$D:$D,0)))</f>
        <v>8</v>
      </c>
      <c r="L487" s="31" t="str">
        <f>IFERROR(INDEX('[1]30.06.2024'!$H:$H,MATCH($E487,'[1]30.06.2024'!$B:$B,0)),"Not found")</f>
        <v>eQ Rahastoyhtiö Oy</v>
      </c>
      <c r="M487" s="31" t="str">
        <f>IFERROR(INDEX([2]Sheet1!$B:$B,MATCH($D487,[2]Sheet1!$A:$A,0)),"Not found")</f>
        <v>Non-Retail</v>
      </c>
      <c r="N487">
        <f t="shared" si="14"/>
        <v>0</v>
      </c>
      <c r="O487">
        <f t="shared" si="15"/>
        <v>1</v>
      </c>
    </row>
    <row r="488" spans="1:15" x14ac:dyDescent="0.25">
      <c r="A488" t="s">
        <v>7</v>
      </c>
      <c r="B488" s="1">
        <v>42795</v>
      </c>
      <c r="C488" s="1">
        <v>55153</v>
      </c>
      <c r="D488" s="4" t="s">
        <v>1186</v>
      </c>
      <c r="E488" s="32" t="s">
        <v>1187</v>
      </c>
      <c r="F488" s="32">
        <v>28163549</v>
      </c>
      <c r="G488" t="s">
        <v>10</v>
      </c>
      <c r="H488" t="s">
        <v>11</v>
      </c>
      <c r="I488" t="s">
        <v>12</v>
      </c>
      <c r="J488" s="30" t="str">
        <f>IF(ISNUMBER(MATCH($D488,'Lopettaneet 2013-&gt;'!$D:$D,0)),INDEX('Lopettaneet 2013-&gt;'!$K:$K,MATCH($D488,'Lopettaneet 2013-&gt;'!$D:$D,0)),"Continues")</f>
        <v>Continues</v>
      </c>
      <c r="K488" s="30">
        <f ca="1">IF($J488="Continues",DATEDIF($B488,TODAY(),"Y"),INDEX('Lopettaneet 2013-&gt;'!$L:$L,MATCH($D488,'Lopettaneet 2013-&gt;'!$D:$D,0)))</f>
        <v>8</v>
      </c>
      <c r="L488" s="31" t="str">
        <f>IFERROR(INDEX('[1]30.06.2024'!$H:$H,MATCH($E488,'[1]30.06.2024'!$B:$B,0)),"Not found")</f>
        <v>eQ Rahastoyhtiö Oy</v>
      </c>
      <c r="M488" s="31" t="str">
        <f>IFERROR(INDEX([2]Sheet1!$B:$B,MATCH($D488,[2]Sheet1!$A:$A,0)),"Not found")</f>
        <v>Non-Retail</v>
      </c>
      <c r="N488">
        <f t="shared" si="14"/>
        <v>0</v>
      </c>
      <c r="O488">
        <f t="shared" si="15"/>
        <v>1</v>
      </c>
    </row>
    <row r="489" spans="1:15" x14ac:dyDescent="0.25">
      <c r="A489" t="s">
        <v>0</v>
      </c>
      <c r="B489" s="1">
        <v>43282</v>
      </c>
      <c r="C489" s="1">
        <v>55153</v>
      </c>
      <c r="D489" s="4" t="s">
        <v>1188</v>
      </c>
      <c r="E489" s="32" t="s">
        <v>1189</v>
      </c>
      <c r="F489" s="32">
        <v>27990032</v>
      </c>
      <c r="G489" t="s">
        <v>10</v>
      </c>
      <c r="H489" t="s">
        <v>11</v>
      </c>
      <c r="I489" t="s">
        <v>20</v>
      </c>
      <c r="J489" s="30" t="str">
        <f>IF(ISNUMBER(MATCH($D489,'Lopettaneet 2013-&gt;'!$D:$D,0)),INDEX('Lopettaneet 2013-&gt;'!$K:$K,MATCH($D489,'Lopettaneet 2013-&gt;'!$D:$D,0)),"Continues")</f>
        <v>Continues</v>
      </c>
      <c r="K489" s="30">
        <f ca="1">IF($J489="Continues",DATEDIF($B489,TODAY(),"Y"),INDEX('Lopettaneet 2013-&gt;'!$L:$L,MATCH($D489,'Lopettaneet 2013-&gt;'!$D:$D,0)))</f>
        <v>6</v>
      </c>
      <c r="L489" s="31" t="str">
        <f>IFERROR(INDEX('[1]30.06.2024'!$H:$H,MATCH($E489,'[1]30.06.2024'!$B:$B,0)),"Not found")</f>
        <v>eQ Rahastoyhtiö Oy</v>
      </c>
      <c r="M489" s="31" t="str">
        <f>IFERROR(INDEX([2]Sheet1!$B:$B,MATCH($D489,[2]Sheet1!$A:$A,0)),"Not found")</f>
        <v>Non-Retail</v>
      </c>
      <c r="N489">
        <f t="shared" si="14"/>
        <v>0</v>
      </c>
      <c r="O489">
        <f t="shared" si="15"/>
        <v>1</v>
      </c>
    </row>
    <row r="490" spans="1:15" x14ac:dyDescent="0.25">
      <c r="A490" t="s">
        <v>7</v>
      </c>
      <c r="B490" s="1">
        <v>42795</v>
      </c>
      <c r="C490" s="1">
        <v>55153</v>
      </c>
      <c r="D490" s="4" t="s">
        <v>1190</v>
      </c>
      <c r="E490" s="32" t="s">
        <v>1191</v>
      </c>
      <c r="F490" s="32">
        <v>26446545</v>
      </c>
      <c r="G490" t="s">
        <v>10</v>
      </c>
      <c r="H490" t="s">
        <v>11</v>
      </c>
      <c r="I490" t="s">
        <v>32</v>
      </c>
      <c r="J490" s="30" t="str">
        <f>IF(ISNUMBER(MATCH($D490,'Lopettaneet 2013-&gt;'!$D:$D,0)),INDEX('Lopettaneet 2013-&gt;'!$K:$K,MATCH($D490,'Lopettaneet 2013-&gt;'!$D:$D,0)),"Continues")</f>
        <v>Continues</v>
      </c>
      <c r="K490" s="30">
        <f ca="1">IF($J490="Continues",DATEDIF($B490,TODAY(),"Y"),INDEX('Lopettaneet 2013-&gt;'!$L:$L,MATCH($D490,'Lopettaneet 2013-&gt;'!$D:$D,0)))</f>
        <v>8</v>
      </c>
      <c r="L490" s="31" t="str">
        <f>IFERROR(INDEX('[1]30.06.2024'!$H:$H,MATCH($E490,'[1]30.06.2024'!$B:$B,0)),"Not found")</f>
        <v>Taitokaari Property Management Oy</v>
      </c>
      <c r="M490" s="31" t="str">
        <f>IFERROR(INDEX([2]Sheet1!$B:$B,MATCH($D490,[2]Sheet1!$A:$A,0)),"Not found")</f>
        <v>Non-Retail</v>
      </c>
      <c r="N490">
        <f t="shared" si="14"/>
        <v>0</v>
      </c>
      <c r="O490">
        <f t="shared" si="15"/>
        <v>1</v>
      </c>
    </row>
    <row r="491" spans="1:15" x14ac:dyDescent="0.25">
      <c r="A491" t="s">
        <v>0</v>
      </c>
      <c r="B491" s="1">
        <v>42795</v>
      </c>
      <c r="C491" s="1">
        <v>55153</v>
      </c>
      <c r="D491" s="4" t="s">
        <v>1192</v>
      </c>
      <c r="E491" s="32" t="s">
        <v>1193</v>
      </c>
      <c r="F491" s="32">
        <v>27947907</v>
      </c>
      <c r="G491" t="s">
        <v>10</v>
      </c>
      <c r="H491" t="s">
        <v>4</v>
      </c>
      <c r="I491" t="s">
        <v>47</v>
      </c>
      <c r="J491" s="30" t="str">
        <f>IF(ISNUMBER(MATCH($D491,'Lopettaneet 2013-&gt;'!$D:$D,0)),INDEX('Lopettaneet 2013-&gt;'!$K:$K,MATCH($D491,'Lopettaneet 2013-&gt;'!$D:$D,0)),"Continues")</f>
        <v>Continues</v>
      </c>
      <c r="K491" s="30">
        <f ca="1">IF($J491="Continues",DATEDIF($B491,TODAY(),"Y"),INDEX('Lopettaneet 2013-&gt;'!$L:$L,MATCH($D491,'Lopettaneet 2013-&gt;'!$D:$D,0)))</f>
        <v>8</v>
      </c>
      <c r="L491" s="31" t="str">
        <f>IFERROR(INDEX('[1]30.06.2024'!$H:$H,MATCH($E491,'[1]30.06.2024'!$B:$B,0)),"Not found")</f>
        <v>GRIT Rahastoyhtiö Oy</v>
      </c>
      <c r="M491" s="31" t="str">
        <f>IFERROR(INDEX([2]Sheet1!$B:$B,MATCH($D491,[2]Sheet1!$A:$A,0)),"Not found")</f>
        <v>Retail</v>
      </c>
      <c r="N491">
        <f t="shared" si="14"/>
        <v>1</v>
      </c>
      <c r="O491">
        <f t="shared" si="15"/>
        <v>0</v>
      </c>
    </row>
    <row r="492" spans="1:15" x14ac:dyDescent="0.25">
      <c r="A492" t="s">
        <v>0</v>
      </c>
      <c r="B492" s="1">
        <v>42795</v>
      </c>
      <c r="C492" s="1">
        <v>43404</v>
      </c>
      <c r="D492" s="4" t="s">
        <v>1194</v>
      </c>
      <c r="E492" s="32" t="s">
        <v>1195</v>
      </c>
      <c r="F492" s="32">
        <v>27938867</v>
      </c>
      <c r="G492" t="s">
        <v>10</v>
      </c>
      <c r="H492" t="s">
        <v>4</v>
      </c>
      <c r="I492" t="s">
        <v>47</v>
      </c>
      <c r="J492" s="30" t="str">
        <f>IF(ISNUMBER(MATCH($D492,'Lopettaneet 2013-&gt;'!$D:$D,0)),INDEX('Lopettaneet 2013-&gt;'!$K:$K,MATCH($D492,'Lopettaneet 2013-&gt;'!$D:$D,0)),"Continues")</f>
        <v>Closed</v>
      </c>
      <c r="K492" s="30">
        <f ca="1">IF($J492="Continues",DATEDIF($B492,TODAY(),"Y"),INDEX('Lopettaneet 2013-&gt;'!$L:$L,MATCH($D492,'Lopettaneet 2013-&gt;'!$D:$D,0)))</f>
        <v>1</v>
      </c>
      <c r="L492" s="31" t="str">
        <f>IFERROR(INDEX('[1]30.06.2024'!$H:$H,MATCH($E492,'[1]30.06.2024'!$B:$B,0)),"Not found")</f>
        <v>Not found</v>
      </c>
      <c r="M492" s="31" t="str">
        <f>IFERROR(INDEX([2]Sheet1!$B:$B,MATCH($D492,[2]Sheet1!$A:$A,0)),"Not found")</f>
        <v>Not found</v>
      </c>
      <c r="N492">
        <f t="shared" si="14"/>
        <v>0</v>
      </c>
      <c r="O492">
        <f t="shared" si="15"/>
        <v>0</v>
      </c>
    </row>
    <row r="493" spans="1:15" x14ac:dyDescent="0.25">
      <c r="A493" t="s">
        <v>0</v>
      </c>
      <c r="B493" s="1">
        <v>42767</v>
      </c>
      <c r="C493" s="1">
        <v>43830</v>
      </c>
      <c r="D493" s="4" t="s">
        <v>1196</v>
      </c>
      <c r="E493" s="32" t="s">
        <v>1197</v>
      </c>
      <c r="F493" s="32">
        <v>28023749</v>
      </c>
      <c r="G493" t="s">
        <v>10</v>
      </c>
      <c r="H493" t="s">
        <v>4</v>
      </c>
      <c r="I493" t="s">
        <v>20</v>
      </c>
      <c r="J493" s="30" t="str">
        <f>IF(ISNUMBER(MATCH($D493,'Lopettaneet 2013-&gt;'!$D:$D,0)),INDEX('Lopettaneet 2013-&gt;'!$K:$K,MATCH($D493,'Lopettaneet 2013-&gt;'!$D:$D,0)),"Continues")</f>
        <v>Merged</v>
      </c>
      <c r="K493" s="30">
        <f ca="1">IF($J493="Continues",DATEDIF($B493,TODAY(),"Y"),INDEX('Lopettaneet 2013-&gt;'!$L:$L,MATCH($D493,'Lopettaneet 2013-&gt;'!$D:$D,0)))</f>
        <v>2</v>
      </c>
      <c r="L493" s="31" t="str">
        <f>IFERROR(INDEX('[1]30.06.2024'!$H:$H,MATCH($E493,'[1]30.06.2024'!$B:$B,0)),"Not found")</f>
        <v>Not found</v>
      </c>
      <c r="M493" s="31" t="str">
        <f>IFERROR(INDEX([2]Sheet1!$B:$B,MATCH($D493,[2]Sheet1!$A:$A,0)),"Not found")</f>
        <v>Not found</v>
      </c>
      <c r="N493">
        <f t="shared" si="14"/>
        <v>0</v>
      </c>
      <c r="O493">
        <f t="shared" si="15"/>
        <v>0</v>
      </c>
    </row>
    <row r="494" spans="1:15" x14ac:dyDescent="0.25">
      <c r="A494" t="s">
        <v>7</v>
      </c>
      <c r="B494" s="1">
        <v>42887</v>
      </c>
      <c r="C494" s="1">
        <v>55153</v>
      </c>
      <c r="D494" s="4" t="s">
        <v>1198</v>
      </c>
      <c r="E494" s="32" t="s">
        <v>1199</v>
      </c>
      <c r="F494" s="32">
        <v>27744536</v>
      </c>
      <c r="G494" t="s">
        <v>10</v>
      </c>
      <c r="H494" t="s">
        <v>11</v>
      </c>
      <c r="I494" t="s">
        <v>32</v>
      </c>
      <c r="J494" s="30" t="str">
        <f>IF(ISNUMBER(MATCH($D494,'Lopettaneet 2013-&gt;'!$D:$D,0)),INDEX('Lopettaneet 2013-&gt;'!$K:$K,MATCH($D494,'Lopettaneet 2013-&gt;'!$D:$D,0)),"Continues")</f>
        <v>Continues</v>
      </c>
      <c r="K494" s="30">
        <f ca="1">IF($J494="Continues",DATEDIF($B494,TODAY(),"Y"),INDEX('Lopettaneet 2013-&gt;'!$L:$L,MATCH($D494,'Lopettaneet 2013-&gt;'!$D:$D,0)))</f>
        <v>7</v>
      </c>
      <c r="L494" s="31" t="str">
        <f>IFERROR(INDEX('[1]30.06.2024'!$H:$H,MATCH($E494,'[1]30.06.2024'!$B:$B,0)),"Not found")</f>
        <v>Taaleri Pääomarahastot Oy</v>
      </c>
      <c r="M494" s="31" t="str">
        <f>IFERROR(INDEX([2]Sheet1!$B:$B,MATCH($D494,[2]Sheet1!$A:$A,0)),"Not found")</f>
        <v>Retail</v>
      </c>
      <c r="N494">
        <f t="shared" si="14"/>
        <v>1</v>
      </c>
      <c r="O494">
        <f t="shared" si="15"/>
        <v>0</v>
      </c>
    </row>
    <row r="495" spans="1:15" x14ac:dyDescent="0.25">
      <c r="A495" t="s">
        <v>7</v>
      </c>
      <c r="B495" s="1">
        <v>42887</v>
      </c>
      <c r="C495" s="1">
        <v>55153</v>
      </c>
      <c r="D495" s="4" t="s">
        <v>1200</v>
      </c>
      <c r="E495" s="32" t="s">
        <v>1201</v>
      </c>
      <c r="F495" s="32">
        <v>27744501</v>
      </c>
      <c r="G495" t="s">
        <v>10</v>
      </c>
      <c r="H495" t="s">
        <v>11</v>
      </c>
      <c r="I495" t="s">
        <v>32</v>
      </c>
      <c r="J495" s="30" t="str">
        <f>IF(ISNUMBER(MATCH($D495,'Lopettaneet 2013-&gt;'!$D:$D,0)),INDEX('Lopettaneet 2013-&gt;'!$K:$K,MATCH($D495,'Lopettaneet 2013-&gt;'!$D:$D,0)),"Continues")</f>
        <v>Continues</v>
      </c>
      <c r="K495" s="30">
        <f ca="1">IF($J495="Continues",DATEDIF($B495,TODAY(),"Y"),INDEX('Lopettaneet 2013-&gt;'!$L:$L,MATCH($D495,'Lopettaneet 2013-&gt;'!$D:$D,0)))</f>
        <v>7</v>
      </c>
      <c r="L495" s="31" t="str">
        <f>IFERROR(INDEX('[1]30.06.2024'!$H:$H,MATCH($E495,'[1]30.06.2024'!$B:$B,0)),"Not found")</f>
        <v>Taaleri Pääomarahastot Oy</v>
      </c>
      <c r="M495" s="31" t="str">
        <f>IFERROR(INDEX([2]Sheet1!$B:$B,MATCH($D495,[2]Sheet1!$A:$A,0)),"Not found")</f>
        <v>Retail</v>
      </c>
      <c r="N495">
        <f t="shared" si="14"/>
        <v>1</v>
      </c>
      <c r="O495">
        <f t="shared" si="15"/>
        <v>0</v>
      </c>
    </row>
    <row r="496" spans="1:15" x14ac:dyDescent="0.25">
      <c r="A496" t="s">
        <v>7</v>
      </c>
      <c r="B496" s="1">
        <v>42887</v>
      </c>
      <c r="C496" s="1">
        <v>55153</v>
      </c>
      <c r="D496" s="4" t="s">
        <v>1202</v>
      </c>
      <c r="E496" s="32" t="s">
        <v>1203</v>
      </c>
      <c r="F496" s="32">
        <v>27744552</v>
      </c>
      <c r="G496" t="s">
        <v>10</v>
      </c>
      <c r="H496" t="s">
        <v>11</v>
      </c>
      <c r="I496" t="s">
        <v>32</v>
      </c>
      <c r="J496" s="30" t="str">
        <f>IF(ISNUMBER(MATCH($D496,'Lopettaneet 2013-&gt;'!$D:$D,0)),INDEX('Lopettaneet 2013-&gt;'!$K:$K,MATCH($D496,'Lopettaneet 2013-&gt;'!$D:$D,0)),"Continues")</f>
        <v>Continues</v>
      </c>
      <c r="K496" s="30">
        <f ca="1">IF($J496="Continues",DATEDIF($B496,TODAY(),"Y"),INDEX('Lopettaneet 2013-&gt;'!$L:$L,MATCH($D496,'Lopettaneet 2013-&gt;'!$D:$D,0)))</f>
        <v>7</v>
      </c>
      <c r="L496" s="31" t="str">
        <f>IFERROR(INDEX('[1]30.06.2024'!$H:$H,MATCH($E496,'[1]30.06.2024'!$B:$B,0)),"Not found")</f>
        <v>Taaleri Pääomarahastot Oy</v>
      </c>
      <c r="M496" s="31" t="str">
        <f>IFERROR(INDEX([2]Sheet1!$B:$B,MATCH($D496,[2]Sheet1!$A:$A,0)),"Not found")</f>
        <v>Retail</v>
      </c>
      <c r="N496">
        <f t="shared" si="14"/>
        <v>1</v>
      </c>
      <c r="O496">
        <f t="shared" si="15"/>
        <v>0</v>
      </c>
    </row>
    <row r="497" spans="1:15" x14ac:dyDescent="0.25">
      <c r="A497" t="s">
        <v>7</v>
      </c>
      <c r="B497" s="1">
        <v>42887</v>
      </c>
      <c r="C497" s="1">
        <v>55153</v>
      </c>
      <c r="D497" s="4" t="s">
        <v>1204</v>
      </c>
      <c r="E497" s="32" t="s">
        <v>1205</v>
      </c>
      <c r="F497" s="32">
        <v>27744579</v>
      </c>
      <c r="G497" t="s">
        <v>10</v>
      </c>
      <c r="H497" t="s">
        <v>11</v>
      </c>
      <c r="I497" t="s">
        <v>32</v>
      </c>
      <c r="J497" s="30" t="str">
        <f>IF(ISNUMBER(MATCH($D497,'Lopettaneet 2013-&gt;'!$D:$D,0)),INDEX('Lopettaneet 2013-&gt;'!$K:$K,MATCH($D497,'Lopettaneet 2013-&gt;'!$D:$D,0)),"Continues")</f>
        <v>Continues</v>
      </c>
      <c r="K497" s="30">
        <f ca="1">IF($J497="Continues",DATEDIF($B497,TODAY(),"Y"),INDEX('Lopettaneet 2013-&gt;'!$L:$L,MATCH($D497,'Lopettaneet 2013-&gt;'!$D:$D,0)))</f>
        <v>7</v>
      </c>
      <c r="L497" s="31" t="str">
        <f>IFERROR(INDEX('[1]30.06.2024'!$H:$H,MATCH($E497,'[1]30.06.2024'!$B:$B,0)),"Not found")</f>
        <v>Taaleri Pääomarahastot Oy</v>
      </c>
      <c r="M497" s="31" t="str">
        <f>IFERROR(INDEX([2]Sheet1!$B:$B,MATCH($D497,[2]Sheet1!$A:$A,0)),"Not found")</f>
        <v>Retail</v>
      </c>
      <c r="N497">
        <f t="shared" si="14"/>
        <v>1</v>
      </c>
      <c r="O497">
        <f t="shared" si="15"/>
        <v>0</v>
      </c>
    </row>
    <row r="498" spans="1:15" x14ac:dyDescent="0.25">
      <c r="A498" t="s">
        <v>7</v>
      </c>
      <c r="B498" s="1">
        <v>42887</v>
      </c>
      <c r="C498" s="1">
        <v>55153</v>
      </c>
      <c r="D498" s="4" t="s">
        <v>1206</v>
      </c>
      <c r="E498" s="32" t="s">
        <v>1207</v>
      </c>
      <c r="F498" s="32">
        <v>28275428</v>
      </c>
      <c r="G498" t="s">
        <v>10</v>
      </c>
      <c r="H498" t="s">
        <v>11</v>
      </c>
      <c r="I498" t="s">
        <v>80</v>
      </c>
      <c r="J498" s="30" t="str">
        <f>IF(ISNUMBER(MATCH($D498,'Lopettaneet 2013-&gt;'!$D:$D,0)),INDEX('Lopettaneet 2013-&gt;'!$K:$K,MATCH($D498,'Lopettaneet 2013-&gt;'!$D:$D,0)),"Continues")</f>
        <v>Continues</v>
      </c>
      <c r="K498" s="30">
        <f ca="1">IF($J498="Continues",DATEDIF($B498,TODAY(),"Y"),INDEX('Lopettaneet 2013-&gt;'!$L:$L,MATCH($D498,'Lopettaneet 2013-&gt;'!$D:$D,0)))</f>
        <v>7</v>
      </c>
      <c r="L498" s="31" t="str">
        <f>IFERROR(INDEX('[1]30.06.2024'!$H:$H,MATCH($E498,'[1]30.06.2024'!$B:$B,0)),"Not found")</f>
        <v>Vendep Capital Oy</v>
      </c>
      <c r="M498" s="31" t="str">
        <f>IFERROR(INDEX([2]Sheet1!$B:$B,MATCH($D498,[2]Sheet1!$A:$A,0)),"Not found")</f>
        <v>Non-Retail</v>
      </c>
      <c r="N498">
        <f t="shared" si="14"/>
        <v>0</v>
      </c>
      <c r="O498">
        <f t="shared" si="15"/>
        <v>1</v>
      </c>
    </row>
    <row r="499" spans="1:15" x14ac:dyDescent="0.25">
      <c r="A499" t="s">
        <v>7</v>
      </c>
      <c r="B499" s="1">
        <v>42736</v>
      </c>
      <c r="C499" s="1">
        <v>55153</v>
      </c>
      <c r="D499" s="4" t="s">
        <v>1208</v>
      </c>
      <c r="E499" s="32" t="s">
        <v>1209</v>
      </c>
      <c r="F499" s="32">
        <v>27342828</v>
      </c>
      <c r="G499" t="s">
        <v>10</v>
      </c>
      <c r="H499" t="s">
        <v>11</v>
      </c>
      <c r="I499" t="s">
        <v>32</v>
      </c>
      <c r="J499" s="30" t="str">
        <f>IF(ISNUMBER(MATCH($D499,'Lopettaneet 2013-&gt;'!$D:$D,0)),INDEX('Lopettaneet 2013-&gt;'!$K:$K,MATCH($D499,'Lopettaneet 2013-&gt;'!$D:$D,0)),"Continues")</f>
        <v>Continues</v>
      </c>
      <c r="K499" s="30">
        <f ca="1">IF($J499="Continues",DATEDIF($B499,TODAY(),"Y"),INDEX('Lopettaneet 2013-&gt;'!$L:$L,MATCH($D499,'Lopettaneet 2013-&gt;'!$D:$D,0)))</f>
        <v>8</v>
      </c>
      <c r="L499" s="31" t="str">
        <f>IFERROR(INDEX('[1]30.06.2024'!$H:$H,MATCH($E499,'[1]30.06.2024'!$B:$B,0)),"Not found")</f>
        <v>Taitokaari Property Management Oy</v>
      </c>
      <c r="M499" s="31" t="str">
        <f>IFERROR(INDEX([2]Sheet1!$B:$B,MATCH($D499,[2]Sheet1!$A:$A,0)),"Not found")</f>
        <v>Non-Retail</v>
      </c>
      <c r="N499">
        <f t="shared" si="14"/>
        <v>0</v>
      </c>
      <c r="O499">
        <f t="shared" si="15"/>
        <v>1</v>
      </c>
    </row>
    <row r="500" spans="1:15" x14ac:dyDescent="0.25">
      <c r="A500" t="s">
        <v>7</v>
      </c>
      <c r="B500" s="1">
        <v>42795</v>
      </c>
      <c r="C500" s="1">
        <v>44926</v>
      </c>
      <c r="D500" s="4" t="s">
        <v>1210</v>
      </c>
      <c r="E500" s="32" t="s">
        <v>1211</v>
      </c>
      <c r="F500" s="32">
        <v>28031431</v>
      </c>
      <c r="G500" t="s">
        <v>10</v>
      </c>
      <c r="H500" t="s">
        <v>11</v>
      </c>
      <c r="I500" t="s">
        <v>32</v>
      </c>
      <c r="J500" s="30" t="str">
        <f>IF(ISNUMBER(MATCH($D500,'Lopettaneet 2013-&gt;'!$D:$D,0)),INDEX('Lopettaneet 2013-&gt;'!$K:$K,MATCH($D500,'Lopettaneet 2013-&gt;'!$D:$D,0)),"Continues")</f>
        <v>Closed</v>
      </c>
      <c r="K500" s="30">
        <f ca="1">IF($J500="Continues",DATEDIF($B500,TODAY(),"Y"),INDEX('Lopettaneet 2013-&gt;'!$L:$L,MATCH($D500,'Lopettaneet 2013-&gt;'!$D:$D,0)))</f>
        <v>5</v>
      </c>
      <c r="L500" s="31" t="str">
        <f>IFERROR(INDEX('[1]30.06.2024'!$H:$H,MATCH($E500,'[1]30.06.2024'!$B:$B,0)),"Not found")</f>
        <v>Not found</v>
      </c>
      <c r="M500" s="31" t="str">
        <f>IFERROR(INDEX([2]Sheet1!$B:$B,MATCH($D500,[2]Sheet1!$A:$A,0)),"Not found")</f>
        <v>Not found</v>
      </c>
      <c r="N500">
        <f t="shared" si="14"/>
        <v>0</v>
      </c>
      <c r="O500">
        <f t="shared" si="15"/>
        <v>0</v>
      </c>
    </row>
    <row r="501" spans="1:15" x14ac:dyDescent="0.25">
      <c r="A501" t="s">
        <v>0</v>
      </c>
      <c r="B501" s="1">
        <v>42795</v>
      </c>
      <c r="C501" s="1">
        <v>55153</v>
      </c>
      <c r="D501" s="4" t="s">
        <v>1212</v>
      </c>
      <c r="E501" s="32" t="s">
        <v>1213</v>
      </c>
      <c r="F501" s="32">
        <v>28125139</v>
      </c>
      <c r="G501" t="s">
        <v>3</v>
      </c>
      <c r="H501" t="s">
        <v>4</v>
      </c>
      <c r="I501" t="s">
        <v>20</v>
      </c>
      <c r="J501" s="30" t="str">
        <f>IF(ISNUMBER(MATCH($D501,'Lopettaneet 2013-&gt;'!$D:$D,0)),INDEX('Lopettaneet 2013-&gt;'!$K:$K,MATCH($D501,'Lopettaneet 2013-&gt;'!$D:$D,0)),"Continues")</f>
        <v>Continues</v>
      </c>
      <c r="K501" s="30">
        <f ca="1">IF($J501="Continues",DATEDIF($B501,TODAY(),"Y"),INDEX('Lopettaneet 2013-&gt;'!$L:$L,MATCH($D501,'Lopettaneet 2013-&gt;'!$D:$D,0)))</f>
        <v>8</v>
      </c>
      <c r="L501" s="31" t="str">
        <f>IFERROR(INDEX('[1]30.06.2024'!$H:$H,MATCH($E501,'[1]30.06.2024'!$B:$B,0)),"Not found")</f>
        <v>Fondbolaget Fondita Ab</v>
      </c>
      <c r="M501" s="31" t="str">
        <f>IFERROR(INDEX([2]Sheet1!$B:$B,MATCH($D501,[2]Sheet1!$A:$A,0)),"Not found")</f>
        <v>Retail</v>
      </c>
      <c r="N501">
        <f t="shared" si="14"/>
        <v>1</v>
      </c>
      <c r="O501">
        <f t="shared" si="15"/>
        <v>0</v>
      </c>
    </row>
    <row r="502" spans="1:15" x14ac:dyDescent="0.25">
      <c r="A502" t="s">
        <v>7</v>
      </c>
      <c r="B502" s="1">
        <v>42795</v>
      </c>
      <c r="C502" s="1">
        <v>55153</v>
      </c>
      <c r="D502" s="4" t="s">
        <v>1214</v>
      </c>
      <c r="E502" s="32" t="s">
        <v>1215</v>
      </c>
      <c r="F502" s="32">
        <v>28218837</v>
      </c>
      <c r="G502" t="s">
        <v>10</v>
      </c>
      <c r="H502" t="s">
        <v>11</v>
      </c>
      <c r="I502" t="s">
        <v>12</v>
      </c>
      <c r="J502" s="30" t="str">
        <f>IF(ISNUMBER(MATCH($D502,'Lopettaneet 2013-&gt;'!$D:$D,0)),INDEX('Lopettaneet 2013-&gt;'!$K:$K,MATCH($D502,'Lopettaneet 2013-&gt;'!$D:$D,0)),"Continues")</f>
        <v>Continues</v>
      </c>
      <c r="K502" s="30">
        <f ca="1">IF($J502="Continues",DATEDIF($B502,TODAY(),"Y"),INDEX('Lopettaneet 2013-&gt;'!$L:$L,MATCH($D502,'Lopettaneet 2013-&gt;'!$D:$D,0)))</f>
        <v>8</v>
      </c>
      <c r="L502" s="31" t="str">
        <f>IFERROR(INDEX('[1]30.06.2024'!$H:$H,MATCH($E502,'[1]30.06.2024'!$B:$B,0)),"Not found")</f>
        <v>Vaaka Partners Oy</v>
      </c>
      <c r="M502" s="31" t="str">
        <f>IFERROR(INDEX([2]Sheet1!$B:$B,MATCH($D502,[2]Sheet1!$A:$A,0)),"Not found")</f>
        <v>Non-Retail</v>
      </c>
      <c r="N502">
        <f t="shared" si="14"/>
        <v>0</v>
      </c>
      <c r="O502">
        <f t="shared" si="15"/>
        <v>1</v>
      </c>
    </row>
    <row r="503" spans="1:15" x14ac:dyDescent="0.25">
      <c r="A503" t="s">
        <v>0</v>
      </c>
      <c r="B503" s="1">
        <v>42948</v>
      </c>
      <c r="C503" s="1">
        <v>55153</v>
      </c>
      <c r="D503" s="4" t="s">
        <v>1216</v>
      </c>
      <c r="E503" s="32" t="s">
        <v>1217</v>
      </c>
      <c r="F503" s="32">
        <v>28250888</v>
      </c>
      <c r="G503" t="s">
        <v>10</v>
      </c>
      <c r="H503" t="s">
        <v>11</v>
      </c>
      <c r="I503" t="s">
        <v>29</v>
      </c>
      <c r="J503" s="30" t="str">
        <f>IF(ISNUMBER(MATCH($D503,'Lopettaneet 2013-&gt;'!$D:$D,0)),INDEX('Lopettaneet 2013-&gt;'!$K:$K,MATCH($D503,'Lopettaneet 2013-&gt;'!$D:$D,0)),"Continues")</f>
        <v>Continues</v>
      </c>
      <c r="K503" s="30">
        <f ca="1">IF($J503="Continues",DATEDIF($B503,TODAY(),"Y"),INDEX('Lopettaneet 2013-&gt;'!$L:$L,MATCH($D503,'Lopettaneet 2013-&gt;'!$D:$D,0)))</f>
        <v>7</v>
      </c>
      <c r="L503" s="31" t="str">
        <f>IFERROR(INDEX('[1]30.06.2024'!$H:$H,MATCH($E503,'[1]30.06.2024'!$B:$B,0)),"Not found")</f>
        <v>eQ Rahastoyhtiö Oy</v>
      </c>
      <c r="M503" s="31" t="str">
        <f>IFERROR(INDEX([2]Sheet1!$B:$B,MATCH($D503,[2]Sheet1!$A:$A,0)),"Not found")</f>
        <v>Non-Retail</v>
      </c>
      <c r="N503">
        <f t="shared" si="14"/>
        <v>0</v>
      </c>
      <c r="O503">
        <f t="shared" si="15"/>
        <v>1</v>
      </c>
    </row>
    <row r="504" spans="1:15" x14ac:dyDescent="0.25">
      <c r="A504" t="s">
        <v>7</v>
      </c>
      <c r="B504" s="1">
        <v>42887</v>
      </c>
      <c r="C504" s="1">
        <v>55153</v>
      </c>
      <c r="D504" s="4" t="s">
        <v>1218</v>
      </c>
      <c r="E504" s="32" t="s">
        <v>1219</v>
      </c>
      <c r="F504" s="32">
        <v>28365394</v>
      </c>
      <c r="G504" t="s">
        <v>10</v>
      </c>
      <c r="H504" t="s">
        <v>11</v>
      </c>
      <c r="I504" t="s">
        <v>32</v>
      </c>
      <c r="J504" s="30" t="str">
        <f>IF(ISNUMBER(MATCH($D504,'Lopettaneet 2013-&gt;'!$D:$D,0)),INDEX('Lopettaneet 2013-&gt;'!$K:$K,MATCH($D504,'Lopettaneet 2013-&gt;'!$D:$D,0)),"Continues")</f>
        <v>Continues</v>
      </c>
      <c r="K504" s="30">
        <f ca="1">IF($J504="Continues",DATEDIF($B504,TODAY(),"Y"),INDEX('Lopettaneet 2013-&gt;'!$L:$L,MATCH($D504,'Lopettaneet 2013-&gt;'!$D:$D,0)))</f>
        <v>7</v>
      </c>
      <c r="L504" s="31" t="str">
        <f>IFERROR(INDEX('[1]30.06.2024'!$H:$H,MATCH($E504,'[1]30.06.2024'!$B:$B,0)),"Not found")</f>
        <v>Not found</v>
      </c>
      <c r="M504" s="31" t="str">
        <f>IFERROR(INDEX([2]Sheet1!$B:$B,MATCH($D504,[2]Sheet1!$A:$A,0)),"Not found")</f>
        <v>Non-Retail</v>
      </c>
      <c r="N504">
        <f t="shared" si="14"/>
        <v>0</v>
      </c>
      <c r="O504">
        <f t="shared" si="15"/>
        <v>1</v>
      </c>
    </row>
    <row r="505" spans="1:15" x14ac:dyDescent="0.25">
      <c r="A505" t="s">
        <v>7</v>
      </c>
      <c r="B505" s="1">
        <v>42887</v>
      </c>
      <c r="C505" s="1">
        <v>55153</v>
      </c>
      <c r="D505" s="4" t="s">
        <v>1220</v>
      </c>
      <c r="E505" s="32" t="s">
        <v>1221</v>
      </c>
      <c r="F505" s="32">
        <v>28176657</v>
      </c>
      <c r="G505" t="s">
        <v>10</v>
      </c>
      <c r="H505" t="s">
        <v>11</v>
      </c>
      <c r="I505" t="s">
        <v>29</v>
      </c>
      <c r="J505" s="30" t="str">
        <f>IF(ISNUMBER(MATCH($D505,'Lopettaneet 2013-&gt;'!$D:$D,0)),INDEX('Lopettaneet 2013-&gt;'!$K:$K,MATCH($D505,'Lopettaneet 2013-&gt;'!$D:$D,0)),"Continues")</f>
        <v>Continues</v>
      </c>
      <c r="K505" s="30">
        <f ca="1">IF($J505="Continues",DATEDIF($B505,TODAY(),"Y"),INDEX('Lopettaneet 2013-&gt;'!$L:$L,MATCH($D505,'Lopettaneet 2013-&gt;'!$D:$D,0)))</f>
        <v>7</v>
      </c>
      <c r="L505" s="31" t="str">
        <f>IFERROR(INDEX('[1]30.06.2024'!$H:$H,MATCH($E505,'[1]30.06.2024'!$B:$B,0)),"Not found")</f>
        <v>Taaleri Pääomarahastot Oy</v>
      </c>
      <c r="M505" s="31" t="str">
        <f>IFERROR(INDEX([2]Sheet1!$B:$B,MATCH($D505,[2]Sheet1!$A:$A,0)),"Not found")</f>
        <v>Retail</v>
      </c>
      <c r="N505">
        <f t="shared" si="14"/>
        <v>1</v>
      </c>
      <c r="O505">
        <f t="shared" si="15"/>
        <v>0</v>
      </c>
    </row>
    <row r="506" spans="1:15" x14ac:dyDescent="0.25">
      <c r="A506" t="s">
        <v>7</v>
      </c>
      <c r="B506" s="1">
        <v>42795</v>
      </c>
      <c r="C506" s="1">
        <v>55153</v>
      </c>
      <c r="D506" s="4" t="s">
        <v>1222</v>
      </c>
      <c r="E506" s="32" t="s">
        <v>1223</v>
      </c>
      <c r="F506" s="32">
        <v>28257289</v>
      </c>
      <c r="G506" t="s">
        <v>10</v>
      </c>
      <c r="H506" t="s">
        <v>11</v>
      </c>
      <c r="I506" t="s">
        <v>12</v>
      </c>
      <c r="J506" s="30" t="str">
        <f>IF(ISNUMBER(MATCH($D506,'Lopettaneet 2013-&gt;'!$D:$D,0)),INDEX('Lopettaneet 2013-&gt;'!$K:$K,MATCH($D506,'Lopettaneet 2013-&gt;'!$D:$D,0)),"Continues")</f>
        <v>Continues</v>
      </c>
      <c r="K506" s="30">
        <f ca="1">IF($J506="Continues",DATEDIF($B506,TODAY(),"Y"),INDEX('Lopettaneet 2013-&gt;'!$L:$L,MATCH($D506,'Lopettaneet 2013-&gt;'!$D:$D,0)))</f>
        <v>8</v>
      </c>
      <c r="L506" s="31" t="str">
        <f>IFERROR(INDEX('[1]30.06.2024'!$H:$H,MATCH($E506,'[1]30.06.2024'!$B:$B,0)),"Not found")</f>
        <v>Vaaka Partners Oy</v>
      </c>
      <c r="M506" s="31" t="str">
        <f>IFERROR(INDEX([2]Sheet1!$B:$B,MATCH($D506,[2]Sheet1!$A:$A,0)),"Not found")</f>
        <v>Non-Retail</v>
      </c>
      <c r="N506">
        <f t="shared" si="14"/>
        <v>0</v>
      </c>
      <c r="O506">
        <f t="shared" si="15"/>
        <v>1</v>
      </c>
    </row>
    <row r="507" spans="1:15" x14ac:dyDescent="0.25">
      <c r="A507" t="s">
        <v>7</v>
      </c>
      <c r="B507" s="1">
        <v>42795</v>
      </c>
      <c r="C507" s="1">
        <v>55153</v>
      </c>
      <c r="D507" s="4" t="s">
        <v>1224</v>
      </c>
      <c r="E507" s="32" t="s">
        <v>1225</v>
      </c>
      <c r="F507" s="32">
        <v>28227987</v>
      </c>
      <c r="G507" t="s">
        <v>10</v>
      </c>
      <c r="H507" t="s">
        <v>11</v>
      </c>
      <c r="I507" t="s">
        <v>32</v>
      </c>
      <c r="J507" s="30" t="str">
        <f>IF(ISNUMBER(MATCH($D507,'Lopettaneet 2013-&gt;'!$D:$D,0)),INDEX('Lopettaneet 2013-&gt;'!$K:$K,MATCH($D507,'Lopettaneet 2013-&gt;'!$D:$D,0)),"Continues")</f>
        <v>Continues</v>
      </c>
      <c r="K507" s="30">
        <f ca="1">IF($J507="Continues",DATEDIF($B507,TODAY(),"Y"),INDEX('Lopettaneet 2013-&gt;'!$L:$L,MATCH($D507,'Lopettaneet 2013-&gt;'!$D:$D,0)))</f>
        <v>8</v>
      </c>
      <c r="L507" s="31" t="str">
        <f>IFERROR(INDEX('[1]30.06.2024'!$H:$H,MATCH($E507,'[1]30.06.2024'!$B:$B,0)),"Not found")</f>
        <v>Samla Capital Oy</v>
      </c>
      <c r="M507" s="31" t="str">
        <f>IFERROR(INDEX([2]Sheet1!$B:$B,MATCH($D507,[2]Sheet1!$A:$A,0)),"Not found")</f>
        <v>Non-Retail</v>
      </c>
      <c r="N507">
        <f t="shared" si="14"/>
        <v>0</v>
      </c>
      <c r="O507">
        <f t="shared" si="15"/>
        <v>1</v>
      </c>
    </row>
    <row r="508" spans="1:15" x14ac:dyDescent="0.25">
      <c r="A508" t="s">
        <v>0</v>
      </c>
      <c r="B508" s="1">
        <v>42795</v>
      </c>
      <c r="C508" s="1">
        <v>43434</v>
      </c>
      <c r="D508" s="4" t="s">
        <v>1226</v>
      </c>
      <c r="E508" s="32" t="s">
        <v>1227</v>
      </c>
      <c r="F508" s="32">
        <v>28216989</v>
      </c>
      <c r="G508" t="s">
        <v>3</v>
      </c>
      <c r="H508" t="s">
        <v>4</v>
      </c>
      <c r="I508" t="s">
        <v>50</v>
      </c>
      <c r="J508" s="30" t="str">
        <f>IF(ISNUMBER(MATCH($D508,'Lopettaneet 2013-&gt;'!$D:$D,0)),INDEX('Lopettaneet 2013-&gt;'!$K:$K,MATCH($D508,'Lopettaneet 2013-&gt;'!$D:$D,0)),"Continues")</f>
        <v>Merged</v>
      </c>
      <c r="K508" s="30">
        <f ca="1">IF($J508="Continues",DATEDIF($B508,TODAY(),"Y"),INDEX('Lopettaneet 2013-&gt;'!$L:$L,MATCH($D508,'Lopettaneet 2013-&gt;'!$D:$D,0)))</f>
        <v>1</v>
      </c>
      <c r="L508" s="31" t="str">
        <f>IFERROR(INDEX('[1]30.06.2024'!$H:$H,MATCH($E508,'[1]30.06.2024'!$B:$B,0)),"Not found")</f>
        <v>Not found</v>
      </c>
      <c r="M508" s="31" t="str">
        <f>IFERROR(INDEX([2]Sheet1!$B:$B,MATCH($D508,[2]Sheet1!$A:$A,0)),"Not found")</f>
        <v>Not found</v>
      </c>
      <c r="N508">
        <f t="shared" si="14"/>
        <v>0</v>
      </c>
      <c r="O508">
        <f t="shared" si="15"/>
        <v>0</v>
      </c>
    </row>
    <row r="509" spans="1:15" x14ac:dyDescent="0.25">
      <c r="A509" t="s">
        <v>0</v>
      </c>
      <c r="B509" s="1">
        <v>42795</v>
      </c>
      <c r="C509" s="1">
        <v>43830</v>
      </c>
      <c r="D509" s="4" t="s">
        <v>1228</v>
      </c>
      <c r="E509" s="32" t="s">
        <v>1229</v>
      </c>
      <c r="F509" s="32">
        <v>28125569</v>
      </c>
      <c r="G509" t="s">
        <v>10</v>
      </c>
      <c r="H509" t="s">
        <v>4</v>
      </c>
      <c r="I509" t="s">
        <v>32</v>
      </c>
      <c r="J509" s="30" t="str">
        <f>IF(ISNUMBER(MATCH($D509,'Lopettaneet 2013-&gt;'!$D:$D,0)),INDEX('Lopettaneet 2013-&gt;'!$K:$K,MATCH($D509,'Lopettaneet 2013-&gt;'!$D:$D,0)),"Continues")</f>
        <v>Merged</v>
      </c>
      <c r="K509" s="30">
        <f ca="1">IF($J509="Continues",DATEDIF($B509,TODAY(),"Y"),INDEX('Lopettaneet 2013-&gt;'!$L:$L,MATCH($D509,'Lopettaneet 2013-&gt;'!$D:$D,0)))</f>
        <v>2</v>
      </c>
      <c r="L509" s="31" t="str">
        <f>IFERROR(INDEX('[1]30.06.2024'!$H:$H,MATCH($E509,'[1]30.06.2024'!$B:$B,0)),"Not found")</f>
        <v>Not found</v>
      </c>
      <c r="M509" s="31" t="str">
        <f>IFERROR(INDEX([2]Sheet1!$B:$B,MATCH($D509,[2]Sheet1!$A:$A,0)),"Not found")</f>
        <v>Not found</v>
      </c>
      <c r="N509">
        <f t="shared" si="14"/>
        <v>0</v>
      </c>
      <c r="O509">
        <f t="shared" si="15"/>
        <v>0</v>
      </c>
    </row>
    <row r="510" spans="1:15" x14ac:dyDescent="0.25">
      <c r="A510" t="s">
        <v>7</v>
      </c>
      <c r="B510" s="1">
        <v>43070</v>
      </c>
      <c r="C510" s="1">
        <v>55153</v>
      </c>
      <c r="D510" s="4" t="s">
        <v>1230</v>
      </c>
      <c r="E510" s="32" t="s">
        <v>1231</v>
      </c>
      <c r="F510" s="32">
        <v>28656722</v>
      </c>
      <c r="G510" t="s">
        <v>10</v>
      </c>
      <c r="H510" t="s">
        <v>11</v>
      </c>
      <c r="I510" t="s">
        <v>80</v>
      </c>
      <c r="J510" s="30" t="str">
        <f>IF(ISNUMBER(MATCH($D510,'Lopettaneet 2013-&gt;'!$D:$D,0)),INDEX('Lopettaneet 2013-&gt;'!$K:$K,MATCH($D510,'Lopettaneet 2013-&gt;'!$D:$D,0)),"Continues")</f>
        <v>Continues</v>
      </c>
      <c r="K510" s="30">
        <f ca="1">IF($J510="Continues",DATEDIF($B510,TODAY(),"Y"),INDEX('Lopettaneet 2013-&gt;'!$L:$L,MATCH($D510,'Lopettaneet 2013-&gt;'!$D:$D,0)))</f>
        <v>7</v>
      </c>
      <c r="L510" s="31" t="str">
        <f>IFERROR(INDEX('[1]30.06.2024'!$H:$H,MATCH($E510,'[1]30.06.2024'!$B:$B,0)),"Not found")</f>
        <v>Tesi Fund Management Oy</v>
      </c>
      <c r="M510" s="31" t="str">
        <f>IFERROR(INDEX([2]Sheet1!$B:$B,MATCH($D510,[2]Sheet1!$A:$A,0)),"Not found")</f>
        <v>Non-Retail</v>
      </c>
      <c r="N510">
        <f t="shared" si="14"/>
        <v>0</v>
      </c>
      <c r="O510">
        <f t="shared" si="15"/>
        <v>1</v>
      </c>
    </row>
    <row r="511" spans="1:15" x14ac:dyDescent="0.25">
      <c r="A511" t="s">
        <v>0</v>
      </c>
      <c r="B511" s="1">
        <v>42826</v>
      </c>
      <c r="C511" s="1">
        <v>55153</v>
      </c>
      <c r="D511" s="4" t="s">
        <v>1232</v>
      </c>
      <c r="E511" s="32" t="s">
        <v>1233</v>
      </c>
      <c r="F511" s="32">
        <v>28074706</v>
      </c>
      <c r="G511" t="s">
        <v>10</v>
      </c>
      <c r="H511" t="s">
        <v>4</v>
      </c>
      <c r="I511" t="s">
        <v>50</v>
      </c>
      <c r="J511" s="30" t="str">
        <f>IF(ISNUMBER(MATCH($D511,'Lopettaneet 2013-&gt;'!$D:$D,0)),INDEX('Lopettaneet 2013-&gt;'!$K:$K,MATCH($D511,'Lopettaneet 2013-&gt;'!$D:$D,0)),"Continues")</f>
        <v>Continues</v>
      </c>
      <c r="K511" s="30">
        <f ca="1">IF($J511="Continues",DATEDIF($B511,TODAY(),"Y"),INDEX('Lopettaneet 2013-&gt;'!$L:$L,MATCH($D511,'Lopettaneet 2013-&gt;'!$D:$D,0)))</f>
        <v>8</v>
      </c>
      <c r="L511" s="31" t="str">
        <f>IFERROR(INDEX('[1]30.06.2024'!$H:$H,MATCH($E511,'[1]30.06.2024'!$B:$B,0)),"Not found")</f>
        <v>Not found</v>
      </c>
      <c r="M511" s="31" t="str">
        <f>IFERROR(INDEX([2]Sheet1!$B:$B,MATCH($D511,[2]Sheet1!$A:$A,0)),"Not found")</f>
        <v>Non-Retail</v>
      </c>
      <c r="N511">
        <f t="shared" si="14"/>
        <v>0</v>
      </c>
      <c r="O511">
        <f t="shared" si="15"/>
        <v>1</v>
      </c>
    </row>
    <row r="512" spans="1:15" x14ac:dyDescent="0.25">
      <c r="A512" t="s">
        <v>0</v>
      </c>
      <c r="B512" s="1">
        <v>42887</v>
      </c>
      <c r="C512" s="1">
        <v>55153</v>
      </c>
      <c r="D512" s="4" t="s">
        <v>1234</v>
      </c>
      <c r="E512" s="32" t="s">
        <v>1235</v>
      </c>
      <c r="F512" s="32">
        <v>28263574</v>
      </c>
      <c r="G512" t="s">
        <v>10</v>
      </c>
      <c r="H512" t="s">
        <v>4</v>
      </c>
      <c r="I512" t="s">
        <v>20</v>
      </c>
      <c r="J512" s="30" t="str">
        <f>IF(ISNUMBER(MATCH($D512,'Lopettaneet 2013-&gt;'!$D:$D,0)),INDEX('Lopettaneet 2013-&gt;'!$K:$K,MATCH($D512,'Lopettaneet 2013-&gt;'!$D:$D,0)),"Continues")</f>
        <v>Continues</v>
      </c>
      <c r="K512" s="30">
        <f ca="1">IF($J512="Continues",DATEDIF($B512,TODAY(),"Y"),INDEX('Lopettaneet 2013-&gt;'!$L:$L,MATCH($D512,'Lopettaneet 2013-&gt;'!$D:$D,0)))</f>
        <v>7</v>
      </c>
      <c r="L512" s="31" t="str">
        <f>IFERROR(INDEX('[1]30.06.2024'!$H:$H,MATCH($E512,'[1]30.06.2024'!$B:$B,0)),"Not found")</f>
        <v>eQ Rahastoyhtiö Oy</v>
      </c>
      <c r="M512" s="31" t="str">
        <f>IFERROR(INDEX([2]Sheet1!$B:$B,MATCH($D512,[2]Sheet1!$A:$A,0)),"Not found")</f>
        <v>Retail</v>
      </c>
      <c r="N512">
        <f t="shared" si="14"/>
        <v>1</v>
      </c>
      <c r="O512">
        <f t="shared" si="15"/>
        <v>0</v>
      </c>
    </row>
    <row r="513" spans="1:15" x14ac:dyDescent="0.25">
      <c r="A513" t="s">
        <v>7</v>
      </c>
      <c r="B513" s="1">
        <v>42795</v>
      </c>
      <c r="C513" s="1">
        <v>55153</v>
      </c>
      <c r="D513" s="4" t="s">
        <v>1236</v>
      </c>
      <c r="E513" s="32" t="s">
        <v>1237</v>
      </c>
      <c r="F513" s="32">
        <v>28024901</v>
      </c>
      <c r="G513" t="s">
        <v>10</v>
      </c>
      <c r="H513" t="s">
        <v>11</v>
      </c>
      <c r="I513" t="s">
        <v>12</v>
      </c>
      <c r="J513" s="30" t="str">
        <f>IF(ISNUMBER(MATCH($D513,'Lopettaneet 2013-&gt;'!$D:$D,0)),INDEX('Lopettaneet 2013-&gt;'!$K:$K,MATCH($D513,'Lopettaneet 2013-&gt;'!$D:$D,0)),"Continues")</f>
        <v>Continues</v>
      </c>
      <c r="K513" s="30">
        <f ca="1">IF($J513="Continues",DATEDIF($B513,TODAY(),"Y"),INDEX('Lopettaneet 2013-&gt;'!$L:$L,MATCH($D513,'Lopettaneet 2013-&gt;'!$D:$D,0)))</f>
        <v>8</v>
      </c>
      <c r="L513" s="31" t="str">
        <f>IFERROR(INDEX('[1]30.06.2024'!$H:$H,MATCH($E513,'[1]30.06.2024'!$B:$B,0)),"Not found")</f>
        <v>Folmer Management Oy</v>
      </c>
      <c r="M513" s="31" t="str">
        <f>IFERROR(INDEX([2]Sheet1!$B:$B,MATCH($D513,[2]Sheet1!$A:$A,0)),"Not found")</f>
        <v>Non-Retail</v>
      </c>
      <c r="N513">
        <f t="shared" si="14"/>
        <v>0</v>
      </c>
      <c r="O513">
        <f t="shared" si="15"/>
        <v>1</v>
      </c>
    </row>
    <row r="514" spans="1:15" x14ac:dyDescent="0.25">
      <c r="A514" t="s">
        <v>7</v>
      </c>
      <c r="B514" s="1">
        <v>42795</v>
      </c>
      <c r="C514" s="1">
        <v>55153</v>
      </c>
      <c r="D514" s="4" t="s">
        <v>1238</v>
      </c>
      <c r="E514" s="32" t="s">
        <v>1239</v>
      </c>
      <c r="F514" s="32">
        <v>28094731</v>
      </c>
      <c r="G514" t="s">
        <v>10</v>
      </c>
      <c r="H514" t="s">
        <v>11</v>
      </c>
      <c r="I514" t="s">
        <v>32</v>
      </c>
      <c r="J514" s="30" t="str">
        <f>IF(ISNUMBER(MATCH($D514,'Lopettaneet 2013-&gt;'!$D:$D,0)),INDEX('Lopettaneet 2013-&gt;'!$K:$K,MATCH($D514,'Lopettaneet 2013-&gt;'!$D:$D,0)),"Continues")</f>
        <v>Continues</v>
      </c>
      <c r="K514" s="30">
        <f ca="1">IF($J514="Continues",DATEDIF($B514,TODAY(),"Y"),INDEX('Lopettaneet 2013-&gt;'!$L:$L,MATCH($D514,'Lopettaneet 2013-&gt;'!$D:$D,0)))</f>
        <v>8</v>
      </c>
      <c r="L514" s="31" t="str">
        <f>IFERROR(INDEX('[1]30.06.2024'!$H:$H,MATCH($E514,'[1]30.06.2024'!$B:$B,0)),"Not found")</f>
        <v>LähiTapiola Vaihtoehtorahastot Oy</v>
      </c>
      <c r="M514" s="31" t="str">
        <f>IFERROR(INDEX([2]Sheet1!$B:$B,MATCH($D514,[2]Sheet1!$A:$A,0)),"Not found")</f>
        <v>Retail</v>
      </c>
      <c r="N514">
        <f t="shared" si="14"/>
        <v>1</v>
      </c>
      <c r="O514">
        <f t="shared" si="15"/>
        <v>0</v>
      </c>
    </row>
    <row r="515" spans="1:15" x14ac:dyDescent="0.25">
      <c r="A515" t="s">
        <v>7</v>
      </c>
      <c r="B515" s="1">
        <v>42887</v>
      </c>
      <c r="C515" s="1">
        <v>55153</v>
      </c>
      <c r="D515" s="4" t="s">
        <v>1240</v>
      </c>
      <c r="E515" s="32" t="s">
        <v>1241</v>
      </c>
      <c r="F515" s="32">
        <v>28270264</v>
      </c>
      <c r="G515" t="s">
        <v>10</v>
      </c>
      <c r="H515" t="s">
        <v>11</v>
      </c>
      <c r="I515" t="s">
        <v>80</v>
      </c>
      <c r="J515" s="30" t="str">
        <f>IF(ISNUMBER(MATCH($D515,'Lopettaneet 2013-&gt;'!$D:$D,0)),INDEX('Lopettaneet 2013-&gt;'!$K:$K,MATCH($D515,'Lopettaneet 2013-&gt;'!$D:$D,0)),"Continues")</f>
        <v>Continues</v>
      </c>
      <c r="K515" s="30">
        <f ca="1">IF($J515="Continues",DATEDIF($B515,TODAY(),"Y"),INDEX('Lopettaneet 2013-&gt;'!$L:$L,MATCH($D515,'Lopettaneet 2013-&gt;'!$D:$D,0)))</f>
        <v>7</v>
      </c>
      <c r="L515" s="31" t="str">
        <f>IFERROR(INDEX('[1]30.06.2024'!$H:$H,MATCH($E515,'[1]30.06.2024'!$B:$B,0)),"Not found")</f>
        <v>Vendep Capital Oy</v>
      </c>
      <c r="M515" s="31" t="str">
        <f>IFERROR(INDEX([2]Sheet1!$B:$B,MATCH($D515,[2]Sheet1!$A:$A,0)),"Not found")</f>
        <v>Non-Retail</v>
      </c>
      <c r="N515">
        <f t="shared" ref="N515:N578" si="16">IF($M515="Retail",1,0)</f>
        <v>0</v>
      </c>
      <c r="O515">
        <f t="shared" ref="O515:O578" si="17">IF($M515="Non-Retail",1,0)</f>
        <v>1</v>
      </c>
    </row>
    <row r="516" spans="1:15" x14ac:dyDescent="0.25">
      <c r="A516" t="s">
        <v>7</v>
      </c>
      <c r="B516" s="1">
        <v>42979</v>
      </c>
      <c r="C516" s="1">
        <v>55153</v>
      </c>
      <c r="D516" s="4" t="s">
        <v>1242</v>
      </c>
      <c r="E516" s="32" t="s">
        <v>1243</v>
      </c>
      <c r="F516" s="32">
        <v>28341464</v>
      </c>
      <c r="G516" t="s">
        <v>10</v>
      </c>
      <c r="H516" t="s">
        <v>11</v>
      </c>
      <c r="I516" t="s">
        <v>12</v>
      </c>
      <c r="J516" s="30" t="str">
        <f>IF(ISNUMBER(MATCH($D516,'Lopettaneet 2013-&gt;'!$D:$D,0)),INDEX('Lopettaneet 2013-&gt;'!$K:$K,MATCH($D516,'Lopettaneet 2013-&gt;'!$D:$D,0)),"Continues")</f>
        <v>Continues</v>
      </c>
      <c r="K516" s="30">
        <f ca="1">IF($J516="Continues",DATEDIF($B516,TODAY(),"Y"),INDEX('Lopettaneet 2013-&gt;'!$L:$L,MATCH($D516,'Lopettaneet 2013-&gt;'!$D:$D,0)))</f>
        <v>7</v>
      </c>
      <c r="L516" s="31" t="str">
        <f>IFERROR(INDEX('[1]30.06.2024'!$H:$H,MATCH($E516,'[1]30.06.2024'!$B:$B,0)),"Not found")</f>
        <v>eQ Rahastoyhtiö Oy</v>
      </c>
      <c r="M516" s="31" t="str">
        <f>IFERROR(INDEX([2]Sheet1!$B:$B,MATCH($D516,[2]Sheet1!$A:$A,0)),"Not found")</f>
        <v>Non-Retail</v>
      </c>
      <c r="N516">
        <f t="shared" si="16"/>
        <v>0</v>
      </c>
      <c r="O516">
        <f t="shared" si="17"/>
        <v>1</v>
      </c>
    </row>
    <row r="517" spans="1:15" x14ac:dyDescent="0.25">
      <c r="A517" t="s">
        <v>0</v>
      </c>
      <c r="B517" s="1">
        <v>42887</v>
      </c>
      <c r="C517" s="1">
        <v>43465</v>
      </c>
      <c r="D517" s="4" t="s">
        <v>1244</v>
      </c>
      <c r="E517" s="32" t="s">
        <v>1245</v>
      </c>
      <c r="F517" s="32">
        <v>28291444</v>
      </c>
      <c r="G517" t="s">
        <v>3</v>
      </c>
      <c r="H517" t="s">
        <v>4</v>
      </c>
      <c r="I517" t="s">
        <v>20</v>
      </c>
      <c r="J517" s="30" t="str">
        <f>IF(ISNUMBER(MATCH($D517,'Lopettaneet 2013-&gt;'!$D:$D,0)),INDEX('Lopettaneet 2013-&gt;'!$K:$K,MATCH($D517,'Lopettaneet 2013-&gt;'!$D:$D,0)),"Continues")</f>
        <v>Merged</v>
      </c>
      <c r="K517" s="30">
        <f ca="1">IF($J517="Continues",DATEDIF($B517,TODAY(),"Y"),INDEX('Lopettaneet 2013-&gt;'!$L:$L,MATCH($D517,'Lopettaneet 2013-&gt;'!$D:$D,0)))</f>
        <v>1</v>
      </c>
      <c r="L517" s="31" t="str">
        <f>IFERROR(INDEX('[1]30.06.2024'!$H:$H,MATCH($E517,'[1]30.06.2024'!$B:$B,0)),"Not found")</f>
        <v>Not found</v>
      </c>
      <c r="M517" s="31" t="str">
        <f>IFERROR(INDEX([2]Sheet1!$B:$B,MATCH($D517,[2]Sheet1!$A:$A,0)),"Not found")</f>
        <v>Not found</v>
      </c>
      <c r="N517">
        <f t="shared" si="16"/>
        <v>0</v>
      </c>
      <c r="O517">
        <f t="shared" si="17"/>
        <v>0</v>
      </c>
    </row>
    <row r="518" spans="1:15" x14ac:dyDescent="0.25">
      <c r="A518" t="s">
        <v>0</v>
      </c>
      <c r="B518" s="1">
        <v>42887</v>
      </c>
      <c r="C518" s="1">
        <v>55153</v>
      </c>
      <c r="D518" s="4" t="s">
        <v>1246</v>
      </c>
      <c r="E518" s="32" t="s">
        <v>1247</v>
      </c>
      <c r="F518" s="32">
        <v>28337668</v>
      </c>
      <c r="G518" t="s">
        <v>3</v>
      </c>
      <c r="H518" t="s">
        <v>4</v>
      </c>
      <c r="I518" t="s">
        <v>20</v>
      </c>
      <c r="J518" s="30" t="str">
        <f>IF(ISNUMBER(MATCH($D518,'Lopettaneet 2013-&gt;'!$D:$D,0)),INDEX('Lopettaneet 2013-&gt;'!$K:$K,MATCH($D518,'Lopettaneet 2013-&gt;'!$D:$D,0)),"Continues")</f>
        <v>Continues</v>
      </c>
      <c r="K518" s="30">
        <f ca="1">IF($J518="Continues",DATEDIF($B518,TODAY(),"Y"),INDEX('Lopettaneet 2013-&gt;'!$L:$L,MATCH($D518,'Lopettaneet 2013-&gt;'!$D:$D,0)))</f>
        <v>7</v>
      </c>
      <c r="L518" s="31" t="str">
        <f>IFERROR(INDEX('[1]30.06.2024'!$H:$H,MATCH($E518,'[1]30.06.2024'!$B:$B,0)),"Not found")</f>
        <v>Nordea Funds Oy</v>
      </c>
      <c r="M518" s="31" t="str">
        <f>IFERROR(INDEX([2]Sheet1!$B:$B,MATCH($D518,[2]Sheet1!$A:$A,0)),"Not found")</f>
        <v>Retail</v>
      </c>
      <c r="N518">
        <f t="shared" si="16"/>
        <v>1</v>
      </c>
      <c r="O518">
        <f t="shared" si="17"/>
        <v>0</v>
      </c>
    </row>
    <row r="519" spans="1:15" x14ac:dyDescent="0.25">
      <c r="A519" t="s">
        <v>0</v>
      </c>
      <c r="B519" s="1">
        <v>42887</v>
      </c>
      <c r="C519" s="1">
        <v>55153</v>
      </c>
      <c r="D519" s="4" t="s">
        <v>1248</v>
      </c>
      <c r="E519" s="32" t="s">
        <v>1249</v>
      </c>
      <c r="F519" s="32">
        <v>28337617</v>
      </c>
      <c r="G519" t="s">
        <v>3</v>
      </c>
      <c r="H519" t="s">
        <v>4</v>
      </c>
      <c r="I519" t="s">
        <v>20</v>
      </c>
      <c r="J519" s="30" t="str">
        <f>IF(ISNUMBER(MATCH($D519,'Lopettaneet 2013-&gt;'!$D:$D,0)),INDEX('Lopettaneet 2013-&gt;'!$K:$K,MATCH($D519,'Lopettaneet 2013-&gt;'!$D:$D,0)),"Continues")</f>
        <v>Continues</v>
      </c>
      <c r="K519" s="30">
        <f ca="1">IF($J519="Continues",DATEDIF($B519,TODAY(),"Y"),INDEX('Lopettaneet 2013-&gt;'!$L:$L,MATCH($D519,'Lopettaneet 2013-&gt;'!$D:$D,0)))</f>
        <v>7</v>
      </c>
      <c r="L519" s="31" t="str">
        <f>IFERROR(INDEX('[1]30.06.2024'!$H:$H,MATCH($E519,'[1]30.06.2024'!$B:$B,0)),"Not found")</f>
        <v>Nordea Funds Oy</v>
      </c>
      <c r="M519" s="31" t="str">
        <f>IFERROR(INDEX([2]Sheet1!$B:$B,MATCH($D519,[2]Sheet1!$A:$A,0)),"Not found")</f>
        <v>Retail</v>
      </c>
      <c r="N519">
        <f t="shared" si="16"/>
        <v>1</v>
      </c>
      <c r="O519">
        <f t="shared" si="17"/>
        <v>0</v>
      </c>
    </row>
    <row r="520" spans="1:15" x14ac:dyDescent="0.25">
      <c r="A520" t="s">
        <v>0</v>
      </c>
      <c r="B520" s="1">
        <v>43221</v>
      </c>
      <c r="C520" s="1">
        <v>44377</v>
      </c>
      <c r="D520" s="4" t="s">
        <v>1250</v>
      </c>
      <c r="E520" s="32" t="s">
        <v>1251</v>
      </c>
      <c r="F520" s="32">
        <v>28456229</v>
      </c>
      <c r="G520" t="s">
        <v>3</v>
      </c>
      <c r="H520" t="s">
        <v>4</v>
      </c>
      <c r="I520" t="s">
        <v>20</v>
      </c>
      <c r="J520" s="30" t="str">
        <f>IF(ISNUMBER(MATCH($D520,'Lopettaneet 2013-&gt;'!$D:$D,0)),INDEX('Lopettaneet 2013-&gt;'!$K:$K,MATCH($D520,'Lopettaneet 2013-&gt;'!$D:$D,0)),"Continues")</f>
        <v>Merged</v>
      </c>
      <c r="K520" s="30">
        <f ca="1">IF($J520="Continues",DATEDIF($B520,TODAY(),"Y"),INDEX('Lopettaneet 2013-&gt;'!$L:$L,MATCH($D520,'Lopettaneet 2013-&gt;'!$D:$D,0)))</f>
        <v>3</v>
      </c>
      <c r="L520" s="31" t="str">
        <f>IFERROR(INDEX('[1]30.06.2024'!$H:$H,MATCH($E520,'[1]30.06.2024'!$B:$B,0)),"Not found")</f>
        <v>Not found</v>
      </c>
      <c r="M520" s="31" t="str">
        <f>IFERROR(INDEX([2]Sheet1!$B:$B,MATCH($D520,[2]Sheet1!$A:$A,0)),"Not found")</f>
        <v>Not found</v>
      </c>
      <c r="N520">
        <f t="shared" si="16"/>
        <v>0</v>
      </c>
      <c r="O520">
        <f t="shared" si="17"/>
        <v>0</v>
      </c>
    </row>
    <row r="521" spans="1:15" x14ac:dyDescent="0.25">
      <c r="A521" t="s">
        <v>0</v>
      </c>
      <c r="B521" s="1">
        <v>42979</v>
      </c>
      <c r="C521" s="1">
        <v>55153</v>
      </c>
      <c r="D521" s="4" t="s">
        <v>1252</v>
      </c>
      <c r="E521" s="32" t="s">
        <v>1253</v>
      </c>
      <c r="F521" s="32">
        <v>28342854</v>
      </c>
      <c r="G521" t="s">
        <v>3</v>
      </c>
      <c r="H521" t="s">
        <v>4</v>
      </c>
      <c r="I521" t="s">
        <v>20</v>
      </c>
      <c r="J521" s="30" t="str">
        <f>IF(ISNUMBER(MATCH($D521,'Lopettaneet 2013-&gt;'!$D:$D,0)),INDEX('Lopettaneet 2013-&gt;'!$K:$K,MATCH($D521,'Lopettaneet 2013-&gt;'!$D:$D,0)),"Continues")</f>
        <v>Continues</v>
      </c>
      <c r="K521" s="30">
        <f ca="1">IF($J521="Continues",DATEDIF($B521,TODAY(),"Y"),INDEX('Lopettaneet 2013-&gt;'!$L:$L,MATCH($D521,'Lopettaneet 2013-&gt;'!$D:$D,0)))</f>
        <v>7</v>
      </c>
      <c r="L521" s="31" t="str">
        <f>IFERROR(INDEX('[1]30.06.2024'!$H:$H,MATCH($E521,'[1]30.06.2024'!$B:$B,0)),"Not found")</f>
        <v>OP-Rahastoyhtiö Oy</v>
      </c>
      <c r="M521" s="31" t="str">
        <f>IFERROR(INDEX([2]Sheet1!$B:$B,MATCH($D521,[2]Sheet1!$A:$A,0)),"Not found")</f>
        <v>Retail</v>
      </c>
      <c r="N521">
        <f t="shared" si="16"/>
        <v>1</v>
      </c>
      <c r="O521">
        <f t="shared" si="17"/>
        <v>0</v>
      </c>
    </row>
    <row r="522" spans="1:15" x14ac:dyDescent="0.25">
      <c r="A522" t="s">
        <v>7</v>
      </c>
      <c r="B522" s="1">
        <v>42887</v>
      </c>
      <c r="C522" s="1">
        <v>55153</v>
      </c>
      <c r="D522" s="4" t="s">
        <v>1254</v>
      </c>
      <c r="E522" s="32" t="s">
        <v>1255</v>
      </c>
      <c r="F522" s="32">
        <v>27926436</v>
      </c>
      <c r="G522" t="s">
        <v>10</v>
      </c>
      <c r="H522" t="s">
        <v>11</v>
      </c>
      <c r="I522" t="s">
        <v>32</v>
      </c>
      <c r="J522" s="30" t="str">
        <f>IF(ISNUMBER(MATCH($D522,'Lopettaneet 2013-&gt;'!$D:$D,0)),INDEX('Lopettaneet 2013-&gt;'!$K:$K,MATCH($D522,'Lopettaneet 2013-&gt;'!$D:$D,0)),"Continues")</f>
        <v>Continues</v>
      </c>
      <c r="K522" s="30">
        <f ca="1">IF($J522="Continues",DATEDIF($B522,TODAY(),"Y"),INDEX('Lopettaneet 2013-&gt;'!$L:$L,MATCH($D522,'Lopettaneet 2013-&gt;'!$D:$D,0)))</f>
        <v>7</v>
      </c>
      <c r="L522" s="31" t="str">
        <f>IFERROR(INDEX('[1]30.06.2024'!$H:$H,MATCH($E522,'[1]30.06.2024'!$B:$B,0)),"Not found")</f>
        <v>Taitokaari Property Management Oy</v>
      </c>
      <c r="M522" s="31" t="str">
        <f>IFERROR(INDEX([2]Sheet1!$B:$B,MATCH($D522,[2]Sheet1!$A:$A,0)),"Not found")</f>
        <v>Non-Retail</v>
      </c>
      <c r="N522">
        <f t="shared" si="16"/>
        <v>0</v>
      </c>
      <c r="O522">
        <f t="shared" si="17"/>
        <v>1</v>
      </c>
    </row>
    <row r="523" spans="1:15" x14ac:dyDescent="0.25">
      <c r="A523" t="s">
        <v>7</v>
      </c>
      <c r="B523" s="1">
        <v>42887</v>
      </c>
      <c r="C523" s="1">
        <v>55153</v>
      </c>
      <c r="D523" s="4" t="s">
        <v>1256</v>
      </c>
      <c r="E523" s="32" t="s">
        <v>1257</v>
      </c>
      <c r="F523" s="32">
        <v>28353027</v>
      </c>
      <c r="G523" t="s">
        <v>10</v>
      </c>
      <c r="H523" t="s">
        <v>11</v>
      </c>
      <c r="I523" t="s">
        <v>12</v>
      </c>
      <c r="J523" s="30" t="str">
        <f>IF(ISNUMBER(MATCH($D523,'Lopettaneet 2013-&gt;'!$D:$D,0)),INDEX('Lopettaneet 2013-&gt;'!$K:$K,MATCH($D523,'Lopettaneet 2013-&gt;'!$D:$D,0)),"Continues")</f>
        <v>Continues</v>
      </c>
      <c r="K523" s="30">
        <f ca="1">IF($J523="Continues",DATEDIF($B523,TODAY(),"Y"),INDEX('Lopettaneet 2013-&gt;'!$L:$L,MATCH($D523,'Lopettaneet 2013-&gt;'!$D:$D,0)))</f>
        <v>7</v>
      </c>
      <c r="L523" s="31" t="str">
        <f>IFERROR(INDEX('[1]30.06.2024'!$H:$H,MATCH($E523,'[1]30.06.2024'!$B:$B,0)),"Not found")</f>
        <v>Evli-Rahastoyhtiö Oy</v>
      </c>
      <c r="M523" s="31" t="str">
        <f>IFERROR(INDEX([2]Sheet1!$B:$B,MATCH($D523,[2]Sheet1!$A:$A,0)),"Not found")</f>
        <v>Non-Retail</v>
      </c>
      <c r="N523">
        <f t="shared" si="16"/>
        <v>0</v>
      </c>
      <c r="O523">
        <f t="shared" si="17"/>
        <v>1</v>
      </c>
    </row>
    <row r="524" spans="1:15" x14ac:dyDescent="0.25">
      <c r="A524" t="s">
        <v>0</v>
      </c>
      <c r="B524" s="1">
        <v>42917</v>
      </c>
      <c r="C524" s="1">
        <v>55153</v>
      </c>
      <c r="D524" s="4" t="s">
        <v>1258</v>
      </c>
      <c r="E524" s="32" t="s">
        <v>1259</v>
      </c>
      <c r="F524" s="32">
        <v>28289619</v>
      </c>
      <c r="G524" t="s">
        <v>10</v>
      </c>
      <c r="H524" t="s">
        <v>4</v>
      </c>
      <c r="I524" t="s">
        <v>50</v>
      </c>
      <c r="J524" s="30" t="str">
        <f>IF(ISNUMBER(MATCH($D524,'Lopettaneet 2013-&gt;'!$D:$D,0)),INDEX('Lopettaneet 2013-&gt;'!$K:$K,MATCH($D524,'Lopettaneet 2013-&gt;'!$D:$D,0)),"Continues")</f>
        <v>Continues</v>
      </c>
      <c r="K524" s="30">
        <f ca="1">IF($J524="Continues",DATEDIF($B524,TODAY(),"Y"),INDEX('Lopettaneet 2013-&gt;'!$L:$L,MATCH($D524,'Lopettaneet 2013-&gt;'!$D:$D,0)))</f>
        <v>7</v>
      </c>
      <c r="L524" s="31" t="str">
        <f>IFERROR(INDEX('[1]30.06.2024'!$H:$H,MATCH($E524,'[1]30.06.2024'!$B:$B,0)),"Not found")</f>
        <v>GRIT Rahastoyhtiö Oy</v>
      </c>
      <c r="M524" s="31" t="str">
        <f>IFERROR(INDEX([2]Sheet1!$B:$B,MATCH($D524,[2]Sheet1!$A:$A,0)),"Not found")</f>
        <v>Retail</v>
      </c>
      <c r="N524">
        <f t="shared" si="16"/>
        <v>1</v>
      </c>
      <c r="O524">
        <f t="shared" si="17"/>
        <v>0</v>
      </c>
    </row>
    <row r="525" spans="1:15" x14ac:dyDescent="0.25">
      <c r="A525" t="s">
        <v>0</v>
      </c>
      <c r="B525" s="1">
        <v>42979</v>
      </c>
      <c r="C525" s="1">
        <v>55153</v>
      </c>
      <c r="D525" s="4" t="s">
        <v>1260</v>
      </c>
      <c r="E525" s="32" t="s">
        <v>1261</v>
      </c>
      <c r="F525" s="32">
        <v>28421659</v>
      </c>
      <c r="G525" t="s">
        <v>10</v>
      </c>
      <c r="H525" t="s">
        <v>4</v>
      </c>
      <c r="I525" t="s">
        <v>32</v>
      </c>
      <c r="J525" s="30" t="str">
        <f>IF(ISNUMBER(MATCH($D525,'Lopettaneet 2013-&gt;'!$D:$D,0)),INDEX('Lopettaneet 2013-&gt;'!$K:$K,MATCH($D525,'Lopettaneet 2013-&gt;'!$D:$D,0)),"Continues")</f>
        <v>Continues</v>
      </c>
      <c r="K525" s="30">
        <f ca="1">IF($J525="Continues",DATEDIF($B525,TODAY(),"Y"),INDEX('Lopettaneet 2013-&gt;'!$L:$L,MATCH($D525,'Lopettaneet 2013-&gt;'!$D:$D,0)))</f>
        <v>7</v>
      </c>
      <c r="L525" s="31" t="str">
        <f>IFERROR(INDEX('[1]30.06.2024'!$H:$H,MATCH($E525,'[1]30.06.2024'!$B:$B,0)),"Not found")</f>
        <v>Alexandria Rahastoyhtiö Oy</v>
      </c>
      <c r="M525" s="31" t="str">
        <f>IFERROR(INDEX([2]Sheet1!$B:$B,MATCH($D525,[2]Sheet1!$A:$A,0)),"Not found")</f>
        <v>Retail</v>
      </c>
      <c r="N525">
        <f t="shared" si="16"/>
        <v>1</v>
      </c>
      <c r="O525">
        <f t="shared" si="17"/>
        <v>0</v>
      </c>
    </row>
    <row r="526" spans="1:15" x14ac:dyDescent="0.25">
      <c r="A526" t="s">
        <v>7</v>
      </c>
      <c r="B526" s="1">
        <v>42979</v>
      </c>
      <c r="C526" s="1">
        <v>55153</v>
      </c>
      <c r="D526" s="4" t="s">
        <v>1262</v>
      </c>
      <c r="E526" s="32" t="s">
        <v>1263</v>
      </c>
      <c r="F526" s="32">
        <v>28228314</v>
      </c>
      <c r="G526" t="s">
        <v>10</v>
      </c>
      <c r="H526" t="s">
        <v>11</v>
      </c>
      <c r="I526" t="s">
        <v>80</v>
      </c>
      <c r="J526" s="30" t="str">
        <f>IF(ISNUMBER(MATCH($D526,'Lopettaneet 2013-&gt;'!$D:$D,0)),INDEX('Lopettaneet 2013-&gt;'!$K:$K,MATCH($D526,'Lopettaneet 2013-&gt;'!$D:$D,0)),"Continues")</f>
        <v>Continues</v>
      </c>
      <c r="K526" s="30">
        <f ca="1">IF($J526="Continues",DATEDIF($B526,TODAY(),"Y"),INDEX('Lopettaneet 2013-&gt;'!$L:$L,MATCH($D526,'Lopettaneet 2013-&gt;'!$D:$D,0)))</f>
        <v>7</v>
      </c>
      <c r="L526" s="31" t="str">
        <f>IFERROR(INDEX('[1]30.06.2024'!$H:$H,MATCH($E526,'[1]30.06.2024'!$B:$B,0)),"Not found")</f>
        <v>Butterfly Ventures Oy</v>
      </c>
      <c r="M526" s="31" t="str">
        <f>IFERROR(INDEX([2]Sheet1!$B:$B,MATCH($D526,[2]Sheet1!$A:$A,0)),"Not found")</f>
        <v>Non-Retail</v>
      </c>
      <c r="N526">
        <f t="shared" si="16"/>
        <v>0</v>
      </c>
      <c r="O526">
        <f t="shared" si="17"/>
        <v>1</v>
      </c>
    </row>
    <row r="527" spans="1:15" x14ac:dyDescent="0.25">
      <c r="A527" t="s">
        <v>7</v>
      </c>
      <c r="B527" s="1">
        <v>42979</v>
      </c>
      <c r="C527" s="1">
        <v>43281</v>
      </c>
      <c r="D527" s="4" t="s">
        <v>1264</v>
      </c>
      <c r="E527" s="32" t="s">
        <v>1265</v>
      </c>
      <c r="F527" s="32">
        <v>28403979</v>
      </c>
      <c r="G527" t="s">
        <v>10</v>
      </c>
      <c r="H527" t="s">
        <v>11</v>
      </c>
      <c r="I527" t="s">
        <v>80</v>
      </c>
      <c r="J527" s="30" t="str">
        <f>IF(ISNUMBER(MATCH($D527,'Lopettaneet 2013-&gt;'!$D:$D,0)),INDEX('Lopettaneet 2013-&gt;'!$K:$K,MATCH($D527,'Lopettaneet 2013-&gt;'!$D:$D,0)),"Continues")</f>
        <v>Closed</v>
      </c>
      <c r="K527" s="30">
        <f ca="1">IF($J527="Continues",DATEDIF($B527,TODAY(),"Y"),INDEX('Lopettaneet 2013-&gt;'!$L:$L,MATCH($D527,'Lopettaneet 2013-&gt;'!$D:$D,0)))</f>
        <v>0</v>
      </c>
      <c r="L527" s="31" t="str">
        <f>IFERROR(INDEX('[1]30.06.2024'!$H:$H,MATCH($E527,'[1]30.06.2024'!$B:$B,0)),"Not found")</f>
        <v>Not found</v>
      </c>
      <c r="M527" s="31" t="str">
        <f>IFERROR(INDEX([2]Sheet1!$B:$B,MATCH($D527,[2]Sheet1!$A:$A,0)),"Not found")</f>
        <v>Not found</v>
      </c>
      <c r="N527">
        <f t="shared" si="16"/>
        <v>0</v>
      </c>
      <c r="O527">
        <f t="shared" si="17"/>
        <v>0</v>
      </c>
    </row>
    <row r="528" spans="1:15" x14ac:dyDescent="0.25">
      <c r="A528" t="s">
        <v>0</v>
      </c>
      <c r="B528" s="1">
        <v>42887</v>
      </c>
      <c r="C528" s="1">
        <v>55153</v>
      </c>
      <c r="D528" s="4" t="s">
        <v>1266</v>
      </c>
      <c r="E528" s="32" t="s">
        <v>1267</v>
      </c>
      <c r="F528" s="32">
        <v>28291559</v>
      </c>
      <c r="G528" t="s">
        <v>3</v>
      </c>
      <c r="H528" t="s">
        <v>4</v>
      </c>
      <c r="I528" t="s">
        <v>50</v>
      </c>
      <c r="J528" s="30" t="str">
        <f>IF(ISNUMBER(MATCH($D528,'Lopettaneet 2013-&gt;'!$D:$D,0)),INDEX('Lopettaneet 2013-&gt;'!$K:$K,MATCH($D528,'Lopettaneet 2013-&gt;'!$D:$D,0)),"Continues")</f>
        <v>Continues</v>
      </c>
      <c r="K528" s="30">
        <f ca="1">IF($J528="Continues",DATEDIF($B528,TODAY(),"Y"),INDEX('Lopettaneet 2013-&gt;'!$L:$L,MATCH($D528,'Lopettaneet 2013-&gt;'!$D:$D,0)))</f>
        <v>7</v>
      </c>
      <c r="L528" s="31" t="str">
        <f>IFERROR(INDEX('[1]30.06.2024'!$H:$H,MATCH($E528,'[1]30.06.2024'!$B:$B,0)),"Not found")</f>
        <v>Seligson &amp; Co Rahastoyhtiö Oyj</v>
      </c>
      <c r="M528" s="31" t="str">
        <f>IFERROR(INDEX([2]Sheet1!$B:$B,MATCH($D528,[2]Sheet1!$A:$A,0)),"Not found")</f>
        <v>Retail</v>
      </c>
      <c r="N528">
        <f t="shared" si="16"/>
        <v>1</v>
      </c>
      <c r="O528">
        <f t="shared" si="17"/>
        <v>0</v>
      </c>
    </row>
    <row r="529" spans="1:15" x14ac:dyDescent="0.25">
      <c r="A529" t="s">
        <v>0</v>
      </c>
      <c r="B529" s="1">
        <v>42887</v>
      </c>
      <c r="C529" s="1">
        <v>55153</v>
      </c>
      <c r="D529" s="4" t="s">
        <v>1268</v>
      </c>
      <c r="E529" s="32" t="s">
        <v>1269</v>
      </c>
      <c r="F529" s="32">
        <v>28291575</v>
      </c>
      <c r="G529" t="s">
        <v>3</v>
      </c>
      <c r="H529" t="s">
        <v>4</v>
      </c>
      <c r="I529" t="s">
        <v>50</v>
      </c>
      <c r="J529" s="30" t="str">
        <f>IF(ISNUMBER(MATCH($D529,'Lopettaneet 2013-&gt;'!$D:$D,0)),INDEX('Lopettaneet 2013-&gt;'!$K:$K,MATCH($D529,'Lopettaneet 2013-&gt;'!$D:$D,0)),"Continues")</f>
        <v>Continues</v>
      </c>
      <c r="K529" s="30">
        <f ca="1">IF($J529="Continues",DATEDIF($B529,TODAY(),"Y"),INDEX('Lopettaneet 2013-&gt;'!$L:$L,MATCH($D529,'Lopettaneet 2013-&gt;'!$D:$D,0)))</f>
        <v>7</v>
      </c>
      <c r="L529" s="31" t="str">
        <f>IFERROR(INDEX('[1]30.06.2024'!$H:$H,MATCH($E529,'[1]30.06.2024'!$B:$B,0)),"Not found")</f>
        <v>Seligson &amp; Co Rahastoyhtiö Oyj</v>
      </c>
      <c r="M529" s="31" t="str">
        <f>IFERROR(INDEX([2]Sheet1!$B:$B,MATCH($D529,[2]Sheet1!$A:$A,0)),"Not found")</f>
        <v>Retail</v>
      </c>
      <c r="N529">
        <f t="shared" si="16"/>
        <v>1</v>
      </c>
      <c r="O529">
        <f t="shared" si="17"/>
        <v>0</v>
      </c>
    </row>
    <row r="530" spans="1:15" x14ac:dyDescent="0.25">
      <c r="A530" t="s">
        <v>0</v>
      </c>
      <c r="B530" s="1">
        <v>42887</v>
      </c>
      <c r="C530" s="1">
        <v>55153</v>
      </c>
      <c r="D530" s="4" t="s">
        <v>1270</v>
      </c>
      <c r="E530" s="32" t="s">
        <v>1271</v>
      </c>
      <c r="F530" s="32">
        <v>28297627</v>
      </c>
      <c r="G530" t="s">
        <v>3</v>
      </c>
      <c r="H530" t="s">
        <v>4</v>
      </c>
      <c r="I530" t="s">
        <v>50</v>
      </c>
      <c r="J530" s="30" t="str">
        <f>IF(ISNUMBER(MATCH($D530,'Lopettaneet 2013-&gt;'!$D:$D,0)),INDEX('Lopettaneet 2013-&gt;'!$K:$K,MATCH($D530,'Lopettaneet 2013-&gt;'!$D:$D,0)),"Continues")</f>
        <v>Continues</v>
      </c>
      <c r="K530" s="30">
        <f ca="1">IF($J530="Continues",DATEDIF($B530,TODAY(),"Y"),INDEX('Lopettaneet 2013-&gt;'!$L:$L,MATCH($D530,'Lopettaneet 2013-&gt;'!$D:$D,0)))</f>
        <v>7</v>
      </c>
      <c r="L530" s="31" t="str">
        <f>IFERROR(INDEX('[1]30.06.2024'!$H:$H,MATCH($E530,'[1]30.06.2024'!$B:$B,0)),"Not found")</f>
        <v>Seligson &amp; Co Rahastoyhtiö Oyj</v>
      </c>
      <c r="M530" s="31" t="str">
        <f>IFERROR(INDEX([2]Sheet1!$B:$B,MATCH($D530,[2]Sheet1!$A:$A,0)),"Not found")</f>
        <v>Retail</v>
      </c>
      <c r="N530">
        <f t="shared" si="16"/>
        <v>1</v>
      </c>
      <c r="O530">
        <f t="shared" si="17"/>
        <v>0</v>
      </c>
    </row>
    <row r="531" spans="1:15" x14ac:dyDescent="0.25">
      <c r="A531" t="s">
        <v>0</v>
      </c>
      <c r="B531" s="1">
        <v>42887</v>
      </c>
      <c r="C531" s="1">
        <v>55153</v>
      </c>
      <c r="D531" s="4" t="s">
        <v>1272</v>
      </c>
      <c r="E531" s="32" t="s">
        <v>1273</v>
      </c>
      <c r="F531" s="32">
        <v>28291532</v>
      </c>
      <c r="G531" t="s">
        <v>3</v>
      </c>
      <c r="H531" t="s">
        <v>4</v>
      </c>
      <c r="I531" t="s">
        <v>20</v>
      </c>
      <c r="J531" s="30" t="str">
        <f>IF(ISNUMBER(MATCH($D531,'Lopettaneet 2013-&gt;'!$D:$D,0)),INDEX('Lopettaneet 2013-&gt;'!$K:$K,MATCH($D531,'Lopettaneet 2013-&gt;'!$D:$D,0)),"Continues")</f>
        <v>Continues</v>
      </c>
      <c r="K531" s="30">
        <f ca="1">IF($J531="Continues",DATEDIF($B531,TODAY(),"Y"),INDEX('Lopettaneet 2013-&gt;'!$L:$L,MATCH($D531,'Lopettaneet 2013-&gt;'!$D:$D,0)))</f>
        <v>7</v>
      </c>
      <c r="L531" s="31" t="str">
        <f>IFERROR(INDEX('[1]30.06.2024'!$H:$H,MATCH($E531,'[1]30.06.2024'!$B:$B,0)),"Not found")</f>
        <v>Seligson &amp; Co Rahastoyhtiö Oyj</v>
      </c>
      <c r="M531" s="31" t="str">
        <f>IFERROR(INDEX([2]Sheet1!$B:$B,MATCH($D531,[2]Sheet1!$A:$A,0)),"Not found")</f>
        <v>Retail</v>
      </c>
      <c r="N531">
        <f t="shared" si="16"/>
        <v>1</v>
      </c>
      <c r="O531">
        <f t="shared" si="17"/>
        <v>0</v>
      </c>
    </row>
    <row r="532" spans="1:15" x14ac:dyDescent="0.25">
      <c r="A532" t="s">
        <v>0</v>
      </c>
      <c r="B532" s="1">
        <v>42887</v>
      </c>
      <c r="C532" s="1">
        <v>55153</v>
      </c>
      <c r="D532" s="4" t="s">
        <v>1274</v>
      </c>
      <c r="E532" s="32" t="s">
        <v>1275</v>
      </c>
      <c r="F532" s="32">
        <v>28291516</v>
      </c>
      <c r="G532" t="s">
        <v>3</v>
      </c>
      <c r="H532" t="s">
        <v>4</v>
      </c>
      <c r="I532" t="s">
        <v>20</v>
      </c>
      <c r="J532" s="30" t="str">
        <f>IF(ISNUMBER(MATCH($D532,'Lopettaneet 2013-&gt;'!$D:$D,0)),INDEX('Lopettaneet 2013-&gt;'!$K:$K,MATCH($D532,'Lopettaneet 2013-&gt;'!$D:$D,0)),"Continues")</f>
        <v>Continues</v>
      </c>
      <c r="K532" s="30">
        <f ca="1">IF($J532="Continues",DATEDIF($B532,TODAY(),"Y"),INDEX('Lopettaneet 2013-&gt;'!$L:$L,MATCH($D532,'Lopettaneet 2013-&gt;'!$D:$D,0)))</f>
        <v>7</v>
      </c>
      <c r="L532" s="31" t="str">
        <f>IFERROR(INDEX('[1]30.06.2024'!$H:$H,MATCH($E532,'[1]30.06.2024'!$B:$B,0)),"Not found")</f>
        <v>Seligson &amp; Co Rahastoyhtiö Oyj</v>
      </c>
      <c r="M532" s="31" t="str">
        <f>IFERROR(INDEX([2]Sheet1!$B:$B,MATCH($D532,[2]Sheet1!$A:$A,0)),"Not found")</f>
        <v>Retail</v>
      </c>
      <c r="N532">
        <f t="shared" si="16"/>
        <v>1</v>
      </c>
      <c r="O532">
        <f t="shared" si="17"/>
        <v>0</v>
      </c>
    </row>
    <row r="533" spans="1:15" x14ac:dyDescent="0.25">
      <c r="A533" t="s">
        <v>7</v>
      </c>
      <c r="B533" s="1">
        <v>43160</v>
      </c>
      <c r="C533" s="1">
        <v>55153</v>
      </c>
      <c r="D533" s="4" t="s">
        <v>1276</v>
      </c>
      <c r="E533" s="32" t="s">
        <v>1277</v>
      </c>
      <c r="F533" s="32">
        <v>28778017</v>
      </c>
      <c r="G533" t="s">
        <v>10</v>
      </c>
      <c r="H533" t="s">
        <v>11</v>
      </c>
      <c r="I533" t="s">
        <v>80</v>
      </c>
      <c r="J533" s="30" t="str">
        <f>IF(ISNUMBER(MATCH($D533,'Lopettaneet 2013-&gt;'!$D:$D,0)),INDEX('Lopettaneet 2013-&gt;'!$K:$K,MATCH($D533,'Lopettaneet 2013-&gt;'!$D:$D,0)),"Continues")</f>
        <v>Continues</v>
      </c>
      <c r="K533" s="30">
        <f ca="1">IF($J533="Continues",DATEDIF($B533,TODAY(),"Y"),INDEX('Lopettaneet 2013-&gt;'!$L:$L,MATCH($D533,'Lopettaneet 2013-&gt;'!$D:$D,0)))</f>
        <v>7</v>
      </c>
      <c r="L533" s="31" t="str">
        <f>IFERROR(INDEX('[1]30.06.2024'!$H:$H,MATCH($E533,'[1]30.06.2024'!$B:$B,0)),"Not found")</f>
        <v>Onventure Oy</v>
      </c>
      <c r="M533" s="31" t="str">
        <f>IFERROR(INDEX([2]Sheet1!$B:$B,MATCH($D533,[2]Sheet1!$A:$A,0)),"Not found")</f>
        <v>Non-Retail</v>
      </c>
      <c r="N533">
        <f t="shared" si="16"/>
        <v>0</v>
      </c>
      <c r="O533">
        <f t="shared" si="17"/>
        <v>1</v>
      </c>
    </row>
    <row r="534" spans="1:15" x14ac:dyDescent="0.25">
      <c r="A534" t="s">
        <v>0</v>
      </c>
      <c r="B534" s="1">
        <v>42979</v>
      </c>
      <c r="C534" s="1">
        <v>55153</v>
      </c>
      <c r="D534" s="4" t="s">
        <v>1278</v>
      </c>
      <c r="E534" s="32" t="s">
        <v>1279</v>
      </c>
      <c r="F534" s="32">
        <v>28384747</v>
      </c>
      <c r="G534" t="s">
        <v>10</v>
      </c>
      <c r="H534" t="s">
        <v>4</v>
      </c>
      <c r="I534" t="s">
        <v>32</v>
      </c>
      <c r="J534" s="30" t="str">
        <f>IF(ISNUMBER(MATCH($D534,'Lopettaneet 2013-&gt;'!$D:$D,0)),INDEX('Lopettaneet 2013-&gt;'!$K:$K,MATCH($D534,'Lopettaneet 2013-&gt;'!$D:$D,0)),"Continues")</f>
        <v>Continues</v>
      </c>
      <c r="K534" s="30">
        <f ca="1">IF($J534="Continues",DATEDIF($B534,TODAY(),"Y"),INDEX('Lopettaneet 2013-&gt;'!$L:$L,MATCH($D534,'Lopettaneet 2013-&gt;'!$D:$D,0)))</f>
        <v>7</v>
      </c>
      <c r="L534" s="31" t="str">
        <f>IFERROR(INDEX('[1]30.06.2024'!$H:$H,MATCH($E534,'[1]30.06.2024'!$B:$B,0)),"Not found")</f>
        <v>S-Pankki Rahastoyhtiö Oy</v>
      </c>
      <c r="M534" s="31" t="str">
        <f>IFERROR(INDEX([2]Sheet1!$B:$B,MATCH($D534,[2]Sheet1!$A:$A,0)),"Not found")</f>
        <v>Retail</v>
      </c>
      <c r="N534">
        <f t="shared" si="16"/>
        <v>1</v>
      </c>
      <c r="O534">
        <f t="shared" si="17"/>
        <v>0</v>
      </c>
    </row>
    <row r="535" spans="1:15" x14ac:dyDescent="0.25">
      <c r="A535" t="s">
        <v>0</v>
      </c>
      <c r="B535" s="1">
        <v>43009</v>
      </c>
      <c r="C535" s="1">
        <v>55153</v>
      </c>
      <c r="D535" s="4" t="s">
        <v>1280</v>
      </c>
      <c r="E535" s="32" t="s">
        <v>1281</v>
      </c>
      <c r="F535" s="32">
        <v>28474128</v>
      </c>
      <c r="G535" t="s">
        <v>10</v>
      </c>
      <c r="H535" t="s">
        <v>4</v>
      </c>
      <c r="I535" t="s">
        <v>47</v>
      </c>
      <c r="J535" s="30" t="str">
        <f>IF(ISNUMBER(MATCH($D535,'Lopettaneet 2013-&gt;'!$D:$D,0)),INDEX('Lopettaneet 2013-&gt;'!$K:$K,MATCH($D535,'Lopettaneet 2013-&gt;'!$D:$D,0)),"Continues")</f>
        <v>Continues</v>
      </c>
      <c r="K535" s="30">
        <f ca="1">IF($J535="Continues",DATEDIF($B535,TODAY(),"Y"),INDEX('Lopettaneet 2013-&gt;'!$L:$L,MATCH($D535,'Lopettaneet 2013-&gt;'!$D:$D,0)))</f>
        <v>7</v>
      </c>
      <c r="L535" s="31" t="str">
        <f>IFERROR(INDEX('[1]30.06.2024'!$H:$H,MATCH($E535,'[1]30.06.2024'!$B:$B,0)),"Not found")</f>
        <v>GRIT Rahastoyhtiö Oy</v>
      </c>
      <c r="M535" s="31" t="str">
        <f>IFERROR(INDEX([2]Sheet1!$B:$B,MATCH($D535,[2]Sheet1!$A:$A,0)),"Not found")</f>
        <v>Non-Retail</v>
      </c>
      <c r="N535">
        <f t="shared" si="16"/>
        <v>0</v>
      </c>
      <c r="O535">
        <f t="shared" si="17"/>
        <v>1</v>
      </c>
    </row>
    <row r="536" spans="1:15" x14ac:dyDescent="0.25">
      <c r="A536" t="s">
        <v>0</v>
      </c>
      <c r="B536" s="1">
        <v>43009</v>
      </c>
      <c r="C536" s="1">
        <v>43496</v>
      </c>
      <c r="D536" s="4" t="s">
        <v>1282</v>
      </c>
      <c r="E536" s="32" t="s">
        <v>1283</v>
      </c>
      <c r="F536" s="32">
        <v>28474152</v>
      </c>
      <c r="G536" t="s">
        <v>10</v>
      </c>
      <c r="H536" t="s">
        <v>4</v>
      </c>
      <c r="I536" t="s">
        <v>47</v>
      </c>
      <c r="J536" s="30" t="str">
        <f>IF(ISNUMBER(MATCH($D536,'Lopettaneet 2013-&gt;'!$D:$D,0)),INDEX('Lopettaneet 2013-&gt;'!$K:$K,MATCH($D536,'Lopettaneet 2013-&gt;'!$D:$D,0)),"Continues")</f>
        <v>Closed</v>
      </c>
      <c r="K536" s="30">
        <f ca="1">IF($J536="Continues",DATEDIF($B536,TODAY(),"Y"),INDEX('Lopettaneet 2013-&gt;'!$L:$L,MATCH($D536,'Lopettaneet 2013-&gt;'!$D:$D,0)))</f>
        <v>1</v>
      </c>
      <c r="L536" s="31" t="str">
        <f>IFERROR(INDEX('[1]30.06.2024'!$H:$H,MATCH($E536,'[1]30.06.2024'!$B:$B,0)),"Not found")</f>
        <v>Not found</v>
      </c>
      <c r="M536" s="31" t="str">
        <f>IFERROR(INDEX([2]Sheet1!$B:$B,MATCH($D536,[2]Sheet1!$A:$A,0)),"Not found")</f>
        <v>Not found</v>
      </c>
      <c r="N536">
        <f t="shared" si="16"/>
        <v>0</v>
      </c>
      <c r="O536">
        <f t="shared" si="17"/>
        <v>0</v>
      </c>
    </row>
    <row r="537" spans="1:15" x14ac:dyDescent="0.25">
      <c r="A537" t="s">
        <v>7</v>
      </c>
      <c r="B537" s="1">
        <v>42979</v>
      </c>
      <c r="C537" s="1">
        <v>55153</v>
      </c>
      <c r="D537" s="4" t="s">
        <v>1284</v>
      </c>
      <c r="E537" s="32" t="s">
        <v>1285</v>
      </c>
      <c r="F537" s="32">
        <v>27851884</v>
      </c>
      <c r="G537" t="s">
        <v>10</v>
      </c>
      <c r="H537" t="s">
        <v>11</v>
      </c>
      <c r="I537" t="s">
        <v>32</v>
      </c>
      <c r="J537" s="30" t="str">
        <f>IF(ISNUMBER(MATCH($D537,'Lopettaneet 2013-&gt;'!$D:$D,0)),INDEX('Lopettaneet 2013-&gt;'!$K:$K,MATCH($D537,'Lopettaneet 2013-&gt;'!$D:$D,0)),"Continues")</f>
        <v>Continues</v>
      </c>
      <c r="K537" s="30">
        <f ca="1">IF($J537="Continues",DATEDIF($B537,TODAY(),"Y"),INDEX('Lopettaneet 2013-&gt;'!$L:$L,MATCH($D537,'Lopettaneet 2013-&gt;'!$D:$D,0)))</f>
        <v>7</v>
      </c>
      <c r="L537" s="31" t="str">
        <f>IFERROR(INDEX('[1]30.06.2024'!$H:$H,MATCH($E537,'[1]30.06.2024'!$B:$B,0)),"Not found")</f>
        <v>Premico Asuntorahaston hallinnointiyhtiö Oy</v>
      </c>
      <c r="M537" s="31" t="str">
        <f>IFERROR(INDEX([2]Sheet1!$B:$B,MATCH($D537,[2]Sheet1!$A:$A,0)),"Not found")</f>
        <v>Non-Retail</v>
      </c>
      <c r="N537">
        <f t="shared" si="16"/>
        <v>0</v>
      </c>
      <c r="O537">
        <f t="shared" si="17"/>
        <v>1</v>
      </c>
    </row>
    <row r="538" spans="1:15" x14ac:dyDescent="0.25">
      <c r="A538" t="s">
        <v>0</v>
      </c>
      <c r="B538" s="1">
        <v>43101</v>
      </c>
      <c r="C538" s="1">
        <v>55153</v>
      </c>
      <c r="D538" s="4" t="s">
        <v>1286</v>
      </c>
      <c r="E538" s="32" t="s">
        <v>1287</v>
      </c>
      <c r="F538" s="32">
        <v>28470063</v>
      </c>
      <c r="G538" t="s">
        <v>3</v>
      </c>
      <c r="H538" t="s">
        <v>4</v>
      </c>
      <c r="I538" t="s">
        <v>20</v>
      </c>
      <c r="J538" s="30" t="str">
        <f>IF(ISNUMBER(MATCH($D538,'Lopettaneet 2013-&gt;'!$D:$D,0)),INDEX('Lopettaneet 2013-&gt;'!$K:$K,MATCH($D538,'Lopettaneet 2013-&gt;'!$D:$D,0)),"Continues")</f>
        <v>Continues</v>
      </c>
      <c r="K538" s="30">
        <f ca="1">IF($J538="Continues",DATEDIF($B538,TODAY(),"Y"),INDEX('Lopettaneet 2013-&gt;'!$L:$L,MATCH($D538,'Lopettaneet 2013-&gt;'!$D:$D,0)))</f>
        <v>7</v>
      </c>
      <c r="L538" s="31" t="str">
        <f>IFERROR(INDEX('[1]30.06.2024'!$H:$H,MATCH($E538,'[1]30.06.2024'!$B:$B,0)),"Not found")</f>
        <v>Not found</v>
      </c>
      <c r="M538" s="31" t="str">
        <f>IFERROR(INDEX([2]Sheet1!$B:$B,MATCH($D538,[2]Sheet1!$A:$A,0)),"Not found")</f>
        <v>Retail</v>
      </c>
      <c r="N538">
        <f t="shared" si="16"/>
        <v>1</v>
      </c>
      <c r="O538">
        <f t="shared" si="17"/>
        <v>0</v>
      </c>
    </row>
    <row r="539" spans="1:15" x14ac:dyDescent="0.25">
      <c r="A539" t="s">
        <v>0</v>
      </c>
      <c r="B539" s="1">
        <v>42979</v>
      </c>
      <c r="C539" s="1">
        <v>55153</v>
      </c>
      <c r="D539" s="4" t="s">
        <v>1288</v>
      </c>
      <c r="E539" s="32" t="s">
        <v>1289</v>
      </c>
      <c r="F539" s="32">
        <v>28417238</v>
      </c>
      <c r="G539" t="s">
        <v>10</v>
      </c>
      <c r="H539" t="s">
        <v>4</v>
      </c>
      <c r="I539" t="s">
        <v>32</v>
      </c>
      <c r="J539" s="30" t="str">
        <f>IF(ISNUMBER(MATCH($D539,'Lopettaneet 2013-&gt;'!$D:$D,0)),INDEX('Lopettaneet 2013-&gt;'!$K:$K,MATCH($D539,'Lopettaneet 2013-&gt;'!$D:$D,0)),"Continues")</f>
        <v>Continues</v>
      </c>
      <c r="K539" s="30">
        <f ca="1">IF($J539="Continues",DATEDIF($B539,TODAY(),"Y"),INDEX('Lopettaneet 2013-&gt;'!$L:$L,MATCH($D539,'Lopettaneet 2013-&gt;'!$D:$D,0)))</f>
        <v>7</v>
      </c>
      <c r="L539" s="31" t="str">
        <f>IFERROR(INDEX('[1]30.06.2024'!$H:$H,MATCH($E539,'[1]30.06.2024'!$B:$B,0)),"Not found")</f>
        <v>Mandatum AM AIFM Oy</v>
      </c>
      <c r="M539" s="31" t="str">
        <f>IFERROR(INDEX([2]Sheet1!$B:$B,MATCH($D539,[2]Sheet1!$A:$A,0)),"Not found")</f>
        <v>Retail</v>
      </c>
      <c r="N539">
        <f t="shared" si="16"/>
        <v>1</v>
      </c>
      <c r="O539">
        <f t="shared" si="17"/>
        <v>0</v>
      </c>
    </row>
    <row r="540" spans="1:15" x14ac:dyDescent="0.25">
      <c r="A540" t="s">
        <v>0</v>
      </c>
      <c r="B540" s="1">
        <v>43070</v>
      </c>
      <c r="C540" s="1">
        <v>55153</v>
      </c>
      <c r="D540" s="4" t="s">
        <v>1290</v>
      </c>
      <c r="E540" s="32" t="s">
        <v>1291</v>
      </c>
      <c r="F540" s="32">
        <v>28436367</v>
      </c>
      <c r="G540" t="s">
        <v>10</v>
      </c>
      <c r="H540" t="s">
        <v>4</v>
      </c>
      <c r="I540" t="s">
        <v>32</v>
      </c>
      <c r="J540" s="30" t="str">
        <f>IF(ISNUMBER(MATCH($D540,'Lopettaneet 2013-&gt;'!$D:$D,0)),INDEX('Lopettaneet 2013-&gt;'!$K:$K,MATCH($D540,'Lopettaneet 2013-&gt;'!$D:$D,0)),"Continues")</f>
        <v>Continues</v>
      </c>
      <c r="K540" s="30">
        <f ca="1">IF($J540="Continues",DATEDIF($B540,TODAY(),"Y"),INDEX('Lopettaneet 2013-&gt;'!$L:$L,MATCH($D540,'Lopettaneet 2013-&gt;'!$D:$D,0)))</f>
        <v>7</v>
      </c>
      <c r="L540" s="31" t="str">
        <f>IFERROR(INDEX('[1]30.06.2024'!$H:$H,MATCH($E540,'[1]30.06.2024'!$B:$B,0)),"Not found")</f>
        <v>Not found</v>
      </c>
      <c r="M540" s="31" t="str">
        <f>IFERROR(INDEX([2]Sheet1!$B:$B,MATCH($D540,[2]Sheet1!$A:$A,0)),"Not found")</f>
        <v>Retail</v>
      </c>
      <c r="N540">
        <f t="shared" si="16"/>
        <v>1</v>
      </c>
      <c r="O540">
        <f t="shared" si="17"/>
        <v>0</v>
      </c>
    </row>
    <row r="541" spans="1:15" x14ac:dyDescent="0.25">
      <c r="A541" t="s">
        <v>0</v>
      </c>
      <c r="B541" s="1">
        <v>43070</v>
      </c>
      <c r="C541" s="1">
        <v>43465</v>
      </c>
      <c r="D541" s="4" t="s">
        <v>1292</v>
      </c>
      <c r="E541" s="32" t="s">
        <v>1293</v>
      </c>
      <c r="F541" s="32">
        <v>28441385</v>
      </c>
      <c r="G541" t="s">
        <v>10</v>
      </c>
      <c r="H541" t="s">
        <v>4</v>
      </c>
      <c r="I541" t="s">
        <v>5</v>
      </c>
      <c r="J541" s="30" t="str">
        <f>IF(ISNUMBER(MATCH($D541,'Lopettaneet 2013-&gt;'!$D:$D,0)),INDEX('Lopettaneet 2013-&gt;'!$K:$K,MATCH($D541,'Lopettaneet 2013-&gt;'!$D:$D,0)),"Continues")</f>
        <v>Closed</v>
      </c>
      <c r="K541" s="30">
        <f ca="1">IF($J541="Continues",DATEDIF($B541,TODAY(),"Y"),INDEX('Lopettaneet 2013-&gt;'!$L:$L,MATCH($D541,'Lopettaneet 2013-&gt;'!$D:$D,0)))</f>
        <v>1</v>
      </c>
      <c r="L541" s="31" t="str">
        <f>IFERROR(INDEX('[1]30.06.2024'!$H:$H,MATCH($E541,'[1]30.06.2024'!$B:$B,0)),"Not found")</f>
        <v>Not found</v>
      </c>
      <c r="M541" s="31" t="str">
        <f>IFERROR(INDEX([2]Sheet1!$B:$B,MATCH($D541,[2]Sheet1!$A:$A,0)),"Not found")</f>
        <v>Not found</v>
      </c>
      <c r="N541">
        <f t="shared" si="16"/>
        <v>0</v>
      </c>
      <c r="O541">
        <f t="shared" si="17"/>
        <v>0</v>
      </c>
    </row>
    <row r="542" spans="1:15" x14ac:dyDescent="0.25">
      <c r="A542" t="s">
        <v>0</v>
      </c>
      <c r="B542" s="1">
        <v>43070</v>
      </c>
      <c r="C542" s="1">
        <v>55153</v>
      </c>
      <c r="D542" s="4" t="s">
        <v>1294</v>
      </c>
      <c r="E542" s="32" t="s">
        <v>1295</v>
      </c>
      <c r="F542" s="32">
        <v>28441393</v>
      </c>
      <c r="G542" t="s">
        <v>10</v>
      </c>
      <c r="H542" t="s">
        <v>4</v>
      </c>
      <c r="I542" t="s">
        <v>32</v>
      </c>
      <c r="J542" s="30" t="str">
        <f>IF(ISNUMBER(MATCH($D542,'Lopettaneet 2013-&gt;'!$D:$D,0)),INDEX('Lopettaneet 2013-&gt;'!$K:$K,MATCH($D542,'Lopettaneet 2013-&gt;'!$D:$D,0)),"Continues")</f>
        <v>Continues</v>
      </c>
      <c r="K542" s="30">
        <f ca="1">IF($J542="Continues",DATEDIF($B542,TODAY(),"Y"),INDEX('Lopettaneet 2013-&gt;'!$L:$L,MATCH($D542,'Lopettaneet 2013-&gt;'!$D:$D,0)))</f>
        <v>7</v>
      </c>
      <c r="L542" s="31" t="str">
        <f>IFERROR(INDEX('[1]30.06.2024'!$H:$H,MATCH($E542,'[1]30.06.2024'!$B:$B,0)),"Not found")</f>
        <v>GRIT Rahastoyhtiö Oy</v>
      </c>
      <c r="M542" s="31" t="str">
        <f>IFERROR(INDEX([2]Sheet1!$B:$B,MATCH($D542,[2]Sheet1!$A:$A,0)),"Not found")</f>
        <v>Retail</v>
      </c>
      <c r="N542">
        <f t="shared" si="16"/>
        <v>1</v>
      </c>
      <c r="O542">
        <f t="shared" si="17"/>
        <v>0</v>
      </c>
    </row>
    <row r="543" spans="1:15" x14ac:dyDescent="0.25">
      <c r="A543" t="s">
        <v>7</v>
      </c>
      <c r="B543" s="1">
        <v>43617</v>
      </c>
      <c r="C543" s="1">
        <v>45199</v>
      </c>
      <c r="D543" s="4" t="s">
        <v>41</v>
      </c>
      <c r="E543" s="32" t="s">
        <v>42</v>
      </c>
      <c r="F543" s="32">
        <v>28412744</v>
      </c>
      <c r="G543" t="s">
        <v>10</v>
      </c>
      <c r="H543" t="s">
        <v>11</v>
      </c>
      <c r="I543" t="s">
        <v>29</v>
      </c>
      <c r="J543" s="30" t="str">
        <f>IF(ISNUMBER(MATCH($D543,'Lopettaneet 2013-&gt;'!$D:$D,0)),INDEX('Lopettaneet 2013-&gt;'!$K:$K,MATCH($D543,'Lopettaneet 2013-&gt;'!$D:$D,0)),"Continues")</f>
        <v>Closed</v>
      </c>
      <c r="K543" s="30">
        <f ca="1">IF($J543="Continues",DATEDIF($B543,TODAY(),"Y"),INDEX('Lopettaneet 2013-&gt;'!$L:$L,MATCH($D543,'Lopettaneet 2013-&gt;'!$D:$D,0)))</f>
        <v>4</v>
      </c>
      <c r="L543" s="31" t="str">
        <f>IFERROR(INDEX('[1]30.06.2024'!$H:$H,MATCH($E543,'[1]30.06.2024'!$B:$B,0)),"Not found")</f>
        <v>Not found</v>
      </c>
      <c r="M543" s="31" t="str">
        <f>IFERROR(INDEX([2]Sheet1!$B:$B,MATCH($D543,[2]Sheet1!$A:$A,0)),"Not found")</f>
        <v>Not found</v>
      </c>
      <c r="N543">
        <f t="shared" si="16"/>
        <v>0</v>
      </c>
      <c r="O543">
        <f t="shared" si="17"/>
        <v>0</v>
      </c>
    </row>
    <row r="544" spans="1:15" x14ac:dyDescent="0.25">
      <c r="A544" t="s">
        <v>7</v>
      </c>
      <c r="B544" s="1">
        <v>42979</v>
      </c>
      <c r="C544" s="1">
        <v>55153</v>
      </c>
      <c r="D544" s="4" t="s">
        <v>1296</v>
      </c>
      <c r="E544" s="32" t="s">
        <v>1297</v>
      </c>
      <c r="F544" s="32">
        <v>27979976</v>
      </c>
      <c r="G544" t="s">
        <v>10</v>
      </c>
      <c r="H544" t="s">
        <v>11</v>
      </c>
      <c r="I544" t="s">
        <v>12</v>
      </c>
      <c r="J544" s="30" t="str">
        <f>IF(ISNUMBER(MATCH($D544,'Lopettaneet 2013-&gt;'!$D:$D,0)),INDEX('Lopettaneet 2013-&gt;'!$K:$K,MATCH($D544,'Lopettaneet 2013-&gt;'!$D:$D,0)),"Continues")</f>
        <v>Continues</v>
      </c>
      <c r="K544" s="30">
        <f ca="1">IF($J544="Continues",DATEDIF($B544,TODAY(),"Y"),INDEX('Lopettaneet 2013-&gt;'!$L:$L,MATCH($D544,'Lopettaneet 2013-&gt;'!$D:$D,0)))</f>
        <v>7</v>
      </c>
      <c r="L544" s="31" t="str">
        <f>IFERROR(INDEX('[1]30.06.2024'!$H:$H,MATCH($E544,'[1]30.06.2024'!$B:$B,0)),"Not found")</f>
        <v>Sentica Partners Oy</v>
      </c>
      <c r="M544" s="31" t="str">
        <f>IFERROR(INDEX([2]Sheet1!$B:$B,MATCH($D544,[2]Sheet1!$A:$A,0)),"Not found")</f>
        <v>Non-Retail</v>
      </c>
      <c r="N544">
        <f t="shared" si="16"/>
        <v>0</v>
      </c>
      <c r="O544">
        <f t="shared" si="17"/>
        <v>1</v>
      </c>
    </row>
    <row r="545" spans="1:15" x14ac:dyDescent="0.25">
      <c r="A545" t="s">
        <v>7</v>
      </c>
      <c r="B545" s="1">
        <v>42979</v>
      </c>
      <c r="C545" s="1">
        <v>55153</v>
      </c>
      <c r="D545" s="4" t="s">
        <v>1298</v>
      </c>
      <c r="E545" s="32" t="s">
        <v>1299</v>
      </c>
      <c r="F545" s="32">
        <v>28288974</v>
      </c>
      <c r="G545" t="s">
        <v>10</v>
      </c>
      <c r="H545" t="s">
        <v>11</v>
      </c>
      <c r="I545" t="s">
        <v>32</v>
      </c>
      <c r="J545" s="30" t="str">
        <f>IF(ISNUMBER(MATCH($D545,'Lopettaneet 2013-&gt;'!$D:$D,0)),INDEX('Lopettaneet 2013-&gt;'!$K:$K,MATCH($D545,'Lopettaneet 2013-&gt;'!$D:$D,0)),"Continues")</f>
        <v>Continues</v>
      </c>
      <c r="K545" s="30">
        <f ca="1">IF($J545="Continues",DATEDIF($B545,TODAY(),"Y"),INDEX('Lopettaneet 2013-&gt;'!$L:$L,MATCH($D545,'Lopettaneet 2013-&gt;'!$D:$D,0)))</f>
        <v>7</v>
      </c>
      <c r="L545" s="31" t="str">
        <f>IFERROR(INDEX('[1]30.06.2024'!$H:$H,MATCH($E545,'[1]30.06.2024'!$B:$B,0)),"Not found")</f>
        <v>Not found</v>
      </c>
      <c r="M545" s="31" t="str">
        <f>IFERROR(INDEX([2]Sheet1!$B:$B,MATCH($D545,[2]Sheet1!$A:$A,0)),"Not found")</f>
        <v>Non-Retail</v>
      </c>
      <c r="N545">
        <f t="shared" si="16"/>
        <v>0</v>
      </c>
      <c r="O545">
        <f t="shared" si="17"/>
        <v>1</v>
      </c>
    </row>
    <row r="546" spans="1:15" x14ac:dyDescent="0.25">
      <c r="A546" t="s">
        <v>0</v>
      </c>
      <c r="B546" s="1">
        <v>42979</v>
      </c>
      <c r="C546" s="1">
        <v>44439</v>
      </c>
      <c r="D546" s="4" t="s">
        <v>1300</v>
      </c>
      <c r="E546" s="32" t="s">
        <v>1301</v>
      </c>
      <c r="F546" s="32">
        <v>28455234</v>
      </c>
      <c r="G546" t="s">
        <v>3</v>
      </c>
      <c r="H546" t="s">
        <v>4</v>
      </c>
      <c r="I546" t="s">
        <v>50</v>
      </c>
      <c r="J546" s="30" t="str">
        <f>IF(ISNUMBER(MATCH($D546,'Lopettaneet 2013-&gt;'!$D:$D,0)),INDEX('Lopettaneet 2013-&gt;'!$K:$K,MATCH($D546,'Lopettaneet 2013-&gt;'!$D:$D,0)),"Continues")</f>
        <v>Merged</v>
      </c>
      <c r="K546" s="30">
        <f ca="1">IF($J546="Continues",DATEDIF($B546,TODAY(),"Y"),INDEX('Lopettaneet 2013-&gt;'!$L:$L,MATCH($D546,'Lopettaneet 2013-&gt;'!$D:$D,0)))</f>
        <v>3</v>
      </c>
      <c r="L546" s="31" t="str">
        <f>IFERROR(INDEX('[1]30.06.2024'!$H:$H,MATCH($E546,'[1]30.06.2024'!$B:$B,0)),"Not found")</f>
        <v>Not found</v>
      </c>
      <c r="M546" s="31" t="str">
        <f>IFERROR(INDEX([2]Sheet1!$B:$B,MATCH($D546,[2]Sheet1!$A:$A,0)),"Not found")</f>
        <v>Not found</v>
      </c>
      <c r="N546">
        <f t="shared" si="16"/>
        <v>0</v>
      </c>
      <c r="O546">
        <f t="shared" si="17"/>
        <v>0</v>
      </c>
    </row>
    <row r="547" spans="1:15" x14ac:dyDescent="0.25">
      <c r="A547" t="s">
        <v>7</v>
      </c>
      <c r="B547" s="1">
        <v>43070</v>
      </c>
      <c r="C547" s="1">
        <v>55153</v>
      </c>
      <c r="D547" s="4" t="s">
        <v>1302</v>
      </c>
      <c r="E547" s="32" t="s">
        <v>1303</v>
      </c>
      <c r="F547" s="32">
        <v>28369774</v>
      </c>
      <c r="G547" t="s">
        <v>10</v>
      </c>
      <c r="H547" t="s">
        <v>11</v>
      </c>
      <c r="I547" t="s">
        <v>80</v>
      </c>
      <c r="J547" s="30" t="str">
        <f>IF(ISNUMBER(MATCH($D547,'Lopettaneet 2013-&gt;'!$D:$D,0)),INDEX('Lopettaneet 2013-&gt;'!$K:$K,MATCH($D547,'Lopettaneet 2013-&gt;'!$D:$D,0)),"Continues")</f>
        <v>Continues</v>
      </c>
      <c r="K547" s="30">
        <f ca="1">IF($J547="Continues",DATEDIF($B547,TODAY(),"Y"),INDEX('Lopettaneet 2013-&gt;'!$L:$L,MATCH($D547,'Lopettaneet 2013-&gt;'!$D:$D,0)))</f>
        <v>7</v>
      </c>
      <c r="L547" s="31" t="str">
        <f>IFERROR(INDEX('[1]30.06.2024'!$H:$H,MATCH($E547,'[1]30.06.2024'!$B:$B,0)),"Not found")</f>
        <v>MAKI Ventures Oy</v>
      </c>
      <c r="M547" s="31" t="str">
        <f>IFERROR(INDEX([2]Sheet1!$B:$B,MATCH($D547,[2]Sheet1!$A:$A,0)),"Not found")</f>
        <v>Non-Retail</v>
      </c>
      <c r="N547">
        <f t="shared" si="16"/>
        <v>0</v>
      </c>
      <c r="O547">
        <f t="shared" si="17"/>
        <v>1</v>
      </c>
    </row>
    <row r="548" spans="1:15" x14ac:dyDescent="0.25">
      <c r="A548" t="s">
        <v>0</v>
      </c>
      <c r="B548" s="1">
        <v>43040</v>
      </c>
      <c r="C548" s="1">
        <v>55153</v>
      </c>
      <c r="D548" s="4" t="s">
        <v>1304</v>
      </c>
      <c r="E548" s="32" t="s">
        <v>1305</v>
      </c>
      <c r="F548" s="32">
        <v>28274409</v>
      </c>
      <c r="G548" t="s">
        <v>10</v>
      </c>
      <c r="H548" t="s">
        <v>4</v>
      </c>
      <c r="I548" t="s">
        <v>50</v>
      </c>
      <c r="J548" s="30" t="str">
        <f>IF(ISNUMBER(MATCH($D548,'Lopettaneet 2013-&gt;'!$D:$D,0)),INDEX('Lopettaneet 2013-&gt;'!$K:$K,MATCH($D548,'Lopettaneet 2013-&gt;'!$D:$D,0)),"Continues")</f>
        <v>Continues</v>
      </c>
      <c r="K548" s="30">
        <f ca="1">IF($J548="Continues",DATEDIF($B548,TODAY(),"Y"),INDEX('Lopettaneet 2013-&gt;'!$L:$L,MATCH($D548,'Lopettaneet 2013-&gt;'!$D:$D,0)))</f>
        <v>7</v>
      </c>
      <c r="L548" s="31" t="str">
        <f>IFERROR(INDEX('[1]30.06.2024'!$H:$H,MATCH($E548,'[1]30.06.2024'!$B:$B,0)),"Not found")</f>
        <v>Sp-Rahastoyhtiö Oy</v>
      </c>
      <c r="M548" s="31" t="str">
        <f>IFERROR(INDEX([2]Sheet1!$B:$B,MATCH($D548,[2]Sheet1!$A:$A,0)),"Not found")</f>
        <v>Retail</v>
      </c>
      <c r="N548">
        <f t="shared" si="16"/>
        <v>1</v>
      </c>
      <c r="O548">
        <f t="shared" si="17"/>
        <v>0</v>
      </c>
    </row>
    <row r="549" spans="1:15" x14ac:dyDescent="0.25">
      <c r="A549" t="s">
        <v>0</v>
      </c>
      <c r="B549" s="1">
        <v>43040</v>
      </c>
      <c r="C549" s="1">
        <v>55153</v>
      </c>
      <c r="D549" s="4" t="s">
        <v>1306</v>
      </c>
      <c r="E549" s="32" t="s">
        <v>1307</v>
      </c>
      <c r="F549" s="32">
        <v>28274628</v>
      </c>
      <c r="G549" t="s">
        <v>10</v>
      </c>
      <c r="H549" t="s">
        <v>4</v>
      </c>
      <c r="I549" t="s">
        <v>5</v>
      </c>
      <c r="J549" s="30" t="str">
        <f>IF(ISNUMBER(MATCH($D549,'Lopettaneet 2013-&gt;'!$D:$D,0)),INDEX('Lopettaneet 2013-&gt;'!$K:$K,MATCH($D549,'Lopettaneet 2013-&gt;'!$D:$D,0)),"Continues")</f>
        <v>Continues</v>
      </c>
      <c r="K549" s="30">
        <f ca="1">IF($J549="Continues",DATEDIF($B549,TODAY(),"Y"),INDEX('Lopettaneet 2013-&gt;'!$L:$L,MATCH($D549,'Lopettaneet 2013-&gt;'!$D:$D,0)))</f>
        <v>7</v>
      </c>
      <c r="L549" s="31" t="str">
        <f>IFERROR(INDEX('[1]30.06.2024'!$H:$H,MATCH($E549,'[1]30.06.2024'!$B:$B,0)),"Not found")</f>
        <v>Sp-Rahastoyhtiö Oy</v>
      </c>
      <c r="M549" s="31" t="str">
        <f>IFERROR(INDEX([2]Sheet1!$B:$B,MATCH($D549,[2]Sheet1!$A:$A,0)),"Not found")</f>
        <v>Retail</v>
      </c>
      <c r="N549">
        <f t="shared" si="16"/>
        <v>1</v>
      </c>
      <c r="O549">
        <f t="shared" si="17"/>
        <v>0</v>
      </c>
    </row>
    <row r="550" spans="1:15" x14ac:dyDescent="0.25">
      <c r="A550" t="s">
        <v>0</v>
      </c>
      <c r="B550" s="1">
        <v>43040</v>
      </c>
      <c r="C550" s="1">
        <v>55153</v>
      </c>
      <c r="D550" s="4" t="s">
        <v>1308</v>
      </c>
      <c r="E550" s="32" t="s">
        <v>1309</v>
      </c>
      <c r="F550" s="32">
        <v>28273721</v>
      </c>
      <c r="G550" t="s">
        <v>10</v>
      </c>
      <c r="H550" t="s">
        <v>4</v>
      </c>
      <c r="I550" t="s">
        <v>20</v>
      </c>
      <c r="J550" s="30" t="str">
        <f>IF(ISNUMBER(MATCH($D550,'Lopettaneet 2013-&gt;'!$D:$D,0)),INDEX('Lopettaneet 2013-&gt;'!$K:$K,MATCH($D550,'Lopettaneet 2013-&gt;'!$D:$D,0)),"Continues")</f>
        <v>Continues</v>
      </c>
      <c r="K550" s="30">
        <f ca="1">IF($J550="Continues",DATEDIF($B550,TODAY(),"Y"),INDEX('Lopettaneet 2013-&gt;'!$L:$L,MATCH($D550,'Lopettaneet 2013-&gt;'!$D:$D,0)))</f>
        <v>7</v>
      </c>
      <c r="L550" s="31" t="str">
        <f>IFERROR(INDEX('[1]30.06.2024'!$H:$H,MATCH($E550,'[1]30.06.2024'!$B:$B,0)),"Not found")</f>
        <v>Sp-Rahastoyhtiö Oy</v>
      </c>
      <c r="M550" s="31" t="str">
        <f>IFERROR(INDEX([2]Sheet1!$B:$B,MATCH($D550,[2]Sheet1!$A:$A,0)),"Not found")</f>
        <v>Retail</v>
      </c>
      <c r="N550">
        <f t="shared" si="16"/>
        <v>1</v>
      </c>
      <c r="O550">
        <f t="shared" si="17"/>
        <v>0</v>
      </c>
    </row>
    <row r="551" spans="1:15" x14ac:dyDescent="0.25">
      <c r="A551" t="s">
        <v>0</v>
      </c>
      <c r="B551" s="1">
        <v>43040</v>
      </c>
      <c r="C551" s="1">
        <v>55153</v>
      </c>
      <c r="D551" s="4" t="s">
        <v>1310</v>
      </c>
      <c r="E551" s="32" t="s">
        <v>1311</v>
      </c>
      <c r="F551" s="32">
        <v>28273705</v>
      </c>
      <c r="G551" t="s">
        <v>10</v>
      </c>
      <c r="H551" t="s">
        <v>4</v>
      </c>
      <c r="I551" t="s">
        <v>20</v>
      </c>
      <c r="J551" s="30" t="str">
        <f>IF(ISNUMBER(MATCH($D551,'Lopettaneet 2013-&gt;'!$D:$D,0)),INDEX('Lopettaneet 2013-&gt;'!$K:$K,MATCH($D551,'Lopettaneet 2013-&gt;'!$D:$D,0)),"Continues")</f>
        <v>Continues</v>
      </c>
      <c r="K551" s="30">
        <f ca="1">IF($J551="Continues",DATEDIF($B551,TODAY(),"Y"),INDEX('Lopettaneet 2013-&gt;'!$L:$L,MATCH($D551,'Lopettaneet 2013-&gt;'!$D:$D,0)))</f>
        <v>7</v>
      </c>
      <c r="L551" s="31" t="str">
        <f>IFERROR(INDEX('[1]30.06.2024'!$H:$H,MATCH($E551,'[1]30.06.2024'!$B:$B,0)),"Not found")</f>
        <v>Sp-Rahastoyhtiö Oy</v>
      </c>
      <c r="M551" s="31" t="str">
        <f>IFERROR(INDEX([2]Sheet1!$B:$B,MATCH($D551,[2]Sheet1!$A:$A,0)),"Not found")</f>
        <v>Retail</v>
      </c>
      <c r="N551">
        <f t="shared" si="16"/>
        <v>1</v>
      </c>
      <c r="O551">
        <f t="shared" si="17"/>
        <v>0</v>
      </c>
    </row>
    <row r="552" spans="1:15" x14ac:dyDescent="0.25">
      <c r="A552" t="s">
        <v>0</v>
      </c>
      <c r="B552" s="1">
        <v>43009</v>
      </c>
      <c r="C552" s="1">
        <v>55153</v>
      </c>
      <c r="D552" s="4" t="s">
        <v>1312</v>
      </c>
      <c r="E552" s="32" t="s">
        <v>1313</v>
      </c>
      <c r="F552" s="32">
        <v>28598235</v>
      </c>
      <c r="G552" t="s">
        <v>3</v>
      </c>
      <c r="H552" t="s">
        <v>4</v>
      </c>
      <c r="I552" t="s">
        <v>20</v>
      </c>
      <c r="J552" s="30" t="str">
        <f>IF(ISNUMBER(MATCH($D552,'Lopettaneet 2013-&gt;'!$D:$D,0)),INDEX('Lopettaneet 2013-&gt;'!$K:$K,MATCH($D552,'Lopettaneet 2013-&gt;'!$D:$D,0)),"Continues")</f>
        <v>Continues</v>
      </c>
      <c r="K552" s="30">
        <f ca="1">IF($J552="Continues",DATEDIF($B552,TODAY(),"Y"),INDEX('Lopettaneet 2013-&gt;'!$L:$L,MATCH($D552,'Lopettaneet 2013-&gt;'!$D:$D,0)))</f>
        <v>7</v>
      </c>
      <c r="L552" s="31" t="str">
        <f>IFERROR(INDEX('[1]30.06.2024'!$H:$H,MATCH($E552,'[1]30.06.2024'!$B:$B,0)),"Not found")</f>
        <v>Not found</v>
      </c>
      <c r="M552" s="31" t="str">
        <f>IFERROR(INDEX([2]Sheet1!$B:$B,MATCH($D552,[2]Sheet1!$A:$A,0)),"Not found")</f>
        <v>Retail</v>
      </c>
      <c r="N552">
        <f t="shared" si="16"/>
        <v>1</v>
      </c>
      <c r="O552">
        <f t="shared" si="17"/>
        <v>0</v>
      </c>
    </row>
    <row r="553" spans="1:15" x14ac:dyDescent="0.25">
      <c r="A553" t="s">
        <v>0</v>
      </c>
      <c r="B553" s="1">
        <v>43009</v>
      </c>
      <c r="C553" s="1">
        <v>55153</v>
      </c>
      <c r="D553" s="4" t="s">
        <v>1314</v>
      </c>
      <c r="E553" s="32" t="s">
        <v>1315</v>
      </c>
      <c r="F553" s="32">
        <v>28598227</v>
      </c>
      <c r="G553" t="s">
        <v>3</v>
      </c>
      <c r="H553" t="s">
        <v>4</v>
      </c>
      <c r="I553" t="s">
        <v>20</v>
      </c>
      <c r="J553" s="30" t="str">
        <f>IF(ISNUMBER(MATCH($D553,'Lopettaneet 2013-&gt;'!$D:$D,0)),INDEX('Lopettaneet 2013-&gt;'!$K:$K,MATCH($D553,'Lopettaneet 2013-&gt;'!$D:$D,0)),"Continues")</f>
        <v>Continues</v>
      </c>
      <c r="K553" s="30">
        <f ca="1">IF($J553="Continues",DATEDIF($B553,TODAY(),"Y"),INDEX('Lopettaneet 2013-&gt;'!$L:$L,MATCH($D553,'Lopettaneet 2013-&gt;'!$D:$D,0)))</f>
        <v>7</v>
      </c>
      <c r="L553" s="31" t="str">
        <f>IFERROR(INDEX('[1]30.06.2024'!$H:$H,MATCH($E553,'[1]30.06.2024'!$B:$B,0)),"Not found")</f>
        <v>Not found</v>
      </c>
      <c r="M553" s="31" t="str">
        <f>IFERROR(INDEX([2]Sheet1!$B:$B,MATCH($D553,[2]Sheet1!$A:$A,0)),"Not found")</f>
        <v>Retail</v>
      </c>
      <c r="N553">
        <f t="shared" si="16"/>
        <v>1</v>
      </c>
      <c r="O553">
        <f t="shared" si="17"/>
        <v>0</v>
      </c>
    </row>
    <row r="554" spans="1:15" x14ac:dyDescent="0.25">
      <c r="A554" t="s">
        <v>0</v>
      </c>
      <c r="B554" s="1">
        <v>43070</v>
      </c>
      <c r="C554" s="1">
        <v>55153</v>
      </c>
      <c r="D554" s="4" t="s">
        <v>1316</v>
      </c>
      <c r="E554" s="32" t="s">
        <v>1317</v>
      </c>
      <c r="F554" s="32">
        <v>28241789</v>
      </c>
      <c r="G554" t="s">
        <v>10</v>
      </c>
      <c r="H554" t="s">
        <v>4</v>
      </c>
      <c r="I554" t="s">
        <v>32</v>
      </c>
      <c r="J554" s="30" t="str">
        <f>IF(ISNUMBER(MATCH($D554,'Lopettaneet 2013-&gt;'!$D:$D,0)),INDEX('Lopettaneet 2013-&gt;'!$K:$K,MATCH($D554,'Lopettaneet 2013-&gt;'!$D:$D,0)),"Continues")</f>
        <v>Continues</v>
      </c>
      <c r="K554" s="30">
        <f ca="1">IF($J554="Continues",DATEDIF($B554,TODAY(),"Y"),INDEX('Lopettaneet 2013-&gt;'!$L:$L,MATCH($D554,'Lopettaneet 2013-&gt;'!$D:$D,0)))</f>
        <v>7</v>
      </c>
      <c r="L554" s="31" t="str">
        <f>IFERROR(INDEX('[1]30.06.2024'!$H:$H,MATCH($E554,'[1]30.06.2024'!$B:$B,0)),"Not found")</f>
        <v>LähiTapiola Vaihtoehtorahastot Oy</v>
      </c>
      <c r="M554" s="31" t="str">
        <f>IFERROR(INDEX([2]Sheet1!$B:$B,MATCH($D554,[2]Sheet1!$A:$A,0)),"Not found")</f>
        <v>Retail</v>
      </c>
      <c r="N554">
        <f t="shared" si="16"/>
        <v>1</v>
      </c>
      <c r="O554">
        <f t="shared" si="17"/>
        <v>0</v>
      </c>
    </row>
    <row r="555" spans="1:15" x14ac:dyDescent="0.25">
      <c r="A555" t="s">
        <v>7</v>
      </c>
      <c r="B555" s="1">
        <v>43070</v>
      </c>
      <c r="C555" s="1">
        <v>55153</v>
      </c>
      <c r="D555" s="4" t="s">
        <v>1318</v>
      </c>
      <c r="E555" s="32" t="s">
        <v>1319</v>
      </c>
      <c r="F555" s="32">
        <v>28860678</v>
      </c>
      <c r="G555" t="s">
        <v>10</v>
      </c>
      <c r="H555" t="s">
        <v>11</v>
      </c>
      <c r="I555" t="s">
        <v>80</v>
      </c>
      <c r="J555" s="30" t="str">
        <f>IF(ISNUMBER(MATCH($D555,'Lopettaneet 2013-&gt;'!$D:$D,0)),INDEX('Lopettaneet 2013-&gt;'!$K:$K,MATCH($D555,'Lopettaneet 2013-&gt;'!$D:$D,0)),"Continues")</f>
        <v>Continues</v>
      </c>
      <c r="K555" s="30">
        <f ca="1">IF($J555="Continues",DATEDIF($B555,TODAY(),"Y"),INDEX('Lopettaneet 2013-&gt;'!$L:$L,MATCH($D555,'Lopettaneet 2013-&gt;'!$D:$D,0)))</f>
        <v>7</v>
      </c>
      <c r="L555" s="31" t="str">
        <f>IFERROR(INDEX('[1]30.06.2024'!$H:$H,MATCH($E555,'[1]30.06.2024'!$B:$B,0)),"Not found")</f>
        <v>Innovestor Ventures Oy</v>
      </c>
      <c r="M555" s="31" t="str">
        <f>IFERROR(INDEX([2]Sheet1!$B:$B,MATCH($D555,[2]Sheet1!$A:$A,0)),"Not found")</f>
        <v>Non-Retail</v>
      </c>
      <c r="N555">
        <f t="shared" si="16"/>
        <v>0</v>
      </c>
      <c r="O555">
        <f t="shared" si="17"/>
        <v>1</v>
      </c>
    </row>
    <row r="556" spans="1:15" x14ac:dyDescent="0.25">
      <c r="A556" t="s">
        <v>0</v>
      </c>
      <c r="B556" s="1">
        <v>43009</v>
      </c>
      <c r="C556" s="1">
        <v>43616</v>
      </c>
      <c r="D556" s="4" t="s">
        <v>1320</v>
      </c>
      <c r="E556" s="32" t="s">
        <v>1321</v>
      </c>
      <c r="F556" s="32">
        <v>28578357</v>
      </c>
      <c r="G556" t="s">
        <v>3</v>
      </c>
      <c r="H556" t="s">
        <v>4</v>
      </c>
      <c r="I556" t="s">
        <v>5</v>
      </c>
      <c r="J556" s="30" t="str">
        <f>IF(ISNUMBER(MATCH($D556,'Lopettaneet 2013-&gt;'!$D:$D,0)),INDEX('Lopettaneet 2013-&gt;'!$K:$K,MATCH($D556,'Lopettaneet 2013-&gt;'!$D:$D,0)),"Continues")</f>
        <v>Closed</v>
      </c>
      <c r="K556" s="30">
        <f ca="1">IF($J556="Continues",DATEDIF($B556,TODAY(),"Y"),INDEX('Lopettaneet 2013-&gt;'!$L:$L,MATCH($D556,'Lopettaneet 2013-&gt;'!$D:$D,0)))</f>
        <v>1</v>
      </c>
      <c r="L556" s="31" t="str">
        <f>IFERROR(INDEX('[1]30.06.2024'!$H:$H,MATCH($E556,'[1]30.06.2024'!$B:$B,0)),"Not found")</f>
        <v>Not found</v>
      </c>
      <c r="M556" s="31" t="str">
        <f>IFERROR(INDEX([2]Sheet1!$B:$B,MATCH($D556,[2]Sheet1!$A:$A,0)),"Not found")</f>
        <v>Not found</v>
      </c>
      <c r="N556">
        <f t="shared" si="16"/>
        <v>0</v>
      </c>
      <c r="O556">
        <f t="shared" si="17"/>
        <v>0</v>
      </c>
    </row>
    <row r="557" spans="1:15" x14ac:dyDescent="0.25">
      <c r="A557" t="s">
        <v>0</v>
      </c>
      <c r="B557" s="1">
        <v>43040</v>
      </c>
      <c r="C557" s="1">
        <v>44530</v>
      </c>
      <c r="D557" s="4" t="s">
        <v>1322</v>
      </c>
      <c r="E557" s="32" t="s">
        <v>1323</v>
      </c>
      <c r="F557" s="32">
        <v>28578402</v>
      </c>
      <c r="G557" t="s">
        <v>10</v>
      </c>
      <c r="H557" t="s">
        <v>4</v>
      </c>
      <c r="I557" t="s">
        <v>47</v>
      </c>
      <c r="J557" s="30" t="str">
        <f>IF(ISNUMBER(MATCH($D557,'Lopettaneet 2013-&gt;'!$D:$D,0)),INDEX('Lopettaneet 2013-&gt;'!$K:$K,MATCH($D557,'Lopettaneet 2013-&gt;'!$D:$D,0)),"Continues")</f>
        <v>Closed</v>
      </c>
      <c r="K557" s="30">
        <f ca="1">IF($J557="Continues",DATEDIF($B557,TODAY(),"Y"),INDEX('Lopettaneet 2013-&gt;'!$L:$L,MATCH($D557,'Lopettaneet 2013-&gt;'!$D:$D,0)))</f>
        <v>4</v>
      </c>
      <c r="L557" s="31" t="str">
        <f>IFERROR(INDEX('[1]30.06.2024'!$H:$H,MATCH($E557,'[1]30.06.2024'!$B:$B,0)),"Not found")</f>
        <v>Not found</v>
      </c>
      <c r="M557" s="31" t="str">
        <f>IFERROR(INDEX([2]Sheet1!$B:$B,MATCH($D557,[2]Sheet1!$A:$A,0)),"Not found")</f>
        <v>Not found</v>
      </c>
      <c r="N557">
        <f t="shared" si="16"/>
        <v>0</v>
      </c>
      <c r="O557">
        <f t="shared" si="17"/>
        <v>0</v>
      </c>
    </row>
    <row r="558" spans="1:15" x14ac:dyDescent="0.25">
      <c r="A558" t="s">
        <v>0</v>
      </c>
      <c r="B558" s="1">
        <v>43101</v>
      </c>
      <c r="C558" s="1">
        <v>55153</v>
      </c>
      <c r="D558" s="4" t="s">
        <v>1324</v>
      </c>
      <c r="E558" s="32" t="s">
        <v>1325</v>
      </c>
      <c r="F558" s="32">
        <v>28549572</v>
      </c>
      <c r="G558" t="s">
        <v>10</v>
      </c>
      <c r="H558" t="s">
        <v>4</v>
      </c>
      <c r="I558" t="s">
        <v>32</v>
      </c>
      <c r="J558" s="30" t="str">
        <f>IF(ISNUMBER(MATCH($D558,'Lopettaneet 2013-&gt;'!$D:$D,0)),INDEX('Lopettaneet 2013-&gt;'!$K:$K,MATCH($D558,'Lopettaneet 2013-&gt;'!$D:$D,0)),"Continues")</f>
        <v>Continues</v>
      </c>
      <c r="K558" s="30">
        <f ca="1">IF($J558="Continues",DATEDIF($B558,TODAY(),"Y"),INDEX('Lopettaneet 2013-&gt;'!$L:$L,MATCH($D558,'Lopettaneet 2013-&gt;'!$D:$D,0)))</f>
        <v>7</v>
      </c>
      <c r="L558" s="31" t="str">
        <f>IFERROR(INDEX('[1]30.06.2024'!$H:$H,MATCH($E558,'[1]30.06.2024'!$B:$B,0)),"Not found")</f>
        <v>OP-Rahastoyhtiö Oy</v>
      </c>
      <c r="M558" s="31" t="str">
        <f>IFERROR(INDEX([2]Sheet1!$B:$B,MATCH($D558,[2]Sheet1!$A:$A,0)),"Not found")</f>
        <v>Retail</v>
      </c>
      <c r="N558">
        <f t="shared" si="16"/>
        <v>1</v>
      </c>
      <c r="O558">
        <f t="shared" si="17"/>
        <v>0</v>
      </c>
    </row>
    <row r="559" spans="1:15" x14ac:dyDescent="0.25">
      <c r="A559" t="s">
        <v>0</v>
      </c>
      <c r="B559" s="1">
        <v>43252</v>
      </c>
      <c r="C559" s="1">
        <v>55153</v>
      </c>
      <c r="D559" s="4" t="s">
        <v>1326</v>
      </c>
      <c r="E559" s="32" t="s">
        <v>1327</v>
      </c>
      <c r="F559" s="32">
        <v>28695537</v>
      </c>
      <c r="G559" t="s">
        <v>3</v>
      </c>
      <c r="H559" t="s">
        <v>4</v>
      </c>
      <c r="I559" t="s">
        <v>50</v>
      </c>
      <c r="J559" s="30" t="str">
        <f>IF(ISNUMBER(MATCH($D559,'Lopettaneet 2013-&gt;'!$D:$D,0)),INDEX('Lopettaneet 2013-&gt;'!$K:$K,MATCH($D559,'Lopettaneet 2013-&gt;'!$D:$D,0)),"Continues")</f>
        <v>Continues</v>
      </c>
      <c r="K559" s="30">
        <f ca="1">IF($J559="Continues",DATEDIF($B559,TODAY(),"Y"),INDEX('Lopettaneet 2013-&gt;'!$L:$L,MATCH($D559,'Lopettaneet 2013-&gt;'!$D:$D,0)))</f>
        <v>6</v>
      </c>
      <c r="L559" s="31" t="str">
        <f>IFERROR(INDEX('[1]30.06.2024'!$H:$H,MATCH($E559,'[1]30.06.2024'!$B:$B,0)),"Not found")</f>
        <v>S-Pankki Rahastoyhtiö Oy</v>
      </c>
      <c r="M559" s="31" t="str">
        <f>IFERROR(INDEX([2]Sheet1!$B:$B,MATCH($D559,[2]Sheet1!$A:$A,0)),"Not found")</f>
        <v>Retail</v>
      </c>
      <c r="N559">
        <f t="shared" si="16"/>
        <v>1</v>
      </c>
      <c r="O559">
        <f t="shared" si="17"/>
        <v>0</v>
      </c>
    </row>
    <row r="560" spans="1:15" x14ac:dyDescent="0.25">
      <c r="A560" t="s">
        <v>0</v>
      </c>
      <c r="B560" s="1">
        <v>43252</v>
      </c>
      <c r="C560" s="1">
        <v>55153</v>
      </c>
      <c r="D560" s="4" t="s">
        <v>1328</v>
      </c>
      <c r="E560" s="32" t="s">
        <v>1329</v>
      </c>
      <c r="F560" s="32">
        <v>28695553</v>
      </c>
      <c r="G560" t="s">
        <v>3</v>
      </c>
      <c r="H560" t="s">
        <v>4</v>
      </c>
      <c r="I560" t="s">
        <v>20</v>
      </c>
      <c r="J560" s="30" t="str">
        <f>IF(ISNUMBER(MATCH($D560,'Lopettaneet 2013-&gt;'!$D:$D,0)),INDEX('Lopettaneet 2013-&gt;'!$K:$K,MATCH($D560,'Lopettaneet 2013-&gt;'!$D:$D,0)),"Continues")</f>
        <v>Continues</v>
      </c>
      <c r="K560" s="30">
        <f ca="1">IF($J560="Continues",DATEDIF($B560,TODAY(),"Y"),INDEX('Lopettaneet 2013-&gt;'!$L:$L,MATCH($D560,'Lopettaneet 2013-&gt;'!$D:$D,0)))</f>
        <v>6</v>
      </c>
      <c r="L560" s="31" t="str">
        <f>IFERROR(INDEX('[1]30.06.2024'!$H:$H,MATCH($E560,'[1]30.06.2024'!$B:$B,0)),"Not found")</f>
        <v>S-Pankki Rahastoyhtiö Oy</v>
      </c>
      <c r="M560" s="31" t="str">
        <f>IFERROR(INDEX([2]Sheet1!$B:$B,MATCH($D560,[2]Sheet1!$A:$A,0)),"Not found")</f>
        <v>Retail</v>
      </c>
      <c r="N560">
        <f t="shared" si="16"/>
        <v>1</v>
      </c>
      <c r="O560">
        <f t="shared" si="17"/>
        <v>0</v>
      </c>
    </row>
    <row r="561" spans="1:15" x14ac:dyDescent="0.25">
      <c r="A561" t="s">
        <v>7</v>
      </c>
      <c r="B561" s="1">
        <v>42979</v>
      </c>
      <c r="C561" s="1">
        <v>55153</v>
      </c>
      <c r="D561" s="4" t="s">
        <v>1330</v>
      </c>
      <c r="E561" s="32" t="s">
        <v>1331</v>
      </c>
      <c r="F561" s="32">
        <v>28681944</v>
      </c>
      <c r="G561" t="s">
        <v>10</v>
      </c>
      <c r="H561" t="s">
        <v>11</v>
      </c>
      <c r="I561" t="s">
        <v>80</v>
      </c>
      <c r="J561" s="30" t="str">
        <f>IF(ISNUMBER(MATCH($D561,'Lopettaneet 2013-&gt;'!$D:$D,0)),INDEX('Lopettaneet 2013-&gt;'!$K:$K,MATCH($D561,'Lopettaneet 2013-&gt;'!$D:$D,0)),"Continues")</f>
        <v>Continues</v>
      </c>
      <c r="K561" s="30">
        <f ca="1">IF($J561="Continues",DATEDIF($B561,TODAY(),"Y"),INDEX('Lopettaneet 2013-&gt;'!$L:$L,MATCH($D561,'Lopettaneet 2013-&gt;'!$D:$D,0)))</f>
        <v>7</v>
      </c>
      <c r="L561" s="31" t="str">
        <f>IFERROR(INDEX('[1]30.06.2024'!$H:$H,MATCH($E561,'[1]30.06.2024'!$B:$B,0)),"Not found")</f>
        <v>Gorilla Capital Management Oy</v>
      </c>
      <c r="M561" s="31" t="str">
        <f>IFERROR(INDEX([2]Sheet1!$B:$B,MATCH($D561,[2]Sheet1!$A:$A,0)),"Not found")</f>
        <v>Retail</v>
      </c>
      <c r="N561">
        <f t="shared" si="16"/>
        <v>1</v>
      </c>
      <c r="O561">
        <f t="shared" si="17"/>
        <v>0</v>
      </c>
    </row>
    <row r="562" spans="1:15" x14ac:dyDescent="0.25">
      <c r="A562" t="s">
        <v>0</v>
      </c>
      <c r="B562" s="1">
        <v>43040</v>
      </c>
      <c r="C562" s="1">
        <v>44712</v>
      </c>
      <c r="D562" s="4" t="s">
        <v>1332</v>
      </c>
      <c r="E562" s="32" t="s">
        <v>1333</v>
      </c>
      <c r="F562" s="32">
        <v>28575316</v>
      </c>
      <c r="G562" t="s">
        <v>10</v>
      </c>
      <c r="H562" t="s">
        <v>4</v>
      </c>
      <c r="I562" t="s">
        <v>5</v>
      </c>
      <c r="J562" s="30" t="str">
        <f>IF(ISNUMBER(MATCH($D562,'Lopettaneet 2013-&gt;'!$D:$D,0)),INDEX('Lopettaneet 2013-&gt;'!$K:$K,MATCH($D562,'Lopettaneet 2013-&gt;'!$D:$D,0)),"Continues")</f>
        <v>Closed</v>
      </c>
      <c r="K562" s="30">
        <f ca="1">IF($J562="Continues",DATEDIF($B562,TODAY(),"Y"),INDEX('Lopettaneet 2013-&gt;'!$L:$L,MATCH($D562,'Lopettaneet 2013-&gt;'!$D:$D,0)))</f>
        <v>4</v>
      </c>
      <c r="L562" s="31" t="str">
        <f>IFERROR(INDEX('[1]30.06.2024'!$H:$H,MATCH($E562,'[1]30.06.2024'!$B:$B,0)),"Not found")</f>
        <v>Not found</v>
      </c>
      <c r="M562" s="31" t="str">
        <f>IFERROR(INDEX([2]Sheet1!$B:$B,MATCH($D562,[2]Sheet1!$A:$A,0)),"Not found")</f>
        <v>Not found</v>
      </c>
      <c r="N562">
        <f t="shared" si="16"/>
        <v>0</v>
      </c>
      <c r="O562">
        <f t="shared" si="17"/>
        <v>0</v>
      </c>
    </row>
    <row r="563" spans="1:15" x14ac:dyDescent="0.25">
      <c r="A563" t="s">
        <v>0</v>
      </c>
      <c r="B563" s="1">
        <v>43009</v>
      </c>
      <c r="C563" s="1">
        <v>43496</v>
      </c>
      <c r="D563" s="4" t="s">
        <v>1334</v>
      </c>
      <c r="E563" s="32" t="s">
        <v>1335</v>
      </c>
      <c r="F563" s="32">
        <v>28552843</v>
      </c>
      <c r="G563" t="s">
        <v>10</v>
      </c>
      <c r="H563" t="s">
        <v>4</v>
      </c>
      <c r="I563" t="s">
        <v>29</v>
      </c>
      <c r="J563" s="30" t="str">
        <f>IF(ISNUMBER(MATCH($D563,'Lopettaneet 2013-&gt;'!$D:$D,0)),INDEX('Lopettaneet 2013-&gt;'!$K:$K,MATCH($D563,'Lopettaneet 2013-&gt;'!$D:$D,0)),"Continues")</f>
        <v>Closed</v>
      </c>
      <c r="K563" s="30">
        <f ca="1">IF($J563="Continues",DATEDIF($B563,TODAY(),"Y"),INDEX('Lopettaneet 2013-&gt;'!$L:$L,MATCH($D563,'Lopettaneet 2013-&gt;'!$D:$D,0)))</f>
        <v>1</v>
      </c>
      <c r="L563" s="31" t="str">
        <f>IFERROR(INDEX('[1]30.06.2024'!$H:$H,MATCH($E563,'[1]30.06.2024'!$B:$B,0)),"Not found")</f>
        <v>Not found</v>
      </c>
      <c r="M563" s="31" t="str">
        <f>IFERROR(INDEX([2]Sheet1!$B:$B,MATCH($D563,[2]Sheet1!$A:$A,0)),"Not found")</f>
        <v>Not found</v>
      </c>
      <c r="N563">
        <f t="shared" si="16"/>
        <v>0</v>
      </c>
      <c r="O563">
        <f t="shared" si="17"/>
        <v>0</v>
      </c>
    </row>
    <row r="564" spans="1:15" x14ac:dyDescent="0.25">
      <c r="A564" t="s">
        <v>0</v>
      </c>
      <c r="B564" s="1">
        <v>43070</v>
      </c>
      <c r="C564" s="1">
        <v>44196</v>
      </c>
      <c r="D564" s="4" t="s">
        <v>1336</v>
      </c>
      <c r="E564" s="32" t="s">
        <v>1337</v>
      </c>
      <c r="F564" s="32">
        <v>28641889</v>
      </c>
      <c r="G564" t="s">
        <v>3</v>
      </c>
      <c r="H564" t="s">
        <v>4</v>
      </c>
      <c r="I564" t="s">
        <v>50</v>
      </c>
      <c r="J564" s="30" t="str">
        <f>IF(ISNUMBER(MATCH($D564,'Lopettaneet 2013-&gt;'!$D:$D,0)),INDEX('Lopettaneet 2013-&gt;'!$K:$K,MATCH($D564,'Lopettaneet 2013-&gt;'!$D:$D,0)),"Continues")</f>
        <v>Closed</v>
      </c>
      <c r="K564" s="30">
        <f ca="1">IF($J564="Continues",DATEDIF($B564,TODAY(),"Y"),INDEX('Lopettaneet 2013-&gt;'!$L:$L,MATCH($D564,'Lopettaneet 2013-&gt;'!$D:$D,0)))</f>
        <v>3</v>
      </c>
      <c r="L564" s="31" t="str">
        <f>IFERROR(INDEX('[1]30.06.2024'!$H:$H,MATCH($E564,'[1]30.06.2024'!$B:$B,0)),"Not found")</f>
        <v>Not found</v>
      </c>
      <c r="M564" s="31" t="str">
        <f>IFERROR(INDEX([2]Sheet1!$B:$B,MATCH($D564,[2]Sheet1!$A:$A,0)),"Not found")</f>
        <v>Not found</v>
      </c>
      <c r="N564">
        <f t="shared" si="16"/>
        <v>0</v>
      </c>
      <c r="O564">
        <f t="shared" si="17"/>
        <v>0</v>
      </c>
    </row>
    <row r="565" spans="1:15" x14ac:dyDescent="0.25">
      <c r="A565" t="s">
        <v>0</v>
      </c>
      <c r="B565" s="1">
        <v>43070</v>
      </c>
      <c r="C565" s="1">
        <v>55153</v>
      </c>
      <c r="D565" s="4" t="s">
        <v>1338</v>
      </c>
      <c r="E565" s="32" t="s">
        <v>1339</v>
      </c>
      <c r="F565" s="32">
        <v>28641854</v>
      </c>
      <c r="G565" t="s">
        <v>3</v>
      </c>
      <c r="H565" t="s">
        <v>4</v>
      </c>
      <c r="I565" t="s">
        <v>50</v>
      </c>
      <c r="J565" s="30" t="str">
        <f>IF(ISNUMBER(MATCH($D565,'Lopettaneet 2013-&gt;'!$D:$D,0)),INDEX('Lopettaneet 2013-&gt;'!$K:$K,MATCH($D565,'Lopettaneet 2013-&gt;'!$D:$D,0)),"Continues")</f>
        <v>Continues</v>
      </c>
      <c r="K565" s="30">
        <f ca="1">IF($J565="Continues",DATEDIF($B565,TODAY(),"Y"),INDEX('Lopettaneet 2013-&gt;'!$L:$L,MATCH($D565,'Lopettaneet 2013-&gt;'!$D:$D,0)))</f>
        <v>7</v>
      </c>
      <c r="L565" s="31" t="str">
        <f>IFERROR(INDEX('[1]30.06.2024'!$H:$H,MATCH($E565,'[1]30.06.2024'!$B:$B,0)),"Not found")</f>
        <v>Nordea Funds Oy</v>
      </c>
      <c r="M565" s="31" t="str">
        <f>IFERROR(INDEX([2]Sheet1!$B:$B,MATCH($D565,[2]Sheet1!$A:$A,0)),"Not found")</f>
        <v>Retail</v>
      </c>
      <c r="N565">
        <f t="shared" si="16"/>
        <v>1</v>
      </c>
      <c r="O565">
        <f t="shared" si="17"/>
        <v>0</v>
      </c>
    </row>
    <row r="566" spans="1:15" x14ac:dyDescent="0.25">
      <c r="A566" t="s">
        <v>0</v>
      </c>
      <c r="B566" s="1">
        <v>43070</v>
      </c>
      <c r="C566" s="1">
        <v>55153</v>
      </c>
      <c r="D566" s="4" t="s">
        <v>1340</v>
      </c>
      <c r="E566" s="32" t="s">
        <v>1341</v>
      </c>
      <c r="F566" s="32">
        <v>28642128</v>
      </c>
      <c r="G566" t="s">
        <v>3</v>
      </c>
      <c r="H566" t="s">
        <v>4</v>
      </c>
      <c r="I566" t="s">
        <v>5</v>
      </c>
      <c r="J566" s="30" t="str">
        <f>IF(ISNUMBER(MATCH($D566,'Lopettaneet 2013-&gt;'!$D:$D,0)),INDEX('Lopettaneet 2013-&gt;'!$K:$K,MATCH($D566,'Lopettaneet 2013-&gt;'!$D:$D,0)),"Continues")</f>
        <v>Continues</v>
      </c>
      <c r="K566" s="30">
        <f ca="1">IF($J566="Continues",DATEDIF($B566,TODAY(),"Y"),INDEX('Lopettaneet 2013-&gt;'!$L:$L,MATCH($D566,'Lopettaneet 2013-&gt;'!$D:$D,0)))</f>
        <v>7</v>
      </c>
      <c r="L566" s="31" t="str">
        <f>IFERROR(INDEX('[1]30.06.2024'!$H:$H,MATCH($E566,'[1]30.06.2024'!$B:$B,0)),"Not found")</f>
        <v>Nordea Funds Oy</v>
      </c>
      <c r="M566" s="31" t="str">
        <f>IFERROR(INDEX([2]Sheet1!$B:$B,MATCH($D566,[2]Sheet1!$A:$A,0)),"Not found")</f>
        <v>Retail</v>
      </c>
      <c r="N566">
        <f t="shared" si="16"/>
        <v>1</v>
      </c>
      <c r="O566">
        <f t="shared" si="17"/>
        <v>0</v>
      </c>
    </row>
    <row r="567" spans="1:15" x14ac:dyDescent="0.25">
      <c r="A567" t="s">
        <v>0</v>
      </c>
      <c r="B567" s="1">
        <v>43070</v>
      </c>
      <c r="C567" s="1">
        <v>55153</v>
      </c>
      <c r="D567" s="4" t="s">
        <v>1342</v>
      </c>
      <c r="E567" s="32" t="s">
        <v>1343</v>
      </c>
      <c r="F567" s="32">
        <v>28641918</v>
      </c>
      <c r="G567" t="s">
        <v>3</v>
      </c>
      <c r="H567" t="s">
        <v>4</v>
      </c>
      <c r="I567" t="s">
        <v>20</v>
      </c>
      <c r="J567" s="30" t="str">
        <f>IF(ISNUMBER(MATCH($D567,'Lopettaneet 2013-&gt;'!$D:$D,0)),INDEX('Lopettaneet 2013-&gt;'!$K:$K,MATCH($D567,'Lopettaneet 2013-&gt;'!$D:$D,0)),"Continues")</f>
        <v>Continues</v>
      </c>
      <c r="K567" s="30">
        <f ca="1">IF($J567="Continues",DATEDIF($B567,TODAY(),"Y"),INDEX('Lopettaneet 2013-&gt;'!$L:$L,MATCH($D567,'Lopettaneet 2013-&gt;'!$D:$D,0)))</f>
        <v>7</v>
      </c>
      <c r="L567" s="31" t="str">
        <f>IFERROR(INDEX('[1]30.06.2024'!$H:$H,MATCH($E567,'[1]30.06.2024'!$B:$B,0)),"Not found")</f>
        <v>Nordea Funds Oy</v>
      </c>
      <c r="M567" s="31" t="str">
        <f>IFERROR(INDEX([2]Sheet1!$B:$B,MATCH($D567,[2]Sheet1!$A:$A,0)),"Not found")</f>
        <v>Retail</v>
      </c>
      <c r="N567">
        <f t="shared" si="16"/>
        <v>1</v>
      </c>
      <c r="O567">
        <f t="shared" si="17"/>
        <v>0</v>
      </c>
    </row>
    <row r="568" spans="1:15" x14ac:dyDescent="0.25">
      <c r="A568" t="s">
        <v>0</v>
      </c>
      <c r="B568" s="1">
        <v>43070</v>
      </c>
      <c r="C568" s="1">
        <v>55153</v>
      </c>
      <c r="D568" s="4" t="s">
        <v>1344</v>
      </c>
      <c r="E568" s="32" t="s">
        <v>1345</v>
      </c>
      <c r="F568" s="32">
        <v>28641934</v>
      </c>
      <c r="G568" t="s">
        <v>3</v>
      </c>
      <c r="H568" t="s">
        <v>4</v>
      </c>
      <c r="I568" t="s">
        <v>20</v>
      </c>
      <c r="J568" s="30" t="str">
        <f>IF(ISNUMBER(MATCH($D568,'Lopettaneet 2013-&gt;'!$D:$D,0)),INDEX('Lopettaneet 2013-&gt;'!$K:$K,MATCH($D568,'Lopettaneet 2013-&gt;'!$D:$D,0)),"Continues")</f>
        <v>Continues</v>
      </c>
      <c r="K568" s="30">
        <f ca="1">IF($J568="Continues",DATEDIF($B568,TODAY(),"Y"),INDEX('Lopettaneet 2013-&gt;'!$L:$L,MATCH($D568,'Lopettaneet 2013-&gt;'!$D:$D,0)))</f>
        <v>7</v>
      </c>
      <c r="L568" s="31" t="str">
        <f>IFERROR(INDEX('[1]30.06.2024'!$H:$H,MATCH($E568,'[1]30.06.2024'!$B:$B,0)),"Not found")</f>
        <v>Nordea Funds Oy</v>
      </c>
      <c r="M568" s="31" t="str">
        <f>IFERROR(INDEX([2]Sheet1!$B:$B,MATCH($D568,[2]Sheet1!$A:$A,0)),"Not found")</f>
        <v>Retail</v>
      </c>
      <c r="N568">
        <f t="shared" si="16"/>
        <v>1</v>
      </c>
      <c r="O568">
        <f t="shared" si="17"/>
        <v>0</v>
      </c>
    </row>
    <row r="569" spans="1:15" x14ac:dyDescent="0.25">
      <c r="A569" t="s">
        <v>0</v>
      </c>
      <c r="B569" s="1">
        <v>43160</v>
      </c>
      <c r="C569" s="1">
        <v>44196</v>
      </c>
      <c r="D569" s="4" t="s">
        <v>1346</v>
      </c>
      <c r="E569" s="32" t="s">
        <v>1347</v>
      </c>
      <c r="F569" s="32">
        <v>28765099</v>
      </c>
      <c r="G569" t="s">
        <v>3</v>
      </c>
      <c r="H569" t="s">
        <v>4</v>
      </c>
      <c r="I569" t="s">
        <v>50</v>
      </c>
      <c r="J569" s="30" t="str">
        <f>IF(ISNUMBER(MATCH($D569,'Lopettaneet 2013-&gt;'!$D:$D,0)),INDEX('Lopettaneet 2013-&gt;'!$K:$K,MATCH($D569,'Lopettaneet 2013-&gt;'!$D:$D,0)),"Continues")</f>
        <v>Closed</v>
      </c>
      <c r="K569" s="30">
        <f ca="1">IF($J569="Continues",DATEDIF($B569,TODAY(),"Y"),INDEX('Lopettaneet 2013-&gt;'!$L:$L,MATCH($D569,'Lopettaneet 2013-&gt;'!$D:$D,0)))</f>
        <v>2</v>
      </c>
      <c r="L569" s="31" t="str">
        <f>IFERROR(INDEX('[1]30.06.2024'!$H:$H,MATCH($E569,'[1]30.06.2024'!$B:$B,0)),"Not found")</f>
        <v>Not found</v>
      </c>
      <c r="M569" s="31" t="str">
        <f>IFERROR(INDEX([2]Sheet1!$B:$B,MATCH($D569,[2]Sheet1!$A:$A,0)),"Not found")</f>
        <v>Not found</v>
      </c>
      <c r="N569">
        <f t="shared" si="16"/>
        <v>0</v>
      </c>
      <c r="O569">
        <f t="shared" si="17"/>
        <v>0</v>
      </c>
    </row>
    <row r="570" spans="1:15" x14ac:dyDescent="0.25">
      <c r="A570" t="s">
        <v>0</v>
      </c>
      <c r="B570" s="1">
        <v>43160</v>
      </c>
      <c r="C570" s="1">
        <v>45382</v>
      </c>
      <c r="D570" s="4" t="s">
        <v>239</v>
      </c>
      <c r="E570" s="32" t="s">
        <v>240</v>
      </c>
      <c r="F570" s="32">
        <v>28764985</v>
      </c>
      <c r="G570" t="s">
        <v>3</v>
      </c>
      <c r="H570" t="s">
        <v>4</v>
      </c>
      <c r="I570" t="s">
        <v>50</v>
      </c>
      <c r="J570" s="30" t="str">
        <f>IF(ISNUMBER(MATCH($D570,'Lopettaneet 2013-&gt;'!$D:$D,0)),INDEX('Lopettaneet 2013-&gt;'!$K:$K,MATCH($D570,'Lopettaneet 2013-&gt;'!$D:$D,0)),"Continues")</f>
        <v>Closed</v>
      </c>
      <c r="K570" s="30">
        <f ca="1">IF($J570="Continues",DATEDIF($B570,TODAY(),"Y"),INDEX('Lopettaneet 2013-&gt;'!$L:$L,MATCH($D570,'Lopettaneet 2013-&gt;'!$D:$D,0)))</f>
        <v>6</v>
      </c>
      <c r="L570" s="31" t="str">
        <f>IFERROR(INDEX('[1]30.06.2024'!$H:$H,MATCH($E570,'[1]30.06.2024'!$B:$B,0)),"Not found")</f>
        <v>Not found</v>
      </c>
      <c r="M570" s="31" t="str">
        <f>IFERROR(INDEX([2]Sheet1!$B:$B,MATCH($D570,[2]Sheet1!$A:$A,0)),"Not found")</f>
        <v>Retail</v>
      </c>
      <c r="N570">
        <f t="shared" si="16"/>
        <v>1</v>
      </c>
      <c r="O570">
        <f t="shared" si="17"/>
        <v>0</v>
      </c>
    </row>
    <row r="571" spans="1:15" x14ac:dyDescent="0.25">
      <c r="A571" t="s">
        <v>0</v>
      </c>
      <c r="B571" s="1">
        <v>43160</v>
      </c>
      <c r="C571" s="1">
        <v>55153</v>
      </c>
      <c r="D571" s="4" t="s">
        <v>1348</v>
      </c>
      <c r="E571" s="32" t="s">
        <v>1349</v>
      </c>
      <c r="F571" s="32">
        <v>28764969</v>
      </c>
      <c r="G571" t="s">
        <v>3</v>
      </c>
      <c r="H571" t="s">
        <v>4</v>
      </c>
      <c r="I571" t="s">
        <v>5</v>
      </c>
      <c r="J571" s="30" t="str">
        <f>IF(ISNUMBER(MATCH($D571,'Lopettaneet 2013-&gt;'!$D:$D,0)),INDEX('Lopettaneet 2013-&gt;'!$K:$K,MATCH($D571,'Lopettaneet 2013-&gt;'!$D:$D,0)),"Continues")</f>
        <v>Continues</v>
      </c>
      <c r="K571" s="30">
        <f ca="1">IF($J571="Continues",DATEDIF($B571,TODAY(),"Y"),INDEX('Lopettaneet 2013-&gt;'!$L:$L,MATCH($D571,'Lopettaneet 2013-&gt;'!$D:$D,0)))</f>
        <v>7</v>
      </c>
      <c r="L571" s="31" t="str">
        <f>IFERROR(INDEX('[1]30.06.2024'!$H:$H,MATCH($E571,'[1]30.06.2024'!$B:$B,0)),"Not found")</f>
        <v>Nordea Funds Oy</v>
      </c>
      <c r="M571" s="31" t="str">
        <f>IFERROR(INDEX([2]Sheet1!$B:$B,MATCH($D571,[2]Sheet1!$A:$A,0)),"Not found")</f>
        <v>Retail</v>
      </c>
      <c r="N571">
        <f t="shared" si="16"/>
        <v>1</v>
      </c>
      <c r="O571">
        <f t="shared" si="17"/>
        <v>0</v>
      </c>
    </row>
    <row r="572" spans="1:15" x14ac:dyDescent="0.25">
      <c r="A572" t="s">
        <v>0</v>
      </c>
      <c r="B572" s="1">
        <v>43160</v>
      </c>
      <c r="C572" s="1">
        <v>55153</v>
      </c>
      <c r="D572" s="4" t="s">
        <v>1350</v>
      </c>
      <c r="E572" s="32" t="s">
        <v>1351</v>
      </c>
      <c r="F572" s="32">
        <v>28764926</v>
      </c>
      <c r="G572" t="s">
        <v>3</v>
      </c>
      <c r="H572" t="s">
        <v>4</v>
      </c>
      <c r="I572" t="s">
        <v>20</v>
      </c>
      <c r="J572" s="30" t="str">
        <f>IF(ISNUMBER(MATCH($D572,'Lopettaneet 2013-&gt;'!$D:$D,0)),INDEX('Lopettaneet 2013-&gt;'!$K:$K,MATCH($D572,'Lopettaneet 2013-&gt;'!$D:$D,0)),"Continues")</f>
        <v>Continues</v>
      </c>
      <c r="K572" s="30">
        <f ca="1">IF($J572="Continues",DATEDIF($B572,TODAY(),"Y"),INDEX('Lopettaneet 2013-&gt;'!$L:$L,MATCH($D572,'Lopettaneet 2013-&gt;'!$D:$D,0)))</f>
        <v>7</v>
      </c>
      <c r="L572" s="31" t="str">
        <f>IFERROR(INDEX('[1]30.06.2024'!$H:$H,MATCH($E572,'[1]30.06.2024'!$B:$B,0)),"Not found")</f>
        <v>Nordea Funds Oy</v>
      </c>
      <c r="M572" s="31" t="str">
        <f>IFERROR(INDEX([2]Sheet1!$B:$B,MATCH($D572,[2]Sheet1!$A:$A,0)),"Not found")</f>
        <v>Retail</v>
      </c>
      <c r="N572">
        <f t="shared" si="16"/>
        <v>1</v>
      </c>
      <c r="O572">
        <f t="shared" si="17"/>
        <v>0</v>
      </c>
    </row>
    <row r="573" spans="1:15" x14ac:dyDescent="0.25">
      <c r="A573" t="s">
        <v>0</v>
      </c>
      <c r="B573" s="1">
        <v>43160</v>
      </c>
      <c r="C573" s="1">
        <v>55153</v>
      </c>
      <c r="D573" s="4" t="s">
        <v>1352</v>
      </c>
      <c r="E573" s="32" t="s">
        <v>1353</v>
      </c>
      <c r="F573" s="32">
        <v>28764897</v>
      </c>
      <c r="G573" t="s">
        <v>3</v>
      </c>
      <c r="H573" t="s">
        <v>4</v>
      </c>
      <c r="I573" t="s">
        <v>20</v>
      </c>
      <c r="J573" s="30" t="str">
        <f>IF(ISNUMBER(MATCH($D573,'Lopettaneet 2013-&gt;'!$D:$D,0)),INDEX('Lopettaneet 2013-&gt;'!$K:$K,MATCH($D573,'Lopettaneet 2013-&gt;'!$D:$D,0)),"Continues")</f>
        <v>Continues</v>
      </c>
      <c r="K573" s="30">
        <f ca="1">IF($J573="Continues",DATEDIF($B573,TODAY(),"Y"),INDEX('Lopettaneet 2013-&gt;'!$L:$L,MATCH($D573,'Lopettaneet 2013-&gt;'!$D:$D,0)))</f>
        <v>7</v>
      </c>
      <c r="L573" s="31" t="str">
        <f>IFERROR(INDEX('[1]30.06.2024'!$H:$H,MATCH($E573,'[1]30.06.2024'!$B:$B,0)),"Not found")</f>
        <v>Nordea Funds Oy</v>
      </c>
      <c r="M573" s="31" t="str">
        <f>IFERROR(INDEX([2]Sheet1!$B:$B,MATCH($D573,[2]Sheet1!$A:$A,0)),"Not found")</f>
        <v>Retail</v>
      </c>
      <c r="N573">
        <f t="shared" si="16"/>
        <v>1</v>
      </c>
      <c r="O573">
        <f t="shared" si="17"/>
        <v>0</v>
      </c>
    </row>
    <row r="574" spans="1:15" x14ac:dyDescent="0.25">
      <c r="A574" t="s">
        <v>0</v>
      </c>
      <c r="B574" s="1">
        <v>43191</v>
      </c>
      <c r="C574" s="1">
        <v>44196</v>
      </c>
      <c r="D574" s="4" t="s">
        <v>1354</v>
      </c>
      <c r="E574" s="32" t="s">
        <v>1355</v>
      </c>
      <c r="F574" s="32">
        <v>28765291</v>
      </c>
      <c r="G574" t="s">
        <v>3</v>
      </c>
      <c r="H574" t="s">
        <v>4</v>
      </c>
      <c r="I574" t="s">
        <v>50</v>
      </c>
      <c r="J574" s="30" t="str">
        <f>IF(ISNUMBER(MATCH($D574,'Lopettaneet 2013-&gt;'!$D:$D,0)),INDEX('Lopettaneet 2013-&gt;'!$K:$K,MATCH($D574,'Lopettaneet 2013-&gt;'!$D:$D,0)),"Continues")</f>
        <v>Closed</v>
      </c>
      <c r="K574" s="30">
        <f ca="1">IF($J574="Continues",DATEDIF($B574,TODAY(),"Y"),INDEX('Lopettaneet 2013-&gt;'!$L:$L,MATCH($D574,'Lopettaneet 2013-&gt;'!$D:$D,0)))</f>
        <v>2</v>
      </c>
      <c r="L574" s="31" t="str">
        <f>IFERROR(INDEX('[1]30.06.2024'!$H:$H,MATCH($E574,'[1]30.06.2024'!$B:$B,0)),"Not found")</f>
        <v>Not found</v>
      </c>
      <c r="M574" s="31" t="str">
        <f>IFERROR(INDEX([2]Sheet1!$B:$B,MATCH($D574,[2]Sheet1!$A:$A,0)),"Not found")</f>
        <v>Not found</v>
      </c>
      <c r="N574">
        <f t="shared" si="16"/>
        <v>0</v>
      </c>
      <c r="O574">
        <f t="shared" si="17"/>
        <v>0</v>
      </c>
    </row>
    <row r="575" spans="1:15" x14ac:dyDescent="0.25">
      <c r="A575" t="s">
        <v>0</v>
      </c>
      <c r="B575" s="1">
        <v>43191</v>
      </c>
      <c r="C575" s="1">
        <v>45382</v>
      </c>
      <c r="D575" s="4" t="s">
        <v>241</v>
      </c>
      <c r="E575" s="32" t="s">
        <v>242</v>
      </c>
      <c r="F575" s="32">
        <v>28765275</v>
      </c>
      <c r="G575" t="s">
        <v>3</v>
      </c>
      <c r="H575" t="s">
        <v>4</v>
      </c>
      <c r="I575" t="s">
        <v>50</v>
      </c>
      <c r="J575" s="30" t="str">
        <f>IF(ISNUMBER(MATCH($D575,'Lopettaneet 2013-&gt;'!$D:$D,0)),INDEX('Lopettaneet 2013-&gt;'!$K:$K,MATCH($D575,'Lopettaneet 2013-&gt;'!$D:$D,0)),"Continues")</f>
        <v>Closed</v>
      </c>
      <c r="K575" s="30">
        <f ca="1">IF($J575="Continues",DATEDIF($B575,TODAY(),"Y"),INDEX('Lopettaneet 2013-&gt;'!$L:$L,MATCH($D575,'Lopettaneet 2013-&gt;'!$D:$D,0)))</f>
        <v>5</v>
      </c>
      <c r="L575" s="31" t="str">
        <f>IFERROR(INDEX('[1]30.06.2024'!$H:$H,MATCH($E575,'[1]30.06.2024'!$B:$B,0)),"Not found")</f>
        <v>Not found</v>
      </c>
      <c r="M575" s="31" t="str">
        <f>IFERROR(INDEX([2]Sheet1!$B:$B,MATCH($D575,[2]Sheet1!$A:$A,0)),"Not found")</f>
        <v>Retail</v>
      </c>
      <c r="N575">
        <f t="shared" si="16"/>
        <v>1</v>
      </c>
      <c r="O575">
        <f t="shared" si="17"/>
        <v>0</v>
      </c>
    </row>
    <row r="576" spans="1:15" x14ac:dyDescent="0.25">
      <c r="A576" t="s">
        <v>0</v>
      </c>
      <c r="B576" s="1">
        <v>43191</v>
      </c>
      <c r="C576" s="1">
        <v>55153</v>
      </c>
      <c r="D576" s="4" t="s">
        <v>1356</v>
      </c>
      <c r="E576" s="32" t="s">
        <v>1357</v>
      </c>
      <c r="F576" s="32">
        <v>28765179</v>
      </c>
      <c r="G576" t="s">
        <v>3</v>
      </c>
      <c r="H576" t="s">
        <v>4</v>
      </c>
      <c r="I576" t="s">
        <v>5</v>
      </c>
      <c r="J576" s="30" t="str">
        <f>IF(ISNUMBER(MATCH($D576,'Lopettaneet 2013-&gt;'!$D:$D,0)),INDEX('Lopettaneet 2013-&gt;'!$K:$K,MATCH($D576,'Lopettaneet 2013-&gt;'!$D:$D,0)),"Continues")</f>
        <v>Continues</v>
      </c>
      <c r="K576" s="30">
        <f ca="1">IF($J576="Continues",DATEDIF($B576,TODAY(),"Y"),INDEX('Lopettaneet 2013-&gt;'!$L:$L,MATCH($D576,'Lopettaneet 2013-&gt;'!$D:$D,0)))</f>
        <v>7</v>
      </c>
      <c r="L576" s="31" t="str">
        <f>IFERROR(INDEX('[1]30.06.2024'!$H:$H,MATCH($E576,'[1]30.06.2024'!$B:$B,0)),"Not found")</f>
        <v>Nordea Funds Oy</v>
      </c>
      <c r="M576" s="31" t="str">
        <f>IFERROR(INDEX([2]Sheet1!$B:$B,MATCH($D576,[2]Sheet1!$A:$A,0)),"Not found")</f>
        <v>Retail</v>
      </c>
      <c r="N576">
        <f t="shared" si="16"/>
        <v>1</v>
      </c>
      <c r="O576">
        <f t="shared" si="17"/>
        <v>0</v>
      </c>
    </row>
    <row r="577" spans="1:15" x14ac:dyDescent="0.25">
      <c r="A577" t="s">
        <v>0</v>
      </c>
      <c r="B577" s="1">
        <v>43191</v>
      </c>
      <c r="C577" s="1">
        <v>55153</v>
      </c>
      <c r="D577" s="4" t="s">
        <v>1358</v>
      </c>
      <c r="E577" s="32" t="s">
        <v>1359</v>
      </c>
      <c r="F577" s="32">
        <v>28765152</v>
      </c>
      <c r="G577" t="s">
        <v>3</v>
      </c>
      <c r="H577" t="s">
        <v>4</v>
      </c>
      <c r="I577" t="s">
        <v>20</v>
      </c>
      <c r="J577" s="30" t="str">
        <f>IF(ISNUMBER(MATCH($D577,'Lopettaneet 2013-&gt;'!$D:$D,0)),INDEX('Lopettaneet 2013-&gt;'!$K:$K,MATCH($D577,'Lopettaneet 2013-&gt;'!$D:$D,0)),"Continues")</f>
        <v>Continues</v>
      </c>
      <c r="K577" s="30">
        <f ca="1">IF($J577="Continues",DATEDIF($B577,TODAY(),"Y"),INDEX('Lopettaneet 2013-&gt;'!$L:$L,MATCH($D577,'Lopettaneet 2013-&gt;'!$D:$D,0)))</f>
        <v>7</v>
      </c>
      <c r="L577" s="31" t="str">
        <f>IFERROR(INDEX('[1]30.06.2024'!$H:$H,MATCH($E577,'[1]30.06.2024'!$B:$B,0)),"Not found")</f>
        <v>Nordea Funds Oy</v>
      </c>
      <c r="M577" s="31" t="str">
        <f>IFERROR(INDEX([2]Sheet1!$B:$B,MATCH($D577,[2]Sheet1!$A:$A,0)),"Not found")</f>
        <v>Retail</v>
      </c>
      <c r="N577">
        <f t="shared" si="16"/>
        <v>1</v>
      </c>
      <c r="O577">
        <f t="shared" si="17"/>
        <v>0</v>
      </c>
    </row>
    <row r="578" spans="1:15" x14ac:dyDescent="0.25">
      <c r="A578" t="s">
        <v>0</v>
      </c>
      <c r="B578" s="1">
        <v>43191</v>
      </c>
      <c r="C578" s="1">
        <v>43646</v>
      </c>
      <c r="D578" s="4" t="s">
        <v>1360</v>
      </c>
      <c r="E578" s="32" t="s">
        <v>1361</v>
      </c>
      <c r="F578" s="32">
        <v>28765128</v>
      </c>
      <c r="G578" t="s">
        <v>3</v>
      </c>
      <c r="H578" t="s">
        <v>4</v>
      </c>
      <c r="I578" t="s">
        <v>20</v>
      </c>
      <c r="J578" s="30" t="str">
        <f>IF(ISNUMBER(MATCH($D578,'Lopettaneet 2013-&gt;'!$D:$D,0)),INDEX('Lopettaneet 2013-&gt;'!$K:$K,MATCH($D578,'Lopettaneet 2013-&gt;'!$D:$D,0)),"Continues")</f>
        <v>Closed</v>
      </c>
      <c r="K578" s="30">
        <f ca="1">IF($J578="Continues",DATEDIF($B578,TODAY(),"Y"),INDEX('Lopettaneet 2013-&gt;'!$L:$L,MATCH($D578,'Lopettaneet 2013-&gt;'!$D:$D,0)))</f>
        <v>1</v>
      </c>
      <c r="L578" s="31" t="str">
        <f>IFERROR(INDEX('[1]30.06.2024'!$H:$H,MATCH($E578,'[1]30.06.2024'!$B:$B,0)),"Not found")</f>
        <v>Not found</v>
      </c>
      <c r="M578" s="31" t="str">
        <f>IFERROR(INDEX([2]Sheet1!$B:$B,MATCH($D578,[2]Sheet1!$A:$A,0)),"Not found")</f>
        <v>Not found</v>
      </c>
      <c r="N578">
        <f t="shared" si="16"/>
        <v>0</v>
      </c>
      <c r="O578">
        <f t="shared" si="17"/>
        <v>0</v>
      </c>
    </row>
    <row r="579" spans="1:15" x14ac:dyDescent="0.25">
      <c r="A579" t="s">
        <v>0</v>
      </c>
      <c r="B579" s="1">
        <v>43070</v>
      </c>
      <c r="C579" s="1">
        <v>44196</v>
      </c>
      <c r="D579" s="4" t="s">
        <v>1362</v>
      </c>
      <c r="E579" s="32" t="s">
        <v>1363</v>
      </c>
      <c r="F579" s="32">
        <v>28641731</v>
      </c>
      <c r="G579" t="s">
        <v>3</v>
      </c>
      <c r="H579" t="s">
        <v>4</v>
      </c>
      <c r="I579" t="s">
        <v>50</v>
      </c>
      <c r="J579" s="30" t="str">
        <f>IF(ISNUMBER(MATCH($D579,'Lopettaneet 2013-&gt;'!$D:$D,0)),INDEX('Lopettaneet 2013-&gt;'!$K:$K,MATCH($D579,'Lopettaneet 2013-&gt;'!$D:$D,0)),"Continues")</f>
        <v>Closed</v>
      </c>
      <c r="K579" s="30">
        <f ca="1">IF($J579="Continues",DATEDIF($B579,TODAY(),"Y"),INDEX('Lopettaneet 2013-&gt;'!$L:$L,MATCH($D579,'Lopettaneet 2013-&gt;'!$D:$D,0)))</f>
        <v>3</v>
      </c>
      <c r="L579" s="31" t="str">
        <f>IFERROR(INDEX('[1]30.06.2024'!$H:$H,MATCH($E579,'[1]30.06.2024'!$B:$B,0)),"Not found")</f>
        <v>Not found</v>
      </c>
      <c r="M579" s="31" t="str">
        <f>IFERROR(INDEX([2]Sheet1!$B:$B,MATCH($D579,[2]Sheet1!$A:$A,0)),"Not found")</f>
        <v>Not found</v>
      </c>
      <c r="N579">
        <f t="shared" ref="N579:N642" si="18">IF($M579="Retail",1,0)</f>
        <v>0</v>
      </c>
      <c r="O579">
        <f t="shared" ref="O579:O642" si="19">IF($M579="Non-Retail",1,0)</f>
        <v>0</v>
      </c>
    </row>
    <row r="580" spans="1:15" x14ac:dyDescent="0.25">
      <c r="A580" t="s">
        <v>0</v>
      </c>
      <c r="B580" s="1">
        <v>43070</v>
      </c>
      <c r="C580" s="1">
        <v>55153</v>
      </c>
      <c r="D580" s="4" t="s">
        <v>1364</v>
      </c>
      <c r="E580" s="32" t="s">
        <v>1365</v>
      </c>
      <c r="F580" s="32">
        <v>28641723</v>
      </c>
      <c r="G580" t="s">
        <v>3</v>
      </c>
      <c r="H580" t="s">
        <v>4</v>
      </c>
      <c r="I580" t="s">
        <v>50</v>
      </c>
      <c r="J580" s="30" t="str">
        <f>IF(ISNUMBER(MATCH($D580,'Lopettaneet 2013-&gt;'!$D:$D,0)),INDEX('Lopettaneet 2013-&gt;'!$K:$K,MATCH($D580,'Lopettaneet 2013-&gt;'!$D:$D,0)),"Continues")</f>
        <v>Continues</v>
      </c>
      <c r="K580" s="30">
        <f ca="1">IF($J580="Continues",DATEDIF($B580,TODAY(),"Y"),INDEX('Lopettaneet 2013-&gt;'!$L:$L,MATCH($D580,'Lopettaneet 2013-&gt;'!$D:$D,0)))</f>
        <v>7</v>
      </c>
      <c r="L580" s="31" t="str">
        <f>IFERROR(INDEX('[1]30.06.2024'!$H:$H,MATCH($E580,'[1]30.06.2024'!$B:$B,0)),"Not found")</f>
        <v>Nordea Funds Oy</v>
      </c>
      <c r="M580" s="31" t="str">
        <f>IFERROR(INDEX([2]Sheet1!$B:$B,MATCH($D580,[2]Sheet1!$A:$A,0)),"Not found")</f>
        <v>Retail</v>
      </c>
      <c r="N580">
        <f t="shared" si="18"/>
        <v>1</v>
      </c>
      <c r="O580">
        <f t="shared" si="19"/>
        <v>0</v>
      </c>
    </row>
    <row r="581" spans="1:15" x14ac:dyDescent="0.25">
      <c r="A581" t="s">
        <v>0</v>
      </c>
      <c r="B581" s="1">
        <v>43070</v>
      </c>
      <c r="C581" s="1">
        <v>55153</v>
      </c>
      <c r="D581" s="4" t="s">
        <v>1366</v>
      </c>
      <c r="E581" s="32" t="s">
        <v>1367</v>
      </c>
      <c r="F581" s="32">
        <v>28641774</v>
      </c>
      <c r="G581" t="s">
        <v>3</v>
      </c>
      <c r="H581" t="s">
        <v>4</v>
      </c>
      <c r="I581" t="s">
        <v>5</v>
      </c>
      <c r="J581" s="30" t="str">
        <f>IF(ISNUMBER(MATCH($D581,'Lopettaneet 2013-&gt;'!$D:$D,0)),INDEX('Lopettaneet 2013-&gt;'!$K:$K,MATCH($D581,'Lopettaneet 2013-&gt;'!$D:$D,0)),"Continues")</f>
        <v>Continues</v>
      </c>
      <c r="K581" s="30">
        <f ca="1">IF($J581="Continues",DATEDIF($B581,TODAY(),"Y"),INDEX('Lopettaneet 2013-&gt;'!$L:$L,MATCH($D581,'Lopettaneet 2013-&gt;'!$D:$D,0)))</f>
        <v>7</v>
      </c>
      <c r="L581" s="31" t="str">
        <f>IFERROR(INDEX('[1]30.06.2024'!$H:$H,MATCH($E581,'[1]30.06.2024'!$B:$B,0)),"Not found")</f>
        <v>Nordea Funds Oy</v>
      </c>
      <c r="M581" s="31" t="str">
        <f>IFERROR(INDEX([2]Sheet1!$B:$B,MATCH($D581,[2]Sheet1!$A:$A,0)),"Not found")</f>
        <v>Retail</v>
      </c>
      <c r="N581">
        <f t="shared" si="18"/>
        <v>1</v>
      </c>
      <c r="O581">
        <f t="shared" si="19"/>
        <v>0</v>
      </c>
    </row>
    <row r="582" spans="1:15" x14ac:dyDescent="0.25">
      <c r="A582" t="s">
        <v>0</v>
      </c>
      <c r="B582" s="1">
        <v>43070</v>
      </c>
      <c r="C582" s="1">
        <v>55153</v>
      </c>
      <c r="D582" s="4" t="s">
        <v>1368</v>
      </c>
      <c r="E582" s="32" t="s">
        <v>1369</v>
      </c>
      <c r="F582" s="32">
        <v>28641803</v>
      </c>
      <c r="G582" t="s">
        <v>3</v>
      </c>
      <c r="H582" t="s">
        <v>4</v>
      </c>
      <c r="I582" t="s">
        <v>20</v>
      </c>
      <c r="J582" s="30" t="str">
        <f>IF(ISNUMBER(MATCH($D582,'Lopettaneet 2013-&gt;'!$D:$D,0)),INDEX('Lopettaneet 2013-&gt;'!$K:$K,MATCH($D582,'Lopettaneet 2013-&gt;'!$D:$D,0)),"Continues")</f>
        <v>Continues</v>
      </c>
      <c r="K582" s="30">
        <f ca="1">IF($J582="Continues",DATEDIF($B582,TODAY(),"Y"),INDEX('Lopettaneet 2013-&gt;'!$L:$L,MATCH($D582,'Lopettaneet 2013-&gt;'!$D:$D,0)))</f>
        <v>7</v>
      </c>
      <c r="L582" s="31" t="str">
        <f>IFERROR(INDEX('[1]30.06.2024'!$H:$H,MATCH($E582,'[1]30.06.2024'!$B:$B,0)),"Not found")</f>
        <v>Nordea Funds Oy</v>
      </c>
      <c r="M582" s="31" t="str">
        <f>IFERROR(INDEX([2]Sheet1!$B:$B,MATCH($D582,[2]Sheet1!$A:$A,0)),"Not found")</f>
        <v>Retail</v>
      </c>
      <c r="N582">
        <f t="shared" si="18"/>
        <v>1</v>
      </c>
      <c r="O582">
        <f t="shared" si="19"/>
        <v>0</v>
      </c>
    </row>
    <row r="583" spans="1:15" x14ac:dyDescent="0.25">
      <c r="A583" t="s">
        <v>0</v>
      </c>
      <c r="B583" s="1">
        <v>43070</v>
      </c>
      <c r="C583" s="1">
        <v>55153</v>
      </c>
      <c r="D583" s="4" t="s">
        <v>1370</v>
      </c>
      <c r="E583" s="32" t="s">
        <v>1371</v>
      </c>
      <c r="F583" s="32">
        <v>28641846</v>
      </c>
      <c r="G583" t="s">
        <v>3</v>
      </c>
      <c r="H583" t="s">
        <v>4</v>
      </c>
      <c r="I583" t="s">
        <v>20</v>
      </c>
      <c r="J583" s="30" t="str">
        <f>IF(ISNUMBER(MATCH($D583,'Lopettaneet 2013-&gt;'!$D:$D,0)),INDEX('Lopettaneet 2013-&gt;'!$K:$K,MATCH($D583,'Lopettaneet 2013-&gt;'!$D:$D,0)),"Continues")</f>
        <v>Continues</v>
      </c>
      <c r="K583" s="30">
        <f ca="1">IF($J583="Continues",DATEDIF($B583,TODAY(),"Y"),INDEX('Lopettaneet 2013-&gt;'!$L:$L,MATCH($D583,'Lopettaneet 2013-&gt;'!$D:$D,0)))</f>
        <v>7</v>
      </c>
      <c r="L583" s="31" t="str">
        <f>IFERROR(INDEX('[1]30.06.2024'!$H:$H,MATCH($E583,'[1]30.06.2024'!$B:$B,0)),"Not found")</f>
        <v>Nordea Funds Oy</v>
      </c>
      <c r="M583" s="31" t="str">
        <f>IFERROR(INDEX([2]Sheet1!$B:$B,MATCH($D583,[2]Sheet1!$A:$A,0)),"Not found")</f>
        <v>Retail</v>
      </c>
      <c r="N583">
        <f t="shared" si="18"/>
        <v>1</v>
      </c>
      <c r="O583">
        <f t="shared" si="19"/>
        <v>0</v>
      </c>
    </row>
    <row r="584" spans="1:15" x14ac:dyDescent="0.25">
      <c r="A584" t="s">
        <v>7</v>
      </c>
      <c r="B584" s="1">
        <v>43160</v>
      </c>
      <c r="C584" s="1">
        <v>55153</v>
      </c>
      <c r="D584" s="4" t="s">
        <v>1372</v>
      </c>
      <c r="E584" s="32" t="s">
        <v>1373</v>
      </c>
      <c r="F584" s="32">
        <v>28658437</v>
      </c>
      <c r="G584" t="s">
        <v>10</v>
      </c>
      <c r="H584" t="s">
        <v>11</v>
      </c>
      <c r="I584" t="s">
        <v>12</v>
      </c>
      <c r="J584" s="30" t="str">
        <f>IF(ISNUMBER(MATCH($D584,'Lopettaneet 2013-&gt;'!$D:$D,0)),INDEX('Lopettaneet 2013-&gt;'!$K:$K,MATCH($D584,'Lopettaneet 2013-&gt;'!$D:$D,0)),"Continues")</f>
        <v>Continues</v>
      </c>
      <c r="K584" s="30">
        <f ca="1">IF($J584="Continues",DATEDIF($B584,TODAY(),"Y"),INDEX('Lopettaneet 2013-&gt;'!$L:$L,MATCH($D584,'Lopettaneet 2013-&gt;'!$D:$D,0)))</f>
        <v>7</v>
      </c>
      <c r="L584" s="31" t="str">
        <f>IFERROR(INDEX('[1]30.06.2024'!$H:$H,MATCH($E584,'[1]30.06.2024'!$B:$B,0)),"Not found")</f>
        <v>Not found</v>
      </c>
      <c r="M584" s="31" t="str">
        <f>IFERROR(INDEX([2]Sheet1!$B:$B,MATCH($D584,[2]Sheet1!$A:$A,0)),"Not found")</f>
        <v>Non-Retail</v>
      </c>
      <c r="N584">
        <f t="shared" si="18"/>
        <v>0</v>
      </c>
      <c r="O584">
        <f t="shared" si="19"/>
        <v>1</v>
      </c>
    </row>
    <row r="585" spans="1:15" x14ac:dyDescent="0.25">
      <c r="A585" t="s">
        <v>0</v>
      </c>
      <c r="B585" s="1">
        <v>43132</v>
      </c>
      <c r="C585" s="1">
        <v>55153</v>
      </c>
      <c r="D585" s="4" t="s">
        <v>1374</v>
      </c>
      <c r="E585" s="32" t="s">
        <v>1375</v>
      </c>
      <c r="F585" s="32">
        <v>28699546</v>
      </c>
      <c r="G585" t="s">
        <v>3</v>
      </c>
      <c r="H585" t="s">
        <v>4</v>
      </c>
      <c r="I585" t="s">
        <v>20</v>
      </c>
      <c r="J585" s="30" t="str">
        <f>IF(ISNUMBER(MATCH($D585,'Lopettaneet 2013-&gt;'!$D:$D,0)),INDEX('Lopettaneet 2013-&gt;'!$K:$K,MATCH($D585,'Lopettaneet 2013-&gt;'!$D:$D,0)),"Continues")</f>
        <v>Continues</v>
      </c>
      <c r="K585" s="30">
        <f ca="1">IF($J585="Continues",DATEDIF($B585,TODAY(),"Y"),INDEX('Lopettaneet 2013-&gt;'!$L:$L,MATCH($D585,'Lopettaneet 2013-&gt;'!$D:$D,0)))</f>
        <v>7</v>
      </c>
      <c r="L585" s="31" t="str">
        <f>IFERROR(INDEX('[1]30.06.2024'!$H:$H,MATCH($E585,'[1]30.06.2024'!$B:$B,0)),"Not found")</f>
        <v>Obsido Rahastoyhtiö Oy</v>
      </c>
      <c r="M585" s="31" t="str">
        <f>IFERROR(INDEX([2]Sheet1!$B:$B,MATCH($D585,[2]Sheet1!$A:$A,0)),"Not found")</f>
        <v>Retail</v>
      </c>
      <c r="N585">
        <f t="shared" si="18"/>
        <v>1</v>
      </c>
      <c r="O585">
        <f t="shared" si="19"/>
        <v>0</v>
      </c>
    </row>
    <row r="586" spans="1:15" x14ac:dyDescent="0.25">
      <c r="A586" t="s">
        <v>7</v>
      </c>
      <c r="B586" s="1">
        <v>43040</v>
      </c>
      <c r="C586" s="1">
        <v>55153</v>
      </c>
      <c r="D586" s="4" t="s">
        <v>1376</v>
      </c>
      <c r="E586" s="32" t="s">
        <v>1377</v>
      </c>
      <c r="F586" s="32">
        <v>28714048</v>
      </c>
      <c r="G586" t="s">
        <v>10</v>
      </c>
      <c r="H586" t="s">
        <v>11</v>
      </c>
      <c r="I586" t="s">
        <v>29</v>
      </c>
      <c r="J586" s="30" t="str">
        <f>IF(ISNUMBER(MATCH($D586,'Lopettaneet 2013-&gt;'!$D:$D,0)),INDEX('Lopettaneet 2013-&gt;'!$K:$K,MATCH($D586,'Lopettaneet 2013-&gt;'!$D:$D,0)),"Continues")</f>
        <v>Continues</v>
      </c>
      <c r="K586" s="30">
        <f ca="1">IF($J586="Continues",DATEDIF($B586,TODAY(),"Y"),INDEX('Lopettaneet 2013-&gt;'!$L:$L,MATCH($D586,'Lopettaneet 2013-&gt;'!$D:$D,0)))</f>
        <v>7</v>
      </c>
      <c r="L586" s="31" t="str">
        <f>IFERROR(INDEX('[1]30.06.2024'!$H:$H,MATCH($E586,'[1]30.06.2024'!$B:$B,0)),"Not found")</f>
        <v>S-Pankki Rahastoyhtiö Oy</v>
      </c>
      <c r="M586" s="31" t="str">
        <f>IFERROR(INDEX([2]Sheet1!$B:$B,MATCH($D586,[2]Sheet1!$A:$A,0)),"Not found")</f>
        <v>Non-Retail</v>
      </c>
      <c r="N586">
        <f t="shared" si="18"/>
        <v>0</v>
      </c>
      <c r="O586">
        <f t="shared" si="19"/>
        <v>1</v>
      </c>
    </row>
    <row r="587" spans="1:15" x14ac:dyDescent="0.25">
      <c r="A587" t="s">
        <v>7</v>
      </c>
      <c r="B587" s="1">
        <v>43525</v>
      </c>
      <c r="C587" s="1">
        <v>55153</v>
      </c>
      <c r="D587" s="4" t="s">
        <v>1378</v>
      </c>
      <c r="E587" s="32" t="s">
        <v>1379</v>
      </c>
      <c r="F587" s="32">
        <v>29702559</v>
      </c>
      <c r="G587" t="s">
        <v>10</v>
      </c>
      <c r="H587" t="s">
        <v>11</v>
      </c>
      <c r="I587" t="s">
        <v>32</v>
      </c>
      <c r="J587" s="30" t="str">
        <f>IF(ISNUMBER(MATCH($D587,'Lopettaneet 2013-&gt;'!$D:$D,0)),INDEX('Lopettaneet 2013-&gt;'!$K:$K,MATCH($D587,'Lopettaneet 2013-&gt;'!$D:$D,0)),"Continues")</f>
        <v>Continues</v>
      </c>
      <c r="K587" s="30">
        <f ca="1">IF($J587="Continues",DATEDIF($B587,TODAY(),"Y"),INDEX('Lopettaneet 2013-&gt;'!$L:$L,MATCH($D587,'Lopettaneet 2013-&gt;'!$D:$D,0)))</f>
        <v>6</v>
      </c>
      <c r="L587" s="31" t="str">
        <f>IFERROR(INDEX('[1]30.06.2024'!$H:$H,MATCH($E587,'[1]30.06.2024'!$B:$B,0)),"Not found")</f>
        <v>Obsido Rahastoyhtiö Oy</v>
      </c>
      <c r="M587" s="31" t="str">
        <f>IFERROR(INDEX([2]Sheet1!$B:$B,MATCH($D587,[2]Sheet1!$A:$A,0)),"Not found")</f>
        <v>Non-Retail</v>
      </c>
      <c r="N587">
        <f t="shared" si="18"/>
        <v>0</v>
      </c>
      <c r="O587">
        <f t="shared" si="19"/>
        <v>1</v>
      </c>
    </row>
    <row r="588" spans="1:15" x14ac:dyDescent="0.25">
      <c r="A588" t="s">
        <v>0</v>
      </c>
      <c r="B588" s="1">
        <v>43101</v>
      </c>
      <c r="C588" s="1">
        <v>55153</v>
      </c>
      <c r="D588" s="4" t="s">
        <v>1380</v>
      </c>
      <c r="E588" s="32" t="s">
        <v>1381</v>
      </c>
      <c r="F588" s="32">
        <v>28680108</v>
      </c>
      <c r="G588" t="s">
        <v>3</v>
      </c>
      <c r="H588" t="s">
        <v>4</v>
      </c>
      <c r="I588" t="s">
        <v>50</v>
      </c>
      <c r="J588" s="30" t="str">
        <f>IF(ISNUMBER(MATCH($D588,'Lopettaneet 2013-&gt;'!$D:$D,0)),INDEX('Lopettaneet 2013-&gt;'!$K:$K,MATCH($D588,'Lopettaneet 2013-&gt;'!$D:$D,0)),"Continues")</f>
        <v>Merged</v>
      </c>
      <c r="K588" s="30">
        <f ca="1">IF($J588="Continues",DATEDIF($B588,TODAY(),"Y"),INDEX('Lopettaneet 2013-&gt;'!$L:$L,MATCH($D588,'Lopettaneet 2013-&gt;'!$D:$D,0)))</f>
        <v>6</v>
      </c>
      <c r="L588" s="31" t="str">
        <f>IFERROR(INDEX('[1]30.06.2024'!$H:$H,MATCH($E588,'[1]30.06.2024'!$B:$B,0)),"Not found")</f>
        <v>OP-Rahastoyhtiö Oy</v>
      </c>
      <c r="M588" s="31" t="str">
        <f>IFERROR(INDEX([2]Sheet1!$B:$B,MATCH($D588,[2]Sheet1!$A:$A,0)),"Not found")</f>
        <v>Retail</v>
      </c>
      <c r="N588">
        <f t="shared" si="18"/>
        <v>1</v>
      </c>
      <c r="O588">
        <f t="shared" si="19"/>
        <v>0</v>
      </c>
    </row>
    <row r="589" spans="1:15" x14ac:dyDescent="0.25">
      <c r="A589" t="s">
        <v>0</v>
      </c>
      <c r="B589" s="1">
        <v>43070</v>
      </c>
      <c r="C589" s="1">
        <v>55153</v>
      </c>
      <c r="D589" s="4" t="s">
        <v>1382</v>
      </c>
      <c r="E589" s="32" t="s">
        <v>1383</v>
      </c>
      <c r="F589" s="32">
        <v>28712077</v>
      </c>
      <c r="G589" t="s">
        <v>10</v>
      </c>
      <c r="H589" t="s">
        <v>4</v>
      </c>
      <c r="I589" t="s">
        <v>20</v>
      </c>
      <c r="J589" s="30" t="str">
        <f>IF(ISNUMBER(MATCH($D589,'Lopettaneet 2013-&gt;'!$D:$D,0)),INDEX('Lopettaneet 2013-&gt;'!$K:$K,MATCH($D589,'Lopettaneet 2013-&gt;'!$D:$D,0)),"Continues")</f>
        <v>Continues</v>
      </c>
      <c r="K589" s="30">
        <f ca="1">IF($J589="Continues",DATEDIF($B589,TODAY(),"Y"),INDEX('Lopettaneet 2013-&gt;'!$L:$L,MATCH($D589,'Lopettaneet 2013-&gt;'!$D:$D,0)))</f>
        <v>7</v>
      </c>
      <c r="L589" s="31" t="str">
        <f>IFERROR(INDEX('[1]30.06.2024'!$H:$H,MATCH($E589,'[1]30.06.2024'!$B:$B,0)),"Not found")</f>
        <v>eQ Rahastoyhtiö Oy</v>
      </c>
      <c r="M589" s="31" t="str">
        <f>IFERROR(INDEX([2]Sheet1!$B:$B,MATCH($D589,[2]Sheet1!$A:$A,0)),"Not found")</f>
        <v>Retail</v>
      </c>
      <c r="N589">
        <f t="shared" si="18"/>
        <v>1</v>
      </c>
      <c r="O589">
        <f t="shared" si="19"/>
        <v>0</v>
      </c>
    </row>
    <row r="590" spans="1:15" x14ac:dyDescent="0.25">
      <c r="A590" t="s">
        <v>7</v>
      </c>
      <c r="B590" s="1">
        <v>43252</v>
      </c>
      <c r="C590" s="1">
        <v>55153</v>
      </c>
      <c r="D590" s="4" t="s">
        <v>1384</v>
      </c>
      <c r="E590" s="32" t="s">
        <v>1385</v>
      </c>
      <c r="F590" s="32">
        <v>28849647</v>
      </c>
      <c r="G590" t="s">
        <v>10</v>
      </c>
      <c r="H590" t="s">
        <v>11</v>
      </c>
      <c r="I590" t="s">
        <v>12</v>
      </c>
      <c r="J590" s="30" t="str">
        <f>IF(ISNUMBER(MATCH($D590,'Lopettaneet 2013-&gt;'!$D:$D,0)),INDEX('Lopettaneet 2013-&gt;'!$K:$K,MATCH($D590,'Lopettaneet 2013-&gt;'!$D:$D,0)),"Continues")</f>
        <v>Continues</v>
      </c>
      <c r="K590" s="30">
        <f ca="1">IF($J590="Continues",DATEDIF($B590,TODAY(),"Y"),INDEX('Lopettaneet 2013-&gt;'!$L:$L,MATCH($D590,'Lopettaneet 2013-&gt;'!$D:$D,0)))</f>
        <v>6</v>
      </c>
      <c r="L590" s="31" t="str">
        <f>IFERROR(INDEX('[1]30.06.2024'!$H:$H,MATCH($E590,'[1]30.06.2024'!$B:$B,0)),"Not found")</f>
        <v>eQ Rahastoyhtiö Oy</v>
      </c>
      <c r="M590" s="31" t="str">
        <f>IFERROR(INDEX([2]Sheet1!$B:$B,MATCH($D590,[2]Sheet1!$A:$A,0)),"Not found")</f>
        <v>Non-Retail</v>
      </c>
      <c r="N590">
        <f t="shared" si="18"/>
        <v>0</v>
      </c>
      <c r="O590">
        <f t="shared" si="19"/>
        <v>1</v>
      </c>
    </row>
    <row r="591" spans="1:15" x14ac:dyDescent="0.25">
      <c r="A591" t="s">
        <v>0</v>
      </c>
      <c r="B591" s="1">
        <v>43221</v>
      </c>
      <c r="C591" s="1">
        <v>55153</v>
      </c>
      <c r="D591" s="4" t="s">
        <v>1386</v>
      </c>
      <c r="E591" s="32" t="s">
        <v>1387</v>
      </c>
      <c r="F591" s="32">
        <v>28862593</v>
      </c>
      <c r="G591" t="s">
        <v>10</v>
      </c>
      <c r="H591" t="s">
        <v>11</v>
      </c>
      <c r="I591" t="s">
        <v>20</v>
      </c>
      <c r="J591" s="30" t="str">
        <f>IF(ISNUMBER(MATCH($D591,'Lopettaneet 2013-&gt;'!$D:$D,0)),INDEX('Lopettaneet 2013-&gt;'!$K:$K,MATCH($D591,'Lopettaneet 2013-&gt;'!$D:$D,0)),"Continues")</f>
        <v>Continues</v>
      </c>
      <c r="K591" s="30">
        <f ca="1">IF($J591="Continues",DATEDIF($B591,TODAY(),"Y"),INDEX('Lopettaneet 2013-&gt;'!$L:$L,MATCH($D591,'Lopettaneet 2013-&gt;'!$D:$D,0)))</f>
        <v>7</v>
      </c>
      <c r="L591" s="31" t="str">
        <f>IFERROR(INDEX('[1]30.06.2024'!$H:$H,MATCH($E591,'[1]30.06.2024'!$B:$B,0)),"Not found")</f>
        <v>eQ Rahastoyhtiö Oy</v>
      </c>
      <c r="M591" s="31" t="str">
        <f>IFERROR(INDEX([2]Sheet1!$B:$B,MATCH($D591,[2]Sheet1!$A:$A,0)),"Not found")</f>
        <v>Non-Retail</v>
      </c>
      <c r="N591">
        <f t="shared" si="18"/>
        <v>0</v>
      </c>
      <c r="O591">
        <f t="shared" si="19"/>
        <v>1</v>
      </c>
    </row>
    <row r="592" spans="1:15" x14ac:dyDescent="0.25">
      <c r="A592" t="s">
        <v>7</v>
      </c>
      <c r="B592" s="1">
        <v>43160</v>
      </c>
      <c r="C592" s="1">
        <v>55153</v>
      </c>
      <c r="D592" s="4" t="s">
        <v>1388</v>
      </c>
      <c r="E592" s="32" t="s">
        <v>1389</v>
      </c>
      <c r="F592" s="32">
        <v>28887985</v>
      </c>
      <c r="G592" t="s">
        <v>10</v>
      </c>
      <c r="H592" t="s">
        <v>11</v>
      </c>
      <c r="I592" t="s">
        <v>80</v>
      </c>
      <c r="J592" s="30" t="str">
        <f>IF(ISNUMBER(MATCH($D592,'Lopettaneet 2013-&gt;'!$D:$D,0)),INDEX('Lopettaneet 2013-&gt;'!$K:$K,MATCH($D592,'Lopettaneet 2013-&gt;'!$D:$D,0)),"Continues")</f>
        <v>Continues</v>
      </c>
      <c r="K592" s="30">
        <f ca="1">IF($J592="Continues",DATEDIF($B592,TODAY(),"Y"),INDEX('Lopettaneet 2013-&gt;'!$L:$L,MATCH($D592,'Lopettaneet 2013-&gt;'!$D:$D,0)))</f>
        <v>7</v>
      </c>
      <c r="L592" s="31" t="str">
        <f>IFERROR(INDEX('[1]30.06.2024'!$H:$H,MATCH($E592,'[1]30.06.2024'!$B:$B,0)),"Not found")</f>
        <v>Certior Capital Oy</v>
      </c>
      <c r="M592" s="31" t="str">
        <f>IFERROR(INDEX([2]Sheet1!$B:$B,MATCH($D592,[2]Sheet1!$A:$A,0)),"Not found")</f>
        <v>Non-Retail</v>
      </c>
      <c r="N592">
        <f t="shared" si="18"/>
        <v>0</v>
      </c>
      <c r="O592">
        <f t="shared" si="19"/>
        <v>1</v>
      </c>
    </row>
    <row r="593" spans="1:15" x14ac:dyDescent="0.25">
      <c r="A593" t="s">
        <v>0</v>
      </c>
      <c r="B593" s="1">
        <v>43191</v>
      </c>
      <c r="C593" s="1">
        <v>55153</v>
      </c>
      <c r="D593" s="4" t="s">
        <v>1390</v>
      </c>
      <c r="E593" s="32" t="s">
        <v>1391</v>
      </c>
      <c r="F593" s="32">
        <v>28858527</v>
      </c>
      <c r="G593" t="s">
        <v>10</v>
      </c>
      <c r="H593" t="s">
        <v>11</v>
      </c>
      <c r="I593" t="s">
        <v>29</v>
      </c>
      <c r="J593" s="30" t="str">
        <f>IF(ISNUMBER(MATCH($D593,'Lopettaneet 2013-&gt;'!$D:$D,0)),INDEX('Lopettaneet 2013-&gt;'!$K:$K,MATCH($D593,'Lopettaneet 2013-&gt;'!$D:$D,0)),"Continues")</f>
        <v>Continues</v>
      </c>
      <c r="K593" s="30">
        <f ca="1">IF($J593="Continues",DATEDIF($B593,TODAY(),"Y"),INDEX('Lopettaneet 2013-&gt;'!$L:$L,MATCH($D593,'Lopettaneet 2013-&gt;'!$D:$D,0)))</f>
        <v>7</v>
      </c>
      <c r="L593" s="31" t="str">
        <f>IFERROR(INDEX('[1]30.06.2024'!$H:$H,MATCH($E593,'[1]30.06.2024'!$B:$B,0)),"Not found")</f>
        <v>Not found</v>
      </c>
      <c r="M593" s="31" t="str">
        <f>IFERROR(INDEX([2]Sheet1!$B:$B,MATCH($D593,[2]Sheet1!$A:$A,0)),"Not found")</f>
        <v>Non-Retail</v>
      </c>
      <c r="N593">
        <f t="shared" si="18"/>
        <v>0</v>
      </c>
      <c r="O593">
        <f t="shared" si="19"/>
        <v>1</v>
      </c>
    </row>
    <row r="594" spans="1:15" x14ac:dyDescent="0.25">
      <c r="A594" t="s">
        <v>7</v>
      </c>
      <c r="B594" s="1">
        <v>43891</v>
      </c>
      <c r="C594" s="1">
        <v>55153</v>
      </c>
      <c r="D594" s="4" t="s">
        <v>1392</v>
      </c>
      <c r="E594" s="32" t="s">
        <v>1393</v>
      </c>
      <c r="F594" s="32">
        <v>31053551</v>
      </c>
      <c r="G594" t="s">
        <v>10</v>
      </c>
      <c r="H594" t="s">
        <v>11</v>
      </c>
      <c r="I594" t="s">
        <v>29</v>
      </c>
      <c r="J594" s="30" t="str">
        <f>IF(ISNUMBER(MATCH($D594,'Lopettaneet 2013-&gt;'!$D:$D,0)),INDEX('Lopettaneet 2013-&gt;'!$K:$K,MATCH($D594,'Lopettaneet 2013-&gt;'!$D:$D,0)),"Continues")</f>
        <v>Continues</v>
      </c>
      <c r="K594" s="30">
        <f ca="1">IF($J594="Continues",DATEDIF($B594,TODAY(),"Y"),INDEX('Lopettaneet 2013-&gt;'!$L:$L,MATCH($D594,'Lopettaneet 2013-&gt;'!$D:$D,0)))</f>
        <v>5</v>
      </c>
      <c r="L594" s="31" t="str">
        <f>IFERROR(INDEX('[1]30.06.2024'!$H:$H,MATCH($E594,'[1]30.06.2024'!$B:$B,0)),"Not found")</f>
        <v>S-Pankki Rahastoyhtiö Oy</v>
      </c>
      <c r="M594" s="31" t="str">
        <f>IFERROR(INDEX([2]Sheet1!$B:$B,MATCH($D594,[2]Sheet1!$A:$A,0)),"Not found")</f>
        <v>Non-Retail</v>
      </c>
      <c r="N594">
        <f t="shared" si="18"/>
        <v>0</v>
      </c>
      <c r="O594">
        <f t="shared" si="19"/>
        <v>1</v>
      </c>
    </row>
    <row r="595" spans="1:15" x14ac:dyDescent="0.25">
      <c r="A595" t="s">
        <v>0</v>
      </c>
      <c r="B595" s="1">
        <v>43101</v>
      </c>
      <c r="C595" s="1">
        <v>55153</v>
      </c>
      <c r="D595" s="4" t="s">
        <v>1394</v>
      </c>
      <c r="E595" s="32" t="s">
        <v>1395</v>
      </c>
      <c r="F595" s="32">
        <v>28773152</v>
      </c>
      <c r="G595" t="s">
        <v>3</v>
      </c>
      <c r="H595" t="s">
        <v>4</v>
      </c>
      <c r="I595" t="s">
        <v>50</v>
      </c>
      <c r="J595" s="30" t="str">
        <f>IF(ISNUMBER(MATCH($D595,'Lopettaneet 2013-&gt;'!$D:$D,0)),INDEX('Lopettaneet 2013-&gt;'!$K:$K,MATCH($D595,'Lopettaneet 2013-&gt;'!$D:$D,0)),"Continues")</f>
        <v>Continues</v>
      </c>
      <c r="K595" s="30">
        <f ca="1">IF($J595="Continues",DATEDIF($B595,TODAY(),"Y"),INDEX('Lopettaneet 2013-&gt;'!$L:$L,MATCH($D595,'Lopettaneet 2013-&gt;'!$D:$D,0)))</f>
        <v>7</v>
      </c>
      <c r="L595" s="31" t="str">
        <f>IFERROR(INDEX('[1]30.06.2024'!$H:$H,MATCH($E595,'[1]30.06.2024'!$B:$B,0)),"Not found")</f>
        <v>Not found</v>
      </c>
      <c r="M595" s="31" t="str">
        <f>IFERROR(INDEX([2]Sheet1!$B:$B,MATCH($D595,[2]Sheet1!$A:$A,0)),"Not found")</f>
        <v>Retail</v>
      </c>
      <c r="N595">
        <f t="shared" si="18"/>
        <v>1</v>
      </c>
      <c r="O595">
        <f t="shared" si="19"/>
        <v>0</v>
      </c>
    </row>
    <row r="596" spans="1:15" x14ac:dyDescent="0.25">
      <c r="A596" t="s">
        <v>0</v>
      </c>
      <c r="B596" s="1">
        <v>43101</v>
      </c>
      <c r="C596" s="1">
        <v>55153</v>
      </c>
      <c r="D596" s="4" t="s">
        <v>1396</v>
      </c>
      <c r="E596" s="32" t="s">
        <v>1397</v>
      </c>
      <c r="F596" s="32">
        <v>28773144</v>
      </c>
      <c r="G596" t="s">
        <v>3</v>
      </c>
      <c r="H596" t="s">
        <v>4</v>
      </c>
      <c r="I596" t="s">
        <v>5</v>
      </c>
      <c r="J596" s="30" t="str">
        <f>IF(ISNUMBER(MATCH($D596,'Lopettaneet 2013-&gt;'!$D:$D,0)),INDEX('Lopettaneet 2013-&gt;'!$K:$K,MATCH($D596,'Lopettaneet 2013-&gt;'!$D:$D,0)),"Continues")</f>
        <v>Continues</v>
      </c>
      <c r="K596" s="30">
        <f ca="1">IF($J596="Continues",DATEDIF($B596,TODAY(),"Y"),INDEX('Lopettaneet 2013-&gt;'!$L:$L,MATCH($D596,'Lopettaneet 2013-&gt;'!$D:$D,0)))</f>
        <v>7</v>
      </c>
      <c r="L596" s="31" t="str">
        <f>IFERROR(INDEX('[1]30.06.2024'!$H:$H,MATCH($E596,'[1]30.06.2024'!$B:$B,0)),"Not found")</f>
        <v>Not found</v>
      </c>
      <c r="M596" s="31" t="str">
        <f>IFERROR(INDEX([2]Sheet1!$B:$B,MATCH($D596,[2]Sheet1!$A:$A,0)),"Not found")</f>
        <v>Retail</v>
      </c>
      <c r="N596">
        <f t="shared" si="18"/>
        <v>1</v>
      </c>
      <c r="O596">
        <f t="shared" si="19"/>
        <v>0</v>
      </c>
    </row>
    <row r="597" spans="1:15" x14ac:dyDescent="0.25">
      <c r="A597" t="s">
        <v>0</v>
      </c>
      <c r="B597" s="1">
        <v>43101</v>
      </c>
      <c r="C597" s="1">
        <v>55153</v>
      </c>
      <c r="D597" s="4" t="s">
        <v>1398</v>
      </c>
      <c r="E597" s="32" t="s">
        <v>1399</v>
      </c>
      <c r="F597" s="32">
        <v>28773179</v>
      </c>
      <c r="G597" t="s">
        <v>3</v>
      </c>
      <c r="H597" t="s">
        <v>4</v>
      </c>
      <c r="I597" t="s">
        <v>20</v>
      </c>
      <c r="J597" s="30" t="str">
        <f>IF(ISNUMBER(MATCH($D597,'Lopettaneet 2013-&gt;'!$D:$D,0)),INDEX('Lopettaneet 2013-&gt;'!$K:$K,MATCH($D597,'Lopettaneet 2013-&gt;'!$D:$D,0)),"Continues")</f>
        <v>Continues</v>
      </c>
      <c r="K597" s="30">
        <f ca="1">IF($J597="Continues",DATEDIF($B597,TODAY(),"Y"),INDEX('Lopettaneet 2013-&gt;'!$L:$L,MATCH($D597,'Lopettaneet 2013-&gt;'!$D:$D,0)))</f>
        <v>7</v>
      </c>
      <c r="L597" s="31" t="str">
        <f>IFERROR(INDEX('[1]30.06.2024'!$H:$H,MATCH($E597,'[1]30.06.2024'!$B:$B,0)),"Not found")</f>
        <v>Not found</v>
      </c>
      <c r="M597" s="31" t="str">
        <f>IFERROR(INDEX([2]Sheet1!$B:$B,MATCH($D597,[2]Sheet1!$A:$A,0)),"Not found")</f>
        <v>Retail</v>
      </c>
      <c r="N597">
        <f t="shared" si="18"/>
        <v>1</v>
      </c>
      <c r="O597">
        <f t="shared" si="19"/>
        <v>0</v>
      </c>
    </row>
    <row r="598" spans="1:15" x14ac:dyDescent="0.25">
      <c r="A598" t="s">
        <v>7</v>
      </c>
      <c r="B598" s="1">
        <v>43160</v>
      </c>
      <c r="C598" s="1">
        <v>43830</v>
      </c>
      <c r="D598" s="4" t="s">
        <v>1400</v>
      </c>
      <c r="E598" s="32" t="s">
        <v>1401</v>
      </c>
      <c r="F598" s="32">
        <v>28571841</v>
      </c>
      <c r="G598" t="s">
        <v>10</v>
      </c>
      <c r="H598" t="s">
        <v>11</v>
      </c>
      <c r="I598" t="s">
        <v>32</v>
      </c>
      <c r="J598" s="30" t="str">
        <f>IF(ISNUMBER(MATCH($D598,'Lopettaneet 2013-&gt;'!$D:$D,0)),INDEX('Lopettaneet 2013-&gt;'!$K:$K,MATCH($D598,'Lopettaneet 2013-&gt;'!$D:$D,0)),"Continues")</f>
        <v>Closed</v>
      </c>
      <c r="K598" s="30">
        <f ca="1">IF($J598="Continues",DATEDIF($B598,TODAY(),"Y"),INDEX('Lopettaneet 2013-&gt;'!$L:$L,MATCH($D598,'Lopettaneet 2013-&gt;'!$D:$D,0)))</f>
        <v>1</v>
      </c>
      <c r="L598" s="31" t="str">
        <f>IFERROR(INDEX('[1]30.06.2024'!$H:$H,MATCH($E598,'[1]30.06.2024'!$B:$B,0)),"Not found")</f>
        <v>Not found</v>
      </c>
      <c r="M598" s="31" t="str">
        <f>IFERROR(INDEX([2]Sheet1!$B:$B,MATCH($D598,[2]Sheet1!$A:$A,0)),"Not found")</f>
        <v>Not found</v>
      </c>
      <c r="N598">
        <f t="shared" si="18"/>
        <v>0</v>
      </c>
      <c r="O598">
        <f t="shared" si="19"/>
        <v>0</v>
      </c>
    </row>
    <row r="599" spans="1:15" x14ac:dyDescent="0.25">
      <c r="A599" t="s">
        <v>7</v>
      </c>
      <c r="B599" s="1">
        <v>43160</v>
      </c>
      <c r="C599" s="1">
        <v>43830</v>
      </c>
      <c r="D599" s="4" t="s">
        <v>1402</v>
      </c>
      <c r="E599" s="32" t="s">
        <v>1403</v>
      </c>
      <c r="F599" s="32">
        <v>28519779</v>
      </c>
      <c r="G599" t="s">
        <v>10</v>
      </c>
      <c r="H599" t="s">
        <v>11</v>
      </c>
      <c r="I599" t="s">
        <v>32</v>
      </c>
      <c r="J599" s="30" t="str">
        <f>IF(ISNUMBER(MATCH($D599,'Lopettaneet 2013-&gt;'!$D:$D,0)),INDEX('Lopettaneet 2013-&gt;'!$K:$K,MATCH($D599,'Lopettaneet 2013-&gt;'!$D:$D,0)),"Continues")</f>
        <v>Closed</v>
      </c>
      <c r="K599" s="30">
        <f ca="1">IF($J599="Continues",DATEDIF($B599,TODAY(),"Y"),INDEX('Lopettaneet 2013-&gt;'!$L:$L,MATCH($D599,'Lopettaneet 2013-&gt;'!$D:$D,0)))</f>
        <v>1</v>
      </c>
      <c r="L599" s="31" t="str">
        <f>IFERROR(INDEX('[1]30.06.2024'!$H:$H,MATCH($E599,'[1]30.06.2024'!$B:$B,0)),"Not found")</f>
        <v>Not found</v>
      </c>
      <c r="M599" s="31" t="str">
        <f>IFERROR(INDEX([2]Sheet1!$B:$B,MATCH($D599,[2]Sheet1!$A:$A,0)),"Not found")</f>
        <v>Not found</v>
      </c>
      <c r="N599">
        <f t="shared" si="18"/>
        <v>0</v>
      </c>
      <c r="O599">
        <f t="shared" si="19"/>
        <v>0</v>
      </c>
    </row>
    <row r="600" spans="1:15" x14ac:dyDescent="0.25">
      <c r="A600" t="s">
        <v>7</v>
      </c>
      <c r="B600" s="1">
        <v>43160</v>
      </c>
      <c r="C600" s="1">
        <v>55153</v>
      </c>
      <c r="D600" s="4" t="s">
        <v>1404</v>
      </c>
      <c r="E600" s="32" t="s">
        <v>1405</v>
      </c>
      <c r="F600" s="32">
        <v>28820641</v>
      </c>
      <c r="G600" t="s">
        <v>10</v>
      </c>
      <c r="H600" t="s">
        <v>11</v>
      </c>
      <c r="I600" t="s">
        <v>32</v>
      </c>
      <c r="J600" s="30" t="str">
        <f>IF(ISNUMBER(MATCH($D600,'Lopettaneet 2013-&gt;'!$D:$D,0)),INDEX('Lopettaneet 2013-&gt;'!$K:$K,MATCH($D600,'Lopettaneet 2013-&gt;'!$D:$D,0)),"Continues")</f>
        <v>Continues</v>
      </c>
      <c r="K600" s="30">
        <f ca="1">IF($J600="Continues",DATEDIF($B600,TODAY(),"Y"),INDEX('Lopettaneet 2013-&gt;'!$L:$L,MATCH($D600,'Lopettaneet 2013-&gt;'!$D:$D,0)))</f>
        <v>7</v>
      </c>
      <c r="L600" s="31" t="str">
        <f>IFERROR(INDEX('[1]30.06.2024'!$H:$H,MATCH($E600,'[1]30.06.2024'!$B:$B,0)),"Not found")</f>
        <v>Evli-Rahastoyhtiö Oy</v>
      </c>
      <c r="M600" s="31" t="str">
        <f>IFERROR(INDEX([2]Sheet1!$B:$B,MATCH($D600,[2]Sheet1!$A:$A,0)),"Not found")</f>
        <v>Retail</v>
      </c>
      <c r="N600">
        <f t="shared" si="18"/>
        <v>1</v>
      </c>
      <c r="O600">
        <f t="shared" si="19"/>
        <v>0</v>
      </c>
    </row>
    <row r="601" spans="1:15" x14ac:dyDescent="0.25">
      <c r="A601" t="s">
        <v>7</v>
      </c>
      <c r="B601" s="1">
        <v>43160</v>
      </c>
      <c r="C601" s="1">
        <v>55153</v>
      </c>
      <c r="D601" s="4" t="s">
        <v>1406</v>
      </c>
      <c r="E601" s="32" t="s">
        <v>1407</v>
      </c>
      <c r="F601" s="32">
        <v>28820692</v>
      </c>
      <c r="G601" t="s">
        <v>10</v>
      </c>
      <c r="H601" t="s">
        <v>11</v>
      </c>
      <c r="I601" t="s">
        <v>32</v>
      </c>
      <c r="J601" s="30" t="str">
        <f>IF(ISNUMBER(MATCH($D601,'Lopettaneet 2013-&gt;'!$D:$D,0)),INDEX('Lopettaneet 2013-&gt;'!$K:$K,MATCH($D601,'Lopettaneet 2013-&gt;'!$D:$D,0)),"Continues")</f>
        <v>Continues</v>
      </c>
      <c r="K601" s="30">
        <f ca="1">IF($J601="Continues",DATEDIF($B601,TODAY(),"Y"),INDEX('Lopettaneet 2013-&gt;'!$L:$L,MATCH($D601,'Lopettaneet 2013-&gt;'!$D:$D,0)))</f>
        <v>7</v>
      </c>
      <c r="L601" s="31" t="str">
        <f>IFERROR(INDEX('[1]30.06.2024'!$H:$H,MATCH($E601,'[1]30.06.2024'!$B:$B,0)),"Not found")</f>
        <v>Evli-Rahastoyhtiö Oy</v>
      </c>
      <c r="M601" s="31" t="str">
        <f>IFERROR(INDEX([2]Sheet1!$B:$B,MATCH($D601,[2]Sheet1!$A:$A,0)),"Not found")</f>
        <v>Retail</v>
      </c>
      <c r="N601">
        <f t="shared" si="18"/>
        <v>1</v>
      </c>
      <c r="O601">
        <f t="shared" si="19"/>
        <v>0</v>
      </c>
    </row>
    <row r="602" spans="1:15" x14ac:dyDescent="0.25">
      <c r="A602" t="s">
        <v>0</v>
      </c>
      <c r="B602" s="1">
        <v>43160</v>
      </c>
      <c r="C602" s="1">
        <v>55153</v>
      </c>
      <c r="D602" s="4" t="s">
        <v>1408</v>
      </c>
      <c r="E602" s="32" t="s">
        <v>1409</v>
      </c>
      <c r="F602" s="32">
        <v>28843376</v>
      </c>
      <c r="G602" t="s">
        <v>10</v>
      </c>
      <c r="H602" t="s">
        <v>11</v>
      </c>
      <c r="I602" t="s">
        <v>32</v>
      </c>
      <c r="J602" s="30" t="str">
        <f>IF(ISNUMBER(MATCH($D602,'Lopettaneet 2013-&gt;'!$D:$D,0)),INDEX('Lopettaneet 2013-&gt;'!$K:$K,MATCH($D602,'Lopettaneet 2013-&gt;'!$D:$D,0)),"Continues")</f>
        <v>Continues</v>
      </c>
      <c r="K602" s="30">
        <f ca="1">IF($J602="Continues",DATEDIF($B602,TODAY(),"Y"),INDEX('Lopettaneet 2013-&gt;'!$L:$L,MATCH($D602,'Lopettaneet 2013-&gt;'!$D:$D,0)))</f>
        <v>7</v>
      </c>
      <c r="L602" s="31" t="str">
        <f>IFERROR(INDEX('[1]30.06.2024'!$H:$H,MATCH($E602,'[1]30.06.2024'!$B:$B,0)),"Not found")</f>
        <v>Evli-Rahastoyhtiö Oy</v>
      </c>
      <c r="M602" s="31" t="str">
        <f>IFERROR(INDEX([2]Sheet1!$B:$B,MATCH($D602,[2]Sheet1!$A:$A,0)),"Not found")</f>
        <v>Non-Retail</v>
      </c>
      <c r="N602">
        <f t="shared" si="18"/>
        <v>0</v>
      </c>
      <c r="O602">
        <f t="shared" si="19"/>
        <v>1</v>
      </c>
    </row>
    <row r="603" spans="1:15" x14ac:dyDescent="0.25">
      <c r="A603" t="s">
        <v>0</v>
      </c>
      <c r="B603" s="1">
        <v>43221</v>
      </c>
      <c r="C603" s="1">
        <v>55153</v>
      </c>
      <c r="D603" s="4" t="s">
        <v>1410</v>
      </c>
      <c r="E603" s="32" t="s">
        <v>1411</v>
      </c>
      <c r="F603" s="32">
        <v>28904984</v>
      </c>
      <c r="G603" t="s">
        <v>10</v>
      </c>
      <c r="H603" t="s">
        <v>4</v>
      </c>
      <c r="I603" t="s">
        <v>47</v>
      </c>
      <c r="J603" s="30" t="str">
        <f>IF(ISNUMBER(MATCH($D603,'Lopettaneet 2013-&gt;'!$D:$D,0)),INDEX('Lopettaneet 2013-&gt;'!$K:$K,MATCH($D603,'Lopettaneet 2013-&gt;'!$D:$D,0)),"Continues")</f>
        <v>Continues</v>
      </c>
      <c r="K603" s="30">
        <f ca="1">IF($J603="Continues",DATEDIF($B603,TODAY(),"Y"),INDEX('Lopettaneet 2013-&gt;'!$L:$L,MATCH($D603,'Lopettaneet 2013-&gt;'!$D:$D,0)))</f>
        <v>7</v>
      </c>
      <c r="L603" s="31" t="str">
        <f>IFERROR(INDEX('[1]30.06.2024'!$H:$H,MATCH($E603,'[1]30.06.2024'!$B:$B,0)),"Not found")</f>
        <v>OP-Rahastoyhtiö Oy</v>
      </c>
      <c r="M603" s="31" t="str">
        <f>IFERROR(INDEX([2]Sheet1!$B:$B,MATCH($D603,[2]Sheet1!$A:$A,0)),"Not found")</f>
        <v>Retail</v>
      </c>
      <c r="N603">
        <f t="shared" si="18"/>
        <v>1</v>
      </c>
      <c r="O603">
        <f t="shared" si="19"/>
        <v>0</v>
      </c>
    </row>
    <row r="604" spans="1:15" x14ac:dyDescent="0.25">
      <c r="A604" t="s">
        <v>7</v>
      </c>
      <c r="B604" s="1">
        <v>43891</v>
      </c>
      <c r="C604" s="1">
        <v>55153</v>
      </c>
      <c r="D604" s="4" t="s">
        <v>1412</v>
      </c>
      <c r="E604" s="32" t="s">
        <v>1413</v>
      </c>
      <c r="F604" s="32">
        <v>30117074</v>
      </c>
      <c r="G604" t="s">
        <v>10</v>
      </c>
      <c r="H604" t="s">
        <v>11</v>
      </c>
      <c r="I604" t="s">
        <v>80</v>
      </c>
      <c r="J604" s="30" t="str">
        <f>IF(ISNUMBER(MATCH($D604,'Lopettaneet 2013-&gt;'!$D:$D,0)),INDEX('Lopettaneet 2013-&gt;'!$K:$K,MATCH($D604,'Lopettaneet 2013-&gt;'!$D:$D,0)),"Continues")</f>
        <v>Continues</v>
      </c>
      <c r="K604" s="30">
        <f ca="1">IF($J604="Continues",DATEDIF($B604,TODAY(),"Y"),INDEX('Lopettaneet 2013-&gt;'!$L:$L,MATCH($D604,'Lopettaneet 2013-&gt;'!$D:$D,0)))</f>
        <v>5</v>
      </c>
      <c r="L604" s="31" t="str">
        <f>IFERROR(INDEX('[1]30.06.2024'!$H:$H,MATCH($E604,'[1]30.06.2024'!$B:$B,0)),"Not found")</f>
        <v>EduImpact Venture Capital Oy</v>
      </c>
      <c r="M604" s="31" t="str">
        <f>IFERROR(INDEX([2]Sheet1!$B:$B,MATCH($D604,[2]Sheet1!$A:$A,0)),"Not found")</f>
        <v>Non-Retail</v>
      </c>
      <c r="N604">
        <f t="shared" si="18"/>
        <v>0</v>
      </c>
      <c r="O604">
        <f t="shared" si="19"/>
        <v>1</v>
      </c>
    </row>
    <row r="605" spans="1:15" x14ac:dyDescent="0.25">
      <c r="A605" t="s">
        <v>0</v>
      </c>
      <c r="B605" s="1">
        <v>43221</v>
      </c>
      <c r="C605" s="1">
        <v>55153</v>
      </c>
      <c r="D605" s="4" t="s">
        <v>1414</v>
      </c>
      <c r="E605" s="32" t="s">
        <v>1415</v>
      </c>
      <c r="F605" s="32">
        <v>28899679</v>
      </c>
      <c r="G605" t="s">
        <v>10</v>
      </c>
      <c r="H605" t="s">
        <v>11</v>
      </c>
      <c r="I605" t="s">
        <v>20</v>
      </c>
      <c r="J605" s="30" t="str">
        <f>IF(ISNUMBER(MATCH($D605,'Lopettaneet 2013-&gt;'!$D:$D,0)),INDEX('Lopettaneet 2013-&gt;'!$K:$K,MATCH($D605,'Lopettaneet 2013-&gt;'!$D:$D,0)),"Continues")</f>
        <v>Continues</v>
      </c>
      <c r="K605" s="30">
        <f ca="1">IF($J605="Continues",DATEDIF($B605,TODAY(),"Y"),INDEX('Lopettaneet 2013-&gt;'!$L:$L,MATCH($D605,'Lopettaneet 2013-&gt;'!$D:$D,0)))</f>
        <v>7</v>
      </c>
      <c r="L605" s="31" t="str">
        <f>IFERROR(INDEX('[1]30.06.2024'!$H:$H,MATCH($E605,'[1]30.06.2024'!$B:$B,0)),"Not found")</f>
        <v>eQ Rahastoyhtiö Oy</v>
      </c>
      <c r="M605" s="31" t="str">
        <f>IFERROR(INDEX([2]Sheet1!$B:$B,MATCH($D605,[2]Sheet1!$A:$A,0)),"Not found")</f>
        <v>Non-Retail</v>
      </c>
      <c r="N605">
        <f t="shared" si="18"/>
        <v>0</v>
      </c>
      <c r="O605">
        <f t="shared" si="19"/>
        <v>1</v>
      </c>
    </row>
    <row r="606" spans="1:15" x14ac:dyDescent="0.25">
      <c r="A606" t="s">
        <v>7</v>
      </c>
      <c r="B606" s="1">
        <v>43160</v>
      </c>
      <c r="C606" s="1">
        <v>55153</v>
      </c>
      <c r="D606" s="4" t="s">
        <v>1416</v>
      </c>
      <c r="E606" s="32" t="s">
        <v>1417</v>
      </c>
      <c r="F606" s="32">
        <v>28888021</v>
      </c>
      <c r="G606" t="s">
        <v>10</v>
      </c>
      <c r="H606" t="s">
        <v>11</v>
      </c>
      <c r="I606" t="s">
        <v>80</v>
      </c>
      <c r="J606" s="30" t="str">
        <f>IF(ISNUMBER(MATCH($D606,'Lopettaneet 2013-&gt;'!$D:$D,0)),INDEX('Lopettaneet 2013-&gt;'!$K:$K,MATCH($D606,'Lopettaneet 2013-&gt;'!$D:$D,0)),"Continues")</f>
        <v>Continues</v>
      </c>
      <c r="K606" s="30">
        <f ca="1">IF($J606="Continues",DATEDIF($B606,TODAY(),"Y"),INDEX('Lopettaneet 2013-&gt;'!$L:$L,MATCH($D606,'Lopettaneet 2013-&gt;'!$D:$D,0)))</f>
        <v>7</v>
      </c>
      <c r="L606" s="31" t="str">
        <f>IFERROR(INDEX('[1]30.06.2024'!$H:$H,MATCH($E606,'[1]30.06.2024'!$B:$B,0)),"Not found")</f>
        <v>Certior Capital Oy</v>
      </c>
      <c r="M606" s="31" t="str">
        <f>IFERROR(INDEX([2]Sheet1!$B:$B,MATCH($D606,[2]Sheet1!$A:$A,0)),"Not found")</f>
        <v>Non-Retail</v>
      </c>
      <c r="N606">
        <f t="shared" si="18"/>
        <v>0</v>
      </c>
      <c r="O606">
        <f t="shared" si="19"/>
        <v>1</v>
      </c>
    </row>
    <row r="607" spans="1:15" x14ac:dyDescent="0.25">
      <c r="A607" t="s">
        <v>0</v>
      </c>
      <c r="B607" s="1">
        <v>43191</v>
      </c>
      <c r="C607" s="1">
        <v>55153</v>
      </c>
      <c r="D607" s="4" t="s">
        <v>1418</v>
      </c>
      <c r="E607" s="32" t="s">
        <v>1419</v>
      </c>
      <c r="F607" s="32">
        <v>28924192</v>
      </c>
      <c r="G607" t="s">
        <v>10</v>
      </c>
      <c r="H607" t="s">
        <v>4</v>
      </c>
      <c r="I607" t="s">
        <v>32</v>
      </c>
      <c r="J607" s="30" t="str">
        <f>IF(ISNUMBER(MATCH($D607,'Lopettaneet 2013-&gt;'!$D:$D,0)),INDEX('Lopettaneet 2013-&gt;'!$K:$K,MATCH($D607,'Lopettaneet 2013-&gt;'!$D:$D,0)),"Continues")</f>
        <v>Continues</v>
      </c>
      <c r="K607" s="30">
        <f ca="1">IF($J607="Continues",DATEDIF($B607,TODAY(),"Y"),INDEX('Lopettaneet 2013-&gt;'!$L:$L,MATCH($D607,'Lopettaneet 2013-&gt;'!$D:$D,0)))</f>
        <v>7</v>
      </c>
      <c r="L607" s="31" t="str">
        <f>IFERROR(INDEX('[1]30.06.2024'!$H:$H,MATCH($E607,'[1]30.06.2024'!$B:$B,0)),"Not found")</f>
        <v>Evli-Rahastoyhtiö Oy</v>
      </c>
      <c r="M607" s="31" t="str">
        <f>IFERROR(INDEX([2]Sheet1!$B:$B,MATCH($D607,[2]Sheet1!$A:$A,0)),"Not found")</f>
        <v>Retail</v>
      </c>
      <c r="N607">
        <f t="shared" si="18"/>
        <v>1</v>
      </c>
      <c r="O607">
        <f t="shared" si="19"/>
        <v>0</v>
      </c>
    </row>
    <row r="608" spans="1:15" x14ac:dyDescent="0.25">
      <c r="A608" t="s">
        <v>7</v>
      </c>
      <c r="B608" s="1">
        <v>43160</v>
      </c>
      <c r="C608" s="1">
        <v>55153</v>
      </c>
      <c r="D608" s="4" t="s">
        <v>1420</v>
      </c>
      <c r="E608" s="32" t="s">
        <v>1421</v>
      </c>
      <c r="F608" s="32">
        <v>28870139</v>
      </c>
      <c r="G608" t="s">
        <v>10</v>
      </c>
      <c r="H608" t="s">
        <v>11</v>
      </c>
      <c r="I608" t="s">
        <v>32</v>
      </c>
      <c r="J608" s="30" t="str">
        <f>IF(ISNUMBER(MATCH($D608,'Lopettaneet 2013-&gt;'!$D:$D,0)),INDEX('Lopettaneet 2013-&gt;'!$K:$K,MATCH($D608,'Lopettaneet 2013-&gt;'!$D:$D,0)),"Continues")</f>
        <v>Continues</v>
      </c>
      <c r="K608" s="30">
        <f ca="1">IF($J608="Continues",DATEDIF($B608,TODAY(),"Y"),INDEX('Lopettaneet 2013-&gt;'!$L:$L,MATCH($D608,'Lopettaneet 2013-&gt;'!$D:$D,0)))</f>
        <v>7</v>
      </c>
      <c r="L608" s="31" t="str">
        <f>IFERROR(INDEX('[1]30.06.2024'!$H:$H,MATCH($E608,'[1]30.06.2024'!$B:$B,0)),"Not found")</f>
        <v>Evli-Rahastoyhtiö Oy</v>
      </c>
      <c r="M608" s="31" t="str">
        <f>IFERROR(INDEX([2]Sheet1!$B:$B,MATCH($D608,[2]Sheet1!$A:$A,0)),"Not found")</f>
        <v>Retail</v>
      </c>
      <c r="N608">
        <f t="shared" si="18"/>
        <v>1</v>
      </c>
      <c r="O608">
        <f t="shared" si="19"/>
        <v>0</v>
      </c>
    </row>
    <row r="609" spans="1:15" x14ac:dyDescent="0.25">
      <c r="A609" t="s">
        <v>7</v>
      </c>
      <c r="B609" s="1">
        <v>43252</v>
      </c>
      <c r="C609" s="1">
        <v>55153</v>
      </c>
      <c r="D609" s="4" t="s">
        <v>1422</v>
      </c>
      <c r="E609" s="32" t="s">
        <v>1423</v>
      </c>
      <c r="F609" s="32">
        <v>29131645</v>
      </c>
      <c r="G609" t="s">
        <v>10</v>
      </c>
      <c r="H609" t="s">
        <v>11</v>
      </c>
      <c r="I609" t="s">
        <v>29</v>
      </c>
      <c r="J609" s="30" t="str">
        <f>IF(ISNUMBER(MATCH($D609,'Lopettaneet 2013-&gt;'!$D:$D,0)),INDEX('Lopettaneet 2013-&gt;'!$K:$K,MATCH($D609,'Lopettaneet 2013-&gt;'!$D:$D,0)),"Continues")</f>
        <v>Continues</v>
      </c>
      <c r="K609" s="30">
        <f ca="1">IF($J609="Continues",DATEDIF($B609,TODAY(),"Y"),INDEX('Lopettaneet 2013-&gt;'!$L:$L,MATCH($D609,'Lopettaneet 2013-&gt;'!$D:$D,0)))</f>
        <v>6</v>
      </c>
      <c r="L609" s="31" t="str">
        <f>IFERROR(INDEX('[1]30.06.2024'!$H:$H,MATCH($E609,'[1]30.06.2024'!$B:$B,0)),"Not found")</f>
        <v>FundSi Oy</v>
      </c>
      <c r="M609" s="31" t="str">
        <f>IFERROR(INDEX([2]Sheet1!$B:$B,MATCH($D609,[2]Sheet1!$A:$A,0)),"Not found")</f>
        <v>Non-Retail</v>
      </c>
      <c r="N609">
        <f t="shared" si="18"/>
        <v>0</v>
      </c>
      <c r="O609">
        <f t="shared" si="19"/>
        <v>1</v>
      </c>
    </row>
    <row r="610" spans="1:15" x14ac:dyDescent="0.25">
      <c r="A610" t="s">
        <v>0</v>
      </c>
      <c r="B610" s="1">
        <v>43160</v>
      </c>
      <c r="C610" s="1">
        <v>43921</v>
      </c>
      <c r="D610" s="4" t="s">
        <v>1424</v>
      </c>
      <c r="E610" s="32" t="s">
        <v>1425</v>
      </c>
      <c r="F610" s="32">
        <v>29024508</v>
      </c>
      <c r="G610" t="s">
        <v>10</v>
      </c>
      <c r="H610" t="s">
        <v>4</v>
      </c>
      <c r="I610" t="s">
        <v>20</v>
      </c>
      <c r="J610" s="30" t="str">
        <f>IF(ISNUMBER(MATCH($D610,'Lopettaneet 2013-&gt;'!$D:$D,0)),INDEX('Lopettaneet 2013-&gt;'!$K:$K,MATCH($D610,'Lopettaneet 2013-&gt;'!$D:$D,0)),"Continues")</f>
        <v>Closed</v>
      </c>
      <c r="K610" s="30">
        <f ca="1">IF($J610="Continues",DATEDIF($B610,TODAY(),"Y"),INDEX('Lopettaneet 2013-&gt;'!$L:$L,MATCH($D610,'Lopettaneet 2013-&gt;'!$D:$D,0)))</f>
        <v>2</v>
      </c>
      <c r="L610" s="31" t="str">
        <f>IFERROR(INDEX('[1]30.06.2024'!$H:$H,MATCH($E610,'[1]30.06.2024'!$B:$B,0)),"Not found")</f>
        <v>Not found</v>
      </c>
      <c r="M610" s="31" t="str">
        <f>IFERROR(INDEX([2]Sheet1!$B:$B,MATCH($D610,[2]Sheet1!$A:$A,0)),"Not found")</f>
        <v>Not found</v>
      </c>
      <c r="N610">
        <f t="shared" si="18"/>
        <v>0</v>
      </c>
      <c r="O610">
        <f t="shared" si="19"/>
        <v>0</v>
      </c>
    </row>
    <row r="611" spans="1:15" x14ac:dyDescent="0.25">
      <c r="A611" t="s">
        <v>7</v>
      </c>
      <c r="B611" s="1">
        <v>43344</v>
      </c>
      <c r="C611" s="1">
        <v>55153</v>
      </c>
      <c r="D611" s="4" t="s">
        <v>1426</v>
      </c>
      <c r="E611" s="32" t="s">
        <v>1427</v>
      </c>
      <c r="F611" s="32">
        <v>29026837</v>
      </c>
      <c r="G611" t="s">
        <v>10</v>
      </c>
      <c r="H611" t="s">
        <v>11</v>
      </c>
      <c r="I611" t="s">
        <v>80</v>
      </c>
      <c r="J611" s="30" t="str">
        <f>IF(ISNUMBER(MATCH($D611,'Lopettaneet 2013-&gt;'!$D:$D,0)),INDEX('Lopettaneet 2013-&gt;'!$K:$K,MATCH($D611,'Lopettaneet 2013-&gt;'!$D:$D,0)),"Continues")</f>
        <v>Continues</v>
      </c>
      <c r="K611" s="30">
        <f ca="1">IF($J611="Continues",DATEDIF($B611,TODAY(),"Y"),INDEX('Lopettaneet 2013-&gt;'!$L:$L,MATCH($D611,'Lopettaneet 2013-&gt;'!$D:$D,0)))</f>
        <v>6</v>
      </c>
      <c r="L611" s="31" t="str">
        <f>IFERROR(INDEX('[1]30.06.2024'!$H:$H,MATCH($E611,'[1]30.06.2024'!$B:$B,0)),"Not found")</f>
        <v>Open Ocean Partners Oy</v>
      </c>
      <c r="M611" s="31" t="str">
        <f>IFERROR(INDEX([2]Sheet1!$B:$B,MATCH($D611,[2]Sheet1!$A:$A,0)),"Not found")</f>
        <v>Non-Retail</v>
      </c>
      <c r="N611">
        <f t="shared" si="18"/>
        <v>0</v>
      </c>
      <c r="O611">
        <f t="shared" si="19"/>
        <v>1</v>
      </c>
    </row>
    <row r="612" spans="1:15" x14ac:dyDescent="0.25">
      <c r="A612" t="s">
        <v>0</v>
      </c>
      <c r="B612" s="1">
        <v>43191</v>
      </c>
      <c r="C612" s="1">
        <v>43404</v>
      </c>
      <c r="D612" s="4" t="s">
        <v>1428</v>
      </c>
      <c r="E612" s="32" t="s">
        <v>1429</v>
      </c>
      <c r="F612" s="32">
        <v>29012929</v>
      </c>
      <c r="G612" t="s">
        <v>10</v>
      </c>
      <c r="H612" t="s">
        <v>11</v>
      </c>
      <c r="I612" t="s">
        <v>47</v>
      </c>
      <c r="J612" s="30" t="str">
        <f>IF(ISNUMBER(MATCH($D612,'Lopettaneet 2013-&gt;'!$D:$D,0)),INDEX('Lopettaneet 2013-&gt;'!$K:$K,MATCH($D612,'Lopettaneet 2013-&gt;'!$D:$D,0)),"Continues")</f>
        <v>Closed</v>
      </c>
      <c r="K612" s="30">
        <f ca="1">IF($J612="Continues",DATEDIF($B612,TODAY(),"Y"),INDEX('Lopettaneet 2013-&gt;'!$L:$L,MATCH($D612,'Lopettaneet 2013-&gt;'!$D:$D,0)))</f>
        <v>0</v>
      </c>
      <c r="L612" s="31" t="str">
        <f>IFERROR(INDEX('[1]30.06.2024'!$H:$H,MATCH($E612,'[1]30.06.2024'!$B:$B,0)),"Not found")</f>
        <v>Not found</v>
      </c>
      <c r="M612" s="31" t="str">
        <f>IFERROR(INDEX([2]Sheet1!$B:$B,MATCH($D612,[2]Sheet1!$A:$A,0)),"Not found")</f>
        <v>Not found</v>
      </c>
      <c r="N612">
        <f t="shared" si="18"/>
        <v>0</v>
      </c>
      <c r="O612">
        <f t="shared" si="19"/>
        <v>0</v>
      </c>
    </row>
    <row r="613" spans="1:15" x14ac:dyDescent="0.25">
      <c r="A613" t="s">
        <v>0</v>
      </c>
      <c r="B613" s="1">
        <v>43221</v>
      </c>
      <c r="C613" s="1">
        <v>55153</v>
      </c>
      <c r="D613" s="4" t="s">
        <v>1430</v>
      </c>
      <c r="E613" s="32" t="s">
        <v>1431</v>
      </c>
      <c r="F613" s="32">
        <v>29049027</v>
      </c>
      <c r="G613" t="s">
        <v>3</v>
      </c>
      <c r="H613" t="s">
        <v>4</v>
      </c>
      <c r="I613" t="s">
        <v>50</v>
      </c>
      <c r="J613" s="30" t="str">
        <f>IF(ISNUMBER(MATCH($D613,'Lopettaneet 2013-&gt;'!$D:$D,0)),INDEX('Lopettaneet 2013-&gt;'!$K:$K,MATCH($D613,'Lopettaneet 2013-&gt;'!$D:$D,0)),"Continues")</f>
        <v>Continues</v>
      </c>
      <c r="K613" s="30">
        <f ca="1">IF($J613="Continues",DATEDIF($B613,TODAY(),"Y"),INDEX('Lopettaneet 2013-&gt;'!$L:$L,MATCH($D613,'Lopettaneet 2013-&gt;'!$D:$D,0)))</f>
        <v>7</v>
      </c>
      <c r="L613" s="31" t="str">
        <f>IFERROR(INDEX('[1]30.06.2024'!$H:$H,MATCH($E613,'[1]30.06.2024'!$B:$B,0)),"Not found")</f>
        <v>Nordea Funds Oy</v>
      </c>
      <c r="M613" s="31" t="str">
        <f>IFERROR(INDEX([2]Sheet1!$B:$B,MATCH($D613,[2]Sheet1!$A:$A,0)),"Not found")</f>
        <v>Not found</v>
      </c>
      <c r="N613">
        <f t="shared" si="18"/>
        <v>0</v>
      </c>
      <c r="O613">
        <f t="shared" si="19"/>
        <v>0</v>
      </c>
    </row>
    <row r="614" spans="1:15" x14ac:dyDescent="0.25">
      <c r="A614" t="s">
        <v>7</v>
      </c>
      <c r="B614" s="1">
        <v>43252</v>
      </c>
      <c r="C614" s="1">
        <v>55153</v>
      </c>
      <c r="D614" s="4" t="s">
        <v>1432</v>
      </c>
      <c r="E614" s="32" t="s">
        <v>1433</v>
      </c>
      <c r="F614" s="32">
        <v>29171786</v>
      </c>
      <c r="G614" t="s">
        <v>10</v>
      </c>
      <c r="H614" t="s">
        <v>11</v>
      </c>
      <c r="I614" t="s">
        <v>32</v>
      </c>
      <c r="J614" s="30" t="str">
        <f>IF(ISNUMBER(MATCH($D614,'Lopettaneet 2013-&gt;'!$D:$D,0)),INDEX('Lopettaneet 2013-&gt;'!$K:$K,MATCH($D614,'Lopettaneet 2013-&gt;'!$D:$D,0)),"Continues")</f>
        <v>Continues</v>
      </c>
      <c r="K614" s="30">
        <f ca="1">IF($J614="Continues",DATEDIF($B614,TODAY(),"Y"),INDEX('Lopettaneet 2013-&gt;'!$L:$L,MATCH($D614,'Lopettaneet 2013-&gt;'!$D:$D,0)))</f>
        <v>6</v>
      </c>
      <c r="L614" s="31" t="str">
        <f>IFERROR(INDEX('[1]30.06.2024'!$H:$H,MATCH($E614,'[1]30.06.2024'!$B:$B,0)),"Not found")</f>
        <v>Evli-Rahastoyhtiö Oy</v>
      </c>
      <c r="M614" s="31" t="str">
        <f>IFERROR(INDEX([2]Sheet1!$B:$B,MATCH($D614,[2]Sheet1!$A:$A,0)),"Not found")</f>
        <v>Non-Retail</v>
      </c>
      <c r="N614">
        <f t="shared" si="18"/>
        <v>0</v>
      </c>
      <c r="O614">
        <f t="shared" si="19"/>
        <v>1</v>
      </c>
    </row>
    <row r="615" spans="1:15" x14ac:dyDescent="0.25">
      <c r="A615" t="s">
        <v>0</v>
      </c>
      <c r="B615" s="1">
        <v>43221</v>
      </c>
      <c r="C615" s="1">
        <v>55153</v>
      </c>
      <c r="D615" s="4" t="s">
        <v>1434</v>
      </c>
      <c r="E615" s="32" t="s">
        <v>1435</v>
      </c>
      <c r="F615" s="32">
        <v>29068578</v>
      </c>
      <c r="G615" t="s">
        <v>3</v>
      </c>
      <c r="H615" t="s">
        <v>4</v>
      </c>
      <c r="I615" t="s">
        <v>20</v>
      </c>
      <c r="J615" s="30" t="str">
        <f>IF(ISNUMBER(MATCH($D615,'Lopettaneet 2013-&gt;'!$D:$D,0)),INDEX('Lopettaneet 2013-&gt;'!$K:$K,MATCH($D615,'Lopettaneet 2013-&gt;'!$D:$D,0)),"Continues")</f>
        <v>Continues</v>
      </c>
      <c r="K615" s="30">
        <f ca="1">IF($J615="Continues",DATEDIF($B615,TODAY(),"Y"),INDEX('Lopettaneet 2013-&gt;'!$L:$L,MATCH($D615,'Lopettaneet 2013-&gt;'!$D:$D,0)))</f>
        <v>7</v>
      </c>
      <c r="L615" s="31" t="str">
        <f>IFERROR(INDEX('[1]30.06.2024'!$H:$H,MATCH($E615,'[1]30.06.2024'!$B:$B,0)),"Not found")</f>
        <v>Evli-Rahastoyhtiö Oy</v>
      </c>
      <c r="M615" s="31" t="str">
        <f>IFERROR(INDEX([2]Sheet1!$B:$B,MATCH($D615,[2]Sheet1!$A:$A,0)),"Not found")</f>
        <v>Retail</v>
      </c>
      <c r="N615">
        <f t="shared" si="18"/>
        <v>1</v>
      </c>
      <c r="O615">
        <f t="shared" si="19"/>
        <v>0</v>
      </c>
    </row>
    <row r="616" spans="1:15" x14ac:dyDescent="0.25">
      <c r="A616" t="s">
        <v>0</v>
      </c>
      <c r="B616" s="1">
        <v>43221</v>
      </c>
      <c r="C616" s="1">
        <v>45107</v>
      </c>
      <c r="D616" s="4" t="s">
        <v>43</v>
      </c>
      <c r="E616" s="32" t="s">
        <v>44</v>
      </c>
      <c r="F616" s="32">
        <v>29051186</v>
      </c>
      <c r="G616" t="s">
        <v>3</v>
      </c>
      <c r="H616" t="s">
        <v>4</v>
      </c>
      <c r="I616" t="s">
        <v>5</v>
      </c>
      <c r="J616" s="30" t="str">
        <f>IF(ISNUMBER(MATCH($D616,'Lopettaneet 2013-&gt;'!$D:$D,0)),INDEX('Lopettaneet 2013-&gt;'!$K:$K,MATCH($D616,'Lopettaneet 2013-&gt;'!$D:$D,0)),"Continues")</f>
        <v>Closed</v>
      </c>
      <c r="K616" s="30">
        <f ca="1">IF($J616="Continues",DATEDIF($B616,TODAY(),"Y"),INDEX('Lopettaneet 2013-&gt;'!$L:$L,MATCH($D616,'Lopettaneet 2013-&gt;'!$D:$D,0)))</f>
        <v>5</v>
      </c>
      <c r="L616" s="31" t="str">
        <f>IFERROR(INDEX('[1]30.06.2024'!$H:$H,MATCH($E616,'[1]30.06.2024'!$B:$B,0)),"Not found")</f>
        <v>Not found</v>
      </c>
      <c r="M616" s="31" t="str">
        <f>IFERROR(INDEX([2]Sheet1!$B:$B,MATCH($D616,[2]Sheet1!$A:$A,0)),"Not found")</f>
        <v>Not found</v>
      </c>
      <c r="N616">
        <f t="shared" si="18"/>
        <v>0</v>
      </c>
      <c r="O616">
        <f t="shared" si="19"/>
        <v>0</v>
      </c>
    </row>
    <row r="617" spans="1:15" x14ac:dyDescent="0.25">
      <c r="A617" t="s">
        <v>0</v>
      </c>
      <c r="B617" s="1">
        <v>43252</v>
      </c>
      <c r="C617" s="1">
        <v>55153</v>
      </c>
      <c r="D617" s="4" t="s">
        <v>1436</v>
      </c>
      <c r="E617" s="32" t="s">
        <v>1437</v>
      </c>
      <c r="F617" s="32">
        <v>29100697</v>
      </c>
      <c r="G617" t="s">
        <v>3</v>
      </c>
      <c r="H617" t="s">
        <v>4</v>
      </c>
      <c r="I617" t="s">
        <v>20</v>
      </c>
      <c r="J617" s="30" t="str">
        <f>IF(ISNUMBER(MATCH($D617,'Lopettaneet 2013-&gt;'!$D:$D,0)),INDEX('Lopettaneet 2013-&gt;'!$K:$K,MATCH($D617,'Lopettaneet 2013-&gt;'!$D:$D,0)),"Continues")</f>
        <v>Continues</v>
      </c>
      <c r="K617" s="30">
        <f ca="1">IF($J617="Continues",DATEDIF($B617,TODAY(),"Y"),INDEX('Lopettaneet 2013-&gt;'!$L:$L,MATCH($D617,'Lopettaneet 2013-&gt;'!$D:$D,0)))</f>
        <v>6</v>
      </c>
      <c r="L617" s="31" t="str">
        <f>IFERROR(INDEX('[1]30.06.2024'!$H:$H,MATCH($E617,'[1]30.06.2024'!$B:$B,0)),"Not found")</f>
        <v>Fondbolaget Fondita Ab</v>
      </c>
      <c r="M617" s="31" t="str">
        <f>IFERROR(INDEX([2]Sheet1!$B:$B,MATCH($D617,[2]Sheet1!$A:$A,0)),"Not found")</f>
        <v>Retail</v>
      </c>
      <c r="N617">
        <f t="shared" si="18"/>
        <v>1</v>
      </c>
      <c r="O617">
        <f t="shared" si="19"/>
        <v>0</v>
      </c>
    </row>
    <row r="618" spans="1:15" x14ac:dyDescent="0.25">
      <c r="A618" t="s">
        <v>7</v>
      </c>
      <c r="B618" s="1">
        <v>43252</v>
      </c>
      <c r="C618" s="1">
        <v>43738</v>
      </c>
      <c r="D618" s="4" t="s">
        <v>1438</v>
      </c>
      <c r="E618" s="32" t="s">
        <v>1439</v>
      </c>
      <c r="F618" s="32">
        <v>28752968</v>
      </c>
      <c r="G618" t="s">
        <v>10</v>
      </c>
      <c r="H618" t="s">
        <v>11</v>
      </c>
      <c r="I618" t="s">
        <v>80</v>
      </c>
      <c r="J618" s="30" t="str">
        <f>IF(ISNUMBER(MATCH($D618,'Lopettaneet 2013-&gt;'!$D:$D,0)),INDEX('Lopettaneet 2013-&gt;'!$K:$K,MATCH($D618,'Lopettaneet 2013-&gt;'!$D:$D,0)),"Continues")</f>
        <v>Closed</v>
      </c>
      <c r="K618" s="30">
        <f ca="1">IF($J618="Continues",DATEDIF($B618,TODAY(),"Y"),INDEX('Lopettaneet 2013-&gt;'!$L:$L,MATCH($D618,'Lopettaneet 2013-&gt;'!$D:$D,0)))</f>
        <v>1</v>
      </c>
      <c r="L618" s="31" t="str">
        <f>IFERROR(INDEX('[1]30.06.2024'!$H:$H,MATCH($E618,'[1]30.06.2024'!$B:$B,0)),"Not found")</f>
        <v>Not found</v>
      </c>
      <c r="M618" s="31" t="str">
        <f>IFERROR(INDEX([2]Sheet1!$B:$B,MATCH($D618,[2]Sheet1!$A:$A,0)),"Not found")</f>
        <v>Not found</v>
      </c>
      <c r="N618">
        <f t="shared" si="18"/>
        <v>0</v>
      </c>
      <c r="O618">
        <f t="shared" si="19"/>
        <v>0</v>
      </c>
    </row>
    <row r="619" spans="1:15" x14ac:dyDescent="0.25">
      <c r="A619" t="s">
        <v>7</v>
      </c>
      <c r="B619" s="1">
        <v>43252</v>
      </c>
      <c r="C619" s="1">
        <v>43738</v>
      </c>
      <c r="D619" s="4" t="s">
        <v>1440</v>
      </c>
      <c r="E619" s="32" t="s">
        <v>1441</v>
      </c>
      <c r="F619" s="32">
        <v>28753039</v>
      </c>
      <c r="G619" t="s">
        <v>10</v>
      </c>
      <c r="H619" t="s">
        <v>11</v>
      </c>
      <c r="I619" t="s">
        <v>80</v>
      </c>
      <c r="J619" s="30" t="str">
        <f>IF(ISNUMBER(MATCH($D619,'Lopettaneet 2013-&gt;'!$D:$D,0)),INDEX('Lopettaneet 2013-&gt;'!$K:$K,MATCH($D619,'Lopettaneet 2013-&gt;'!$D:$D,0)),"Continues")</f>
        <v>Closed</v>
      </c>
      <c r="K619" s="30">
        <f ca="1">IF($J619="Continues",DATEDIF($B619,TODAY(),"Y"),INDEX('Lopettaneet 2013-&gt;'!$L:$L,MATCH($D619,'Lopettaneet 2013-&gt;'!$D:$D,0)))</f>
        <v>1</v>
      </c>
      <c r="L619" s="31" t="str">
        <f>IFERROR(INDEX('[1]30.06.2024'!$H:$H,MATCH($E619,'[1]30.06.2024'!$B:$B,0)),"Not found")</f>
        <v>Not found</v>
      </c>
      <c r="M619" s="31" t="str">
        <f>IFERROR(INDEX([2]Sheet1!$B:$B,MATCH($D619,[2]Sheet1!$A:$A,0)),"Not found")</f>
        <v>Not found</v>
      </c>
      <c r="N619">
        <f t="shared" si="18"/>
        <v>0</v>
      </c>
      <c r="O619">
        <f t="shared" si="19"/>
        <v>0</v>
      </c>
    </row>
    <row r="620" spans="1:15" x14ac:dyDescent="0.25">
      <c r="A620" t="s">
        <v>7</v>
      </c>
      <c r="B620" s="1">
        <v>43252</v>
      </c>
      <c r="C620" s="1">
        <v>43738</v>
      </c>
      <c r="D620" s="4" t="s">
        <v>1442</v>
      </c>
      <c r="E620" s="32" t="s">
        <v>1443</v>
      </c>
      <c r="F620" s="32">
        <v>28753047</v>
      </c>
      <c r="G620" t="s">
        <v>10</v>
      </c>
      <c r="H620" t="s">
        <v>11</v>
      </c>
      <c r="I620" t="s">
        <v>80</v>
      </c>
      <c r="J620" s="30" t="str">
        <f>IF(ISNUMBER(MATCH($D620,'Lopettaneet 2013-&gt;'!$D:$D,0)),INDEX('Lopettaneet 2013-&gt;'!$K:$K,MATCH($D620,'Lopettaneet 2013-&gt;'!$D:$D,0)),"Continues")</f>
        <v>Closed</v>
      </c>
      <c r="K620" s="30">
        <f ca="1">IF($J620="Continues",DATEDIF($B620,TODAY(),"Y"),INDEX('Lopettaneet 2013-&gt;'!$L:$L,MATCH($D620,'Lopettaneet 2013-&gt;'!$D:$D,0)))</f>
        <v>1</v>
      </c>
      <c r="L620" s="31" t="str">
        <f>IFERROR(INDEX('[1]30.06.2024'!$H:$H,MATCH($E620,'[1]30.06.2024'!$B:$B,0)),"Not found")</f>
        <v>Not found</v>
      </c>
      <c r="M620" s="31" t="str">
        <f>IFERROR(INDEX([2]Sheet1!$B:$B,MATCH($D620,[2]Sheet1!$A:$A,0)),"Not found")</f>
        <v>Not found</v>
      </c>
      <c r="N620">
        <f t="shared" si="18"/>
        <v>0</v>
      </c>
      <c r="O620">
        <f t="shared" si="19"/>
        <v>0</v>
      </c>
    </row>
    <row r="621" spans="1:15" x14ac:dyDescent="0.25">
      <c r="A621" t="s">
        <v>7</v>
      </c>
      <c r="B621" s="1">
        <v>43252</v>
      </c>
      <c r="C621" s="1">
        <v>43738</v>
      </c>
      <c r="D621" s="4" t="s">
        <v>1444</v>
      </c>
      <c r="E621" s="32" t="s">
        <v>1445</v>
      </c>
      <c r="F621" s="32">
        <v>28753004</v>
      </c>
      <c r="G621" t="s">
        <v>10</v>
      </c>
      <c r="H621" t="s">
        <v>11</v>
      </c>
      <c r="I621" t="s">
        <v>80</v>
      </c>
      <c r="J621" s="30" t="str">
        <f>IF(ISNUMBER(MATCH($D621,'Lopettaneet 2013-&gt;'!$D:$D,0)),INDEX('Lopettaneet 2013-&gt;'!$K:$K,MATCH($D621,'Lopettaneet 2013-&gt;'!$D:$D,0)),"Continues")</f>
        <v>Closed</v>
      </c>
      <c r="K621" s="30">
        <f ca="1">IF($J621="Continues",DATEDIF($B621,TODAY(),"Y"),INDEX('Lopettaneet 2013-&gt;'!$L:$L,MATCH($D621,'Lopettaneet 2013-&gt;'!$D:$D,0)))</f>
        <v>1</v>
      </c>
      <c r="L621" s="31" t="str">
        <f>IFERROR(INDEX('[1]30.06.2024'!$H:$H,MATCH($E621,'[1]30.06.2024'!$B:$B,0)),"Not found")</f>
        <v>Not found</v>
      </c>
      <c r="M621" s="31" t="str">
        <f>IFERROR(INDEX([2]Sheet1!$B:$B,MATCH($D621,[2]Sheet1!$A:$A,0)),"Not found")</f>
        <v>Not found</v>
      </c>
      <c r="N621">
        <f t="shared" si="18"/>
        <v>0</v>
      </c>
      <c r="O621">
        <f t="shared" si="19"/>
        <v>0</v>
      </c>
    </row>
    <row r="622" spans="1:15" x14ac:dyDescent="0.25">
      <c r="A622" t="s">
        <v>0</v>
      </c>
      <c r="B622" s="1">
        <v>43221</v>
      </c>
      <c r="C622" s="1">
        <v>44926</v>
      </c>
      <c r="D622" s="4" t="s">
        <v>1446</v>
      </c>
      <c r="E622" s="32" t="s">
        <v>1447</v>
      </c>
      <c r="F622" s="32">
        <v>29029296</v>
      </c>
      <c r="G622" t="s">
        <v>10</v>
      </c>
      <c r="H622" t="s">
        <v>4</v>
      </c>
      <c r="I622" t="s">
        <v>20</v>
      </c>
      <c r="J622" s="30" t="str">
        <f>IF(ISNUMBER(MATCH($D622,'Lopettaneet 2013-&gt;'!$D:$D,0)),INDEX('Lopettaneet 2013-&gt;'!$K:$K,MATCH($D622,'Lopettaneet 2013-&gt;'!$D:$D,0)),"Continues")</f>
        <v>Merged</v>
      </c>
      <c r="K622" s="30">
        <f ca="1">IF($J622="Continues",DATEDIF($B622,TODAY(),"Y"),INDEX('Lopettaneet 2013-&gt;'!$L:$L,MATCH($D622,'Lopettaneet 2013-&gt;'!$D:$D,0)))</f>
        <v>4</v>
      </c>
      <c r="L622" s="31" t="str">
        <f>IFERROR(INDEX('[1]30.06.2024'!$H:$H,MATCH($E622,'[1]30.06.2024'!$B:$B,0)),"Not found")</f>
        <v>Not found</v>
      </c>
      <c r="M622" s="31" t="str">
        <f>IFERROR(INDEX([2]Sheet1!$B:$B,MATCH($D622,[2]Sheet1!$A:$A,0)),"Not found")</f>
        <v>Not found</v>
      </c>
      <c r="N622">
        <f t="shared" si="18"/>
        <v>0</v>
      </c>
      <c r="O622">
        <f t="shared" si="19"/>
        <v>0</v>
      </c>
    </row>
    <row r="623" spans="1:15" x14ac:dyDescent="0.25">
      <c r="A623" t="s">
        <v>0</v>
      </c>
      <c r="B623" s="1">
        <v>43252</v>
      </c>
      <c r="C623" s="1">
        <v>44530</v>
      </c>
      <c r="D623" s="4" t="s">
        <v>1448</v>
      </c>
      <c r="E623" s="32" t="s">
        <v>1449</v>
      </c>
      <c r="F623" s="32">
        <v>29120006</v>
      </c>
      <c r="G623" t="s">
        <v>10</v>
      </c>
      <c r="H623" t="s">
        <v>4</v>
      </c>
      <c r="I623" t="s">
        <v>20</v>
      </c>
      <c r="J623" s="30" t="str">
        <f>IF(ISNUMBER(MATCH($D623,'Lopettaneet 2013-&gt;'!$D:$D,0)),INDEX('Lopettaneet 2013-&gt;'!$K:$K,MATCH($D623,'Lopettaneet 2013-&gt;'!$D:$D,0)),"Continues")</f>
        <v>Merged</v>
      </c>
      <c r="K623" s="30">
        <f ca="1">IF($J623="Continues",DATEDIF($B623,TODAY(),"Y"),INDEX('Lopettaneet 2013-&gt;'!$L:$L,MATCH($D623,'Lopettaneet 2013-&gt;'!$D:$D,0)))</f>
        <v>3</v>
      </c>
      <c r="L623" s="31" t="str">
        <f>IFERROR(INDEX('[1]30.06.2024'!$H:$H,MATCH($E623,'[1]30.06.2024'!$B:$B,0)),"Not found")</f>
        <v>Not found</v>
      </c>
      <c r="M623" s="31" t="str">
        <f>IFERROR(INDEX([2]Sheet1!$B:$B,MATCH($D623,[2]Sheet1!$A:$A,0)),"Not found")</f>
        <v>Not found</v>
      </c>
      <c r="N623">
        <f t="shared" si="18"/>
        <v>0</v>
      </c>
      <c r="O623">
        <f t="shared" si="19"/>
        <v>0</v>
      </c>
    </row>
    <row r="624" spans="1:15" x14ac:dyDescent="0.25">
      <c r="A624" t="s">
        <v>0</v>
      </c>
      <c r="B624" s="1">
        <v>43221</v>
      </c>
      <c r="C624" s="1">
        <v>43738</v>
      </c>
      <c r="D624" s="4" t="s">
        <v>1450</v>
      </c>
      <c r="E624" s="32" t="s">
        <v>1451</v>
      </c>
      <c r="F624" s="32">
        <v>29063865</v>
      </c>
      <c r="G624" t="s">
        <v>10</v>
      </c>
      <c r="H624" t="s">
        <v>4</v>
      </c>
      <c r="I624" t="s">
        <v>47</v>
      </c>
      <c r="J624" s="30" t="str">
        <f>IF(ISNUMBER(MATCH($D624,'Lopettaneet 2013-&gt;'!$D:$D,0)),INDEX('Lopettaneet 2013-&gt;'!$K:$K,MATCH($D624,'Lopettaneet 2013-&gt;'!$D:$D,0)),"Continues")</f>
        <v>Closed</v>
      </c>
      <c r="K624" s="30">
        <f ca="1">IF($J624="Continues",DATEDIF($B624,TODAY(),"Y"),INDEX('Lopettaneet 2013-&gt;'!$L:$L,MATCH($D624,'Lopettaneet 2013-&gt;'!$D:$D,0)))</f>
        <v>1</v>
      </c>
      <c r="L624" s="31" t="str">
        <f>IFERROR(INDEX('[1]30.06.2024'!$H:$H,MATCH($E624,'[1]30.06.2024'!$B:$B,0)),"Not found")</f>
        <v>Not found</v>
      </c>
      <c r="M624" s="31" t="str">
        <f>IFERROR(INDEX([2]Sheet1!$B:$B,MATCH($D624,[2]Sheet1!$A:$A,0)),"Not found")</f>
        <v>Not found</v>
      </c>
      <c r="N624">
        <f t="shared" si="18"/>
        <v>0</v>
      </c>
      <c r="O624">
        <f t="shared" si="19"/>
        <v>0</v>
      </c>
    </row>
    <row r="625" spans="1:15" x14ac:dyDescent="0.25">
      <c r="A625" t="s">
        <v>7</v>
      </c>
      <c r="B625" s="1">
        <v>43252</v>
      </c>
      <c r="C625" s="1">
        <v>55153</v>
      </c>
      <c r="D625" s="4" t="s">
        <v>1452</v>
      </c>
      <c r="E625" s="32" t="s">
        <v>1453</v>
      </c>
      <c r="F625" s="32">
        <v>29112268</v>
      </c>
      <c r="G625" t="s">
        <v>10</v>
      </c>
      <c r="H625" t="s">
        <v>11</v>
      </c>
      <c r="I625" t="s">
        <v>32</v>
      </c>
      <c r="J625" s="30" t="str">
        <f>IF(ISNUMBER(MATCH($D625,'Lopettaneet 2013-&gt;'!$D:$D,0)),INDEX('Lopettaneet 2013-&gt;'!$K:$K,MATCH($D625,'Lopettaneet 2013-&gt;'!$D:$D,0)),"Continues")</f>
        <v>Continues</v>
      </c>
      <c r="K625" s="30">
        <f ca="1">IF($J625="Continues",DATEDIF($B625,TODAY(),"Y"),INDEX('Lopettaneet 2013-&gt;'!$L:$L,MATCH($D625,'Lopettaneet 2013-&gt;'!$D:$D,0)))</f>
        <v>6</v>
      </c>
      <c r="L625" s="31" t="str">
        <f>IFERROR(INDEX('[1]30.06.2024'!$H:$H,MATCH($E625,'[1]30.06.2024'!$B:$B,0)),"Not found")</f>
        <v>Ålandsbanken Fondbolag Ab</v>
      </c>
      <c r="M625" s="31" t="str">
        <f>IFERROR(INDEX([2]Sheet1!$B:$B,MATCH($D625,[2]Sheet1!$A:$A,0)),"Not found")</f>
        <v>Non-Retail</v>
      </c>
      <c r="N625">
        <f t="shared" si="18"/>
        <v>0</v>
      </c>
      <c r="O625">
        <f t="shared" si="19"/>
        <v>1</v>
      </c>
    </row>
    <row r="626" spans="1:15" x14ac:dyDescent="0.25">
      <c r="A626" t="s">
        <v>0</v>
      </c>
      <c r="B626" s="1">
        <v>43344</v>
      </c>
      <c r="C626" s="1">
        <v>43799</v>
      </c>
      <c r="D626" s="4" t="s">
        <v>1454</v>
      </c>
      <c r="E626" s="32" t="s">
        <v>1455</v>
      </c>
      <c r="F626" s="32">
        <v>29202298</v>
      </c>
      <c r="G626" t="s">
        <v>3</v>
      </c>
      <c r="H626" t="s">
        <v>4</v>
      </c>
      <c r="I626" t="s">
        <v>20</v>
      </c>
      <c r="J626" s="30" t="str">
        <f>IF(ISNUMBER(MATCH($D626,'Lopettaneet 2013-&gt;'!$D:$D,0)),INDEX('Lopettaneet 2013-&gt;'!$K:$K,MATCH($D626,'Lopettaneet 2013-&gt;'!$D:$D,0)),"Continues")</f>
        <v>Merged</v>
      </c>
      <c r="K626" s="30">
        <f ca="1">IF($J626="Continues",DATEDIF($B626,TODAY(),"Y"),INDEX('Lopettaneet 2013-&gt;'!$L:$L,MATCH($D626,'Lopettaneet 2013-&gt;'!$D:$D,0)))</f>
        <v>1</v>
      </c>
      <c r="L626" s="31" t="str">
        <f>IFERROR(INDEX('[1]30.06.2024'!$H:$H,MATCH($E626,'[1]30.06.2024'!$B:$B,0)),"Not found")</f>
        <v>Not found</v>
      </c>
      <c r="M626" s="31" t="str">
        <f>IFERROR(INDEX([2]Sheet1!$B:$B,MATCH($D626,[2]Sheet1!$A:$A,0)),"Not found")</f>
        <v>Not found</v>
      </c>
      <c r="N626">
        <f t="shared" si="18"/>
        <v>0</v>
      </c>
      <c r="O626">
        <f t="shared" si="19"/>
        <v>0</v>
      </c>
    </row>
    <row r="627" spans="1:15" x14ac:dyDescent="0.25">
      <c r="A627" t="s">
        <v>0</v>
      </c>
      <c r="B627" s="1">
        <v>43344</v>
      </c>
      <c r="C627" s="1">
        <v>43799</v>
      </c>
      <c r="D627" s="4" t="s">
        <v>1456</v>
      </c>
      <c r="E627" s="32" t="s">
        <v>1457</v>
      </c>
      <c r="F627" s="32">
        <v>29202327</v>
      </c>
      <c r="G627" t="s">
        <v>3</v>
      </c>
      <c r="H627" t="s">
        <v>4</v>
      </c>
      <c r="I627" t="s">
        <v>20</v>
      </c>
      <c r="J627" s="30" t="str">
        <f>IF(ISNUMBER(MATCH($D627,'Lopettaneet 2013-&gt;'!$D:$D,0)),INDEX('Lopettaneet 2013-&gt;'!$K:$K,MATCH($D627,'Lopettaneet 2013-&gt;'!$D:$D,0)),"Continues")</f>
        <v>Merged</v>
      </c>
      <c r="K627" s="30">
        <f ca="1">IF($J627="Continues",DATEDIF($B627,TODAY(),"Y"),INDEX('Lopettaneet 2013-&gt;'!$L:$L,MATCH($D627,'Lopettaneet 2013-&gt;'!$D:$D,0)))</f>
        <v>1</v>
      </c>
      <c r="L627" s="31" t="str">
        <f>IFERROR(INDEX('[1]30.06.2024'!$H:$H,MATCH($E627,'[1]30.06.2024'!$B:$B,0)),"Not found")</f>
        <v>Not found</v>
      </c>
      <c r="M627" s="31" t="str">
        <f>IFERROR(INDEX([2]Sheet1!$B:$B,MATCH($D627,[2]Sheet1!$A:$A,0)),"Not found")</f>
        <v>Not found</v>
      </c>
      <c r="N627">
        <f t="shared" si="18"/>
        <v>0</v>
      </c>
      <c r="O627">
        <f t="shared" si="19"/>
        <v>0</v>
      </c>
    </row>
    <row r="628" spans="1:15" x14ac:dyDescent="0.25">
      <c r="A628" t="s">
        <v>0</v>
      </c>
      <c r="B628" s="1">
        <v>43313</v>
      </c>
      <c r="C628" s="1">
        <v>55153</v>
      </c>
      <c r="D628" s="4" t="s">
        <v>1458</v>
      </c>
      <c r="E628" s="32" t="s">
        <v>1459</v>
      </c>
      <c r="F628" s="32">
        <v>29171778</v>
      </c>
      <c r="G628" t="s">
        <v>10</v>
      </c>
      <c r="H628" t="s">
        <v>11</v>
      </c>
      <c r="I628" t="s">
        <v>32</v>
      </c>
      <c r="J628" s="30" t="str">
        <f>IF(ISNUMBER(MATCH($D628,'Lopettaneet 2013-&gt;'!$D:$D,0)),INDEX('Lopettaneet 2013-&gt;'!$K:$K,MATCH($D628,'Lopettaneet 2013-&gt;'!$D:$D,0)),"Continues")</f>
        <v>Continues</v>
      </c>
      <c r="K628" s="30">
        <f ca="1">IF($J628="Continues",DATEDIF($B628,TODAY(),"Y"),INDEX('Lopettaneet 2013-&gt;'!$L:$L,MATCH($D628,'Lopettaneet 2013-&gt;'!$D:$D,0)))</f>
        <v>6</v>
      </c>
      <c r="L628" s="31" t="str">
        <f>IFERROR(INDEX('[1]30.06.2024'!$H:$H,MATCH($E628,'[1]30.06.2024'!$B:$B,0)),"Not found")</f>
        <v>Evli-Rahastoyhtiö Oy</v>
      </c>
      <c r="M628" s="31" t="str">
        <f>IFERROR(INDEX([2]Sheet1!$B:$B,MATCH($D628,[2]Sheet1!$A:$A,0)),"Not found")</f>
        <v>Non-Retail</v>
      </c>
      <c r="N628">
        <f t="shared" si="18"/>
        <v>0</v>
      </c>
      <c r="O628">
        <f t="shared" si="19"/>
        <v>1</v>
      </c>
    </row>
    <row r="629" spans="1:15" x14ac:dyDescent="0.25">
      <c r="A629" t="s">
        <v>0</v>
      </c>
      <c r="B629" s="1">
        <v>43252</v>
      </c>
      <c r="C629" s="1">
        <v>55153</v>
      </c>
      <c r="D629" s="4" t="s">
        <v>1460</v>
      </c>
      <c r="E629" s="32" t="s">
        <v>1461</v>
      </c>
      <c r="F629" s="32">
        <v>29191517</v>
      </c>
      <c r="G629" t="s">
        <v>10</v>
      </c>
      <c r="H629" t="s">
        <v>11</v>
      </c>
      <c r="I629" t="s">
        <v>20</v>
      </c>
      <c r="J629" s="30" t="str">
        <f>IF(ISNUMBER(MATCH($D629,'Lopettaneet 2013-&gt;'!$D:$D,0)),INDEX('Lopettaneet 2013-&gt;'!$K:$K,MATCH($D629,'Lopettaneet 2013-&gt;'!$D:$D,0)),"Continues")</f>
        <v>Continues</v>
      </c>
      <c r="K629" s="30">
        <f ca="1">IF($J629="Continues",DATEDIF($B629,TODAY(),"Y"),INDEX('Lopettaneet 2013-&gt;'!$L:$L,MATCH($D629,'Lopettaneet 2013-&gt;'!$D:$D,0)))</f>
        <v>6</v>
      </c>
      <c r="L629" s="31" t="str">
        <f>IFERROR(INDEX('[1]30.06.2024'!$H:$H,MATCH($E629,'[1]30.06.2024'!$B:$B,0)),"Not found")</f>
        <v>eQ Rahastoyhtiö Oy</v>
      </c>
      <c r="M629" s="31" t="str">
        <f>IFERROR(INDEX([2]Sheet1!$B:$B,MATCH($D629,[2]Sheet1!$A:$A,0)),"Not found")</f>
        <v>Non-Retail</v>
      </c>
      <c r="N629">
        <f t="shared" si="18"/>
        <v>0</v>
      </c>
      <c r="O629">
        <f t="shared" si="19"/>
        <v>1</v>
      </c>
    </row>
    <row r="630" spans="1:15" x14ac:dyDescent="0.25">
      <c r="A630" t="s">
        <v>0</v>
      </c>
      <c r="B630" s="1">
        <v>43252</v>
      </c>
      <c r="C630" s="1">
        <v>55153</v>
      </c>
      <c r="D630" s="4" t="s">
        <v>1462</v>
      </c>
      <c r="E630" s="32" t="s">
        <v>1463</v>
      </c>
      <c r="F630" s="32">
        <v>29191445</v>
      </c>
      <c r="G630" t="s">
        <v>10</v>
      </c>
      <c r="H630" t="s">
        <v>11</v>
      </c>
      <c r="I630" t="s">
        <v>20</v>
      </c>
      <c r="J630" s="30" t="str">
        <f>IF(ISNUMBER(MATCH($D630,'Lopettaneet 2013-&gt;'!$D:$D,0)),INDEX('Lopettaneet 2013-&gt;'!$K:$K,MATCH($D630,'Lopettaneet 2013-&gt;'!$D:$D,0)),"Continues")</f>
        <v>Continues</v>
      </c>
      <c r="K630" s="30">
        <f ca="1">IF($J630="Continues",DATEDIF($B630,TODAY(),"Y"),INDEX('Lopettaneet 2013-&gt;'!$L:$L,MATCH($D630,'Lopettaneet 2013-&gt;'!$D:$D,0)))</f>
        <v>6</v>
      </c>
      <c r="L630" s="31" t="str">
        <f>IFERROR(INDEX('[1]30.06.2024'!$H:$H,MATCH($E630,'[1]30.06.2024'!$B:$B,0)),"Not found")</f>
        <v>eQ Rahastoyhtiö Oy</v>
      </c>
      <c r="M630" s="31" t="str">
        <f>IFERROR(INDEX([2]Sheet1!$B:$B,MATCH($D630,[2]Sheet1!$A:$A,0)),"Not found")</f>
        <v>Non-Retail</v>
      </c>
      <c r="N630">
        <f t="shared" si="18"/>
        <v>0</v>
      </c>
      <c r="O630">
        <f t="shared" si="19"/>
        <v>1</v>
      </c>
    </row>
    <row r="631" spans="1:15" x14ac:dyDescent="0.25">
      <c r="A631" t="s">
        <v>0</v>
      </c>
      <c r="B631" s="1">
        <v>43252</v>
      </c>
      <c r="C631" s="1">
        <v>55153</v>
      </c>
      <c r="D631" s="4" t="s">
        <v>1464</v>
      </c>
      <c r="E631" s="32" t="s">
        <v>1465</v>
      </c>
      <c r="F631" s="32">
        <v>29191437</v>
      </c>
      <c r="G631" t="s">
        <v>10</v>
      </c>
      <c r="H631" t="s">
        <v>11</v>
      </c>
      <c r="I631" t="s">
        <v>20</v>
      </c>
      <c r="J631" s="30" t="str">
        <f>IF(ISNUMBER(MATCH($D631,'Lopettaneet 2013-&gt;'!$D:$D,0)),INDEX('Lopettaneet 2013-&gt;'!$K:$K,MATCH($D631,'Lopettaneet 2013-&gt;'!$D:$D,0)),"Continues")</f>
        <v>Continues</v>
      </c>
      <c r="K631" s="30">
        <f ca="1">IF($J631="Continues",DATEDIF($B631,TODAY(),"Y"),INDEX('Lopettaneet 2013-&gt;'!$L:$L,MATCH($D631,'Lopettaneet 2013-&gt;'!$D:$D,0)))</f>
        <v>6</v>
      </c>
      <c r="L631" s="31" t="str">
        <f>IFERROR(INDEX('[1]30.06.2024'!$H:$H,MATCH($E631,'[1]30.06.2024'!$B:$B,0)),"Not found")</f>
        <v>eQ Rahastoyhtiö Oy</v>
      </c>
      <c r="M631" s="31" t="str">
        <f>IFERROR(INDEX([2]Sheet1!$B:$B,MATCH($D631,[2]Sheet1!$A:$A,0)),"Not found")</f>
        <v>Non-Retail</v>
      </c>
      <c r="N631">
        <f t="shared" si="18"/>
        <v>0</v>
      </c>
      <c r="O631">
        <f t="shared" si="19"/>
        <v>1</v>
      </c>
    </row>
    <row r="632" spans="1:15" x14ac:dyDescent="0.25">
      <c r="A632" t="s">
        <v>0</v>
      </c>
      <c r="B632" s="1">
        <v>43466</v>
      </c>
      <c r="C632" s="1">
        <v>43982</v>
      </c>
      <c r="D632" s="4" t="s">
        <v>1466</v>
      </c>
      <c r="E632" s="32" t="s">
        <v>1467</v>
      </c>
      <c r="F632" s="32">
        <v>29211805</v>
      </c>
      <c r="G632" t="s">
        <v>3</v>
      </c>
      <c r="H632" t="s">
        <v>4</v>
      </c>
      <c r="I632" t="s">
        <v>20</v>
      </c>
      <c r="J632" s="30" t="str">
        <f>IF(ISNUMBER(MATCH($D632,'Lopettaneet 2013-&gt;'!$D:$D,0)),INDEX('Lopettaneet 2013-&gt;'!$K:$K,MATCH($D632,'Lopettaneet 2013-&gt;'!$D:$D,0)),"Continues")</f>
        <v>Merged</v>
      </c>
      <c r="K632" s="30">
        <f ca="1">IF($J632="Continues",DATEDIF($B632,TODAY(),"Y"),INDEX('Lopettaneet 2013-&gt;'!$L:$L,MATCH($D632,'Lopettaneet 2013-&gt;'!$D:$D,0)))</f>
        <v>1</v>
      </c>
      <c r="L632" s="31" t="str">
        <f>IFERROR(INDEX('[1]30.06.2024'!$H:$H,MATCH($E632,'[1]30.06.2024'!$B:$B,0)),"Not found")</f>
        <v>Not found</v>
      </c>
      <c r="M632" s="31" t="str">
        <f>IFERROR(INDEX([2]Sheet1!$B:$B,MATCH($D632,[2]Sheet1!$A:$A,0)),"Not found")</f>
        <v>Not found</v>
      </c>
      <c r="N632">
        <f t="shared" si="18"/>
        <v>0</v>
      </c>
      <c r="O632">
        <f t="shared" si="19"/>
        <v>0</v>
      </c>
    </row>
    <row r="633" spans="1:15" x14ac:dyDescent="0.25">
      <c r="A633" t="s">
        <v>0</v>
      </c>
      <c r="B633" s="1">
        <v>43497</v>
      </c>
      <c r="C633" s="1">
        <v>44985</v>
      </c>
      <c r="D633" s="4" t="s">
        <v>45</v>
      </c>
      <c r="E633" s="32" t="s">
        <v>46</v>
      </c>
      <c r="F633" s="32">
        <v>29147612</v>
      </c>
      <c r="G633" t="s">
        <v>10</v>
      </c>
      <c r="H633" t="s">
        <v>4</v>
      </c>
      <c r="I633" t="s">
        <v>47</v>
      </c>
      <c r="J633" s="30" t="str">
        <f>IF(ISNUMBER(MATCH($D633,'Lopettaneet 2013-&gt;'!$D:$D,0)),INDEX('Lopettaneet 2013-&gt;'!$K:$K,MATCH($D633,'Lopettaneet 2013-&gt;'!$D:$D,0)),"Continues")</f>
        <v>Merged</v>
      </c>
      <c r="K633" s="30">
        <f ca="1">IF($J633="Continues",DATEDIF($B633,TODAY(),"Y"),INDEX('Lopettaneet 2013-&gt;'!$L:$L,MATCH($D633,'Lopettaneet 2013-&gt;'!$D:$D,0)))</f>
        <v>4</v>
      </c>
      <c r="L633" s="31" t="str">
        <f>IFERROR(INDEX('[1]30.06.2024'!$H:$H,MATCH($E633,'[1]30.06.2024'!$B:$B,0)),"Not found")</f>
        <v>Not found</v>
      </c>
      <c r="M633" s="31" t="str">
        <f>IFERROR(INDEX([2]Sheet1!$B:$B,MATCH($D633,[2]Sheet1!$A:$A,0)),"Not found")</f>
        <v>Not found</v>
      </c>
      <c r="N633">
        <f t="shared" si="18"/>
        <v>0</v>
      </c>
      <c r="O633">
        <f t="shared" si="19"/>
        <v>0</v>
      </c>
    </row>
    <row r="634" spans="1:15" x14ac:dyDescent="0.25">
      <c r="A634" t="s">
        <v>7</v>
      </c>
      <c r="B634" s="1">
        <v>43344</v>
      </c>
      <c r="C634" s="1">
        <v>55153</v>
      </c>
      <c r="D634" s="4" t="s">
        <v>1468</v>
      </c>
      <c r="E634" s="32" t="s">
        <v>1469</v>
      </c>
      <c r="F634" s="32">
        <v>29171794</v>
      </c>
      <c r="G634" t="s">
        <v>10</v>
      </c>
      <c r="H634" t="s">
        <v>11</v>
      </c>
      <c r="I634" t="s">
        <v>29</v>
      </c>
      <c r="J634" s="30" t="str">
        <f>IF(ISNUMBER(MATCH($D634,'Lopettaneet 2013-&gt;'!$D:$D,0)),INDEX('Lopettaneet 2013-&gt;'!$K:$K,MATCH($D634,'Lopettaneet 2013-&gt;'!$D:$D,0)),"Continues")</f>
        <v>Continues</v>
      </c>
      <c r="K634" s="30">
        <f ca="1">IF($J634="Continues",DATEDIF($B634,TODAY(),"Y"),INDEX('Lopettaneet 2013-&gt;'!$L:$L,MATCH($D634,'Lopettaneet 2013-&gt;'!$D:$D,0)))</f>
        <v>6</v>
      </c>
      <c r="L634" s="31" t="str">
        <f>IFERROR(INDEX('[1]30.06.2024'!$H:$H,MATCH($E634,'[1]30.06.2024'!$B:$B,0)),"Not found")</f>
        <v>Evli-Rahastoyhtiö Oy</v>
      </c>
      <c r="M634" s="31" t="str">
        <f>IFERROR(INDEX([2]Sheet1!$B:$B,MATCH($D634,[2]Sheet1!$A:$A,0)),"Not found")</f>
        <v>Non-Retail</v>
      </c>
      <c r="N634">
        <f t="shared" si="18"/>
        <v>0</v>
      </c>
      <c r="O634">
        <f t="shared" si="19"/>
        <v>1</v>
      </c>
    </row>
    <row r="635" spans="1:15" x14ac:dyDescent="0.25">
      <c r="A635" t="s">
        <v>0</v>
      </c>
      <c r="B635" s="1">
        <v>43891</v>
      </c>
      <c r="C635" s="1">
        <v>55153</v>
      </c>
      <c r="D635" s="4" t="s">
        <v>1470</v>
      </c>
      <c r="E635" s="32" t="s">
        <v>1471</v>
      </c>
      <c r="F635" s="32">
        <v>31147259</v>
      </c>
      <c r="G635" t="s">
        <v>10</v>
      </c>
      <c r="H635" t="s">
        <v>4</v>
      </c>
      <c r="I635" t="s">
        <v>50</v>
      </c>
      <c r="J635" s="30" t="str">
        <f>IF(ISNUMBER(MATCH($D635,'Lopettaneet 2013-&gt;'!$D:$D,0)),INDEX('Lopettaneet 2013-&gt;'!$K:$K,MATCH($D635,'Lopettaneet 2013-&gt;'!$D:$D,0)),"Continues")</f>
        <v>Continues</v>
      </c>
      <c r="K635" s="30">
        <f ca="1">IF($J635="Continues",DATEDIF($B635,TODAY(),"Y"),INDEX('Lopettaneet 2013-&gt;'!$L:$L,MATCH($D635,'Lopettaneet 2013-&gt;'!$D:$D,0)))</f>
        <v>5</v>
      </c>
      <c r="L635" s="31" t="str">
        <f>IFERROR(INDEX('[1]30.06.2024'!$H:$H,MATCH($E635,'[1]30.06.2024'!$B:$B,0)),"Not found")</f>
        <v>UB Rahastoyhtiö Oy</v>
      </c>
      <c r="M635" s="31" t="str">
        <f>IFERROR(INDEX([2]Sheet1!$B:$B,MATCH($D635,[2]Sheet1!$A:$A,0)),"Not found")</f>
        <v>Retail</v>
      </c>
      <c r="N635">
        <f t="shared" si="18"/>
        <v>1</v>
      </c>
      <c r="O635">
        <f t="shared" si="19"/>
        <v>0</v>
      </c>
    </row>
    <row r="636" spans="1:15" x14ac:dyDescent="0.25">
      <c r="A636" t="s">
        <v>0</v>
      </c>
      <c r="B636" s="1">
        <v>43252</v>
      </c>
      <c r="C636" s="1">
        <v>55153</v>
      </c>
      <c r="D636" s="4" t="s">
        <v>1472</v>
      </c>
      <c r="E636" s="32" t="s">
        <v>1473</v>
      </c>
      <c r="F636" s="32">
        <v>29093044</v>
      </c>
      <c r="G636" t="s">
        <v>3</v>
      </c>
      <c r="H636" t="s">
        <v>4</v>
      </c>
      <c r="I636" t="s">
        <v>20</v>
      </c>
      <c r="J636" s="30" t="str">
        <f>IF(ISNUMBER(MATCH($D636,'Lopettaneet 2013-&gt;'!$D:$D,0)),INDEX('Lopettaneet 2013-&gt;'!$K:$K,MATCH($D636,'Lopettaneet 2013-&gt;'!$D:$D,0)),"Continues")</f>
        <v>Continues</v>
      </c>
      <c r="K636" s="30">
        <f ca="1">IF($J636="Continues",DATEDIF($B636,TODAY(),"Y"),INDEX('Lopettaneet 2013-&gt;'!$L:$L,MATCH($D636,'Lopettaneet 2013-&gt;'!$D:$D,0)))</f>
        <v>6</v>
      </c>
      <c r="L636" s="31" t="str">
        <f>IFERROR(INDEX('[1]30.06.2024'!$H:$H,MATCH($E636,'[1]30.06.2024'!$B:$B,0)),"Not found")</f>
        <v>OP-Rahastoyhtiö Oy</v>
      </c>
      <c r="M636" s="31" t="str">
        <f>IFERROR(INDEX([2]Sheet1!$B:$B,MATCH($D636,[2]Sheet1!$A:$A,0)),"Not found")</f>
        <v>Retail</v>
      </c>
      <c r="N636">
        <f t="shared" si="18"/>
        <v>1</v>
      </c>
      <c r="O636">
        <f t="shared" si="19"/>
        <v>0</v>
      </c>
    </row>
    <row r="637" spans="1:15" x14ac:dyDescent="0.25">
      <c r="A637" t="s">
        <v>0</v>
      </c>
      <c r="B637" s="1">
        <v>43525</v>
      </c>
      <c r="C637" s="1">
        <v>44592</v>
      </c>
      <c r="D637" s="4" t="s">
        <v>1474</v>
      </c>
      <c r="E637" s="32" t="s">
        <v>1475</v>
      </c>
      <c r="F637" s="32">
        <v>29224403</v>
      </c>
      <c r="G637" t="s">
        <v>3</v>
      </c>
      <c r="H637" t="s">
        <v>4</v>
      </c>
      <c r="I637" t="s">
        <v>20</v>
      </c>
      <c r="J637" s="30" t="str">
        <f>IF(ISNUMBER(MATCH($D637,'Lopettaneet 2013-&gt;'!$D:$D,0)),INDEX('Lopettaneet 2013-&gt;'!$K:$K,MATCH($D637,'Lopettaneet 2013-&gt;'!$D:$D,0)),"Continues")</f>
        <v>Merged</v>
      </c>
      <c r="K637" s="30">
        <f ca="1">IF($J637="Continues",DATEDIF($B637,TODAY(),"Y"),INDEX('Lopettaneet 2013-&gt;'!$L:$L,MATCH($D637,'Lopettaneet 2013-&gt;'!$D:$D,0)))</f>
        <v>2</v>
      </c>
      <c r="L637" s="31" t="str">
        <f>IFERROR(INDEX('[1]30.06.2024'!$H:$H,MATCH($E637,'[1]30.06.2024'!$B:$B,0)),"Not found")</f>
        <v>Not found</v>
      </c>
      <c r="M637" s="31" t="str">
        <f>IFERROR(INDEX([2]Sheet1!$B:$B,MATCH($D637,[2]Sheet1!$A:$A,0)),"Not found")</f>
        <v>Not found</v>
      </c>
      <c r="N637">
        <f t="shared" si="18"/>
        <v>0</v>
      </c>
      <c r="O637">
        <f t="shared" si="19"/>
        <v>0</v>
      </c>
    </row>
    <row r="638" spans="1:15" x14ac:dyDescent="0.25">
      <c r="A638" t="s">
        <v>0</v>
      </c>
      <c r="B638" s="1">
        <v>43525</v>
      </c>
      <c r="C638" s="1">
        <v>55153</v>
      </c>
      <c r="D638" s="4" t="s">
        <v>1476</v>
      </c>
      <c r="E638" s="32" t="s">
        <v>1477</v>
      </c>
      <c r="F638" s="32">
        <v>29224438</v>
      </c>
      <c r="G638" t="s">
        <v>3</v>
      </c>
      <c r="H638" t="s">
        <v>4</v>
      </c>
      <c r="I638" t="s">
        <v>20</v>
      </c>
      <c r="J638" s="30" t="str">
        <f>IF(ISNUMBER(MATCH($D638,'Lopettaneet 2013-&gt;'!$D:$D,0)),INDEX('Lopettaneet 2013-&gt;'!$K:$K,MATCH($D638,'Lopettaneet 2013-&gt;'!$D:$D,0)),"Continues")</f>
        <v>Continues</v>
      </c>
      <c r="K638" s="30">
        <f ca="1">IF($J638="Continues",DATEDIF($B638,TODAY(),"Y"),INDEX('Lopettaneet 2013-&gt;'!$L:$L,MATCH($D638,'Lopettaneet 2013-&gt;'!$D:$D,0)))</f>
        <v>6</v>
      </c>
      <c r="L638" s="31" t="str">
        <f>IFERROR(INDEX('[1]30.06.2024'!$H:$H,MATCH($E638,'[1]30.06.2024'!$B:$B,0)),"Not found")</f>
        <v>Aktia Rahastoyhtiö Oy</v>
      </c>
      <c r="M638" s="31" t="str">
        <f>IFERROR(INDEX([2]Sheet1!$B:$B,MATCH($D638,[2]Sheet1!$A:$A,0)),"Not found")</f>
        <v>Retail</v>
      </c>
      <c r="N638">
        <f t="shared" si="18"/>
        <v>1</v>
      </c>
      <c r="O638">
        <f t="shared" si="19"/>
        <v>0</v>
      </c>
    </row>
    <row r="639" spans="1:15" x14ac:dyDescent="0.25">
      <c r="A639" t="s">
        <v>7</v>
      </c>
      <c r="B639" s="1">
        <v>43252</v>
      </c>
      <c r="C639" s="1">
        <v>55153</v>
      </c>
      <c r="D639" s="4" t="s">
        <v>1478</v>
      </c>
      <c r="E639" s="32" t="s">
        <v>1479</v>
      </c>
      <c r="F639" s="32">
        <v>26842353</v>
      </c>
      <c r="G639" t="s">
        <v>10</v>
      </c>
      <c r="H639" t="s">
        <v>11</v>
      </c>
      <c r="I639" t="s">
        <v>32</v>
      </c>
      <c r="J639" s="30" t="str">
        <f>IF(ISNUMBER(MATCH($D639,'Lopettaneet 2013-&gt;'!$D:$D,0)),INDEX('Lopettaneet 2013-&gt;'!$K:$K,MATCH($D639,'Lopettaneet 2013-&gt;'!$D:$D,0)),"Continues")</f>
        <v>Continues</v>
      </c>
      <c r="K639" s="30">
        <f ca="1">IF($J639="Continues",DATEDIF($B639,TODAY(),"Y"),INDEX('Lopettaneet 2013-&gt;'!$L:$L,MATCH($D639,'Lopettaneet 2013-&gt;'!$D:$D,0)))</f>
        <v>6</v>
      </c>
      <c r="L639" s="31" t="str">
        <f>IFERROR(INDEX('[1]30.06.2024'!$H:$H,MATCH($E639,'[1]30.06.2024'!$B:$B,0)),"Not found")</f>
        <v>Hamilton &amp; Cooper Properties Oy</v>
      </c>
      <c r="M639" s="31" t="str">
        <f>IFERROR(INDEX([2]Sheet1!$B:$B,MATCH($D639,[2]Sheet1!$A:$A,0)),"Not found")</f>
        <v>Non-Retail</v>
      </c>
      <c r="N639">
        <f t="shared" si="18"/>
        <v>0</v>
      </c>
      <c r="O639">
        <f t="shared" si="19"/>
        <v>1</v>
      </c>
    </row>
    <row r="640" spans="1:15" x14ac:dyDescent="0.25">
      <c r="A640" t="s">
        <v>0</v>
      </c>
      <c r="B640" s="1">
        <v>43344</v>
      </c>
      <c r="C640" s="1">
        <v>55153</v>
      </c>
      <c r="D640" s="4" t="s">
        <v>1480</v>
      </c>
      <c r="E640" s="32" t="s">
        <v>1481</v>
      </c>
      <c r="F640" s="32">
        <v>29244586</v>
      </c>
      <c r="G640" t="s">
        <v>3</v>
      </c>
      <c r="H640" t="s">
        <v>4</v>
      </c>
      <c r="I640" t="s">
        <v>50</v>
      </c>
      <c r="J640" s="30" t="str">
        <f>IF(ISNUMBER(MATCH($D640,'Lopettaneet 2013-&gt;'!$D:$D,0)),INDEX('Lopettaneet 2013-&gt;'!$K:$K,MATCH($D640,'Lopettaneet 2013-&gt;'!$D:$D,0)),"Continues")</f>
        <v>Continues</v>
      </c>
      <c r="K640" s="30">
        <f ca="1">IF($J640="Continues",DATEDIF($B640,TODAY(),"Y"),INDEX('Lopettaneet 2013-&gt;'!$L:$L,MATCH($D640,'Lopettaneet 2013-&gt;'!$D:$D,0)))</f>
        <v>6</v>
      </c>
      <c r="L640" s="31" t="str">
        <f>IFERROR(INDEX('[1]30.06.2024'!$H:$H,MATCH($E640,'[1]30.06.2024'!$B:$B,0)),"Not found")</f>
        <v>Not found</v>
      </c>
      <c r="M640" s="31" t="str">
        <f>IFERROR(INDEX([2]Sheet1!$B:$B,MATCH($D640,[2]Sheet1!$A:$A,0)),"Not found")</f>
        <v>Retail</v>
      </c>
      <c r="N640">
        <f t="shared" si="18"/>
        <v>1</v>
      </c>
      <c r="O640">
        <f t="shared" si="19"/>
        <v>0</v>
      </c>
    </row>
    <row r="641" spans="1:15" x14ac:dyDescent="0.25">
      <c r="A641" t="s">
        <v>0</v>
      </c>
      <c r="B641" s="1">
        <v>43525</v>
      </c>
      <c r="C641" s="1">
        <v>55153</v>
      </c>
      <c r="D641" s="4" t="s">
        <v>1482</v>
      </c>
      <c r="E641" s="32" t="s">
        <v>1483</v>
      </c>
      <c r="F641" s="32">
        <v>29439084</v>
      </c>
      <c r="G641" t="s">
        <v>10</v>
      </c>
      <c r="H641" t="s">
        <v>11</v>
      </c>
      <c r="I641" t="s">
        <v>29</v>
      </c>
      <c r="J641" s="30" t="str">
        <f>IF(ISNUMBER(MATCH($D641,'Lopettaneet 2013-&gt;'!$D:$D,0)),INDEX('Lopettaneet 2013-&gt;'!$K:$K,MATCH($D641,'Lopettaneet 2013-&gt;'!$D:$D,0)),"Continues")</f>
        <v>Continues</v>
      </c>
      <c r="K641" s="30">
        <f ca="1">IF($J641="Continues",DATEDIF($B641,TODAY(),"Y"),INDEX('Lopettaneet 2013-&gt;'!$L:$L,MATCH($D641,'Lopettaneet 2013-&gt;'!$D:$D,0)))</f>
        <v>6</v>
      </c>
      <c r="L641" s="31" t="str">
        <f>IFERROR(INDEX('[1]30.06.2024'!$H:$H,MATCH($E641,'[1]30.06.2024'!$B:$B,0)),"Not found")</f>
        <v>eQ Rahastoyhtiö Oy</v>
      </c>
      <c r="M641" s="31" t="str">
        <f>IFERROR(INDEX([2]Sheet1!$B:$B,MATCH($D641,[2]Sheet1!$A:$A,0)),"Not found")</f>
        <v>Non-Retail</v>
      </c>
      <c r="N641">
        <f t="shared" si="18"/>
        <v>0</v>
      </c>
      <c r="O641">
        <f t="shared" si="19"/>
        <v>1</v>
      </c>
    </row>
    <row r="642" spans="1:15" x14ac:dyDescent="0.25">
      <c r="A642" t="s">
        <v>0</v>
      </c>
      <c r="B642" s="1">
        <v>43435</v>
      </c>
      <c r="C642" s="1">
        <v>55153</v>
      </c>
      <c r="D642" s="4" t="s">
        <v>1484</v>
      </c>
      <c r="E642" s="32" t="s">
        <v>1485</v>
      </c>
      <c r="F642" s="32">
        <v>29187497</v>
      </c>
      <c r="G642" t="s">
        <v>10</v>
      </c>
      <c r="H642" t="s">
        <v>4</v>
      </c>
      <c r="I642" t="s">
        <v>47</v>
      </c>
      <c r="J642" s="30" t="str">
        <f>IF(ISNUMBER(MATCH($D642,'Lopettaneet 2013-&gt;'!$D:$D,0)),INDEX('Lopettaneet 2013-&gt;'!$K:$K,MATCH($D642,'Lopettaneet 2013-&gt;'!$D:$D,0)),"Continues")</f>
        <v>Continues</v>
      </c>
      <c r="K642" s="30">
        <f ca="1">IF($J642="Continues",DATEDIF($B642,TODAY(),"Y"),INDEX('Lopettaneet 2013-&gt;'!$L:$L,MATCH($D642,'Lopettaneet 2013-&gt;'!$D:$D,0)))</f>
        <v>6</v>
      </c>
      <c r="L642" s="31" t="str">
        <f>IFERROR(INDEX('[1]30.06.2024'!$H:$H,MATCH($E642,'[1]30.06.2024'!$B:$B,0)),"Not found")</f>
        <v>GRIT Rahastoyhtiö Oy</v>
      </c>
      <c r="M642" s="31" t="str">
        <f>IFERROR(INDEX([2]Sheet1!$B:$B,MATCH($D642,[2]Sheet1!$A:$A,0)),"Not found")</f>
        <v>Non-Retail</v>
      </c>
      <c r="N642">
        <f t="shared" si="18"/>
        <v>0</v>
      </c>
      <c r="O642">
        <f t="shared" si="19"/>
        <v>1</v>
      </c>
    </row>
    <row r="643" spans="1:15" x14ac:dyDescent="0.25">
      <c r="A643" t="s">
        <v>0</v>
      </c>
      <c r="B643" s="1">
        <v>43922</v>
      </c>
      <c r="C643" s="1">
        <v>55153</v>
      </c>
      <c r="D643" s="4" t="s">
        <v>1486</v>
      </c>
      <c r="E643" s="32" t="s">
        <v>1487</v>
      </c>
      <c r="F643" s="32">
        <v>29188502</v>
      </c>
      <c r="G643" t="s">
        <v>10</v>
      </c>
      <c r="H643" t="s">
        <v>4</v>
      </c>
      <c r="I643" t="s">
        <v>20</v>
      </c>
      <c r="J643" s="30" t="str">
        <f>IF(ISNUMBER(MATCH($D643,'Lopettaneet 2013-&gt;'!$D:$D,0)),INDEX('Lopettaneet 2013-&gt;'!$K:$K,MATCH($D643,'Lopettaneet 2013-&gt;'!$D:$D,0)),"Continues")</f>
        <v>Continues</v>
      </c>
      <c r="K643" s="30">
        <f ca="1">IF($J643="Continues",DATEDIF($B643,TODAY(),"Y"),INDEX('Lopettaneet 2013-&gt;'!$L:$L,MATCH($D643,'Lopettaneet 2013-&gt;'!$D:$D,0)))</f>
        <v>5</v>
      </c>
      <c r="L643" s="31" t="str">
        <f>IFERROR(INDEX('[1]30.06.2024'!$H:$H,MATCH($E643,'[1]30.06.2024'!$B:$B,0)),"Not found")</f>
        <v>GRIT Rahastoyhtiö Oy</v>
      </c>
      <c r="M643" s="31" t="str">
        <f>IFERROR(INDEX([2]Sheet1!$B:$B,MATCH($D643,[2]Sheet1!$A:$A,0)),"Not found")</f>
        <v>Retail</v>
      </c>
      <c r="N643">
        <f t="shared" ref="N643:N706" si="20">IF($M643="Retail",1,0)</f>
        <v>1</v>
      </c>
      <c r="O643">
        <f t="shared" ref="O643:O706" si="21">IF($M643="Non-Retail",1,0)</f>
        <v>0</v>
      </c>
    </row>
    <row r="644" spans="1:15" x14ac:dyDescent="0.25">
      <c r="A644" t="s">
        <v>7</v>
      </c>
      <c r="B644" s="1">
        <v>43344</v>
      </c>
      <c r="C644" s="1">
        <v>55153</v>
      </c>
      <c r="D644" s="4" t="s">
        <v>1488</v>
      </c>
      <c r="E644" s="32" t="s">
        <v>1489</v>
      </c>
      <c r="F644" s="32">
        <v>29280958</v>
      </c>
      <c r="G644" t="s">
        <v>10</v>
      </c>
      <c r="H644" t="s">
        <v>11</v>
      </c>
      <c r="I644" t="s">
        <v>32</v>
      </c>
      <c r="J644" s="30" t="str">
        <f>IF(ISNUMBER(MATCH($D644,'Lopettaneet 2013-&gt;'!$D:$D,0)),INDEX('Lopettaneet 2013-&gt;'!$K:$K,MATCH($D644,'Lopettaneet 2013-&gt;'!$D:$D,0)),"Continues")</f>
        <v>Continues</v>
      </c>
      <c r="K644" s="30">
        <f ca="1">IF($J644="Continues",DATEDIF($B644,TODAY(),"Y"),INDEX('Lopettaneet 2013-&gt;'!$L:$L,MATCH($D644,'Lopettaneet 2013-&gt;'!$D:$D,0)))</f>
        <v>6</v>
      </c>
      <c r="L644" s="31" t="str">
        <f>IFERROR(INDEX('[1]30.06.2024'!$H:$H,MATCH($E644,'[1]30.06.2024'!$B:$B,0)),"Not found")</f>
        <v>Terwa Management Oy</v>
      </c>
      <c r="M644" s="31" t="str">
        <f>IFERROR(INDEX([2]Sheet1!$B:$B,MATCH($D644,[2]Sheet1!$A:$A,0)),"Not found")</f>
        <v>Non-Retail</v>
      </c>
      <c r="N644">
        <f t="shared" si="20"/>
        <v>0</v>
      </c>
      <c r="O644">
        <f t="shared" si="21"/>
        <v>1</v>
      </c>
    </row>
    <row r="645" spans="1:15" x14ac:dyDescent="0.25">
      <c r="A645" t="s">
        <v>0</v>
      </c>
      <c r="B645" s="1">
        <v>43497</v>
      </c>
      <c r="C645" s="1">
        <v>55153</v>
      </c>
      <c r="D645" s="4" t="s">
        <v>1490</v>
      </c>
      <c r="E645" s="32" t="s">
        <v>1491</v>
      </c>
      <c r="F645" s="32">
        <v>29441459</v>
      </c>
      <c r="G645" t="s">
        <v>10</v>
      </c>
      <c r="H645" t="s">
        <v>4</v>
      </c>
      <c r="I645" t="s">
        <v>32</v>
      </c>
      <c r="J645" s="30" t="str">
        <f>IF(ISNUMBER(MATCH($D645,'Lopettaneet 2013-&gt;'!$D:$D,0)),INDEX('Lopettaneet 2013-&gt;'!$K:$K,MATCH($D645,'Lopettaneet 2013-&gt;'!$D:$D,0)),"Continues")</f>
        <v>Continues</v>
      </c>
      <c r="K645" s="30">
        <f ca="1">IF($J645="Continues",DATEDIF($B645,TODAY(),"Y"),INDEX('Lopettaneet 2013-&gt;'!$L:$L,MATCH($D645,'Lopettaneet 2013-&gt;'!$D:$D,0)))</f>
        <v>6</v>
      </c>
      <c r="L645" s="31" t="str">
        <f>IFERROR(INDEX('[1]30.06.2024'!$H:$H,MATCH($E645,'[1]30.06.2024'!$B:$B,0)),"Not found")</f>
        <v>UB Rahastoyhtiö Oy</v>
      </c>
      <c r="M645" s="31" t="str">
        <f>IFERROR(INDEX([2]Sheet1!$B:$B,MATCH($D645,[2]Sheet1!$A:$A,0)),"Not found")</f>
        <v>Retail</v>
      </c>
      <c r="N645">
        <f t="shared" si="20"/>
        <v>1</v>
      </c>
      <c r="O645">
        <f t="shared" si="21"/>
        <v>0</v>
      </c>
    </row>
    <row r="646" spans="1:15" x14ac:dyDescent="0.25">
      <c r="A646" t="s">
        <v>7</v>
      </c>
      <c r="B646" s="1">
        <v>43344</v>
      </c>
      <c r="C646" s="1">
        <v>55153</v>
      </c>
      <c r="D646" s="4" t="s">
        <v>1492</v>
      </c>
      <c r="E646" s="32" t="s">
        <v>1493</v>
      </c>
      <c r="F646" s="32">
        <v>29227604</v>
      </c>
      <c r="G646" t="s">
        <v>10</v>
      </c>
      <c r="H646" t="s">
        <v>11</v>
      </c>
      <c r="I646" t="s">
        <v>32</v>
      </c>
      <c r="J646" s="30" t="str">
        <f>IF(ISNUMBER(MATCH($D646,'Lopettaneet 2013-&gt;'!$D:$D,0)),INDEX('Lopettaneet 2013-&gt;'!$K:$K,MATCH($D646,'Lopettaneet 2013-&gt;'!$D:$D,0)),"Continues")</f>
        <v>Continues</v>
      </c>
      <c r="K646" s="30">
        <f ca="1">IF($J646="Continues",DATEDIF($B646,TODAY(),"Y"),INDEX('Lopettaneet 2013-&gt;'!$L:$L,MATCH($D646,'Lopettaneet 2013-&gt;'!$D:$D,0)))</f>
        <v>6</v>
      </c>
      <c r="L646" s="31" t="str">
        <f>IFERROR(INDEX('[1]30.06.2024'!$H:$H,MATCH($E646,'[1]30.06.2024'!$B:$B,0)),"Not found")</f>
        <v>Taaleri Pääomarahastot Oy</v>
      </c>
      <c r="M646" s="31" t="str">
        <f>IFERROR(INDEX([2]Sheet1!$B:$B,MATCH($D646,[2]Sheet1!$A:$A,0)),"Not found")</f>
        <v>Non-Retail</v>
      </c>
      <c r="N646">
        <f t="shared" si="20"/>
        <v>0</v>
      </c>
      <c r="O646">
        <f t="shared" si="21"/>
        <v>1</v>
      </c>
    </row>
    <row r="647" spans="1:15" x14ac:dyDescent="0.25">
      <c r="A647" t="s">
        <v>7</v>
      </c>
      <c r="B647" s="1">
        <v>43344</v>
      </c>
      <c r="C647" s="1">
        <v>55153</v>
      </c>
      <c r="D647" s="4" t="s">
        <v>1494</v>
      </c>
      <c r="E647" s="32" t="s">
        <v>1495</v>
      </c>
      <c r="F647" s="32">
        <v>29227495</v>
      </c>
      <c r="G647" t="s">
        <v>10</v>
      </c>
      <c r="H647" t="s">
        <v>11</v>
      </c>
      <c r="I647" t="s">
        <v>32</v>
      </c>
      <c r="J647" s="30" t="str">
        <f>IF(ISNUMBER(MATCH($D647,'Lopettaneet 2013-&gt;'!$D:$D,0)),INDEX('Lopettaneet 2013-&gt;'!$K:$K,MATCH($D647,'Lopettaneet 2013-&gt;'!$D:$D,0)),"Continues")</f>
        <v>Continues</v>
      </c>
      <c r="K647" s="30">
        <f ca="1">IF($J647="Continues",DATEDIF($B647,TODAY(),"Y"),INDEX('Lopettaneet 2013-&gt;'!$L:$L,MATCH($D647,'Lopettaneet 2013-&gt;'!$D:$D,0)))</f>
        <v>6</v>
      </c>
      <c r="L647" s="31" t="str">
        <f>IFERROR(INDEX('[1]30.06.2024'!$H:$H,MATCH($E647,'[1]30.06.2024'!$B:$B,0)),"Not found")</f>
        <v>Taaleri Pääomarahastot Oy</v>
      </c>
      <c r="M647" s="31" t="str">
        <f>IFERROR(INDEX([2]Sheet1!$B:$B,MATCH($D647,[2]Sheet1!$A:$A,0)),"Not found")</f>
        <v>Non-Retail</v>
      </c>
      <c r="N647">
        <f t="shared" si="20"/>
        <v>0</v>
      </c>
      <c r="O647">
        <f t="shared" si="21"/>
        <v>1</v>
      </c>
    </row>
    <row r="648" spans="1:15" x14ac:dyDescent="0.25">
      <c r="A648" t="s">
        <v>7</v>
      </c>
      <c r="B648" s="1">
        <v>43344</v>
      </c>
      <c r="C648" s="1">
        <v>55153</v>
      </c>
      <c r="D648" s="4" t="s">
        <v>1496</v>
      </c>
      <c r="E648" s="32" t="s">
        <v>1497</v>
      </c>
      <c r="F648" s="32">
        <v>29227567</v>
      </c>
      <c r="G648" t="s">
        <v>10</v>
      </c>
      <c r="H648" t="s">
        <v>11</v>
      </c>
      <c r="I648" t="s">
        <v>32</v>
      </c>
      <c r="J648" s="30" t="str">
        <f>IF(ISNUMBER(MATCH($D648,'Lopettaneet 2013-&gt;'!$D:$D,0)),INDEX('Lopettaneet 2013-&gt;'!$K:$K,MATCH($D648,'Lopettaneet 2013-&gt;'!$D:$D,0)),"Continues")</f>
        <v>Continues</v>
      </c>
      <c r="K648" s="30">
        <f ca="1">IF($J648="Continues",DATEDIF($B648,TODAY(),"Y"),INDEX('Lopettaneet 2013-&gt;'!$L:$L,MATCH($D648,'Lopettaneet 2013-&gt;'!$D:$D,0)))</f>
        <v>6</v>
      </c>
      <c r="L648" s="31" t="str">
        <f>IFERROR(INDEX('[1]30.06.2024'!$H:$H,MATCH($E648,'[1]30.06.2024'!$B:$B,0)),"Not found")</f>
        <v>Taaleri Pääomarahastot Oy</v>
      </c>
      <c r="M648" s="31" t="str">
        <f>IFERROR(INDEX([2]Sheet1!$B:$B,MATCH($D648,[2]Sheet1!$A:$A,0)),"Not found")</f>
        <v>Non-Retail</v>
      </c>
      <c r="N648">
        <f t="shared" si="20"/>
        <v>0</v>
      </c>
      <c r="O648">
        <f t="shared" si="21"/>
        <v>1</v>
      </c>
    </row>
    <row r="649" spans="1:15" x14ac:dyDescent="0.25">
      <c r="A649" t="s">
        <v>7</v>
      </c>
      <c r="B649" s="1">
        <v>43344</v>
      </c>
      <c r="C649" s="1">
        <v>55153</v>
      </c>
      <c r="D649" s="4" t="s">
        <v>1498</v>
      </c>
      <c r="E649" s="32" t="s">
        <v>1499</v>
      </c>
      <c r="F649" s="32">
        <v>29227524</v>
      </c>
      <c r="G649" t="s">
        <v>10</v>
      </c>
      <c r="H649" t="s">
        <v>11</v>
      </c>
      <c r="I649" t="s">
        <v>32</v>
      </c>
      <c r="J649" s="30" t="str">
        <f>IF(ISNUMBER(MATCH($D649,'Lopettaneet 2013-&gt;'!$D:$D,0)),INDEX('Lopettaneet 2013-&gt;'!$K:$K,MATCH($D649,'Lopettaneet 2013-&gt;'!$D:$D,0)),"Continues")</f>
        <v>Continues</v>
      </c>
      <c r="K649" s="30">
        <f ca="1">IF($J649="Continues",DATEDIF($B649,TODAY(),"Y"),INDEX('Lopettaneet 2013-&gt;'!$L:$L,MATCH($D649,'Lopettaneet 2013-&gt;'!$D:$D,0)))</f>
        <v>6</v>
      </c>
      <c r="L649" s="31" t="str">
        <f>IFERROR(INDEX('[1]30.06.2024'!$H:$H,MATCH($E649,'[1]30.06.2024'!$B:$B,0)),"Not found")</f>
        <v>Taaleri Pääomarahastot Oy</v>
      </c>
      <c r="M649" s="31" t="str">
        <f>IFERROR(INDEX([2]Sheet1!$B:$B,MATCH($D649,[2]Sheet1!$A:$A,0)),"Not found")</f>
        <v>Non-Retail</v>
      </c>
      <c r="N649">
        <f t="shared" si="20"/>
        <v>0</v>
      </c>
      <c r="O649">
        <f t="shared" si="21"/>
        <v>1</v>
      </c>
    </row>
    <row r="650" spans="1:15" x14ac:dyDescent="0.25">
      <c r="A650" t="s">
        <v>7</v>
      </c>
      <c r="B650" s="1">
        <v>43344</v>
      </c>
      <c r="C650" s="1">
        <v>55153</v>
      </c>
      <c r="D650" s="4" t="s">
        <v>1500</v>
      </c>
      <c r="E650" s="32" t="s">
        <v>1501</v>
      </c>
      <c r="F650" s="32">
        <v>29227583</v>
      </c>
      <c r="G650" t="s">
        <v>10</v>
      </c>
      <c r="H650" t="s">
        <v>11</v>
      </c>
      <c r="I650" t="s">
        <v>32</v>
      </c>
      <c r="J650" s="30" t="str">
        <f>IF(ISNUMBER(MATCH($D650,'Lopettaneet 2013-&gt;'!$D:$D,0)),INDEX('Lopettaneet 2013-&gt;'!$K:$K,MATCH($D650,'Lopettaneet 2013-&gt;'!$D:$D,0)),"Continues")</f>
        <v>Continues</v>
      </c>
      <c r="K650" s="30">
        <f ca="1">IF($J650="Continues",DATEDIF($B650,TODAY(),"Y"),INDEX('Lopettaneet 2013-&gt;'!$L:$L,MATCH($D650,'Lopettaneet 2013-&gt;'!$D:$D,0)))</f>
        <v>6</v>
      </c>
      <c r="L650" s="31" t="str">
        <f>IFERROR(INDEX('[1]30.06.2024'!$H:$H,MATCH($E650,'[1]30.06.2024'!$B:$B,0)),"Not found")</f>
        <v>Taaleri Pääomarahastot Oy</v>
      </c>
      <c r="M650" s="31" t="str">
        <f>IFERROR(INDEX([2]Sheet1!$B:$B,MATCH($D650,[2]Sheet1!$A:$A,0)),"Not found")</f>
        <v>Non-Retail</v>
      </c>
      <c r="N650">
        <f t="shared" si="20"/>
        <v>0</v>
      </c>
      <c r="O650">
        <f t="shared" si="21"/>
        <v>1</v>
      </c>
    </row>
    <row r="651" spans="1:15" x14ac:dyDescent="0.25">
      <c r="A651" t="s">
        <v>7</v>
      </c>
      <c r="B651" s="1">
        <v>43435</v>
      </c>
      <c r="C651" s="1">
        <v>55153</v>
      </c>
      <c r="D651" s="4" t="s">
        <v>1502</v>
      </c>
      <c r="E651" s="32" t="s">
        <v>1503</v>
      </c>
      <c r="F651" s="32">
        <v>29265248</v>
      </c>
      <c r="G651" t="s">
        <v>10</v>
      </c>
      <c r="H651" t="s">
        <v>11</v>
      </c>
      <c r="I651" t="s">
        <v>32</v>
      </c>
      <c r="J651" s="30" t="str">
        <f>IF(ISNUMBER(MATCH($D651,'Lopettaneet 2013-&gt;'!$D:$D,0)),INDEX('Lopettaneet 2013-&gt;'!$K:$K,MATCH($D651,'Lopettaneet 2013-&gt;'!$D:$D,0)),"Continues")</f>
        <v>Continues</v>
      </c>
      <c r="K651" s="30">
        <f ca="1">IF($J651="Continues",DATEDIF($B651,TODAY(),"Y"),INDEX('Lopettaneet 2013-&gt;'!$L:$L,MATCH($D651,'Lopettaneet 2013-&gt;'!$D:$D,0)))</f>
        <v>6</v>
      </c>
      <c r="L651" s="31" t="str">
        <f>IFERROR(INDEX('[1]30.06.2024'!$H:$H,MATCH($E651,'[1]30.06.2024'!$B:$B,0)),"Not found")</f>
        <v>Evli-Rahastoyhtiö Oy</v>
      </c>
      <c r="M651" s="31" t="str">
        <f>IFERROR(INDEX([2]Sheet1!$B:$B,MATCH($D651,[2]Sheet1!$A:$A,0)),"Not found")</f>
        <v>Retail</v>
      </c>
      <c r="N651">
        <f t="shared" si="20"/>
        <v>1</v>
      </c>
      <c r="O651">
        <f t="shared" si="21"/>
        <v>0</v>
      </c>
    </row>
    <row r="652" spans="1:15" x14ac:dyDescent="0.25">
      <c r="A652" t="s">
        <v>0</v>
      </c>
      <c r="B652" s="1">
        <v>43344</v>
      </c>
      <c r="C652" s="1">
        <v>55153</v>
      </c>
      <c r="D652" s="4" t="s">
        <v>1504</v>
      </c>
      <c r="E652" s="32" t="s">
        <v>1505</v>
      </c>
      <c r="F652" s="32">
        <v>29205069</v>
      </c>
      <c r="G652" t="s">
        <v>10</v>
      </c>
      <c r="H652" t="s">
        <v>4</v>
      </c>
      <c r="I652" t="s">
        <v>32</v>
      </c>
      <c r="J652" s="30" t="str">
        <f>IF(ISNUMBER(MATCH($D652,'Lopettaneet 2013-&gt;'!$D:$D,0)),INDEX('Lopettaneet 2013-&gt;'!$K:$K,MATCH($D652,'Lopettaneet 2013-&gt;'!$D:$D,0)),"Continues")</f>
        <v>Continues</v>
      </c>
      <c r="K652" s="30">
        <f ca="1">IF($J652="Continues",DATEDIF($B652,TODAY(),"Y"),INDEX('Lopettaneet 2013-&gt;'!$L:$L,MATCH($D652,'Lopettaneet 2013-&gt;'!$D:$D,0)))</f>
        <v>6</v>
      </c>
      <c r="L652" s="31" t="str">
        <f>IFERROR(INDEX('[1]30.06.2024'!$H:$H,MATCH($E652,'[1]30.06.2024'!$B:$B,0)),"Not found")</f>
        <v>Not found</v>
      </c>
      <c r="M652" s="31" t="str">
        <f>IFERROR(INDEX([2]Sheet1!$B:$B,MATCH($D652,[2]Sheet1!$A:$A,0)),"Not found")</f>
        <v>Retail</v>
      </c>
      <c r="N652">
        <f t="shared" si="20"/>
        <v>1</v>
      </c>
      <c r="O652">
        <f t="shared" si="21"/>
        <v>0</v>
      </c>
    </row>
    <row r="653" spans="1:15" x14ac:dyDescent="0.25">
      <c r="A653" t="s">
        <v>7</v>
      </c>
      <c r="B653" s="1">
        <v>43617</v>
      </c>
      <c r="C653" s="1">
        <v>55153</v>
      </c>
      <c r="D653" s="4" t="s">
        <v>1506</v>
      </c>
      <c r="E653" s="32" t="s">
        <v>1507</v>
      </c>
      <c r="F653" s="32">
        <v>29890211</v>
      </c>
      <c r="G653" t="s">
        <v>10</v>
      </c>
      <c r="H653" t="s">
        <v>11</v>
      </c>
      <c r="I653" t="s">
        <v>80</v>
      </c>
      <c r="J653" s="30" t="str">
        <f>IF(ISNUMBER(MATCH($D653,'Lopettaneet 2013-&gt;'!$D:$D,0)),INDEX('Lopettaneet 2013-&gt;'!$K:$K,MATCH($D653,'Lopettaneet 2013-&gt;'!$D:$D,0)),"Continues")</f>
        <v>Continues</v>
      </c>
      <c r="K653" s="30">
        <f ca="1">IF($J653="Continues",DATEDIF($B653,TODAY(),"Y"),INDEX('Lopettaneet 2013-&gt;'!$L:$L,MATCH($D653,'Lopettaneet 2013-&gt;'!$D:$D,0)))</f>
        <v>5</v>
      </c>
      <c r="L653" s="31" t="str">
        <f>IFERROR(INDEX('[1]30.06.2024'!$H:$H,MATCH($E653,'[1]30.06.2024'!$B:$B,0)),"Not found")</f>
        <v>Grid.vc Oy</v>
      </c>
      <c r="M653" s="31" t="str">
        <f>IFERROR(INDEX([2]Sheet1!$B:$B,MATCH($D653,[2]Sheet1!$A:$A,0)),"Not found")</f>
        <v>Retail</v>
      </c>
      <c r="N653">
        <f t="shared" si="20"/>
        <v>1</v>
      </c>
      <c r="O653">
        <f t="shared" si="21"/>
        <v>0</v>
      </c>
    </row>
    <row r="654" spans="1:15" x14ac:dyDescent="0.25">
      <c r="A654" t="s">
        <v>7</v>
      </c>
      <c r="B654" s="1">
        <v>43435</v>
      </c>
      <c r="C654" s="1">
        <v>44561</v>
      </c>
      <c r="D654" s="4" t="s">
        <v>1508</v>
      </c>
      <c r="E654" s="32" t="s">
        <v>1509</v>
      </c>
      <c r="F654" s="32">
        <v>29404754</v>
      </c>
      <c r="G654" t="s">
        <v>10</v>
      </c>
      <c r="H654" t="s">
        <v>11</v>
      </c>
      <c r="I654" t="s">
        <v>29</v>
      </c>
      <c r="J654" s="30" t="str">
        <f>IF(ISNUMBER(MATCH($D654,'Lopettaneet 2013-&gt;'!$D:$D,0)),INDEX('Lopettaneet 2013-&gt;'!$K:$K,MATCH($D654,'Lopettaneet 2013-&gt;'!$D:$D,0)),"Continues")</f>
        <v>Closed</v>
      </c>
      <c r="K654" s="30">
        <f ca="1">IF($J654="Continues",DATEDIF($B654,TODAY(),"Y"),INDEX('Lopettaneet 2013-&gt;'!$L:$L,MATCH($D654,'Lopettaneet 2013-&gt;'!$D:$D,0)))</f>
        <v>3</v>
      </c>
      <c r="L654" s="31" t="str">
        <f>IFERROR(INDEX('[1]30.06.2024'!$H:$H,MATCH($E654,'[1]30.06.2024'!$B:$B,0)),"Not found")</f>
        <v>Not found</v>
      </c>
      <c r="M654" s="31" t="str">
        <f>IFERROR(INDEX([2]Sheet1!$B:$B,MATCH($D654,[2]Sheet1!$A:$A,0)),"Not found")</f>
        <v>Not found</v>
      </c>
      <c r="N654">
        <f t="shared" si="20"/>
        <v>0</v>
      </c>
      <c r="O654">
        <f t="shared" si="21"/>
        <v>0</v>
      </c>
    </row>
    <row r="655" spans="1:15" x14ac:dyDescent="0.25">
      <c r="A655" t="s">
        <v>7</v>
      </c>
      <c r="B655" s="1">
        <v>43435</v>
      </c>
      <c r="C655" s="1">
        <v>44561</v>
      </c>
      <c r="D655" s="4" t="s">
        <v>1510</v>
      </c>
      <c r="E655" s="32" t="s">
        <v>1511</v>
      </c>
      <c r="F655" s="32">
        <v>29407592</v>
      </c>
      <c r="G655" t="s">
        <v>10</v>
      </c>
      <c r="H655" t="s">
        <v>4</v>
      </c>
      <c r="I655" t="s">
        <v>29</v>
      </c>
      <c r="J655" s="30" t="str">
        <f>IF(ISNUMBER(MATCH($D655,'Lopettaneet 2013-&gt;'!$D:$D,0)),INDEX('Lopettaneet 2013-&gt;'!$K:$K,MATCH($D655,'Lopettaneet 2013-&gt;'!$D:$D,0)),"Continues")</f>
        <v>Closed</v>
      </c>
      <c r="K655" s="30">
        <f ca="1">IF($J655="Continues",DATEDIF($B655,TODAY(),"Y"),INDEX('Lopettaneet 2013-&gt;'!$L:$L,MATCH($D655,'Lopettaneet 2013-&gt;'!$D:$D,0)))</f>
        <v>3</v>
      </c>
      <c r="L655" s="31" t="str">
        <f>IFERROR(INDEX('[1]30.06.2024'!$H:$H,MATCH($E655,'[1]30.06.2024'!$B:$B,0)),"Not found")</f>
        <v>Not found</v>
      </c>
      <c r="M655" s="31" t="str">
        <f>IFERROR(INDEX([2]Sheet1!$B:$B,MATCH($D655,[2]Sheet1!$A:$A,0)),"Not found")</f>
        <v>Not found</v>
      </c>
      <c r="N655">
        <f t="shared" si="20"/>
        <v>0</v>
      </c>
      <c r="O655">
        <f t="shared" si="21"/>
        <v>0</v>
      </c>
    </row>
    <row r="656" spans="1:15" x14ac:dyDescent="0.25">
      <c r="A656" t="s">
        <v>7</v>
      </c>
      <c r="B656" s="1">
        <v>43435</v>
      </c>
      <c r="C656" s="1">
        <v>55153</v>
      </c>
      <c r="D656" s="4" t="s">
        <v>1512</v>
      </c>
      <c r="E656" s="32" t="s">
        <v>1513</v>
      </c>
      <c r="F656" s="32">
        <v>29240008</v>
      </c>
      <c r="G656" t="s">
        <v>10</v>
      </c>
      <c r="H656" t="s">
        <v>11</v>
      </c>
      <c r="I656" t="s">
        <v>32</v>
      </c>
      <c r="J656" s="30" t="str">
        <f>IF(ISNUMBER(MATCH($D656,'Lopettaneet 2013-&gt;'!$D:$D,0)),INDEX('Lopettaneet 2013-&gt;'!$K:$K,MATCH($D656,'Lopettaneet 2013-&gt;'!$D:$D,0)),"Continues")</f>
        <v>Continues</v>
      </c>
      <c r="K656" s="30">
        <f ca="1">IF($J656="Continues",DATEDIF($B656,TODAY(),"Y"),INDEX('Lopettaneet 2013-&gt;'!$L:$L,MATCH($D656,'Lopettaneet 2013-&gt;'!$D:$D,0)))</f>
        <v>6</v>
      </c>
      <c r="L656" s="31" t="str">
        <f>IFERROR(INDEX('[1]30.06.2024'!$H:$H,MATCH($E656,'[1]30.06.2024'!$B:$B,0)),"Not found")</f>
        <v>S-Pankki Rahastoyhtiö Oy</v>
      </c>
      <c r="M656" s="31" t="str">
        <f>IFERROR(INDEX([2]Sheet1!$B:$B,MATCH($D656,[2]Sheet1!$A:$A,0)),"Not found")</f>
        <v>Retail</v>
      </c>
      <c r="N656">
        <f t="shared" si="20"/>
        <v>1</v>
      </c>
      <c r="O656">
        <f t="shared" si="21"/>
        <v>0</v>
      </c>
    </row>
    <row r="657" spans="1:15" x14ac:dyDescent="0.25">
      <c r="A657" t="s">
        <v>7</v>
      </c>
      <c r="B657" s="1">
        <v>43435</v>
      </c>
      <c r="C657" s="1">
        <v>55153</v>
      </c>
      <c r="D657" s="4" t="s">
        <v>1514</v>
      </c>
      <c r="E657" s="32" t="s">
        <v>1515</v>
      </c>
      <c r="F657" s="32">
        <v>29239998</v>
      </c>
      <c r="G657" t="s">
        <v>10</v>
      </c>
      <c r="H657" t="s">
        <v>11</v>
      </c>
      <c r="I657" t="s">
        <v>32</v>
      </c>
      <c r="J657" s="30" t="str">
        <f>IF(ISNUMBER(MATCH($D657,'Lopettaneet 2013-&gt;'!$D:$D,0)),INDEX('Lopettaneet 2013-&gt;'!$K:$K,MATCH($D657,'Lopettaneet 2013-&gt;'!$D:$D,0)),"Continues")</f>
        <v>Continues</v>
      </c>
      <c r="K657" s="30">
        <f ca="1">IF($J657="Continues",DATEDIF($B657,TODAY(),"Y"),INDEX('Lopettaneet 2013-&gt;'!$L:$L,MATCH($D657,'Lopettaneet 2013-&gt;'!$D:$D,0)))</f>
        <v>6</v>
      </c>
      <c r="L657" s="31" t="str">
        <f>IFERROR(INDEX('[1]30.06.2024'!$H:$H,MATCH($E657,'[1]30.06.2024'!$B:$B,0)),"Not found")</f>
        <v>S-Pankki Rahastoyhtiö Oy</v>
      </c>
      <c r="M657" s="31" t="str">
        <f>IFERROR(INDEX([2]Sheet1!$B:$B,MATCH($D657,[2]Sheet1!$A:$A,0)),"Not found")</f>
        <v>Retail</v>
      </c>
      <c r="N657">
        <f t="shared" si="20"/>
        <v>1</v>
      </c>
      <c r="O657">
        <f t="shared" si="21"/>
        <v>0</v>
      </c>
    </row>
    <row r="658" spans="1:15" x14ac:dyDescent="0.25">
      <c r="A658" t="s">
        <v>7</v>
      </c>
      <c r="B658" s="1">
        <v>43435</v>
      </c>
      <c r="C658" s="1">
        <v>55153</v>
      </c>
      <c r="D658" s="4" t="s">
        <v>1516</v>
      </c>
      <c r="E658" s="32" t="s">
        <v>1517</v>
      </c>
      <c r="F658" s="32">
        <v>29408704</v>
      </c>
      <c r="G658" t="s">
        <v>10</v>
      </c>
      <c r="H658" t="s">
        <v>11</v>
      </c>
      <c r="I658" t="s">
        <v>32</v>
      </c>
      <c r="J658" s="30" t="str">
        <f>IF(ISNUMBER(MATCH($D658,'Lopettaneet 2013-&gt;'!$D:$D,0)),INDEX('Lopettaneet 2013-&gt;'!$K:$K,MATCH($D658,'Lopettaneet 2013-&gt;'!$D:$D,0)),"Continues")</f>
        <v>Continues</v>
      </c>
      <c r="K658" s="30">
        <f ca="1">IF($J658="Continues",DATEDIF($B658,TODAY(),"Y"),INDEX('Lopettaneet 2013-&gt;'!$L:$L,MATCH($D658,'Lopettaneet 2013-&gt;'!$D:$D,0)))</f>
        <v>6</v>
      </c>
      <c r="L658" s="31" t="str">
        <f>IFERROR(INDEX('[1]30.06.2024'!$H:$H,MATCH($E658,'[1]30.06.2024'!$B:$B,0)),"Not found")</f>
        <v>Samla Capital Oy</v>
      </c>
      <c r="M658" s="31" t="str">
        <f>IFERROR(INDEX([2]Sheet1!$B:$B,MATCH($D658,[2]Sheet1!$A:$A,0)),"Not found")</f>
        <v>Retail</v>
      </c>
      <c r="N658">
        <f t="shared" si="20"/>
        <v>1</v>
      </c>
      <c r="O658">
        <f t="shared" si="21"/>
        <v>0</v>
      </c>
    </row>
    <row r="659" spans="1:15" x14ac:dyDescent="0.25">
      <c r="A659" t="s">
        <v>7</v>
      </c>
      <c r="B659" s="1">
        <v>43435</v>
      </c>
      <c r="C659" s="1">
        <v>55153</v>
      </c>
      <c r="D659" s="4" t="s">
        <v>1518</v>
      </c>
      <c r="E659" s="32" t="s">
        <v>1519</v>
      </c>
      <c r="F659" s="32">
        <v>29579335</v>
      </c>
      <c r="G659" t="s">
        <v>10</v>
      </c>
      <c r="H659" t="s">
        <v>11</v>
      </c>
      <c r="I659" t="s">
        <v>80</v>
      </c>
      <c r="J659" s="30" t="str">
        <f>IF(ISNUMBER(MATCH($D659,'Lopettaneet 2013-&gt;'!$D:$D,0)),INDEX('Lopettaneet 2013-&gt;'!$K:$K,MATCH($D659,'Lopettaneet 2013-&gt;'!$D:$D,0)),"Continues")</f>
        <v>Continues</v>
      </c>
      <c r="K659" s="30">
        <f ca="1">IF($J659="Continues",DATEDIF($B659,TODAY(),"Y"),INDEX('Lopettaneet 2013-&gt;'!$L:$L,MATCH($D659,'Lopettaneet 2013-&gt;'!$D:$D,0)))</f>
        <v>6</v>
      </c>
      <c r="L659" s="31" t="str">
        <f>IFERROR(INDEX('[1]30.06.2024'!$H:$H,MATCH($E659,'[1]30.06.2024'!$B:$B,0)),"Not found")</f>
        <v>Evli-Rahastoyhtiö Oy</v>
      </c>
      <c r="M659" s="31" t="str">
        <f>IFERROR(INDEX([2]Sheet1!$B:$B,MATCH($D659,[2]Sheet1!$A:$A,0)),"Not found")</f>
        <v>Retail</v>
      </c>
      <c r="N659">
        <f t="shared" si="20"/>
        <v>1</v>
      </c>
      <c r="O659">
        <f t="shared" si="21"/>
        <v>0</v>
      </c>
    </row>
    <row r="660" spans="1:15" x14ac:dyDescent="0.25">
      <c r="A660" t="s">
        <v>0</v>
      </c>
      <c r="B660" s="1">
        <v>43435</v>
      </c>
      <c r="C660" s="1">
        <v>55153</v>
      </c>
      <c r="D660" s="4" t="s">
        <v>1520</v>
      </c>
      <c r="E660" s="32" t="s">
        <v>1521</v>
      </c>
      <c r="F660" s="32">
        <v>29445265</v>
      </c>
      <c r="G660" t="s">
        <v>3</v>
      </c>
      <c r="H660" t="s">
        <v>4</v>
      </c>
      <c r="I660" t="s">
        <v>20</v>
      </c>
      <c r="J660" s="30" t="str">
        <f>IF(ISNUMBER(MATCH($D660,'Lopettaneet 2013-&gt;'!$D:$D,0)),INDEX('Lopettaneet 2013-&gt;'!$K:$K,MATCH($D660,'Lopettaneet 2013-&gt;'!$D:$D,0)),"Continues")</f>
        <v>Continues</v>
      </c>
      <c r="K660" s="30">
        <f ca="1">IF($J660="Continues",DATEDIF($B660,TODAY(),"Y"),INDEX('Lopettaneet 2013-&gt;'!$L:$L,MATCH($D660,'Lopettaneet 2013-&gt;'!$D:$D,0)))</f>
        <v>6</v>
      </c>
      <c r="L660" s="31" t="str">
        <f>IFERROR(INDEX('[1]30.06.2024'!$H:$H,MATCH($E660,'[1]30.06.2024'!$B:$B,0)),"Not found")</f>
        <v>Nordea Funds Oy</v>
      </c>
      <c r="M660" s="31" t="str">
        <f>IFERROR(INDEX([2]Sheet1!$B:$B,MATCH($D660,[2]Sheet1!$A:$A,0)),"Not found")</f>
        <v>Retail</v>
      </c>
      <c r="N660">
        <f t="shared" si="20"/>
        <v>1</v>
      </c>
      <c r="O660">
        <f t="shared" si="21"/>
        <v>0</v>
      </c>
    </row>
    <row r="661" spans="1:15" x14ac:dyDescent="0.25">
      <c r="A661" t="s">
        <v>0</v>
      </c>
      <c r="B661" s="1">
        <v>43586</v>
      </c>
      <c r="C661" s="1">
        <v>45291</v>
      </c>
      <c r="D661" s="4" t="s">
        <v>48</v>
      </c>
      <c r="E661" s="32" t="s">
        <v>49</v>
      </c>
      <c r="F661" s="32">
        <v>29618357</v>
      </c>
      <c r="G661" t="s">
        <v>3</v>
      </c>
      <c r="H661" t="s">
        <v>4</v>
      </c>
      <c r="I661" t="s">
        <v>50</v>
      </c>
      <c r="J661" s="30" t="str">
        <f>IF(ISNUMBER(MATCH($D661,'Lopettaneet 2013-&gt;'!$D:$D,0)),INDEX('Lopettaneet 2013-&gt;'!$K:$K,MATCH($D661,'Lopettaneet 2013-&gt;'!$D:$D,0)),"Continues")</f>
        <v>Merged</v>
      </c>
      <c r="K661" s="30">
        <f ca="1">IF($J661="Continues",DATEDIF($B661,TODAY(),"Y"),INDEX('Lopettaneet 2013-&gt;'!$L:$L,MATCH($D661,'Lopettaneet 2013-&gt;'!$D:$D,0)))</f>
        <v>4</v>
      </c>
      <c r="L661" s="31" t="str">
        <f>IFERROR(INDEX('[1]30.06.2024'!$H:$H,MATCH($E661,'[1]30.06.2024'!$B:$B,0)),"Not found")</f>
        <v>Not found</v>
      </c>
      <c r="M661" s="31" t="str">
        <f>IFERROR(INDEX([2]Sheet1!$B:$B,MATCH($D661,[2]Sheet1!$A:$A,0)),"Not found")</f>
        <v>Not found</v>
      </c>
      <c r="N661">
        <f t="shared" si="20"/>
        <v>0</v>
      </c>
      <c r="O661">
        <f t="shared" si="21"/>
        <v>0</v>
      </c>
    </row>
    <row r="662" spans="1:15" x14ac:dyDescent="0.25">
      <c r="A662" t="s">
        <v>7</v>
      </c>
      <c r="B662" s="1">
        <v>43435</v>
      </c>
      <c r="C662" s="1">
        <v>55153</v>
      </c>
      <c r="D662" s="4" t="s">
        <v>1522</v>
      </c>
      <c r="E662" s="32" t="s">
        <v>1523</v>
      </c>
      <c r="F662" s="32">
        <v>29436123</v>
      </c>
      <c r="G662" t="s">
        <v>10</v>
      </c>
      <c r="H662" t="s">
        <v>11</v>
      </c>
      <c r="I662" t="s">
        <v>29</v>
      </c>
      <c r="J662" s="30" t="str">
        <f>IF(ISNUMBER(MATCH($D662,'Lopettaneet 2013-&gt;'!$D:$D,0)),INDEX('Lopettaneet 2013-&gt;'!$K:$K,MATCH($D662,'Lopettaneet 2013-&gt;'!$D:$D,0)),"Continues")</f>
        <v>Continues</v>
      </c>
      <c r="K662" s="30">
        <f ca="1">IF($J662="Continues",DATEDIF($B662,TODAY(),"Y"),INDEX('Lopettaneet 2013-&gt;'!$L:$L,MATCH($D662,'Lopettaneet 2013-&gt;'!$D:$D,0)))</f>
        <v>6</v>
      </c>
      <c r="L662" s="31" t="str">
        <f>IFERROR(INDEX('[1]30.06.2024'!$H:$H,MATCH($E662,'[1]30.06.2024'!$B:$B,0)),"Not found")</f>
        <v>CapMan AIFM Oy</v>
      </c>
      <c r="M662" s="31" t="str">
        <f>IFERROR(INDEX([2]Sheet1!$B:$B,MATCH($D662,[2]Sheet1!$A:$A,0)),"Not found")</f>
        <v>Non-Retail</v>
      </c>
      <c r="N662">
        <f t="shared" si="20"/>
        <v>0</v>
      </c>
      <c r="O662">
        <f t="shared" si="21"/>
        <v>1</v>
      </c>
    </row>
    <row r="663" spans="1:15" x14ac:dyDescent="0.25">
      <c r="A663" t="s">
        <v>0</v>
      </c>
      <c r="B663" s="1">
        <v>43435</v>
      </c>
      <c r="C663" s="1">
        <v>55153</v>
      </c>
      <c r="D663" s="4" t="s">
        <v>1524</v>
      </c>
      <c r="E663" s="32" t="s">
        <v>1525</v>
      </c>
      <c r="F663" s="32">
        <v>29230264</v>
      </c>
      <c r="G663" t="s">
        <v>10</v>
      </c>
      <c r="H663" t="s">
        <v>4</v>
      </c>
      <c r="I663" t="s">
        <v>29</v>
      </c>
      <c r="J663" s="30" t="str">
        <f>IF(ISNUMBER(MATCH($D663,'Lopettaneet 2013-&gt;'!$D:$D,0)),INDEX('Lopettaneet 2013-&gt;'!$K:$K,MATCH($D663,'Lopettaneet 2013-&gt;'!$D:$D,0)),"Continues")</f>
        <v>Continues</v>
      </c>
      <c r="K663" s="30">
        <f ca="1">IF($J663="Continues",DATEDIF($B663,TODAY(),"Y"),INDEX('Lopettaneet 2013-&gt;'!$L:$L,MATCH($D663,'Lopettaneet 2013-&gt;'!$D:$D,0)))</f>
        <v>6</v>
      </c>
      <c r="L663" s="31" t="str">
        <f>IFERROR(INDEX('[1]30.06.2024'!$H:$H,MATCH($E663,'[1]30.06.2024'!$B:$B,0)),"Not found")</f>
        <v>Sp-Rahastoyhtiö Oy</v>
      </c>
      <c r="M663" s="31" t="str">
        <f>IFERROR(INDEX([2]Sheet1!$B:$B,MATCH($D663,[2]Sheet1!$A:$A,0)),"Not found")</f>
        <v>Retail</v>
      </c>
      <c r="N663">
        <f t="shared" si="20"/>
        <v>1</v>
      </c>
      <c r="O663">
        <f t="shared" si="21"/>
        <v>0</v>
      </c>
    </row>
    <row r="664" spans="1:15" x14ac:dyDescent="0.25">
      <c r="A664" t="s">
        <v>7</v>
      </c>
      <c r="B664" s="1">
        <v>43435</v>
      </c>
      <c r="C664" s="1">
        <v>55153</v>
      </c>
      <c r="D664" s="4" t="s">
        <v>1526</v>
      </c>
      <c r="E664" s="32" t="s">
        <v>1527</v>
      </c>
      <c r="F664" s="32">
        <v>29203274</v>
      </c>
      <c r="G664" t="s">
        <v>10</v>
      </c>
      <c r="H664" t="s">
        <v>11</v>
      </c>
      <c r="I664" t="s">
        <v>29</v>
      </c>
      <c r="J664" s="30" t="str">
        <f>IF(ISNUMBER(MATCH($D664,'Lopettaneet 2013-&gt;'!$D:$D,0)),INDEX('Lopettaneet 2013-&gt;'!$K:$K,MATCH($D664,'Lopettaneet 2013-&gt;'!$D:$D,0)),"Continues")</f>
        <v>Continues</v>
      </c>
      <c r="K664" s="30">
        <f ca="1">IF($J664="Continues",DATEDIF($B664,TODAY(),"Y"),INDEX('Lopettaneet 2013-&gt;'!$L:$L,MATCH($D664,'Lopettaneet 2013-&gt;'!$D:$D,0)))</f>
        <v>6</v>
      </c>
      <c r="L664" s="31" t="str">
        <f>IFERROR(INDEX('[1]30.06.2024'!$H:$H,MATCH($E664,'[1]30.06.2024'!$B:$B,0)),"Not found")</f>
        <v>S-Pankki Rahastoyhtiö Oy</v>
      </c>
      <c r="M664" s="31" t="str">
        <f>IFERROR(INDEX([2]Sheet1!$B:$B,MATCH($D664,[2]Sheet1!$A:$A,0)),"Not found")</f>
        <v>Non-Retail</v>
      </c>
      <c r="N664">
        <f t="shared" si="20"/>
        <v>0</v>
      </c>
      <c r="O664">
        <f t="shared" si="21"/>
        <v>1</v>
      </c>
    </row>
    <row r="665" spans="1:15" x14ac:dyDescent="0.25">
      <c r="A665" t="s">
        <v>0</v>
      </c>
      <c r="B665" s="1">
        <v>43405</v>
      </c>
      <c r="C665" s="1">
        <v>44012</v>
      </c>
      <c r="D665" s="4" t="s">
        <v>1528</v>
      </c>
      <c r="E665" s="32" t="s">
        <v>1529</v>
      </c>
      <c r="F665" s="32">
        <v>29492387</v>
      </c>
      <c r="G665" t="s">
        <v>10</v>
      </c>
      <c r="H665" t="s">
        <v>4</v>
      </c>
      <c r="I665" t="s">
        <v>50</v>
      </c>
      <c r="J665" s="30" t="str">
        <f>IF(ISNUMBER(MATCH($D665,'Lopettaneet 2013-&gt;'!$D:$D,0)),INDEX('Lopettaneet 2013-&gt;'!$K:$K,MATCH($D665,'Lopettaneet 2013-&gt;'!$D:$D,0)),"Continues")</f>
        <v>Closed</v>
      </c>
      <c r="K665" s="30">
        <f ca="1">IF($J665="Continues",DATEDIF($B665,TODAY(),"Y"),INDEX('Lopettaneet 2013-&gt;'!$L:$L,MATCH($D665,'Lopettaneet 2013-&gt;'!$D:$D,0)))</f>
        <v>1</v>
      </c>
      <c r="L665" s="31" t="str">
        <f>IFERROR(INDEX('[1]30.06.2024'!$H:$H,MATCH($E665,'[1]30.06.2024'!$B:$B,0)),"Not found")</f>
        <v>Not found</v>
      </c>
      <c r="M665" s="31" t="str">
        <f>IFERROR(INDEX([2]Sheet1!$B:$B,MATCH($D665,[2]Sheet1!$A:$A,0)),"Not found")</f>
        <v>Not found</v>
      </c>
      <c r="N665">
        <f t="shared" si="20"/>
        <v>0</v>
      </c>
      <c r="O665">
        <f t="shared" si="21"/>
        <v>0</v>
      </c>
    </row>
    <row r="666" spans="1:15" x14ac:dyDescent="0.25">
      <c r="A666" t="s">
        <v>7</v>
      </c>
      <c r="B666" s="1">
        <v>43525</v>
      </c>
      <c r="C666" s="1">
        <v>55153</v>
      </c>
      <c r="D666" s="4" t="s">
        <v>1530</v>
      </c>
      <c r="E666" s="32" t="s">
        <v>1531</v>
      </c>
      <c r="F666" s="32">
        <v>29442689</v>
      </c>
      <c r="G666" t="s">
        <v>10</v>
      </c>
      <c r="H666" t="s">
        <v>11</v>
      </c>
      <c r="I666" t="s">
        <v>32</v>
      </c>
      <c r="J666" s="30" t="str">
        <f>IF(ISNUMBER(MATCH($D666,'Lopettaneet 2013-&gt;'!$D:$D,0)),INDEX('Lopettaneet 2013-&gt;'!$K:$K,MATCH($D666,'Lopettaneet 2013-&gt;'!$D:$D,0)),"Continues")</f>
        <v>Continues</v>
      </c>
      <c r="K666" s="30">
        <f ca="1">IF($J666="Continues",DATEDIF($B666,TODAY(),"Y"),INDEX('Lopettaneet 2013-&gt;'!$L:$L,MATCH($D666,'Lopettaneet 2013-&gt;'!$D:$D,0)))</f>
        <v>6</v>
      </c>
      <c r="L666" s="31" t="str">
        <f>IFERROR(INDEX('[1]30.06.2024'!$H:$H,MATCH($E666,'[1]30.06.2024'!$B:$B,0)),"Not found")</f>
        <v>S-Pankki Rahastoyhtiö Oy</v>
      </c>
      <c r="M666" s="31" t="str">
        <f>IFERROR(INDEX([2]Sheet1!$B:$B,MATCH($D666,[2]Sheet1!$A:$A,0)),"Not found")</f>
        <v>Non-Retail</v>
      </c>
      <c r="N666">
        <f t="shared" si="20"/>
        <v>0</v>
      </c>
      <c r="O666">
        <f t="shared" si="21"/>
        <v>1</v>
      </c>
    </row>
    <row r="667" spans="1:15" x14ac:dyDescent="0.25">
      <c r="A667" t="s">
        <v>7</v>
      </c>
      <c r="B667" s="1">
        <v>43617</v>
      </c>
      <c r="C667" s="1">
        <v>55153</v>
      </c>
      <c r="D667" s="4" t="s">
        <v>1532</v>
      </c>
      <c r="E667" s="32" t="s">
        <v>1533</v>
      </c>
      <c r="F667" s="32">
        <v>29470073</v>
      </c>
      <c r="G667" t="s">
        <v>10</v>
      </c>
      <c r="H667" t="s">
        <v>11</v>
      </c>
      <c r="I667" t="s">
        <v>32</v>
      </c>
      <c r="J667" s="30" t="str">
        <f>IF(ISNUMBER(MATCH($D667,'Lopettaneet 2013-&gt;'!$D:$D,0)),INDEX('Lopettaneet 2013-&gt;'!$K:$K,MATCH($D667,'Lopettaneet 2013-&gt;'!$D:$D,0)),"Continues")</f>
        <v>Continues</v>
      </c>
      <c r="K667" s="30">
        <f ca="1">IF($J667="Continues",DATEDIF($B667,TODAY(),"Y"),INDEX('Lopettaneet 2013-&gt;'!$L:$L,MATCH($D667,'Lopettaneet 2013-&gt;'!$D:$D,0)))</f>
        <v>5</v>
      </c>
      <c r="L667" s="31" t="str">
        <f>IFERROR(INDEX('[1]30.06.2024'!$H:$H,MATCH($E667,'[1]30.06.2024'!$B:$B,0)),"Not found")</f>
        <v>FinCap Kiinteistörahastot Oy</v>
      </c>
      <c r="M667" s="31" t="str">
        <f>IFERROR(INDEX([2]Sheet1!$B:$B,MATCH($D667,[2]Sheet1!$A:$A,0)),"Not found")</f>
        <v>Non-Retail</v>
      </c>
      <c r="N667">
        <f t="shared" si="20"/>
        <v>0</v>
      </c>
      <c r="O667">
        <f t="shared" si="21"/>
        <v>1</v>
      </c>
    </row>
    <row r="668" spans="1:15" x14ac:dyDescent="0.25">
      <c r="A668" t="s">
        <v>7</v>
      </c>
      <c r="B668" s="1">
        <v>43435</v>
      </c>
      <c r="C668" s="1">
        <v>55153</v>
      </c>
      <c r="D668" s="4" t="s">
        <v>1534</v>
      </c>
      <c r="E668" s="32" t="s">
        <v>1535</v>
      </c>
      <c r="F668" s="32">
        <v>29579378</v>
      </c>
      <c r="G668" t="s">
        <v>10</v>
      </c>
      <c r="H668" t="s">
        <v>11</v>
      </c>
      <c r="I668" t="s">
        <v>80</v>
      </c>
      <c r="J668" s="30" t="str">
        <f>IF(ISNUMBER(MATCH($D668,'Lopettaneet 2013-&gt;'!$D:$D,0)),INDEX('Lopettaneet 2013-&gt;'!$K:$K,MATCH($D668,'Lopettaneet 2013-&gt;'!$D:$D,0)),"Continues")</f>
        <v>Continues</v>
      </c>
      <c r="K668" s="30">
        <f ca="1">IF($J668="Continues",DATEDIF($B668,TODAY(),"Y"),INDEX('Lopettaneet 2013-&gt;'!$L:$L,MATCH($D668,'Lopettaneet 2013-&gt;'!$D:$D,0)))</f>
        <v>6</v>
      </c>
      <c r="L668" s="31" t="str">
        <f>IFERROR(INDEX('[1]30.06.2024'!$H:$H,MATCH($E668,'[1]30.06.2024'!$B:$B,0)),"Not found")</f>
        <v>Evli-Rahastoyhtiö Oy</v>
      </c>
      <c r="M668" s="31" t="str">
        <f>IFERROR(INDEX([2]Sheet1!$B:$B,MATCH($D668,[2]Sheet1!$A:$A,0)),"Not found")</f>
        <v>Retail</v>
      </c>
      <c r="N668">
        <f t="shared" si="20"/>
        <v>1</v>
      </c>
      <c r="O668">
        <f t="shared" si="21"/>
        <v>0</v>
      </c>
    </row>
    <row r="669" spans="1:15" x14ac:dyDescent="0.25">
      <c r="A669" t="s">
        <v>0</v>
      </c>
      <c r="B669" s="1">
        <v>43405</v>
      </c>
      <c r="C669" s="1">
        <v>44012</v>
      </c>
      <c r="D669" s="4" t="s">
        <v>1536</v>
      </c>
      <c r="E669" s="32" t="s">
        <v>1537</v>
      </c>
      <c r="F669" s="32">
        <v>29492424</v>
      </c>
      <c r="G669" t="s">
        <v>3</v>
      </c>
      <c r="H669" t="s">
        <v>4</v>
      </c>
      <c r="I669" t="s">
        <v>20</v>
      </c>
      <c r="J669" s="30" t="str">
        <f>IF(ISNUMBER(MATCH($D669,'Lopettaneet 2013-&gt;'!$D:$D,0)),INDEX('Lopettaneet 2013-&gt;'!$K:$K,MATCH($D669,'Lopettaneet 2013-&gt;'!$D:$D,0)),"Continues")</f>
        <v>Closed</v>
      </c>
      <c r="K669" s="30">
        <f ca="1">IF($J669="Continues",DATEDIF($B669,TODAY(),"Y"),INDEX('Lopettaneet 2013-&gt;'!$L:$L,MATCH($D669,'Lopettaneet 2013-&gt;'!$D:$D,0)))</f>
        <v>1</v>
      </c>
      <c r="L669" s="31" t="str">
        <f>IFERROR(INDEX('[1]30.06.2024'!$H:$H,MATCH($E669,'[1]30.06.2024'!$B:$B,0)),"Not found")</f>
        <v>Not found</v>
      </c>
      <c r="M669" s="31" t="str">
        <f>IFERROR(INDEX([2]Sheet1!$B:$B,MATCH($D669,[2]Sheet1!$A:$A,0)),"Not found")</f>
        <v>Not found</v>
      </c>
      <c r="N669">
        <f t="shared" si="20"/>
        <v>0</v>
      </c>
      <c r="O669">
        <f t="shared" si="21"/>
        <v>0</v>
      </c>
    </row>
    <row r="670" spans="1:15" x14ac:dyDescent="0.25">
      <c r="A670" t="s">
        <v>0</v>
      </c>
      <c r="B670" s="1">
        <v>43405</v>
      </c>
      <c r="C670" s="1">
        <v>44012</v>
      </c>
      <c r="D670" s="4" t="s">
        <v>1538</v>
      </c>
      <c r="E670" s="32" t="s">
        <v>1539</v>
      </c>
      <c r="F670" s="32">
        <v>29492352</v>
      </c>
      <c r="G670" t="s">
        <v>3</v>
      </c>
      <c r="H670" t="s">
        <v>4</v>
      </c>
      <c r="I670" t="s">
        <v>20</v>
      </c>
      <c r="J670" s="30" t="str">
        <f>IF(ISNUMBER(MATCH($D670,'Lopettaneet 2013-&gt;'!$D:$D,0)),INDEX('Lopettaneet 2013-&gt;'!$K:$K,MATCH($D670,'Lopettaneet 2013-&gt;'!$D:$D,0)),"Continues")</f>
        <v>Closed</v>
      </c>
      <c r="K670" s="30">
        <f ca="1">IF($J670="Continues",DATEDIF($B670,TODAY(),"Y"),INDEX('Lopettaneet 2013-&gt;'!$L:$L,MATCH($D670,'Lopettaneet 2013-&gt;'!$D:$D,0)))</f>
        <v>1</v>
      </c>
      <c r="L670" s="31" t="str">
        <f>IFERROR(INDEX('[1]30.06.2024'!$H:$H,MATCH($E670,'[1]30.06.2024'!$B:$B,0)),"Not found")</f>
        <v>Not found</v>
      </c>
      <c r="M670" s="31" t="str">
        <f>IFERROR(INDEX([2]Sheet1!$B:$B,MATCH($D670,[2]Sheet1!$A:$A,0)),"Not found")</f>
        <v>Not found</v>
      </c>
      <c r="N670">
        <f t="shared" si="20"/>
        <v>0</v>
      </c>
      <c r="O670">
        <f t="shared" si="21"/>
        <v>0</v>
      </c>
    </row>
    <row r="671" spans="1:15" x14ac:dyDescent="0.25">
      <c r="A671" t="s">
        <v>0</v>
      </c>
      <c r="B671" s="1">
        <v>43435</v>
      </c>
      <c r="C671" s="1">
        <v>55153</v>
      </c>
      <c r="D671" s="4" t="s">
        <v>1540</v>
      </c>
      <c r="E671" s="32" t="s">
        <v>1541</v>
      </c>
      <c r="F671" s="32">
        <v>29516625</v>
      </c>
      <c r="G671" t="s">
        <v>3</v>
      </c>
      <c r="H671" t="s">
        <v>4</v>
      </c>
      <c r="I671" t="s">
        <v>20</v>
      </c>
      <c r="J671" s="30" t="str">
        <f>IF(ISNUMBER(MATCH($D671,'Lopettaneet 2013-&gt;'!$D:$D,0)),INDEX('Lopettaneet 2013-&gt;'!$K:$K,MATCH($D671,'Lopettaneet 2013-&gt;'!$D:$D,0)),"Continues")</f>
        <v>Continues</v>
      </c>
      <c r="K671" s="30">
        <f ca="1">IF($J671="Continues",DATEDIF($B671,TODAY(),"Y"),INDEX('Lopettaneet 2013-&gt;'!$L:$L,MATCH($D671,'Lopettaneet 2013-&gt;'!$D:$D,0)))</f>
        <v>6</v>
      </c>
      <c r="L671" s="31" t="str">
        <f>IFERROR(INDEX('[1]30.06.2024'!$H:$H,MATCH($E671,'[1]30.06.2024'!$B:$B,0)),"Not found")</f>
        <v>Aktia Rahastoyhtiö Oy</v>
      </c>
      <c r="M671" s="31" t="str">
        <f>IFERROR(INDEX([2]Sheet1!$B:$B,MATCH($D671,[2]Sheet1!$A:$A,0)),"Not found")</f>
        <v>Retail</v>
      </c>
      <c r="N671">
        <f t="shared" si="20"/>
        <v>1</v>
      </c>
      <c r="O671">
        <f t="shared" si="21"/>
        <v>0</v>
      </c>
    </row>
    <row r="672" spans="1:15" x14ac:dyDescent="0.25">
      <c r="A672" t="s">
        <v>0</v>
      </c>
      <c r="B672" s="1">
        <v>43466</v>
      </c>
      <c r="C672" s="1">
        <v>55153</v>
      </c>
      <c r="D672" s="4" t="s">
        <v>1542</v>
      </c>
      <c r="E672" s="32" t="s">
        <v>1543</v>
      </c>
      <c r="F672" s="32">
        <v>29471631</v>
      </c>
      <c r="G672" t="s">
        <v>10</v>
      </c>
      <c r="H672" t="s">
        <v>11</v>
      </c>
      <c r="I672" t="s">
        <v>29</v>
      </c>
      <c r="J672" s="30" t="str">
        <f>IF(ISNUMBER(MATCH($D672,'Lopettaneet 2013-&gt;'!$D:$D,0)),INDEX('Lopettaneet 2013-&gt;'!$K:$K,MATCH($D672,'Lopettaneet 2013-&gt;'!$D:$D,0)),"Continues")</f>
        <v>Continues</v>
      </c>
      <c r="K672" s="30">
        <f ca="1">IF($J672="Continues",DATEDIF($B672,TODAY(),"Y"),INDEX('Lopettaneet 2013-&gt;'!$L:$L,MATCH($D672,'Lopettaneet 2013-&gt;'!$D:$D,0)))</f>
        <v>6</v>
      </c>
      <c r="L672" s="31" t="str">
        <f>IFERROR(INDEX('[1]30.06.2024'!$H:$H,MATCH($E672,'[1]30.06.2024'!$B:$B,0)),"Not found")</f>
        <v>Evli-Rahastoyhtiö Oy</v>
      </c>
      <c r="M672" s="31" t="str">
        <f>IFERROR(INDEX([2]Sheet1!$B:$B,MATCH($D672,[2]Sheet1!$A:$A,0)),"Not found")</f>
        <v>Non-Retail</v>
      </c>
      <c r="N672">
        <f t="shared" si="20"/>
        <v>0</v>
      </c>
      <c r="O672">
        <f t="shared" si="21"/>
        <v>1</v>
      </c>
    </row>
    <row r="673" spans="1:15" x14ac:dyDescent="0.25">
      <c r="A673" t="s">
        <v>0</v>
      </c>
      <c r="B673" s="1">
        <v>43831</v>
      </c>
      <c r="C673" s="1">
        <v>55153</v>
      </c>
      <c r="D673" s="4" t="s">
        <v>1544</v>
      </c>
      <c r="E673" s="32" t="s">
        <v>1545</v>
      </c>
      <c r="F673" s="32">
        <v>29471682</v>
      </c>
      <c r="G673" t="s">
        <v>10</v>
      </c>
      <c r="H673" t="s">
        <v>11</v>
      </c>
      <c r="I673" t="s">
        <v>32</v>
      </c>
      <c r="J673" s="30" t="str">
        <f>IF(ISNUMBER(MATCH($D673,'Lopettaneet 2013-&gt;'!$D:$D,0)),INDEX('Lopettaneet 2013-&gt;'!$K:$K,MATCH($D673,'Lopettaneet 2013-&gt;'!$D:$D,0)),"Continues")</f>
        <v>Continues</v>
      </c>
      <c r="K673" s="30">
        <f ca="1">IF($J673="Continues",DATEDIF($B673,TODAY(),"Y"),INDEX('Lopettaneet 2013-&gt;'!$L:$L,MATCH($D673,'Lopettaneet 2013-&gt;'!$D:$D,0)))</f>
        <v>5</v>
      </c>
      <c r="L673" s="31" t="str">
        <f>IFERROR(INDEX('[1]30.06.2024'!$H:$H,MATCH($E673,'[1]30.06.2024'!$B:$B,0)),"Not found")</f>
        <v>Evli-Rahastoyhtiö Oy</v>
      </c>
      <c r="M673" s="31" t="str">
        <f>IFERROR(INDEX([2]Sheet1!$B:$B,MATCH($D673,[2]Sheet1!$A:$A,0)),"Not found")</f>
        <v>Non-Retail</v>
      </c>
      <c r="N673">
        <f t="shared" si="20"/>
        <v>0</v>
      </c>
      <c r="O673">
        <f t="shared" si="21"/>
        <v>1</v>
      </c>
    </row>
    <row r="674" spans="1:15" x14ac:dyDescent="0.25">
      <c r="A674" t="s">
        <v>0</v>
      </c>
      <c r="B674" s="1">
        <v>43497</v>
      </c>
      <c r="C674" s="1">
        <v>55153</v>
      </c>
      <c r="D674" s="4" t="s">
        <v>1546</v>
      </c>
      <c r="E674" s="32" t="s">
        <v>1547</v>
      </c>
      <c r="F674" s="32">
        <v>29553389</v>
      </c>
      <c r="G674" t="s">
        <v>3</v>
      </c>
      <c r="H674" t="s">
        <v>4</v>
      </c>
      <c r="I674" t="s">
        <v>20</v>
      </c>
      <c r="J674" s="30" t="str">
        <f>IF(ISNUMBER(MATCH($D674,'Lopettaneet 2013-&gt;'!$D:$D,0)),INDEX('Lopettaneet 2013-&gt;'!$K:$K,MATCH($D674,'Lopettaneet 2013-&gt;'!$D:$D,0)),"Continues")</f>
        <v>Continues</v>
      </c>
      <c r="K674" s="30">
        <f ca="1">IF($J674="Continues",DATEDIF($B674,TODAY(),"Y"),INDEX('Lopettaneet 2013-&gt;'!$L:$L,MATCH($D674,'Lopettaneet 2013-&gt;'!$D:$D,0)))</f>
        <v>6</v>
      </c>
      <c r="L674" s="31" t="str">
        <f>IFERROR(INDEX('[1]30.06.2024'!$H:$H,MATCH($E674,'[1]30.06.2024'!$B:$B,0)),"Not found")</f>
        <v>Titanium Rahastoyhtiö Oy</v>
      </c>
      <c r="M674" s="31" t="str">
        <f>IFERROR(INDEX([2]Sheet1!$B:$B,MATCH($D674,[2]Sheet1!$A:$A,0)),"Not found")</f>
        <v>Retail</v>
      </c>
      <c r="N674">
        <f t="shared" si="20"/>
        <v>1</v>
      </c>
      <c r="O674">
        <f t="shared" si="21"/>
        <v>0</v>
      </c>
    </row>
    <row r="675" spans="1:15" x14ac:dyDescent="0.25">
      <c r="A675" t="s">
        <v>0</v>
      </c>
      <c r="B675" s="1">
        <v>43435</v>
      </c>
      <c r="C675" s="1">
        <v>43830</v>
      </c>
      <c r="D675" s="4" t="s">
        <v>1548</v>
      </c>
      <c r="E675" s="32" t="s">
        <v>1549</v>
      </c>
      <c r="F675" s="32">
        <v>29521838</v>
      </c>
      <c r="G675" t="s">
        <v>3</v>
      </c>
      <c r="H675" t="s">
        <v>4</v>
      </c>
      <c r="I675" t="s">
        <v>20</v>
      </c>
      <c r="J675" s="30" t="str">
        <f>IF(ISNUMBER(MATCH($D675,'Lopettaneet 2013-&gt;'!$D:$D,0)),INDEX('Lopettaneet 2013-&gt;'!$K:$K,MATCH($D675,'Lopettaneet 2013-&gt;'!$D:$D,0)),"Continues")</f>
        <v>Merged</v>
      </c>
      <c r="K675" s="30">
        <f ca="1">IF($J675="Continues",DATEDIF($B675,TODAY(),"Y"),INDEX('Lopettaneet 2013-&gt;'!$L:$L,MATCH($D675,'Lopettaneet 2013-&gt;'!$D:$D,0)))</f>
        <v>1</v>
      </c>
      <c r="L675" s="31" t="str">
        <f>IFERROR(INDEX('[1]30.06.2024'!$H:$H,MATCH($E675,'[1]30.06.2024'!$B:$B,0)),"Not found")</f>
        <v>Not found</v>
      </c>
      <c r="M675" s="31" t="str">
        <f>IFERROR(INDEX([2]Sheet1!$B:$B,MATCH($D675,[2]Sheet1!$A:$A,0)),"Not found")</f>
        <v>Not found</v>
      </c>
      <c r="N675">
        <f t="shared" si="20"/>
        <v>0</v>
      </c>
      <c r="O675">
        <f t="shared" si="21"/>
        <v>0</v>
      </c>
    </row>
    <row r="676" spans="1:15" x14ac:dyDescent="0.25">
      <c r="A676" t="s">
        <v>7</v>
      </c>
      <c r="B676" s="1">
        <v>43525</v>
      </c>
      <c r="C676" s="1">
        <v>55153</v>
      </c>
      <c r="D676" s="4" t="s">
        <v>1550</v>
      </c>
      <c r="E676" s="32" t="s">
        <v>1551</v>
      </c>
      <c r="F676" s="32">
        <v>29882254</v>
      </c>
      <c r="G676" t="s">
        <v>10</v>
      </c>
      <c r="H676" t="s">
        <v>11</v>
      </c>
      <c r="I676" t="s">
        <v>32</v>
      </c>
      <c r="J676" s="30" t="str">
        <f>IF(ISNUMBER(MATCH($D676,'Lopettaneet 2013-&gt;'!$D:$D,0)),INDEX('Lopettaneet 2013-&gt;'!$K:$K,MATCH($D676,'Lopettaneet 2013-&gt;'!$D:$D,0)),"Continues")</f>
        <v>Continues</v>
      </c>
      <c r="K676" s="30">
        <f ca="1">IF($J676="Continues",DATEDIF($B676,TODAY(),"Y"),INDEX('Lopettaneet 2013-&gt;'!$L:$L,MATCH($D676,'Lopettaneet 2013-&gt;'!$D:$D,0)))</f>
        <v>6</v>
      </c>
      <c r="L676" s="31" t="str">
        <f>IFERROR(INDEX('[1]30.06.2024'!$H:$H,MATCH($E676,'[1]30.06.2024'!$B:$B,0)),"Not found")</f>
        <v>ICECAPITAL REAM Oy</v>
      </c>
      <c r="M676" s="31" t="str">
        <f>IFERROR(INDEX([2]Sheet1!$B:$B,MATCH($D676,[2]Sheet1!$A:$A,0)),"Not found")</f>
        <v>Retail</v>
      </c>
      <c r="N676">
        <f t="shared" si="20"/>
        <v>1</v>
      </c>
      <c r="O676">
        <f t="shared" si="21"/>
        <v>0</v>
      </c>
    </row>
    <row r="677" spans="1:15" x14ac:dyDescent="0.25">
      <c r="A677" t="s">
        <v>7</v>
      </c>
      <c r="B677" s="1">
        <v>43525</v>
      </c>
      <c r="C677" s="1">
        <v>55153</v>
      </c>
      <c r="D677" s="4" t="s">
        <v>1552</v>
      </c>
      <c r="E677" s="32" t="s">
        <v>1553</v>
      </c>
      <c r="F677" s="32">
        <v>29882246</v>
      </c>
      <c r="G677" t="s">
        <v>10</v>
      </c>
      <c r="H677" t="s">
        <v>11</v>
      </c>
      <c r="I677" t="s">
        <v>32</v>
      </c>
      <c r="J677" s="30" t="str">
        <f>IF(ISNUMBER(MATCH($D677,'Lopettaneet 2013-&gt;'!$D:$D,0)),INDEX('Lopettaneet 2013-&gt;'!$K:$K,MATCH($D677,'Lopettaneet 2013-&gt;'!$D:$D,0)),"Continues")</f>
        <v>Continues</v>
      </c>
      <c r="K677" s="30">
        <f ca="1">IF($J677="Continues",DATEDIF($B677,TODAY(),"Y"),INDEX('Lopettaneet 2013-&gt;'!$L:$L,MATCH($D677,'Lopettaneet 2013-&gt;'!$D:$D,0)))</f>
        <v>6</v>
      </c>
      <c r="L677" s="31" t="str">
        <f>IFERROR(INDEX('[1]30.06.2024'!$H:$H,MATCH($E677,'[1]30.06.2024'!$B:$B,0)),"Not found")</f>
        <v>ICECAPITAL REAM Oy</v>
      </c>
      <c r="M677" s="31" t="str">
        <f>IFERROR(INDEX([2]Sheet1!$B:$B,MATCH($D677,[2]Sheet1!$A:$A,0)),"Not found")</f>
        <v>Retail</v>
      </c>
      <c r="N677">
        <f t="shared" si="20"/>
        <v>1</v>
      </c>
      <c r="O677">
        <f t="shared" si="21"/>
        <v>0</v>
      </c>
    </row>
    <row r="678" spans="1:15" x14ac:dyDescent="0.25">
      <c r="A678" t="s">
        <v>7</v>
      </c>
      <c r="B678" s="1">
        <v>43435</v>
      </c>
      <c r="C678" s="1">
        <v>55153</v>
      </c>
      <c r="D678" s="4" t="s">
        <v>1554</v>
      </c>
      <c r="E678" s="32" t="s">
        <v>1555</v>
      </c>
      <c r="F678" s="32">
        <v>29525986</v>
      </c>
      <c r="G678" t="s">
        <v>10</v>
      </c>
      <c r="H678" t="s">
        <v>11</v>
      </c>
      <c r="I678" t="s">
        <v>32</v>
      </c>
      <c r="J678" s="30" t="str">
        <f>IF(ISNUMBER(MATCH($D678,'Lopettaneet 2013-&gt;'!$D:$D,0)),INDEX('Lopettaneet 2013-&gt;'!$K:$K,MATCH($D678,'Lopettaneet 2013-&gt;'!$D:$D,0)),"Continues")</f>
        <v>Continues</v>
      </c>
      <c r="K678" s="30">
        <f ca="1">IF($J678="Continues",DATEDIF($B678,TODAY(),"Y"),INDEX('Lopettaneet 2013-&gt;'!$L:$L,MATCH($D678,'Lopettaneet 2013-&gt;'!$D:$D,0)))</f>
        <v>6</v>
      </c>
      <c r="L678" s="31" t="str">
        <f>IFERROR(INDEX('[1]30.06.2024'!$H:$H,MATCH($E678,'[1]30.06.2024'!$B:$B,0)),"Not found")</f>
        <v>Evli-Rahastoyhtiö Oy</v>
      </c>
      <c r="M678" s="31" t="str">
        <f>IFERROR(INDEX([2]Sheet1!$B:$B,MATCH($D678,[2]Sheet1!$A:$A,0)),"Not found")</f>
        <v>Retail</v>
      </c>
      <c r="N678">
        <f t="shared" si="20"/>
        <v>1</v>
      </c>
      <c r="O678">
        <f t="shared" si="21"/>
        <v>0</v>
      </c>
    </row>
    <row r="679" spans="1:15" x14ac:dyDescent="0.25">
      <c r="A679" t="s">
        <v>7</v>
      </c>
      <c r="B679" s="1">
        <v>43617</v>
      </c>
      <c r="C679" s="1">
        <v>55153</v>
      </c>
      <c r="D679" s="4" t="s">
        <v>1556</v>
      </c>
      <c r="E679" s="32" t="s">
        <v>1557</v>
      </c>
      <c r="F679" s="32">
        <v>29695184</v>
      </c>
      <c r="G679" t="s">
        <v>10</v>
      </c>
      <c r="H679" t="s">
        <v>11</v>
      </c>
      <c r="I679" t="s">
        <v>12</v>
      </c>
      <c r="J679" s="30" t="str">
        <f>IF(ISNUMBER(MATCH($D679,'Lopettaneet 2013-&gt;'!$D:$D,0)),INDEX('Lopettaneet 2013-&gt;'!$K:$K,MATCH($D679,'Lopettaneet 2013-&gt;'!$D:$D,0)),"Continues")</f>
        <v>Continues</v>
      </c>
      <c r="K679" s="30">
        <f ca="1">IF($J679="Continues",DATEDIF($B679,TODAY(),"Y"),INDEX('Lopettaneet 2013-&gt;'!$L:$L,MATCH($D679,'Lopettaneet 2013-&gt;'!$D:$D,0)))</f>
        <v>5</v>
      </c>
      <c r="L679" s="31" t="str">
        <f>IFERROR(INDEX('[1]30.06.2024'!$H:$H,MATCH($E679,'[1]30.06.2024'!$B:$B,0)),"Not found")</f>
        <v>eQ Rahastoyhtiö Oy</v>
      </c>
      <c r="M679" s="31" t="str">
        <f>IFERROR(INDEX([2]Sheet1!$B:$B,MATCH($D679,[2]Sheet1!$A:$A,0)),"Not found")</f>
        <v>Non-Retail</v>
      </c>
      <c r="N679">
        <f t="shared" si="20"/>
        <v>0</v>
      </c>
      <c r="O679">
        <f t="shared" si="21"/>
        <v>1</v>
      </c>
    </row>
    <row r="680" spans="1:15" x14ac:dyDescent="0.25">
      <c r="A680" t="s">
        <v>0</v>
      </c>
      <c r="B680" s="1">
        <v>43770</v>
      </c>
      <c r="C680" s="1">
        <v>55153</v>
      </c>
      <c r="D680" s="4" t="s">
        <v>1558</v>
      </c>
      <c r="E680" s="32" t="s">
        <v>1559</v>
      </c>
      <c r="F680" s="32">
        <v>29680118</v>
      </c>
      <c r="G680" t="s">
        <v>10</v>
      </c>
      <c r="H680" t="s">
        <v>11</v>
      </c>
      <c r="I680" t="s">
        <v>20</v>
      </c>
      <c r="J680" s="30" t="str">
        <f>IF(ISNUMBER(MATCH($D680,'Lopettaneet 2013-&gt;'!$D:$D,0)),INDEX('Lopettaneet 2013-&gt;'!$K:$K,MATCH($D680,'Lopettaneet 2013-&gt;'!$D:$D,0)),"Continues")</f>
        <v>Continues</v>
      </c>
      <c r="K680" s="30">
        <f ca="1">IF($J680="Continues",DATEDIF($B680,TODAY(),"Y"),INDEX('Lopettaneet 2013-&gt;'!$L:$L,MATCH($D680,'Lopettaneet 2013-&gt;'!$D:$D,0)))</f>
        <v>5</v>
      </c>
      <c r="L680" s="31" t="str">
        <f>IFERROR(INDEX('[1]30.06.2024'!$H:$H,MATCH($E680,'[1]30.06.2024'!$B:$B,0)),"Not found")</f>
        <v>eQ Rahastoyhtiö Oy</v>
      </c>
      <c r="M680" s="31" t="str">
        <f>IFERROR(INDEX([2]Sheet1!$B:$B,MATCH($D680,[2]Sheet1!$A:$A,0)),"Not found")</f>
        <v>Non-Retail</v>
      </c>
      <c r="N680">
        <f t="shared" si="20"/>
        <v>0</v>
      </c>
      <c r="O680">
        <f t="shared" si="21"/>
        <v>1</v>
      </c>
    </row>
    <row r="681" spans="1:15" x14ac:dyDescent="0.25">
      <c r="A681" t="s">
        <v>0</v>
      </c>
      <c r="B681" s="1">
        <v>43497</v>
      </c>
      <c r="C681" s="1">
        <v>55153</v>
      </c>
      <c r="D681" s="4" t="s">
        <v>1560</v>
      </c>
      <c r="E681" s="32" t="s">
        <v>1561</v>
      </c>
      <c r="F681" s="32">
        <v>29680062</v>
      </c>
      <c r="G681" t="s">
        <v>10</v>
      </c>
      <c r="H681" t="s">
        <v>11</v>
      </c>
      <c r="I681" t="s">
        <v>20</v>
      </c>
      <c r="J681" s="30" t="str">
        <f>IF(ISNUMBER(MATCH($D681,'Lopettaneet 2013-&gt;'!$D:$D,0)),INDEX('Lopettaneet 2013-&gt;'!$K:$K,MATCH($D681,'Lopettaneet 2013-&gt;'!$D:$D,0)),"Continues")</f>
        <v>Continues</v>
      </c>
      <c r="K681" s="30">
        <f ca="1">IF($J681="Continues",DATEDIF($B681,TODAY(),"Y"),INDEX('Lopettaneet 2013-&gt;'!$L:$L,MATCH($D681,'Lopettaneet 2013-&gt;'!$D:$D,0)))</f>
        <v>6</v>
      </c>
      <c r="L681" s="31" t="str">
        <f>IFERROR(INDEX('[1]30.06.2024'!$H:$H,MATCH($E681,'[1]30.06.2024'!$B:$B,0)),"Not found")</f>
        <v>eQ Rahastoyhtiö Oy</v>
      </c>
      <c r="M681" s="31" t="str">
        <f>IFERROR(INDEX([2]Sheet1!$B:$B,MATCH($D681,[2]Sheet1!$A:$A,0)),"Not found")</f>
        <v>Non-Retail</v>
      </c>
      <c r="N681">
        <f t="shared" si="20"/>
        <v>0</v>
      </c>
      <c r="O681">
        <f t="shared" si="21"/>
        <v>1</v>
      </c>
    </row>
    <row r="682" spans="1:15" x14ac:dyDescent="0.25">
      <c r="A682" t="s">
        <v>7</v>
      </c>
      <c r="B682" s="1">
        <v>43435</v>
      </c>
      <c r="C682" s="1">
        <v>55153</v>
      </c>
      <c r="D682" s="4" t="s">
        <v>1562</v>
      </c>
      <c r="E682" s="32" t="s">
        <v>1563</v>
      </c>
      <c r="F682" s="32">
        <v>29558403</v>
      </c>
      <c r="G682" t="s">
        <v>10</v>
      </c>
      <c r="H682" t="s">
        <v>11</v>
      </c>
      <c r="I682" t="s">
        <v>29</v>
      </c>
      <c r="J682" s="30" t="str">
        <f>IF(ISNUMBER(MATCH($D682,'Lopettaneet 2013-&gt;'!$D:$D,0)),INDEX('Lopettaneet 2013-&gt;'!$K:$K,MATCH($D682,'Lopettaneet 2013-&gt;'!$D:$D,0)),"Continues")</f>
        <v>Continues</v>
      </c>
      <c r="K682" s="30">
        <f ca="1">IF($J682="Continues",DATEDIF($B682,TODAY(),"Y"),INDEX('Lopettaneet 2013-&gt;'!$L:$L,MATCH($D682,'Lopettaneet 2013-&gt;'!$D:$D,0)))</f>
        <v>6</v>
      </c>
      <c r="L682" s="31" t="str">
        <f>IFERROR(INDEX('[1]30.06.2024'!$H:$H,MATCH($E682,'[1]30.06.2024'!$B:$B,0)),"Not found")</f>
        <v>UB Rahastoyhtiö Oy</v>
      </c>
      <c r="M682" s="31" t="str">
        <f>IFERROR(INDEX([2]Sheet1!$B:$B,MATCH($D682,[2]Sheet1!$A:$A,0)),"Not found")</f>
        <v>Non-Retail</v>
      </c>
      <c r="N682">
        <f t="shared" si="20"/>
        <v>0</v>
      </c>
      <c r="O682">
        <f t="shared" si="21"/>
        <v>1</v>
      </c>
    </row>
    <row r="683" spans="1:15" x14ac:dyDescent="0.25">
      <c r="A683" t="s">
        <v>7</v>
      </c>
      <c r="B683" s="1">
        <v>43435</v>
      </c>
      <c r="C683" s="1">
        <v>55153</v>
      </c>
      <c r="D683" s="4" t="s">
        <v>1564</v>
      </c>
      <c r="E683" s="32" t="s">
        <v>1565</v>
      </c>
      <c r="F683" s="32">
        <v>29561733</v>
      </c>
      <c r="G683" t="s">
        <v>10</v>
      </c>
      <c r="H683" t="s">
        <v>11</v>
      </c>
      <c r="I683" t="s">
        <v>29</v>
      </c>
      <c r="J683" s="30" t="str">
        <f>IF(ISNUMBER(MATCH($D683,'Lopettaneet 2013-&gt;'!$D:$D,0)),INDEX('Lopettaneet 2013-&gt;'!$K:$K,MATCH($D683,'Lopettaneet 2013-&gt;'!$D:$D,0)),"Continues")</f>
        <v>Continues</v>
      </c>
      <c r="K683" s="30">
        <f ca="1">IF($J683="Continues",DATEDIF($B683,TODAY(),"Y"),INDEX('Lopettaneet 2013-&gt;'!$L:$L,MATCH($D683,'Lopettaneet 2013-&gt;'!$D:$D,0)))</f>
        <v>6</v>
      </c>
      <c r="L683" s="31" t="str">
        <f>IFERROR(INDEX('[1]30.06.2024'!$H:$H,MATCH($E683,'[1]30.06.2024'!$B:$B,0)),"Not found")</f>
        <v>UB Rahastoyhtiö Oy</v>
      </c>
      <c r="M683" s="31" t="str">
        <f>IFERROR(INDEX([2]Sheet1!$B:$B,MATCH($D683,[2]Sheet1!$A:$A,0)),"Not found")</f>
        <v>Non-Retail</v>
      </c>
      <c r="N683">
        <f t="shared" si="20"/>
        <v>0</v>
      </c>
      <c r="O683">
        <f t="shared" si="21"/>
        <v>1</v>
      </c>
    </row>
    <row r="684" spans="1:15" x14ac:dyDescent="0.25">
      <c r="A684" t="s">
        <v>7</v>
      </c>
      <c r="B684" s="1">
        <v>43435</v>
      </c>
      <c r="C684" s="1">
        <v>55153</v>
      </c>
      <c r="D684" s="4" t="s">
        <v>1566</v>
      </c>
      <c r="E684" s="32" t="s">
        <v>1567</v>
      </c>
      <c r="F684" s="32">
        <v>29493347</v>
      </c>
      <c r="G684" t="s">
        <v>10</v>
      </c>
      <c r="H684" t="s">
        <v>11</v>
      </c>
      <c r="I684" t="s">
        <v>32</v>
      </c>
      <c r="J684" s="30" t="str">
        <f>IF(ISNUMBER(MATCH($D684,'Lopettaneet 2013-&gt;'!$D:$D,0)),INDEX('Lopettaneet 2013-&gt;'!$K:$K,MATCH($D684,'Lopettaneet 2013-&gt;'!$D:$D,0)),"Continues")</f>
        <v>Continues</v>
      </c>
      <c r="K684" s="30">
        <f ca="1">IF($J684="Continues",DATEDIF($B684,TODAY(),"Y"),INDEX('Lopettaneet 2013-&gt;'!$L:$L,MATCH($D684,'Lopettaneet 2013-&gt;'!$D:$D,0)))</f>
        <v>6</v>
      </c>
      <c r="L684" s="31" t="str">
        <f>IFERROR(INDEX('[1]30.06.2024'!$H:$H,MATCH($E684,'[1]30.06.2024'!$B:$B,0)),"Not found")</f>
        <v>Luotsi Capital Oy</v>
      </c>
      <c r="M684" s="31" t="str">
        <f>IFERROR(INDEX([2]Sheet1!$B:$B,MATCH($D684,[2]Sheet1!$A:$A,0)),"Not found")</f>
        <v>Retail</v>
      </c>
      <c r="N684">
        <f t="shared" si="20"/>
        <v>1</v>
      </c>
      <c r="O684">
        <f t="shared" si="21"/>
        <v>0</v>
      </c>
    </row>
    <row r="685" spans="1:15" x14ac:dyDescent="0.25">
      <c r="A685" t="s">
        <v>7</v>
      </c>
      <c r="B685" s="1">
        <v>43435</v>
      </c>
      <c r="C685" s="1">
        <v>44561</v>
      </c>
      <c r="D685" s="4" t="s">
        <v>1568</v>
      </c>
      <c r="E685" s="32" t="s">
        <v>1569</v>
      </c>
      <c r="F685" s="32">
        <v>29555595</v>
      </c>
      <c r="G685" t="s">
        <v>10</v>
      </c>
      <c r="H685" t="s">
        <v>11</v>
      </c>
      <c r="I685" t="s">
        <v>32</v>
      </c>
      <c r="J685" s="30" t="str">
        <f>IF(ISNUMBER(MATCH($D685,'Lopettaneet 2013-&gt;'!$D:$D,0)),INDEX('Lopettaneet 2013-&gt;'!$K:$K,MATCH($D685,'Lopettaneet 2013-&gt;'!$D:$D,0)),"Continues")</f>
        <v>Closed</v>
      </c>
      <c r="K685" s="30">
        <f ca="1">IF($J685="Continues",DATEDIF($B685,TODAY(),"Y"),INDEX('Lopettaneet 2013-&gt;'!$L:$L,MATCH($D685,'Lopettaneet 2013-&gt;'!$D:$D,0)))</f>
        <v>3</v>
      </c>
      <c r="L685" s="31" t="str">
        <f>IFERROR(INDEX('[1]30.06.2024'!$H:$H,MATCH($E685,'[1]30.06.2024'!$B:$B,0)),"Not found")</f>
        <v>Not found</v>
      </c>
      <c r="M685" s="31" t="str">
        <f>IFERROR(INDEX([2]Sheet1!$B:$B,MATCH($D685,[2]Sheet1!$A:$A,0)),"Not found")</f>
        <v>Not found</v>
      </c>
      <c r="N685">
        <f t="shared" si="20"/>
        <v>0</v>
      </c>
      <c r="O685">
        <f t="shared" si="21"/>
        <v>0</v>
      </c>
    </row>
    <row r="686" spans="1:15" x14ac:dyDescent="0.25">
      <c r="A686" t="s">
        <v>7</v>
      </c>
      <c r="B686" s="1">
        <v>43617</v>
      </c>
      <c r="C686" s="1">
        <v>55153</v>
      </c>
      <c r="D686" s="4" t="s">
        <v>1570</v>
      </c>
      <c r="E686" s="32" t="s">
        <v>1571</v>
      </c>
      <c r="F686" s="32">
        <v>29662462</v>
      </c>
      <c r="G686" t="s">
        <v>10</v>
      </c>
      <c r="H686" t="s">
        <v>11</v>
      </c>
      <c r="I686" t="s">
        <v>29</v>
      </c>
      <c r="J686" s="30" t="str">
        <f>IF(ISNUMBER(MATCH($D686,'Lopettaneet 2013-&gt;'!$D:$D,0)),INDEX('Lopettaneet 2013-&gt;'!$K:$K,MATCH($D686,'Lopettaneet 2013-&gt;'!$D:$D,0)),"Continues")</f>
        <v>Continues</v>
      </c>
      <c r="K686" s="30">
        <f ca="1">IF($J686="Continues",DATEDIF($B686,TODAY(),"Y"),INDEX('Lopettaneet 2013-&gt;'!$L:$L,MATCH($D686,'Lopettaneet 2013-&gt;'!$D:$D,0)))</f>
        <v>5</v>
      </c>
      <c r="L686" s="31" t="str">
        <f>IFERROR(INDEX('[1]30.06.2024'!$H:$H,MATCH($E686,'[1]30.06.2024'!$B:$B,0)),"Not found")</f>
        <v>Armada Credit Partners Oy</v>
      </c>
      <c r="M686" s="31" t="str">
        <f>IFERROR(INDEX([2]Sheet1!$B:$B,MATCH($D686,[2]Sheet1!$A:$A,0)),"Not found")</f>
        <v>Non-Retail</v>
      </c>
      <c r="N686">
        <f t="shared" si="20"/>
        <v>0</v>
      </c>
      <c r="O686">
        <f t="shared" si="21"/>
        <v>1</v>
      </c>
    </row>
    <row r="687" spans="1:15" x14ac:dyDescent="0.25">
      <c r="A687" t="s">
        <v>7</v>
      </c>
      <c r="B687" s="1">
        <v>43709</v>
      </c>
      <c r="C687" s="1">
        <v>55153</v>
      </c>
      <c r="D687" s="4" t="s">
        <v>1572</v>
      </c>
      <c r="E687" s="32" t="s">
        <v>1573</v>
      </c>
      <c r="F687" s="32">
        <v>29897202</v>
      </c>
      <c r="G687" t="s">
        <v>10</v>
      </c>
      <c r="H687" t="s">
        <v>11</v>
      </c>
      <c r="I687" t="s">
        <v>29</v>
      </c>
      <c r="J687" s="30" t="str">
        <f>IF(ISNUMBER(MATCH($D687,'Lopettaneet 2013-&gt;'!$D:$D,0)),INDEX('Lopettaneet 2013-&gt;'!$K:$K,MATCH($D687,'Lopettaneet 2013-&gt;'!$D:$D,0)),"Continues")</f>
        <v>Continues</v>
      </c>
      <c r="K687" s="30">
        <f ca="1">IF($J687="Continues",DATEDIF($B687,TODAY(),"Y"),INDEX('Lopettaneet 2013-&gt;'!$L:$L,MATCH($D687,'Lopettaneet 2013-&gt;'!$D:$D,0)))</f>
        <v>5</v>
      </c>
      <c r="L687" s="31" t="str">
        <f>IFERROR(INDEX('[1]30.06.2024'!$H:$H,MATCH($E687,'[1]30.06.2024'!$B:$B,0)),"Not found")</f>
        <v>IPR.VC Management Oy</v>
      </c>
      <c r="M687" s="31" t="str">
        <f>IFERROR(INDEX([2]Sheet1!$B:$B,MATCH($D687,[2]Sheet1!$A:$A,0)),"Not found")</f>
        <v>Retail</v>
      </c>
      <c r="N687">
        <f t="shared" si="20"/>
        <v>1</v>
      </c>
      <c r="O687">
        <f t="shared" si="21"/>
        <v>0</v>
      </c>
    </row>
    <row r="688" spans="1:15" x14ac:dyDescent="0.25">
      <c r="A688" t="s">
        <v>7</v>
      </c>
      <c r="B688" s="1">
        <v>43617</v>
      </c>
      <c r="C688" s="1">
        <v>55153</v>
      </c>
      <c r="D688" s="4" t="s">
        <v>1574</v>
      </c>
      <c r="E688" s="32" t="s">
        <v>1575</v>
      </c>
      <c r="F688" s="32">
        <v>29585989</v>
      </c>
      <c r="G688" t="s">
        <v>10</v>
      </c>
      <c r="H688" t="s">
        <v>11</v>
      </c>
      <c r="I688" t="s">
        <v>32</v>
      </c>
      <c r="J688" s="30" t="str">
        <f>IF(ISNUMBER(MATCH($D688,'Lopettaneet 2013-&gt;'!$D:$D,0)),INDEX('Lopettaneet 2013-&gt;'!$K:$K,MATCH($D688,'Lopettaneet 2013-&gt;'!$D:$D,0)),"Continues")</f>
        <v>Continues</v>
      </c>
      <c r="K688" s="30">
        <f ca="1">IF($J688="Continues",DATEDIF($B688,TODAY(),"Y"),INDEX('Lopettaneet 2013-&gt;'!$L:$L,MATCH($D688,'Lopettaneet 2013-&gt;'!$D:$D,0)))</f>
        <v>5</v>
      </c>
      <c r="L688" s="31" t="str">
        <f>IFERROR(INDEX('[1]30.06.2024'!$H:$H,MATCH($E688,'[1]30.06.2024'!$B:$B,0)),"Not found")</f>
        <v>Evli-Rahastoyhtiö Oy</v>
      </c>
      <c r="M688" s="31" t="str">
        <f>IFERROR(INDEX([2]Sheet1!$B:$B,MATCH($D688,[2]Sheet1!$A:$A,0)),"Not found")</f>
        <v>Retail</v>
      </c>
      <c r="N688">
        <f t="shared" si="20"/>
        <v>1</v>
      </c>
      <c r="O688">
        <f t="shared" si="21"/>
        <v>0</v>
      </c>
    </row>
    <row r="689" spans="1:15" x14ac:dyDescent="0.25">
      <c r="A689" t="s">
        <v>0</v>
      </c>
      <c r="B689" s="1">
        <v>43525</v>
      </c>
      <c r="C689" s="1">
        <v>55153</v>
      </c>
      <c r="D689" s="4" t="s">
        <v>1576</v>
      </c>
      <c r="E689" s="32" t="s">
        <v>1577</v>
      </c>
      <c r="F689" s="32">
        <v>29779492</v>
      </c>
      <c r="G689" t="s">
        <v>3</v>
      </c>
      <c r="H689" t="s">
        <v>4</v>
      </c>
      <c r="I689" t="s">
        <v>5</v>
      </c>
      <c r="J689" s="30" t="str">
        <f>IF(ISNUMBER(MATCH($D689,'Lopettaneet 2013-&gt;'!$D:$D,0)),INDEX('Lopettaneet 2013-&gt;'!$K:$K,MATCH($D689,'Lopettaneet 2013-&gt;'!$D:$D,0)),"Continues")</f>
        <v>Continues</v>
      </c>
      <c r="K689" s="30">
        <f ca="1">IF($J689="Continues",DATEDIF($B689,TODAY(),"Y"),INDEX('Lopettaneet 2013-&gt;'!$L:$L,MATCH($D689,'Lopettaneet 2013-&gt;'!$D:$D,0)))</f>
        <v>6</v>
      </c>
      <c r="L689" s="31" t="str">
        <f>IFERROR(INDEX('[1]30.06.2024'!$H:$H,MATCH($E689,'[1]30.06.2024'!$B:$B,0)),"Not found")</f>
        <v>S-Pankki Rahastoyhtiö Oy</v>
      </c>
      <c r="M689" s="31" t="str">
        <f>IFERROR(INDEX([2]Sheet1!$B:$B,MATCH($D689,[2]Sheet1!$A:$A,0)),"Not found")</f>
        <v>Retail</v>
      </c>
      <c r="N689">
        <f t="shared" si="20"/>
        <v>1</v>
      </c>
      <c r="O689">
        <f t="shared" si="21"/>
        <v>0</v>
      </c>
    </row>
    <row r="690" spans="1:15" x14ac:dyDescent="0.25">
      <c r="A690" t="s">
        <v>0</v>
      </c>
      <c r="B690" s="1">
        <v>43586</v>
      </c>
      <c r="C690" s="1">
        <v>55153</v>
      </c>
      <c r="D690" s="4" t="s">
        <v>1578</v>
      </c>
      <c r="E690" s="32" t="s">
        <v>1579</v>
      </c>
      <c r="F690" s="32">
        <v>29778641</v>
      </c>
      <c r="G690" t="s">
        <v>3</v>
      </c>
      <c r="H690" t="s">
        <v>4</v>
      </c>
      <c r="I690" t="s">
        <v>50</v>
      </c>
      <c r="J690" s="30" t="str">
        <f>IF(ISNUMBER(MATCH($D690,'Lopettaneet 2013-&gt;'!$D:$D,0)),INDEX('Lopettaneet 2013-&gt;'!$K:$K,MATCH($D690,'Lopettaneet 2013-&gt;'!$D:$D,0)),"Continues")</f>
        <v>Continues</v>
      </c>
      <c r="K690" s="30">
        <f ca="1">IF($J690="Continues",DATEDIF($B690,TODAY(),"Y"),INDEX('Lopettaneet 2013-&gt;'!$L:$L,MATCH($D690,'Lopettaneet 2013-&gt;'!$D:$D,0)))</f>
        <v>6</v>
      </c>
      <c r="L690" s="31" t="str">
        <f>IFERROR(INDEX('[1]30.06.2024'!$H:$H,MATCH($E690,'[1]30.06.2024'!$B:$B,0)),"Not found")</f>
        <v>Sp-Rahastoyhtiö Oy</v>
      </c>
      <c r="M690" s="31" t="str">
        <f>IFERROR(INDEX([2]Sheet1!$B:$B,MATCH($D690,[2]Sheet1!$A:$A,0)),"Not found")</f>
        <v>Retail</v>
      </c>
      <c r="N690">
        <f t="shared" si="20"/>
        <v>1</v>
      </c>
      <c r="O690">
        <f t="shared" si="21"/>
        <v>0</v>
      </c>
    </row>
    <row r="691" spans="1:15" x14ac:dyDescent="0.25">
      <c r="A691" t="s">
        <v>0</v>
      </c>
      <c r="B691" s="1">
        <v>43586</v>
      </c>
      <c r="C691" s="1">
        <v>55153</v>
      </c>
      <c r="D691" s="4" t="s">
        <v>1580</v>
      </c>
      <c r="E691" s="32" t="s">
        <v>1581</v>
      </c>
      <c r="F691" s="32">
        <v>29778633</v>
      </c>
      <c r="G691" t="s">
        <v>3</v>
      </c>
      <c r="H691" t="s">
        <v>4</v>
      </c>
      <c r="I691" t="s">
        <v>20</v>
      </c>
      <c r="J691" s="30" t="str">
        <f>IF(ISNUMBER(MATCH($D691,'Lopettaneet 2013-&gt;'!$D:$D,0)),INDEX('Lopettaneet 2013-&gt;'!$K:$K,MATCH($D691,'Lopettaneet 2013-&gt;'!$D:$D,0)),"Continues")</f>
        <v>Continues</v>
      </c>
      <c r="K691" s="30">
        <f ca="1">IF($J691="Continues",DATEDIF($B691,TODAY(),"Y"),INDEX('Lopettaneet 2013-&gt;'!$L:$L,MATCH($D691,'Lopettaneet 2013-&gt;'!$D:$D,0)))</f>
        <v>6</v>
      </c>
      <c r="L691" s="31" t="str">
        <f>IFERROR(INDEX('[1]30.06.2024'!$H:$H,MATCH($E691,'[1]30.06.2024'!$B:$B,0)),"Not found")</f>
        <v>Sp-Rahastoyhtiö Oy</v>
      </c>
      <c r="M691" s="31" t="str">
        <f>IFERROR(INDEX([2]Sheet1!$B:$B,MATCH($D691,[2]Sheet1!$A:$A,0)),"Not found")</f>
        <v>Retail</v>
      </c>
      <c r="N691">
        <f t="shared" si="20"/>
        <v>1</v>
      </c>
      <c r="O691">
        <f t="shared" si="21"/>
        <v>0</v>
      </c>
    </row>
    <row r="692" spans="1:15" x14ac:dyDescent="0.25">
      <c r="A692" t="s">
        <v>7</v>
      </c>
      <c r="B692" s="1">
        <v>43525</v>
      </c>
      <c r="C692" s="1">
        <v>44104</v>
      </c>
      <c r="D692" s="4" t="s">
        <v>1582</v>
      </c>
      <c r="E692" s="32" t="s">
        <v>1583</v>
      </c>
      <c r="F692" s="32">
        <v>29579925</v>
      </c>
      <c r="G692" t="s">
        <v>10</v>
      </c>
      <c r="H692" t="s">
        <v>11</v>
      </c>
      <c r="I692" t="s">
        <v>32</v>
      </c>
      <c r="J692" s="30" t="str">
        <f>IF(ISNUMBER(MATCH($D692,'Lopettaneet 2013-&gt;'!$D:$D,0)),INDEX('Lopettaneet 2013-&gt;'!$K:$K,MATCH($D692,'Lopettaneet 2013-&gt;'!$D:$D,0)),"Continues")</f>
        <v>Closed</v>
      </c>
      <c r="K692" s="30">
        <f ca="1">IF($J692="Continues",DATEDIF($B692,TODAY(),"Y"),INDEX('Lopettaneet 2013-&gt;'!$L:$L,MATCH($D692,'Lopettaneet 2013-&gt;'!$D:$D,0)))</f>
        <v>1</v>
      </c>
      <c r="L692" s="31" t="str">
        <f>IFERROR(INDEX('[1]30.06.2024'!$H:$H,MATCH($E692,'[1]30.06.2024'!$B:$B,0)),"Not found")</f>
        <v>Not found</v>
      </c>
      <c r="M692" s="31" t="str">
        <f>IFERROR(INDEX([2]Sheet1!$B:$B,MATCH($D692,[2]Sheet1!$A:$A,0)),"Not found")</f>
        <v>Not found</v>
      </c>
      <c r="N692">
        <f t="shared" si="20"/>
        <v>0</v>
      </c>
      <c r="O692">
        <f t="shared" si="21"/>
        <v>0</v>
      </c>
    </row>
    <row r="693" spans="1:15" x14ac:dyDescent="0.25">
      <c r="A693" t="s">
        <v>7</v>
      </c>
      <c r="B693" s="1">
        <v>43525</v>
      </c>
      <c r="C693" s="1">
        <v>55153</v>
      </c>
      <c r="D693" s="4" t="s">
        <v>1584</v>
      </c>
      <c r="E693" s="32" t="s">
        <v>1585</v>
      </c>
      <c r="F693" s="32">
        <v>29645363</v>
      </c>
      <c r="G693" t="s">
        <v>10</v>
      </c>
      <c r="H693" t="s">
        <v>11</v>
      </c>
      <c r="I693" t="s">
        <v>32</v>
      </c>
      <c r="J693" s="30" t="str">
        <f>IF(ISNUMBER(MATCH($D693,'Lopettaneet 2013-&gt;'!$D:$D,0)),INDEX('Lopettaneet 2013-&gt;'!$K:$K,MATCH($D693,'Lopettaneet 2013-&gt;'!$D:$D,0)),"Continues")</f>
        <v>Continues</v>
      </c>
      <c r="K693" s="30">
        <f ca="1">IF($J693="Continues",DATEDIF($B693,TODAY(),"Y"),INDEX('Lopettaneet 2013-&gt;'!$L:$L,MATCH($D693,'Lopettaneet 2013-&gt;'!$D:$D,0)))</f>
        <v>6</v>
      </c>
      <c r="L693" s="31" t="str">
        <f>IFERROR(INDEX('[1]30.06.2024'!$H:$H,MATCH($E693,'[1]30.06.2024'!$B:$B,0)),"Not found")</f>
        <v>Evli-Rahastoyhtiö Oy</v>
      </c>
      <c r="M693" s="31" t="str">
        <f>IFERROR(INDEX([2]Sheet1!$B:$B,MATCH($D693,[2]Sheet1!$A:$A,0)),"Not found")</f>
        <v>Retail</v>
      </c>
      <c r="N693">
        <f t="shared" si="20"/>
        <v>1</v>
      </c>
      <c r="O693">
        <f t="shared" si="21"/>
        <v>0</v>
      </c>
    </row>
    <row r="694" spans="1:15" x14ac:dyDescent="0.25">
      <c r="A694" t="s">
        <v>0</v>
      </c>
      <c r="B694" s="1">
        <v>43525</v>
      </c>
      <c r="C694" s="1">
        <v>44439</v>
      </c>
      <c r="D694" s="4" t="s">
        <v>1586</v>
      </c>
      <c r="E694" s="32" t="s">
        <v>1587</v>
      </c>
      <c r="F694" s="32">
        <v>29772805</v>
      </c>
      <c r="G694" t="s">
        <v>10</v>
      </c>
      <c r="H694" t="s">
        <v>4</v>
      </c>
      <c r="I694" t="s">
        <v>50</v>
      </c>
      <c r="J694" s="30" t="str">
        <f>IF(ISNUMBER(MATCH($D694,'Lopettaneet 2013-&gt;'!$D:$D,0)),INDEX('Lopettaneet 2013-&gt;'!$K:$K,MATCH($D694,'Lopettaneet 2013-&gt;'!$D:$D,0)),"Continues")</f>
        <v>Merged</v>
      </c>
      <c r="K694" s="30">
        <f ca="1">IF($J694="Continues",DATEDIF($B694,TODAY(),"Y"),INDEX('Lopettaneet 2013-&gt;'!$L:$L,MATCH($D694,'Lopettaneet 2013-&gt;'!$D:$D,0)))</f>
        <v>2</v>
      </c>
      <c r="L694" s="31" t="str">
        <f>IFERROR(INDEX('[1]30.06.2024'!$H:$H,MATCH($E694,'[1]30.06.2024'!$B:$B,0)),"Not found")</f>
        <v>Not found</v>
      </c>
      <c r="M694" s="31" t="str">
        <f>IFERROR(INDEX([2]Sheet1!$B:$B,MATCH($D694,[2]Sheet1!$A:$A,0)),"Not found")</f>
        <v>Not found</v>
      </c>
      <c r="N694">
        <f t="shared" si="20"/>
        <v>0</v>
      </c>
      <c r="O694">
        <f t="shared" si="21"/>
        <v>0</v>
      </c>
    </row>
    <row r="695" spans="1:15" x14ac:dyDescent="0.25">
      <c r="A695" t="s">
        <v>0</v>
      </c>
      <c r="B695" s="1">
        <v>43617</v>
      </c>
      <c r="C695" s="1">
        <v>55153</v>
      </c>
      <c r="D695" s="4" t="s">
        <v>1588</v>
      </c>
      <c r="E695" s="32" t="s">
        <v>1589</v>
      </c>
      <c r="F695" s="32">
        <v>29945884</v>
      </c>
      <c r="G695" t="s">
        <v>10</v>
      </c>
      <c r="H695" t="s">
        <v>4</v>
      </c>
      <c r="I695" t="s">
        <v>29</v>
      </c>
      <c r="J695" s="30" t="str">
        <f>IF(ISNUMBER(MATCH($D695,'Lopettaneet 2013-&gt;'!$D:$D,0)),INDEX('Lopettaneet 2013-&gt;'!$K:$K,MATCH($D695,'Lopettaneet 2013-&gt;'!$D:$D,0)),"Continues")</f>
        <v>Continues</v>
      </c>
      <c r="K695" s="30">
        <f ca="1">IF($J695="Continues",DATEDIF($B695,TODAY(),"Y"),INDEX('Lopettaneet 2013-&gt;'!$L:$L,MATCH($D695,'Lopettaneet 2013-&gt;'!$D:$D,0)))</f>
        <v>5</v>
      </c>
      <c r="L695" s="31" t="str">
        <f>IFERROR(INDEX('[1]30.06.2024'!$H:$H,MATCH($E695,'[1]30.06.2024'!$B:$B,0)),"Not found")</f>
        <v>Aktia Rahastoyhtiö Oy</v>
      </c>
      <c r="M695" s="31" t="str">
        <f>IFERROR(INDEX([2]Sheet1!$B:$B,MATCH($D695,[2]Sheet1!$A:$A,0)),"Not found")</f>
        <v>Retail</v>
      </c>
      <c r="N695">
        <f t="shared" si="20"/>
        <v>1</v>
      </c>
      <c r="O695">
        <f t="shared" si="21"/>
        <v>0</v>
      </c>
    </row>
    <row r="696" spans="1:15" x14ac:dyDescent="0.25">
      <c r="A696" t="s">
        <v>7</v>
      </c>
      <c r="B696" s="1">
        <v>43617</v>
      </c>
      <c r="C696" s="1">
        <v>55153</v>
      </c>
      <c r="D696" s="4" t="s">
        <v>1590</v>
      </c>
      <c r="E696" s="32" t="s">
        <v>1591</v>
      </c>
      <c r="F696" s="32">
        <v>29934739</v>
      </c>
      <c r="G696" t="s">
        <v>10</v>
      </c>
      <c r="H696" t="s">
        <v>11</v>
      </c>
      <c r="I696" t="s">
        <v>80</v>
      </c>
      <c r="J696" s="30" t="str">
        <f>IF(ISNUMBER(MATCH($D696,'Lopettaneet 2013-&gt;'!$D:$D,0)),INDEX('Lopettaneet 2013-&gt;'!$K:$K,MATCH($D696,'Lopettaneet 2013-&gt;'!$D:$D,0)),"Continues")</f>
        <v>Continues</v>
      </c>
      <c r="K696" s="30">
        <f ca="1">IF($J696="Continues",DATEDIF($B696,TODAY(),"Y"),INDEX('Lopettaneet 2013-&gt;'!$L:$L,MATCH($D696,'Lopettaneet 2013-&gt;'!$D:$D,0)))</f>
        <v>5</v>
      </c>
      <c r="L696" s="31" t="str">
        <f>IFERROR(INDEX('[1]30.06.2024'!$H:$H,MATCH($E696,'[1]30.06.2024'!$B:$B,0)),"Not found")</f>
        <v>Evolver Equity Ab</v>
      </c>
      <c r="M696" s="31" t="str">
        <f>IFERROR(INDEX([2]Sheet1!$B:$B,MATCH($D696,[2]Sheet1!$A:$A,0)),"Not found")</f>
        <v>Retail</v>
      </c>
      <c r="N696">
        <f t="shared" si="20"/>
        <v>1</v>
      </c>
      <c r="O696">
        <f t="shared" si="21"/>
        <v>0</v>
      </c>
    </row>
    <row r="697" spans="1:15" x14ac:dyDescent="0.25">
      <c r="A697" t="s">
        <v>0</v>
      </c>
      <c r="B697" s="1">
        <v>43556</v>
      </c>
      <c r="C697" s="1">
        <v>55153</v>
      </c>
      <c r="D697" s="4" t="s">
        <v>1592</v>
      </c>
      <c r="E697" s="32" t="s">
        <v>1593</v>
      </c>
      <c r="F697" s="32">
        <v>29747167</v>
      </c>
      <c r="G697" t="s">
        <v>3</v>
      </c>
      <c r="H697" t="s">
        <v>4</v>
      </c>
      <c r="I697" t="s">
        <v>50</v>
      </c>
      <c r="J697" s="30" t="str">
        <f>IF(ISNUMBER(MATCH($D697,'Lopettaneet 2013-&gt;'!$D:$D,0)),INDEX('Lopettaneet 2013-&gt;'!$K:$K,MATCH($D697,'Lopettaneet 2013-&gt;'!$D:$D,0)),"Continues")</f>
        <v>Continues</v>
      </c>
      <c r="K697" s="30">
        <f ca="1">IF($J697="Continues",DATEDIF($B697,TODAY(),"Y"),INDEX('Lopettaneet 2013-&gt;'!$L:$L,MATCH($D697,'Lopettaneet 2013-&gt;'!$D:$D,0)))</f>
        <v>6</v>
      </c>
      <c r="L697" s="31" t="str">
        <f>IFERROR(INDEX('[1]30.06.2024'!$H:$H,MATCH($E697,'[1]30.06.2024'!$B:$B,0)),"Not found")</f>
        <v>Nordea Funds Oy</v>
      </c>
      <c r="M697" s="31" t="str">
        <f>IFERROR(INDEX([2]Sheet1!$B:$B,MATCH($D697,[2]Sheet1!$A:$A,0)),"Not found")</f>
        <v>Retail</v>
      </c>
      <c r="N697">
        <f t="shared" si="20"/>
        <v>1</v>
      </c>
      <c r="O697">
        <f t="shared" si="21"/>
        <v>0</v>
      </c>
    </row>
    <row r="698" spans="1:15" x14ac:dyDescent="0.25">
      <c r="A698" t="s">
        <v>0</v>
      </c>
      <c r="B698" s="1">
        <v>43556</v>
      </c>
      <c r="C698" s="1">
        <v>55153</v>
      </c>
      <c r="D698" s="4" t="s">
        <v>1594</v>
      </c>
      <c r="E698" s="32" t="s">
        <v>1595</v>
      </c>
      <c r="F698" s="32">
        <v>29747511</v>
      </c>
      <c r="G698" t="s">
        <v>3</v>
      </c>
      <c r="H698" t="s">
        <v>4</v>
      </c>
      <c r="I698" t="s">
        <v>50</v>
      </c>
      <c r="J698" s="30" t="str">
        <f>IF(ISNUMBER(MATCH($D698,'Lopettaneet 2013-&gt;'!$D:$D,0)),INDEX('Lopettaneet 2013-&gt;'!$K:$K,MATCH($D698,'Lopettaneet 2013-&gt;'!$D:$D,0)),"Continues")</f>
        <v>Continues</v>
      </c>
      <c r="K698" s="30">
        <f ca="1">IF($J698="Continues",DATEDIF($B698,TODAY(),"Y"),INDEX('Lopettaneet 2013-&gt;'!$L:$L,MATCH($D698,'Lopettaneet 2013-&gt;'!$D:$D,0)))</f>
        <v>6</v>
      </c>
      <c r="L698" s="31" t="str">
        <f>IFERROR(INDEX('[1]30.06.2024'!$H:$H,MATCH($E698,'[1]30.06.2024'!$B:$B,0)),"Not found")</f>
        <v>Nordea Funds Oy</v>
      </c>
      <c r="M698" s="31" t="str">
        <f>IFERROR(INDEX([2]Sheet1!$B:$B,MATCH($D698,[2]Sheet1!$A:$A,0)),"Not found")</f>
        <v>Retail</v>
      </c>
      <c r="N698">
        <f t="shared" si="20"/>
        <v>1</v>
      </c>
      <c r="O698">
        <f t="shared" si="21"/>
        <v>0</v>
      </c>
    </row>
    <row r="699" spans="1:15" x14ac:dyDescent="0.25">
      <c r="A699" t="s">
        <v>0</v>
      </c>
      <c r="B699" s="1">
        <v>43556</v>
      </c>
      <c r="C699" s="1">
        <v>55153</v>
      </c>
      <c r="D699" s="4" t="s">
        <v>1596</v>
      </c>
      <c r="E699" s="32" t="s">
        <v>1597</v>
      </c>
      <c r="F699" s="32">
        <v>29749613</v>
      </c>
      <c r="G699" t="s">
        <v>3</v>
      </c>
      <c r="H699" t="s">
        <v>4</v>
      </c>
      <c r="I699" t="s">
        <v>50</v>
      </c>
      <c r="J699" s="30" t="str">
        <f>IF(ISNUMBER(MATCH($D699,'Lopettaneet 2013-&gt;'!$D:$D,0)),INDEX('Lopettaneet 2013-&gt;'!$K:$K,MATCH($D699,'Lopettaneet 2013-&gt;'!$D:$D,0)),"Continues")</f>
        <v>Continues</v>
      </c>
      <c r="K699" s="30">
        <f ca="1">IF($J699="Continues",DATEDIF($B699,TODAY(),"Y"),INDEX('Lopettaneet 2013-&gt;'!$L:$L,MATCH($D699,'Lopettaneet 2013-&gt;'!$D:$D,0)))</f>
        <v>6</v>
      </c>
      <c r="L699" s="31" t="str">
        <f>IFERROR(INDEX('[1]30.06.2024'!$H:$H,MATCH($E699,'[1]30.06.2024'!$B:$B,0)),"Not found")</f>
        <v>Nordea Funds Oy</v>
      </c>
      <c r="M699" s="31" t="str">
        <f>IFERROR(INDEX([2]Sheet1!$B:$B,MATCH($D699,[2]Sheet1!$A:$A,0)),"Not found")</f>
        <v>Retail</v>
      </c>
      <c r="N699">
        <f t="shared" si="20"/>
        <v>1</v>
      </c>
      <c r="O699">
        <f t="shared" si="21"/>
        <v>0</v>
      </c>
    </row>
    <row r="700" spans="1:15" x14ac:dyDescent="0.25">
      <c r="A700" t="s">
        <v>7</v>
      </c>
      <c r="B700" s="1">
        <v>43525</v>
      </c>
      <c r="C700" s="1">
        <v>55153</v>
      </c>
      <c r="D700" s="4" t="s">
        <v>1598</v>
      </c>
      <c r="E700" s="32" t="s">
        <v>1599</v>
      </c>
      <c r="F700" s="32">
        <v>29594762</v>
      </c>
      <c r="G700" t="s">
        <v>10</v>
      </c>
      <c r="H700" t="s">
        <v>11</v>
      </c>
      <c r="I700" t="s">
        <v>29</v>
      </c>
      <c r="J700" s="30" t="str">
        <f>IF(ISNUMBER(MATCH($D700,'Lopettaneet 2013-&gt;'!$D:$D,0)),INDEX('Lopettaneet 2013-&gt;'!$K:$K,MATCH($D700,'Lopettaneet 2013-&gt;'!$D:$D,0)),"Continues")</f>
        <v>Continues</v>
      </c>
      <c r="K700" s="30">
        <f ca="1">IF($J700="Continues",DATEDIF($B700,TODAY(),"Y"),INDEX('Lopettaneet 2013-&gt;'!$L:$L,MATCH($D700,'Lopettaneet 2013-&gt;'!$D:$D,0)))</f>
        <v>6</v>
      </c>
      <c r="L700" s="31" t="str">
        <f>IFERROR(INDEX('[1]30.06.2024'!$H:$H,MATCH($E700,'[1]30.06.2024'!$B:$B,0)),"Not found")</f>
        <v>Taaleri Pääomarahastot Oy</v>
      </c>
      <c r="M700" s="31" t="str">
        <f>IFERROR(INDEX([2]Sheet1!$B:$B,MATCH($D700,[2]Sheet1!$A:$A,0)),"Not found")</f>
        <v>Retail</v>
      </c>
      <c r="N700">
        <f t="shared" si="20"/>
        <v>1</v>
      </c>
      <c r="O700">
        <f t="shared" si="21"/>
        <v>0</v>
      </c>
    </row>
    <row r="701" spans="1:15" x14ac:dyDescent="0.25">
      <c r="A701" t="s">
        <v>7</v>
      </c>
      <c r="B701" s="1">
        <v>43525</v>
      </c>
      <c r="C701" s="1">
        <v>55153</v>
      </c>
      <c r="D701" s="4" t="s">
        <v>1600</v>
      </c>
      <c r="E701" s="32" t="s">
        <v>1601</v>
      </c>
      <c r="F701" s="32">
        <v>29594797</v>
      </c>
      <c r="G701" t="s">
        <v>10</v>
      </c>
      <c r="H701" t="s">
        <v>11</v>
      </c>
      <c r="I701" t="s">
        <v>29</v>
      </c>
      <c r="J701" s="30" t="str">
        <f>IF(ISNUMBER(MATCH($D701,'Lopettaneet 2013-&gt;'!$D:$D,0)),INDEX('Lopettaneet 2013-&gt;'!$K:$K,MATCH($D701,'Lopettaneet 2013-&gt;'!$D:$D,0)),"Continues")</f>
        <v>Continues</v>
      </c>
      <c r="K701" s="30">
        <f ca="1">IF($J701="Continues",DATEDIF($B701,TODAY(),"Y"),INDEX('Lopettaneet 2013-&gt;'!$L:$L,MATCH($D701,'Lopettaneet 2013-&gt;'!$D:$D,0)))</f>
        <v>6</v>
      </c>
      <c r="L701" s="31" t="str">
        <f>IFERROR(INDEX('[1]30.06.2024'!$H:$H,MATCH($E701,'[1]30.06.2024'!$B:$B,0)),"Not found")</f>
        <v>Taaleri Pääomarahastot Oy</v>
      </c>
      <c r="M701" s="31" t="str">
        <f>IFERROR(INDEX([2]Sheet1!$B:$B,MATCH($D701,[2]Sheet1!$A:$A,0)),"Not found")</f>
        <v>Retail</v>
      </c>
      <c r="N701">
        <f t="shared" si="20"/>
        <v>1</v>
      </c>
      <c r="O701">
        <f t="shared" si="21"/>
        <v>0</v>
      </c>
    </row>
    <row r="702" spans="1:15" x14ac:dyDescent="0.25">
      <c r="A702" t="s">
        <v>7</v>
      </c>
      <c r="B702" s="1">
        <v>43525</v>
      </c>
      <c r="C702" s="1">
        <v>55153</v>
      </c>
      <c r="D702" s="4" t="s">
        <v>1602</v>
      </c>
      <c r="E702" s="32" t="s">
        <v>1603</v>
      </c>
      <c r="F702" s="32">
        <v>29594754</v>
      </c>
      <c r="G702" t="s">
        <v>10</v>
      </c>
      <c r="H702" t="s">
        <v>11</v>
      </c>
      <c r="I702" t="s">
        <v>29</v>
      </c>
      <c r="J702" s="30" t="str">
        <f>IF(ISNUMBER(MATCH($D702,'Lopettaneet 2013-&gt;'!$D:$D,0)),INDEX('Lopettaneet 2013-&gt;'!$K:$K,MATCH($D702,'Lopettaneet 2013-&gt;'!$D:$D,0)),"Continues")</f>
        <v>Continues</v>
      </c>
      <c r="K702" s="30">
        <f ca="1">IF($J702="Continues",DATEDIF($B702,TODAY(),"Y"),INDEX('Lopettaneet 2013-&gt;'!$L:$L,MATCH($D702,'Lopettaneet 2013-&gt;'!$D:$D,0)))</f>
        <v>6</v>
      </c>
      <c r="L702" s="31" t="str">
        <f>IFERROR(INDEX('[1]30.06.2024'!$H:$H,MATCH($E702,'[1]30.06.2024'!$B:$B,0)),"Not found")</f>
        <v>Taaleri Pääomarahastot Oy</v>
      </c>
      <c r="M702" s="31" t="str">
        <f>IFERROR(INDEX([2]Sheet1!$B:$B,MATCH($D702,[2]Sheet1!$A:$A,0)),"Not found")</f>
        <v>Retail</v>
      </c>
      <c r="N702">
        <f t="shared" si="20"/>
        <v>1</v>
      </c>
      <c r="O702">
        <f t="shared" si="21"/>
        <v>0</v>
      </c>
    </row>
    <row r="703" spans="1:15" x14ac:dyDescent="0.25">
      <c r="A703" t="s">
        <v>7</v>
      </c>
      <c r="B703" s="1">
        <v>43525</v>
      </c>
      <c r="C703" s="1">
        <v>55153</v>
      </c>
      <c r="D703" s="4" t="s">
        <v>1604</v>
      </c>
      <c r="E703" s="32" t="s">
        <v>1605</v>
      </c>
      <c r="F703" s="32">
        <v>29645523</v>
      </c>
      <c r="G703" t="s">
        <v>10</v>
      </c>
      <c r="H703" t="s">
        <v>11</v>
      </c>
      <c r="I703" t="s">
        <v>32</v>
      </c>
      <c r="J703" s="30" t="str">
        <f>IF(ISNUMBER(MATCH($D703,'Lopettaneet 2013-&gt;'!$D:$D,0)),INDEX('Lopettaneet 2013-&gt;'!$K:$K,MATCH($D703,'Lopettaneet 2013-&gt;'!$D:$D,0)),"Continues")</f>
        <v>Continues</v>
      </c>
      <c r="K703" s="30">
        <f ca="1">IF($J703="Continues",DATEDIF($B703,TODAY(),"Y"),INDEX('Lopettaneet 2013-&gt;'!$L:$L,MATCH($D703,'Lopettaneet 2013-&gt;'!$D:$D,0)))</f>
        <v>6</v>
      </c>
      <c r="L703" s="31" t="str">
        <f>IFERROR(INDEX('[1]30.06.2024'!$H:$H,MATCH($E703,'[1]30.06.2024'!$B:$B,0)),"Not found")</f>
        <v>Evli-Rahastoyhtiö Oy</v>
      </c>
      <c r="M703" s="31" t="str">
        <f>IFERROR(INDEX([2]Sheet1!$B:$B,MATCH($D703,[2]Sheet1!$A:$A,0)),"Not found")</f>
        <v>Retail</v>
      </c>
      <c r="N703">
        <f t="shared" si="20"/>
        <v>1</v>
      </c>
      <c r="O703">
        <f t="shared" si="21"/>
        <v>0</v>
      </c>
    </row>
    <row r="704" spans="1:15" x14ac:dyDescent="0.25">
      <c r="A704" t="s">
        <v>7</v>
      </c>
      <c r="B704" s="1">
        <v>44621</v>
      </c>
      <c r="C704" s="1">
        <v>55153</v>
      </c>
      <c r="D704" s="4" t="s">
        <v>1606</v>
      </c>
      <c r="E704" s="32" t="s">
        <v>1607</v>
      </c>
      <c r="F704" s="32">
        <v>32551835</v>
      </c>
      <c r="G704" t="s">
        <v>10</v>
      </c>
      <c r="H704" t="s">
        <v>11</v>
      </c>
      <c r="I704" t="s">
        <v>80</v>
      </c>
      <c r="J704" s="30" t="str">
        <f>IF(ISNUMBER(MATCH($D704,'Lopettaneet 2013-&gt;'!$D:$D,0)),INDEX('Lopettaneet 2013-&gt;'!$K:$K,MATCH($D704,'Lopettaneet 2013-&gt;'!$D:$D,0)),"Continues")</f>
        <v>Continues</v>
      </c>
      <c r="K704" s="30">
        <f ca="1">IF($J704="Continues",DATEDIF($B704,TODAY(),"Y"),INDEX('Lopettaneet 2013-&gt;'!$L:$L,MATCH($D704,'Lopettaneet 2013-&gt;'!$D:$D,0)))</f>
        <v>3</v>
      </c>
      <c r="L704" s="31" t="str">
        <f>IFERROR(INDEX('[1]30.06.2024'!$H:$H,MATCH($E704,'[1]30.06.2024'!$B:$B,0)),"Not found")</f>
        <v>Nordic Game Fund Management Oy</v>
      </c>
      <c r="M704" s="31" t="str">
        <f>IFERROR(INDEX([2]Sheet1!$B:$B,MATCH($D704,[2]Sheet1!$A:$A,0)),"Not found")</f>
        <v>Not found</v>
      </c>
      <c r="N704">
        <f t="shared" si="20"/>
        <v>0</v>
      </c>
      <c r="O704">
        <f t="shared" si="21"/>
        <v>0</v>
      </c>
    </row>
    <row r="705" spans="1:15" x14ac:dyDescent="0.25">
      <c r="A705" t="s">
        <v>7</v>
      </c>
      <c r="B705" s="1">
        <v>43617</v>
      </c>
      <c r="C705" s="1">
        <v>55153</v>
      </c>
      <c r="D705" s="4" t="s">
        <v>1608</v>
      </c>
      <c r="E705" s="32" t="s">
        <v>1609</v>
      </c>
      <c r="F705" s="32">
        <v>29820889</v>
      </c>
      <c r="G705" t="s">
        <v>10</v>
      </c>
      <c r="H705" t="s">
        <v>11</v>
      </c>
      <c r="I705" t="s">
        <v>32</v>
      </c>
      <c r="J705" s="30" t="str">
        <f>IF(ISNUMBER(MATCH($D705,'Lopettaneet 2013-&gt;'!$D:$D,0)),INDEX('Lopettaneet 2013-&gt;'!$K:$K,MATCH($D705,'Lopettaneet 2013-&gt;'!$D:$D,0)),"Continues")</f>
        <v>Continues</v>
      </c>
      <c r="K705" s="30">
        <f ca="1">IF($J705="Continues",DATEDIF($B705,TODAY(),"Y"),INDEX('Lopettaneet 2013-&gt;'!$L:$L,MATCH($D705,'Lopettaneet 2013-&gt;'!$D:$D,0)))</f>
        <v>5</v>
      </c>
      <c r="L705" s="31" t="str">
        <f>IFERROR(INDEX('[1]30.06.2024'!$H:$H,MATCH($E705,'[1]30.06.2024'!$B:$B,0)),"Not found")</f>
        <v>Luotsi Capital Oy</v>
      </c>
      <c r="M705" s="31" t="str">
        <f>IFERROR(INDEX([2]Sheet1!$B:$B,MATCH($D705,[2]Sheet1!$A:$A,0)),"Not found")</f>
        <v>Retail</v>
      </c>
      <c r="N705">
        <f t="shared" si="20"/>
        <v>1</v>
      </c>
      <c r="O705">
        <f t="shared" si="21"/>
        <v>0</v>
      </c>
    </row>
    <row r="706" spans="1:15" x14ac:dyDescent="0.25">
      <c r="A706" t="s">
        <v>7</v>
      </c>
      <c r="B706" s="1">
        <v>43891</v>
      </c>
      <c r="C706" s="1">
        <v>55153</v>
      </c>
      <c r="D706" s="4" t="s">
        <v>1610</v>
      </c>
      <c r="E706" s="32" t="s">
        <v>1611</v>
      </c>
      <c r="F706" s="32">
        <v>30016783</v>
      </c>
      <c r="G706" t="s">
        <v>10</v>
      </c>
      <c r="H706" t="s">
        <v>11</v>
      </c>
      <c r="I706" t="s">
        <v>29</v>
      </c>
      <c r="J706" s="30" t="str">
        <f>IF(ISNUMBER(MATCH($D706,'Lopettaneet 2013-&gt;'!$D:$D,0)),INDEX('Lopettaneet 2013-&gt;'!$K:$K,MATCH($D706,'Lopettaneet 2013-&gt;'!$D:$D,0)),"Continues")</f>
        <v>Continues</v>
      </c>
      <c r="K706" s="30">
        <f ca="1">IF($J706="Continues",DATEDIF($B706,TODAY(),"Y"),INDEX('Lopettaneet 2013-&gt;'!$L:$L,MATCH($D706,'Lopettaneet 2013-&gt;'!$D:$D,0)))</f>
        <v>5</v>
      </c>
      <c r="L706" s="31" t="str">
        <f>IFERROR(INDEX('[1]30.06.2024'!$H:$H,MATCH($E706,'[1]30.06.2024'!$B:$B,0)),"Not found")</f>
        <v>S-Pankki Rahastoyhtiö Oy</v>
      </c>
      <c r="M706" s="31" t="str">
        <f>IFERROR(INDEX([2]Sheet1!$B:$B,MATCH($D706,[2]Sheet1!$A:$A,0)),"Not found")</f>
        <v>Non-Retail</v>
      </c>
      <c r="N706">
        <f t="shared" si="20"/>
        <v>0</v>
      </c>
      <c r="O706">
        <f t="shared" si="21"/>
        <v>1</v>
      </c>
    </row>
    <row r="707" spans="1:15" x14ac:dyDescent="0.25">
      <c r="A707" t="s">
        <v>7</v>
      </c>
      <c r="B707" s="1">
        <v>43525</v>
      </c>
      <c r="C707" s="1">
        <v>55153</v>
      </c>
      <c r="D707" s="4" t="s">
        <v>1612</v>
      </c>
      <c r="E707" s="32" t="s">
        <v>1613</v>
      </c>
      <c r="F707" s="32">
        <v>29547077</v>
      </c>
      <c r="G707" t="s">
        <v>10</v>
      </c>
      <c r="H707" t="s">
        <v>11</v>
      </c>
      <c r="I707" t="s">
        <v>29</v>
      </c>
      <c r="J707" s="30" t="str">
        <f>IF(ISNUMBER(MATCH($D707,'Lopettaneet 2013-&gt;'!$D:$D,0)),INDEX('Lopettaneet 2013-&gt;'!$K:$K,MATCH($D707,'Lopettaneet 2013-&gt;'!$D:$D,0)),"Continues")</f>
        <v>Continues</v>
      </c>
      <c r="K707" s="30">
        <f ca="1">IF($J707="Continues",DATEDIF($B707,TODAY(),"Y"),INDEX('Lopettaneet 2013-&gt;'!$L:$L,MATCH($D707,'Lopettaneet 2013-&gt;'!$D:$D,0)))</f>
        <v>6</v>
      </c>
      <c r="L707" s="31" t="str">
        <f>IFERROR(INDEX('[1]30.06.2024'!$H:$H,MATCH($E707,'[1]30.06.2024'!$B:$B,0)),"Not found")</f>
        <v>S-Pankki Rahastoyhtiö Oy</v>
      </c>
      <c r="M707" s="31" t="str">
        <f>IFERROR(INDEX([2]Sheet1!$B:$B,MATCH($D707,[2]Sheet1!$A:$A,0)),"Not found")</f>
        <v>Non-Retail</v>
      </c>
      <c r="N707">
        <f t="shared" ref="N707:N770" si="22">IF($M707="Retail",1,0)</f>
        <v>0</v>
      </c>
      <c r="O707">
        <f t="shared" ref="O707:O770" si="23">IF($M707="Non-Retail",1,0)</f>
        <v>1</v>
      </c>
    </row>
    <row r="708" spans="1:15" x14ac:dyDescent="0.25">
      <c r="A708" t="s">
        <v>7</v>
      </c>
      <c r="B708" s="1">
        <v>43983</v>
      </c>
      <c r="C708" s="1">
        <v>55153</v>
      </c>
      <c r="D708" s="4" t="s">
        <v>1614</v>
      </c>
      <c r="E708" s="32" t="s">
        <v>1615</v>
      </c>
      <c r="F708" s="32">
        <v>31261019</v>
      </c>
      <c r="G708" t="s">
        <v>10</v>
      </c>
      <c r="H708" t="s">
        <v>11</v>
      </c>
      <c r="I708" t="s">
        <v>80</v>
      </c>
      <c r="J708" s="30" t="str">
        <f>IF(ISNUMBER(MATCH($D708,'Lopettaneet 2013-&gt;'!$D:$D,0)),INDEX('Lopettaneet 2013-&gt;'!$K:$K,MATCH($D708,'Lopettaneet 2013-&gt;'!$D:$D,0)),"Continues")</f>
        <v>Continues</v>
      </c>
      <c r="K708" s="30">
        <f ca="1">IF($J708="Continues",DATEDIF($B708,TODAY(),"Y"),INDEX('Lopettaneet 2013-&gt;'!$L:$L,MATCH($D708,'Lopettaneet 2013-&gt;'!$D:$D,0)))</f>
        <v>4</v>
      </c>
      <c r="L708" s="31" t="str">
        <f>IFERROR(INDEX('[1]30.06.2024'!$H:$H,MATCH($E708,'[1]30.06.2024'!$B:$B,0)),"Not found")</f>
        <v>Innovestor Ventures Oy</v>
      </c>
      <c r="M708" s="31" t="str">
        <f>IFERROR(INDEX([2]Sheet1!$B:$B,MATCH($D708,[2]Sheet1!$A:$A,0)),"Not found")</f>
        <v>Retail</v>
      </c>
      <c r="N708">
        <f t="shared" si="22"/>
        <v>1</v>
      </c>
      <c r="O708">
        <f t="shared" si="23"/>
        <v>0</v>
      </c>
    </row>
    <row r="709" spans="1:15" x14ac:dyDescent="0.25">
      <c r="A709" t="s">
        <v>7</v>
      </c>
      <c r="B709" s="1">
        <v>43800</v>
      </c>
      <c r="C709" s="1">
        <v>55153</v>
      </c>
      <c r="D709" s="4" t="s">
        <v>1616</v>
      </c>
      <c r="E709" s="32" t="s">
        <v>1617</v>
      </c>
      <c r="F709" s="32">
        <v>29889392</v>
      </c>
      <c r="G709" t="s">
        <v>10</v>
      </c>
      <c r="H709" t="s">
        <v>11</v>
      </c>
      <c r="I709" t="s">
        <v>12</v>
      </c>
      <c r="J709" s="30" t="str">
        <f>IF(ISNUMBER(MATCH($D709,'Lopettaneet 2013-&gt;'!$D:$D,0)),INDEX('Lopettaneet 2013-&gt;'!$K:$K,MATCH($D709,'Lopettaneet 2013-&gt;'!$D:$D,0)),"Continues")</f>
        <v>Continues</v>
      </c>
      <c r="K709" s="30">
        <f ca="1">IF($J709="Continues",DATEDIF($B709,TODAY(),"Y"),INDEX('Lopettaneet 2013-&gt;'!$L:$L,MATCH($D709,'Lopettaneet 2013-&gt;'!$D:$D,0)))</f>
        <v>5</v>
      </c>
      <c r="L709" s="31" t="str">
        <f>IFERROR(INDEX('[1]30.06.2024'!$H:$H,MATCH($E709,'[1]30.06.2024'!$B:$B,0)),"Not found")</f>
        <v>CapMan AIFM Oy</v>
      </c>
      <c r="M709" s="31" t="str">
        <f>IFERROR(INDEX([2]Sheet1!$B:$B,MATCH($D709,[2]Sheet1!$A:$A,0)),"Not found")</f>
        <v>Non-Retail</v>
      </c>
      <c r="N709">
        <f t="shared" si="22"/>
        <v>0</v>
      </c>
      <c r="O709">
        <f t="shared" si="23"/>
        <v>1</v>
      </c>
    </row>
    <row r="710" spans="1:15" x14ac:dyDescent="0.25">
      <c r="A710" t="s">
        <v>7</v>
      </c>
      <c r="B710" s="1">
        <v>43800</v>
      </c>
      <c r="C710" s="1">
        <v>55153</v>
      </c>
      <c r="D710" s="4" t="s">
        <v>1618</v>
      </c>
      <c r="E710" s="32" t="s">
        <v>1619</v>
      </c>
      <c r="F710" s="32">
        <v>29867468</v>
      </c>
      <c r="G710" t="s">
        <v>10</v>
      </c>
      <c r="H710" t="s">
        <v>11</v>
      </c>
      <c r="I710" t="s">
        <v>12</v>
      </c>
      <c r="J710" s="30" t="str">
        <f>IF(ISNUMBER(MATCH($D710,'Lopettaneet 2013-&gt;'!$D:$D,0)),INDEX('Lopettaneet 2013-&gt;'!$K:$K,MATCH($D710,'Lopettaneet 2013-&gt;'!$D:$D,0)),"Continues")</f>
        <v>Continues</v>
      </c>
      <c r="K710" s="30">
        <f ca="1">IF($J710="Continues",DATEDIF($B710,TODAY(),"Y"),INDEX('Lopettaneet 2013-&gt;'!$L:$L,MATCH($D710,'Lopettaneet 2013-&gt;'!$D:$D,0)))</f>
        <v>5</v>
      </c>
      <c r="L710" s="31" t="str">
        <f>IFERROR(INDEX('[1]30.06.2024'!$H:$H,MATCH($E710,'[1]30.06.2024'!$B:$B,0)),"Not found")</f>
        <v>Evli-Rahastoyhtiö Oy</v>
      </c>
      <c r="M710" s="31" t="str">
        <f>IFERROR(INDEX([2]Sheet1!$B:$B,MATCH($D710,[2]Sheet1!$A:$A,0)),"Not found")</f>
        <v>Retail</v>
      </c>
      <c r="N710">
        <f t="shared" si="22"/>
        <v>1</v>
      </c>
      <c r="O710">
        <f t="shared" si="23"/>
        <v>0</v>
      </c>
    </row>
    <row r="711" spans="1:15" x14ac:dyDescent="0.25">
      <c r="A711" t="s">
        <v>7</v>
      </c>
      <c r="B711" s="1">
        <v>43800</v>
      </c>
      <c r="C711" s="1">
        <v>55153</v>
      </c>
      <c r="D711" s="4" t="s">
        <v>1620</v>
      </c>
      <c r="E711" s="32" t="s">
        <v>1621</v>
      </c>
      <c r="F711" s="32">
        <v>29867433</v>
      </c>
      <c r="G711" t="s">
        <v>10</v>
      </c>
      <c r="H711" t="s">
        <v>11</v>
      </c>
      <c r="I711" t="s">
        <v>12</v>
      </c>
      <c r="J711" s="30" t="str">
        <f>IF(ISNUMBER(MATCH($D711,'Lopettaneet 2013-&gt;'!$D:$D,0)),INDEX('Lopettaneet 2013-&gt;'!$K:$K,MATCH($D711,'Lopettaneet 2013-&gt;'!$D:$D,0)),"Continues")</f>
        <v>Continues</v>
      </c>
      <c r="K711" s="30">
        <f ca="1">IF($J711="Continues",DATEDIF($B711,TODAY(),"Y"),INDEX('Lopettaneet 2013-&gt;'!$L:$L,MATCH($D711,'Lopettaneet 2013-&gt;'!$D:$D,0)))</f>
        <v>5</v>
      </c>
      <c r="L711" s="31" t="str">
        <f>IFERROR(INDEX('[1]30.06.2024'!$H:$H,MATCH($E711,'[1]30.06.2024'!$B:$B,0)),"Not found")</f>
        <v>Evli-Rahastoyhtiö Oy</v>
      </c>
      <c r="M711" s="31" t="str">
        <f>IFERROR(INDEX([2]Sheet1!$B:$B,MATCH($D711,[2]Sheet1!$A:$A,0)),"Not found")</f>
        <v>Retail</v>
      </c>
      <c r="N711">
        <f t="shared" si="22"/>
        <v>1</v>
      </c>
      <c r="O711">
        <f t="shared" si="23"/>
        <v>0</v>
      </c>
    </row>
    <row r="712" spans="1:15" x14ac:dyDescent="0.25">
      <c r="A712" t="s">
        <v>7</v>
      </c>
      <c r="B712" s="1">
        <v>43891</v>
      </c>
      <c r="C712" s="1">
        <v>55153</v>
      </c>
      <c r="D712" s="4" t="s">
        <v>1622</v>
      </c>
      <c r="E712" s="32" t="s">
        <v>1623</v>
      </c>
      <c r="F712" s="32">
        <v>31155822</v>
      </c>
      <c r="G712" t="s">
        <v>10</v>
      </c>
      <c r="H712" t="s">
        <v>11</v>
      </c>
      <c r="I712" t="s">
        <v>80</v>
      </c>
      <c r="J712" s="30" t="str">
        <f>IF(ISNUMBER(MATCH($D712,'Lopettaneet 2013-&gt;'!$D:$D,0)),INDEX('Lopettaneet 2013-&gt;'!$K:$K,MATCH($D712,'Lopettaneet 2013-&gt;'!$D:$D,0)),"Continues")</f>
        <v>Continues</v>
      </c>
      <c r="K712" s="30">
        <f ca="1">IF($J712="Continues",DATEDIF($B712,TODAY(),"Y"),INDEX('Lopettaneet 2013-&gt;'!$L:$L,MATCH($D712,'Lopettaneet 2013-&gt;'!$D:$D,0)))</f>
        <v>5</v>
      </c>
      <c r="L712" s="31" t="str">
        <f>IFERROR(INDEX('[1]30.06.2024'!$H:$H,MATCH($E712,'[1]30.06.2024'!$B:$B,0)),"Not found")</f>
        <v>Superhero Capital Oy</v>
      </c>
      <c r="M712" s="31" t="str">
        <f>IFERROR(INDEX([2]Sheet1!$B:$B,MATCH($D712,[2]Sheet1!$A:$A,0)),"Not found")</f>
        <v>Retail</v>
      </c>
      <c r="N712">
        <f t="shared" si="22"/>
        <v>1</v>
      </c>
      <c r="O712">
        <f t="shared" si="23"/>
        <v>0</v>
      </c>
    </row>
    <row r="713" spans="1:15" x14ac:dyDescent="0.25">
      <c r="A713" t="s">
        <v>0</v>
      </c>
      <c r="B713" s="1">
        <v>43586</v>
      </c>
      <c r="C713" s="1">
        <v>55153</v>
      </c>
      <c r="D713" s="4" t="s">
        <v>1624</v>
      </c>
      <c r="E713" s="32" t="s">
        <v>1625</v>
      </c>
      <c r="F713" s="32">
        <v>29914287</v>
      </c>
      <c r="G713" t="s">
        <v>10</v>
      </c>
      <c r="H713" t="s">
        <v>4</v>
      </c>
      <c r="I713" t="s">
        <v>50</v>
      </c>
      <c r="J713" s="30" t="str">
        <f>IF(ISNUMBER(MATCH($D713,'Lopettaneet 2013-&gt;'!$D:$D,0)),INDEX('Lopettaneet 2013-&gt;'!$K:$K,MATCH($D713,'Lopettaneet 2013-&gt;'!$D:$D,0)),"Continues")</f>
        <v>Continues</v>
      </c>
      <c r="K713" s="30">
        <f ca="1">IF($J713="Continues",DATEDIF($B713,TODAY(),"Y"),INDEX('Lopettaneet 2013-&gt;'!$L:$L,MATCH($D713,'Lopettaneet 2013-&gt;'!$D:$D,0)))</f>
        <v>6</v>
      </c>
      <c r="L713" s="31" t="str">
        <f>IFERROR(INDEX('[1]30.06.2024'!$H:$H,MATCH($E713,'[1]30.06.2024'!$B:$B,0)),"Not found")</f>
        <v>Alexandria Rahastoyhtiö Oy</v>
      </c>
      <c r="M713" s="31" t="str">
        <f>IFERROR(INDEX([2]Sheet1!$B:$B,MATCH($D713,[2]Sheet1!$A:$A,0)),"Not found")</f>
        <v>Retail</v>
      </c>
      <c r="N713">
        <f t="shared" si="22"/>
        <v>1</v>
      </c>
      <c r="O713">
        <f t="shared" si="23"/>
        <v>0</v>
      </c>
    </row>
    <row r="714" spans="1:15" x14ac:dyDescent="0.25">
      <c r="A714" t="s">
        <v>7</v>
      </c>
      <c r="B714" s="1">
        <v>43617</v>
      </c>
      <c r="C714" s="1">
        <v>55153</v>
      </c>
      <c r="D714" s="4" t="s">
        <v>1626</v>
      </c>
      <c r="E714" s="32" t="s">
        <v>1627</v>
      </c>
      <c r="F714" s="32">
        <v>7331873</v>
      </c>
      <c r="G714" t="s">
        <v>10</v>
      </c>
      <c r="H714" t="s">
        <v>11</v>
      </c>
      <c r="I714" t="s">
        <v>12</v>
      </c>
      <c r="J714" s="30" t="str">
        <f>IF(ISNUMBER(MATCH($D714,'Lopettaneet 2013-&gt;'!$D:$D,0)),INDEX('Lopettaneet 2013-&gt;'!$K:$K,MATCH($D714,'Lopettaneet 2013-&gt;'!$D:$D,0)),"Continues")</f>
        <v>Continues</v>
      </c>
      <c r="K714" s="30">
        <f ca="1">IF($J714="Continues",DATEDIF($B714,TODAY(),"Y"),INDEX('Lopettaneet 2013-&gt;'!$L:$L,MATCH($D714,'Lopettaneet 2013-&gt;'!$D:$D,0)))</f>
        <v>5</v>
      </c>
      <c r="L714" s="31" t="str">
        <f>IFERROR(INDEX('[1]30.06.2024'!$H:$H,MATCH($E714,'[1]30.06.2024'!$B:$B,0)),"Not found")</f>
        <v>Evli-Rahastoyhtiö Oy</v>
      </c>
      <c r="M714" s="31" t="str">
        <f>IFERROR(INDEX([2]Sheet1!$B:$B,MATCH($D714,[2]Sheet1!$A:$A,0)),"Not found")</f>
        <v>Non-Retail</v>
      </c>
      <c r="N714">
        <f t="shared" si="22"/>
        <v>0</v>
      </c>
      <c r="O714">
        <f t="shared" si="23"/>
        <v>1</v>
      </c>
    </row>
    <row r="715" spans="1:15" x14ac:dyDescent="0.25">
      <c r="A715" t="s">
        <v>7</v>
      </c>
      <c r="B715" s="1">
        <v>43800</v>
      </c>
      <c r="C715" s="1">
        <v>55153</v>
      </c>
      <c r="D715" s="4" t="s">
        <v>1628</v>
      </c>
      <c r="E715" s="32" t="s">
        <v>1629</v>
      </c>
      <c r="F715" s="32">
        <v>29998994</v>
      </c>
      <c r="G715" t="s">
        <v>10</v>
      </c>
      <c r="H715" t="s">
        <v>11</v>
      </c>
      <c r="I715" t="s">
        <v>12</v>
      </c>
      <c r="J715" s="30" t="str">
        <f>IF(ISNUMBER(MATCH($D715,'Lopettaneet 2013-&gt;'!$D:$D,0)),INDEX('Lopettaneet 2013-&gt;'!$K:$K,MATCH($D715,'Lopettaneet 2013-&gt;'!$D:$D,0)),"Continues")</f>
        <v>Continues</v>
      </c>
      <c r="K715" s="30">
        <f ca="1">IF($J715="Continues",DATEDIF($B715,TODAY(),"Y"),INDEX('Lopettaneet 2013-&gt;'!$L:$L,MATCH($D715,'Lopettaneet 2013-&gt;'!$D:$D,0)))</f>
        <v>5</v>
      </c>
      <c r="L715" s="31" t="str">
        <f>IFERROR(INDEX('[1]30.06.2024'!$H:$H,MATCH($E715,'[1]30.06.2024'!$B:$B,0)),"Not found")</f>
        <v>Juuri Partners Oy</v>
      </c>
      <c r="M715" s="31" t="str">
        <f>IFERROR(INDEX([2]Sheet1!$B:$B,MATCH($D715,[2]Sheet1!$A:$A,0)),"Not found")</f>
        <v>Non-Retail</v>
      </c>
      <c r="N715">
        <f t="shared" si="22"/>
        <v>0</v>
      </c>
      <c r="O715">
        <f t="shared" si="23"/>
        <v>1</v>
      </c>
    </row>
    <row r="716" spans="1:15" x14ac:dyDescent="0.25">
      <c r="A716" t="s">
        <v>7</v>
      </c>
      <c r="B716" s="1">
        <v>43525</v>
      </c>
      <c r="C716" s="1">
        <v>55153</v>
      </c>
      <c r="D716" s="4" t="s">
        <v>1630</v>
      </c>
      <c r="E716" s="32" t="s">
        <v>1631</v>
      </c>
      <c r="F716" s="32">
        <v>22975239</v>
      </c>
      <c r="G716" t="s">
        <v>10</v>
      </c>
      <c r="H716" t="s">
        <v>11</v>
      </c>
      <c r="I716" t="s">
        <v>80</v>
      </c>
      <c r="J716" s="30" t="str">
        <f>IF(ISNUMBER(MATCH($D716,'Lopettaneet 2013-&gt;'!$D:$D,0)),INDEX('Lopettaneet 2013-&gt;'!$K:$K,MATCH($D716,'Lopettaneet 2013-&gt;'!$D:$D,0)),"Continues")</f>
        <v>Continues</v>
      </c>
      <c r="K716" s="30">
        <f ca="1">IF($J716="Continues",DATEDIF($B716,TODAY(),"Y"),INDEX('Lopettaneet 2013-&gt;'!$L:$L,MATCH($D716,'Lopettaneet 2013-&gt;'!$D:$D,0)))</f>
        <v>6</v>
      </c>
      <c r="L716" s="31" t="str">
        <f>IFERROR(INDEX('[1]30.06.2024'!$H:$H,MATCH($E716,'[1]30.06.2024'!$B:$B,0)),"Not found")</f>
        <v>Voima Ventures Oy</v>
      </c>
      <c r="M716" s="31" t="str">
        <f>IFERROR(INDEX([2]Sheet1!$B:$B,MATCH($D716,[2]Sheet1!$A:$A,0)),"Not found")</f>
        <v>Non-Retail</v>
      </c>
      <c r="N716">
        <f t="shared" si="22"/>
        <v>0</v>
      </c>
      <c r="O716">
        <f t="shared" si="23"/>
        <v>1</v>
      </c>
    </row>
    <row r="717" spans="1:15" x14ac:dyDescent="0.25">
      <c r="A717" t="s">
        <v>7</v>
      </c>
      <c r="B717" s="1">
        <v>43709</v>
      </c>
      <c r="C717" s="1">
        <v>55153</v>
      </c>
      <c r="D717" s="4" t="s">
        <v>1632</v>
      </c>
      <c r="E717" s="32" t="s">
        <v>1633</v>
      </c>
      <c r="F717" s="32">
        <v>30016855</v>
      </c>
      <c r="G717" t="s">
        <v>10</v>
      </c>
      <c r="H717" t="s">
        <v>11</v>
      </c>
      <c r="I717" t="s">
        <v>80</v>
      </c>
      <c r="J717" s="30" t="str">
        <f>IF(ISNUMBER(MATCH($D717,'Lopettaneet 2013-&gt;'!$D:$D,0)),INDEX('Lopettaneet 2013-&gt;'!$K:$K,MATCH($D717,'Lopettaneet 2013-&gt;'!$D:$D,0)),"Continues")</f>
        <v>Continues</v>
      </c>
      <c r="K717" s="30">
        <f ca="1">IF($J717="Continues",DATEDIF($B717,TODAY(),"Y"),INDEX('Lopettaneet 2013-&gt;'!$L:$L,MATCH($D717,'Lopettaneet 2013-&gt;'!$D:$D,0)))</f>
        <v>5</v>
      </c>
      <c r="L717" s="31" t="str">
        <f>IFERROR(INDEX('[1]30.06.2024'!$H:$H,MATCH($E717,'[1]30.06.2024'!$B:$B,0)),"Not found")</f>
        <v>Voima Ventures Oy</v>
      </c>
      <c r="M717" s="31" t="str">
        <f>IFERROR(INDEX([2]Sheet1!$B:$B,MATCH($D717,[2]Sheet1!$A:$A,0)),"Not found")</f>
        <v>Non-Retail</v>
      </c>
      <c r="N717">
        <f t="shared" si="22"/>
        <v>0</v>
      </c>
      <c r="O717">
        <f t="shared" si="23"/>
        <v>1</v>
      </c>
    </row>
    <row r="718" spans="1:15" x14ac:dyDescent="0.25">
      <c r="A718" t="s">
        <v>7</v>
      </c>
      <c r="B718" s="1">
        <v>43617</v>
      </c>
      <c r="C718" s="1">
        <v>55153</v>
      </c>
      <c r="D718" s="4" t="s">
        <v>1634</v>
      </c>
      <c r="E718" s="32" t="s">
        <v>1635</v>
      </c>
      <c r="F718" s="32">
        <v>29897181</v>
      </c>
      <c r="G718" t="s">
        <v>10</v>
      </c>
      <c r="H718" t="s">
        <v>11</v>
      </c>
      <c r="I718" t="s">
        <v>29</v>
      </c>
      <c r="J718" s="30" t="str">
        <f>IF(ISNUMBER(MATCH($D718,'Lopettaneet 2013-&gt;'!$D:$D,0)),INDEX('Lopettaneet 2013-&gt;'!$K:$K,MATCH($D718,'Lopettaneet 2013-&gt;'!$D:$D,0)),"Continues")</f>
        <v>Continues</v>
      </c>
      <c r="K718" s="30">
        <f ca="1">IF($J718="Continues",DATEDIF($B718,TODAY(),"Y"),INDEX('Lopettaneet 2013-&gt;'!$L:$L,MATCH($D718,'Lopettaneet 2013-&gt;'!$D:$D,0)))</f>
        <v>5</v>
      </c>
      <c r="L718" s="31" t="str">
        <f>IFERROR(INDEX('[1]30.06.2024'!$H:$H,MATCH($E718,'[1]30.06.2024'!$B:$B,0)),"Not found")</f>
        <v>UB Rahastoyhtiö Oy</v>
      </c>
      <c r="M718" s="31" t="str">
        <f>IFERROR(INDEX([2]Sheet1!$B:$B,MATCH($D718,[2]Sheet1!$A:$A,0)),"Not found")</f>
        <v>Non-Retail</v>
      </c>
      <c r="N718">
        <f t="shared" si="22"/>
        <v>0</v>
      </c>
      <c r="O718">
        <f t="shared" si="23"/>
        <v>1</v>
      </c>
    </row>
    <row r="719" spans="1:15" x14ac:dyDescent="0.25">
      <c r="A719" t="s">
        <v>7</v>
      </c>
      <c r="B719" s="1">
        <v>43617</v>
      </c>
      <c r="C719" s="1">
        <v>55153</v>
      </c>
      <c r="D719" s="4" t="s">
        <v>1636</v>
      </c>
      <c r="E719" s="32" t="s">
        <v>1637</v>
      </c>
      <c r="F719" s="32">
        <v>29815959</v>
      </c>
      <c r="G719" t="s">
        <v>10</v>
      </c>
      <c r="H719" t="s">
        <v>11</v>
      </c>
      <c r="I719" t="s">
        <v>32</v>
      </c>
      <c r="J719" s="30" t="str">
        <f>IF(ISNUMBER(MATCH($D719,'Lopettaneet 2013-&gt;'!$D:$D,0)),INDEX('Lopettaneet 2013-&gt;'!$K:$K,MATCH($D719,'Lopettaneet 2013-&gt;'!$D:$D,0)),"Continues")</f>
        <v>Continues</v>
      </c>
      <c r="K719" s="30">
        <f ca="1">IF($J719="Continues",DATEDIF($B719,TODAY(),"Y"),INDEX('Lopettaneet 2013-&gt;'!$L:$L,MATCH($D719,'Lopettaneet 2013-&gt;'!$D:$D,0)))</f>
        <v>5</v>
      </c>
      <c r="L719" s="31" t="str">
        <f>IFERROR(INDEX('[1]30.06.2024'!$H:$H,MATCH($E719,'[1]30.06.2024'!$B:$B,0)),"Not found")</f>
        <v>Not found</v>
      </c>
      <c r="M719" s="31" t="str">
        <f>IFERROR(INDEX([2]Sheet1!$B:$B,MATCH($D719,[2]Sheet1!$A:$A,0)),"Not found")</f>
        <v>Non-Retail</v>
      </c>
      <c r="N719">
        <f t="shared" si="22"/>
        <v>0</v>
      </c>
      <c r="O719">
        <f t="shared" si="23"/>
        <v>1</v>
      </c>
    </row>
    <row r="720" spans="1:15" x14ac:dyDescent="0.25">
      <c r="A720" t="s">
        <v>7</v>
      </c>
      <c r="B720" s="1">
        <v>43617</v>
      </c>
      <c r="C720" s="1">
        <v>55153</v>
      </c>
      <c r="D720" s="4" t="s">
        <v>1638</v>
      </c>
      <c r="E720" s="32" t="s">
        <v>1639</v>
      </c>
      <c r="F720" s="32">
        <v>29815967</v>
      </c>
      <c r="G720" t="s">
        <v>10</v>
      </c>
      <c r="H720" t="s">
        <v>11</v>
      </c>
      <c r="I720" t="s">
        <v>32</v>
      </c>
      <c r="J720" s="30" t="str">
        <f>IF(ISNUMBER(MATCH($D720,'Lopettaneet 2013-&gt;'!$D:$D,0)),INDEX('Lopettaneet 2013-&gt;'!$K:$K,MATCH($D720,'Lopettaneet 2013-&gt;'!$D:$D,0)),"Continues")</f>
        <v>Continues</v>
      </c>
      <c r="K720" s="30">
        <f ca="1">IF($J720="Continues",DATEDIF($B720,TODAY(),"Y"),INDEX('Lopettaneet 2013-&gt;'!$L:$L,MATCH($D720,'Lopettaneet 2013-&gt;'!$D:$D,0)))</f>
        <v>5</v>
      </c>
      <c r="L720" s="31" t="str">
        <f>IFERROR(INDEX('[1]30.06.2024'!$H:$H,MATCH($E720,'[1]30.06.2024'!$B:$B,0)),"Not found")</f>
        <v>Not found</v>
      </c>
      <c r="M720" s="31" t="str">
        <f>IFERROR(INDEX([2]Sheet1!$B:$B,MATCH($D720,[2]Sheet1!$A:$A,0)),"Not found")</f>
        <v>Non-Retail</v>
      </c>
      <c r="N720">
        <f t="shared" si="22"/>
        <v>0</v>
      </c>
      <c r="O720">
        <f t="shared" si="23"/>
        <v>1</v>
      </c>
    </row>
    <row r="721" spans="1:15" x14ac:dyDescent="0.25">
      <c r="A721" t="s">
        <v>0</v>
      </c>
      <c r="B721" s="1">
        <v>43556</v>
      </c>
      <c r="C721" s="1">
        <v>55153</v>
      </c>
      <c r="D721" s="4" t="s">
        <v>1640</v>
      </c>
      <c r="E721" s="32" t="s">
        <v>1641</v>
      </c>
      <c r="F721" s="32">
        <v>29892399</v>
      </c>
      <c r="G721" t="s">
        <v>3</v>
      </c>
      <c r="H721" t="s">
        <v>4</v>
      </c>
      <c r="I721" t="s">
        <v>50</v>
      </c>
      <c r="J721" s="30" t="str">
        <f>IF(ISNUMBER(MATCH($D721,'Lopettaneet 2013-&gt;'!$D:$D,0)),INDEX('Lopettaneet 2013-&gt;'!$K:$K,MATCH($D721,'Lopettaneet 2013-&gt;'!$D:$D,0)),"Continues")</f>
        <v>Continues</v>
      </c>
      <c r="K721" s="30">
        <f ca="1">IF($J721="Continues",DATEDIF($B721,TODAY(),"Y"),INDEX('Lopettaneet 2013-&gt;'!$L:$L,MATCH($D721,'Lopettaneet 2013-&gt;'!$D:$D,0)))</f>
        <v>6</v>
      </c>
      <c r="L721" s="31" t="str">
        <f>IFERROR(INDEX('[1]30.06.2024'!$H:$H,MATCH($E721,'[1]30.06.2024'!$B:$B,0)),"Not found")</f>
        <v>Not found</v>
      </c>
      <c r="M721" s="31" t="str">
        <f>IFERROR(INDEX([2]Sheet1!$B:$B,MATCH($D721,[2]Sheet1!$A:$A,0)),"Not found")</f>
        <v>Retail</v>
      </c>
      <c r="N721">
        <f t="shared" si="22"/>
        <v>1</v>
      </c>
      <c r="O721">
        <f t="shared" si="23"/>
        <v>0</v>
      </c>
    </row>
    <row r="722" spans="1:15" x14ac:dyDescent="0.25">
      <c r="A722" t="s">
        <v>7</v>
      </c>
      <c r="B722" s="1">
        <v>43891</v>
      </c>
      <c r="C722" s="1">
        <v>55153</v>
      </c>
      <c r="D722" s="4" t="s">
        <v>1642</v>
      </c>
      <c r="E722" s="32" t="s">
        <v>1643</v>
      </c>
      <c r="F722" s="32">
        <v>31074344</v>
      </c>
      <c r="G722" t="s">
        <v>10</v>
      </c>
      <c r="H722" t="s">
        <v>11</v>
      </c>
      <c r="I722" t="s">
        <v>29</v>
      </c>
      <c r="J722" s="30" t="str">
        <f>IF(ISNUMBER(MATCH($D722,'Lopettaneet 2013-&gt;'!$D:$D,0)),INDEX('Lopettaneet 2013-&gt;'!$K:$K,MATCH($D722,'Lopettaneet 2013-&gt;'!$D:$D,0)),"Continues")</f>
        <v>Continues</v>
      </c>
      <c r="K722" s="30">
        <f ca="1">IF($J722="Continues",DATEDIF($B722,TODAY(),"Y"),INDEX('Lopettaneet 2013-&gt;'!$L:$L,MATCH($D722,'Lopettaneet 2013-&gt;'!$D:$D,0)))</f>
        <v>5</v>
      </c>
      <c r="L722" s="31" t="str">
        <f>IFERROR(INDEX('[1]30.06.2024'!$H:$H,MATCH($E722,'[1]30.06.2024'!$B:$B,0)),"Not found")</f>
        <v>Dasos Capital Oy</v>
      </c>
      <c r="M722" s="31" t="str">
        <f>IFERROR(INDEX([2]Sheet1!$B:$B,MATCH($D722,[2]Sheet1!$A:$A,0)),"Not found")</f>
        <v>Non-Retail</v>
      </c>
      <c r="N722">
        <f t="shared" si="22"/>
        <v>0</v>
      </c>
      <c r="O722">
        <f t="shared" si="23"/>
        <v>1</v>
      </c>
    </row>
    <row r="723" spans="1:15" x14ac:dyDescent="0.25">
      <c r="A723" t="s">
        <v>7</v>
      </c>
      <c r="B723" s="1">
        <v>43617</v>
      </c>
      <c r="C723" s="1">
        <v>55153</v>
      </c>
      <c r="D723" s="4" t="s">
        <v>1644</v>
      </c>
      <c r="E723" s="32" t="s">
        <v>1645</v>
      </c>
      <c r="F723" s="32">
        <v>29909664</v>
      </c>
      <c r="G723" t="s">
        <v>10</v>
      </c>
      <c r="H723" t="s">
        <v>11</v>
      </c>
      <c r="I723" t="s">
        <v>29</v>
      </c>
      <c r="J723" s="30" t="str">
        <f>IF(ISNUMBER(MATCH($D723,'Lopettaneet 2013-&gt;'!$D:$D,0)),INDEX('Lopettaneet 2013-&gt;'!$K:$K,MATCH($D723,'Lopettaneet 2013-&gt;'!$D:$D,0)),"Continues")</f>
        <v>Continues</v>
      </c>
      <c r="K723" s="30">
        <f ca="1">IF($J723="Continues",DATEDIF($B723,TODAY(),"Y"),INDEX('Lopettaneet 2013-&gt;'!$L:$L,MATCH($D723,'Lopettaneet 2013-&gt;'!$D:$D,0)))</f>
        <v>5</v>
      </c>
      <c r="L723" s="31" t="str">
        <f>IFERROR(INDEX('[1]30.06.2024'!$H:$H,MATCH($E723,'[1]30.06.2024'!$B:$B,0)),"Not found")</f>
        <v>Taaleri Pääomarahastot Oy</v>
      </c>
      <c r="M723" s="31" t="str">
        <f>IFERROR(INDEX([2]Sheet1!$B:$B,MATCH($D723,[2]Sheet1!$A:$A,0)),"Not found")</f>
        <v>Retail</v>
      </c>
      <c r="N723">
        <f t="shared" si="22"/>
        <v>1</v>
      </c>
      <c r="O723">
        <f t="shared" si="23"/>
        <v>0</v>
      </c>
    </row>
    <row r="724" spans="1:15" x14ac:dyDescent="0.25">
      <c r="A724" t="s">
        <v>7</v>
      </c>
      <c r="B724" s="1">
        <v>43617</v>
      </c>
      <c r="C724" s="1">
        <v>55153</v>
      </c>
      <c r="D724" s="4" t="s">
        <v>1646</v>
      </c>
      <c r="E724" s="32" t="s">
        <v>1647</v>
      </c>
      <c r="F724" s="32">
        <v>29909744</v>
      </c>
      <c r="G724" t="s">
        <v>10</v>
      </c>
      <c r="H724" t="s">
        <v>11</v>
      </c>
      <c r="I724" t="s">
        <v>29</v>
      </c>
      <c r="J724" s="30" t="str">
        <f>IF(ISNUMBER(MATCH($D724,'Lopettaneet 2013-&gt;'!$D:$D,0)),INDEX('Lopettaneet 2013-&gt;'!$K:$K,MATCH($D724,'Lopettaneet 2013-&gt;'!$D:$D,0)),"Continues")</f>
        <v>Continues</v>
      </c>
      <c r="K724" s="30">
        <f ca="1">IF($J724="Continues",DATEDIF($B724,TODAY(),"Y"),INDEX('Lopettaneet 2013-&gt;'!$L:$L,MATCH($D724,'Lopettaneet 2013-&gt;'!$D:$D,0)))</f>
        <v>5</v>
      </c>
      <c r="L724" s="31" t="str">
        <f>IFERROR(INDEX('[1]30.06.2024'!$H:$H,MATCH($E724,'[1]30.06.2024'!$B:$B,0)),"Not found")</f>
        <v>Taaleri Pääomarahastot Oy</v>
      </c>
      <c r="M724" s="31" t="str">
        <f>IFERROR(INDEX([2]Sheet1!$B:$B,MATCH($D724,[2]Sheet1!$A:$A,0)),"Not found")</f>
        <v>Retail</v>
      </c>
      <c r="N724">
        <f t="shared" si="22"/>
        <v>1</v>
      </c>
      <c r="O724">
        <f t="shared" si="23"/>
        <v>0</v>
      </c>
    </row>
    <row r="725" spans="1:15" x14ac:dyDescent="0.25">
      <c r="A725" t="s">
        <v>7</v>
      </c>
      <c r="B725" s="1">
        <v>43617</v>
      </c>
      <c r="C725" s="1">
        <v>55153</v>
      </c>
      <c r="D725" s="4" t="s">
        <v>1648</v>
      </c>
      <c r="E725" s="32" t="s">
        <v>1649</v>
      </c>
      <c r="F725" s="32">
        <v>29909787</v>
      </c>
      <c r="G725" t="s">
        <v>10</v>
      </c>
      <c r="H725" t="s">
        <v>11</v>
      </c>
      <c r="I725" t="s">
        <v>29</v>
      </c>
      <c r="J725" s="30" t="str">
        <f>IF(ISNUMBER(MATCH($D725,'Lopettaneet 2013-&gt;'!$D:$D,0)),INDEX('Lopettaneet 2013-&gt;'!$K:$K,MATCH($D725,'Lopettaneet 2013-&gt;'!$D:$D,0)),"Continues")</f>
        <v>Continues</v>
      </c>
      <c r="K725" s="30">
        <f ca="1">IF($J725="Continues",DATEDIF($B725,TODAY(),"Y"),INDEX('Lopettaneet 2013-&gt;'!$L:$L,MATCH($D725,'Lopettaneet 2013-&gt;'!$D:$D,0)))</f>
        <v>5</v>
      </c>
      <c r="L725" s="31" t="str">
        <f>IFERROR(INDEX('[1]30.06.2024'!$H:$H,MATCH($E725,'[1]30.06.2024'!$B:$B,0)),"Not found")</f>
        <v>Taaleri Pääomarahastot Oy</v>
      </c>
      <c r="M725" s="31" t="str">
        <f>IFERROR(INDEX([2]Sheet1!$B:$B,MATCH($D725,[2]Sheet1!$A:$A,0)),"Not found")</f>
        <v>Retail</v>
      </c>
      <c r="N725">
        <f t="shared" si="22"/>
        <v>1</v>
      </c>
      <c r="O725">
        <f t="shared" si="23"/>
        <v>0</v>
      </c>
    </row>
    <row r="726" spans="1:15" x14ac:dyDescent="0.25">
      <c r="A726" t="s">
        <v>7</v>
      </c>
      <c r="B726" s="1">
        <v>43617</v>
      </c>
      <c r="C726" s="1">
        <v>55153</v>
      </c>
      <c r="D726" s="4" t="s">
        <v>1650</v>
      </c>
      <c r="E726" s="32" t="s">
        <v>1651</v>
      </c>
      <c r="F726" s="32">
        <v>29909816</v>
      </c>
      <c r="G726" t="s">
        <v>10</v>
      </c>
      <c r="H726" t="s">
        <v>11</v>
      </c>
      <c r="I726" t="s">
        <v>29</v>
      </c>
      <c r="J726" s="30" t="str">
        <f>IF(ISNUMBER(MATCH($D726,'Lopettaneet 2013-&gt;'!$D:$D,0)),INDEX('Lopettaneet 2013-&gt;'!$K:$K,MATCH($D726,'Lopettaneet 2013-&gt;'!$D:$D,0)),"Continues")</f>
        <v>Continues</v>
      </c>
      <c r="K726" s="30">
        <f ca="1">IF($J726="Continues",DATEDIF($B726,TODAY(),"Y"),INDEX('Lopettaneet 2013-&gt;'!$L:$L,MATCH($D726,'Lopettaneet 2013-&gt;'!$D:$D,0)))</f>
        <v>5</v>
      </c>
      <c r="L726" s="31" t="str">
        <f>IFERROR(INDEX('[1]30.06.2024'!$H:$H,MATCH($E726,'[1]30.06.2024'!$B:$B,0)),"Not found")</f>
        <v>Taaleri Pääomarahastot Oy</v>
      </c>
      <c r="M726" s="31" t="str">
        <f>IFERROR(INDEX([2]Sheet1!$B:$B,MATCH($D726,[2]Sheet1!$A:$A,0)),"Not found")</f>
        <v>Retail</v>
      </c>
      <c r="N726">
        <f t="shared" si="22"/>
        <v>1</v>
      </c>
      <c r="O726">
        <f t="shared" si="23"/>
        <v>0</v>
      </c>
    </row>
    <row r="727" spans="1:15" x14ac:dyDescent="0.25">
      <c r="A727" t="s">
        <v>7</v>
      </c>
      <c r="B727" s="1">
        <v>43617</v>
      </c>
      <c r="C727" s="1">
        <v>55153</v>
      </c>
      <c r="D727" s="4" t="s">
        <v>1652</v>
      </c>
      <c r="E727" s="32" t="s">
        <v>1653</v>
      </c>
      <c r="F727" s="32">
        <v>29909859</v>
      </c>
      <c r="G727" t="s">
        <v>10</v>
      </c>
      <c r="H727" t="s">
        <v>11</v>
      </c>
      <c r="I727" t="s">
        <v>29</v>
      </c>
      <c r="J727" s="30" t="str">
        <f>IF(ISNUMBER(MATCH($D727,'Lopettaneet 2013-&gt;'!$D:$D,0)),INDEX('Lopettaneet 2013-&gt;'!$K:$K,MATCH($D727,'Lopettaneet 2013-&gt;'!$D:$D,0)),"Continues")</f>
        <v>Continues</v>
      </c>
      <c r="K727" s="30">
        <f ca="1">IF($J727="Continues",DATEDIF($B727,TODAY(),"Y"),INDEX('Lopettaneet 2013-&gt;'!$L:$L,MATCH($D727,'Lopettaneet 2013-&gt;'!$D:$D,0)))</f>
        <v>5</v>
      </c>
      <c r="L727" s="31" t="str">
        <f>IFERROR(INDEX('[1]30.06.2024'!$H:$H,MATCH($E727,'[1]30.06.2024'!$B:$B,0)),"Not found")</f>
        <v>Taaleri Pääomarahastot Oy</v>
      </c>
      <c r="M727" s="31" t="str">
        <f>IFERROR(INDEX([2]Sheet1!$B:$B,MATCH($D727,[2]Sheet1!$A:$A,0)),"Not found")</f>
        <v>Retail</v>
      </c>
      <c r="N727">
        <f t="shared" si="22"/>
        <v>1</v>
      </c>
      <c r="O727">
        <f t="shared" si="23"/>
        <v>0</v>
      </c>
    </row>
    <row r="728" spans="1:15" x14ac:dyDescent="0.25">
      <c r="A728" t="s">
        <v>7</v>
      </c>
      <c r="B728" s="1">
        <v>43617</v>
      </c>
      <c r="C728" s="1">
        <v>44377</v>
      </c>
      <c r="D728" s="4" t="s">
        <v>1654</v>
      </c>
      <c r="E728" s="32" t="s">
        <v>1655</v>
      </c>
      <c r="F728" s="32">
        <v>26272303</v>
      </c>
      <c r="G728" t="s">
        <v>10</v>
      </c>
      <c r="H728" t="s">
        <v>11</v>
      </c>
      <c r="I728" t="s">
        <v>29</v>
      </c>
      <c r="J728" s="30" t="str">
        <f>IF(ISNUMBER(MATCH($D728,'Lopettaneet 2013-&gt;'!$D:$D,0)),INDEX('Lopettaneet 2013-&gt;'!$K:$K,MATCH($D728,'Lopettaneet 2013-&gt;'!$D:$D,0)),"Continues")</f>
        <v>Closed</v>
      </c>
      <c r="K728" s="30">
        <f ca="1">IF($J728="Continues",DATEDIF($B728,TODAY(),"Y"),INDEX('Lopettaneet 2013-&gt;'!$L:$L,MATCH($D728,'Lopettaneet 2013-&gt;'!$D:$D,0)))</f>
        <v>2</v>
      </c>
      <c r="L728" s="31" t="str">
        <f>IFERROR(INDEX('[1]30.06.2024'!$H:$H,MATCH($E728,'[1]30.06.2024'!$B:$B,0)),"Not found")</f>
        <v>Not found</v>
      </c>
      <c r="M728" s="31" t="str">
        <f>IFERROR(INDEX([2]Sheet1!$B:$B,MATCH($D728,[2]Sheet1!$A:$A,0)),"Not found")</f>
        <v>Not found</v>
      </c>
      <c r="N728">
        <f t="shared" si="22"/>
        <v>0</v>
      </c>
      <c r="O728">
        <f t="shared" si="23"/>
        <v>0</v>
      </c>
    </row>
    <row r="729" spans="1:15" x14ac:dyDescent="0.25">
      <c r="A729" t="s">
        <v>7</v>
      </c>
      <c r="B729" s="1">
        <v>43617</v>
      </c>
      <c r="C729" s="1">
        <v>55153</v>
      </c>
      <c r="D729" s="4" t="s">
        <v>1656</v>
      </c>
      <c r="E729" s="32" t="s">
        <v>1657</v>
      </c>
      <c r="F729" s="32">
        <v>26973361</v>
      </c>
      <c r="G729" t="s">
        <v>10</v>
      </c>
      <c r="H729" t="s">
        <v>11</v>
      </c>
      <c r="I729" t="s">
        <v>29</v>
      </c>
      <c r="J729" s="30" t="str">
        <f>IF(ISNUMBER(MATCH($D729,'Lopettaneet 2013-&gt;'!$D:$D,0)),INDEX('Lopettaneet 2013-&gt;'!$K:$K,MATCH($D729,'Lopettaneet 2013-&gt;'!$D:$D,0)),"Continues")</f>
        <v>Continues</v>
      </c>
      <c r="K729" s="30">
        <f ca="1">IF($J729="Continues",DATEDIF($B729,TODAY(),"Y"),INDEX('Lopettaneet 2013-&gt;'!$L:$L,MATCH($D729,'Lopettaneet 2013-&gt;'!$D:$D,0)))</f>
        <v>5</v>
      </c>
      <c r="L729" s="31" t="str">
        <f>IFERROR(INDEX('[1]30.06.2024'!$H:$H,MATCH($E729,'[1]30.06.2024'!$B:$B,0)),"Not found")</f>
        <v>UB Rahastoyhtiö Oy</v>
      </c>
      <c r="M729" s="31" t="str">
        <f>IFERROR(INDEX([2]Sheet1!$B:$B,MATCH($D729,[2]Sheet1!$A:$A,0)),"Not found")</f>
        <v>Not found</v>
      </c>
      <c r="N729">
        <f t="shared" si="22"/>
        <v>0</v>
      </c>
      <c r="O729">
        <f t="shared" si="23"/>
        <v>0</v>
      </c>
    </row>
    <row r="730" spans="1:15" x14ac:dyDescent="0.25">
      <c r="A730" t="s">
        <v>7</v>
      </c>
      <c r="B730" s="1">
        <v>43617</v>
      </c>
      <c r="C730" s="1">
        <v>55153</v>
      </c>
      <c r="D730" s="4" t="s">
        <v>1658</v>
      </c>
      <c r="E730" s="32" t="s">
        <v>1659</v>
      </c>
      <c r="F730" s="32">
        <v>26820533</v>
      </c>
      <c r="G730" t="s">
        <v>10</v>
      </c>
      <c r="H730" t="s">
        <v>11</v>
      </c>
      <c r="I730" t="s">
        <v>29</v>
      </c>
      <c r="J730" s="30" t="str">
        <f>IF(ISNUMBER(MATCH($D730,'Lopettaneet 2013-&gt;'!$D:$D,0)),INDEX('Lopettaneet 2013-&gt;'!$K:$K,MATCH($D730,'Lopettaneet 2013-&gt;'!$D:$D,0)),"Continues")</f>
        <v>Continues</v>
      </c>
      <c r="K730" s="30">
        <f ca="1">IF($J730="Continues",DATEDIF($B730,TODAY(),"Y"),INDEX('Lopettaneet 2013-&gt;'!$L:$L,MATCH($D730,'Lopettaneet 2013-&gt;'!$D:$D,0)))</f>
        <v>5</v>
      </c>
      <c r="L730" s="31" t="str">
        <f>IFERROR(INDEX('[1]30.06.2024'!$H:$H,MATCH($E730,'[1]30.06.2024'!$B:$B,0)),"Not found")</f>
        <v>UB Rahastoyhtiö Oy</v>
      </c>
      <c r="M730" s="31" t="str">
        <f>IFERROR(INDEX([2]Sheet1!$B:$B,MATCH($D730,[2]Sheet1!$A:$A,0)),"Not found")</f>
        <v>Non-Retail</v>
      </c>
      <c r="N730">
        <f t="shared" si="22"/>
        <v>0</v>
      </c>
      <c r="O730">
        <f t="shared" si="23"/>
        <v>1</v>
      </c>
    </row>
    <row r="731" spans="1:15" x14ac:dyDescent="0.25">
      <c r="A731" t="s">
        <v>0</v>
      </c>
      <c r="B731" s="1">
        <v>43586</v>
      </c>
      <c r="C731" s="1">
        <v>55153</v>
      </c>
      <c r="D731" s="4" t="s">
        <v>1660</v>
      </c>
      <c r="E731" s="32" t="s">
        <v>1661</v>
      </c>
      <c r="F731" s="32">
        <v>30023027</v>
      </c>
      <c r="G731" t="s">
        <v>3</v>
      </c>
      <c r="H731" t="s">
        <v>4</v>
      </c>
      <c r="I731" t="s">
        <v>50</v>
      </c>
      <c r="J731" s="30" t="str">
        <f>IF(ISNUMBER(MATCH($D731,'Lopettaneet 2013-&gt;'!$D:$D,0)),INDEX('Lopettaneet 2013-&gt;'!$K:$K,MATCH($D731,'Lopettaneet 2013-&gt;'!$D:$D,0)),"Continues")</f>
        <v>Continues</v>
      </c>
      <c r="K731" s="30">
        <f ca="1">IF($J731="Continues",DATEDIF($B731,TODAY(),"Y"),INDEX('Lopettaneet 2013-&gt;'!$L:$L,MATCH($D731,'Lopettaneet 2013-&gt;'!$D:$D,0)))</f>
        <v>6</v>
      </c>
      <c r="L731" s="31" t="str">
        <f>IFERROR(INDEX('[1]30.06.2024'!$H:$H,MATCH($E731,'[1]30.06.2024'!$B:$B,0)),"Not found")</f>
        <v>Ålandsbanken Fondbolag Ab</v>
      </c>
      <c r="M731" s="31" t="str">
        <f>IFERROR(INDEX([2]Sheet1!$B:$B,MATCH($D731,[2]Sheet1!$A:$A,0)),"Not found")</f>
        <v>Retail</v>
      </c>
      <c r="N731">
        <f t="shared" si="22"/>
        <v>1</v>
      </c>
      <c r="O731">
        <f t="shared" si="23"/>
        <v>0</v>
      </c>
    </row>
    <row r="732" spans="1:15" x14ac:dyDescent="0.25">
      <c r="A732" t="s">
        <v>7</v>
      </c>
      <c r="B732" s="1">
        <v>43617</v>
      </c>
      <c r="C732" s="1">
        <v>44834</v>
      </c>
      <c r="D732" s="4" t="s">
        <v>1662</v>
      </c>
      <c r="E732" s="32" t="s">
        <v>1663</v>
      </c>
      <c r="F732" s="32">
        <v>29949703</v>
      </c>
      <c r="G732" t="s">
        <v>10</v>
      </c>
      <c r="H732" t="s">
        <v>11</v>
      </c>
      <c r="I732" t="s">
        <v>32</v>
      </c>
      <c r="J732" s="30" t="str">
        <f>IF(ISNUMBER(MATCH($D732,'Lopettaneet 2013-&gt;'!$D:$D,0)),INDEX('Lopettaneet 2013-&gt;'!$K:$K,MATCH($D732,'Lopettaneet 2013-&gt;'!$D:$D,0)),"Continues")</f>
        <v>Closed</v>
      </c>
      <c r="K732" s="30">
        <f ca="1">IF($J732="Continues",DATEDIF($B732,TODAY(),"Y"),INDEX('Lopettaneet 2013-&gt;'!$L:$L,MATCH($D732,'Lopettaneet 2013-&gt;'!$D:$D,0)))</f>
        <v>3</v>
      </c>
      <c r="L732" s="31" t="str">
        <f>IFERROR(INDEX('[1]30.06.2024'!$H:$H,MATCH($E732,'[1]30.06.2024'!$B:$B,0)),"Not found")</f>
        <v>Not found</v>
      </c>
      <c r="M732" s="31" t="str">
        <f>IFERROR(INDEX([2]Sheet1!$B:$B,MATCH($D732,[2]Sheet1!$A:$A,0)),"Not found")</f>
        <v>Not found</v>
      </c>
      <c r="N732">
        <f t="shared" si="22"/>
        <v>0</v>
      </c>
      <c r="O732">
        <f t="shared" si="23"/>
        <v>0</v>
      </c>
    </row>
    <row r="733" spans="1:15" x14ac:dyDescent="0.25">
      <c r="A733" t="s">
        <v>7</v>
      </c>
      <c r="B733" s="1">
        <v>43617</v>
      </c>
      <c r="C733" s="1">
        <v>44834</v>
      </c>
      <c r="D733" s="4" t="s">
        <v>1664</v>
      </c>
      <c r="E733" s="32" t="s">
        <v>1665</v>
      </c>
      <c r="F733" s="32">
        <v>29949746</v>
      </c>
      <c r="G733" t="s">
        <v>10</v>
      </c>
      <c r="H733" t="s">
        <v>11</v>
      </c>
      <c r="I733" t="s">
        <v>32</v>
      </c>
      <c r="J733" s="30" t="str">
        <f>IF(ISNUMBER(MATCH($D733,'Lopettaneet 2013-&gt;'!$D:$D,0)),INDEX('Lopettaneet 2013-&gt;'!$K:$K,MATCH($D733,'Lopettaneet 2013-&gt;'!$D:$D,0)),"Continues")</f>
        <v>Closed</v>
      </c>
      <c r="K733" s="30">
        <f ca="1">IF($J733="Continues",DATEDIF($B733,TODAY(),"Y"),INDEX('Lopettaneet 2013-&gt;'!$L:$L,MATCH($D733,'Lopettaneet 2013-&gt;'!$D:$D,0)))</f>
        <v>3</v>
      </c>
      <c r="L733" s="31" t="str">
        <f>IFERROR(INDEX('[1]30.06.2024'!$H:$H,MATCH($E733,'[1]30.06.2024'!$B:$B,0)),"Not found")</f>
        <v>Not found</v>
      </c>
      <c r="M733" s="31" t="str">
        <f>IFERROR(INDEX([2]Sheet1!$B:$B,MATCH($D733,[2]Sheet1!$A:$A,0)),"Not found")</f>
        <v>Not found</v>
      </c>
      <c r="N733">
        <f t="shared" si="22"/>
        <v>0</v>
      </c>
      <c r="O733">
        <f t="shared" si="23"/>
        <v>0</v>
      </c>
    </row>
    <row r="734" spans="1:15" x14ac:dyDescent="0.25">
      <c r="A734" t="s">
        <v>7</v>
      </c>
      <c r="B734" s="1">
        <v>43617</v>
      </c>
      <c r="C734" s="1">
        <v>44834</v>
      </c>
      <c r="D734" s="4" t="s">
        <v>1666</v>
      </c>
      <c r="E734" s="32" t="s">
        <v>1667</v>
      </c>
      <c r="F734" s="32">
        <v>29949826</v>
      </c>
      <c r="G734" t="s">
        <v>10</v>
      </c>
      <c r="H734" t="s">
        <v>11</v>
      </c>
      <c r="I734" t="s">
        <v>32</v>
      </c>
      <c r="J734" s="30" t="str">
        <f>IF(ISNUMBER(MATCH($D734,'Lopettaneet 2013-&gt;'!$D:$D,0)),INDEX('Lopettaneet 2013-&gt;'!$K:$K,MATCH($D734,'Lopettaneet 2013-&gt;'!$D:$D,0)),"Continues")</f>
        <v>Closed</v>
      </c>
      <c r="K734" s="30">
        <f ca="1">IF($J734="Continues",DATEDIF($B734,TODAY(),"Y"),INDEX('Lopettaneet 2013-&gt;'!$L:$L,MATCH($D734,'Lopettaneet 2013-&gt;'!$D:$D,0)))</f>
        <v>3</v>
      </c>
      <c r="L734" s="31" t="str">
        <f>IFERROR(INDEX('[1]30.06.2024'!$H:$H,MATCH($E734,'[1]30.06.2024'!$B:$B,0)),"Not found")</f>
        <v>Not found</v>
      </c>
      <c r="M734" s="31" t="str">
        <f>IFERROR(INDEX([2]Sheet1!$B:$B,MATCH($D734,[2]Sheet1!$A:$A,0)),"Not found")</f>
        <v>Not found</v>
      </c>
      <c r="N734">
        <f t="shared" si="22"/>
        <v>0</v>
      </c>
      <c r="O734">
        <f t="shared" si="23"/>
        <v>0</v>
      </c>
    </row>
    <row r="735" spans="1:15" x14ac:dyDescent="0.25">
      <c r="A735" t="s">
        <v>7</v>
      </c>
      <c r="B735" s="1">
        <v>43617</v>
      </c>
      <c r="C735" s="1">
        <v>44834</v>
      </c>
      <c r="D735" s="4" t="s">
        <v>1668</v>
      </c>
      <c r="E735" s="32" t="s">
        <v>1669</v>
      </c>
      <c r="F735" s="32">
        <v>29949797</v>
      </c>
      <c r="G735" t="s">
        <v>10</v>
      </c>
      <c r="H735" t="s">
        <v>11</v>
      </c>
      <c r="I735" t="s">
        <v>32</v>
      </c>
      <c r="J735" s="30" t="str">
        <f>IF(ISNUMBER(MATCH($D735,'Lopettaneet 2013-&gt;'!$D:$D,0)),INDEX('Lopettaneet 2013-&gt;'!$K:$K,MATCH($D735,'Lopettaneet 2013-&gt;'!$D:$D,0)),"Continues")</f>
        <v>Closed</v>
      </c>
      <c r="K735" s="30">
        <f ca="1">IF($J735="Continues",DATEDIF($B735,TODAY(),"Y"),INDEX('Lopettaneet 2013-&gt;'!$L:$L,MATCH($D735,'Lopettaneet 2013-&gt;'!$D:$D,0)))</f>
        <v>3</v>
      </c>
      <c r="L735" s="31" t="str">
        <f>IFERROR(INDEX('[1]30.06.2024'!$H:$H,MATCH($E735,'[1]30.06.2024'!$B:$B,0)),"Not found")</f>
        <v>Not found</v>
      </c>
      <c r="M735" s="31" t="str">
        <f>IFERROR(INDEX([2]Sheet1!$B:$B,MATCH($D735,[2]Sheet1!$A:$A,0)),"Not found")</f>
        <v>Not found</v>
      </c>
      <c r="N735">
        <f t="shared" si="22"/>
        <v>0</v>
      </c>
      <c r="O735">
        <f t="shared" si="23"/>
        <v>0</v>
      </c>
    </row>
    <row r="736" spans="1:15" x14ac:dyDescent="0.25">
      <c r="A736" t="s">
        <v>7</v>
      </c>
      <c r="B736" s="1">
        <v>43617</v>
      </c>
      <c r="C736" s="1">
        <v>44834</v>
      </c>
      <c r="D736" s="4" t="s">
        <v>1670</v>
      </c>
      <c r="E736" s="32" t="s">
        <v>1671</v>
      </c>
      <c r="F736" s="32">
        <v>29949762</v>
      </c>
      <c r="G736" t="s">
        <v>10</v>
      </c>
      <c r="H736" t="s">
        <v>11</v>
      </c>
      <c r="I736" t="s">
        <v>32</v>
      </c>
      <c r="J736" s="30" t="str">
        <f>IF(ISNUMBER(MATCH($D736,'Lopettaneet 2013-&gt;'!$D:$D,0)),INDEX('Lopettaneet 2013-&gt;'!$K:$K,MATCH($D736,'Lopettaneet 2013-&gt;'!$D:$D,0)),"Continues")</f>
        <v>Closed</v>
      </c>
      <c r="K736" s="30">
        <f ca="1">IF($J736="Continues",DATEDIF($B736,TODAY(),"Y"),INDEX('Lopettaneet 2013-&gt;'!$L:$L,MATCH($D736,'Lopettaneet 2013-&gt;'!$D:$D,0)))</f>
        <v>3</v>
      </c>
      <c r="L736" s="31" t="str">
        <f>IFERROR(INDEX('[1]30.06.2024'!$H:$H,MATCH($E736,'[1]30.06.2024'!$B:$B,0)),"Not found")</f>
        <v>Not found</v>
      </c>
      <c r="M736" s="31" t="str">
        <f>IFERROR(INDEX([2]Sheet1!$B:$B,MATCH($D736,[2]Sheet1!$A:$A,0)),"Not found")</f>
        <v>Not found</v>
      </c>
      <c r="N736">
        <f t="shared" si="22"/>
        <v>0</v>
      </c>
      <c r="O736">
        <f t="shared" si="23"/>
        <v>0</v>
      </c>
    </row>
    <row r="737" spans="1:15" x14ac:dyDescent="0.25">
      <c r="A737" t="s">
        <v>0</v>
      </c>
      <c r="B737" s="1">
        <v>43709</v>
      </c>
      <c r="C737" s="1">
        <v>55153</v>
      </c>
      <c r="D737" s="4" t="s">
        <v>1672</v>
      </c>
      <c r="E737" s="32" t="s">
        <v>1673</v>
      </c>
      <c r="F737" s="32">
        <v>30062616</v>
      </c>
      <c r="G737" t="s">
        <v>3</v>
      </c>
      <c r="H737" t="s">
        <v>4</v>
      </c>
      <c r="I737" t="s">
        <v>20</v>
      </c>
      <c r="J737" s="30" t="str">
        <f>IF(ISNUMBER(MATCH($D737,'Lopettaneet 2013-&gt;'!$D:$D,0)),INDEX('Lopettaneet 2013-&gt;'!$K:$K,MATCH($D737,'Lopettaneet 2013-&gt;'!$D:$D,0)),"Continues")</f>
        <v>Continues</v>
      </c>
      <c r="K737" s="30">
        <f ca="1">IF($J737="Continues",DATEDIF($B737,TODAY(),"Y"),INDEX('Lopettaneet 2013-&gt;'!$L:$L,MATCH($D737,'Lopettaneet 2013-&gt;'!$D:$D,0)))</f>
        <v>5</v>
      </c>
      <c r="L737" s="31" t="str">
        <f>IFERROR(INDEX('[1]30.06.2024'!$H:$H,MATCH($E737,'[1]30.06.2024'!$B:$B,0)),"Not found")</f>
        <v>S-Pankki Rahastoyhtiö Oy</v>
      </c>
      <c r="M737" s="31" t="str">
        <f>IFERROR(INDEX([2]Sheet1!$B:$B,MATCH($D737,[2]Sheet1!$A:$A,0)),"Not found")</f>
        <v>Retail</v>
      </c>
      <c r="N737">
        <f t="shared" si="22"/>
        <v>1</v>
      </c>
      <c r="O737">
        <f t="shared" si="23"/>
        <v>0</v>
      </c>
    </row>
    <row r="738" spans="1:15" x14ac:dyDescent="0.25">
      <c r="A738" t="s">
        <v>7</v>
      </c>
      <c r="B738" s="1">
        <v>43800</v>
      </c>
      <c r="C738" s="1">
        <v>55153</v>
      </c>
      <c r="D738" s="4" t="s">
        <v>1674</v>
      </c>
      <c r="E738" s="32" t="s">
        <v>1675</v>
      </c>
      <c r="F738" s="32">
        <v>30932335</v>
      </c>
      <c r="G738" t="s">
        <v>10</v>
      </c>
      <c r="H738" t="s">
        <v>11</v>
      </c>
      <c r="I738" t="s">
        <v>80</v>
      </c>
      <c r="J738" s="30" t="str">
        <f>IF(ISNUMBER(MATCH($D738,'Lopettaneet 2013-&gt;'!$D:$D,0)),INDEX('Lopettaneet 2013-&gt;'!$K:$K,MATCH($D738,'Lopettaneet 2013-&gt;'!$D:$D,0)),"Continues")</f>
        <v>Continues</v>
      </c>
      <c r="K738" s="30">
        <f ca="1">IF($J738="Continues",DATEDIF($B738,TODAY(),"Y"),INDEX('Lopettaneet 2013-&gt;'!$L:$L,MATCH($D738,'Lopettaneet 2013-&gt;'!$D:$D,0)))</f>
        <v>5</v>
      </c>
      <c r="L738" s="31" t="str">
        <f>IFERROR(INDEX('[1]30.06.2024'!$H:$H,MATCH($E738,'[1]30.06.2024'!$B:$B,0)),"Not found")</f>
        <v>Joensuun Startup Kehitys Oy</v>
      </c>
      <c r="M738" s="31" t="str">
        <f>IFERROR(INDEX([2]Sheet1!$B:$B,MATCH($D738,[2]Sheet1!$A:$A,0)),"Not found")</f>
        <v>Retail</v>
      </c>
      <c r="N738">
        <f t="shared" si="22"/>
        <v>1</v>
      </c>
      <c r="O738">
        <f t="shared" si="23"/>
        <v>0</v>
      </c>
    </row>
    <row r="739" spans="1:15" x14ac:dyDescent="0.25">
      <c r="A739" t="s">
        <v>7</v>
      </c>
      <c r="B739" s="1">
        <v>43800</v>
      </c>
      <c r="C739" s="1">
        <v>55153</v>
      </c>
      <c r="D739" s="4" t="s">
        <v>1676</v>
      </c>
      <c r="E739" s="32" t="s">
        <v>1677</v>
      </c>
      <c r="F739" s="32">
        <v>30102278</v>
      </c>
      <c r="G739" t="s">
        <v>10</v>
      </c>
      <c r="H739" t="s">
        <v>11</v>
      </c>
      <c r="I739" t="s">
        <v>80</v>
      </c>
      <c r="J739" s="30" t="str">
        <f>IF(ISNUMBER(MATCH($D739,'Lopettaneet 2013-&gt;'!$D:$D,0)),INDEX('Lopettaneet 2013-&gt;'!$K:$K,MATCH($D739,'Lopettaneet 2013-&gt;'!$D:$D,0)),"Continues")</f>
        <v>Continues</v>
      </c>
      <c r="K739" s="30">
        <f ca="1">IF($J739="Continues",DATEDIF($B739,TODAY(),"Y"),INDEX('Lopettaneet 2013-&gt;'!$L:$L,MATCH($D739,'Lopettaneet 2013-&gt;'!$D:$D,0)))</f>
        <v>5</v>
      </c>
      <c r="L739" s="31" t="str">
        <f>IFERROR(INDEX('[1]30.06.2024'!$H:$H,MATCH($E739,'[1]30.06.2024'!$B:$B,0)),"Not found")</f>
        <v>LLV Fund Management Oy</v>
      </c>
      <c r="M739" s="31" t="str">
        <f>IFERROR(INDEX([2]Sheet1!$B:$B,MATCH($D739,[2]Sheet1!$A:$A,0)),"Not found")</f>
        <v>Non-Retail</v>
      </c>
      <c r="N739">
        <f t="shared" si="22"/>
        <v>0</v>
      </c>
      <c r="O739">
        <f t="shared" si="23"/>
        <v>1</v>
      </c>
    </row>
    <row r="740" spans="1:15" x14ac:dyDescent="0.25">
      <c r="A740" t="s">
        <v>7</v>
      </c>
      <c r="B740" s="1">
        <v>44440</v>
      </c>
      <c r="C740" s="1">
        <v>55153</v>
      </c>
      <c r="D740" s="4" t="s">
        <v>1678</v>
      </c>
      <c r="E740" s="32" t="s">
        <v>1679</v>
      </c>
      <c r="F740" s="32">
        <v>31841216</v>
      </c>
      <c r="G740" t="s">
        <v>10</v>
      </c>
      <c r="H740" t="s">
        <v>11</v>
      </c>
      <c r="I740" t="s">
        <v>80</v>
      </c>
      <c r="J740" s="30" t="str">
        <f>IF(ISNUMBER(MATCH($D740,'Lopettaneet 2013-&gt;'!$D:$D,0)),INDEX('Lopettaneet 2013-&gt;'!$K:$K,MATCH($D740,'Lopettaneet 2013-&gt;'!$D:$D,0)),"Continues")</f>
        <v>Continues</v>
      </c>
      <c r="K740" s="30">
        <f ca="1">IF($J740="Continues",DATEDIF($B740,TODAY(),"Y"),INDEX('Lopettaneet 2013-&gt;'!$L:$L,MATCH($D740,'Lopettaneet 2013-&gt;'!$D:$D,0)))</f>
        <v>3</v>
      </c>
      <c r="L740" s="31" t="str">
        <f>IFERROR(INDEX('[1]30.06.2024'!$H:$H,MATCH($E740,'[1]30.06.2024'!$B:$B,0)),"Not found")</f>
        <v>Nexit Ventures Oy</v>
      </c>
      <c r="M740" s="31" t="str">
        <f>IFERROR(INDEX([2]Sheet1!$B:$B,MATCH($D740,[2]Sheet1!$A:$A,0)),"Not found")</f>
        <v>Non-Retail</v>
      </c>
      <c r="N740">
        <f t="shared" si="22"/>
        <v>0</v>
      </c>
      <c r="O740">
        <f t="shared" si="23"/>
        <v>1</v>
      </c>
    </row>
    <row r="741" spans="1:15" x14ac:dyDescent="0.25">
      <c r="A741" t="s">
        <v>7</v>
      </c>
      <c r="B741" s="1">
        <v>43983</v>
      </c>
      <c r="C741" s="1">
        <v>55153</v>
      </c>
      <c r="D741" s="4" t="s">
        <v>1680</v>
      </c>
      <c r="E741" s="32" t="s">
        <v>1681</v>
      </c>
      <c r="F741" s="32">
        <v>31343911</v>
      </c>
      <c r="G741" t="s">
        <v>10</v>
      </c>
      <c r="H741" t="s">
        <v>11</v>
      </c>
      <c r="I741" t="s">
        <v>80</v>
      </c>
      <c r="J741" s="30" t="str">
        <f>IF(ISNUMBER(MATCH($D741,'Lopettaneet 2013-&gt;'!$D:$D,0)),INDEX('Lopettaneet 2013-&gt;'!$K:$K,MATCH($D741,'Lopettaneet 2013-&gt;'!$D:$D,0)),"Continues")</f>
        <v>Continues</v>
      </c>
      <c r="K741" s="30">
        <f ca="1">IF($J741="Continues",DATEDIF($B741,TODAY(),"Y"),INDEX('Lopettaneet 2013-&gt;'!$L:$L,MATCH($D741,'Lopettaneet 2013-&gt;'!$D:$D,0)))</f>
        <v>4</v>
      </c>
      <c r="L741" s="31" t="str">
        <f>IFERROR(INDEX('[1]30.06.2024'!$H:$H,MATCH($E741,'[1]30.06.2024'!$B:$B,0)),"Not found")</f>
        <v>Verso Capital Oy</v>
      </c>
      <c r="M741" s="31" t="str">
        <f>IFERROR(INDEX([2]Sheet1!$B:$B,MATCH($D741,[2]Sheet1!$A:$A,0)),"Not found")</f>
        <v>Non-Retail</v>
      </c>
      <c r="N741">
        <f t="shared" si="22"/>
        <v>0</v>
      </c>
      <c r="O741">
        <f t="shared" si="23"/>
        <v>1</v>
      </c>
    </row>
    <row r="742" spans="1:15" x14ac:dyDescent="0.25">
      <c r="A742" t="s">
        <v>7</v>
      </c>
      <c r="B742" s="1">
        <v>44348</v>
      </c>
      <c r="C742" s="1">
        <v>55153</v>
      </c>
      <c r="D742" s="4" t="s">
        <v>1682</v>
      </c>
      <c r="E742" s="32" t="s">
        <v>1683</v>
      </c>
      <c r="F742" s="32">
        <v>30911155</v>
      </c>
      <c r="G742" t="s">
        <v>10</v>
      </c>
      <c r="H742" t="s">
        <v>11</v>
      </c>
      <c r="I742" t="s">
        <v>12</v>
      </c>
      <c r="J742" s="30" t="str">
        <f>IF(ISNUMBER(MATCH($D742,'Lopettaneet 2013-&gt;'!$D:$D,0)),INDEX('Lopettaneet 2013-&gt;'!$K:$K,MATCH($D742,'Lopettaneet 2013-&gt;'!$D:$D,0)),"Continues")</f>
        <v>Continues</v>
      </c>
      <c r="K742" s="30">
        <f ca="1">IF($J742="Continues",DATEDIF($B742,TODAY(),"Y"),INDEX('Lopettaneet 2013-&gt;'!$L:$L,MATCH($D742,'Lopettaneet 2013-&gt;'!$D:$D,0)))</f>
        <v>3</v>
      </c>
      <c r="L742" s="31" t="str">
        <f>IFERROR(INDEX('[1]30.06.2024'!$H:$H,MATCH($E742,'[1]30.06.2024'!$B:$B,0)),"Not found")</f>
        <v>DevCo Partners Oy</v>
      </c>
      <c r="M742" s="31" t="str">
        <f>IFERROR(INDEX([2]Sheet1!$B:$B,MATCH($D742,[2]Sheet1!$A:$A,0)),"Not found")</f>
        <v>Non-Retail</v>
      </c>
      <c r="N742">
        <f t="shared" si="22"/>
        <v>0</v>
      </c>
      <c r="O742">
        <f t="shared" si="23"/>
        <v>1</v>
      </c>
    </row>
    <row r="743" spans="1:15" x14ac:dyDescent="0.25">
      <c r="A743" t="s">
        <v>7</v>
      </c>
      <c r="B743" s="1">
        <v>43709</v>
      </c>
      <c r="C743" s="1">
        <v>55153</v>
      </c>
      <c r="D743" s="4" t="s">
        <v>1684</v>
      </c>
      <c r="E743" s="32" t="s">
        <v>1685</v>
      </c>
      <c r="F743" s="32">
        <v>30102227</v>
      </c>
      <c r="G743" t="s">
        <v>10</v>
      </c>
      <c r="H743" t="s">
        <v>11</v>
      </c>
      <c r="I743" t="s">
        <v>32</v>
      </c>
      <c r="J743" s="30" t="str">
        <f>IF(ISNUMBER(MATCH($D743,'Lopettaneet 2013-&gt;'!$D:$D,0)),INDEX('Lopettaneet 2013-&gt;'!$K:$K,MATCH($D743,'Lopettaneet 2013-&gt;'!$D:$D,0)),"Continues")</f>
        <v>Continues</v>
      </c>
      <c r="K743" s="30">
        <f ca="1">IF($J743="Continues",DATEDIF($B743,TODAY(),"Y"),INDEX('Lopettaneet 2013-&gt;'!$L:$L,MATCH($D743,'Lopettaneet 2013-&gt;'!$D:$D,0)))</f>
        <v>5</v>
      </c>
      <c r="L743" s="31" t="str">
        <f>IFERROR(INDEX('[1]30.06.2024'!$H:$H,MATCH($E743,'[1]30.06.2024'!$B:$B,0)),"Not found")</f>
        <v>Evli-Rahastoyhtiö Oy</v>
      </c>
      <c r="M743" s="31" t="str">
        <f>IFERROR(INDEX([2]Sheet1!$B:$B,MATCH($D743,[2]Sheet1!$A:$A,0)),"Not found")</f>
        <v>Retail</v>
      </c>
      <c r="N743">
        <f t="shared" si="22"/>
        <v>1</v>
      </c>
      <c r="O743">
        <f t="shared" si="23"/>
        <v>0</v>
      </c>
    </row>
    <row r="744" spans="1:15" x14ac:dyDescent="0.25">
      <c r="A744" t="s">
        <v>7</v>
      </c>
      <c r="B744" s="1">
        <v>43800</v>
      </c>
      <c r="C744" s="1">
        <v>55153</v>
      </c>
      <c r="D744" s="4" t="s">
        <v>1686</v>
      </c>
      <c r="E744" s="32" t="s">
        <v>1687</v>
      </c>
      <c r="F744" s="32">
        <v>30926533</v>
      </c>
      <c r="G744" t="s">
        <v>10</v>
      </c>
      <c r="H744" t="s">
        <v>11</v>
      </c>
      <c r="I744" t="s">
        <v>32</v>
      </c>
      <c r="J744" s="30" t="str">
        <f>IF(ISNUMBER(MATCH($D744,'Lopettaneet 2013-&gt;'!$D:$D,0)),INDEX('Lopettaneet 2013-&gt;'!$K:$K,MATCH($D744,'Lopettaneet 2013-&gt;'!$D:$D,0)),"Continues")</f>
        <v>Continues</v>
      </c>
      <c r="K744" s="30">
        <f ca="1">IF($J744="Continues",DATEDIF($B744,TODAY(),"Y"),INDEX('Lopettaneet 2013-&gt;'!$L:$L,MATCH($D744,'Lopettaneet 2013-&gt;'!$D:$D,0)))</f>
        <v>5</v>
      </c>
      <c r="L744" s="31" t="str">
        <f>IFERROR(INDEX('[1]30.06.2024'!$H:$H,MATCH($E744,'[1]30.06.2024'!$B:$B,0)),"Not found")</f>
        <v>Avara Rahastot Oy</v>
      </c>
      <c r="M744" s="31" t="str">
        <f>IFERROR(INDEX([2]Sheet1!$B:$B,MATCH($D744,[2]Sheet1!$A:$A,0)),"Not found")</f>
        <v>Non-Retail</v>
      </c>
      <c r="N744">
        <f t="shared" si="22"/>
        <v>0</v>
      </c>
      <c r="O744">
        <f t="shared" si="23"/>
        <v>1</v>
      </c>
    </row>
    <row r="745" spans="1:15" x14ac:dyDescent="0.25">
      <c r="A745" t="s">
        <v>7</v>
      </c>
      <c r="B745" s="1">
        <v>43709</v>
      </c>
      <c r="C745" s="1">
        <v>55153</v>
      </c>
      <c r="D745" s="4" t="s">
        <v>1688</v>
      </c>
      <c r="E745" s="32" t="s">
        <v>1689</v>
      </c>
      <c r="F745" s="32">
        <v>30134157</v>
      </c>
      <c r="G745" t="s">
        <v>10</v>
      </c>
      <c r="H745" t="s">
        <v>11</v>
      </c>
      <c r="I745" t="s">
        <v>29</v>
      </c>
      <c r="J745" s="30" t="str">
        <f>IF(ISNUMBER(MATCH($D745,'Lopettaneet 2013-&gt;'!$D:$D,0)),INDEX('Lopettaneet 2013-&gt;'!$K:$K,MATCH($D745,'Lopettaneet 2013-&gt;'!$D:$D,0)),"Continues")</f>
        <v>Continues</v>
      </c>
      <c r="K745" s="30">
        <f ca="1">IF($J745="Continues",DATEDIF($B745,TODAY(),"Y"),INDEX('Lopettaneet 2013-&gt;'!$L:$L,MATCH($D745,'Lopettaneet 2013-&gt;'!$D:$D,0)))</f>
        <v>5</v>
      </c>
      <c r="L745" s="31" t="str">
        <f>IFERROR(INDEX('[1]30.06.2024'!$H:$H,MATCH($E745,'[1]30.06.2024'!$B:$B,0)),"Not found")</f>
        <v>IPR.VC Management Oy</v>
      </c>
      <c r="M745" s="31" t="str">
        <f>IFERROR(INDEX([2]Sheet1!$B:$B,MATCH($D745,[2]Sheet1!$A:$A,0)),"Not found")</f>
        <v>Retail</v>
      </c>
      <c r="N745">
        <f t="shared" si="22"/>
        <v>1</v>
      </c>
      <c r="O745">
        <f t="shared" si="23"/>
        <v>0</v>
      </c>
    </row>
    <row r="746" spans="1:15" x14ac:dyDescent="0.25">
      <c r="A746" t="s">
        <v>7</v>
      </c>
      <c r="B746" s="1">
        <v>43800</v>
      </c>
      <c r="C746" s="1">
        <v>55153</v>
      </c>
      <c r="D746" s="4" t="s">
        <v>1690</v>
      </c>
      <c r="E746" s="32" t="s">
        <v>1691</v>
      </c>
      <c r="F746" s="32">
        <v>30965145</v>
      </c>
      <c r="G746" t="s">
        <v>10</v>
      </c>
      <c r="H746" t="s">
        <v>11</v>
      </c>
      <c r="I746" t="s">
        <v>32</v>
      </c>
      <c r="J746" s="30" t="str">
        <f>IF(ISNUMBER(MATCH($D746,'Lopettaneet 2013-&gt;'!$D:$D,0)),INDEX('Lopettaneet 2013-&gt;'!$K:$K,MATCH($D746,'Lopettaneet 2013-&gt;'!$D:$D,0)),"Continues")</f>
        <v>Continues</v>
      </c>
      <c r="K746" s="30">
        <f ca="1">IF($J746="Continues",DATEDIF($B746,TODAY(),"Y"),INDEX('Lopettaneet 2013-&gt;'!$L:$L,MATCH($D746,'Lopettaneet 2013-&gt;'!$D:$D,0)))</f>
        <v>5</v>
      </c>
      <c r="L746" s="31" t="str">
        <f>IFERROR(INDEX('[1]30.06.2024'!$H:$H,MATCH($E746,'[1]30.06.2024'!$B:$B,0)),"Not found")</f>
        <v>Avara Rahastot Oy</v>
      </c>
      <c r="M746" s="31" t="str">
        <f>IFERROR(INDEX([2]Sheet1!$B:$B,MATCH($D746,[2]Sheet1!$A:$A,0)),"Not found")</f>
        <v>Non-Retail</v>
      </c>
      <c r="N746">
        <f t="shared" si="22"/>
        <v>0</v>
      </c>
      <c r="O746">
        <f t="shared" si="23"/>
        <v>1</v>
      </c>
    </row>
    <row r="747" spans="1:15" x14ac:dyDescent="0.25">
      <c r="A747" t="s">
        <v>0</v>
      </c>
      <c r="B747" s="1">
        <v>43770</v>
      </c>
      <c r="C747" s="1">
        <v>55153</v>
      </c>
      <c r="D747" s="4" t="s">
        <v>1692</v>
      </c>
      <c r="E747" s="32" t="s">
        <v>1693</v>
      </c>
      <c r="F747" s="32">
        <v>30031326</v>
      </c>
      <c r="G747" t="s">
        <v>3</v>
      </c>
      <c r="H747" t="s">
        <v>4</v>
      </c>
      <c r="I747" t="s">
        <v>5</v>
      </c>
      <c r="J747" s="30" t="str">
        <f>IF(ISNUMBER(MATCH($D747,'Lopettaneet 2013-&gt;'!$D:$D,0)),INDEX('Lopettaneet 2013-&gt;'!$K:$K,MATCH($D747,'Lopettaneet 2013-&gt;'!$D:$D,0)),"Continues")</f>
        <v>Continues</v>
      </c>
      <c r="K747" s="30">
        <f ca="1">IF($J747="Continues",DATEDIF($B747,TODAY(),"Y"),INDEX('Lopettaneet 2013-&gt;'!$L:$L,MATCH($D747,'Lopettaneet 2013-&gt;'!$D:$D,0)))</f>
        <v>5</v>
      </c>
      <c r="L747" s="31" t="str">
        <f>IFERROR(INDEX('[1]30.06.2024'!$H:$H,MATCH($E747,'[1]30.06.2024'!$B:$B,0)),"Not found")</f>
        <v>Nordea Funds Oy</v>
      </c>
      <c r="M747" s="31" t="str">
        <f>IFERROR(INDEX([2]Sheet1!$B:$B,MATCH($D747,[2]Sheet1!$A:$A,0)),"Not found")</f>
        <v>Retail</v>
      </c>
      <c r="N747">
        <f t="shared" si="22"/>
        <v>1</v>
      </c>
      <c r="O747">
        <f t="shared" si="23"/>
        <v>0</v>
      </c>
    </row>
    <row r="748" spans="1:15" x14ac:dyDescent="0.25">
      <c r="A748" t="s">
        <v>0</v>
      </c>
      <c r="B748" s="1">
        <v>43709</v>
      </c>
      <c r="C748" s="1">
        <v>55153</v>
      </c>
      <c r="D748" s="4" t="s">
        <v>1694</v>
      </c>
      <c r="E748" s="32" t="s">
        <v>1695</v>
      </c>
      <c r="F748" s="32">
        <v>30086984</v>
      </c>
      <c r="G748" t="s">
        <v>3</v>
      </c>
      <c r="H748" t="s">
        <v>4</v>
      </c>
      <c r="I748" t="s">
        <v>20</v>
      </c>
      <c r="J748" s="30" t="str">
        <f>IF(ISNUMBER(MATCH($D748,'Lopettaneet 2013-&gt;'!$D:$D,0)),INDEX('Lopettaneet 2013-&gt;'!$K:$K,MATCH($D748,'Lopettaneet 2013-&gt;'!$D:$D,0)),"Continues")</f>
        <v>Continues</v>
      </c>
      <c r="K748" s="30">
        <f ca="1">IF($J748="Continues",DATEDIF($B748,TODAY(),"Y"),INDEX('Lopettaneet 2013-&gt;'!$L:$L,MATCH($D748,'Lopettaneet 2013-&gt;'!$D:$D,0)))</f>
        <v>5</v>
      </c>
      <c r="L748" s="31" t="str">
        <f>IFERROR(INDEX('[1]30.06.2024'!$H:$H,MATCH($E748,'[1]30.06.2024'!$B:$B,0)),"Not found")</f>
        <v>Nordea Funds Oy</v>
      </c>
      <c r="M748" s="31" t="str">
        <f>IFERROR(INDEX([2]Sheet1!$B:$B,MATCH($D748,[2]Sheet1!$A:$A,0)),"Not found")</f>
        <v>Retail</v>
      </c>
      <c r="N748">
        <f t="shared" si="22"/>
        <v>1</v>
      </c>
      <c r="O748">
        <f t="shared" si="23"/>
        <v>0</v>
      </c>
    </row>
    <row r="749" spans="1:15" x14ac:dyDescent="0.25">
      <c r="A749" t="s">
        <v>0</v>
      </c>
      <c r="B749" s="1">
        <v>43770</v>
      </c>
      <c r="C749" s="1">
        <v>55153</v>
      </c>
      <c r="D749" s="4" t="s">
        <v>1696</v>
      </c>
      <c r="E749" s="32" t="s">
        <v>1697</v>
      </c>
      <c r="F749" s="32">
        <v>30089712</v>
      </c>
      <c r="G749" t="s">
        <v>3</v>
      </c>
      <c r="H749" t="s">
        <v>4</v>
      </c>
      <c r="I749" t="s">
        <v>5</v>
      </c>
      <c r="J749" s="30" t="str">
        <f>IF(ISNUMBER(MATCH($D749,'Lopettaneet 2013-&gt;'!$D:$D,0)),INDEX('Lopettaneet 2013-&gt;'!$K:$K,MATCH($D749,'Lopettaneet 2013-&gt;'!$D:$D,0)),"Continues")</f>
        <v>Continues</v>
      </c>
      <c r="K749" s="30">
        <f ca="1">IF($J749="Continues",DATEDIF($B749,TODAY(),"Y"),INDEX('Lopettaneet 2013-&gt;'!$L:$L,MATCH($D749,'Lopettaneet 2013-&gt;'!$D:$D,0)))</f>
        <v>5</v>
      </c>
      <c r="L749" s="31" t="str">
        <f>IFERROR(INDEX('[1]30.06.2024'!$H:$H,MATCH($E749,'[1]30.06.2024'!$B:$B,0)),"Not found")</f>
        <v>Nordea Funds Oy</v>
      </c>
      <c r="M749" s="31" t="str">
        <f>IFERROR(INDEX([2]Sheet1!$B:$B,MATCH($D749,[2]Sheet1!$A:$A,0)),"Not found")</f>
        <v>Retail</v>
      </c>
      <c r="N749">
        <f t="shared" si="22"/>
        <v>1</v>
      </c>
      <c r="O749">
        <f t="shared" si="23"/>
        <v>0</v>
      </c>
    </row>
    <row r="750" spans="1:15" x14ac:dyDescent="0.25">
      <c r="A750" t="s">
        <v>0</v>
      </c>
      <c r="B750" s="1">
        <v>43770</v>
      </c>
      <c r="C750" s="1">
        <v>55153</v>
      </c>
      <c r="D750" s="4" t="s">
        <v>1698</v>
      </c>
      <c r="E750" s="32" t="s">
        <v>1699</v>
      </c>
      <c r="F750" s="32">
        <v>30089763</v>
      </c>
      <c r="G750" t="s">
        <v>3</v>
      </c>
      <c r="H750" t="s">
        <v>4</v>
      </c>
      <c r="I750" t="s">
        <v>20</v>
      </c>
      <c r="J750" s="30" t="str">
        <f>IF(ISNUMBER(MATCH($D750,'Lopettaneet 2013-&gt;'!$D:$D,0)),INDEX('Lopettaneet 2013-&gt;'!$K:$K,MATCH($D750,'Lopettaneet 2013-&gt;'!$D:$D,0)),"Continues")</f>
        <v>Continues</v>
      </c>
      <c r="K750" s="30">
        <f ca="1">IF($J750="Continues",DATEDIF($B750,TODAY(),"Y"),INDEX('Lopettaneet 2013-&gt;'!$L:$L,MATCH($D750,'Lopettaneet 2013-&gt;'!$D:$D,0)))</f>
        <v>5</v>
      </c>
      <c r="L750" s="31" t="str">
        <f>IFERROR(INDEX('[1]30.06.2024'!$H:$H,MATCH($E750,'[1]30.06.2024'!$B:$B,0)),"Not found")</f>
        <v>Nordea Funds Oy</v>
      </c>
      <c r="M750" s="31" t="str">
        <f>IFERROR(INDEX([2]Sheet1!$B:$B,MATCH($D750,[2]Sheet1!$A:$A,0)),"Not found")</f>
        <v>Retail</v>
      </c>
      <c r="N750">
        <f t="shared" si="22"/>
        <v>1</v>
      </c>
      <c r="O750">
        <f t="shared" si="23"/>
        <v>0</v>
      </c>
    </row>
    <row r="751" spans="1:15" x14ac:dyDescent="0.25">
      <c r="A751" t="s">
        <v>0</v>
      </c>
      <c r="B751" s="1">
        <v>43770</v>
      </c>
      <c r="C751" s="1">
        <v>55153</v>
      </c>
      <c r="D751" s="4" t="s">
        <v>1700</v>
      </c>
      <c r="E751" s="32" t="s">
        <v>1701</v>
      </c>
      <c r="F751" s="32">
        <v>30089683</v>
      </c>
      <c r="G751" t="s">
        <v>3</v>
      </c>
      <c r="H751" t="s">
        <v>4</v>
      </c>
      <c r="I751" t="s">
        <v>5</v>
      </c>
      <c r="J751" s="30" t="str">
        <f>IF(ISNUMBER(MATCH($D751,'Lopettaneet 2013-&gt;'!$D:$D,0)),INDEX('Lopettaneet 2013-&gt;'!$K:$K,MATCH($D751,'Lopettaneet 2013-&gt;'!$D:$D,0)),"Continues")</f>
        <v>Continues</v>
      </c>
      <c r="K751" s="30">
        <f ca="1">IF($J751="Continues",DATEDIF($B751,TODAY(),"Y"),INDEX('Lopettaneet 2013-&gt;'!$L:$L,MATCH($D751,'Lopettaneet 2013-&gt;'!$D:$D,0)))</f>
        <v>5</v>
      </c>
      <c r="L751" s="31" t="str">
        <f>IFERROR(INDEX('[1]30.06.2024'!$H:$H,MATCH($E751,'[1]30.06.2024'!$B:$B,0)),"Not found")</f>
        <v>Nordea Funds Oy</v>
      </c>
      <c r="M751" s="31" t="str">
        <f>IFERROR(INDEX([2]Sheet1!$B:$B,MATCH($D751,[2]Sheet1!$A:$A,0)),"Not found")</f>
        <v>Retail</v>
      </c>
      <c r="N751">
        <f t="shared" si="22"/>
        <v>1</v>
      </c>
      <c r="O751">
        <f t="shared" si="23"/>
        <v>0</v>
      </c>
    </row>
    <row r="752" spans="1:15" x14ac:dyDescent="0.25">
      <c r="A752" t="s">
        <v>0</v>
      </c>
      <c r="B752" s="1">
        <v>43770</v>
      </c>
      <c r="C752" s="1">
        <v>55153</v>
      </c>
      <c r="D752" s="4" t="s">
        <v>1702</v>
      </c>
      <c r="E752" s="32" t="s">
        <v>1703</v>
      </c>
      <c r="F752" s="32">
        <v>30089675</v>
      </c>
      <c r="G752" t="s">
        <v>3</v>
      </c>
      <c r="H752" t="s">
        <v>4</v>
      </c>
      <c r="I752" t="s">
        <v>5</v>
      </c>
      <c r="J752" s="30" t="str">
        <f>IF(ISNUMBER(MATCH($D752,'Lopettaneet 2013-&gt;'!$D:$D,0)),INDEX('Lopettaneet 2013-&gt;'!$K:$K,MATCH($D752,'Lopettaneet 2013-&gt;'!$D:$D,0)),"Continues")</f>
        <v>Continues</v>
      </c>
      <c r="K752" s="30">
        <f ca="1">IF($J752="Continues",DATEDIF($B752,TODAY(),"Y"),INDEX('Lopettaneet 2013-&gt;'!$L:$L,MATCH($D752,'Lopettaneet 2013-&gt;'!$D:$D,0)))</f>
        <v>5</v>
      </c>
      <c r="L752" s="31" t="str">
        <f>IFERROR(INDEX('[1]30.06.2024'!$H:$H,MATCH($E752,'[1]30.06.2024'!$B:$B,0)),"Not found")</f>
        <v>Nordea Funds Oy</v>
      </c>
      <c r="M752" s="31" t="str">
        <f>IFERROR(INDEX([2]Sheet1!$B:$B,MATCH($D752,[2]Sheet1!$A:$A,0)),"Not found")</f>
        <v>Retail</v>
      </c>
      <c r="N752">
        <f t="shared" si="22"/>
        <v>1</v>
      </c>
      <c r="O752">
        <f t="shared" si="23"/>
        <v>0</v>
      </c>
    </row>
    <row r="753" spans="1:15" x14ac:dyDescent="0.25">
      <c r="A753" t="s">
        <v>0</v>
      </c>
      <c r="B753" s="1">
        <v>43770</v>
      </c>
      <c r="C753" s="1">
        <v>55153</v>
      </c>
      <c r="D753" s="4" t="s">
        <v>1704</v>
      </c>
      <c r="E753" s="32" t="s">
        <v>1705</v>
      </c>
      <c r="F753" s="32">
        <v>30089595</v>
      </c>
      <c r="G753" t="s">
        <v>3</v>
      </c>
      <c r="H753" t="s">
        <v>4</v>
      </c>
      <c r="I753" t="s">
        <v>20</v>
      </c>
      <c r="J753" s="30" t="str">
        <f>IF(ISNUMBER(MATCH($D753,'Lopettaneet 2013-&gt;'!$D:$D,0)),INDEX('Lopettaneet 2013-&gt;'!$K:$K,MATCH($D753,'Lopettaneet 2013-&gt;'!$D:$D,0)),"Continues")</f>
        <v>Continues</v>
      </c>
      <c r="K753" s="30">
        <f ca="1">IF($J753="Continues",DATEDIF($B753,TODAY(),"Y"),INDEX('Lopettaneet 2013-&gt;'!$L:$L,MATCH($D753,'Lopettaneet 2013-&gt;'!$D:$D,0)))</f>
        <v>5</v>
      </c>
      <c r="L753" s="31" t="str">
        <f>IFERROR(INDEX('[1]30.06.2024'!$H:$H,MATCH($E753,'[1]30.06.2024'!$B:$B,0)),"Not found")</f>
        <v>Nordea Funds Oy</v>
      </c>
      <c r="M753" s="31" t="str">
        <f>IFERROR(INDEX([2]Sheet1!$B:$B,MATCH($D753,[2]Sheet1!$A:$A,0)),"Not found")</f>
        <v>Retail</v>
      </c>
      <c r="N753">
        <f t="shared" si="22"/>
        <v>1</v>
      </c>
      <c r="O753">
        <f t="shared" si="23"/>
        <v>0</v>
      </c>
    </row>
    <row r="754" spans="1:15" x14ac:dyDescent="0.25">
      <c r="A754" t="s">
        <v>0</v>
      </c>
      <c r="B754" s="1">
        <v>43770</v>
      </c>
      <c r="C754" s="1">
        <v>55153</v>
      </c>
      <c r="D754" s="4" t="s">
        <v>1706</v>
      </c>
      <c r="E754" s="32" t="s">
        <v>1707</v>
      </c>
      <c r="F754" s="32">
        <v>30089579</v>
      </c>
      <c r="G754" t="s">
        <v>3</v>
      </c>
      <c r="H754" t="s">
        <v>4</v>
      </c>
      <c r="I754" t="s">
        <v>5</v>
      </c>
      <c r="J754" s="30" t="str">
        <f>IF(ISNUMBER(MATCH($D754,'Lopettaneet 2013-&gt;'!$D:$D,0)),INDEX('Lopettaneet 2013-&gt;'!$K:$K,MATCH($D754,'Lopettaneet 2013-&gt;'!$D:$D,0)),"Continues")</f>
        <v>Continues</v>
      </c>
      <c r="K754" s="30">
        <f ca="1">IF($J754="Continues",DATEDIF($B754,TODAY(),"Y"),INDEX('Lopettaneet 2013-&gt;'!$L:$L,MATCH($D754,'Lopettaneet 2013-&gt;'!$D:$D,0)))</f>
        <v>5</v>
      </c>
      <c r="L754" s="31" t="str">
        <f>IFERROR(INDEX('[1]30.06.2024'!$H:$H,MATCH($E754,'[1]30.06.2024'!$B:$B,0)),"Not found")</f>
        <v>Nordea Funds Oy</v>
      </c>
      <c r="M754" s="31" t="str">
        <f>IFERROR(INDEX([2]Sheet1!$B:$B,MATCH($D754,[2]Sheet1!$A:$A,0)),"Not found")</f>
        <v>Retail</v>
      </c>
      <c r="N754">
        <f t="shared" si="22"/>
        <v>1</v>
      </c>
      <c r="O754">
        <f t="shared" si="23"/>
        <v>0</v>
      </c>
    </row>
    <row r="755" spans="1:15" x14ac:dyDescent="0.25">
      <c r="A755" t="s">
        <v>7</v>
      </c>
      <c r="B755" s="1">
        <v>43891</v>
      </c>
      <c r="C755" s="1">
        <v>55153</v>
      </c>
      <c r="D755" s="4" t="s">
        <v>1708</v>
      </c>
      <c r="E755" s="32" t="s">
        <v>1709</v>
      </c>
      <c r="F755" s="32">
        <v>30117138</v>
      </c>
      <c r="G755" t="s">
        <v>10</v>
      </c>
      <c r="H755" t="s">
        <v>11</v>
      </c>
      <c r="I755" t="s">
        <v>80</v>
      </c>
      <c r="J755" s="30" t="str">
        <f>IF(ISNUMBER(MATCH($D755,'Lopettaneet 2013-&gt;'!$D:$D,0)),INDEX('Lopettaneet 2013-&gt;'!$K:$K,MATCH($D755,'Lopettaneet 2013-&gt;'!$D:$D,0)),"Continues")</f>
        <v>Continues</v>
      </c>
      <c r="K755" s="30">
        <f ca="1">IF($J755="Continues",DATEDIF($B755,TODAY(),"Y"),INDEX('Lopettaneet 2013-&gt;'!$L:$L,MATCH($D755,'Lopettaneet 2013-&gt;'!$D:$D,0)))</f>
        <v>5</v>
      </c>
      <c r="L755" s="31" t="str">
        <f>IFERROR(INDEX('[1]30.06.2024'!$H:$H,MATCH($E755,'[1]30.06.2024'!$B:$B,0)),"Not found")</f>
        <v>EduImpact Venture Capital Oy</v>
      </c>
      <c r="M755" s="31" t="str">
        <f>IFERROR(INDEX([2]Sheet1!$B:$B,MATCH($D755,[2]Sheet1!$A:$A,0)),"Not found")</f>
        <v>Retail</v>
      </c>
      <c r="N755">
        <f t="shared" si="22"/>
        <v>1</v>
      </c>
      <c r="O755">
        <f t="shared" si="23"/>
        <v>0</v>
      </c>
    </row>
    <row r="756" spans="1:15" x14ac:dyDescent="0.25">
      <c r="A756" t="s">
        <v>7</v>
      </c>
      <c r="B756" s="1">
        <v>43709</v>
      </c>
      <c r="C756" s="1">
        <v>55153</v>
      </c>
      <c r="D756" s="4" t="s">
        <v>1710</v>
      </c>
      <c r="E756" s="32" t="s">
        <v>1711</v>
      </c>
      <c r="F756" s="32">
        <v>30122236</v>
      </c>
      <c r="G756" t="s">
        <v>10</v>
      </c>
      <c r="H756" t="s">
        <v>11</v>
      </c>
      <c r="I756" t="s">
        <v>80</v>
      </c>
      <c r="J756" s="30" t="str">
        <f>IF(ISNUMBER(MATCH($D756,'Lopettaneet 2013-&gt;'!$D:$D,0)),INDEX('Lopettaneet 2013-&gt;'!$K:$K,MATCH($D756,'Lopettaneet 2013-&gt;'!$D:$D,0)),"Continues")</f>
        <v>Continues</v>
      </c>
      <c r="K756" s="30">
        <f ca="1">IF($J756="Continues",DATEDIF($B756,TODAY(),"Y"),INDEX('Lopettaneet 2013-&gt;'!$L:$L,MATCH($D756,'Lopettaneet 2013-&gt;'!$D:$D,0)))</f>
        <v>5</v>
      </c>
      <c r="L756" s="31" t="str">
        <f>IFERROR(INDEX('[1]30.06.2024'!$H:$H,MATCH($E756,'[1]30.06.2024'!$B:$B,0)),"Not found")</f>
        <v>Taaleri Pääomarahastot Oy</v>
      </c>
      <c r="M756" s="31" t="str">
        <f>IFERROR(INDEX([2]Sheet1!$B:$B,MATCH($D756,[2]Sheet1!$A:$A,0)),"Not found")</f>
        <v>Retail</v>
      </c>
      <c r="N756">
        <f t="shared" si="22"/>
        <v>1</v>
      </c>
      <c r="O756">
        <f t="shared" si="23"/>
        <v>0</v>
      </c>
    </row>
    <row r="757" spans="1:15" x14ac:dyDescent="0.25">
      <c r="A757" t="s">
        <v>7</v>
      </c>
      <c r="B757" s="1">
        <v>43709</v>
      </c>
      <c r="C757" s="1">
        <v>55153</v>
      </c>
      <c r="D757" s="4" t="s">
        <v>1712</v>
      </c>
      <c r="E757" s="32" t="s">
        <v>1713</v>
      </c>
      <c r="F757" s="32">
        <v>30122279</v>
      </c>
      <c r="G757" t="s">
        <v>10</v>
      </c>
      <c r="H757" t="s">
        <v>11</v>
      </c>
      <c r="I757" t="s">
        <v>80</v>
      </c>
      <c r="J757" s="30" t="str">
        <f>IF(ISNUMBER(MATCH($D757,'Lopettaneet 2013-&gt;'!$D:$D,0)),INDEX('Lopettaneet 2013-&gt;'!$K:$K,MATCH($D757,'Lopettaneet 2013-&gt;'!$D:$D,0)),"Continues")</f>
        <v>Continues</v>
      </c>
      <c r="K757" s="30">
        <f ca="1">IF($J757="Continues",DATEDIF($B757,TODAY(),"Y"),INDEX('Lopettaneet 2013-&gt;'!$L:$L,MATCH($D757,'Lopettaneet 2013-&gt;'!$D:$D,0)))</f>
        <v>5</v>
      </c>
      <c r="L757" s="31" t="str">
        <f>IFERROR(INDEX('[1]30.06.2024'!$H:$H,MATCH($E757,'[1]30.06.2024'!$B:$B,0)),"Not found")</f>
        <v>Taaleri Pääomarahastot Oy</v>
      </c>
      <c r="M757" s="31" t="str">
        <f>IFERROR(INDEX([2]Sheet1!$B:$B,MATCH($D757,[2]Sheet1!$A:$A,0)),"Not found")</f>
        <v>Retail</v>
      </c>
      <c r="N757">
        <f t="shared" si="22"/>
        <v>1</v>
      </c>
      <c r="O757">
        <f t="shared" si="23"/>
        <v>0</v>
      </c>
    </row>
    <row r="758" spans="1:15" x14ac:dyDescent="0.25">
      <c r="A758" t="s">
        <v>7</v>
      </c>
      <c r="B758" s="1">
        <v>43709</v>
      </c>
      <c r="C758" s="1">
        <v>55153</v>
      </c>
      <c r="D758" s="4" t="s">
        <v>1714</v>
      </c>
      <c r="E758" s="32" t="s">
        <v>1715</v>
      </c>
      <c r="F758" s="32">
        <v>30122308</v>
      </c>
      <c r="G758" t="s">
        <v>10</v>
      </c>
      <c r="H758" t="s">
        <v>11</v>
      </c>
      <c r="I758" t="s">
        <v>80</v>
      </c>
      <c r="J758" s="30" t="str">
        <f>IF(ISNUMBER(MATCH($D758,'Lopettaneet 2013-&gt;'!$D:$D,0)),INDEX('Lopettaneet 2013-&gt;'!$K:$K,MATCH($D758,'Lopettaneet 2013-&gt;'!$D:$D,0)),"Continues")</f>
        <v>Continues</v>
      </c>
      <c r="K758" s="30">
        <f ca="1">IF($J758="Continues",DATEDIF($B758,TODAY(),"Y"),INDEX('Lopettaneet 2013-&gt;'!$L:$L,MATCH($D758,'Lopettaneet 2013-&gt;'!$D:$D,0)))</f>
        <v>5</v>
      </c>
      <c r="L758" s="31" t="str">
        <f>IFERROR(INDEX('[1]30.06.2024'!$H:$H,MATCH($E758,'[1]30.06.2024'!$B:$B,0)),"Not found")</f>
        <v>Taaleri Pääomarahastot Oy</v>
      </c>
      <c r="M758" s="31" t="str">
        <f>IFERROR(INDEX([2]Sheet1!$B:$B,MATCH($D758,[2]Sheet1!$A:$A,0)),"Not found")</f>
        <v>Retail</v>
      </c>
      <c r="N758">
        <f t="shared" si="22"/>
        <v>1</v>
      </c>
      <c r="O758">
        <f t="shared" si="23"/>
        <v>0</v>
      </c>
    </row>
    <row r="759" spans="1:15" x14ac:dyDescent="0.25">
      <c r="A759" t="s">
        <v>0</v>
      </c>
      <c r="B759" s="1">
        <v>43831</v>
      </c>
      <c r="C759" s="1">
        <v>55153</v>
      </c>
      <c r="D759" s="4" t="s">
        <v>1716</v>
      </c>
      <c r="E759" s="32" t="s">
        <v>1717</v>
      </c>
      <c r="F759" s="32">
        <v>30191434</v>
      </c>
      <c r="G759" t="s">
        <v>10</v>
      </c>
      <c r="H759" t="s">
        <v>4</v>
      </c>
      <c r="I759" t="s">
        <v>20</v>
      </c>
      <c r="J759" s="30" t="str">
        <f>IF(ISNUMBER(MATCH($D759,'Lopettaneet 2013-&gt;'!$D:$D,0)),INDEX('Lopettaneet 2013-&gt;'!$K:$K,MATCH($D759,'Lopettaneet 2013-&gt;'!$D:$D,0)),"Continues")</f>
        <v>Continues</v>
      </c>
      <c r="K759" s="30">
        <f ca="1">IF($J759="Continues",DATEDIF($B759,TODAY(),"Y"),INDEX('Lopettaneet 2013-&gt;'!$L:$L,MATCH($D759,'Lopettaneet 2013-&gt;'!$D:$D,0)))</f>
        <v>5</v>
      </c>
      <c r="L759" s="31" t="str">
        <f>IFERROR(INDEX('[1]30.06.2024'!$H:$H,MATCH($E759,'[1]30.06.2024'!$B:$B,0)),"Not found")</f>
        <v>GRIT Rahastoyhtiö Oy</v>
      </c>
      <c r="M759" s="31" t="str">
        <f>IFERROR(INDEX([2]Sheet1!$B:$B,MATCH($D759,[2]Sheet1!$A:$A,0)),"Not found")</f>
        <v>Retail</v>
      </c>
      <c r="N759">
        <f t="shared" si="22"/>
        <v>1</v>
      </c>
      <c r="O759">
        <f t="shared" si="23"/>
        <v>0</v>
      </c>
    </row>
    <row r="760" spans="1:15" x14ac:dyDescent="0.25">
      <c r="A760" t="s">
        <v>0</v>
      </c>
      <c r="B760" s="1">
        <v>43739</v>
      </c>
      <c r="C760" s="1">
        <v>55153</v>
      </c>
      <c r="D760" s="4" t="s">
        <v>1718</v>
      </c>
      <c r="E760" s="32" t="s">
        <v>1719</v>
      </c>
      <c r="F760" s="32">
        <v>30180452</v>
      </c>
      <c r="G760" t="s">
        <v>3</v>
      </c>
      <c r="H760" t="s">
        <v>4</v>
      </c>
      <c r="I760" t="s">
        <v>50</v>
      </c>
      <c r="J760" s="30" t="str">
        <f>IF(ISNUMBER(MATCH($D760,'Lopettaneet 2013-&gt;'!$D:$D,0)),INDEX('Lopettaneet 2013-&gt;'!$K:$K,MATCH($D760,'Lopettaneet 2013-&gt;'!$D:$D,0)),"Continues")</f>
        <v>Continues</v>
      </c>
      <c r="K760" s="30">
        <f ca="1">IF($J760="Continues",DATEDIF($B760,TODAY(),"Y"),INDEX('Lopettaneet 2013-&gt;'!$L:$L,MATCH($D760,'Lopettaneet 2013-&gt;'!$D:$D,0)))</f>
        <v>5</v>
      </c>
      <c r="L760" s="31" t="str">
        <f>IFERROR(INDEX('[1]30.06.2024'!$H:$H,MATCH($E760,'[1]30.06.2024'!$B:$B,0)),"Not found")</f>
        <v>Not found</v>
      </c>
      <c r="M760" s="31" t="str">
        <f>IFERROR(INDEX([2]Sheet1!$B:$B,MATCH($D760,[2]Sheet1!$A:$A,0)),"Not found")</f>
        <v>Retail</v>
      </c>
      <c r="N760">
        <f t="shared" si="22"/>
        <v>1</v>
      </c>
      <c r="O760">
        <f t="shared" si="23"/>
        <v>0</v>
      </c>
    </row>
    <row r="761" spans="1:15" x14ac:dyDescent="0.25">
      <c r="A761" t="s">
        <v>7</v>
      </c>
      <c r="B761" s="1">
        <v>43983</v>
      </c>
      <c r="C761" s="1">
        <v>55153</v>
      </c>
      <c r="D761" s="4" t="s">
        <v>1720</v>
      </c>
      <c r="E761" s="32" t="s">
        <v>1721</v>
      </c>
      <c r="F761" s="32">
        <v>31120726</v>
      </c>
      <c r="G761" t="s">
        <v>10</v>
      </c>
      <c r="H761" t="s">
        <v>11</v>
      </c>
      <c r="I761" t="s">
        <v>80</v>
      </c>
      <c r="J761" s="30" t="str">
        <f>IF(ISNUMBER(MATCH($D761,'Lopettaneet 2013-&gt;'!$D:$D,0)),INDEX('Lopettaneet 2013-&gt;'!$K:$K,MATCH($D761,'Lopettaneet 2013-&gt;'!$D:$D,0)),"Continues")</f>
        <v>Continues</v>
      </c>
      <c r="K761" s="30">
        <f ca="1">IF($J761="Continues",DATEDIF($B761,TODAY(),"Y"),INDEX('Lopettaneet 2013-&gt;'!$L:$L,MATCH($D761,'Lopettaneet 2013-&gt;'!$D:$D,0)))</f>
        <v>4</v>
      </c>
      <c r="L761" s="31" t="str">
        <f>IFERROR(INDEX('[1]30.06.2024'!$H:$H,MATCH($E761,'[1]30.06.2024'!$B:$B,0)),"Not found")</f>
        <v>Nordic Food Tech Venture Capital Oy</v>
      </c>
      <c r="M761" s="31" t="str">
        <f>IFERROR(INDEX([2]Sheet1!$B:$B,MATCH($D761,[2]Sheet1!$A:$A,0)),"Not found")</f>
        <v>Non-Retail</v>
      </c>
      <c r="N761">
        <f t="shared" si="22"/>
        <v>0</v>
      </c>
      <c r="O761">
        <f t="shared" si="23"/>
        <v>1</v>
      </c>
    </row>
    <row r="762" spans="1:15" x14ac:dyDescent="0.25">
      <c r="A762" t="s">
        <v>7</v>
      </c>
      <c r="B762" s="1">
        <v>43983</v>
      </c>
      <c r="C762" s="1">
        <v>55153</v>
      </c>
      <c r="D762" s="4" t="s">
        <v>1722</v>
      </c>
      <c r="E762" s="32" t="s">
        <v>1723</v>
      </c>
      <c r="F762" s="32">
        <v>31289011</v>
      </c>
      <c r="G762" t="s">
        <v>10</v>
      </c>
      <c r="H762" t="s">
        <v>11</v>
      </c>
      <c r="I762" t="s">
        <v>80</v>
      </c>
      <c r="J762" s="30" t="str">
        <f>IF(ISNUMBER(MATCH($D762,'Lopettaneet 2013-&gt;'!$D:$D,0)),INDEX('Lopettaneet 2013-&gt;'!$K:$K,MATCH($D762,'Lopettaneet 2013-&gt;'!$D:$D,0)),"Continues")</f>
        <v>Continues</v>
      </c>
      <c r="K762" s="30">
        <f ca="1">IF($J762="Continues",DATEDIF($B762,TODAY(),"Y"),INDEX('Lopettaneet 2013-&gt;'!$L:$L,MATCH($D762,'Lopettaneet 2013-&gt;'!$D:$D,0)))</f>
        <v>4</v>
      </c>
      <c r="L762" s="31" t="str">
        <f>IFERROR(INDEX('[1]30.06.2024'!$H:$H,MATCH($E762,'[1]30.06.2024'!$B:$B,0)),"Not found")</f>
        <v>Icebreaker Fund Management Oy</v>
      </c>
      <c r="M762" s="31" t="str">
        <f>IFERROR(INDEX([2]Sheet1!$B:$B,MATCH($D762,[2]Sheet1!$A:$A,0)),"Not found")</f>
        <v>Retail</v>
      </c>
      <c r="N762">
        <f t="shared" si="22"/>
        <v>1</v>
      </c>
      <c r="O762">
        <f t="shared" si="23"/>
        <v>0</v>
      </c>
    </row>
    <row r="763" spans="1:15" x14ac:dyDescent="0.25">
      <c r="A763" t="s">
        <v>7</v>
      </c>
      <c r="B763" s="1">
        <v>44348</v>
      </c>
      <c r="C763" s="1">
        <v>55153</v>
      </c>
      <c r="D763" s="4" t="s">
        <v>1724</v>
      </c>
      <c r="E763" s="32" t="s">
        <v>1725</v>
      </c>
      <c r="F763" s="32">
        <v>30940108</v>
      </c>
      <c r="G763" t="s">
        <v>10</v>
      </c>
      <c r="H763" t="s">
        <v>11</v>
      </c>
      <c r="I763" t="s">
        <v>12</v>
      </c>
      <c r="J763" s="30" t="str">
        <f>IF(ISNUMBER(MATCH($D763,'Lopettaneet 2013-&gt;'!$D:$D,0)),INDEX('Lopettaneet 2013-&gt;'!$K:$K,MATCH($D763,'Lopettaneet 2013-&gt;'!$D:$D,0)),"Continues")</f>
        <v>Continues</v>
      </c>
      <c r="K763" s="30">
        <f ca="1">IF($J763="Continues",DATEDIF($B763,TODAY(),"Y"),INDEX('Lopettaneet 2013-&gt;'!$L:$L,MATCH($D763,'Lopettaneet 2013-&gt;'!$D:$D,0)))</f>
        <v>3</v>
      </c>
      <c r="L763" s="31" t="str">
        <f>IFERROR(INDEX('[1]30.06.2024'!$H:$H,MATCH($E763,'[1]30.06.2024'!$B:$B,0)),"Not found")</f>
        <v>DevCo Partners Oy</v>
      </c>
      <c r="M763" s="31" t="str">
        <f>IFERROR(INDEX([2]Sheet1!$B:$B,MATCH($D763,[2]Sheet1!$A:$A,0)),"Not found")</f>
        <v>Non-Retail</v>
      </c>
      <c r="N763">
        <f t="shared" si="22"/>
        <v>0</v>
      </c>
      <c r="O763">
        <f t="shared" si="23"/>
        <v>1</v>
      </c>
    </row>
    <row r="764" spans="1:15" x14ac:dyDescent="0.25">
      <c r="A764" t="s">
        <v>0</v>
      </c>
      <c r="B764" s="1">
        <v>43770</v>
      </c>
      <c r="C764" s="1">
        <v>55153</v>
      </c>
      <c r="D764" s="4" t="s">
        <v>1726</v>
      </c>
      <c r="E764" s="32" t="s">
        <v>1727</v>
      </c>
      <c r="F764" s="32">
        <v>30938948</v>
      </c>
      <c r="G764" t="s">
        <v>10</v>
      </c>
      <c r="H764" t="s">
        <v>4</v>
      </c>
      <c r="I764" t="s">
        <v>50</v>
      </c>
      <c r="J764" s="30" t="str">
        <f>IF(ISNUMBER(MATCH($D764,'Lopettaneet 2013-&gt;'!$D:$D,0)),INDEX('Lopettaneet 2013-&gt;'!$K:$K,MATCH($D764,'Lopettaneet 2013-&gt;'!$D:$D,0)),"Continues")</f>
        <v>Continues</v>
      </c>
      <c r="K764" s="30">
        <f ca="1">IF($J764="Continues",DATEDIF($B764,TODAY(),"Y"),INDEX('Lopettaneet 2013-&gt;'!$L:$L,MATCH($D764,'Lopettaneet 2013-&gt;'!$D:$D,0)))</f>
        <v>5</v>
      </c>
      <c r="L764" s="31" t="str">
        <f>IFERROR(INDEX('[1]30.06.2024'!$H:$H,MATCH($E764,'[1]30.06.2024'!$B:$B,0)),"Not found")</f>
        <v>GRIT Rahastoyhtiö Oy</v>
      </c>
      <c r="M764" s="31" t="str">
        <f>IFERROR(INDEX([2]Sheet1!$B:$B,MATCH($D764,[2]Sheet1!$A:$A,0)),"Not found")</f>
        <v>Retail</v>
      </c>
      <c r="N764">
        <f t="shared" si="22"/>
        <v>1</v>
      </c>
      <c r="O764">
        <f t="shared" si="23"/>
        <v>0</v>
      </c>
    </row>
    <row r="765" spans="1:15" x14ac:dyDescent="0.25">
      <c r="A765" t="s">
        <v>0</v>
      </c>
      <c r="B765" s="1">
        <v>43831</v>
      </c>
      <c r="C765" s="1">
        <v>55153</v>
      </c>
      <c r="D765" s="4" t="s">
        <v>1728</v>
      </c>
      <c r="E765" s="32" t="s">
        <v>1729</v>
      </c>
      <c r="F765" s="32">
        <v>30953136</v>
      </c>
      <c r="G765" t="s">
        <v>10</v>
      </c>
      <c r="H765" t="s">
        <v>4</v>
      </c>
      <c r="I765" t="s">
        <v>32</v>
      </c>
      <c r="J765" s="30" t="str">
        <f>IF(ISNUMBER(MATCH($D765,'Lopettaneet 2013-&gt;'!$D:$D,0)),INDEX('Lopettaneet 2013-&gt;'!$K:$K,MATCH($D765,'Lopettaneet 2013-&gt;'!$D:$D,0)),"Continues")</f>
        <v>Continues</v>
      </c>
      <c r="K765" s="30">
        <f ca="1">IF($J765="Continues",DATEDIF($B765,TODAY(),"Y"),INDEX('Lopettaneet 2013-&gt;'!$L:$L,MATCH($D765,'Lopettaneet 2013-&gt;'!$D:$D,0)))</f>
        <v>5</v>
      </c>
      <c r="L765" s="31" t="str">
        <f>IFERROR(INDEX('[1]30.06.2024'!$H:$H,MATCH($E765,'[1]30.06.2024'!$B:$B,0)),"Not found")</f>
        <v>Investors House Rahastot Oy</v>
      </c>
      <c r="M765" s="31" t="str">
        <f>IFERROR(INDEX([2]Sheet1!$B:$B,MATCH($D765,[2]Sheet1!$A:$A,0)),"Not found")</f>
        <v>Retail</v>
      </c>
      <c r="N765">
        <f t="shared" si="22"/>
        <v>1</v>
      </c>
      <c r="O765">
        <f t="shared" si="23"/>
        <v>0</v>
      </c>
    </row>
    <row r="766" spans="1:15" x14ac:dyDescent="0.25">
      <c r="A766" t="s">
        <v>7</v>
      </c>
      <c r="B766" s="1">
        <v>43800</v>
      </c>
      <c r="C766" s="1">
        <v>44561</v>
      </c>
      <c r="D766" s="4" t="s">
        <v>1730</v>
      </c>
      <c r="E766" s="32" t="s">
        <v>1731</v>
      </c>
      <c r="F766" s="32">
        <v>29815844</v>
      </c>
      <c r="G766" t="s">
        <v>10</v>
      </c>
      <c r="H766" t="s">
        <v>11</v>
      </c>
      <c r="I766" t="s">
        <v>29</v>
      </c>
      <c r="J766" s="30" t="str">
        <f>IF(ISNUMBER(MATCH($D766,'Lopettaneet 2013-&gt;'!$D:$D,0)),INDEX('Lopettaneet 2013-&gt;'!$K:$K,MATCH($D766,'Lopettaneet 2013-&gt;'!$D:$D,0)),"Continues")</f>
        <v>Closed</v>
      </c>
      <c r="K766" s="30">
        <f ca="1">IF($J766="Continues",DATEDIF($B766,TODAY(),"Y"),INDEX('Lopettaneet 2013-&gt;'!$L:$L,MATCH($D766,'Lopettaneet 2013-&gt;'!$D:$D,0)))</f>
        <v>2</v>
      </c>
      <c r="L766" s="31" t="str">
        <f>IFERROR(INDEX('[1]30.06.2024'!$H:$H,MATCH($E766,'[1]30.06.2024'!$B:$B,0)),"Not found")</f>
        <v>Not found</v>
      </c>
      <c r="M766" s="31" t="str">
        <f>IFERROR(INDEX([2]Sheet1!$B:$B,MATCH($D766,[2]Sheet1!$A:$A,0)),"Not found")</f>
        <v>Not found</v>
      </c>
      <c r="N766">
        <f t="shared" si="22"/>
        <v>0</v>
      </c>
      <c r="O766">
        <f t="shared" si="23"/>
        <v>0</v>
      </c>
    </row>
    <row r="767" spans="1:15" x14ac:dyDescent="0.25">
      <c r="A767" t="s">
        <v>7</v>
      </c>
      <c r="B767" s="1">
        <v>43983</v>
      </c>
      <c r="C767" s="1">
        <v>55153</v>
      </c>
      <c r="D767" s="4" t="s">
        <v>1732</v>
      </c>
      <c r="E767" s="32" t="s">
        <v>1733</v>
      </c>
      <c r="F767" s="32">
        <v>30945865</v>
      </c>
      <c r="G767" t="s">
        <v>10</v>
      </c>
      <c r="H767" t="s">
        <v>11</v>
      </c>
      <c r="I767" t="s">
        <v>12</v>
      </c>
      <c r="J767" s="30" t="str">
        <f>IF(ISNUMBER(MATCH($D767,'Lopettaneet 2013-&gt;'!$D:$D,0)),INDEX('Lopettaneet 2013-&gt;'!$K:$K,MATCH($D767,'Lopettaneet 2013-&gt;'!$D:$D,0)),"Continues")</f>
        <v>Continues</v>
      </c>
      <c r="K767" s="30">
        <f ca="1">IF($J767="Continues",DATEDIF($B767,TODAY(),"Y"),INDEX('Lopettaneet 2013-&gt;'!$L:$L,MATCH($D767,'Lopettaneet 2013-&gt;'!$D:$D,0)))</f>
        <v>4</v>
      </c>
      <c r="L767" s="31" t="str">
        <f>IFERROR(INDEX('[1]30.06.2024'!$H:$H,MATCH($E767,'[1]30.06.2024'!$B:$B,0)),"Not found")</f>
        <v>Evli-Rahastoyhtiö Oy</v>
      </c>
      <c r="M767" s="31" t="str">
        <f>IFERROR(INDEX([2]Sheet1!$B:$B,MATCH($D767,[2]Sheet1!$A:$A,0)),"Not found")</f>
        <v>Non-Retail</v>
      </c>
      <c r="N767">
        <f t="shared" si="22"/>
        <v>0</v>
      </c>
      <c r="O767">
        <f t="shared" si="23"/>
        <v>1</v>
      </c>
    </row>
    <row r="768" spans="1:15" x14ac:dyDescent="0.25">
      <c r="A768" t="s">
        <v>7</v>
      </c>
      <c r="B768" s="1">
        <v>44075</v>
      </c>
      <c r="C768" s="1">
        <v>55153</v>
      </c>
      <c r="D768" s="4" t="s">
        <v>1734</v>
      </c>
      <c r="E768" s="32" t="s">
        <v>1735</v>
      </c>
      <c r="F768" s="32">
        <v>30927018</v>
      </c>
      <c r="G768" t="s">
        <v>10</v>
      </c>
      <c r="H768" t="s">
        <v>11</v>
      </c>
      <c r="I768" t="s">
        <v>29</v>
      </c>
      <c r="J768" s="30" t="str">
        <f>IF(ISNUMBER(MATCH($D768,'Lopettaneet 2013-&gt;'!$D:$D,0)),INDEX('Lopettaneet 2013-&gt;'!$K:$K,MATCH($D768,'Lopettaneet 2013-&gt;'!$D:$D,0)),"Continues")</f>
        <v>Continues</v>
      </c>
      <c r="K768" s="30">
        <f ca="1">IF($J768="Continues",DATEDIF($B768,TODAY(),"Y"),INDEX('Lopettaneet 2013-&gt;'!$L:$L,MATCH($D768,'Lopettaneet 2013-&gt;'!$D:$D,0)))</f>
        <v>4</v>
      </c>
      <c r="L768" s="31" t="str">
        <f>IFERROR(INDEX('[1]30.06.2024'!$H:$H,MATCH($E768,'[1]30.06.2024'!$B:$B,0)),"Not found")</f>
        <v>Evli-Rahastoyhtiö Oy</v>
      </c>
      <c r="M768" s="31" t="str">
        <f>IFERROR(INDEX([2]Sheet1!$B:$B,MATCH($D768,[2]Sheet1!$A:$A,0)),"Not found")</f>
        <v>Non-Retail</v>
      </c>
      <c r="N768">
        <f t="shared" si="22"/>
        <v>0</v>
      </c>
      <c r="O768">
        <f t="shared" si="23"/>
        <v>1</v>
      </c>
    </row>
    <row r="769" spans="1:15" x14ac:dyDescent="0.25">
      <c r="A769" t="s">
        <v>7</v>
      </c>
      <c r="B769" s="1">
        <v>43800</v>
      </c>
      <c r="C769" s="1">
        <v>55153</v>
      </c>
      <c r="D769" s="4" t="s">
        <v>1736</v>
      </c>
      <c r="E769" s="32" t="s">
        <v>1737</v>
      </c>
      <c r="F769" s="32">
        <v>31007766</v>
      </c>
      <c r="G769" t="s">
        <v>10</v>
      </c>
      <c r="H769" t="s">
        <v>11</v>
      </c>
      <c r="I769" t="s">
        <v>32</v>
      </c>
      <c r="J769" s="30" t="str">
        <f>IF(ISNUMBER(MATCH($D769,'Lopettaneet 2013-&gt;'!$D:$D,0)),INDEX('Lopettaneet 2013-&gt;'!$K:$K,MATCH($D769,'Lopettaneet 2013-&gt;'!$D:$D,0)),"Continues")</f>
        <v>Continues</v>
      </c>
      <c r="K769" s="30">
        <f ca="1">IF($J769="Continues",DATEDIF($B769,TODAY(),"Y"),INDEX('Lopettaneet 2013-&gt;'!$L:$L,MATCH($D769,'Lopettaneet 2013-&gt;'!$D:$D,0)))</f>
        <v>5</v>
      </c>
      <c r="L769" s="31" t="str">
        <f>IFERROR(INDEX('[1]30.06.2024'!$H:$H,MATCH($E769,'[1]30.06.2024'!$B:$B,0)),"Not found")</f>
        <v>ICECAPITAL REAM Oy</v>
      </c>
      <c r="M769" s="31" t="str">
        <f>IFERROR(INDEX([2]Sheet1!$B:$B,MATCH($D769,[2]Sheet1!$A:$A,0)),"Not found")</f>
        <v>Non-Retail</v>
      </c>
      <c r="N769">
        <f t="shared" si="22"/>
        <v>0</v>
      </c>
      <c r="O769">
        <f t="shared" si="23"/>
        <v>1</v>
      </c>
    </row>
    <row r="770" spans="1:15" x14ac:dyDescent="0.25">
      <c r="A770" t="s">
        <v>7</v>
      </c>
      <c r="B770" s="1">
        <v>43800</v>
      </c>
      <c r="C770" s="1">
        <v>55153</v>
      </c>
      <c r="D770" s="4" t="s">
        <v>1738</v>
      </c>
      <c r="E770" s="32" t="s">
        <v>1739</v>
      </c>
      <c r="F770" s="32">
        <v>31008822</v>
      </c>
      <c r="G770" t="s">
        <v>10</v>
      </c>
      <c r="H770" t="s">
        <v>11</v>
      </c>
      <c r="I770" t="s">
        <v>32</v>
      </c>
      <c r="J770" s="30" t="str">
        <f>IF(ISNUMBER(MATCH($D770,'Lopettaneet 2013-&gt;'!$D:$D,0)),INDEX('Lopettaneet 2013-&gt;'!$K:$K,MATCH($D770,'Lopettaneet 2013-&gt;'!$D:$D,0)),"Continues")</f>
        <v>Continues</v>
      </c>
      <c r="K770" s="30">
        <f ca="1">IF($J770="Continues",DATEDIF($B770,TODAY(),"Y"),INDEX('Lopettaneet 2013-&gt;'!$L:$L,MATCH($D770,'Lopettaneet 2013-&gt;'!$D:$D,0)))</f>
        <v>5</v>
      </c>
      <c r="L770" s="31" t="str">
        <f>IFERROR(INDEX('[1]30.06.2024'!$H:$H,MATCH($E770,'[1]30.06.2024'!$B:$B,0)),"Not found")</f>
        <v>Premico Pääomarahastot Oy</v>
      </c>
      <c r="M770" s="31" t="str">
        <f>IFERROR(INDEX([2]Sheet1!$B:$B,MATCH($D770,[2]Sheet1!$A:$A,0)),"Not found")</f>
        <v>Retail</v>
      </c>
      <c r="N770">
        <f t="shared" si="22"/>
        <v>1</v>
      </c>
      <c r="O770">
        <f t="shared" si="23"/>
        <v>0</v>
      </c>
    </row>
    <row r="771" spans="1:15" x14ac:dyDescent="0.25">
      <c r="A771" t="s">
        <v>0</v>
      </c>
      <c r="B771" s="1">
        <v>44105</v>
      </c>
      <c r="C771" s="1">
        <v>55153</v>
      </c>
      <c r="D771" s="4" t="s">
        <v>1740</v>
      </c>
      <c r="E771" s="32" t="s">
        <v>1741</v>
      </c>
      <c r="F771" s="32">
        <v>31071119</v>
      </c>
      <c r="G771" t="s">
        <v>10</v>
      </c>
      <c r="H771" t="s">
        <v>11</v>
      </c>
      <c r="I771" t="s">
        <v>20</v>
      </c>
      <c r="J771" s="30" t="str">
        <f>IF(ISNUMBER(MATCH($D771,'Lopettaneet 2013-&gt;'!$D:$D,0)),INDEX('Lopettaneet 2013-&gt;'!$K:$K,MATCH($D771,'Lopettaneet 2013-&gt;'!$D:$D,0)),"Continues")</f>
        <v>Continues</v>
      </c>
      <c r="K771" s="30">
        <f ca="1">IF($J771="Continues",DATEDIF($B771,TODAY(),"Y"),INDEX('Lopettaneet 2013-&gt;'!$L:$L,MATCH($D771,'Lopettaneet 2013-&gt;'!$D:$D,0)))</f>
        <v>4</v>
      </c>
      <c r="L771" s="31" t="str">
        <f>IFERROR(INDEX('[1]30.06.2024'!$H:$H,MATCH($E771,'[1]30.06.2024'!$B:$B,0)),"Not found")</f>
        <v>eQ Rahastoyhtiö Oy</v>
      </c>
      <c r="M771" s="31" t="str">
        <f>IFERROR(INDEX([2]Sheet1!$B:$B,MATCH($D771,[2]Sheet1!$A:$A,0)),"Not found")</f>
        <v>Non-Retail</v>
      </c>
      <c r="N771">
        <f t="shared" ref="N771:N834" si="24">IF($M771="Retail",1,0)</f>
        <v>0</v>
      </c>
      <c r="O771">
        <f t="shared" ref="O771:O834" si="25">IF($M771="Non-Retail",1,0)</f>
        <v>1</v>
      </c>
    </row>
    <row r="772" spans="1:15" x14ac:dyDescent="0.25">
      <c r="A772" t="s">
        <v>0</v>
      </c>
      <c r="B772" s="1">
        <v>43983</v>
      </c>
      <c r="C772" s="1">
        <v>55153</v>
      </c>
      <c r="D772" s="4" t="s">
        <v>1742</v>
      </c>
      <c r="E772" s="32" t="s">
        <v>1743</v>
      </c>
      <c r="F772" s="32">
        <v>31071995</v>
      </c>
      <c r="G772" t="s">
        <v>10</v>
      </c>
      <c r="H772" t="s">
        <v>11</v>
      </c>
      <c r="I772" t="s">
        <v>20</v>
      </c>
      <c r="J772" s="30" t="str">
        <f>IF(ISNUMBER(MATCH($D772,'Lopettaneet 2013-&gt;'!$D:$D,0)),INDEX('Lopettaneet 2013-&gt;'!$K:$K,MATCH($D772,'Lopettaneet 2013-&gt;'!$D:$D,0)),"Continues")</f>
        <v>Continues</v>
      </c>
      <c r="K772" s="30">
        <f ca="1">IF($J772="Continues",DATEDIF($B772,TODAY(),"Y"),INDEX('Lopettaneet 2013-&gt;'!$L:$L,MATCH($D772,'Lopettaneet 2013-&gt;'!$D:$D,0)))</f>
        <v>4</v>
      </c>
      <c r="L772" s="31" t="str">
        <f>IFERROR(INDEX('[1]30.06.2024'!$H:$H,MATCH($E772,'[1]30.06.2024'!$B:$B,0)),"Not found")</f>
        <v>eQ Rahastoyhtiö Oy</v>
      </c>
      <c r="M772" s="31" t="str">
        <f>IFERROR(INDEX([2]Sheet1!$B:$B,MATCH($D772,[2]Sheet1!$A:$A,0)),"Not found")</f>
        <v>Non-Retail</v>
      </c>
      <c r="N772">
        <f t="shared" si="24"/>
        <v>0</v>
      </c>
      <c r="O772">
        <f t="shared" si="25"/>
        <v>1</v>
      </c>
    </row>
    <row r="773" spans="1:15" x14ac:dyDescent="0.25">
      <c r="A773" t="s">
        <v>0</v>
      </c>
      <c r="B773" s="1">
        <v>44166</v>
      </c>
      <c r="C773" s="1">
        <v>55153</v>
      </c>
      <c r="D773" s="4" t="s">
        <v>1744</v>
      </c>
      <c r="E773" s="32" t="s">
        <v>1745</v>
      </c>
      <c r="F773" s="32">
        <v>31071127</v>
      </c>
      <c r="G773" t="s">
        <v>10</v>
      </c>
      <c r="H773" t="s">
        <v>11</v>
      </c>
      <c r="I773" t="s">
        <v>20</v>
      </c>
      <c r="J773" s="30" t="str">
        <f>IF(ISNUMBER(MATCH($D773,'Lopettaneet 2013-&gt;'!$D:$D,0)),INDEX('Lopettaneet 2013-&gt;'!$K:$K,MATCH($D773,'Lopettaneet 2013-&gt;'!$D:$D,0)),"Continues")</f>
        <v>Continues</v>
      </c>
      <c r="K773" s="30">
        <f ca="1">IF($J773="Continues",DATEDIF($B773,TODAY(),"Y"),INDEX('Lopettaneet 2013-&gt;'!$L:$L,MATCH($D773,'Lopettaneet 2013-&gt;'!$D:$D,0)))</f>
        <v>4</v>
      </c>
      <c r="L773" s="31" t="str">
        <f>IFERROR(INDEX('[1]30.06.2024'!$H:$H,MATCH($E773,'[1]30.06.2024'!$B:$B,0)),"Not found")</f>
        <v>eQ Rahastoyhtiö Oy</v>
      </c>
      <c r="M773" s="31" t="str">
        <f>IFERROR(INDEX([2]Sheet1!$B:$B,MATCH($D773,[2]Sheet1!$A:$A,0)),"Not found")</f>
        <v>Non-Retail</v>
      </c>
      <c r="N773">
        <f t="shared" si="24"/>
        <v>0</v>
      </c>
      <c r="O773">
        <f t="shared" si="25"/>
        <v>1</v>
      </c>
    </row>
    <row r="774" spans="1:15" x14ac:dyDescent="0.25">
      <c r="A774" t="s">
        <v>7</v>
      </c>
      <c r="B774" s="1">
        <v>44166</v>
      </c>
      <c r="C774" s="1">
        <v>55153</v>
      </c>
      <c r="D774" s="4" t="s">
        <v>1746</v>
      </c>
      <c r="E774" s="32" t="s">
        <v>1747</v>
      </c>
      <c r="F774" s="32">
        <v>31074301</v>
      </c>
      <c r="G774" t="s">
        <v>10</v>
      </c>
      <c r="H774" t="s">
        <v>11</v>
      </c>
      <c r="I774" t="s">
        <v>12</v>
      </c>
      <c r="J774" s="30" t="str">
        <f>IF(ISNUMBER(MATCH($D774,'Lopettaneet 2013-&gt;'!$D:$D,0)),INDEX('Lopettaneet 2013-&gt;'!$K:$K,MATCH($D774,'Lopettaneet 2013-&gt;'!$D:$D,0)),"Continues")</f>
        <v>Continues</v>
      </c>
      <c r="K774" s="30">
        <f ca="1">IF($J774="Continues",DATEDIF($B774,TODAY(),"Y"),INDEX('Lopettaneet 2013-&gt;'!$L:$L,MATCH($D774,'Lopettaneet 2013-&gt;'!$D:$D,0)))</f>
        <v>4</v>
      </c>
      <c r="L774" s="31" t="str">
        <f>IFERROR(INDEX('[1]30.06.2024'!$H:$H,MATCH($E774,'[1]30.06.2024'!$B:$B,0)),"Not found")</f>
        <v>eQ Rahastoyhtiö Oy</v>
      </c>
      <c r="M774" s="31" t="str">
        <f>IFERROR(INDEX([2]Sheet1!$B:$B,MATCH($D774,[2]Sheet1!$A:$A,0)),"Not found")</f>
        <v>Non-Retail</v>
      </c>
      <c r="N774">
        <f t="shared" si="24"/>
        <v>0</v>
      </c>
      <c r="O774">
        <f t="shared" si="25"/>
        <v>1</v>
      </c>
    </row>
    <row r="775" spans="1:15" x14ac:dyDescent="0.25">
      <c r="A775" t="s">
        <v>0</v>
      </c>
      <c r="B775" s="1">
        <v>44105</v>
      </c>
      <c r="C775" s="1">
        <v>55153</v>
      </c>
      <c r="D775" s="4" t="s">
        <v>1748</v>
      </c>
      <c r="E775" s="32" t="s">
        <v>1749</v>
      </c>
      <c r="F775" s="32">
        <v>30957647</v>
      </c>
      <c r="G775" t="s">
        <v>10</v>
      </c>
      <c r="H775" t="s">
        <v>4</v>
      </c>
      <c r="I775" t="s">
        <v>20</v>
      </c>
      <c r="J775" s="30" t="str">
        <f>IF(ISNUMBER(MATCH($D775,'Lopettaneet 2013-&gt;'!$D:$D,0)),INDEX('Lopettaneet 2013-&gt;'!$K:$K,MATCH($D775,'Lopettaneet 2013-&gt;'!$D:$D,0)),"Continues")</f>
        <v>Continues</v>
      </c>
      <c r="K775" s="30">
        <f ca="1">IF($J775="Continues",DATEDIF($B775,TODAY(),"Y"),INDEX('Lopettaneet 2013-&gt;'!$L:$L,MATCH($D775,'Lopettaneet 2013-&gt;'!$D:$D,0)))</f>
        <v>4</v>
      </c>
      <c r="L775" s="31" t="str">
        <f>IFERROR(INDEX('[1]30.06.2024'!$H:$H,MATCH($E775,'[1]30.06.2024'!$B:$B,0)),"Not found")</f>
        <v>GRIT Rahastoyhtiö Oy</v>
      </c>
      <c r="M775" s="31" t="str">
        <f>IFERROR(INDEX([2]Sheet1!$B:$B,MATCH($D775,[2]Sheet1!$A:$A,0)),"Not found")</f>
        <v>Retail</v>
      </c>
      <c r="N775">
        <f t="shared" si="24"/>
        <v>1</v>
      </c>
      <c r="O775">
        <f t="shared" si="25"/>
        <v>0</v>
      </c>
    </row>
    <row r="776" spans="1:15" x14ac:dyDescent="0.25">
      <c r="A776" t="s">
        <v>7</v>
      </c>
      <c r="B776" s="1">
        <v>43891</v>
      </c>
      <c r="C776" s="1">
        <v>55153</v>
      </c>
      <c r="D776" s="4" t="s">
        <v>1750</v>
      </c>
      <c r="E776" s="32" t="s">
        <v>1751</v>
      </c>
      <c r="F776" s="32">
        <v>30904609</v>
      </c>
      <c r="G776" t="s">
        <v>10</v>
      </c>
      <c r="H776" t="s">
        <v>11</v>
      </c>
      <c r="I776" t="s">
        <v>29</v>
      </c>
      <c r="J776" s="30" t="str">
        <f>IF(ISNUMBER(MATCH($D776,'Lopettaneet 2013-&gt;'!$D:$D,0)),INDEX('Lopettaneet 2013-&gt;'!$K:$K,MATCH($D776,'Lopettaneet 2013-&gt;'!$D:$D,0)),"Continues")</f>
        <v>Continues</v>
      </c>
      <c r="K776" s="30">
        <f ca="1">IF($J776="Continues",DATEDIF($B776,TODAY(),"Y"),INDEX('Lopettaneet 2013-&gt;'!$L:$L,MATCH($D776,'Lopettaneet 2013-&gt;'!$D:$D,0)))</f>
        <v>5</v>
      </c>
      <c r="L776" s="31" t="str">
        <f>IFERROR(INDEX('[1]30.06.2024'!$H:$H,MATCH($E776,'[1]30.06.2024'!$B:$B,0)),"Not found")</f>
        <v>UB Rahastoyhtiö Oy</v>
      </c>
      <c r="M776" s="31" t="str">
        <f>IFERROR(INDEX([2]Sheet1!$B:$B,MATCH($D776,[2]Sheet1!$A:$A,0)),"Not found")</f>
        <v>Non-Retail</v>
      </c>
      <c r="N776">
        <f t="shared" si="24"/>
        <v>0</v>
      </c>
      <c r="O776">
        <f t="shared" si="25"/>
        <v>1</v>
      </c>
    </row>
    <row r="777" spans="1:15" x14ac:dyDescent="0.25">
      <c r="A777" t="s">
        <v>7</v>
      </c>
      <c r="B777" s="1">
        <v>43891</v>
      </c>
      <c r="C777" s="1">
        <v>55153</v>
      </c>
      <c r="D777" s="4" t="s">
        <v>1752</v>
      </c>
      <c r="E777" s="32" t="s">
        <v>1753</v>
      </c>
      <c r="F777" s="32">
        <v>31145632</v>
      </c>
      <c r="G777" t="s">
        <v>10</v>
      </c>
      <c r="H777" t="s">
        <v>11</v>
      </c>
      <c r="I777" t="s">
        <v>80</v>
      </c>
      <c r="J777" s="30" t="str">
        <f>IF(ISNUMBER(MATCH($D777,'Lopettaneet 2013-&gt;'!$D:$D,0)),INDEX('Lopettaneet 2013-&gt;'!$K:$K,MATCH($D777,'Lopettaneet 2013-&gt;'!$D:$D,0)),"Continues")</f>
        <v>Continues</v>
      </c>
      <c r="K777" s="30">
        <f ca="1">IF($J777="Continues",DATEDIF($B777,TODAY(),"Y"),INDEX('Lopettaneet 2013-&gt;'!$L:$L,MATCH($D777,'Lopettaneet 2013-&gt;'!$D:$D,0)))</f>
        <v>5</v>
      </c>
      <c r="L777" s="31" t="str">
        <f>IFERROR(INDEX('[1]30.06.2024'!$H:$H,MATCH($E777,'[1]30.06.2024'!$B:$B,0)),"Not found")</f>
        <v>Tesi Fund Management Oy</v>
      </c>
      <c r="M777" s="31" t="str">
        <f>IFERROR(INDEX([2]Sheet1!$B:$B,MATCH($D777,[2]Sheet1!$A:$A,0)),"Not found")</f>
        <v>Non-Retail</v>
      </c>
      <c r="N777">
        <f t="shared" si="24"/>
        <v>0</v>
      </c>
      <c r="O777">
        <f t="shared" si="25"/>
        <v>1</v>
      </c>
    </row>
    <row r="778" spans="1:15" x14ac:dyDescent="0.25">
      <c r="A778" t="s">
        <v>7</v>
      </c>
      <c r="B778" s="1">
        <v>43891</v>
      </c>
      <c r="C778" s="1">
        <v>55153</v>
      </c>
      <c r="D778" s="4" t="s">
        <v>1754</v>
      </c>
      <c r="E778" s="32" t="s">
        <v>1755</v>
      </c>
      <c r="F778" s="32">
        <v>31021891</v>
      </c>
      <c r="G778" t="s">
        <v>10</v>
      </c>
      <c r="H778" t="s">
        <v>11</v>
      </c>
      <c r="I778" t="s">
        <v>32</v>
      </c>
      <c r="J778" s="30" t="str">
        <f>IF(ISNUMBER(MATCH($D778,'Lopettaneet 2013-&gt;'!$D:$D,0)),INDEX('Lopettaneet 2013-&gt;'!$K:$K,MATCH($D778,'Lopettaneet 2013-&gt;'!$D:$D,0)),"Continues")</f>
        <v>Continues</v>
      </c>
      <c r="K778" s="30">
        <f ca="1">IF($J778="Continues",DATEDIF($B778,TODAY(),"Y"),INDEX('Lopettaneet 2013-&gt;'!$L:$L,MATCH($D778,'Lopettaneet 2013-&gt;'!$D:$D,0)))</f>
        <v>5</v>
      </c>
      <c r="L778" s="31" t="str">
        <f>IFERROR(INDEX('[1]30.06.2024'!$H:$H,MATCH($E778,'[1]30.06.2024'!$B:$B,0)),"Not found")</f>
        <v>LähiTapiola Vaihtoehtorahastot Oy</v>
      </c>
      <c r="M778" s="31" t="str">
        <f>IFERROR(INDEX([2]Sheet1!$B:$B,MATCH($D778,[2]Sheet1!$A:$A,0)),"Not found")</f>
        <v>Non-Retail</v>
      </c>
      <c r="N778">
        <f t="shared" si="24"/>
        <v>0</v>
      </c>
      <c r="O778">
        <f t="shared" si="25"/>
        <v>1</v>
      </c>
    </row>
    <row r="779" spans="1:15" x14ac:dyDescent="0.25">
      <c r="A779" t="s">
        <v>7</v>
      </c>
      <c r="B779" s="1">
        <v>43983</v>
      </c>
      <c r="C779" s="1">
        <v>55153</v>
      </c>
      <c r="D779" s="4" t="s">
        <v>1756</v>
      </c>
      <c r="E779" s="32" t="s">
        <v>1757</v>
      </c>
      <c r="F779" s="32">
        <v>31021955</v>
      </c>
      <c r="G779" t="s">
        <v>10</v>
      </c>
      <c r="H779" t="s">
        <v>11</v>
      </c>
      <c r="I779" t="s">
        <v>29</v>
      </c>
      <c r="J779" s="30" t="str">
        <f>IF(ISNUMBER(MATCH($D779,'Lopettaneet 2013-&gt;'!$D:$D,0)),INDEX('Lopettaneet 2013-&gt;'!$K:$K,MATCH($D779,'Lopettaneet 2013-&gt;'!$D:$D,0)),"Continues")</f>
        <v>Continues</v>
      </c>
      <c r="K779" s="30">
        <f ca="1">IF($J779="Continues",DATEDIF($B779,TODAY(),"Y"),INDEX('Lopettaneet 2013-&gt;'!$L:$L,MATCH($D779,'Lopettaneet 2013-&gt;'!$D:$D,0)))</f>
        <v>4</v>
      </c>
      <c r="L779" s="31" t="str">
        <f>IFERROR(INDEX('[1]30.06.2024'!$H:$H,MATCH($E779,'[1]30.06.2024'!$B:$B,0)),"Not found")</f>
        <v>LähiTapiola Vaihtoehtorahastot Oy</v>
      </c>
      <c r="M779" s="31" t="str">
        <f>IFERROR(INDEX([2]Sheet1!$B:$B,MATCH($D779,[2]Sheet1!$A:$A,0)),"Not found")</f>
        <v>Retail</v>
      </c>
      <c r="N779">
        <f t="shared" si="24"/>
        <v>1</v>
      </c>
      <c r="O779">
        <f t="shared" si="25"/>
        <v>0</v>
      </c>
    </row>
    <row r="780" spans="1:15" x14ac:dyDescent="0.25">
      <c r="A780" t="s">
        <v>7</v>
      </c>
      <c r="B780" s="1">
        <v>43891</v>
      </c>
      <c r="C780" s="1">
        <v>55153</v>
      </c>
      <c r="D780" s="4" t="s">
        <v>1758</v>
      </c>
      <c r="E780" s="32" t="s">
        <v>1759</v>
      </c>
      <c r="F780" s="32">
        <v>29555392</v>
      </c>
      <c r="G780" t="s">
        <v>10</v>
      </c>
      <c r="H780" t="s">
        <v>11</v>
      </c>
      <c r="I780" t="s">
        <v>12</v>
      </c>
      <c r="J780" s="30" t="str">
        <f>IF(ISNUMBER(MATCH($D780,'Lopettaneet 2013-&gt;'!$D:$D,0)),INDEX('Lopettaneet 2013-&gt;'!$K:$K,MATCH($D780,'Lopettaneet 2013-&gt;'!$D:$D,0)),"Continues")</f>
        <v>Continues</v>
      </c>
      <c r="K780" s="30">
        <f ca="1">IF($J780="Continues",DATEDIF($B780,TODAY(),"Y"),INDEX('Lopettaneet 2013-&gt;'!$L:$L,MATCH($D780,'Lopettaneet 2013-&gt;'!$D:$D,0)))</f>
        <v>5</v>
      </c>
      <c r="L780" s="31" t="str">
        <f>IFERROR(INDEX('[1]30.06.2024'!$H:$H,MATCH($E780,'[1]30.06.2024'!$B:$B,0)),"Not found")</f>
        <v>LähiTapiola Vaihtoehtorahastot Oy</v>
      </c>
      <c r="M780" s="31" t="str">
        <f>IFERROR(INDEX([2]Sheet1!$B:$B,MATCH($D780,[2]Sheet1!$A:$A,0)),"Not found")</f>
        <v>Non-Retail</v>
      </c>
      <c r="N780">
        <f t="shared" si="24"/>
        <v>0</v>
      </c>
      <c r="O780">
        <f t="shared" si="25"/>
        <v>1</v>
      </c>
    </row>
    <row r="781" spans="1:15" x14ac:dyDescent="0.25">
      <c r="A781" t="s">
        <v>7</v>
      </c>
      <c r="B781" s="1">
        <v>43983</v>
      </c>
      <c r="C781" s="1">
        <v>55153</v>
      </c>
      <c r="D781" s="4" t="s">
        <v>1760</v>
      </c>
      <c r="E781" s="32" t="s">
        <v>1761</v>
      </c>
      <c r="F781" s="32">
        <v>31208402</v>
      </c>
      <c r="G781" t="s">
        <v>10</v>
      </c>
      <c r="H781" t="s">
        <v>11</v>
      </c>
      <c r="I781" t="s">
        <v>29</v>
      </c>
      <c r="J781" s="30" t="str">
        <f>IF(ISNUMBER(MATCH($D781,'Lopettaneet 2013-&gt;'!$D:$D,0)),INDEX('Lopettaneet 2013-&gt;'!$K:$K,MATCH($D781,'Lopettaneet 2013-&gt;'!$D:$D,0)),"Continues")</f>
        <v>Continues</v>
      </c>
      <c r="K781" s="30">
        <f ca="1">IF($J781="Continues",DATEDIF($B781,TODAY(),"Y"),INDEX('Lopettaneet 2013-&gt;'!$L:$L,MATCH($D781,'Lopettaneet 2013-&gt;'!$D:$D,0)))</f>
        <v>4</v>
      </c>
      <c r="L781" s="31" t="str">
        <f>IFERROR(INDEX('[1]30.06.2024'!$H:$H,MATCH($E781,'[1]30.06.2024'!$B:$B,0)),"Not found")</f>
        <v>LähiTapiola Vaihtoehtorahastot Oy</v>
      </c>
      <c r="M781" s="31" t="str">
        <f>IFERROR(INDEX([2]Sheet1!$B:$B,MATCH($D781,[2]Sheet1!$A:$A,0)),"Not found")</f>
        <v>Retail</v>
      </c>
      <c r="N781">
        <f t="shared" si="24"/>
        <v>1</v>
      </c>
      <c r="O781">
        <f t="shared" si="25"/>
        <v>0</v>
      </c>
    </row>
    <row r="782" spans="1:15" x14ac:dyDescent="0.25">
      <c r="A782" t="s">
        <v>7</v>
      </c>
      <c r="B782" s="1">
        <v>43983</v>
      </c>
      <c r="C782" s="1">
        <v>55153</v>
      </c>
      <c r="D782" s="4" t="s">
        <v>1762</v>
      </c>
      <c r="E782" s="32" t="s">
        <v>1763</v>
      </c>
      <c r="F782" s="32">
        <v>31171873</v>
      </c>
      <c r="G782" t="s">
        <v>10</v>
      </c>
      <c r="H782" t="s">
        <v>11</v>
      </c>
      <c r="I782" t="s">
        <v>12</v>
      </c>
      <c r="J782" s="30" t="str">
        <f>IF(ISNUMBER(MATCH($D782,'Lopettaneet 2013-&gt;'!$D:$D,0)),INDEX('Lopettaneet 2013-&gt;'!$K:$K,MATCH($D782,'Lopettaneet 2013-&gt;'!$D:$D,0)),"Continues")</f>
        <v>Continues</v>
      </c>
      <c r="K782" s="30">
        <f ca="1">IF($J782="Continues",DATEDIF($B782,TODAY(),"Y"),INDEX('Lopettaneet 2013-&gt;'!$L:$L,MATCH($D782,'Lopettaneet 2013-&gt;'!$D:$D,0)))</f>
        <v>4</v>
      </c>
      <c r="L782" s="31" t="str">
        <f>IFERROR(INDEX('[1]30.06.2024'!$H:$H,MATCH($E782,'[1]30.06.2024'!$B:$B,0)),"Not found")</f>
        <v>LähiTapiola Vaihtoehtorahastot Oy</v>
      </c>
      <c r="M782" s="31" t="str">
        <f>IFERROR(INDEX([2]Sheet1!$B:$B,MATCH($D782,[2]Sheet1!$A:$A,0)),"Not found")</f>
        <v>Retail</v>
      </c>
      <c r="N782">
        <f t="shared" si="24"/>
        <v>1</v>
      </c>
      <c r="O782">
        <f t="shared" si="25"/>
        <v>0</v>
      </c>
    </row>
    <row r="783" spans="1:15" x14ac:dyDescent="0.25">
      <c r="A783" t="s">
        <v>7</v>
      </c>
      <c r="B783" s="1">
        <v>43891</v>
      </c>
      <c r="C783" s="1">
        <v>55153</v>
      </c>
      <c r="D783" s="4" t="s">
        <v>1764</v>
      </c>
      <c r="E783" s="32" t="s">
        <v>1765</v>
      </c>
      <c r="F783" s="32">
        <v>31119207</v>
      </c>
      <c r="G783" t="s">
        <v>10</v>
      </c>
      <c r="H783" t="s">
        <v>11</v>
      </c>
      <c r="I783" t="s">
        <v>80</v>
      </c>
      <c r="J783" s="30" t="str">
        <f>IF(ISNUMBER(MATCH($D783,'Lopettaneet 2013-&gt;'!$D:$D,0)),INDEX('Lopettaneet 2013-&gt;'!$K:$K,MATCH($D783,'Lopettaneet 2013-&gt;'!$D:$D,0)),"Continues")</f>
        <v>Continues</v>
      </c>
      <c r="K783" s="30">
        <f ca="1">IF($J783="Continues",DATEDIF($B783,TODAY(),"Y"),INDEX('Lopettaneet 2013-&gt;'!$L:$L,MATCH($D783,'Lopettaneet 2013-&gt;'!$D:$D,0)))</f>
        <v>5</v>
      </c>
      <c r="L783" s="31" t="str">
        <f>IFERROR(INDEX('[1]30.06.2024'!$H:$H,MATCH($E783,'[1]30.06.2024'!$B:$B,0)),"Not found")</f>
        <v>Superhero Capital Oy</v>
      </c>
      <c r="M783" s="31" t="str">
        <f>IFERROR(INDEX([2]Sheet1!$B:$B,MATCH($D783,[2]Sheet1!$A:$A,0)),"Not found")</f>
        <v>Retail</v>
      </c>
      <c r="N783">
        <f t="shared" si="24"/>
        <v>1</v>
      </c>
      <c r="O783">
        <f t="shared" si="25"/>
        <v>0</v>
      </c>
    </row>
    <row r="784" spans="1:15" x14ac:dyDescent="0.25">
      <c r="A784" t="s">
        <v>7</v>
      </c>
      <c r="B784" s="1">
        <v>43800</v>
      </c>
      <c r="C784" s="1">
        <v>55153</v>
      </c>
      <c r="D784" s="4" t="s">
        <v>1766</v>
      </c>
      <c r="E784" s="32" t="s">
        <v>1767</v>
      </c>
      <c r="F784" s="32">
        <v>31008793</v>
      </c>
      <c r="G784" t="s">
        <v>10</v>
      </c>
      <c r="H784" t="s">
        <v>11</v>
      </c>
      <c r="I784" t="s">
        <v>32</v>
      </c>
      <c r="J784" s="30" t="str">
        <f>IF(ISNUMBER(MATCH($D784,'Lopettaneet 2013-&gt;'!$D:$D,0)),INDEX('Lopettaneet 2013-&gt;'!$K:$K,MATCH($D784,'Lopettaneet 2013-&gt;'!$D:$D,0)),"Continues")</f>
        <v>Continues</v>
      </c>
      <c r="K784" s="30">
        <f ca="1">IF($J784="Continues",DATEDIF($B784,TODAY(),"Y"),INDEX('Lopettaneet 2013-&gt;'!$L:$L,MATCH($D784,'Lopettaneet 2013-&gt;'!$D:$D,0)))</f>
        <v>5</v>
      </c>
      <c r="L784" s="31" t="str">
        <f>IFERROR(INDEX('[1]30.06.2024'!$H:$H,MATCH($E784,'[1]30.06.2024'!$B:$B,0)),"Not found")</f>
        <v>Premico Pääomarahastot Oy</v>
      </c>
      <c r="M784" s="31" t="str">
        <f>IFERROR(INDEX([2]Sheet1!$B:$B,MATCH($D784,[2]Sheet1!$A:$A,0)),"Not found")</f>
        <v>Retail</v>
      </c>
      <c r="N784">
        <f t="shared" si="24"/>
        <v>1</v>
      </c>
      <c r="O784">
        <f t="shared" si="25"/>
        <v>0</v>
      </c>
    </row>
    <row r="785" spans="1:15" x14ac:dyDescent="0.25">
      <c r="A785" t="s">
        <v>0</v>
      </c>
      <c r="B785" s="1">
        <v>43922</v>
      </c>
      <c r="C785" s="1">
        <v>55153</v>
      </c>
      <c r="D785" s="4" t="s">
        <v>1768</v>
      </c>
      <c r="E785" s="32" t="s">
        <v>1769</v>
      </c>
      <c r="F785" s="32">
        <v>31071098</v>
      </c>
      <c r="G785" t="s">
        <v>10</v>
      </c>
      <c r="H785" t="s">
        <v>4</v>
      </c>
      <c r="I785" t="s">
        <v>32</v>
      </c>
      <c r="J785" s="30" t="str">
        <f>IF(ISNUMBER(MATCH($D785,'Lopettaneet 2013-&gt;'!$D:$D,0)),INDEX('Lopettaneet 2013-&gt;'!$K:$K,MATCH($D785,'Lopettaneet 2013-&gt;'!$D:$D,0)),"Continues")</f>
        <v>Continues</v>
      </c>
      <c r="K785" s="30">
        <f ca="1">IF($J785="Continues",DATEDIF($B785,TODAY(),"Y"),INDEX('Lopettaneet 2013-&gt;'!$L:$L,MATCH($D785,'Lopettaneet 2013-&gt;'!$D:$D,0)))</f>
        <v>5</v>
      </c>
      <c r="L785" s="31" t="str">
        <f>IFERROR(INDEX('[1]30.06.2024'!$H:$H,MATCH($E785,'[1]30.06.2024'!$B:$B,0)),"Not found")</f>
        <v>Aktia Rahastoyhtiö Oy</v>
      </c>
      <c r="M785" s="31" t="str">
        <f>IFERROR(INDEX([2]Sheet1!$B:$B,MATCH($D785,[2]Sheet1!$A:$A,0)),"Not found")</f>
        <v>Retail</v>
      </c>
      <c r="N785">
        <f t="shared" si="24"/>
        <v>1</v>
      </c>
      <c r="O785">
        <f t="shared" si="25"/>
        <v>0</v>
      </c>
    </row>
    <row r="786" spans="1:15" x14ac:dyDescent="0.25">
      <c r="A786" t="s">
        <v>0</v>
      </c>
      <c r="B786" s="1">
        <v>43983</v>
      </c>
      <c r="C786" s="1">
        <v>55153</v>
      </c>
      <c r="D786" s="4" t="s">
        <v>1770</v>
      </c>
      <c r="E786" s="32" t="s">
        <v>1771</v>
      </c>
      <c r="F786" s="32">
        <v>31092489</v>
      </c>
      <c r="G786" t="s">
        <v>10</v>
      </c>
      <c r="H786" t="s">
        <v>11</v>
      </c>
      <c r="I786" t="s">
        <v>20</v>
      </c>
      <c r="J786" s="30" t="str">
        <f>IF(ISNUMBER(MATCH($D786,'Lopettaneet 2013-&gt;'!$D:$D,0)),INDEX('Lopettaneet 2013-&gt;'!$K:$K,MATCH($D786,'Lopettaneet 2013-&gt;'!$D:$D,0)),"Continues")</f>
        <v>Continues</v>
      </c>
      <c r="K786" s="30">
        <f ca="1">IF($J786="Continues",DATEDIF($B786,TODAY(),"Y"),INDEX('Lopettaneet 2013-&gt;'!$L:$L,MATCH($D786,'Lopettaneet 2013-&gt;'!$D:$D,0)))</f>
        <v>4</v>
      </c>
      <c r="L786" s="31" t="str">
        <f>IFERROR(INDEX('[1]30.06.2024'!$H:$H,MATCH($E786,'[1]30.06.2024'!$B:$B,0)),"Not found")</f>
        <v>eQ Rahastoyhtiö Oy</v>
      </c>
      <c r="M786" s="31" t="str">
        <f>IFERROR(INDEX([2]Sheet1!$B:$B,MATCH($D786,[2]Sheet1!$A:$A,0)),"Not found")</f>
        <v>Non-Retail</v>
      </c>
      <c r="N786">
        <f t="shared" si="24"/>
        <v>0</v>
      </c>
      <c r="O786">
        <f t="shared" si="25"/>
        <v>1</v>
      </c>
    </row>
    <row r="787" spans="1:15" x14ac:dyDescent="0.25">
      <c r="A787" t="s">
        <v>0</v>
      </c>
      <c r="B787" s="1">
        <v>43800</v>
      </c>
      <c r="C787" s="1">
        <v>55153</v>
      </c>
      <c r="D787" s="4" t="s">
        <v>1772</v>
      </c>
      <c r="E787" s="32" t="s">
        <v>1773</v>
      </c>
      <c r="F787" s="32">
        <v>31057739</v>
      </c>
      <c r="G787" t="s">
        <v>3</v>
      </c>
      <c r="H787" t="s">
        <v>4</v>
      </c>
      <c r="I787" t="s">
        <v>20</v>
      </c>
      <c r="J787" s="30" t="str">
        <f>IF(ISNUMBER(MATCH($D787,'Lopettaneet 2013-&gt;'!$D:$D,0)),INDEX('Lopettaneet 2013-&gt;'!$K:$K,MATCH($D787,'Lopettaneet 2013-&gt;'!$D:$D,0)),"Continues")</f>
        <v>Continues</v>
      </c>
      <c r="K787" s="30">
        <f ca="1">IF($J787="Continues",DATEDIF($B787,TODAY(),"Y"),INDEX('Lopettaneet 2013-&gt;'!$L:$L,MATCH($D787,'Lopettaneet 2013-&gt;'!$D:$D,0)))</f>
        <v>5</v>
      </c>
      <c r="L787" s="31" t="str">
        <f>IFERROR(INDEX('[1]30.06.2024'!$H:$H,MATCH($E787,'[1]30.06.2024'!$B:$B,0)),"Not found")</f>
        <v>GRIT Rahastoyhtiö Oy</v>
      </c>
      <c r="M787" s="31" t="str">
        <f>IFERROR(INDEX([2]Sheet1!$B:$B,MATCH($D787,[2]Sheet1!$A:$A,0)),"Not found")</f>
        <v>Retail</v>
      </c>
      <c r="N787">
        <f t="shared" si="24"/>
        <v>1</v>
      </c>
      <c r="O787">
        <f t="shared" si="25"/>
        <v>0</v>
      </c>
    </row>
    <row r="788" spans="1:15" x14ac:dyDescent="0.25">
      <c r="A788" t="s">
        <v>7</v>
      </c>
      <c r="B788" s="1">
        <v>43983</v>
      </c>
      <c r="C788" s="1">
        <v>55153</v>
      </c>
      <c r="D788" s="4" t="s">
        <v>1774</v>
      </c>
      <c r="E788" s="32" t="s">
        <v>1775</v>
      </c>
      <c r="F788" s="32">
        <v>30868468</v>
      </c>
      <c r="G788" t="s">
        <v>10</v>
      </c>
      <c r="H788" t="s">
        <v>11</v>
      </c>
      <c r="I788" t="s">
        <v>32</v>
      </c>
      <c r="J788" s="30" t="str">
        <f>IF(ISNUMBER(MATCH($D788,'Lopettaneet 2013-&gt;'!$D:$D,0)),INDEX('Lopettaneet 2013-&gt;'!$K:$K,MATCH($D788,'Lopettaneet 2013-&gt;'!$D:$D,0)),"Continues")</f>
        <v>Continues</v>
      </c>
      <c r="K788" s="30">
        <f ca="1">IF($J788="Continues",DATEDIF($B788,TODAY(),"Y"),INDEX('Lopettaneet 2013-&gt;'!$L:$L,MATCH($D788,'Lopettaneet 2013-&gt;'!$D:$D,0)))</f>
        <v>4</v>
      </c>
      <c r="L788" s="31" t="str">
        <f>IFERROR(INDEX('[1]30.06.2024'!$H:$H,MATCH($E788,'[1]30.06.2024'!$B:$B,0)),"Not found")</f>
        <v>LähiTapiola Vaihtoehtorahastot Oy</v>
      </c>
      <c r="M788" s="31" t="str">
        <f>IFERROR(INDEX([2]Sheet1!$B:$B,MATCH($D788,[2]Sheet1!$A:$A,0)),"Not found")</f>
        <v>Non-Retail</v>
      </c>
      <c r="N788">
        <f t="shared" si="24"/>
        <v>0</v>
      </c>
      <c r="O788">
        <f t="shared" si="25"/>
        <v>1</v>
      </c>
    </row>
    <row r="789" spans="1:15" x14ac:dyDescent="0.25">
      <c r="A789" t="s">
        <v>7</v>
      </c>
      <c r="B789" s="1">
        <v>43800</v>
      </c>
      <c r="C789" s="1">
        <v>55153</v>
      </c>
      <c r="D789" s="4" t="s">
        <v>1776</v>
      </c>
      <c r="E789" s="32" t="s">
        <v>1777</v>
      </c>
      <c r="F789" s="32">
        <v>28760634</v>
      </c>
      <c r="G789" t="s">
        <v>10</v>
      </c>
      <c r="H789" t="s">
        <v>11</v>
      </c>
      <c r="I789" t="s">
        <v>29</v>
      </c>
      <c r="J789" s="30" t="str">
        <f>IF(ISNUMBER(MATCH($D789,'Lopettaneet 2013-&gt;'!$D:$D,0)),INDEX('Lopettaneet 2013-&gt;'!$K:$K,MATCH($D789,'Lopettaneet 2013-&gt;'!$D:$D,0)),"Continues")</f>
        <v>Closed</v>
      </c>
      <c r="K789" s="30">
        <f ca="1">IF($J789="Continues",DATEDIF($B789,TODAY(),"Y"),INDEX('Lopettaneet 2013-&gt;'!$L:$L,MATCH($D789,'Lopettaneet 2013-&gt;'!$D:$D,0)))</f>
        <v>4</v>
      </c>
      <c r="L789" s="31" t="str">
        <f>IFERROR(INDEX('[1]30.06.2024'!$H:$H,MATCH($E789,'[1]30.06.2024'!$B:$B,0)),"Not found")</f>
        <v>S-Pankki Vaikuttavuussijoitukset Oy</v>
      </c>
      <c r="M789" s="31" t="str">
        <f>IFERROR(INDEX([2]Sheet1!$B:$B,MATCH($D789,[2]Sheet1!$A:$A,0)),"Not found")</f>
        <v>Non-Retail</v>
      </c>
      <c r="N789">
        <f t="shared" si="24"/>
        <v>0</v>
      </c>
      <c r="O789">
        <f t="shared" si="25"/>
        <v>1</v>
      </c>
    </row>
    <row r="790" spans="1:15" x14ac:dyDescent="0.25">
      <c r="A790" t="s">
        <v>7</v>
      </c>
      <c r="B790" s="1">
        <v>43983</v>
      </c>
      <c r="C790" s="1">
        <v>55153</v>
      </c>
      <c r="D790" s="4" t="s">
        <v>1778</v>
      </c>
      <c r="E790" s="32" t="s">
        <v>1779</v>
      </c>
      <c r="F790" s="32">
        <v>31191583</v>
      </c>
      <c r="G790" t="s">
        <v>10</v>
      </c>
      <c r="H790" t="s">
        <v>11</v>
      </c>
      <c r="I790" t="s">
        <v>29</v>
      </c>
      <c r="J790" s="30" t="str">
        <f>IF(ISNUMBER(MATCH($D790,'Lopettaneet 2013-&gt;'!$D:$D,0)),INDEX('Lopettaneet 2013-&gt;'!$K:$K,MATCH($D790,'Lopettaneet 2013-&gt;'!$D:$D,0)),"Continues")</f>
        <v>Continues</v>
      </c>
      <c r="K790" s="30">
        <f ca="1">IF($J790="Continues",DATEDIF($B790,TODAY(),"Y"),INDEX('Lopettaneet 2013-&gt;'!$L:$L,MATCH($D790,'Lopettaneet 2013-&gt;'!$D:$D,0)))</f>
        <v>4</v>
      </c>
      <c r="L790" s="31" t="str">
        <f>IFERROR(INDEX('[1]30.06.2024'!$H:$H,MATCH($E790,'[1]30.06.2024'!$B:$B,0)),"Not found")</f>
        <v>Evli-Rahastoyhtiö Oy</v>
      </c>
      <c r="M790" s="31" t="str">
        <f>IFERROR(INDEX([2]Sheet1!$B:$B,MATCH($D790,[2]Sheet1!$A:$A,0)),"Not found")</f>
        <v>Retail</v>
      </c>
      <c r="N790">
        <f t="shared" si="24"/>
        <v>1</v>
      </c>
      <c r="O790">
        <f t="shared" si="25"/>
        <v>0</v>
      </c>
    </row>
    <row r="791" spans="1:15" x14ac:dyDescent="0.25">
      <c r="A791" t="s">
        <v>7</v>
      </c>
      <c r="B791" s="1">
        <v>43983</v>
      </c>
      <c r="C791" s="1">
        <v>55153</v>
      </c>
      <c r="D791" s="4" t="s">
        <v>1780</v>
      </c>
      <c r="E791" s="32" t="s">
        <v>1781</v>
      </c>
      <c r="F791" s="32">
        <v>31191591</v>
      </c>
      <c r="G791" t="s">
        <v>10</v>
      </c>
      <c r="H791" t="s">
        <v>11</v>
      </c>
      <c r="I791" t="s">
        <v>29</v>
      </c>
      <c r="J791" s="30" t="str">
        <f>IF(ISNUMBER(MATCH($D791,'Lopettaneet 2013-&gt;'!$D:$D,0)),INDEX('Lopettaneet 2013-&gt;'!$K:$K,MATCH($D791,'Lopettaneet 2013-&gt;'!$D:$D,0)),"Continues")</f>
        <v>Continues</v>
      </c>
      <c r="K791" s="30">
        <f ca="1">IF($J791="Continues",DATEDIF($B791,TODAY(),"Y"),INDEX('Lopettaneet 2013-&gt;'!$L:$L,MATCH($D791,'Lopettaneet 2013-&gt;'!$D:$D,0)))</f>
        <v>4</v>
      </c>
      <c r="L791" s="31" t="str">
        <f>IFERROR(INDEX('[1]30.06.2024'!$H:$H,MATCH($E791,'[1]30.06.2024'!$B:$B,0)),"Not found")</f>
        <v>Evli-Rahastoyhtiö Oy</v>
      </c>
      <c r="M791" s="31" t="str">
        <f>IFERROR(INDEX([2]Sheet1!$B:$B,MATCH($D791,[2]Sheet1!$A:$A,0)),"Not found")</f>
        <v>Retail</v>
      </c>
      <c r="N791">
        <f t="shared" si="24"/>
        <v>1</v>
      </c>
      <c r="O791">
        <f t="shared" si="25"/>
        <v>0</v>
      </c>
    </row>
    <row r="792" spans="1:15" x14ac:dyDescent="0.25">
      <c r="A792" t="s">
        <v>0</v>
      </c>
      <c r="B792" s="1">
        <v>43952</v>
      </c>
      <c r="C792" s="1">
        <v>55153</v>
      </c>
      <c r="D792" s="4" t="s">
        <v>1782</v>
      </c>
      <c r="E792" s="32" t="s">
        <v>1783</v>
      </c>
      <c r="F792" s="32">
        <v>30927384</v>
      </c>
      <c r="G792" t="s">
        <v>3</v>
      </c>
      <c r="H792" t="s">
        <v>4</v>
      </c>
      <c r="I792" t="s">
        <v>50</v>
      </c>
      <c r="J792" s="30" t="str">
        <f>IF(ISNUMBER(MATCH($D792,'Lopettaneet 2013-&gt;'!$D:$D,0)),INDEX('Lopettaneet 2013-&gt;'!$K:$K,MATCH($D792,'Lopettaneet 2013-&gt;'!$D:$D,0)),"Continues")</f>
        <v>Continues</v>
      </c>
      <c r="K792" s="30">
        <f ca="1">IF($J792="Continues",DATEDIF($B792,TODAY(),"Y"),INDEX('Lopettaneet 2013-&gt;'!$L:$L,MATCH($D792,'Lopettaneet 2013-&gt;'!$D:$D,0)))</f>
        <v>5</v>
      </c>
      <c r="L792" s="31" t="str">
        <f>IFERROR(INDEX('[1]30.06.2024'!$H:$H,MATCH($E792,'[1]30.06.2024'!$B:$B,0)),"Not found")</f>
        <v>OP-Rahastoyhtiö Oy</v>
      </c>
      <c r="M792" s="31" t="str">
        <f>IFERROR(INDEX([2]Sheet1!$B:$B,MATCH($D792,[2]Sheet1!$A:$A,0)),"Not found")</f>
        <v>Retail</v>
      </c>
      <c r="N792">
        <f t="shared" si="24"/>
        <v>1</v>
      </c>
      <c r="O792">
        <f t="shared" si="25"/>
        <v>0</v>
      </c>
    </row>
    <row r="793" spans="1:15" x14ac:dyDescent="0.25">
      <c r="A793" t="s">
        <v>0</v>
      </c>
      <c r="B793" s="1">
        <v>43952</v>
      </c>
      <c r="C793" s="1">
        <v>55153</v>
      </c>
      <c r="D793" s="4" t="s">
        <v>1784</v>
      </c>
      <c r="E793" s="32" t="s">
        <v>1785</v>
      </c>
      <c r="F793" s="32">
        <v>30927333</v>
      </c>
      <c r="G793" t="s">
        <v>3</v>
      </c>
      <c r="H793" t="s">
        <v>4</v>
      </c>
      <c r="I793" t="s">
        <v>5</v>
      </c>
      <c r="J793" s="30" t="str">
        <f>IF(ISNUMBER(MATCH($D793,'Lopettaneet 2013-&gt;'!$D:$D,0)),INDEX('Lopettaneet 2013-&gt;'!$K:$K,MATCH($D793,'Lopettaneet 2013-&gt;'!$D:$D,0)),"Continues")</f>
        <v>Continues</v>
      </c>
      <c r="K793" s="30">
        <f ca="1">IF($J793="Continues",DATEDIF($B793,TODAY(),"Y"),INDEX('Lopettaneet 2013-&gt;'!$L:$L,MATCH($D793,'Lopettaneet 2013-&gt;'!$D:$D,0)))</f>
        <v>5</v>
      </c>
      <c r="L793" s="31" t="str">
        <f>IFERROR(INDEX('[1]30.06.2024'!$H:$H,MATCH($E793,'[1]30.06.2024'!$B:$B,0)),"Not found")</f>
        <v>OP-Rahastoyhtiö Oy</v>
      </c>
      <c r="M793" s="31" t="str">
        <f>IFERROR(INDEX([2]Sheet1!$B:$B,MATCH($D793,[2]Sheet1!$A:$A,0)),"Not found")</f>
        <v>Retail</v>
      </c>
      <c r="N793">
        <f t="shared" si="24"/>
        <v>1</v>
      </c>
      <c r="O793">
        <f t="shared" si="25"/>
        <v>0</v>
      </c>
    </row>
    <row r="794" spans="1:15" x14ac:dyDescent="0.25">
      <c r="A794" t="s">
        <v>0</v>
      </c>
      <c r="B794" s="1">
        <v>43952</v>
      </c>
      <c r="C794" s="1">
        <v>55153</v>
      </c>
      <c r="D794" s="4" t="s">
        <v>1786</v>
      </c>
      <c r="E794" s="32" t="s">
        <v>1787</v>
      </c>
      <c r="F794" s="32">
        <v>30927368</v>
      </c>
      <c r="G794" t="s">
        <v>3</v>
      </c>
      <c r="H794" t="s">
        <v>4</v>
      </c>
      <c r="I794" t="s">
        <v>20</v>
      </c>
      <c r="J794" s="30" t="str">
        <f>IF(ISNUMBER(MATCH($D794,'Lopettaneet 2013-&gt;'!$D:$D,0)),INDEX('Lopettaneet 2013-&gt;'!$K:$K,MATCH($D794,'Lopettaneet 2013-&gt;'!$D:$D,0)),"Continues")</f>
        <v>Continues</v>
      </c>
      <c r="K794" s="30">
        <f ca="1">IF($J794="Continues",DATEDIF($B794,TODAY(),"Y"),INDEX('Lopettaneet 2013-&gt;'!$L:$L,MATCH($D794,'Lopettaneet 2013-&gt;'!$D:$D,0)))</f>
        <v>5</v>
      </c>
      <c r="L794" s="31" t="str">
        <f>IFERROR(INDEX('[1]30.06.2024'!$H:$H,MATCH($E794,'[1]30.06.2024'!$B:$B,0)),"Not found")</f>
        <v>OP-Rahastoyhtiö Oy</v>
      </c>
      <c r="M794" s="31" t="str">
        <f>IFERROR(INDEX([2]Sheet1!$B:$B,MATCH($D794,[2]Sheet1!$A:$A,0)),"Not found")</f>
        <v>Retail</v>
      </c>
      <c r="N794">
        <f t="shared" si="24"/>
        <v>1</v>
      </c>
      <c r="O794">
        <f t="shared" si="25"/>
        <v>0</v>
      </c>
    </row>
    <row r="795" spans="1:15" x14ac:dyDescent="0.25">
      <c r="A795" t="s">
        <v>0</v>
      </c>
      <c r="B795" s="1">
        <v>43891</v>
      </c>
      <c r="C795" s="1">
        <v>55153</v>
      </c>
      <c r="D795" s="4" t="s">
        <v>1788</v>
      </c>
      <c r="E795" s="32" t="s">
        <v>1789</v>
      </c>
      <c r="F795" s="32">
        <v>31056568</v>
      </c>
      <c r="G795" t="s">
        <v>10</v>
      </c>
      <c r="H795" t="s">
        <v>4</v>
      </c>
      <c r="I795" t="s">
        <v>20</v>
      </c>
      <c r="J795" s="30" t="str">
        <f>IF(ISNUMBER(MATCH($D795,'Lopettaneet 2013-&gt;'!$D:$D,0)),INDEX('Lopettaneet 2013-&gt;'!$K:$K,MATCH($D795,'Lopettaneet 2013-&gt;'!$D:$D,0)),"Continues")</f>
        <v>Continues</v>
      </c>
      <c r="K795" s="30">
        <f ca="1">IF($J795="Continues",DATEDIF($B795,TODAY(),"Y"),INDEX('Lopettaneet 2013-&gt;'!$L:$L,MATCH($D795,'Lopettaneet 2013-&gt;'!$D:$D,0)))</f>
        <v>5</v>
      </c>
      <c r="L795" s="31" t="str">
        <f>IFERROR(INDEX('[1]30.06.2024'!$H:$H,MATCH($E795,'[1]30.06.2024'!$B:$B,0)),"Not found")</f>
        <v>UB Rahastoyhtiö Oy</v>
      </c>
      <c r="M795" s="31" t="str">
        <f>IFERROR(INDEX([2]Sheet1!$B:$B,MATCH($D795,[2]Sheet1!$A:$A,0)),"Not found")</f>
        <v>Retail</v>
      </c>
      <c r="N795">
        <f t="shared" si="24"/>
        <v>1</v>
      </c>
      <c r="O795">
        <f t="shared" si="25"/>
        <v>0</v>
      </c>
    </row>
    <row r="796" spans="1:15" x14ac:dyDescent="0.25">
      <c r="A796" t="s">
        <v>0</v>
      </c>
      <c r="B796" s="1">
        <v>43862</v>
      </c>
      <c r="C796" s="1">
        <v>44012</v>
      </c>
      <c r="D796" s="4" t="s">
        <v>1790</v>
      </c>
      <c r="E796" s="32" t="s">
        <v>1791</v>
      </c>
      <c r="F796" s="32">
        <v>31144971</v>
      </c>
      <c r="G796" t="s">
        <v>3</v>
      </c>
      <c r="H796" t="s">
        <v>4</v>
      </c>
      <c r="I796" t="s">
        <v>20</v>
      </c>
      <c r="J796" s="30" t="str">
        <f>IF(ISNUMBER(MATCH($D796,'Lopettaneet 2013-&gt;'!$D:$D,0)),INDEX('Lopettaneet 2013-&gt;'!$K:$K,MATCH($D796,'Lopettaneet 2013-&gt;'!$D:$D,0)),"Continues")</f>
        <v>Closed</v>
      </c>
      <c r="K796" s="30">
        <f ca="1">IF($J796="Continues",DATEDIF($B796,TODAY(),"Y"),INDEX('Lopettaneet 2013-&gt;'!$L:$L,MATCH($D796,'Lopettaneet 2013-&gt;'!$D:$D,0)))</f>
        <v>0</v>
      </c>
      <c r="L796" s="31" t="str">
        <f>IFERROR(INDEX('[1]30.06.2024'!$H:$H,MATCH($E796,'[1]30.06.2024'!$B:$B,0)),"Not found")</f>
        <v>Not found</v>
      </c>
      <c r="M796" s="31" t="str">
        <f>IFERROR(INDEX([2]Sheet1!$B:$B,MATCH($D796,[2]Sheet1!$A:$A,0)),"Not found")</f>
        <v>Not found</v>
      </c>
      <c r="N796">
        <f t="shared" si="24"/>
        <v>0</v>
      </c>
      <c r="O796">
        <f t="shared" si="25"/>
        <v>0</v>
      </c>
    </row>
    <row r="797" spans="1:15" x14ac:dyDescent="0.25">
      <c r="A797" t="s">
        <v>7</v>
      </c>
      <c r="B797" s="1">
        <v>43983</v>
      </c>
      <c r="C797" s="1">
        <v>55153</v>
      </c>
      <c r="D797" s="4" t="s">
        <v>1792</v>
      </c>
      <c r="E797" s="32" t="s">
        <v>1793</v>
      </c>
      <c r="F797" s="32">
        <v>31193968</v>
      </c>
      <c r="G797" t="s">
        <v>10</v>
      </c>
      <c r="H797" t="s">
        <v>11</v>
      </c>
      <c r="I797" t="s">
        <v>32</v>
      </c>
      <c r="J797" s="30" t="str">
        <f>IF(ISNUMBER(MATCH($D797,'Lopettaneet 2013-&gt;'!$D:$D,0)),INDEX('Lopettaneet 2013-&gt;'!$K:$K,MATCH($D797,'Lopettaneet 2013-&gt;'!$D:$D,0)),"Continues")</f>
        <v>Continues</v>
      </c>
      <c r="K797" s="30">
        <f ca="1">IF($J797="Continues",DATEDIF($B797,TODAY(),"Y"),INDEX('Lopettaneet 2013-&gt;'!$L:$L,MATCH($D797,'Lopettaneet 2013-&gt;'!$D:$D,0)))</f>
        <v>4</v>
      </c>
      <c r="L797" s="31" t="str">
        <f>IFERROR(INDEX('[1]30.06.2024'!$H:$H,MATCH($E797,'[1]30.06.2024'!$B:$B,0)),"Not found")</f>
        <v>Avara Rahastot Oy</v>
      </c>
      <c r="M797" s="31" t="str">
        <f>IFERROR(INDEX([2]Sheet1!$B:$B,MATCH($D797,[2]Sheet1!$A:$A,0)),"Not found")</f>
        <v>Non-Retail</v>
      </c>
      <c r="N797">
        <f t="shared" si="24"/>
        <v>0</v>
      </c>
      <c r="O797">
        <f t="shared" si="25"/>
        <v>1</v>
      </c>
    </row>
    <row r="798" spans="1:15" x14ac:dyDescent="0.25">
      <c r="A798" t="s">
        <v>7</v>
      </c>
      <c r="B798" s="1">
        <v>43983</v>
      </c>
      <c r="C798" s="1">
        <v>55153</v>
      </c>
      <c r="D798" s="4" t="s">
        <v>1794</v>
      </c>
      <c r="E798" s="32" t="s">
        <v>1795</v>
      </c>
      <c r="F798" s="32">
        <v>31053658</v>
      </c>
      <c r="G798" t="s">
        <v>10</v>
      </c>
      <c r="H798" t="s">
        <v>11</v>
      </c>
      <c r="I798" t="s">
        <v>32</v>
      </c>
      <c r="J798" s="30" t="str">
        <f>IF(ISNUMBER(MATCH($D798,'Lopettaneet 2013-&gt;'!$D:$D,0)),INDEX('Lopettaneet 2013-&gt;'!$K:$K,MATCH($D798,'Lopettaneet 2013-&gt;'!$D:$D,0)),"Continues")</f>
        <v>Continues</v>
      </c>
      <c r="K798" s="30">
        <f ca="1">IF($J798="Continues",DATEDIF($B798,TODAY(),"Y"),INDEX('Lopettaneet 2013-&gt;'!$L:$L,MATCH($D798,'Lopettaneet 2013-&gt;'!$D:$D,0)))</f>
        <v>4</v>
      </c>
      <c r="L798" s="31" t="str">
        <f>IFERROR(INDEX('[1]30.06.2024'!$H:$H,MATCH($E798,'[1]30.06.2024'!$B:$B,0)),"Not found")</f>
        <v>Avara Rahastot Oy</v>
      </c>
      <c r="M798" s="31" t="str">
        <f>IFERROR(INDEX([2]Sheet1!$B:$B,MATCH($D798,[2]Sheet1!$A:$A,0)),"Not found")</f>
        <v>Non-Retail</v>
      </c>
      <c r="N798">
        <f t="shared" si="24"/>
        <v>0</v>
      </c>
      <c r="O798">
        <f t="shared" si="25"/>
        <v>1</v>
      </c>
    </row>
    <row r="799" spans="1:15" x14ac:dyDescent="0.25">
      <c r="A799" t="s">
        <v>7</v>
      </c>
      <c r="B799" s="1">
        <v>44166</v>
      </c>
      <c r="C799" s="1">
        <v>55153</v>
      </c>
      <c r="D799" s="4" t="s">
        <v>1796</v>
      </c>
      <c r="E799" s="32" t="s">
        <v>1797</v>
      </c>
      <c r="F799" s="32">
        <v>31050641</v>
      </c>
      <c r="G799" t="s">
        <v>10</v>
      </c>
      <c r="H799" t="s">
        <v>11</v>
      </c>
      <c r="I799" t="s">
        <v>29</v>
      </c>
      <c r="J799" s="30" t="str">
        <f>IF(ISNUMBER(MATCH($D799,'Lopettaneet 2013-&gt;'!$D:$D,0)),INDEX('Lopettaneet 2013-&gt;'!$K:$K,MATCH($D799,'Lopettaneet 2013-&gt;'!$D:$D,0)),"Continues")</f>
        <v>Continues</v>
      </c>
      <c r="K799" s="30">
        <f ca="1">IF($J799="Continues",DATEDIF($B799,TODAY(),"Y"),INDEX('Lopettaneet 2013-&gt;'!$L:$L,MATCH($D799,'Lopettaneet 2013-&gt;'!$D:$D,0)))</f>
        <v>4</v>
      </c>
      <c r="L799" s="31" t="str">
        <f>IFERROR(INDEX('[1]30.06.2024'!$H:$H,MATCH($E799,'[1]30.06.2024'!$B:$B,0)),"Not found")</f>
        <v>Korkia Capital Oy</v>
      </c>
      <c r="M799" s="31" t="str">
        <f>IFERROR(INDEX([2]Sheet1!$B:$B,MATCH($D799,[2]Sheet1!$A:$A,0)),"Not found")</f>
        <v>Non-Retail</v>
      </c>
      <c r="N799">
        <f t="shared" si="24"/>
        <v>0</v>
      </c>
      <c r="O799">
        <f t="shared" si="25"/>
        <v>1</v>
      </c>
    </row>
    <row r="800" spans="1:15" x14ac:dyDescent="0.25">
      <c r="A800" t="s">
        <v>7</v>
      </c>
      <c r="B800" s="1">
        <v>44166</v>
      </c>
      <c r="C800" s="1">
        <v>55153</v>
      </c>
      <c r="D800" s="4" t="s">
        <v>1798</v>
      </c>
      <c r="E800" s="32" t="s">
        <v>1799</v>
      </c>
      <c r="F800" s="32">
        <v>31050668</v>
      </c>
      <c r="G800" t="s">
        <v>10</v>
      </c>
      <c r="H800" t="s">
        <v>11</v>
      </c>
      <c r="I800" t="s">
        <v>29</v>
      </c>
      <c r="J800" s="30" t="str">
        <f>IF(ISNUMBER(MATCH($D800,'Lopettaneet 2013-&gt;'!$D:$D,0)),INDEX('Lopettaneet 2013-&gt;'!$K:$K,MATCH($D800,'Lopettaneet 2013-&gt;'!$D:$D,0)),"Continues")</f>
        <v>Continues</v>
      </c>
      <c r="K800" s="30">
        <f ca="1">IF($J800="Continues",DATEDIF($B800,TODAY(),"Y"),INDEX('Lopettaneet 2013-&gt;'!$L:$L,MATCH($D800,'Lopettaneet 2013-&gt;'!$D:$D,0)))</f>
        <v>4</v>
      </c>
      <c r="L800" s="31" t="str">
        <f>IFERROR(INDEX('[1]30.06.2024'!$H:$H,MATCH($E800,'[1]30.06.2024'!$B:$B,0)),"Not found")</f>
        <v>Korkia Capital Oy</v>
      </c>
      <c r="M800" s="31" t="str">
        <f>IFERROR(INDEX([2]Sheet1!$B:$B,MATCH($D800,[2]Sheet1!$A:$A,0)),"Not found")</f>
        <v>Non-Retail</v>
      </c>
      <c r="N800">
        <f t="shared" si="24"/>
        <v>0</v>
      </c>
      <c r="O800">
        <f t="shared" si="25"/>
        <v>1</v>
      </c>
    </row>
    <row r="801" spans="1:15" x14ac:dyDescent="0.25">
      <c r="A801" t="s">
        <v>7</v>
      </c>
      <c r="B801" s="1">
        <v>44348</v>
      </c>
      <c r="C801" s="1">
        <v>55153</v>
      </c>
      <c r="D801" s="4" t="s">
        <v>1800</v>
      </c>
      <c r="E801" s="32" t="s">
        <v>1801</v>
      </c>
      <c r="F801" s="32">
        <v>30934461</v>
      </c>
      <c r="G801" t="s">
        <v>10</v>
      </c>
      <c r="H801" t="s">
        <v>11</v>
      </c>
      <c r="I801" t="s">
        <v>29</v>
      </c>
      <c r="J801" s="30" t="str">
        <f>IF(ISNUMBER(MATCH($D801,'Lopettaneet 2013-&gt;'!$D:$D,0)),INDEX('Lopettaneet 2013-&gt;'!$K:$K,MATCH($D801,'Lopettaneet 2013-&gt;'!$D:$D,0)),"Continues")</f>
        <v>Continues</v>
      </c>
      <c r="K801" s="30">
        <f ca="1">IF($J801="Continues",DATEDIF($B801,TODAY(),"Y"),INDEX('Lopettaneet 2013-&gt;'!$L:$L,MATCH($D801,'Lopettaneet 2013-&gt;'!$D:$D,0)))</f>
        <v>3</v>
      </c>
      <c r="L801" s="31" t="str">
        <f>IFERROR(INDEX('[1]30.06.2024'!$H:$H,MATCH($E801,'[1]30.06.2024'!$B:$B,0)),"Not found")</f>
        <v>CapMan AIFM Oy</v>
      </c>
      <c r="M801" s="31" t="str">
        <f>IFERROR(INDEX([2]Sheet1!$B:$B,MATCH($D801,[2]Sheet1!$A:$A,0)),"Not found")</f>
        <v>Retail</v>
      </c>
      <c r="N801">
        <f t="shared" si="24"/>
        <v>1</v>
      </c>
      <c r="O801">
        <f t="shared" si="25"/>
        <v>0</v>
      </c>
    </row>
    <row r="802" spans="1:15" x14ac:dyDescent="0.25">
      <c r="A802" t="s">
        <v>7</v>
      </c>
      <c r="B802" s="1">
        <v>44166</v>
      </c>
      <c r="C802" s="1">
        <v>55153</v>
      </c>
      <c r="D802" s="4" t="s">
        <v>1802</v>
      </c>
      <c r="E802" s="32" t="s">
        <v>1803</v>
      </c>
      <c r="F802" s="32">
        <v>31427453</v>
      </c>
      <c r="G802" t="s">
        <v>10</v>
      </c>
      <c r="H802" t="s">
        <v>11</v>
      </c>
      <c r="I802" t="s">
        <v>12</v>
      </c>
      <c r="J802" s="30" t="str">
        <f>IF(ISNUMBER(MATCH($D802,'Lopettaneet 2013-&gt;'!$D:$D,0)),INDEX('Lopettaneet 2013-&gt;'!$K:$K,MATCH($D802,'Lopettaneet 2013-&gt;'!$D:$D,0)),"Continues")</f>
        <v>Continues</v>
      </c>
      <c r="K802" s="30">
        <f ca="1">IF($J802="Continues",DATEDIF($B802,TODAY(),"Y"),INDEX('Lopettaneet 2013-&gt;'!$L:$L,MATCH($D802,'Lopettaneet 2013-&gt;'!$D:$D,0)))</f>
        <v>4</v>
      </c>
      <c r="L802" s="31" t="str">
        <f>IFERROR(INDEX('[1]30.06.2024'!$H:$H,MATCH($E802,'[1]30.06.2024'!$B:$B,0)),"Not found")</f>
        <v>OP-Rahastoyhtiö Oy</v>
      </c>
      <c r="M802" s="31" t="str">
        <f>IFERROR(INDEX([2]Sheet1!$B:$B,MATCH($D802,[2]Sheet1!$A:$A,0)),"Not found")</f>
        <v>Retail</v>
      </c>
      <c r="N802">
        <f t="shared" si="24"/>
        <v>1</v>
      </c>
      <c r="O802">
        <f t="shared" si="25"/>
        <v>0</v>
      </c>
    </row>
    <row r="803" spans="1:15" x14ac:dyDescent="0.25">
      <c r="A803" t="s">
        <v>7</v>
      </c>
      <c r="B803" s="1">
        <v>43983</v>
      </c>
      <c r="C803" s="1">
        <v>55153</v>
      </c>
      <c r="D803" s="4" t="s">
        <v>1804</v>
      </c>
      <c r="E803" s="32" t="s">
        <v>1805</v>
      </c>
      <c r="F803" s="32">
        <v>31131759</v>
      </c>
      <c r="G803" t="s">
        <v>10</v>
      </c>
      <c r="H803" t="s">
        <v>11</v>
      </c>
      <c r="I803" t="s">
        <v>32</v>
      </c>
      <c r="J803" s="30" t="str">
        <f>IF(ISNUMBER(MATCH($D803,'Lopettaneet 2013-&gt;'!$D:$D,0)),INDEX('Lopettaneet 2013-&gt;'!$K:$K,MATCH($D803,'Lopettaneet 2013-&gt;'!$D:$D,0)),"Continues")</f>
        <v>Continues</v>
      </c>
      <c r="K803" s="30">
        <f ca="1">IF($J803="Continues",DATEDIF($B803,TODAY(),"Y"),INDEX('Lopettaneet 2013-&gt;'!$L:$L,MATCH($D803,'Lopettaneet 2013-&gt;'!$D:$D,0)))</f>
        <v>4</v>
      </c>
      <c r="L803" s="31" t="str">
        <f>IFERROR(INDEX('[1]30.06.2024'!$H:$H,MATCH($E803,'[1]30.06.2024'!$B:$B,0)),"Not found")</f>
        <v>CapMan AIFM Oy</v>
      </c>
      <c r="M803" s="31" t="str">
        <f>IFERROR(INDEX([2]Sheet1!$B:$B,MATCH($D803,[2]Sheet1!$A:$A,0)),"Not found")</f>
        <v>Non-Retail</v>
      </c>
      <c r="N803">
        <f t="shared" si="24"/>
        <v>0</v>
      </c>
      <c r="O803">
        <f t="shared" si="25"/>
        <v>1</v>
      </c>
    </row>
    <row r="804" spans="1:15" x14ac:dyDescent="0.25">
      <c r="A804" t="s">
        <v>7</v>
      </c>
      <c r="B804" s="1">
        <v>44166</v>
      </c>
      <c r="C804" s="1">
        <v>55153</v>
      </c>
      <c r="D804" s="4" t="s">
        <v>1806</v>
      </c>
      <c r="E804" s="32" t="s">
        <v>1807</v>
      </c>
      <c r="F804" s="32">
        <v>31432498</v>
      </c>
      <c r="G804" t="s">
        <v>10</v>
      </c>
      <c r="H804" t="s">
        <v>11</v>
      </c>
      <c r="I804" t="s">
        <v>80</v>
      </c>
      <c r="J804" s="30" t="str">
        <f>IF(ISNUMBER(MATCH($D804,'Lopettaneet 2013-&gt;'!$D:$D,0)),INDEX('Lopettaneet 2013-&gt;'!$K:$K,MATCH($D804,'Lopettaneet 2013-&gt;'!$D:$D,0)),"Continues")</f>
        <v>Continues</v>
      </c>
      <c r="K804" s="30">
        <f ca="1">IF($J804="Continues",DATEDIF($B804,TODAY(),"Y"),INDEX('Lopettaneet 2013-&gt;'!$L:$L,MATCH($D804,'Lopettaneet 2013-&gt;'!$D:$D,0)))</f>
        <v>4</v>
      </c>
      <c r="L804" s="31" t="str">
        <f>IFERROR(INDEX('[1]30.06.2024'!$H:$H,MATCH($E804,'[1]30.06.2024'!$B:$B,0)),"Not found")</f>
        <v>Open Ocean Ventures Oy</v>
      </c>
      <c r="M804" s="31" t="str">
        <f>IFERROR(INDEX([2]Sheet1!$B:$B,MATCH($D804,[2]Sheet1!$A:$A,0)),"Not found")</f>
        <v>Retail</v>
      </c>
      <c r="N804">
        <f t="shared" si="24"/>
        <v>1</v>
      </c>
      <c r="O804">
        <f t="shared" si="25"/>
        <v>0</v>
      </c>
    </row>
    <row r="805" spans="1:15" x14ac:dyDescent="0.25">
      <c r="A805" t="s">
        <v>7</v>
      </c>
      <c r="B805" s="1">
        <v>44075</v>
      </c>
      <c r="C805" s="1">
        <v>55153</v>
      </c>
      <c r="D805" s="4" t="s">
        <v>1808</v>
      </c>
      <c r="E805" s="32" t="s">
        <v>1809</v>
      </c>
      <c r="F805" s="32">
        <v>31440965</v>
      </c>
      <c r="G805" t="s">
        <v>10</v>
      </c>
      <c r="H805" t="s">
        <v>11</v>
      </c>
      <c r="I805" t="s">
        <v>80</v>
      </c>
      <c r="J805" s="30" t="str">
        <f>IF(ISNUMBER(MATCH($D805,'Lopettaneet 2013-&gt;'!$D:$D,0)),INDEX('Lopettaneet 2013-&gt;'!$K:$K,MATCH($D805,'Lopettaneet 2013-&gt;'!$D:$D,0)),"Continues")</f>
        <v>Continues</v>
      </c>
      <c r="K805" s="30">
        <f ca="1">IF($J805="Continues",DATEDIF($B805,TODAY(),"Y"),INDEX('Lopettaneet 2013-&gt;'!$L:$L,MATCH($D805,'Lopettaneet 2013-&gt;'!$D:$D,0)))</f>
        <v>4</v>
      </c>
      <c r="L805" s="31" t="str">
        <f>IFERROR(INDEX('[1]30.06.2024'!$H:$H,MATCH($E805,'[1]30.06.2024'!$B:$B,0)),"Not found")</f>
        <v>Nostetta Ventures Oy</v>
      </c>
      <c r="M805" s="31" t="str">
        <f>IFERROR(INDEX([2]Sheet1!$B:$B,MATCH($D805,[2]Sheet1!$A:$A,0)),"Not found")</f>
        <v>Retail</v>
      </c>
      <c r="N805">
        <f t="shared" si="24"/>
        <v>1</v>
      </c>
      <c r="O805">
        <f t="shared" si="25"/>
        <v>0</v>
      </c>
    </row>
    <row r="806" spans="1:15" x14ac:dyDescent="0.25">
      <c r="A806" t="s">
        <v>7</v>
      </c>
      <c r="B806" s="1">
        <v>43983</v>
      </c>
      <c r="C806" s="1">
        <v>55153</v>
      </c>
      <c r="D806" s="4" t="s">
        <v>1810</v>
      </c>
      <c r="E806" s="32" t="s">
        <v>1811</v>
      </c>
      <c r="F806" s="32">
        <v>31203003</v>
      </c>
      <c r="G806" t="s">
        <v>10</v>
      </c>
      <c r="H806" t="s">
        <v>11</v>
      </c>
      <c r="I806" t="s">
        <v>12</v>
      </c>
      <c r="J806" s="30" t="str">
        <f>IF(ISNUMBER(MATCH($D806,'Lopettaneet 2013-&gt;'!$D:$D,0)),INDEX('Lopettaneet 2013-&gt;'!$K:$K,MATCH($D806,'Lopettaneet 2013-&gt;'!$D:$D,0)),"Continues")</f>
        <v>Continues</v>
      </c>
      <c r="K806" s="30">
        <f ca="1">IF($J806="Continues",DATEDIF($B806,TODAY(),"Y"),INDEX('Lopettaneet 2013-&gt;'!$L:$L,MATCH($D806,'Lopettaneet 2013-&gt;'!$D:$D,0)))</f>
        <v>4</v>
      </c>
      <c r="L806" s="31" t="str">
        <f>IFERROR(INDEX('[1]30.06.2024'!$H:$H,MATCH($E806,'[1]30.06.2024'!$B:$B,0)),"Not found")</f>
        <v>Evli-Rahastoyhtiö Oy</v>
      </c>
      <c r="M806" s="31" t="str">
        <f>IFERROR(INDEX([2]Sheet1!$B:$B,MATCH($D806,[2]Sheet1!$A:$A,0)),"Not found")</f>
        <v>Retail</v>
      </c>
      <c r="N806">
        <f t="shared" si="24"/>
        <v>1</v>
      </c>
      <c r="O806">
        <f t="shared" si="25"/>
        <v>0</v>
      </c>
    </row>
    <row r="807" spans="1:15" x14ac:dyDescent="0.25">
      <c r="A807" t="s">
        <v>7</v>
      </c>
      <c r="B807" s="1">
        <v>44075</v>
      </c>
      <c r="C807" s="1">
        <v>45107</v>
      </c>
      <c r="D807" s="4" t="s">
        <v>51</v>
      </c>
      <c r="E807" s="32" t="s">
        <v>52</v>
      </c>
      <c r="F807" s="32">
        <v>31542742</v>
      </c>
      <c r="G807" t="s">
        <v>10</v>
      </c>
      <c r="H807" t="s">
        <v>11</v>
      </c>
      <c r="I807" t="s">
        <v>32</v>
      </c>
      <c r="J807" s="30" t="str">
        <f>IF(ISNUMBER(MATCH($D807,'Lopettaneet 2013-&gt;'!$D:$D,0)),INDEX('Lopettaneet 2013-&gt;'!$K:$K,MATCH($D807,'Lopettaneet 2013-&gt;'!$D:$D,0)),"Continues")</f>
        <v>Closed</v>
      </c>
      <c r="K807" s="30">
        <f ca="1">IF($J807="Continues",DATEDIF($B807,TODAY(),"Y"),INDEX('Lopettaneet 2013-&gt;'!$L:$L,MATCH($D807,'Lopettaneet 2013-&gt;'!$D:$D,0)))</f>
        <v>2</v>
      </c>
      <c r="L807" s="31" t="str">
        <f>IFERROR(INDEX('[1]30.06.2024'!$H:$H,MATCH($E807,'[1]30.06.2024'!$B:$B,0)),"Not found")</f>
        <v>Not found</v>
      </c>
      <c r="M807" s="31" t="str">
        <f>IFERROR(INDEX([2]Sheet1!$B:$B,MATCH($D807,[2]Sheet1!$A:$A,0)),"Not found")</f>
        <v>Not found</v>
      </c>
      <c r="N807">
        <f t="shared" si="24"/>
        <v>0</v>
      </c>
      <c r="O807">
        <f t="shared" si="25"/>
        <v>0</v>
      </c>
    </row>
    <row r="808" spans="1:15" x14ac:dyDescent="0.25">
      <c r="A808" t="s">
        <v>0</v>
      </c>
      <c r="B808" s="1">
        <v>43952</v>
      </c>
      <c r="C808" s="1">
        <v>55153</v>
      </c>
      <c r="D808" s="4" t="s">
        <v>1812</v>
      </c>
      <c r="E808" s="32" t="s">
        <v>1813</v>
      </c>
      <c r="F808" s="32">
        <v>31265677</v>
      </c>
      <c r="G808" t="s">
        <v>10</v>
      </c>
      <c r="H808" t="s">
        <v>4</v>
      </c>
      <c r="I808" t="s">
        <v>29</v>
      </c>
      <c r="J808" s="30" t="str">
        <f>IF(ISNUMBER(MATCH($D808,'Lopettaneet 2013-&gt;'!$D:$D,0)),INDEX('Lopettaneet 2013-&gt;'!$K:$K,MATCH($D808,'Lopettaneet 2013-&gt;'!$D:$D,0)),"Continues")</f>
        <v>Continues</v>
      </c>
      <c r="K808" s="30">
        <f ca="1">IF($J808="Continues",DATEDIF($B808,TODAY(),"Y"),INDEX('Lopettaneet 2013-&gt;'!$L:$L,MATCH($D808,'Lopettaneet 2013-&gt;'!$D:$D,0)))</f>
        <v>5</v>
      </c>
      <c r="L808" s="31" t="str">
        <f>IFERROR(INDEX('[1]30.06.2024'!$H:$H,MATCH($E808,'[1]30.06.2024'!$B:$B,0)),"Not found")</f>
        <v>Alexandria Rahastoyhtiö Oy</v>
      </c>
      <c r="M808" s="31" t="str">
        <f>IFERROR(INDEX([2]Sheet1!$B:$B,MATCH($D808,[2]Sheet1!$A:$A,0)),"Not found")</f>
        <v>Retail</v>
      </c>
      <c r="N808">
        <f t="shared" si="24"/>
        <v>1</v>
      </c>
      <c r="O808">
        <f t="shared" si="25"/>
        <v>0</v>
      </c>
    </row>
    <row r="809" spans="1:15" x14ac:dyDescent="0.25">
      <c r="A809" t="s">
        <v>0</v>
      </c>
      <c r="B809" s="1">
        <v>43952</v>
      </c>
      <c r="C809" s="1">
        <v>55153</v>
      </c>
      <c r="D809" s="4" t="s">
        <v>1814</v>
      </c>
      <c r="E809" s="32" t="s">
        <v>1815</v>
      </c>
      <c r="F809" s="32">
        <v>31298604</v>
      </c>
      <c r="G809" t="s">
        <v>3</v>
      </c>
      <c r="H809" t="s">
        <v>4</v>
      </c>
      <c r="I809" t="s">
        <v>20</v>
      </c>
      <c r="J809" s="30" t="str">
        <f>IF(ISNUMBER(MATCH($D809,'Lopettaneet 2013-&gt;'!$D:$D,0)),INDEX('Lopettaneet 2013-&gt;'!$K:$K,MATCH($D809,'Lopettaneet 2013-&gt;'!$D:$D,0)),"Continues")</f>
        <v>Continues</v>
      </c>
      <c r="K809" s="30">
        <f ca="1">IF($J809="Continues",DATEDIF($B809,TODAY(),"Y"),INDEX('Lopettaneet 2013-&gt;'!$L:$L,MATCH($D809,'Lopettaneet 2013-&gt;'!$D:$D,0)))</f>
        <v>5</v>
      </c>
      <c r="L809" s="31" t="str">
        <f>IFERROR(INDEX('[1]30.06.2024'!$H:$H,MATCH($E809,'[1]30.06.2024'!$B:$B,0)),"Not found")</f>
        <v>S-Pankki Rahastoyhtiö Oy</v>
      </c>
      <c r="M809" s="31" t="str">
        <f>IFERROR(INDEX([2]Sheet1!$B:$B,MATCH($D809,[2]Sheet1!$A:$A,0)),"Not found")</f>
        <v>Retail</v>
      </c>
      <c r="N809">
        <f t="shared" si="24"/>
        <v>1</v>
      </c>
      <c r="O809">
        <f t="shared" si="25"/>
        <v>0</v>
      </c>
    </row>
    <row r="810" spans="1:15" x14ac:dyDescent="0.25">
      <c r="A810" t="s">
        <v>7</v>
      </c>
      <c r="B810" s="1">
        <v>43983</v>
      </c>
      <c r="C810" s="1">
        <v>55153</v>
      </c>
      <c r="D810" s="4" t="s">
        <v>1816</v>
      </c>
      <c r="E810" s="32" t="s">
        <v>1817</v>
      </c>
      <c r="F810" s="32">
        <v>31308526</v>
      </c>
      <c r="G810" t="s">
        <v>10</v>
      </c>
      <c r="H810" t="s">
        <v>11</v>
      </c>
      <c r="I810" t="s">
        <v>12</v>
      </c>
      <c r="J810" s="30" t="str">
        <f>IF(ISNUMBER(MATCH($D810,'Lopettaneet 2013-&gt;'!$D:$D,0)),INDEX('Lopettaneet 2013-&gt;'!$K:$K,MATCH($D810,'Lopettaneet 2013-&gt;'!$D:$D,0)),"Continues")</f>
        <v>Continues</v>
      </c>
      <c r="K810" s="30">
        <f ca="1">IF($J810="Continues",DATEDIF($B810,TODAY(),"Y"),INDEX('Lopettaneet 2013-&gt;'!$L:$L,MATCH($D810,'Lopettaneet 2013-&gt;'!$D:$D,0)))</f>
        <v>4</v>
      </c>
      <c r="L810" s="31" t="str">
        <f>IFERROR(INDEX('[1]30.06.2024'!$H:$H,MATCH($E810,'[1]30.06.2024'!$B:$B,0)),"Not found")</f>
        <v>Bocap Private Equity Oy</v>
      </c>
      <c r="M810" s="31" t="str">
        <f>IFERROR(INDEX([2]Sheet1!$B:$B,MATCH($D810,[2]Sheet1!$A:$A,0)),"Not found")</f>
        <v>Retail</v>
      </c>
      <c r="N810">
        <f t="shared" si="24"/>
        <v>1</v>
      </c>
      <c r="O810">
        <f t="shared" si="25"/>
        <v>0</v>
      </c>
    </row>
    <row r="811" spans="1:15" x14ac:dyDescent="0.25">
      <c r="A811" t="s">
        <v>7</v>
      </c>
      <c r="B811" s="1">
        <v>44256</v>
      </c>
      <c r="C811" s="1">
        <v>55153</v>
      </c>
      <c r="D811" s="4" t="s">
        <v>1818</v>
      </c>
      <c r="E811" s="32" t="s">
        <v>1819</v>
      </c>
      <c r="F811" s="32">
        <v>31428034</v>
      </c>
      <c r="G811" t="s">
        <v>10</v>
      </c>
      <c r="H811" t="s">
        <v>11</v>
      </c>
      <c r="I811" t="s">
        <v>12</v>
      </c>
      <c r="J811" s="30" t="str">
        <f>IF(ISNUMBER(MATCH($D811,'Lopettaneet 2013-&gt;'!$D:$D,0)),INDEX('Lopettaneet 2013-&gt;'!$K:$K,MATCH($D811,'Lopettaneet 2013-&gt;'!$D:$D,0)),"Continues")</f>
        <v>Continues</v>
      </c>
      <c r="K811" s="30">
        <f ca="1">IF($J811="Continues",DATEDIF($B811,TODAY(),"Y"),INDEX('Lopettaneet 2013-&gt;'!$L:$L,MATCH($D811,'Lopettaneet 2013-&gt;'!$D:$D,0)))</f>
        <v>4</v>
      </c>
      <c r="L811" s="31" t="str">
        <f>IFERROR(INDEX('[1]30.06.2024'!$H:$H,MATCH($E811,'[1]30.06.2024'!$B:$B,0)),"Not found")</f>
        <v>Sponsor Capital Oy</v>
      </c>
      <c r="M811" s="31" t="str">
        <f>IFERROR(INDEX([2]Sheet1!$B:$B,MATCH($D811,[2]Sheet1!$A:$A,0)),"Not found")</f>
        <v>Non-Retail</v>
      </c>
      <c r="N811">
        <f t="shared" si="24"/>
        <v>0</v>
      </c>
      <c r="O811">
        <f t="shared" si="25"/>
        <v>1</v>
      </c>
    </row>
    <row r="812" spans="1:15" x14ac:dyDescent="0.25">
      <c r="A812" t="s">
        <v>7</v>
      </c>
      <c r="B812" s="1">
        <v>44256</v>
      </c>
      <c r="C812" s="1">
        <v>55153</v>
      </c>
      <c r="D812" s="4" t="s">
        <v>1820</v>
      </c>
      <c r="E812" s="32" t="s">
        <v>1821</v>
      </c>
      <c r="F812" s="32">
        <v>31630718</v>
      </c>
      <c r="G812" t="s">
        <v>10</v>
      </c>
      <c r="H812" t="s">
        <v>11</v>
      </c>
      <c r="I812" t="s">
        <v>80</v>
      </c>
      <c r="J812" s="30" t="str">
        <f>IF(ISNUMBER(MATCH($D812,'Lopettaneet 2013-&gt;'!$D:$D,0)),INDEX('Lopettaneet 2013-&gt;'!$K:$K,MATCH($D812,'Lopettaneet 2013-&gt;'!$D:$D,0)),"Continues")</f>
        <v>Continues</v>
      </c>
      <c r="K812" s="30">
        <f ca="1">IF($J812="Continues",DATEDIF($B812,TODAY(),"Y"),INDEX('Lopettaneet 2013-&gt;'!$L:$L,MATCH($D812,'Lopettaneet 2013-&gt;'!$D:$D,0)))</f>
        <v>4</v>
      </c>
      <c r="L812" s="31" t="str">
        <f>IFERROR(INDEX('[1]30.06.2024'!$H:$H,MATCH($E812,'[1]30.06.2024'!$B:$B,0)),"Not found")</f>
        <v>MAKI Ventures Oy</v>
      </c>
      <c r="M812" s="31" t="str">
        <f>IFERROR(INDEX([2]Sheet1!$B:$B,MATCH($D812,[2]Sheet1!$A:$A,0)),"Not found")</f>
        <v>Retail</v>
      </c>
      <c r="N812">
        <f t="shared" si="24"/>
        <v>1</v>
      </c>
      <c r="O812">
        <f t="shared" si="25"/>
        <v>0</v>
      </c>
    </row>
    <row r="813" spans="1:15" x14ac:dyDescent="0.25">
      <c r="A813" t="s">
        <v>0</v>
      </c>
      <c r="B813" s="1">
        <v>44105</v>
      </c>
      <c r="C813" s="1">
        <v>55153</v>
      </c>
      <c r="D813" s="4" t="s">
        <v>1822</v>
      </c>
      <c r="E813" s="32" t="s">
        <v>1823</v>
      </c>
      <c r="F813" s="32">
        <v>31323953</v>
      </c>
      <c r="G813" t="s">
        <v>10</v>
      </c>
      <c r="H813" t="s">
        <v>11</v>
      </c>
      <c r="I813" t="s">
        <v>20</v>
      </c>
      <c r="J813" s="30" t="str">
        <f>IF(ISNUMBER(MATCH($D813,'Lopettaneet 2013-&gt;'!$D:$D,0)),INDEX('Lopettaneet 2013-&gt;'!$K:$K,MATCH($D813,'Lopettaneet 2013-&gt;'!$D:$D,0)),"Continues")</f>
        <v>Continues</v>
      </c>
      <c r="K813" s="30">
        <f ca="1">IF($J813="Continues",DATEDIF($B813,TODAY(),"Y"),INDEX('Lopettaneet 2013-&gt;'!$L:$L,MATCH($D813,'Lopettaneet 2013-&gt;'!$D:$D,0)))</f>
        <v>4</v>
      </c>
      <c r="L813" s="31" t="str">
        <f>IFERROR(INDEX('[1]30.06.2024'!$H:$H,MATCH($E813,'[1]30.06.2024'!$B:$B,0)),"Not found")</f>
        <v>eQ Rahastoyhtiö Oy</v>
      </c>
      <c r="M813" s="31" t="str">
        <f>IFERROR(INDEX([2]Sheet1!$B:$B,MATCH($D813,[2]Sheet1!$A:$A,0)),"Not found")</f>
        <v>Non-Retail</v>
      </c>
      <c r="N813">
        <f t="shared" si="24"/>
        <v>0</v>
      </c>
      <c r="O813">
        <f t="shared" si="25"/>
        <v>1</v>
      </c>
    </row>
    <row r="814" spans="1:15" x14ac:dyDescent="0.25">
      <c r="A814" t="s">
        <v>0</v>
      </c>
      <c r="B814" s="1">
        <v>44105</v>
      </c>
      <c r="C814" s="1">
        <v>55153</v>
      </c>
      <c r="D814" s="4" t="s">
        <v>1824</v>
      </c>
      <c r="E814" s="32" t="s">
        <v>1825</v>
      </c>
      <c r="F814" s="32">
        <v>31323961</v>
      </c>
      <c r="G814" t="s">
        <v>10</v>
      </c>
      <c r="H814" t="s">
        <v>11</v>
      </c>
      <c r="I814" t="s">
        <v>20</v>
      </c>
      <c r="J814" s="30" t="str">
        <f>IF(ISNUMBER(MATCH($D814,'Lopettaneet 2013-&gt;'!$D:$D,0)),INDEX('Lopettaneet 2013-&gt;'!$K:$K,MATCH($D814,'Lopettaneet 2013-&gt;'!$D:$D,0)),"Continues")</f>
        <v>Continues</v>
      </c>
      <c r="K814" s="30">
        <f ca="1">IF($J814="Continues",DATEDIF($B814,TODAY(),"Y"),INDEX('Lopettaneet 2013-&gt;'!$L:$L,MATCH($D814,'Lopettaneet 2013-&gt;'!$D:$D,0)))</f>
        <v>4</v>
      </c>
      <c r="L814" s="31" t="str">
        <f>IFERROR(INDEX('[1]30.06.2024'!$H:$H,MATCH($E814,'[1]30.06.2024'!$B:$B,0)),"Not found")</f>
        <v>eQ Rahastoyhtiö Oy</v>
      </c>
      <c r="M814" s="31" t="str">
        <f>IFERROR(INDEX([2]Sheet1!$B:$B,MATCH($D814,[2]Sheet1!$A:$A,0)),"Not found")</f>
        <v>Non-Retail</v>
      </c>
      <c r="N814">
        <f t="shared" si="24"/>
        <v>0</v>
      </c>
      <c r="O814">
        <f t="shared" si="25"/>
        <v>1</v>
      </c>
    </row>
    <row r="815" spans="1:15" x14ac:dyDescent="0.25">
      <c r="A815" t="s">
        <v>7</v>
      </c>
      <c r="B815" s="1">
        <v>43891</v>
      </c>
      <c r="C815" s="1">
        <v>55153</v>
      </c>
      <c r="D815" s="4" t="s">
        <v>1826</v>
      </c>
      <c r="E815" s="32" t="s">
        <v>1827</v>
      </c>
      <c r="F815" s="32">
        <v>31033825</v>
      </c>
      <c r="G815" t="s">
        <v>10</v>
      </c>
      <c r="H815" t="s">
        <v>11</v>
      </c>
      <c r="I815" t="s">
        <v>29</v>
      </c>
      <c r="J815" s="30" t="str">
        <f>IF(ISNUMBER(MATCH($D815,'Lopettaneet 2013-&gt;'!$D:$D,0)),INDEX('Lopettaneet 2013-&gt;'!$K:$K,MATCH($D815,'Lopettaneet 2013-&gt;'!$D:$D,0)),"Continues")</f>
        <v>Continues</v>
      </c>
      <c r="K815" s="30">
        <f ca="1">IF($J815="Continues",DATEDIF($B815,TODAY(),"Y"),INDEX('Lopettaneet 2013-&gt;'!$L:$L,MATCH($D815,'Lopettaneet 2013-&gt;'!$D:$D,0)))</f>
        <v>5</v>
      </c>
      <c r="L815" s="31" t="str">
        <f>IFERROR(INDEX('[1]30.06.2024'!$H:$H,MATCH($E815,'[1]30.06.2024'!$B:$B,0)),"Not found")</f>
        <v>S-Pankki Rahastoyhtiö Oy</v>
      </c>
      <c r="M815" s="31" t="str">
        <f>IFERROR(INDEX([2]Sheet1!$B:$B,MATCH($D815,[2]Sheet1!$A:$A,0)),"Not found")</f>
        <v>Non-Retail</v>
      </c>
      <c r="N815">
        <f t="shared" si="24"/>
        <v>0</v>
      </c>
      <c r="O815">
        <f t="shared" si="25"/>
        <v>1</v>
      </c>
    </row>
    <row r="816" spans="1:15" x14ac:dyDescent="0.25">
      <c r="A816" t="s">
        <v>7</v>
      </c>
      <c r="B816" s="1">
        <v>43891</v>
      </c>
      <c r="C816" s="1">
        <v>55153</v>
      </c>
      <c r="D816" s="4" t="s">
        <v>1828</v>
      </c>
      <c r="E816" s="32" t="s">
        <v>1829</v>
      </c>
      <c r="F816" s="32">
        <v>31033817</v>
      </c>
      <c r="G816" t="s">
        <v>10</v>
      </c>
      <c r="H816" t="s">
        <v>11</v>
      </c>
      <c r="I816" t="s">
        <v>29</v>
      </c>
      <c r="J816" s="30" t="str">
        <f>IF(ISNUMBER(MATCH($D816,'Lopettaneet 2013-&gt;'!$D:$D,0)),INDEX('Lopettaneet 2013-&gt;'!$K:$K,MATCH($D816,'Lopettaneet 2013-&gt;'!$D:$D,0)),"Continues")</f>
        <v>Continues</v>
      </c>
      <c r="K816" s="30">
        <f ca="1">IF($J816="Continues",DATEDIF($B816,TODAY(),"Y"),INDEX('Lopettaneet 2013-&gt;'!$L:$L,MATCH($D816,'Lopettaneet 2013-&gt;'!$D:$D,0)))</f>
        <v>5</v>
      </c>
      <c r="L816" s="31" t="str">
        <f>IFERROR(INDEX('[1]30.06.2024'!$H:$H,MATCH($E816,'[1]30.06.2024'!$B:$B,0)),"Not found")</f>
        <v>S-Pankki Rahastoyhtiö Oy</v>
      </c>
      <c r="M816" s="31" t="str">
        <f>IFERROR(INDEX([2]Sheet1!$B:$B,MATCH($D816,[2]Sheet1!$A:$A,0)),"Not found")</f>
        <v>Non-Retail</v>
      </c>
      <c r="N816">
        <f t="shared" si="24"/>
        <v>0</v>
      </c>
      <c r="O816">
        <f t="shared" si="25"/>
        <v>1</v>
      </c>
    </row>
    <row r="817" spans="1:15" x14ac:dyDescent="0.25">
      <c r="A817" t="s">
        <v>7</v>
      </c>
      <c r="B817" s="1">
        <v>43983</v>
      </c>
      <c r="C817" s="1">
        <v>55153</v>
      </c>
      <c r="D817" s="4" t="s">
        <v>1830</v>
      </c>
      <c r="E817" s="32" t="s">
        <v>1831</v>
      </c>
      <c r="F817" s="32">
        <v>31300276</v>
      </c>
      <c r="G817" t="s">
        <v>10</v>
      </c>
      <c r="H817" t="s">
        <v>11</v>
      </c>
      <c r="I817" t="s">
        <v>29</v>
      </c>
      <c r="J817" s="30" t="str">
        <f>IF(ISNUMBER(MATCH($D817,'Lopettaneet 2013-&gt;'!$D:$D,0)),INDEX('Lopettaneet 2013-&gt;'!$K:$K,MATCH($D817,'Lopettaneet 2013-&gt;'!$D:$D,0)),"Continues")</f>
        <v>Continues</v>
      </c>
      <c r="K817" s="30">
        <f ca="1">IF($J817="Continues",DATEDIF($B817,TODAY(),"Y"),INDEX('Lopettaneet 2013-&gt;'!$L:$L,MATCH($D817,'Lopettaneet 2013-&gt;'!$D:$D,0)))</f>
        <v>4</v>
      </c>
      <c r="L817" s="31" t="str">
        <f>IFERROR(INDEX('[1]30.06.2024'!$H:$H,MATCH($E817,'[1]30.06.2024'!$B:$B,0)),"Not found")</f>
        <v>UB Rahastoyhtiö Oy</v>
      </c>
      <c r="M817" s="31" t="str">
        <f>IFERROR(INDEX([2]Sheet1!$B:$B,MATCH($D817,[2]Sheet1!$A:$A,0)),"Not found")</f>
        <v>Non-Retail</v>
      </c>
      <c r="N817">
        <f t="shared" si="24"/>
        <v>0</v>
      </c>
      <c r="O817">
        <f t="shared" si="25"/>
        <v>1</v>
      </c>
    </row>
    <row r="818" spans="1:15" x14ac:dyDescent="0.25">
      <c r="A818" t="s">
        <v>0</v>
      </c>
      <c r="B818" s="1">
        <v>44013</v>
      </c>
      <c r="C818" s="1">
        <v>55153</v>
      </c>
      <c r="D818" s="4" t="s">
        <v>1832</v>
      </c>
      <c r="E818" s="32" t="s">
        <v>1833</v>
      </c>
      <c r="F818" s="32">
        <v>31342775</v>
      </c>
      <c r="G818" t="s">
        <v>10</v>
      </c>
      <c r="H818" t="s">
        <v>4</v>
      </c>
      <c r="I818" t="s">
        <v>5</v>
      </c>
      <c r="J818" s="30" t="str">
        <f>IF(ISNUMBER(MATCH($D818,'Lopettaneet 2013-&gt;'!$D:$D,0)),INDEX('Lopettaneet 2013-&gt;'!$K:$K,MATCH($D818,'Lopettaneet 2013-&gt;'!$D:$D,0)),"Continues")</f>
        <v>Continues</v>
      </c>
      <c r="K818" s="30">
        <f ca="1">IF($J818="Continues",DATEDIF($B818,TODAY(),"Y"),INDEX('Lopettaneet 2013-&gt;'!$L:$L,MATCH($D818,'Lopettaneet 2013-&gt;'!$D:$D,0)))</f>
        <v>4</v>
      </c>
      <c r="L818" s="31" t="str">
        <f>IFERROR(INDEX('[1]30.06.2024'!$H:$H,MATCH($E818,'[1]30.06.2024'!$B:$B,0)),"Not found")</f>
        <v>Aktia Rahastoyhtiö Oy</v>
      </c>
      <c r="M818" s="31" t="str">
        <f>IFERROR(INDEX([2]Sheet1!$B:$B,MATCH($D818,[2]Sheet1!$A:$A,0)),"Not found")</f>
        <v>Retail</v>
      </c>
      <c r="N818">
        <f t="shared" si="24"/>
        <v>1</v>
      </c>
      <c r="O818">
        <f t="shared" si="25"/>
        <v>0</v>
      </c>
    </row>
    <row r="819" spans="1:15" x14ac:dyDescent="0.25">
      <c r="A819" t="s">
        <v>7</v>
      </c>
      <c r="B819" s="1">
        <v>43983</v>
      </c>
      <c r="C819" s="1">
        <v>55153</v>
      </c>
      <c r="D819" s="4" t="s">
        <v>1834</v>
      </c>
      <c r="E819" s="32" t="s">
        <v>1835</v>
      </c>
      <c r="F819" s="32">
        <v>27389458</v>
      </c>
      <c r="G819" t="s">
        <v>10</v>
      </c>
      <c r="H819" t="s">
        <v>11</v>
      </c>
      <c r="I819" t="s">
        <v>32</v>
      </c>
      <c r="J819" s="30" t="str">
        <f>IF(ISNUMBER(MATCH($D819,'Lopettaneet 2013-&gt;'!$D:$D,0)),INDEX('Lopettaneet 2013-&gt;'!$K:$K,MATCH($D819,'Lopettaneet 2013-&gt;'!$D:$D,0)),"Continues")</f>
        <v>Continues</v>
      </c>
      <c r="K819" s="30">
        <f ca="1">IF($J819="Continues",DATEDIF($B819,TODAY(),"Y"),INDEX('Lopettaneet 2013-&gt;'!$L:$L,MATCH($D819,'Lopettaneet 2013-&gt;'!$D:$D,0)))</f>
        <v>4</v>
      </c>
      <c r="L819" s="31" t="str">
        <f>IFERROR(INDEX('[1]30.06.2024'!$H:$H,MATCH($E819,'[1]30.06.2024'!$B:$B,0)),"Not found")</f>
        <v>SARKA Varainhoito Oy</v>
      </c>
      <c r="M819" s="31" t="str">
        <f>IFERROR(INDEX([2]Sheet1!$B:$B,MATCH($D819,[2]Sheet1!$A:$A,0)),"Not found")</f>
        <v>Non-Retail</v>
      </c>
      <c r="N819">
        <f t="shared" si="24"/>
        <v>0</v>
      </c>
      <c r="O819">
        <f t="shared" si="25"/>
        <v>1</v>
      </c>
    </row>
    <row r="820" spans="1:15" x14ac:dyDescent="0.25">
      <c r="A820" t="s">
        <v>0</v>
      </c>
      <c r="B820" s="1">
        <v>43952</v>
      </c>
      <c r="C820" s="1">
        <v>55153</v>
      </c>
      <c r="D820" s="4" t="s">
        <v>1836</v>
      </c>
      <c r="E820" s="32" t="s">
        <v>1837</v>
      </c>
      <c r="F820" s="32">
        <v>31333545</v>
      </c>
      <c r="G820" t="s">
        <v>3</v>
      </c>
      <c r="H820" t="s">
        <v>4</v>
      </c>
      <c r="I820" t="s">
        <v>20</v>
      </c>
      <c r="J820" s="30" t="str">
        <f>IF(ISNUMBER(MATCH($D820,'Lopettaneet 2013-&gt;'!$D:$D,0)),INDEX('Lopettaneet 2013-&gt;'!$K:$K,MATCH($D820,'Lopettaneet 2013-&gt;'!$D:$D,0)),"Continues")</f>
        <v>Continues</v>
      </c>
      <c r="K820" s="30">
        <f ca="1">IF($J820="Continues",DATEDIF($B820,TODAY(),"Y"),INDEX('Lopettaneet 2013-&gt;'!$L:$L,MATCH($D820,'Lopettaneet 2013-&gt;'!$D:$D,0)))</f>
        <v>5</v>
      </c>
      <c r="L820" s="31" t="str">
        <f>IFERROR(INDEX('[1]30.06.2024'!$H:$H,MATCH($E820,'[1]30.06.2024'!$B:$B,0)),"Not found")</f>
        <v>Ålandsbanken Fondbolag Ab</v>
      </c>
      <c r="M820" s="31" t="str">
        <f>IFERROR(INDEX([2]Sheet1!$B:$B,MATCH($D820,[2]Sheet1!$A:$A,0)),"Not found")</f>
        <v>Retail</v>
      </c>
      <c r="N820">
        <f t="shared" si="24"/>
        <v>1</v>
      </c>
      <c r="O820">
        <f t="shared" si="25"/>
        <v>0</v>
      </c>
    </row>
    <row r="821" spans="1:15" x14ac:dyDescent="0.25">
      <c r="A821" t="s">
        <v>0</v>
      </c>
      <c r="B821" s="1">
        <v>43983</v>
      </c>
      <c r="C821" s="1">
        <v>55153</v>
      </c>
      <c r="D821" s="4" t="s">
        <v>1838</v>
      </c>
      <c r="E821" s="32" t="s">
        <v>1839</v>
      </c>
      <c r="F821" s="32">
        <v>31296676</v>
      </c>
      <c r="G821" t="s">
        <v>3</v>
      </c>
      <c r="H821" t="s">
        <v>4</v>
      </c>
      <c r="I821" t="s">
        <v>20</v>
      </c>
      <c r="J821" s="30" t="str">
        <f>IF(ISNUMBER(MATCH($D821,'Lopettaneet 2013-&gt;'!$D:$D,0)),INDEX('Lopettaneet 2013-&gt;'!$K:$K,MATCH($D821,'Lopettaneet 2013-&gt;'!$D:$D,0)),"Continues")</f>
        <v>Continues</v>
      </c>
      <c r="K821" s="30">
        <f ca="1">IF($J821="Continues",DATEDIF($B821,TODAY(),"Y"),INDEX('Lopettaneet 2013-&gt;'!$L:$L,MATCH($D821,'Lopettaneet 2013-&gt;'!$D:$D,0)))</f>
        <v>4</v>
      </c>
      <c r="L821" s="31" t="str">
        <f>IFERROR(INDEX('[1]30.06.2024'!$H:$H,MATCH($E821,'[1]30.06.2024'!$B:$B,0)),"Not found")</f>
        <v>Nordea Funds Oy</v>
      </c>
      <c r="M821" s="31" t="str">
        <f>IFERROR(INDEX([2]Sheet1!$B:$B,MATCH($D821,[2]Sheet1!$A:$A,0)),"Not found")</f>
        <v>Retail</v>
      </c>
      <c r="N821">
        <f t="shared" si="24"/>
        <v>1</v>
      </c>
      <c r="O821">
        <f t="shared" si="25"/>
        <v>0</v>
      </c>
    </row>
    <row r="822" spans="1:15" x14ac:dyDescent="0.25">
      <c r="A822" t="s">
        <v>7</v>
      </c>
      <c r="B822" s="1">
        <v>44348</v>
      </c>
      <c r="C822" s="1">
        <v>55153</v>
      </c>
      <c r="D822" s="4" t="s">
        <v>1840</v>
      </c>
      <c r="E822" s="32" t="s">
        <v>1841</v>
      </c>
      <c r="F822" s="32">
        <v>31310116</v>
      </c>
      <c r="G822" t="s">
        <v>10</v>
      </c>
      <c r="H822" t="s">
        <v>11</v>
      </c>
      <c r="I822" t="s">
        <v>29</v>
      </c>
      <c r="J822" s="30" t="str">
        <f>IF(ISNUMBER(MATCH($D822,'Lopettaneet 2013-&gt;'!$D:$D,0)),INDEX('Lopettaneet 2013-&gt;'!$K:$K,MATCH($D822,'Lopettaneet 2013-&gt;'!$D:$D,0)),"Continues")</f>
        <v>Continues</v>
      </c>
      <c r="K822" s="30">
        <f ca="1">IF($J822="Continues",DATEDIF($B822,TODAY(),"Y"),INDEX('Lopettaneet 2013-&gt;'!$L:$L,MATCH($D822,'Lopettaneet 2013-&gt;'!$D:$D,0)))</f>
        <v>3</v>
      </c>
      <c r="L822" s="31" t="str">
        <f>IFERROR(INDEX('[1]30.06.2024'!$H:$H,MATCH($E822,'[1]30.06.2024'!$B:$B,0)),"Not found")</f>
        <v>CapMan AIFM Oy</v>
      </c>
      <c r="M822" s="31" t="str">
        <f>IFERROR(INDEX([2]Sheet1!$B:$B,MATCH($D822,[2]Sheet1!$A:$A,0)),"Not found")</f>
        <v>Non-Retail</v>
      </c>
      <c r="N822">
        <f t="shared" si="24"/>
        <v>0</v>
      </c>
      <c r="O822">
        <f t="shared" si="25"/>
        <v>1</v>
      </c>
    </row>
    <row r="823" spans="1:15" x14ac:dyDescent="0.25">
      <c r="A823" t="s">
        <v>7</v>
      </c>
      <c r="B823" s="1">
        <v>44166</v>
      </c>
      <c r="C823" s="1">
        <v>55153</v>
      </c>
      <c r="D823" s="4" t="s">
        <v>1842</v>
      </c>
      <c r="E823" s="32" t="s">
        <v>1843</v>
      </c>
      <c r="F823" s="32">
        <v>32300171</v>
      </c>
      <c r="G823" t="s">
        <v>10</v>
      </c>
      <c r="H823" t="s">
        <v>11</v>
      </c>
      <c r="I823" t="s">
        <v>80</v>
      </c>
      <c r="J823" s="30" t="str">
        <f>IF(ISNUMBER(MATCH($D823,'Lopettaneet 2013-&gt;'!$D:$D,0)),INDEX('Lopettaneet 2013-&gt;'!$K:$K,MATCH($D823,'Lopettaneet 2013-&gt;'!$D:$D,0)),"Continues")</f>
        <v>Continues</v>
      </c>
      <c r="K823" s="30">
        <f ca="1">IF($J823="Continues",DATEDIF($B823,TODAY(),"Y"),INDEX('Lopettaneet 2013-&gt;'!$L:$L,MATCH($D823,'Lopettaneet 2013-&gt;'!$D:$D,0)))</f>
        <v>4</v>
      </c>
      <c r="L823" s="31" t="str">
        <f>IFERROR(INDEX('[1]30.06.2024'!$H:$H,MATCH($E823,'[1]30.06.2024'!$B:$B,0)),"Not found")</f>
        <v>Butterfly Ventures Oy</v>
      </c>
      <c r="M823" s="31" t="str">
        <f>IFERROR(INDEX([2]Sheet1!$B:$B,MATCH($D823,[2]Sheet1!$A:$A,0)),"Not found")</f>
        <v>Retail</v>
      </c>
      <c r="N823">
        <f t="shared" si="24"/>
        <v>1</v>
      </c>
      <c r="O823">
        <f t="shared" si="25"/>
        <v>0</v>
      </c>
    </row>
    <row r="824" spans="1:15" x14ac:dyDescent="0.25">
      <c r="A824" t="s">
        <v>7</v>
      </c>
      <c r="B824" s="1">
        <v>44075</v>
      </c>
      <c r="C824" s="1">
        <v>55153</v>
      </c>
      <c r="D824" s="4" t="s">
        <v>1844</v>
      </c>
      <c r="E824" s="32" t="s">
        <v>1845</v>
      </c>
      <c r="F824" s="32">
        <v>31300241</v>
      </c>
      <c r="G824" t="s">
        <v>10</v>
      </c>
      <c r="H824" t="s">
        <v>11</v>
      </c>
      <c r="I824" t="s">
        <v>32</v>
      </c>
      <c r="J824" s="30" t="str">
        <f>IF(ISNUMBER(MATCH($D824,'Lopettaneet 2013-&gt;'!$D:$D,0)),INDEX('Lopettaneet 2013-&gt;'!$K:$K,MATCH($D824,'Lopettaneet 2013-&gt;'!$D:$D,0)),"Continues")</f>
        <v>Continues</v>
      </c>
      <c r="K824" s="30">
        <f ca="1">IF($J824="Continues",DATEDIF($B824,TODAY(),"Y"),INDEX('Lopettaneet 2013-&gt;'!$L:$L,MATCH($D824,'Lopettaneet 2013-&gt;'!$D:$D,0)))</f>
        <v>4</v>
      </c>
      <c r="L824" s="31" t="str">
        <f>IFERROR(INDEX('[1]30.06.2024'!$H:$H,MATCH($E824,'[1]30.06.2024'!$B:$B,0)),"Not found")</f>
        <v>eQ Rahastoyhtiö Oy</v>
      </c>
      <c r="M824" s="31" t="str">
        <f>IFERROR(INDEX([2]Sheet1!$B:$B,MATCH($D824,[2]Sheet1!$A:$A,0)),"Not found")</f>
        <v>Non-Retail</v>
      </c>
      <c r="N824">
        <f t="shared" si="24"/>
        <v>0</v>
      </c>
      <c r="O824">
        <f t="shared" si="25"/>
        <v>1</v>
      </c>
    </row>
    <row r="825" spans="1:15" x14ac:dyDescent="0.25">
      <c r="A825" t="s">
        <v>0</v>
      </c>
      <c r="B825" s="1">
        <v>44044</v>
      </c>
      <c r="C825" s="1">
        <v>55153</v>
      </c>
      <c r="D825" s="4" t="s">
        <v>1846</v>
      </c>
      <c r="E825" s="32" t="s">
        <v>1847</v>
      </c>
      <c r="F825" s="32">
        <v>31391796</v>
      </c>
      <c r="G825" t="s">
        <v>10</v>
      </c>
      <c r="H825" t="s">
        <v>11</v>
      </c>
      <c r="I825" t="s">
        <v>32</v>
      </c>
      <c r="J825" s="30" t="str">
        <f>IF(ISNUMBER(MATCH($D825,'Lopettaneet 2013-&gt;'!$D:$D,0)),INDEX('Lopettaneet 2013-&gt;'!$K:$K,MATCH($D825,'Lopettaneet 2013-&gt;'!$D:$D,0)),"Continues")</f>
        <v>Continues</v>
      </c>
      <c r="K825" s="30">
        <f ca="1">IF($J825="Continues",DATEDIF($B825,TODAY(),"Y"),INDEX('Lopettaneet 2013-&gt;'!$L:$L,MATCH($D825,'Lopettaneet 2013-&gt;'!$D:$D,0)))</f>
        <v>4</v>
      </c>
      <c r="L825" s="31" t="str">
        <f>IFERROR(INDEX('[1]30.06.2024'!$H:$H,MATCH($E825,'[1]30.06.2024'!$B:$B,0)),"Not found")</f>
        <v>eQ Rahastoyhtiö Oy</v>
      </c>
      <c r="M825" s="31" t="str">
        <f>IFERROR(INDEX([2]Sheet1!$B:$B,MATCH($D825,[2]Sheet1!$A:$A,0)),"Not found")</f>
        <v>Non-Retail</v>
      </c>
      <c r="N825">
        <f t="shared" si="24"/>
        <v>0</v>
      </c>
      <c r="O825">
        <f t="shared" si="25"/>
        <v>1</v>
      </c>
    </row>
    <row r="826" spans="1:15" x14ac:dyDescent="0.25">
      <c r="A826" t="s">
        <v>0</v>
      </c>
      <c r="B826" s="1">
        <v>43983</v>
      </c>
      <c r="C826" s="1">
        <v>55153</v>
      </c>
      <c r="D826" s="4" t="s">
        <v>1848</v>
      </c>
      <c r="E826" s="32" t="s">
        <v>1849</v>
      </c>
      <c r="F826" s="32">
        <v>31062597</v>
      </c>
      <c r="G826" t="s">
        <v>3</v>
      </c>
      <c r="H826" t="s">
        <v>4</v>
      </c>
      <c r="I826" t="s">
        <v>20</v>
      </c>
      <c r="J826" s="30" t="str">
        <f>IF(ISNUMBER(MATCH($D826,'Lopettaneet 2013-&gt;'!$D:$D,0)),INDEX('Lopettaneet 2013-&gt;'!$K:$K,MATCH($D826,'Lopettaneet 2013-&gt;'!$D:$D,0)),"Continues")</f>
        <v>Continues</v>
      </c>
      <c r="K826" s="30">
        <f ca="1">IF($J826="Continues",DATEDIF($B826,TODAY(),"Y"),INDEX('Lopettaneet 2013-&gt;'!$L:$L,MATCH($D826,'Lopettaneet 2013-&gt;'!$D:$D,0)))</f>
        <v>4</v>
      </c>
      <c r="L826" s="31" t="str">
        <f>IFERROR(INDEX('[1]30.06.2024'!$H:$H,MATCH($E826,'[1]30.06.2024'!$B:$B,0)),"Not found")</f>
        <v>Nordea Funds Oy</v>
      </c>
      <c r="M826" s="31" t="str">
        <f>IFERROR(INDEX([2]Sheet1!$B:$B,MATCH($D826,[2]Sheet1!$A:$A,0)),"Not found")</f>
        <v>Retail</v>
      </c>
      <c r="N826">
        <f t="shared" si="24"/>
        <v>1</v>
      </c>
      <c r="O826">
        <f t="shared" si="25"/>
        <v>0</v>
      </c>
    </row>
    <row r="827" spans="1:15" x14ac:dyDescent="0.25">
      <c r="A827" t="s">
        <v>7</v>
      </c>
      <c r="B827" s="1">
        <v>44075</v>
      </c>
      <c r="C827" s="1">
        <v>55153</v>
      </c>
      <c r="D827" s="4" t="s">
        <v>1850</v>
      </c>
      <c r="E827" s="32" t="s">
        <v>1851</v>
      </c>
      <c r="F827" s="32">
        <v>31345394</v>
      </c>
      <c r="G827" t="s">
        <v>10</v>
      </c>
      <c r="H827" t="s">
        <v>11</v>
      </c>
      <c r="I827" t="s">
        <v>29</v>
      </c>
      <c r="J827" s="30" t="str">
        <f>IF(ISNUMBER(MATCH($D827,'Lopettaneet 2013-&gt;'!$D:$D,0)),INDEX('Lopettaneet 2013-&gt;'!$K:$K,MATCH($D827,'Lopettaneet 2013-&gt;'!$D:$D,0)),"Continues")</f>
        <v>Continues</v>
      </c>
      <c r="K827" s="30">
        <f ca="1">IF($J827="Continues",DATEDIF($B827,TODAY(),"Y"),INDEX('Lopettaneet 2013-&gt;'!$L:$L,MATCH($D827,'Lopettaneet 2013-&gt;'!$D:$D,0)))</f>
        <v>4</v>
      </c>
      <c r="L827" s="31" t="str">
        <f>IFERROR(INDEX('[1]30.06.2024'!$H:$H,MATCH($E827,'[1]30.06.2024'!$B:$B,0)),"Not found")</f>
        <v>Taaleri Pääomarahastot Oy</v>
      </c>
      <c r="M827" s="31" t="str">
        <f>IFERROR(INDEX([2]Sheet1!$B:$B,MATCH($D827,[2]Sheet1!$A:$A,0)),"Not found")</f>
        <v>Non-Retail</v>
      </c>
      <c r="N827">
        <f t="shared" si="24"/>
        <v>0</v>
      </c>
      <c r="O827">
        <f t="shared" si="25"/>
        <v>1</v>
      </c>
    </row>
    <row r="828" spans="1:15" x14ac:dyDescent="0.25">
      <c r="A828" t="s">
        <v>7</v>
      </c>
      <c r="B828" s="1">
        <v>44075</v>
      </c>
      <c r="C828" s="1">
        <v>55153</v>
      </c>
      <c r="D828" s="4" t="s">
        <v>1852</v>
      </c>
      <c r="E828" s="32" t="s">
        <v>1853</v>
      </c>
      <c r="F828" s="32">
        <v>31345415</v>
      </c>
      <c r="G828" t="s">
        <v>10</v>
      </c>
      <c r="H828" t="s">
        <v>11</v>
      </c>
      <c r="I828" t="s">
        <v>29</v>
      </c>
      <c r="J828" s="30" t="str">
        <f>IF(ISNUMBER(MATCH($D828,'Lopettaneet 2013-&gt;'!$D:$D,0)),INDEX('Lopettaneet 2013-&gt;'!$K:$K,MATCH($D828,'Lopettaneet 2013-&gt;'!$D:$D,0)),"Continues")</f>
        <v>Continues</v>
      </c>
      <c r="K828" s="30">
        <f ca="1">IF($J828="Continues",DATEDIF($B828,TODAY(),"Y"),INDEX('Lopettaneet 2013-&gt;'!$L:$L,MATCH($D828,'Lopettaneet 2013-&gt;'!$D:$D,0)))</f>
        <v>4</v>
      </c>
      <c r="L828" s="31" t="str">
        <f>IFERROR(INDEX('[1]30.06.2024'!$H:$H,MATCH($E828,'[1]30.06.2024'!$B:$B,0)),"Not found")</f>
        <v>Taaleri Pääomarahastot Oy</v>
      </c>
      <c r="M828" s="31" t="str">
        <f>IFERROR(INDEX([2]Sheet1!$B:$B,MATCH($D828,[2]Sheet1!$A:$A,0)),"Not found")</f>
        <v>Non-Retail</v>
      </c>
      <c r="N828">
        <f t="shared" si="24"/>
        <v>0</v>
      </c>
      <c r="O828">
        <f t="shared" si="25"/>
        <v>1</v>
      </c>
    </row>
    <row r="829" spans="1:15" x14ac:dyDescent="0.25">
      <c r="A829" t="s">
        <v>7</v>
      </c>
      <c r="B829" s="1">
        <v>44075</v>
      </c>
      <c r="C829" s="1">
        <v>55153</v>
      </c>
      <c r="D829" s="4" t="s">
        <v>1854</v>
      </c>
      <c r="E829" s="32" t="s">
        <v>1855</v>
      </c>
      <c r="F829" s="32">
        <v>31345407</v>
      </c>
      <c r="G829" t="s">
        <v>10</v>
      </c>
      <c r="H829" t="s">
        <v>11</v>
      </c>
      <c r="I829" t="s">
        <v>29</v>
      </c>
      <c r="J829" s="30" t="str">
        <f>IF(ISNUMBER(MATCH($D829,'Lopettaneet 2013-&gt;'!$D:$D,0)),INDEX('Lopettaneet 2013-&gt;'!$K:$K,MATCH($D829,'Lopettaneet 2013-&gt;'!$D:$D,0)),"Continues")</f>
        <v>Continues</v>
      </c>
      <c r="K829" s="30">
        <f ca="1">IF($J829="Continues",DATEDIF($B829,TODAY(),"Y"),INDEX('Lopettaneet 2013-&gt;'!$L:$L,MATCH($D829,'Lopettaneet 2013-&gt;'!$D:$D,0)))</f>
        <v>4</v>
      </c>
      <c r="L829" s="31" t="str">
        <f>IFERROR(INDEX('[1]30.06.2024'!$H:$H,MATCH($E829,'[1]30.06.2024'!$B:$B,0)),"Not found")</f>
        <v>Taaleri Pääomarahastot Oy</v>
      </c>
      <c r="M829" s="31" t="str">
        <f>IFERROR(INDEX([2]Sheet1!$B:$B,MATCH($D829,[2]Sheet1!$A:$A,0)),"Not found")</f>
        <v>Non-Retail</v>
      </c>
      <c r="N829">
        <f t="shared" si="24"/>
        <v>0</v>
      </c>
      <c r="O829">
        <f t="shared" si="25"/>
        <v>1</v>
      </c>
    </row>
    <row r="830" spans="1:15" x14ac:dyDescent="0.25">
      <c r="A830" t="s">
        <v>0</v>
      </c>
      <c r="B830" s="1">
        <v>44044</v>
      </c>
      <c r="C830" s="1">
        <v>55153</v>
      </c>
      <c r="D830" s="4" t="s">
        <v>1856</v>
      </c>
      <c r="E830" s="32" t="s">
        <v>1857</v>
      </c>
      <c r="F830" s="32">
        <v>31410045</v>
      </c>
      <c r="G830" t="s">
        <v>3</v>
      </c>
      <c r="H830" t="s">
        <v>4</v>
      </c>
      <c r="I830" t="s">
        <v>20</v>
      </c>
      <c r="J830" s="30" t="str">
        <f>IF(ISNUMBER(MATCH($D830,'Lopettaneet 2013-&gt;'!$D:$D,0)),INDEX('Lopettaneet 2013-&gt;'!$K:$K,MATCH($D830,'Lopettaneet 2013-&gt;'!$D:$D,0)),"Continues")</f>
        <v>Continues</v>
      </c>
      <c r="K830" s="30">
        <f ca="1">IF($J830="Continues",DATEDIF($B830,TODAY(),"Y"),INDEX('Lopettaneet 2013-&gt;'!$L:$L,MATCH($D830,'Lopettaneet 2013-&gt;'!$D:$D,0)))</f>
        <v>4</v>
      </c>
      <c r="L830" s="31" t="str">
        <f>IFERROR(INDEX('[1]30.06.2024'!$H:$H,MATCH($E830,'[1]30.06.2024'!$B:$B,0)),"Not found")</f>
        <v>Evli-Rahastoyhtiö Oy</v>
      </c>
      <c r="M830" s="31" t="str">
        <f>IFERROR(INDEX([2]Sheet1!$B:$B,MATCH($D830,[2]Sheet1!$A:$A,0)),"Not found")</f>
        <v>Retail</v>
      </c>
      <c r="N830">
        <f t="shared" si="24"/>
        <v>1</v>
      </c>
      <c r="O830">
        <f t="shared" si="25"/>
        <v>0</v>
      </c>
    </row>
    <row r="831" spans="1:15" x14ac:dyDescent="0.25">
      <c r="A831" t="s">
        <v>0</v>
      </c>
      <c r="B831" s="1">
        <v>44044</v>
      </c>
      <c r="C831" s="1">
        <v>55153</v>
      </c>
      <c r="D831" s="4" t="s">
        <v>1858</v>
      </c>
      <c r="E831" s="32" t="s">
        <v>1859</v>
      </c>
      <c r="F831" s="32">
        <v>31410037</v>
      </c>
      <c r="G831" t="s">
        <v>3</v>
      </c>
      <c r="H831" t="s">
        <v>4</v>
      </c>
      <c r="I831" t="s">
        <v>50</v>
      </c>
      <c r="J831" s="30" t="str">
        <f>IF(ISNUMBER(MATCH($D831,'Lopettaneet 2013-&gt;'!$D:$D,0)),INDEX('Lopettaneet 2013-&gt;'!$K:$K,MATCH($D831,'Lopettaneet 2013-&gt;'!$D:$D,0)),"Continues")</f>
        <v>Continues</v>
      </c>
      <c r="K831" s="30">
        <f ca="1">IF($J831="Continues",DATEDIF($B831,TODAY(),"Y"),INDEX('Lopettaneet 2013-&gt;'!$L:$L,MATCH($D831,'Lopettaneet 2013-&gt;'!$D:$D,0)))</f>
        <v>4</v>
      </c>
      <c r="L831" s="31" t="str">
        <f>IFERROR(INDEX('[1]30.06.2024'!$H:$H,MATCH($E831,'[1]30.06.2024'!$B:$B,0)),"Not found")</f>
        <v>Evli-Rahastoyhtiö Oy</v>
      </c>
      <c r="M831" s="31" t="str">
        <f>IFERROR(INDEX([2]Sheet1!$B:$B,MATCH($D831,[2]Sheet1!$A:$A,0)),"Not found")</f>
        <v>Retail</v>
      </c>
      <c r="N831">
        <f t="shared" si="24"/>
        <v>1</v>
      </c>
      <c r="O831">
        <f t="shared" si="25"/>
        <v>0</v>
      </c>
    </row>
    <row r="832" spans="1:15" x14ac:dyDescent="0.25">
      <c r="A832" t="s">
        <v>0</v>
      </c>
      <c r="B832" s="1">
        <v>43983</v>
      </c>
      <c r="C832" s="1">
        <v>45291</v>
      </c>
      <c r="D832" s="4" t="s">
        <v>53</v>
      </c>
      <c r="E832" s="32" t="s">
        <v>54</v>
      </c>
      <c r="F832" s="32">
        <v>31342951</v>
      </c>
      <c r="G832" t="s">
        <v>3</v>
      </c>
      <c r="H832" t="s">
        <v>4</v>
      </c>
      <c r="I832" t="s">
        <v>20</v>
      </c>
      <c r="J832" s="30" t="str">
        <f>IF(ISNUMBER(MATCH($D832,'Lopettaneet 2013-&gt;'!$D:$D,0)),INDEX('Lopettaneet 2013-&gt;'!$K:$K,MATCH($D832,'Lopettaneet 2013-&gt;'!$D:$D,0)),"Continues")</f>
        <v>Merged</v>
      </c>
      <c r="K832" s="30">
        <f ca="1">IF($J832="Continues",DATEDIF($B832,TODAY(),"Y"),INDEX('Lopettaneet 2013-&gt;'!$L:$L,MATCH($D832,'Lopettaneet 2013-&gt;'!$D:$D,0)))</f>
        <v>3</v>
      </c>
      <c r="L832" s="31" t="str">
        <f>IFERROR(INDEX('[1]30.06.2024'!$H:$H,MATCH($E832,'[1]30.06.2024'!$B:$B,0)),"Not found")</f>
        <v>Not found</v>
      </c>
      <c r="M832" s="31" t="str">
        <f>IFERROR(INDEX([2]Sheet1!$B:$B,MATCH($D832,[2]Sheet1!$A:$A,0)),"Not found")</f>
        <v>Not found</v>
      </c>
      <c r="N832">
        <f t="shared" si="24"/>
        <v>0</v>
      </c>
      <c r="O832">
        <f t="shared" si="25"/>
        <v>0</v>
      </c>
    </row>
    <row r="833" spans="1:15" x14ac:dyDescent="0.25">
      <c r="A833" t="s">
        <v>0</v>
      </c>
      <c r="B833" s="1">
        <v>43983</v>
      </c>
      <c r="C833" s="1">
        <v>45291</v>
      </c>
      <c r="D833" s="4" t="s">
        <v>55</v>
      </c>
      <c r="E833" s="32" t="s">
        <v>56</v>
      </c>
      <c r="F833" s="32">
        <v>31342943</v>
      </c>
      <c r="G833" t="s">
        <v>3</v>
      </c>
      <c r="H833" t="s">
        <v>4</v>
      </c>
      <c r="I833" t="s">
        <v>20</v>
      </c>
      <c r="J833" s="30" t="str">
        <f>IF(ISNUMBER(MATCH($D833,'Lopettaneet 2013-&gt;'!$D:$D,0)),INDEX('Lopettaneet 2013-&gt;'!$K:$K,MATCH($D833,'Lopettaneet 2013-&gt;'!$D:$D,0)),"Continues")</f>
        <v>Merged</v>
      </c>
      <c r="K833" s="30">
        <f ca="1">IF($J833="Continues",DATEDIF($B833,TODAY(),"Y"),INDEX('Lopettaneet 2013-&gt;'!$L:$L,MATCH($D833,'Lopettaneet 2013-&gt;'!$D:$D,0)))</f>
        <v>3</v>
      </c>
      <c r="L833" s="31" t="str">
        <f>IFERROR(INDEX('[1]30.06.2024'!$H:$H,MATCH($E833,'[1]30.06.2024'!$B:$B,0)),"Not found")</f>
        <v>Not found</v>
      </c>
      <c r="M833" s="31" t="str">
        <f>IFERROR(INDEX([2]Sheet1!$B:$B,MATCH($D833,[2]Sheet1!$A:$A,0)),"Not found")</f>
        <v>Not found</v>
      </c>
      <c r="N833">
        <f t="shared" si="24"/>
        <v>0</v>
      </c>
      <c r="O833">
        <f t="shared" si="25"/>
        <v>0</v>
      </c>
    </row>
    <row r="834" spans="1:15" x14ac:dyDescent="0.25">
      <c r="A834" t="s">
        <v>0</v>
      </c>
      <c r="B834" s="1">
        <v>44044</v>
      </c>
      <c r="C834" s="1">
        <v>45291</v>
      </c>
      <c r="D834" s="4" t="s">
        <v>57</v>
      </c>
      <c r="E834" s="32" t="s">
        <v>58</v>
      </c>
      <c r="F834" s="32">
        <v>31342724</v>
      </c>
      <c r="G834" t="s">
        <v>3</v>
      </c>
      <c r="H834" t="s">
        <v>4</v>
      </c>
      <c r="I834" t="s">
        <v>20</v>
      </c>
      <c r="J834" s="30" t="str">
        <f>IF(ISNUMBER(MATCH($D834,'Lopettaneet 2013-&gt;'!$D:$D,0)),INDEX('Lopettaneet 2013-&gt;'!$K:$K,MATCH($D834,'Lopettaneet 2013-&gt;'!$D:$D,0)),"Continues")</f>
        <v>Merged</v>
      </c>
      <c r="K834" s="30">
        <f ca="1">IF($J834="Continues",DATEDIF($B834,TODAY(),"Y"),INDEX('Lopettaneet 2013-&gt;'!$L:$L,MATCH($D834,'Lopettaneet 2013-&gt;'!$D:$D,0)))</f>
        <v>3</v>
      </c>
      <c r="L834" s="31" t="str">
        <f>IFERROR(INDEX('[1]30.06.2024'!$H:$H,MATCH($E834,'[1]30.06.2024'!$B:$B,0)),"Not found")</f>
        <v>Not found</v>
      </c>
      <c r="M834" s="31" t="str">
        <f>IFERROR(INDEX([2]Sheet1!$B:$B,MATCH($D834,[2]Sheet1!$A:$A,0)),"Not found")</f>
        <v>Not found</v>
      </c>
      <c r="N834">
        <f t="shared" si="24"/>
        <v>0</v>
      </c>
      <c r="O834">
        <f t="shared" si="25"/>
        <v>0</v>
      </c>
    </row>
    <row r="835" spans="1:15" x14ac:dyDescent="0.25">
      <c r="A835" t="s">
        <v>0</v>
      </c>
      <c r="B835" s="1">
        <v>44044</v>
      </c>
      <c r="C835" s="1">
        <v>45291</v>
      </c>
      <c r="D835" s="4" t="s">
        <v>59</v>
      </c>
      <c r="E835" s="32" t="s">
        <v>60</v>
      </c>
      <c r="F835" s="32">
        <v>31342732</v>
      </c>
      <c r="G835" t="s">
        <v>3</v>
      </c>
      <c r="H835" t="s">
        <v>4</v>
      </c>
      <c r="I835" t="s">
        <v>20</v>
      </c>
      <c r="J835" s="30" t="str">
        <f>IF(ISNUMBER(MATCH($D835,'Lopettaneet 2013-&gt;'!$D:$D,0)),INDEX('Lopettaneet 2013-&gt;'!$K:$K,MATCH($D835,'Lopettaneet 2013-&gt;'!$D:$D,0)),"Continues")</f>
        <v>Merged</v>
      </c>
      <c r="K835" s="30">
        <f ca="1">IF($J835="Continues",DATEDIF($B835,TODAY(),"Y"),INDEX('Lopettaneet 2013-&gt;'!$L:$L,MATCH($D835,'Lopettaneet 2013-&gt;'!$D:$D,0)))</f>
        <v>3</v>
      </c>
      <c r="L835" s="31" t="str">
        <f>IFERROR(INDEX('[1]30.06.2024'!$H:$H,MATCH($E835,'[1]30.06.2024'!$B:$B,0)),"Not found")</f>
        <v>Not found</v>
      </c>
      <c r="M835" s="31" t="str">
        <f>IFERROR(INDEX([2]Sheet1!$B:$B,MATCH($D835,[2]Sheet1!$A:$A,0)),"Not found")</f>
        <v>Not found</v>
      </c>
      <c r="N835">
        <f t="shared" ref="N835:N898" si="26">IF($M835="Retail",1,0)</f>
        <v>0</v>
      </c>
      <c r="O835">
        <f t="shared" ref="O835:O898" si="27">IF($M835="Non-Retail",1,0)</f>
        <v>0</v>
      </c>
    </row>
    <row r="836" spans="1:15" x14ac:dyDescent="0.25">
      <c r="A836" t="s">
        <v>0</v>
      </c>
      <c r="B836" s="1">
        <v>44044</v>
      </c>
      <c r="C836" s="1">
        <v>55153</v>
      </c>
      <c r="D836" s="4" t="s">
        <v>1860</v>
      </c>
      <c r="E836" s="32" t="s">
        <v>1861</v>
      </c>
      <c r="F836" s="32">
        <v>31342329</v>
      </c>
      <c r="G836" t="s">
        <v>3</v>
      </c>
      <c r="H836" t="s">
        <v>4</v>
      </c>
      <c r="I836" t="s">
        <v>20</v>
      </c>
      <c r="J836" s="30" t="str">
        <f>IF(ISNUMBER(MATCH($D836,'Lopettaneet 2013-&gt;'!$D:$D,0)),INDEX('Lopettaneet 2013-&gt;'!$K:$K,MATCH($D836,'Lopettaneet 2013-&gt;'!$D:$D,0)),"Continues")</f>
        <v>Continues</v>
      </c>
      <c r="K836" s="30">
        <f ca="1">IF($J836="Continues",DATEDIF($B836,TODAY(),"Y"),INDEX('Lopettaneet 2013-&gt;'!$L:$L,MATCH($D836,'Lopettaneet 2013-&gt;'!$D:$D,0)))</f>
        <v>4</v>
      </c>
      <c r="L836" s="31" t="str">
        <f>IFERROR(INDEX('[1]30.06.2024'!$H:$H,MATCH($E836,'[1]30.06.2024'!$B:$B,0)),"Not found")</f>
        <v>OP-Rahastoyhtiö Oy</v>
      </c>
      <c r="M836" s="31" t="str">
        <f>IFERROR(INDEX([2]Sheet1!$B:$B,MATCH($D836,[2]Sheet1!$A:$A,0)),"Not found")</f>
        <v>Retail</v>
      </c>
      <c r="N836">
        <f t="shared" si="26"/>
        <v>1</v>
      </c>
      <c r="O836">
        <f t="shared" si="27"/>
        <v>0</v>
      </c>
    </row>
    <row r="837" spans="1:15" x14ac:dyDescent="0.25">
      <c r="A837" t="s">
        <v>0</v>
      </c>
      <c r="B837" s="1">
        <v>44287</v>
      </c>
      <c r="C837" s="1">
        <v>44926</v>
      </c>
      <c r="D837" s="4" t="s">
        <v>1862</v>
      </c>
      <c r="E837" s="32" t="s">
        <v>1863</v>
      </c>
      <c r="F837" s="32">
        <v>31429408</v>
      </c>
      <c r="G837" t="s">
        <v>3</v>
      </c>
      <c r="H837" t="s">
        <v>4</v>
      </c>
      <c r="I837" t="s">
        <v>20</v>
      </c>
      <c r="J837" s="30" t="str">
        <f>IF(ISNUMBER(MATCH($D837,'Lopettaneet 2013-&gt;'!$D:$D,0)),INDEX('Lopettaneet 2013-&gt;'!$K:$K,MATCH($D837,'Lopettaneet 2013-&gt;'!$D:$D,0)),"Continues")</f>
        <v>Merged</v>
      </c>
      <c r="K837" s="30">
        <f ca="1">IF($J837="Continues",DATEDIF($B837,TODAY(),"Y"),INDEX('Lopettaneet 2013-&gt;'!$L:$L,MATCH($D837,'Lopettaneet 2013-&gt;'!$D:$D,0)))</f>
        <v>1</v>
      </c>
      <c r="L837" s="31" t="str">
        <f>IFERROR(INDEX('[1]30.06.2024'!$H:$H,MATCH($E837,'[1]30.06.2024'!$B:$B,0)),"Not found")</f>
        <v>Not found</v>
      </c>
      <c r="M837" s="31" t="str">
        <f>IFERROR(INDEX([2]Sheet1!$B:$B,MATCH($D837,[2]Sheet1!$A:$A,0)),"Not found")</f>
        <v>Not found</v>
      </c>
      <c r="N837">
        <f t="shared" si="26"/>
        <v>0</v>
      </c>
      <c r="O837">
        <f t="shared" si="27"/>
        <v>0</v>
      </c>
    </row>
    <row r="838" spans="1:15" x14ac:dyDescent="0.25">
      <c r="A838" t="s">
        <v>0</v>
      </c>
      <c r="B838" s="1">
        <v>44105</v>
      </c>
      <c r="C838" s="1">
        <v>44926</v>
      </c>
      <c r="D838" s="4" t="s">
        <v>1864</v>
      </c>
      <c r="E838" s="32" t="s">
        <v>1865</v>
      </c>
      <c r="F838" s="32">
        <v>31429416</v>
      </c>
      <c r="G838" t="s">
        <v>3</v>
      </c>
      <c r="H838" t="s">
        <v>4</v>
      </c>
      <c r="I838" t="s">
        <v>20</v>
      </c>
      <c r="J838" s="30" t="str">
        <f>IF(ISNUMBER(MATCH($D838,'Lopettaneet 2013-&gt;'!$D:$D,0)),INDEX('Lopettaneet 2013-&gt;'!$K:$K,MATCH($D838,'Lopettaneet 2013-&gt;'!$D:$D,0)),"Continues")</f>
        <v>Merged</v>
      </c>
      <c r="K838" s="30">
        <f ca="1">IF($J838="Continues",DATEDIF($B838,TODAY(),"Y"),INDEX('Lopettaneet 2013-&gt;'!$L:$L,MATCH($D838,'Lopettaneet 2013-&gt;'!$D:$D,0)))</f>
        <v>2</v>
      </c>
      <c r="L838" s="31" t="str">
        <f>IFERROR(INDEX('[1]30.06.2024'!$H:$H,MATCH($E838,'[1]30.06.2024'!$B:$B,0)),"Not found")</f>
        <v>Not found</v>
      </c>
      <c r="M838" s="31" t="str">
        <f>IFERROR(INDEX([2]Sheet1!$B:$B,MATCH($D838,[2]Sheet1!$A:$A,0)),"Not found")</f>
        <v>Not found</v>
      </c>
      <c r="N838">
        <f t="shared" si="26"/>
        <v>0</v>
      </c>
      <c r="O838">
        <f t="shared" si="27"/>
        <v>0</v>
      </c>
    </row>
    <row r="839" spans="1:15" x14ac:dyDescent="0.25">
      <c r="A839" t="s">
        <v>0</v>
      </c>
      <c r="B839" s="1">
        <v>44075</v>
      </c>
      <c r="C839" s="1">
        <v>55153</v>
      </c>
      <c r="D839" s="4" t="s">
        <v>1866</v>
      </c>
      <c r="E839" s="32" t="s">
        <v>1867</v>
      </c>
      <c r="F839" s="32">
        <v>31244091</v>
      </c>
      <c r="G839" t="s">
        <v>3</v>
      </c>
      <c r="H839" t="s">
        <v>4</v>
      </c>
      <c r="I839" t="s">
        <v>50</v>
      </c>
      <c r="J839" s="30" t="str">
        <f>IF(ISNUMBER(MATCH($D839,'Lopettaneet 2013-&gt;'!$D:$D,0)),INDEX('Lopettaneet 2013-&gt;'!$K:$K,MATCH($D839,'Lopettaneet 2013-&gt;'!$D:$D,0)),"Continues")</f>
        <v>Continues</v>
      </c>
      <c r="K839" s="30">
        <f ca="1">IF($J839="Continues",DATEDIF($B839,TODAY(),"Y"),INDEX('Lopettaneet 2013-&gt;'!$L:$L,MATCH($D839,'Lopettaneet 2013-&gt;'!$D:$D,0)))</f>
        <v>4</v>
      </c>
      <c r="L839" s="31" t="str">
        <f>IFERROR(INDEX('[1]30.06.2024'!$H:$H,MATCH($E839,'[1]30.06.2024'!$B:$B,0)),"Not found")</f>
        <v>UB Rahastoyhtiö Oy</v>
      </c>
      <c r="M839" s="31" t="str">
        <f>IFERROR(INDEX([2]Sheet1!$B:$B,MATCH($D839,[2]Sheet1!$A:$A,0)),"Not found")</f>
        <v>Retail</v>
      </c>
      <c r="N839">
        <f t="shared" si="26"/>
        <v>1</v>
      </c>
      <c r="O839">
        <f t="shared" si="27"/>
        <v>0</v>
      </c>
    </row>
    <row r="840" spans="1:15" x14ac:dyDescent="0.25">
      <c r="A840" t="s">
        <v>7</v>
      </c>
      <c r="B840" s="1">
        <v>44075</v>
      </c>
      <c r="C840" s="1">
        <v>55153</v>
      </c>
      <c r="D840" s="4" t="s">
        <v>1868</v>
      </c>
      <c r="E840" s="32" t="s">
        <v>1869</v>
      </c>
      <c r="F840" s="32">
        <v>31330897</v>
      </c>
      <c r="G840" t="s">
        <v>10</v>
      </c>
      <c r="H840" t="s">
        <v>11</v>
      </c>
      <c r="I840" t="s">
        <v>12</v>
      </c>
      <c r="J840" s="30" t="str">
        <f>IF(ISNUMBER(MATCH($D840,'Lopettaneet 2013-&gt;'!$D:$D,0)),INDEX('Lopettaneet 2013-&gt;'!$K:$K,MATCH($D840,'Lopettaneet 2013-&gt;'!$D:$D,0)),"Continues")</f>
        <v>Continues</v>
      </c>
      <c r="K840" s="30">
        <f ca="1">IF($J840="Continues",DATEDIF($B840,TODAY(),"Y"),INDEX('Lopettaneet 2013-&gt;'!$L:$L,MATCH($D840,'Lopettaneet 2013-&gt;'!$D:$D,0)))</f>
        <v>4</v>
      </c>
      <c r="L840" s="31" t="str">
        <f>IFERROR(INDEX('[1]30.06.2024'!$H:$H,MATCH($E840,'[1]30.06.2024'!$B:$B,0)),"Not found")</f>
        <v>CapMan AIFM Oy</v>
      </c>
      <c r="M840" s="31" t="str">
        <f>IFERROR(INDEX([2]Sheet1!$B:$B,MATCH($D840,[2]Sheet1!$A:$A,0)),"Not found")</f>
        <v>Retail</v>
      </c>
      <c r="N840">
        <f t="shared" si="26"/>
        <v>1</v>
      </c>
      <c r="O840">
        <f t="shared" si="27"/>
        <v>0</v>
      </c>
    </row>
    <row r="841" spans="1:15" x14ac:dyDescent="0.25">
      <c r="A841" t="s">
        <v>0</v>
      </c>
      <c r="B841" s="1">
        <v>44228</v>
      </c>
      <c r="C841" s="1">
        <v>55153</v>
      </c>
      <c r="D841" s="4" t="s">
        <v>1870</v>
      </c>
      <c r="E841" s="32" t="s">
        <v>1871</v>
      </c>
      <c r="F841" s="32">
        <v>31659297</v>
      </c>
      <c r="G841" t="s">
        <v>3</v>
      </c>
      <c r="H841" t="s">
        <v>4</v>
      </c>
      <c r="I841" t="s">
        <v>50</v>
      </c>
      <c r="J841" s="30" t="str">
        <f>IF(ISNUMBER(MATCH($D841,'Lopettaneet 2013-&gt;'!$D:$D,0)),INDEX('Lopettaneet 2013-&gt;'!$K:$K,MATCH($D841,'Lopettaneet 2013-&gt;'!$D:$D,0)),"Continues")</f>
        <v>Continues</v>
      </c>
      <c r="K841" s="30">
        <f ca="1">IF($J841="Continues",DATEDIF($B841,TODAY(),"Y"),INDEX('Lopettaneet 2013-&gt;'!$L:$L,MATCH($D841,'Lopettaneet 2013-&gt;'!$D:$D,0)))</f>
        <v>4</v>
      </c>
      <c r="L841" s="31" t="str">
        <f>IFERROR(INDEX('[1]30.06.2024'!$H:$H,MATCH($E841,'[1]30.06.2024'!$B:$B,0)),"Not found")</f>
        <v>Evli-Rahastoyhtiö Oy</v>
      </c>
      <c r="M841" s="31" t="str">
        <f>IFERROR(INDEX([2]Sheet1!$B:$B,MATCH($D841,[2]Sheet1!$A:$A,0)),"Not found")</f>
        <v>Retail</v>
      </c>
      <c r="N841">
        <f t="shared" si="26"/>
        <v>1</v>
      </c>
      <c r="O841">
        <f t="shared" si="27"/>
        <v>0</v>
      </c>
    </row>
    <row r="842" spans="1:15" x14ac:dyDescent="0.25">
      <c r="A842" t="s">
        <v>7</v>
      </c>
      <c r="B842" s="1">
        <v>44075</v>
      </c>
      <c r="C842" s="1">
        <v>55153</v>
      </c>
      <c r="D842" s="4" t="s">
        <v>1872</v>
      </c>
      <c r="E842" s="32" t="s">
        <v>1873</v>
      </c>
      <c r="F842" s="32">
        <v>29201615</v>
      </c>
      <c r="G842" t="s">
        <v>10</v>
      </c>
      <c r="H842" t="s">
        <v>11</v>
      </c>
      <c r="I842" t="s">
        <v>47</v>
      </c>
      <c r="J842" s="30" t="str">
        <f>IF(ISNUMBER(MATCH($D842,'Lopettaneet 2013-&gt;'!$D:$D,0)),INDEX('Lopettaneet 2013-&gt;'!$K:$K,MATCH($D842,'Lopettaneet 2013-&gt;'!$D:$D,0)),"Continues")</f>
        <v>Continues</v>
      </c>
      <c r="K842" s="30">
        <f ca="1">IF($J842="Continues",DATEDIF($B842,TODAY(),"Y"),INDEX('Lopettaneet 2013-&gt;'!$L:$L,MATCH($D842,'Lopettaneet 2013-&gt;'!$D:$D,0)))</f>
        <v>4</v>
      </c>
      <c r="L842" s="31" t="str">
        <f>IFERROR(INDEX('[1]30.06.2024'!$H:$H,MATCH($E842,'[1]30.06.2024'!$B:$B,0)),"Not found")</f>
        <v>Systematic alpha Oy</v>
      </c>
      <c r="M842" s="31" t="str">
        <f>IFERROR(INDEX([2]Sheet1!$B:$B,MATCH($D842,[2]Sheet1!$A:$A,0)),"Not found")</f>
        <v>Non-Retail</v>
      </c>
      <c r="N842">
        <f t="shared" si="26"/>
        <v>0</v>
      </c>
      <c r="O842">
        <f t="shared" si="27"/>
        <v>1</v>
      </c>
    </row>
    <row r="843" spans="1:15" x14ac:dyDescent="0.25">
      <c r="A843" t="s">
        <v>7</v>
      </c>
      <c r="B843" s="1">
        <v>44256</v>
      </c>
      <c r="C843" s="1">
        <v>55153</v>
      </c>
      <c r="D843" s="4" t="s">
        <v>1874</v>
      </c>
      <c r="E843" s="32" t="s">
        <v>1875</v>
      </c>
      <c r="F843" s="32">
        <v>31426637</v>
      </c>
      <c r="G843" t="s">
        <v>10</v>
      </c>
      <c r="H843" t="s">
        <v>11</v>
      </c>
      <c r="I843" t="s">
        <v>29</v>
      </c>
      <c r="J843" s="30" t="str">
        <f>IF(ISNUMBER(MATCH($D843,'Lopettaneet 2013-&gt;'!$D:$D,0)),INDEX('Lopettaneet 2013-&gt;'!$K:$K,MATCH($D843,'Lopettaneet 2013-&gt;'!$D:$D,0)),"Continues")</f>
        <v>Continues</v>
      </c>
      <c r="K843" s="30">
        <f ca="1">IF($J843="Continues",DATEDIF($B843,TODAY(),"Y"),INDEX('Lopettaneet 2013-&gt;'!$L:$L,MATCH($D843,'Lopettaneet 2013-&gt;'!$D:$D,0)))</f>
        <v>4</v>
      </c>
      <c r="L843" s="31" t="str">
        <f>IFERROR(INDEX('[1]30.06.2024'!$H:$H,MATCH($E843,'[1]30.06.2024'!$B:$B,0)),"Not found")</f>
        <v>CapMan AIFM Oy</v>
      </c>
      <c r="M843" s="31" t="str">
        <f>IFERROR(INDEX([2]Sheet1!$B:$B,MATCH($D843,[2]Sheet1!$A:$A,0)),"Not found")</f>
        <v>Non-Retail</v>
      </c>
      <c r="N843">
        <f t="shared" si="26"/>
        <v>0</v>
      </c>
      <c r="O843">
        <f t="shared" si="27"/>
        <v>1</v>
      </c>
    </row>
    <row r="844" spans="1:15" x14ac:dyDescent="0.25">
      <c r="A844" t="s">
        <v>7</v>
      </c>
      <c r="B844" s="1">
        <v>44075</v>
      </c>
      <c r="C844" s="1">
        <v>55153</v>
      </c>
      <c r="D844" s="4" t="s">
        <v>1876</v>
      </c>
      <c r="E844" s="32" t="s">
        <v>1877</v>
      </c>
      <c r="F844" s="32">
        <v>31449548</v>
      </c>
      <c r="G844" t="s">
        <v>10</v>
      </c>
      <c r="H844" t="s">
        <v>11</v>
      </c>
      <c r="I844" t="s">
        <v>29</v>
      </c>
      <c r="J844" s="30" t="str">
        <f>IF(ISNUMBER(MATCH($D844,'Lopettaneet 2013-&gt;'!$D:$D,0)),INDEX('Lopettaneet 2013-&gt;'!$K:$K,MATCH($D844,'Lopettaneet 2013-&gt;'!$D:$D,0)),"Continues")</f>
        <v>Continues</v>
      </c>
      <c r="K844" s="30">
        <f ca="1">IF($J844="Continues",DATEDIF($B844,TODAY(),"Y"),INDEX('Lopettaneet 2013-&gt;'!$L:$L,MATCH($D844,'Lopettaneet 2013-&gt;'!$D:$D,0)))</f>
        <v>4</v>
      </c>
      <c r="L844" s="31" t="str">
        <f>IFERROR(INDEX('[1]30.06.2024'!$H:$H,MATCH($E844,'[1]30.06.2024'!$B:$B,0)),"Not found")</f>
        <v>UB Rahastoyhtiö Oy</v>
      </c>
      <c r="M844" s="31" t="str">
        <f>IFERROR(INDEX([2]Sheet1!$B:$B,MATCH($D844,[2]Sheet1!$A:$A,0)),"Not found")</f>
        <v>Non-Retail</v>
      </c>
      <c r="N844">
        <f t="shared" si="26"/>
        <v>0</v>
      </c>
      <c r="O844">
        <f t="shared" si="27"/>
        <v>1</v>
      </c>
    </row>
    <row r="845" spans="1:15" x14ac:dyDescent="0.25">
      <c r="A845" t="s">
        <v>0</v>
      </c>
      <c r="B845" s="1">
        <v>44044</v>
      </c>
      <c r="C845" s="1">
        <v>55153</v>
      </c>
      <c r="D845" s="4" t="s">
        <v>1878</v>
      </c>
      <c r="E845" s="32" t="s">
        <v>1879</v>
      </c>
      <c r="F845" s="32">
        <v>31351559</v>
      </c>
      <c r="G845" t="s">
        <v>10</v>
      </c>
      <c r="H845" t="s">
        <v>4</v>
      </c>
      <c r="I845" t="s">
        <v>29</v>
      </c>
      <c r="J845" s="30" t="str">
        <f>IF(ISNUMBER(MATCH($D845,'Lopettaneet 2013-&gt;'!$D:$D,0)),INDEX('Lopettaneet 2013-&gt;'!$K:$K,MATCH($D845,'Lopettaneet 2013-&gt;'!$D:$D,0)),"Continues")</f>
        <v>Continues</v>
      </c>
      <c r="K845" s="30">
        <f ca="1">IF($J845="Continues",DATEDIF($B845,TODAY(),"Y"),INDEX('Lopettaneet 2013-&gt;'!$L:$L,MATCH($D845,'Lopettaneet 2013-&gt;'!$D:$D,0)))</f>
        <v>4</v>
      </c>
      <c r="L845" s="31" t="str">
        <f>IFERROR(INDEX('[1]30.06.2024'!$H:$H,MATCH($E845,'[1]30.06.2024'!$B:$B,0)),"Not found")</f>
        <v>OP-Rahastoyhtiö Oy</v>
      </c>
      <c r="M845" s="31" t="str">
        <f>IFERROR(INDEX([2]Sheet1!$B:$B,MATCH($D845,[2]Sheet1!$A:$A,0)),"Not found")</f>
        <v>Retail</v>
      </c>
      <c r="N845">
        <f t="shared" si="26"/>
        <v>1</v>
      </c>
      <c r="O845">
        <f t="shared" si="27"/>
        <v>0</v>
      </c>
    </row>
    <row r="846" spans="1:15" x14ac:dyDescent="0.25">
      <c r="A846" t="s">
        <v>0</v>
      </c>
      <c r="B846" s="1">
        <v>44287</v>
      </c>
      <c r="C846" s="1">
        <v>55153</v>
      </c>
      <c r="D846" s="4" t="s">
        <v>1880</v>
      </c>
      <c r="E846" s="32" t="s">
        <v>1881</v>
      </c>
      <c r="F846" s="32">
        <v>31563551</v>
      </c>
      <c r="G846" t="s">
        <v>10</v>
      </c>
      <c r="H846" t="s">
        <v>11</v>
      </c>
      <c r="I846" t="s">
        <v>29</v>
      </c>
      <c r="J846" s="30" t="str">
        <f>IF(ISNUMBER(MATCH($D846,'Lopettaneet 2013-&gt;'!$D:$D,0)),INDEX('Lopettaneet 2013-&gt;'!$K:$K,MATCH($D846,'Lopettaneet 2013-&gt;'!$D:$D,0)),"Continues")</f>
        <v>Continues</v>
      </c>
      <c r="K846" s="30">
        <f ca="1">IF($J846="Continues",DATEDIF($B846,TODAY(),"Y"),INDEX('Lopettaneet 2013-&gt;'!$L:$L,MATCH($D846,'Lopettaneet 2013-&gt;'!$D:$D,0)))</f>
        <v>4</v>
      </c>
      <c r="L846" s="31" t="str">
        <f>IFERROR(INDEX('[1]30.06.2024'!$H:$H,MATCH($E846,'[1]30.06.2024'!$B:$B,0)),"Not found")</f>
        <v>eQ Rahastoyhtiö Oy</v>
      </c>
      <c r="M846" s="31" t="str">
        <f>IFERROR(INDEX([2]Sheet1!$B:$B,MATCH($D846,[2]Sheet1!$A:$A,0)),"Not found")</f>
        <v>Non-Retail</v>
      </c>
      <c r="N846">
        <f t="shared" si="26"/>
        <v>0</v>
      </c>
      <c r="O846">
        <f t="shared" si="27"/>
        <v>1</v>
      </c>
    </row>
    <row r="847" spans="1:15" x14ac:dyDescent="0.25">
      <c r="A847" t="s">
        <v>7</v>
      </c>
      <c r="B847" s="1">
        <v>42339</v>
      </c>
      <c r="C847" s="1">
        <v>44196</v>
      </c>
      <c r="D847" s="4" t="s">
        <v>1882</v>
      </c>
      <c r="E847" s="32" t="s">
        <v>1883</v>
      </c>
      <c r="F847" s="32">
        <v>27221911</v>
      </c>
      <c r="G847" t="s">
        <v>10</v>
      </c>
      <c r="H847" t="s">
        <v>11</v>
      </c>
      <c r="I847" t="s">
        <v>32</v>
      </c>
      <c r="J847" s="30" t="str">
        <f>IF(ISNUMBER(MATCH($D847,'Lopettaneet 2013-&gt;'!$D:$D,0)),INDEX('Lopettaneet 2013-&gt;'!$K:$K,MATCH($D847,'Lopettaneet 2013-&gt;'!$D:$D,0)),"Continues")</f>
        <v>Closed</v>
      </c>
      <c r="K847" s="30">
        <f ca="1">IF($J847="Continues",DATEDIF($B847,TODAY(),"Y"),INDEX('Lopettaneet 2013-&gt;'!$L:$L,MATCH($D847,'Lopettaneet 2013-&gt;'!$D:$D,0)))</f>
        <v>5</v>
      </c>
      <c r="L847" s="31" t="str">
        <f>IFERROR(INDEX('[1]30.06.2024'!$H:$H,MATCH($E847,'[1]30.06.2024'!$B:$B,0)),"Not found")</f>
        <v>Not found</v>
      </c>
      <c r="M847" s="31" t="str">
        <f>IFERROR(INDEX([2]Sheet1!$B:$B,MATCH($D847,[2]Sheet1!$A:$A,0)),"Not found")</f>
        <v>Not found</v>
      </c>
      <c r="N847">
        <f t="shared" si="26"/>
        <v>0</v>
      </c>
      <c r="O847">
        <f t="shared" si="27"/>
        <v>0</v>
      </c>
    </row>
    <row r="848" spans="1:15" x14ac:dyDescent="0.25">
      <c r="A848" t="s">
        <v>0</v>
      </c>
      <c r="B848" s="1">
        <v>44075</v>
      </c>
      <c r="C848" s="1">
        <v>44712</v>
      </c>
      <c r="D848" s="4" t="s">
        <v>1884</v>
      </c>
      <c r="E848" s="32" t="s">
        <v>1885</v>
      </c>
      <c r="F848" s="32">
        <v>31403427</v>
      </c>
      <c r="G848" t="s">
        <v>10</v>
      </c>
      <c r="H848" t="s">
        <v>4</v>
      </c>
      <c r="I848" t="s">
        <v>50</v>
      </c>
      <c r="J848" s="30" t="str">
        <f>IF(ISNUMBER(MATCH($D848,'Lopettaneet 2013-&gt;'!$D:$D,0)),INDEX('Lopettaneet 2013-&gt;'!$K:$K,MATCH($D848,'Lopettaneet 2013-&gt;'!$D:$D,0)),"Continues")</f>
        <v>Closed</v>
      </c>
      <c r="K848" s="30">
        <f ca="1">IF($J848="Continues",DATEDIF($B848,TODAY(),"Y"),INDEX('Lopettaneet 2013-&gt;'!$L:$L,MATCH($D848,'Lopettaneet 2013-&gt;'!$D:$D,0)))</f>
        <v>1</v>
      </c>
      <c r="L848" s="31" t="str">
        <f>IFERROR(INDEX('[1]30.06.2024'!$H:$H,MATCH($E848,'[1]30.06.2024'!$B:$B,0)),"Not found")</f>
        <v>Not found</v>
      </c>
      <c r="M848" s="31" t="str">
        <f>IFERROR(INDEX([2]Sheet1!$B:$B,MATCH($D848,[2]Sheet1!$A:$A,0)),"Not found")</f>
        <v>Not found</v>
      </c>
      <c r="N848">
        <f t="shared" si="26"/>
        <v>0</v>
      </c>
      <c r="O848">
        <f t="shared" si="27"/>
        <v>0</v>
      </c>
    </row>
    <row r="849" spans="1:15" x14ac:dyDescent="0.25">
      <c r="A849" t="s">
        <v>0</v>
      </c>
      <c r="B849" s="1">
        <v>44075</v>
      </c>
      <c r="C849" s="1">
        <v>44712</v>
      </c>
      <c r="D849" s="4" t="s">
        <v>1886</v>
      </c>
      <c r="E849" s="32" t="s">
        <v>1887</v>
      </c>
      <c r="F849" s="32">
        <v>31403494</v>
      </c>
      <c r="G849" t="s">
        <v>10</v>
      </c>
      <c r="H849" t="s">
        <v>4</v>
      </c>
      <c r="I849" t="s">
        <v>50</v>
      </c>
      <c r="J849" s="30" t="str">
        <f>IF(ISNUMBER(MATCH($D849,'Lopettaneet 2013-&gt;'!$D:$D,0)),INDEX('Lopettaneet 2013-&gt;'!$K:$K,MATCH($D849,'Lopettaneet 2013-&gt;'!$D:$D,0)),"Continues")</f>
        <v>Closed</v>
      </c>
      <c r="K849" s="30">
        <f ca="1">IF($J849="Continues",DATEDIF($B849,TODAY(),"Y"),INDEX('Lopettaneet 2013-&gt;'!$L:$L,MATCH($D849,'Lopettaneet 2013-&gt;'!$D:$D,0)))</f>
        <v>1</v>
      </c>
      <c r="L849" s="31" t="str">
        <f>IFERROR(INDEX('[1]30.06.2024'!$H:$H,MATCH($E849,'[1]30.06.2024'!$B:$B,0)),"Not found")</f>
        <v>Not found</v>
      </c>
      <c r="M849" s="31" t="str">
        <f>IFERROR(INDEX([2]Sheet1!$B:$B,MATCH($D849,[2]Sheet1!$A:$A,0)),"Not found")</f>
        <v>Not found</v>
      </c>
      <c r="N849">
        <f t="shared" si="26"/>
        <v>0</v>
      </c>
      <c r="O849">
        <f t="shared" si="27"/>
        <v>0</v>
      </c>
    </row>
    <row r="850" spans="1:15" x14ac:dyDescent="0.25">
      <c r="A850" t="s">
        <v>7</v>
      </c>
      <c r="B850" s="1">
        <v>44075</v>
      </c>
      <c r="C850" s="1">
        <v>55153</v>
      </c>
      <c r="D850" s="4" t="s">
        <v>1888</v>
      </c>
      <c r="E850" s="32" t="s">
        <v>1889</v>
      </c>
      <c r="F850" s="32">
        <v>31371963</v>
      </c>
      <c r="G850" t="s">
        <v>10</v>
      </c>
      <c r="H850" t="s">
        <v>11</v>
      </c>
      <c r="I850" t="s">
        <v>29</v>
      </c>
      <c r="J850" s="30" t="str">
        <f>IF(ISNUMBER(MATCH($D850,'Lopettaneet 2013-&gt;'!$D:$D,0)),INDEX('Lopettaneet 2013-&gt;'!$K:$K,MATCH($D850,'Lopettaneet 2013-&gt;'!$D:$D,0)),"Continues")</f>
        <v>Continues</v>
      </c>
      <c r="K850" s="30">
        <f ca="1">IF($J850="Continues",DATEDIF($B850,TODAY(),"Y"),INDEX('Lopettaneet 2013-&gt;'!$L:$L,MATCH($D850,'Lopettaneet 2013-&gt;'!$D:$D,0)))</f>
        <v>4</v>
      </c>
      <c r="L850" s="31" t="str">
        <f>IFERROR(INDEX('[1]30.06.2024'!$H:$H,MATCH($E850,'[1]30.06.2024'!$B:$B,0)),"Not found")</f>
        <v>GOS Yritysrahoitus Oy</v>
      </c>
      <c r="M850" s="31" t="str">
        <f>IFERROR(INDEX([2]Sheet1!$B:$B,MATCH($D850,[2]Sheet1!$A:$A,0)),"Not found")</f>
        <v>Non-Retail</v>
      </c>
      <c r="N850">
        <f t="shared" si="26"/>
        <v>0</v>
      </c>
      <c r="O850">
        <f t="shared" si="27"/>
        <v>1</v>
      </c>
    </row>
    <row r="851" spans="1:15" x14ac:dyDescent="0.25">
      <c r="A851" t="s">
        <v>0</v>
      </c>
      <c r="B851" s="1">
        <v>44075</v>
      </c>
      <c r="C851" s="1">
        <v>55153</v>
      </c>
      <c r="D851" s="4" t="s">
        <v>1890</v>
      </c>
      <c r="E851" s="32" t="s">
        <v>1891</v>
      </c>
      <c r="F851" s="32">
        <v>31403451</v>
      </c>
      <c r="G851" t="s">
        <v>3</v>
      </c>
      <c r="H851" t="s">
        <v>4</v>
      </c>
      <c r="I851" t="s">
        <v>5</v>
      </c>
      <c r="J851" s="30" t="str">
        <f>IF(ISNUMBER(MATCH($D851,'Lopettaneet 2013-&gt;'!$D:$D,0)),INDEX('Lopettaneet 2013-&gt;'!$K:$K,MATCH($D851,'Lopettaneet 2013-&gt;'!$D:$D,0)),"Continues")</f>
        <v>Continues</v>
      </c>
      <c r="K851" s="30">
        <f ca="1">IF($J851="Continues",DATEDIF($B851,TODAY(),"Y"),INDEX('Lopettaneet 2013-&gt;'!$L:$L,MATCH($D851,'Lopettaneet 2013-&gt;'!$D:$D,0)))</f>
        <v>4</v>
      </c>
      <c r="L851" s="31" t="str">
        <f>IFERROR(INDEX('[1]30.06.2024'!$H:$H,MATCH($E851,'[1]30.06.2024'!$B:$B,0)),"Not found")</f>
        <v>Seligson &amp; Co Rahastoyhtiö Oyj</v>
      </c>
      <c r="M851" s="31" t="str">
        <f>IFERROR(INDEX([2]Sheet1!$B:$B,MATCH($D851,[2]Sheet1!$A:$A,0)),"Not found")</f>
        <v>Retail</v>
      </c>
      <c r="N851">
        <f t="shared" si="26"/>
        <v>1</v>
      </c>
      <c r="O851">
        <f t="shared" si="27"/>
        <v>0</v>
      </c>
    </row>
    <row r="852" spans="1:15" x14ac:dyDescent="0.25">
      <c r="A852" t="s">
        <v>0</v>
      </c>
      <c r="B852" s="1">
        <v>44075</v>
      </c>
      <c r="C852" s="1">
        <v>55153</v>
      </c>
      <c r="D852" s="4" t="s">
        <v>1892</v>
      </c>
      <c r="E852" s="32" t="s">
        <v>1893</v>
      </c>
      <c r="F852" s="32">
        <v>31403486</v>
      </c>
      <c r="G852" t="s">
        <v>3</v>
      </c>
      <c r="H852" t="s">
        <v>4</v>
      </c>
      <c r="I852" t="s">
        <v>20</v>
      </c>
      <c r="J852" s="30" t="str">
        <f>IF(ISNUMBER(MATCH($D852,'Lopettaneet 2013-&gt;'!$D:$D,0)),INDEX('Lopettaneet 2013-&gt;'!$K:$K,MATCH($D852,'Lopettaneet 2013-&gt;'!$D:$D,0)),"Continues")</f>
        <v>Continues</v>
      </c>
      <c r="K852" s="30">
        <f ca="1">IF($J852="Continues",DATEDIF($B852,TODAY(),"Y"),INDEX('Lopettaneet 2013-&gt;'!$L:$L,MATCH($D852,'Lopettaneet 2013-&gt;'!$D:$D,0)))</f>
        <v>4</v>
      </c>
      <c r="L852" s="31" t="str">
        <f>IFERROR(INDEX('[1]30.06.2024'!$H:$H,MATCH($E852,'[1]30.06.2024'!$B:$B,0)),"Not found")</f>
        <v>Seligson &amp; Co Rahastoyhtiö Oyj</v>
      </c>
      <c r="M852" s="31" t="str">
        <f>IFERROR(INDEX([2]Sheet1!$B:$B,MATCH($D852,[2]Sheet1!$A:$A,0)),"Not found")</f>
        <v>Retail</v>
      </c>
      <c r="N852">
        <f t="shared" si="26"/>
        <v>1</v>
      </c>
      <c r="O852">
        <f t="shared" si="27"/>
        <v>0</v>
      </c>
    </row>
    <row r="853" spans="1:15" x14ac:dyDescent="0.25">
      <c r="A853" t="s">
        <v>0</v>
      </c>
      <c r="B853" s="1">
        <v>44075</v>
      </c>
      <c r="C853" s="1">
        <v>44712</v>
      </c>
      <c r="D853" s="4" t="s">
        <v>1894</v>
      </c>
      <c r="E853" s="32" t="s">
        <v>1895</v>
      </c>
      <c r="F853" s="32">
        <v>31403515</v>
      </c>
      <c r="G853" t="s">
        <v>10</v>
      </c>
      <c r="H853" t="s">
        <v>4</v>
      </c>
      <c r="I853" t="s">
        <v>20</v>
      </c>
      <c r="J853" s="30" t="str">
        <f>IF(ISNUMBER(MATCH($D853,'Lopettaneet 2013-&gt;'!$D:$D,0)),INDEX('Lopettaneet 2013-&gt;'!$K:$K,MATCH($D853,'Lopettaneet 2013-&gt;'!$D:$D,0)),"Continues")</f>
        <v>Closed</v>
      </c>
      <c r="K853" s="30">
        <f ca="1">IF($J853="Continues",DATEDIF($B853,TODAY(),"Y"),INDEX('Lopettaneet 2013-&gt;'!$L:$L,MATCH($D853,'Lopettaneet 2013-&gt;'!$D:$D,0)))</f>
        <v>1</v>
      </c>
      <c r="L853" s="31" t="str">
        <f>IFERROR(INDEX('[1]30.06.2024'!$H:$H,MATCH($E853,'[1]30.06.2024'!$B:$B,0)),"Not found")</f>
        <v>Not found</v>
      </c>
      <c r="M853" s="31" t="str">
        <f>IFERROR(INDEX([2]Sheet1!$B:$B,MATCH($D853,[2]Sheet1!$A:$A,0)),"Not found")</f>
        <v>Not found</v>
      </c>
      <c r="N853">
        <f t="shared" si="26"/>
        <v>0</v>
      </c>
      <c r="O853">
        <f t="shared" si="27"/>
        <v>0</v>
      </c>
    </row>
    <row r="854" spans="1:15" x14ac:dyDescent="0.25">
      <c r="A854" t="s">
        <v>7</v>
      </c>
      <c r="B854" s="1">
        <v>44896</v>
      </c>
      <c r="C854" s="1">
        <v>44926</v>
      </c>
      <c r="D854" s="4" t="s">
        <v>1896</v>
      </c>
      <c r="E854" s="32" t="s">
        <v>1897</v>
      </c>
      <c r="F854" s="32" t="s">
        <v>14</v>
      </c>
      <c r="G854" t="s">
        <v>10</v>
      </c>
      <c r="H854" t="s">
        <v>11</v>
      </c>
      <c r="I854" t="s">
        <v>12</v>
      </c>
      <c r="J854" s="30" t="str">
        <f>IF(ISNUMBER(MATCH($D854,'Lopettaneet 2013-&gt;'!$D:$D,0)),INDEX('Lopettaneet 2013-&gt;'!$K:$K,MATCH($D854,'Lopettaneet 2013-&gt;'!$D:$D,0)),"Continues")</f>
        <v>Closed</v>
      </c>
      <c r="K854" s="30">
        <f ca="1">IF($J854="Continues",DATEDIF($B854,TODAY(),"Y"),INDEX('Lopettaneet 2013-&gt;'!$L:$L,MATCH($D854,'Lopettaneet 2013-&gt;'!$D:$D,0)))</f>
        <v>0</v>
      </c>
      <c r="L854" s="31" t="str">
        <f>IFERROR(INDEX('[1]30.06.2024'!$H:$H,MATCH($E854,'[1]30.06.2024'!$B:$B,0)),"Not found")</f>
        <v>Not found</v>
      </c>
      <c r="M854" s="31" t="str">
        <f>IFERROR(INDEX([2]Sheet1!$B:$B,MATCH($D854,[2]Sheet1!$A:$A,0)),"Not found")</f>
        <v>Not found</v>
      </c>
      <c r="N854">
        <f t="shared" si="26"/>
        <v>0</v>
      </c>
      <c r="O854">
        <f t="shared" si="27"/>
        <v>0</v>
      </c>
    </row>
    <row r="855" spans="1:15" x14ac:dyDescent="0.25">
      <c r="A855" t="s">
        <v>7</v>
      </c>
      <c r="B855" s="1">
        <v>44896</v>
      </c>
      <c r="C855" s="1">
        <v>44926</v>
      </c>
      <c r="D855" s="4" t="s">
        <v>1898</v>
      </c>
      <c r="E855" s="32" t="s">
        <v>1899</v>
      </c>
      <c r="F855" s="32" t="s">
        <v>14</v>
      </c>
      <c r="G855" t="s">
        <v>10</v>
      </c>
      <c r="H855" t="s">
        <v>11</v>
      </c>
      <c r="I855" t="s">
        <v>12</v>
      </c>
      <c r="J855" s="30" t="str">
        <f>IF(ISNUMBER(MATCH($D855,'Lopettaneet 2013-&gt;'!$D:$D,0)),INDEX('Lopettaneet 2013-&gt;'!$K:$K,MATCH($D855,'Lopettaneet 2013-&gt;'!$D:$D,0)),"Continues")</f>
        <v>Closed</v>
      </c>
      <c r="K855" s="30">
        <f ca="1">IF($J855="Continues",DATEDIF($B855,TODAY(),"Y"),INDEX('Lopettaneet 2013-&gt;'!$L:$L,MATCH($D855,'Lopettaneet 2013-&gt;'!$D:$D,0)))</f>
        <v>0</v>
      </c>
      <c r="L855" s="31" t="str">
        <f>IFERROR(INDEX('[1]30.06.2024'!$H:$H,MATCH($E855,'[1]30.06.2024'!$B:$B,0)),"Not found")</f>
        <v>Not found</v>
      </c>
      <c r="M855" s="31" t="str">
        <f>IFERROR(INDEX([2]Sheet1!$B:$B,MATCH($D855,[2]Sheet1!$A:$A,0)),"Not found")</f>
        <v>Not found</v>
      </c>
      <c r="N855">
        <f t="shared" si="26"/>
        <v>0</v>
      </c>
      <c r="O855">
        <f t="shared" si="27"/>
        <v>0</v>
      </c>
    </row>
    <row r="856" spans="1:15" x14ac:dyDescent="0.25">
      <c r="A856" t="s">
        <v>7</v>
      </c>
      <c r="B856" s="1">
        <v>44348</v>
      </c>
      <c r="C856" s="1">
        <v>55153</v>
      </c>
      <c r="D856" s="4" t="s">
        <v>1900</v>
      </c>
      <c r="E856" s="32" t="s">
        <v>1901</v>
      </c>
      <c r="F856" s="32">
        <v>31672934</v>
      </c>
      <c r="G856" t="s">
        <v>10</v>
      </c>
      <c r="H856" t="s">
        <v>11</v>
      </c>
      <c r="I856" t="s">
        <v>80</v>
      </c>
      <c r="J856" s="30" t="str">
        <f>IF(ISNUMBER(MATCH($D856,'Lopettaneet 2013-&gt;'!$D:$D,0)),INDEX('Lopettaneet 2013-&gt;'!$K:$K,MATCH($D856,'Lopettaneet 2013-&gt;'!$D:$D,0)),"Continues")</f>
        <v>Continues</v>
      </c>
      <c r="K856" s="30">
        <f ca="1">IF($J856="Continues",DATEDIF($B856,TODAY(),"Y"),INDEX('Lopettaneet 2013-&gt;'!$L:$L,MATCH($D856,'Lopettaneet 2013-&gt;'!$D:$D,0)))</f>
        <v>3</v>
      </c>
      <c r="L856" s="31" t="str">
        <f>IFERROR(INDEX('[1]30.06.2024'!$H:$H,MATCH($E856,'[1]30.06.2024'!$B:$B,0)),"Not found")</f>
        <v>Redstone Nordics Oy</v>
      </c>
      <c r="M856" s="31" t="str">
        <f>IFERROR(INDEX([2]Sheet1!$B:$B,MATCH($D856,[2]Sheet1!$A:$A,0)),"Not found")</f>
        <v>Non-Retail</v>
      </c>
      <c r="N856">
        <f t="shared" si="26"/>
        <v>0</v>
      </c>
      <c r="O856">
        <f t="shared" si="27"/>
        <v>1</v>
      </c>
    </row>
    <row r="857" spans="1:15" x14ac:dyDescent="0.25">
      <c r="A857" t="s">
        <v>7</v>
      </c>
      <c r="B857" s="1">
        <v>44348</v>
      </c>
      <c r="C857" s="1">
        <v>55153</v>
      </c>
      <c r="D857" s="4" t="s">
        <v>1902</v>
      </c>
      <c r="E857" s="32" t="s">
        <v>1903</v>
      </c>
      <c r="F857" s="32">
        <v>31705994</v>
      </c>
      <c r="G857" t="s">
        <v>10</v>
      </c>
      <c r="H857" t="s">
        <v>11</v>
      </c>
      <c r="I857" t="s">
        <v>80</v>
      </c>
      <c r="J857" s="30" t="str">
        <f>IF(ISNUMBER(MATCH($D857,'Lopettaneet 2013-&gt;'!$D:$D,0)),INDEX('Lopettaneet 2013-&gt;'!$K:$K,MATCH($D857,'Lopettaneet 2013-&gt;'!$D:$D,0)),"Continues")</f>
        <v>Continues</v>
      </c>
      <c r="K857" s="30">
        <f ca="1">IF($J857="Continues",DATEDIF($B857,TODAY(),"Y"),INDEX('Lopettaneet 2013-&gt;'!$L:$L,MATCH($D857,'Lopettaneet 2013-&gt;'!$D:$D,0)))</f>
        <v>3</v>
      </c>
      <c r="L857" s="31" t="str">
        <f>IFERROR(INDEX('[1]30.06.2024'!$H:$H,MATCH($E857,'[1]30.06.2024'!$B:$B,0)),"Not found")</f>
        <v>Redstone Nordics Oy</v>
      </c>
      <c r="M857" s="31" t="str">
        <f>IFERROR(INDEX([2]Sheet1!$B:$B,MATCH($D857,[2]Sheet1!$A:$A,0)),"Not found")</f>
        <v>Non-Retail</v>
      </c>
      <c r="N857">
        <f t="shared" si="26"/>
        <v>0</v>
      </c>
      <c r="O857">
        <f t="shared" si="27"/>
        <v>1</v>
      </c>
    </row>
    <row r="858" spans="1:15" x14ac:dyDescent="0.25">
      <c r="A858" t="s">
        <v>7</v>
      </c>
      <c r="B858" s="1">
        <v>44166</v>
      </c>
      <c r="C858" s="1">
        <v>55153</v>
      </c>
      <c r="D858" s="4" t="s">
        <v>1904</v>
      </c>
      <c r="E858" s="32" t="s">
        <v>1905</v>
      </c>
      <c r="F858" s="32">
        <v>31579078</v>
      </c>
      <c r="G858" t="s">
        <v>10</v>
      </c>
      <c r="H858" t="s">
        <v>11</v>
      </c>
      <c r="I858" t="s">
        <v>12</v>
      </c>
      <c r="J858" s="30" t="str">
        <f>IF(ISNUMBER(MATCH($D858,'Lopettaneet 2013-&gt;'!$D:$D,0)),INDEX('Lopettaneet 2013-&gt;'!$K:$K,MATCH($D858,'Lopettaneet 2013-&gt;'!$D:$D,0)),"Continues")</f>
        <v>Continues</v>
      </c>
      <c r="K858" s="30">
        <f ca="1">IF($J858="Continues",DATEDIF($B858,TODAY(),"Y"),INDEX('Lopettaneet 2013-&gt;'!$L:$L,MATCH($D858,'Lopettaneet 2013-&gt;'!$D:$D,0)))</f>
        <v>4</v>
      </c>
      <c r="L858" s="31" t="str">
        <f>IFERROR(INDEX('[1]30.06.2024'!$H:$H,MATCH($E858,'[1]30.06.2024'!$B:$B,0)),"Not found")</f>
        <v>BOA Capital Oy</v>
      </c>
      <c r="M858" s="31" t="str">
        <f>IFERROR(INDEX([2]Sheet1!$B:$B,MATCH($D858,[2]Sheet1!$A:$A,0)),"Not found")</f>
        <v>Non-Retail</v>
      </c>
      <c r="N858">
        <f t="shared" si="26"/>
        <v>0</v>
      </c>
      <c r="O858">
        <f t="shared" si="27"/>
        <v>1</v>
      </c>
    </row>
    <row r="859" spans="1:15" x14ac:dyDescent="0.25">
      <c r="A859" t="s">
        <v>0</v>
      </c>
      <c r="B859" s="1">
        <v>44166</v>
      </c>
      <c r="C859" s="1">
        <v>55153</v>
      </c>
      <c r="D859" s="4" t="s">
        <v>1906</v>
      </c>
      <c r="E859" s="32" t="s">
        <v>1907</v>
      </c>
      <c r="F859" s="32">
        <v>31548167</v>
      </c>
      <c r="G859" t="s">
        <v>10</v>
      </c>
      <c r="H859" t="s">
        <v>4</v>
      </c>
      <c r="I859" t="s">
        <v>20</v>
      </c>
      <c r="J859" s="30" t="str">
        <f>IF(ISNUMBER(MATCH($D859,'Lopettaneet 2013-&gt;'!$D:$D,0)),INDEX('Lopettaneet 2013-&gt;'!$K:$K,MATCH($D859,'Lopettaneet 2013-&gt;'!$D:$D,0)),"Continues")</f>
        <v>Continues</v>
      </c>
      <c r="K859" s="30">
        <f ca="1">IF($J859="Continues",DATEDIF($B859,TODAY(),"Y"),INDEX('Lopettaneet 2013-&gt;'!$L:$L,MATCH($D859,'Lopettaneet 2013-&gt;'!$D:$D,0)))</f>
        <v>4</v>
      </c>
      <c r="L859" s="31" t="str">
        <f>IFERROR(INDEX('[1]30.06.2024'!$H:$H,MATCH($E859,'[1]30.06.2024'!$B:$B,0)),"Not found")</f>
        <v>UB Rahastoyhtiö Oy</v>
      </c>
      <c r="M859" s="31" t="str">
        <f>IFERROR(INDEX([2]Sheet1!$B:$B,MATCH($D859,[2]Sheet1!$A:$A,0)),"Not found")</f>
        <v>Retail</v>
      </c>
      <c r="N859">
        <f t="shared" si="26"/>
        <v>1</v>
      </c>
      <c r="O859">
        <f t="shared" si="27"/>
        <v>0</v>
      </c>
    </row>
    <row r="860" spans="1:15" x14ac:dyDescent="0.25">
      <c r="A860" t="s">
        <v>0</v>
      </c>
      <c r="B860" s="1">
        <v>44166</v>
      </c>
      <c r="C860" s="1">
        <v>55153</v>
      </c>
      <c r="D860" s="4" t="s">
        <v>1908</v>
      </c>
      <c r="E860" s="32" t="s">
        <v>1909</v>
      </c>
      <c r="F860" s="32">
        <v>31182927</v>
      </c>
      <c r="G860" t="s">
        <v>10</v>
      </c>
      <c r="H860" t="s">
        <v>4</v>
      </c>
      <c r="I860" t="s">
        <v>32</v>
      </c>
      <c r="J860" s="30" t="str">
        <f>IF(ISNUMBER(MATCH($D860,'Lopettaneet 2013-&gt;'!$D:$D,0)),INDEX('Lopettaneet 2013-&gt;'!$K:$K,MATCH($D860,'Lopettaneet 2013-&gt;'!$D:$D,0)),"Continues")</f>
        <v>Continues</v>
      </c>
      <c r="K860" s="30">
        <f ca="1">IF($J860="Continues",DATEDIF($B860,TODAY(),"Y"),INDEX('Lopettaneet 2013-&gt;'!$L:$L,MATCH($D860,'Lopettaneet 2013-&gt;'!$D:$D,0)))</f>
        <v>4</v>
      </c>
      <c r="L860" s="31" t="str">
        <f>IFERROR(INDEX('[1]30.06.2024'!$H:$H,MATCH($E860,'[1]30.06.2024'!$B:$B,0)),"Not found")</f>
        <v>Sp-Rahastoyhtiö Oy</v>
      </c>
      <c r="M860" s="31" t="str">
        <f>IFERROR(INDEX([2]Sheet1!$B:$B,MATCH($D860,[2]Sheet1!$A:$A,0)),"Not found")</f>
        <v>Retail</v>
      </c>
      <c r="N860">
        <f t="shared" si="26"/>
        <v>1</v>
      </c>
      <c r="O860">
        <f t="shared" si="27"/>
        <v>0</v>
      </c>
    </row>
    <row r="861" spans="1:15" x14ac:dyDescent="0.25">
      <c r="A861" t="s">
        <v>7</v>
      </c>
      <c r="B861" s="1">
        <v>44166</v>
      </c>
      <c r="C861" s="1">
        <v>55153</v>
      </c>
      <c r="D861" s="4" t="s">
        <v>1910</v>
      </c>
      <c r="E861" s="32" t="s">
        <v>1911</v>
      </c>
      <c r="F861" s="32">
        <v>31775036</v>
      </c>
      <c r="G861" t="s">
        <v>10</v>
      </c>
      <c r="H861" t="s">
        <v>11</v>
      </c>
      <c r="I861" t="s">
        <v>32</v>
      </c>
      <c r="J861" s="30" t="str">
        <f>IF(ISNUMBER(MATCH($D861,'Lopettaneet 2013-&gt;'!$D:$D,0)),INDEX('Lopettaneet 2013-&gt;'!$K:$K,MATCH($D861,'Lopettaneet 2013-&gt;'!$D:$D,0)),"Continues")</f>
        <v>Continues</v>
      </c>
      <c r="K861" s="30">
        <f ca="1">IF($J861="Continues",DATEDIF($B861,TODAY(),"Y"),INDEX('Lopettaneet 2013-&gt;'!$L:$L,MATCH($D861,'Lopettaneet 2013-&gt;'!$D:$D,0)))</f>
        <v>4</v>
      </c>
      <c r="L861" s="31" t="str">
        <f>IFERROR(INDEX('[1]30.06.2024'!$H:$H,MATCH($E861,'[1]30.06.2024'!$B:$B,0)),"Not found")</f>
        <v>ICECAPITAL REAM Oy</v>
      </c>
      <c r="M861" s="31" t="str">
        <f>IFERROR(INDEX([2]Sheet1!$B:$B,MATCH($D861,[2]Sheet1!$A:$A,0)),"Not found")</f>
        <v>Retail</v>
      </c>
      <c r="N861">
        <f t="shared" si="26"/>
        <v>1</v>
      </c>
      <c r="O861">
        <f t="shared" si="27"/>
        <v>0</v>
      </c>
    </row>
    <row r="862" spans="1:15" x14ac:dyDescent="0.25">
      <c r="A862" t="s">
        <v>7</v>
      </c>
      <c r="B862" s="1">
        <v>44166</v>
      </c>
      <c r="C862" s="1">
        <v>55153</v>
      </c>
      <c r="D862" s="4" t="s">
        <v>1912</v>
      </c>
      <c r="E862" s="32" t="s">
        <v>1913</v>
      </c>
      <c r="F862" s="32">
        <v>31773647</v>
      </c>
      <c r="G862" t="s">
        <v>10</v>
      </c>
      <c r="H862" t="s">
        <v>11</v>
      </c>
      <c r="I862" t="s">
        <v>32</v>
      </c>
      <c r="J862" s="30" t="str">
        <f>IF(ISNUMBER(MATCH($D862,'Lopettaneet 2013-&gt;'!$D:$D,0)),INDEX('Lopettaneet 2013-&gt;'!$K:$K,MATCH($D862,'Lopettaneet 2013-&gt;'!$D:$D,0)),"Continues")</f>
        <v>Continues</v>
      </c>
      <c r="K862" s="30">
        <f ca="1">IF($J862="Continues",DATEDIF($B862,TODAY(),"Y"),INDEX('Lopettaneet 2013-&gt;'!$L:$L,MATCH($D862,'Lopettaneet 2013-&gt;'!$D:$D,0)))</f>
        <v>4</v>
      </c>
      <c r="L862" s="31" t="str">
        <f>IFERROR(INDEX('[1]30.06.2024'!$H:$H,MATCH($E862,'[1]30.06.2024'!$B:$B,0)),"Not found")</f>
        <v>ICECAPITAL REAM Oy</v>
      </c>
      <c r="M862" s="31" t="str">
        <f>IFERROR(INDEX([2]Sheet1!$B:$B,MATCH($D862,[2]Sheet1!$A:$A,0)),"Not found")</f>
        <v>Retail</v>
      </c>
      <c r="N862">
        <f t="shared" si="26"/>
        <v>1</v>
      </c>
      <c r="O862">
        <f t="shared" si="27"/>
        <v>0</v>
      </c>
    </row>
    <row r="863" spans="1:15" x14ac:dyDescent="0.25">
      <c r="A863" t="s">
        <v>0</v>
      </c>
      <c r="B863" s="1">
        <v>44136</v>
      </c>
      <c r="C863" s="1">
        <v>55153</v>
      </c>
      <c r="D863" s="4" t="s">
        <v>1914</v>
      </c>
      <c r="E863" s="32" t="s">
        <v>1915</v>
      </c>
      <c r="F863" s="32">
        <v>31638568</v>
      </c>
      <c r="G863" t="s">
        <v>10</v>
      </c>
      <c r="H863" t="s">
        <v>4</v>
      </c>
      <c r="I863" t="s">
        <v>5</v>
      </c>
      <c r="J863" s="30" t="str">
        <f>IF(ISNUMBER(MATCH($D863,'Lopettaneet 2013-&gt;'!$D:$D,0)),INDEX('Lopettaneet 2013-&gt;'!$K:$K,MATCH($D863,'Lopettaneet 2013-&gt;'!$D:$D,0)),"Continues")</f>
        <v>Continues</v>
      </c>
      <c r="K863" s="30">
        <f ca="1">IF($J863="Continues",DATEDIF($B863,TODAY(),"Y"),INDEX('Lopettaneet 2013-&gt;'!$L:$L,MATCH($D863,'Lopettaneet 2013-&gt;'!$D:$D,0)))</f>
        <v>4</v>
      </c>
      <c r="L863" s="31" t="str">
        <f>IFERROR(INDEX('[1]30.06.2024'!$H:$H,MATCH($E863,'[1]30.06.2024'!$B:$B,0)),"Not found")</f>
        <v>Obsido Rahastoyhtiö Oy</v>
      </c>
      <c r="M863" s="31" t="str">
        <f>IFERROR(INDEX([2]Sheet1!$B:$B,MATCH($D863,[2]Sheet1!$A:$A,0)),"Not found")</f>
        <v>Retail</v>
      </c>
      <c r="N863">
        <f t="shared" si="26"/>
        <v>1</v>
      </c>
      <c r="O863">
        <f t="shared" si="27"/>
        <v>0</v>
      </c>
    </row>
    <row r="864" spans="1:15" x14ac:dyDescent="0.25">
      <c r="A864" t="s">
        <v>0</v>
      </c>
      <c r="B864" s="1">
        <v>44136</v>
      </c>
      <c r="C864" s="1">
        <v>55153</v>
      </c>
      <c r="D864" s="4" t="s">
        <v>1916</v>
      </c>
      <c r="E864" s="32" t="s">
        <v>1917</v>
      </c>
      <c r="F864" s="32">
        <v>31638576</v>
      </c>
      <c r="G864" t="s">
        <v>10</v>
      </c>
      <c r="H864" t="s">
        <v>4</v>
      </c>
      <c r="I864" t="s">
        <v>20</v>
      </c>
      <c r="J864" s="30" t="str">
        <f>IF(ISNUMBER(MATCH($D864,'Lopettaneet 2013-&gt;'!$D:$D,0)),INDEX('Lopettaneet 2013-&gt;'!$K:$K,MATCH($D864,'Lopettaneet 2013-&gt;'!$D:$D,0)),"Continues")</f>
        <v>Continues</v>
      </c>
      <c r="K864" s="30">
        <f ca="1">IF($J864="Continues",DATEDIF($B864,TODAY(),"Y"),INDEX('Lopettaneet 2013-&gt;'!$L:$L,MATCH($D864,'Lopettaneet 2013-&gt;'!$D:$D,0)))</f>
        <v>4</v>
      </c>
      <c r="L864" s="31" t="str">
        <f>IFERROR(INDEX('[1]30.06.2024'!$H:$H,MATCH($E864,'[1]30.06.2024'!$B:$B,0)),"Not found")</f>
        <v>Obsido Rahastoyhtiö Oy</v>
      </c>
      <c r="M864" s="31" t="str">
        <f>IFERROR(INDEX([2]Sheet1!$B:$B,MATCH($D864,[2]Sheet1!$A:$A,0)),"Not found")</f>
        <v>Retail</v>
      </c>
      <c r="N864">
        <f t="shared" si="26"/>
        <v>1</v>
      </c>
      <c r="O864">
        <f t="shared" si="27"/>
        <v>0</v>
      </c>
    </row>
    <row r="865" spans="1:15" x14ac:dyDescent="0.25">
      <c r="A865" t="s">
        <v>7</v>
      </c>
      <c r="B865" s="1">
        <v>44348</v>
      </c>
      <c r="C865" s="1">
        <v>55153</v>
      </c>
      <c r="D865" s="4" t="s">
        <v>1918</v>
      </c>
      <c r="E865" s="32" t="s">
        <v>1919</v>
      </c>
      <c r="F865" s="32">
        <v>31670437</v>
      </c>
      <c r="G865" t="s">
        <v>10</v>
      </c>
      <c r="H865" t="s">
        <v>11</v>
      </c>
      <c r="I865" t="s">
        <v>29</v>
      </c>
      <c r="J865" s="30" t="str">
        <f>IF(ISNUMBER(MATCH($D865,'Lopettaneet 2013-&gt;'!$D:$D,0)),INDEX('Lopettaneet 2013-&gt;'!$K:$K,MATCH($D865,'Lopettaneet 2013-&gt;'!$D:$D,0)),"Continues")</f>
        <v>Continues</v>
      </c>
      <c r="K865" s="30">
        <f ca="1">IF($J865="Continues",DATEDIF($B865,TODAY(),"Y"),INDEX('Lopettaneet 2013-&gt;'!$L:$L,MATCH($D865,'Lopettaneet 2013-&gt;'!$D:$D,0)))</f>
        <v>3</v>
      </c>
      <c r="L865" s="31" t="str">
        <f>IFERROR(INDEX('[1]30.06.2024'!$H:$H,MATCH($E865,'[1]30.06.2024'!$B:$B,0)),"Not found")</f>
        <v>Evli-Rahastoyhtiö Oy</v>
      </c>
      <c r="M865" s="31" t="str">
        <f>IFERROR(INDEX([2]Sheet1!$B:$B,MATCH($D865,[2]Sheet1!$A:$A,0)),"Not found")</f>
        <v>Retail</v>
      </c>
      <c r="N865">
        <f t="shared" si="26"/>
        <v>1</v>
      </c>
      <c r="O865">
        <f t="shared" si="27"/>
        <v>0</v>
      </c>
    </row>
    <row r="866" spans="1:15" x14ac:dyDescent="0.25">
      <c r="A866" t="s">
        <v>7</v>
      </c>
      <c r="B866" s="1">
        <v>44348</v>
      </c>
      <c r="C866" s="1">
        <v>55153</v>
      </c>
      <c r="D866" s="4" t="s">
        <v>1920</v>
      </c>
      <c r="E866" s="32" t="s">
        <v>1921</v>
      </c>
      <c r="F866" s="32">
        <v>31670429</v>
      </c>
      <c r="G866" t="s">
        <v>10</v>
      </c>
      <c r="H866" t="s">
        <v>11</v>
      </c>
      <c r="I866" t="s">
        <v>29</v>
      </c>
      <c r="J866" s="30" t="str">
        <f>IF(ISNUMBER(MATCH($D866,'Lopettaneet 2013-&gt;'!$D:$D,0)),INDEX('Lopettaneet 2013-&gt;'!$K:$K,MATCH($D866,'Lopettaneet 2013-&gt;'!$D:$D,0)),"Continues")</f>
        <v>Continues</v>
      </c>
      <c r="K866" s="30">
        <f ca="1">IF($J866="Continues",DATEDIF($B866,TODAY(),"Y"),INDEX('Lopettaneet 2013-&gt;'!$L:$L,MATCH($D866,'Lopettaneet 2013-&gt;'!$D:$D,0)))</f>
        <v>3</v>
      </c>
      <c r="L866" s="31" t="str">
        <f>IFERROR(INDEX('[1]30.06.2024'!$H:$H,MATCH($E866,'[1]30.06.2024'!$B:$B,0)),"Not found")</f>
        <v>Evli-Rahastoyhtiö Oy</v>
      </c>
      <c r="M866" s="31" t="str">
        <f>IFERROR(INDEX([2]Sheet1!$B:$B,MATCH($D866,[2]Sheet1!$A:$A,0)),"Not found")</f>
        <v>Retail</v>
      </c>
      <c r="N866">
        <f t="shared" si="26"/>
        <v>1</v>
      </c>
      <c r="O866">
        <f t="shared" si="27"/>
        <v>0</v>
      </c>
    </row>
    <row r="867" spans="1:15" x14ac:dyDescent="0.25">
      <c r="A867" t="s">
        <v>7</v>
      </c>
      <c r="B867" s="1">
        <v>44256</v>
      </c>
      <c r="C867" s="1">
        <v>55153</v>
      </c>
      <c r="D867" s="4" t="s">
        <v>1922</v>
      </c>
      <c r="E867" s="32" t="s">
        <v>1923</v>
      </c>
      <c r="F867" s="32">
        <v>31587246</v>
      </c>
      <c r="G867" t="s">
        <v>10</v>
      </c>
      <c r="H867" t="s">
        <v>11</v>
      </c>
      <c r="I867" t="s">
        <v>80</v>
      </c>
      <c r="J867" s="30" t="str">
        <f>IF(ISNUMBER(MATCH($D867,'Lopettaneet 2013-&gt;'!$D:$D,0)),INDEX('Lopettaneet 2013-&gt;'!$K:$K,MATCH($D867,'Lopettaneet 2013-&gt;'!$D:$D,0)),"Continues")</f>
        <v>Continues</v>
      </c>
      <c r="K867" s="30">
        <f ca="1">IF($J867="Continues",DATEDIF($B867,TODAY(),"Y"),INDEX('Lopettaneet 2013-&gt;'!$L:$L,MATCH($D867,'Lopettaneet 2013-&gt;'!$D:$D,0)))</f>
        <v>4</v>
      </c>
      <c r="L867" s="31" t="str">
        <f>IFERROR(INDEX('[1]30.06.2024'!$H:$H,MATCH($E867,'[1]30.06.2024'!$B:$B,0)),"Not found")</f>
        <v>EduImpact Venture Capital Oy</v>
      </c>
      <c r="M867" s="31" t="str">
        <f>IFERROR(INDEX([2]Sheet1!$B:$B,MATCH($D867,[2]Sheet1!$A:$A,0)),"Not found")</f>
        <v>Retail</v>
      </c>
      <c r="N867">
        <f t="shared" si="26"/>
        <v>1</v>
      </c>
      <c r="O867">
        <f t="shared" si="27"/>
        <v>0</v>
      </c>
    </row>
    <row r="868" spans="1:15" x14ac:dyDescent="0.25">
      <c r="A868" t="s">
        <v>0</v>
      </c>
      <c r="B868" s="1">
        <v>44197</v>
      </c>
      <c r="C868" s="1">
        <v>44804</v>
      </c>
      <c r="D868" s="4" t="s">
        <v>1924</v>
      </c>
      <c r="E868" s="32" t="s">
        <v>1925</v>
      </c>
      <c r="F868" s="32">
        <v>31725725</v>
      </c>
      <c r="G868" t="s">
        <v>10</v>
      </c>
      <c r="H868" t="s">
        <v>4</v>
      </c>
      <c r="I868" t="s">
        <v>47</v>
      </c>
      <c r="J868" s="30" t="str">
        <f>IF(ISNUMBER(MATCH($D868,'Lopettaneet 2013-&gt;'!$D:$D,0)),INDEX('Lopettaneet 2013-&gt;'!$K:$K,MATCH($D868,'Lopettaneet 2013-&gt;'!$D:$D,0)),"Continues")</f>
        <v>Closed</v>
      </c>
      <c r="K868" s="30">
        <f ca="1">IF($J868="Continues",DATEDIF($B868,TODAY(),"Y"),INDEX('Lopettaneet 2013-&gt;'!$L:$L,MATCH($D868,'Lopettaneet 2013-&gt;'!$D:$D,0)))</f>
        <v>1</v>
      </c>
      <c r="L868" s="31" t="str">
        <f>IFERROR(INDEX('[1]30.06.2024'!$H:$H,MATCH($E868,'[1]30.06.2024'!$B:$B,0)),"Not found")</f>
        <v>Not found</v>
      </c>
      <c r="M868" s="31" t="str">
        <f>IFERROR(INDEX([2]Sheet1!$B:$B,MATCH($D868,[2]Sheet1!$A:$A,0)),"Not found")</f>
        <v>Not found</v>
      </c>
      <c r="N868">
        <f t="shared" si="26"/>
        <v>0</v>
      </c>
      <c r="O868">
        <f t="shared" si="27"/>
        <v>0</v>
      </c>
    </row>
    <row r="869" spans="1:15" x14ac:dyDescent="0.25">
      <c r="A869" t="s">
        <v>7</v>
      </c>
      <c r="B869" s="1">
        <v>44256</v>
      </c>
      <c r="C869" s="1">
        <v>55153</v>
      </c>
      <c r="D869" s="4" t="s">
        <v>1926</v>
      </c>
      <c r="E869" s="32" t="s">
        <v>1927</v>
      </c>
      <c r="F869" s="32">
        <v>31681646</v>
      </c>
      <c r="G869" t="s">
        <v>10</v>
      </c>
      <c r="H869" t="s">
        <v>11</v>
      </c>
      <c r="I869" t="s">
        <v>80</v>
      </c>
      <c r="J869" s="30" t="str">
        <f>IF(ISNUMBER(MATCH($D869,'Lopettaneet 2013-&gt;'!$D:$D,0)),INDEX('Lopettaneet 2013-&gt;'!$K:$K,MATCH($D869,'Lopettaneet 2013-&gt;'!$D:$D,0)),"Continues")</f>
        <v>Continues</v>
      </c>
      <c r="K869" s="30">
        <f ca="1">IF($J869="Continues",DATEDIF($B869,TODAY(),"Y"),INDEX('Lopettaneet 2013-&gt;'!$L:$L,MATCH($D869,'Lopettaneet 2013-&gt;'!$D:$D,0)))</f>
        <v>4</v>
      </c>
      <c r="L869" s="31" t="str">
        <f>IFERROR(INDEX('[1]30.06.2024'!$H:$H,MATCH($E869,'[1]30.06.2024'!$B:$B,0)),"Not found")</f>
        <v>Certior Capital Oy</v>
      </c>
      <c r="M869" s="31" t="str">
        <f>IFERROR(INDEX([2]Sheet1!$B:$B,MATCH($D869,[2]Sheet1!$A:$A,0)),"Not found")</f>
        <v>Non-Retail</v>
      </c>
      <c r="N869">
        <f t="shared" si="26"/>
        <v>0</v>
      </c>
      <c r="O869">
        <f t="shared" si="27"/>
        <v>1</v>
      </c>
    </row>
    <row r="870" spans="1:15" x14ac:dyDescent="0.25">
      <c r="A870" t="s">
        <v>7</v>
      </c>
      <c r="B870" s="1">
        <v>44256</v>
      </c>
      <c r="C870" s="1">
        <v>55153</v>
      </c>
      <c r="D870" s="4" t="s">
        <v>1928</v>
      </c>
      <c r="E870" s="32" t="s">
        <v>1929</v>
      </c>
      <c r="F870" s="32">
        <v>31603832</v>
      </c>
      <c r="G870" t="s">
        <v>10</v>
      </c>
      <c r="H870" t="s">
        <v>11</v>
      </c>
      <c r="I870" t="s">
        <v>29</v>
      </c>
      <c r="J870" s="30" t="str">
        <f>IF(ISNUMBER(MATCH($D870,'Lopettaneet 2013-&gt;'!$D:$D,0)),INDEX('Lopettaneet 2013-&gt;'!$K:$K,MATCH($D870,'Lopettaneet 2013-&gt;'!$D:$D,0)),"Continues")</f>
        <v>Continues</v>
      </c>
      <c r="K870" s="30">
        <f ca="1">IF($J870="Continues",DATEDIF($B870,TODAY(),"Y"),INDEX('Lopettaneet 2013-&gt;'!$L:$L,MATCH($D870,'Lopettaneet 2013-&gt;'!$D:$D,0)))</f>
        <v>4</v>
      </c>
      <c r="L870" s="31" t="str">
        <f>IFERROR(INDEX('[1]30.06.2024'!$H:$H,MATCH($E870,'[1]30.06.2024'!$B:$B,0)),"Not found")</f>
        <v>S-Pankki Rahastoyhtiö Oy</v>
      </c>
      <c r="M870" s="31" t="str">
        <f>IFERROR(INDEX([2]Sheet1!$B:$B,MATCH($D870,[2]Sheet1!$A:$A,0)),"Not found")</f>
        <v>Non-Retail</v>
      </c>
      <c r="N870">
        <f t="shared" si="26"/>
        <v>0</v>
      </c>
      <c r="O870">
        <f t="shared" si="27"/>
        <v>1</v>
      </c>
    </row>
    <row r="871" spans="1:15" x14ac:dyDescent="0.25">
      <c r="A871" t="s">
        <v>0</v>
      </c>
      <c r="B871" s="1">
        <v>44287</v>
      </c>
      <c r="C871" s="1">
        <v>55153</v>
      </c>
      <c r="D871" s="4" t="s">
        <v>1930</v>
      </c>
      <c r="E871" s="32" t="s">
        <v>1931</v>
      </c>
      <c r="F871" s="32">
        <v>31791378</v>
      </c>
      <c r="G871" t="s">
        <v>10</v>
      </c>
      <c r="H871" t="s">
        <v>4</v>
      </c>
      <c r="I871" t="s">
        <v>29</v>
      </c>
      <c r="J871" s="30" t="str">
        <f>IF(ISNUMBER(MATCH($D871,'Lopettaneet 2013-&gt;'!$D:$D,0)),INDEX('Lopettaneet 2013-&gt;'!$K:$K,MATCH($D871,'Lopettaneet 2013-&gt;'!$D:$D,0)),"Continues")</f>
        <v>Continues</v>
      </c>
      <c r="K871" s="30">
        <f ca="1">IF($J871="Continues",DATEDIF($B871,TODAY(),"Y"),INDEX('Lopettaneet 2013-&gt;'!$L:$L,MATCH($D871,'Lopettaneet 2013-&gt;'!$D:$D,0)))</f>
        <v>4</v>
      </c>
      <c r="L871" s="31" t="str">
        <f>IFERROR(INDEX('[1]30.06.2024'!$H:$H,MATCH($E871,'[1]30.06.2024'!$B:$B,0)),"Not found")</f>
        <v>Dasos Capital Oy</v>
      </c>
      <c r="M871" s="31" t="str">
        <f>IFERROR(INDEX([2]Sheet1!$B:$B,MATCH($D871,[2]Sheet1!$A:$A,0)),"Not found")</f>
        <v>Retail</v>
      </c>
      <c r="N871">
        <f t="shared" si="26"/>
        <v>1</v>
      </c>
      <c r="O871">
        <f t="shared" si="27"/>
        <v>0</v>
      </c>
    </row>
    <row r="872" spans="1:15" x14ac:dyDescent="0.25">
      <c r="A872" t="s">
        <v>0</v>
      </c>
      <c r="B872" s="1">
        <v>44197</v>
      </c>
      <c r="C872" s="1">
        <v>55153</v>
      </c>
      <c r="D872" s="4" t="s">
        <v>1932</v>
      </c>
      <c r="E872" s="32" t="s">
        <v>1933</v>
      </c>
      <c r="F872" s="32">
        <v>31682681</v>
      </c>
      <c r="G872" t="s">
        <v>10</v>
      </c>
      <c r="H872" t="s">
        <v>4</v>
      </c>
      <c r="I872" t="s">
        <v>5</v>
      </c>
      <c r="J872" s="30" t="str">
        <f>IF(ISNUMBER(MATCH($D872,'Lopettaneet 2013-&gt;'!$D:$D,0)),INDEX('Lopettaneet 2013-&gt;'!$K:$K,MATCH($D872,'Lopettaneet 2013-&gt;'!$D:$D,0)),"Continues")</f>
        <v>Continues</v>
      </c>
      <c r="K872" s="30">
        <f ca="1">IF($J872="Continues",DATEDIF($B872,TODAY(),"Y"),INDEX('Lopettaneet 2013-&gt;'!$L:$L,MATCH($D872,'Lopettaneet 2013-&gt;'!$D:$D,0)))</f>
        <v>4</v>
      </c>
      <c r="L872" s="31" t="str">
        <f>IFERROR(INDEX('[1]30.06.2024'!$H:$H,MATCH($E872,'[1]30.06.2024'!$B:$B,0)),"Not found")</f>
        <v>Titanium Rahastoyhtiö Oy</v>
      </c>
      <c r="M872" s="31" t="str">
        <f>IFERROR(INDEX([2]Sheet1!$B:$B,MATCH($D872,[2]Sheet1!$A:$A,0)),"Not found")</f>
        <v>Retail</v>
      </c>
      <c r="N872">
        <f t="shared" si="26"/>
        <v>1</v>
      </c>
      <c r="O872">
        <f t="shared" si="27"/>
        <v>0</v>
      </c>
    </row>
    <row r="873" spans="1:15" x14ac:dyDescent="0.25">
      <c r="A873" t="s">
        <v>0</v>
      </c>
      <c r="B873" s="1">
        <v>44166</v>
      </c>
      <c r="C873" s="1">
        <v>55153</v>
      </c>
      <c r="D873" s="4" t="s">
        <v>1934</v>
      </c>
      <c r="E873" s="32" t="s">
        <v>1935</v>
      </c>
      <c r="F873" s="32">
        <v>31725741</v>
      </c>
      <c r="G873" t="s">
        <v>10</v>
      </c>
      <c r="H873" t="s">
        <v>4</v>
      </c>
      <c r="I873" t="s">
        <v>47</v>
      </c>
      <c r="J873" s="30" t="str">
        <f>IF(ISNUMBER(MATCH($D873,'Lopettaneet 2013-&gt;'!$D:$D,0)),INDEX('Lopettaneet 2013-&gt;'!$K:$K,MATCH($D873,'Lopettaneet 2013-&gt;'!$D:$D,0)),"Continues")</f>
        <v>Continues</v>
      </c>
      <c r="K873" s="30">
        <f ca="1">IF($J873="Continues",DATEDIF($B873,TODAY(),"Y"),INDEX('Lopettaneet 2013-&gt;'!$L:$L,MATCH($D873,'Lopettaneet 2013-&gt;'!$D:$D,0)))</f>
        <v>4</v>
      </c>
      <c r="L873" s="31" t="str">
        <f>IFERROR(INDEX('[1]30.06.2024'!$H:$H,MATCH($E873,'[1]30.06.2024'!$B:$B,0)),"Not found")</f>
        <v>GRIT Rahastoyhtiö Oy</v>
      </c>
      <c r="M873" s="31" t="str">
        <f>IFERROR(INDEX([2]Sheet1!$B:$B,MATCH($D873,[2]Sheet1!$A:$A,0)),"Not found")</f>
        <v>Non-Retail</v>
      </c>
      <c r="N873">
        <f t="shared" si="26"/>
        <v>0</v>
      </c>
      <c r="O873">
        <f t="shared" si="27"/>
        <v>1</v>
      </c>
    </row>
    <row r="874" spans="1:15" x14ac:dyDescent="0.25">
      <c r="A874" t="s">
        <v>0</v>
      </c>
      <c r="B874" s="1">
        <v>44166</v>
      </c>
      <c r="C874" s="1">
        <v>55153</v>
      </c>
      <c r="D874" s="4" t="s">
        <v>1936</v>
      </c>
      <c r="E874" s="32" t="s">
        <v>1937</v>
      </c>
      <c r="F874" s="32">
        <v>31608019</v>
      </c>
      <c r="G874" t="s">
        <v>10</v>
      </c>
      <c r="H874" t="s">
        <v>4</v>
      </c>
      <c r="I874" t="s">
        <v>29</v>
      </c>
      <c r="J874" s="30" t="str">
        <f>IF(ISNUMBER(MATCH($D874,'Lopettaneet 2013-&gt;'!$D:$D,0)),INDEX('Lopettaneet 2013-&gt;'!$K:$K,MATCH($D874,'Lopettaneet 2013-&gt;'!$D:$D,0)),"Continues")</f>
        <v>Continues</v>
      </c>
      <c r="K874" s="30">
        <f ca="1">IF($J874="Continues",DATEDIF($B874,TODAY(),"Y"),INDEX('Lopettaneet 2013-&gt;'!$L:$L,MATCH($D874,'Lopettaneet 2013-&gt;'!$D:$D,0)))</f>
        <v>4</v>
      </c>
      <c r="L874" s="31" t="str">
        <f>IFERROR(INDEX('[1]30.06.2024'!$H:$H,MATCH($E874,'[1]30.06.2024'!$B:$B,0)),"Not found")</f>
        <v>Ålandsbanken Fondbolag Ab</v>
      </c>
      <c r="M874" s="31" t="str">
        <f>IFERROR(INDEX([2]Sheet1!$B:$B,MATCH($D874,[2]Sheet1!$A:$A,0)),"Not found")</f>
        <v>Retail</v>
      </c>
      <c r="N874">
        <f t="shared" si="26"/>
        <v>1</v>
      </c>
      <c r="O874">
        <f t="shared" si="27"/>
        <v>0</v>
      </c>
    </row>
    <row r="875" spans="1:15" x14ac:dyDescent="0.25">
      <c r="A875" t="s">
        <v>0</v>
      </c>
      <c r="B875" s="1">
        <v>44136</v>
      </c>
      <c r="C875" s="1">
        <v>55153</v>
      </c>
      <c r="D875" s="4" t="s">
        <v>1938</v>
      </c>
      <c r="E875" s="32" t="s">
        <v>1939</v>
      </c>
      <c r="F875" s="32">
        <v>31708175</v>
      </c>
      <c r="G875" t="s">
        <v>10</v>
      </c>
      <c r="H875" t="s">
        <v>11</v>
      </c>
      <c r="I875" t="s">
        <v>29</v>
      </c>
      <c r="J875" s="30" t="str">
        <f>IF(ISNUMBER(MATCH($D875,'Lopettaneet 2013-&gt;'!$D:$D,0)),INDEX('Lopettaneet 2013-&gt;'!$K:$K,MATCH($D875,'Lopettaneet 2013-&gt;'!$D:$D,0)),"Continues")</f>
        <v>Continues</v>
      </c>
      <c r="K875" s="30">
        <f ca="1">IF($J875="Continues",DATEDIF($B875,TODAY(),"Y"),INDEX('Lopettaneet 2013-&gt;'!$L:$L,MATCH($D875,'Lopettaneet 2013-&gt;'!$D:$D,0)))</f>
        <v>4</v>
      </c>
      <c r="L875" s="31" t="str">
        <f>IFERROR(INDEX('[1]30.06.2024'!$H:$H,MATCH($E875,'[1]30.06.2024'!$B:$B,0)),"Not found")</f>
        <v>CapMan AIFM Oy</v>
      </c>
      <c r="M875" s="31" t="str">
        <f>IFERROR(INDEX([2]Sheet1!$B:$B,MATCH($D875,[2]Sheet1!$A:$A,0)),"Not found")</f>
        <v>Non-Retail</v>
      </c>
      <c r="N875">
        <f t="shared" si="26"/>
        <v>0</v>
      </c>
      <c r="O875">
        <f t="shared" si="27"/>
        <v>1</v>
      </c>
    </row>
    <row r="876" spans="1:15" x14ac:dyDescent="0.25">
      <c r="A876" t="s">
        <v>7</v>
      </c>
      <c r="B876" s="1">
        <v>44531</v>
      </c>
      <c r="C876" s="1">
        <v>55153</v>
      </c>
      <c r="D876" s="4" t="s">
        <v>1940</v>
      </c>
      <c r="E876" s="32" t="s">
        <v>1941</v>
      </c>
      <c r="F876" s="32">
        <v>31787635</v>
      </c>
      <c r="G876" t="s">
        <v>10</v>
      </c>
      <c r="H876" t="s">
        <v>11</v>
      </c>
      <c r="I876" t="s">
        <v>12</v>
      </c>
      <c r="J876" s="30" t="str">
        <f>IF(ISNUMBER(MATCH($D876,'Lopettaneet 2013-&gt;'!$D:$D,0)),INDEX('Lopettaneet 2013-&gt;'!$K:$K,MATCH($D876,'Lopettaneet 2013-&gt;'!$D:$D,0)),"Continues")</f>
        <v>Continues</v>
      </c>
      <c r="K876" s="30">
        <f ca="1">IF($J876="Continues",DATEDIF($B876,TODAY(),"Y"),INDEX('Lopettaneet 2013-&gt;'!$L:$L,MATCH($D876,'Lopettaneet 2013-&gt;'!$D:$D,0)))</f>
        <v>3</v>
      </c>
      <c r="L876" s="31" t="str">
        <f>IFERROR(INDEX('[1]30.06.2024'!$H:$H,MATCH($E876,'[1]30.06.2024'!$B:$B,0)),"Not found")</f>
        <v>eQ Rahastoyhtiö Oy</v>
      </c>
      <c r="M876" s="31" t="str">
        <f>IFERROR(INDEX([2]Sheet1!$B:$B,MATCH($D876,[2]Sheet1!$A:$A,0)),"Not found")</f>
        <v>Non-Retail</v>
      </c>
      <c r="N876">
        <f t="shared" si="26"/>
        <v>0</v>
      </c>
      <c r="O876">
        <f t="shared" si="27"/>
        <v>1</v>
      </c>
    </row>
    <row r="877" spans="1:15" x14ac:dyDescent="0.25">
      <c r="A877" t="s">
        <v>0</v>
      </c>
      <c r="B877" s="1">
        <v>44531</v>
      </c>
      <c r="C877" s="1">
        <v>55153</v>
      </c>
      <c r="D877" s="4" t="s">
        <v>1942</v>
      </c>
      <c r="E877" s="32" t="s">
        <v>1943</v>
      </c>
      <c r="F877" s="32">
        <v>31801644</v>
      </c>
      <c r="G877" t="s">
        <v>10</v>
      </c>
      <c r="H877" t="s">
        <v>11</v>
      </c>
      <c r="I877" t="s">
        <v>20</v>
      </c>
      <c r="J877" s="30" t="str">
        <f>IF(ISNUMBER(MATCH($D877,'Lopettaneet 2013-&gt;'!$D:$D,0)),INDEX('Lopettaneet 2013-&gt;'!$K:$K,MATCH($D877,'Lopettaneet 2013-&gt;'!$D:$D,0)),"Continues")</f>
        <v>Continues</v>
      </c>
      <c r="K877" s="30">
        <f ca="1">IF($J877="Continues",DATEDIF($B877,TODAY(),"Y"),INDEX('Lopettaneet 2013-&gt;'!$L:$L,MATCH($D877,'Lopettaneet 2013-&gt;'!$D:$D,0)))</f>
        <v>3</v>
      </c>
      <c r="L877" s="31" t="str">
        <f>IFERROR(INDEX('[1]30.06.2024'!$H:$H,MATCH($E877,'[1]30.06.2024'!$B:$B,0)),"Not found")</f>
        <v>eQ Rahastoyhtiö Oy</v>
      </c>
      <c r="M877" s="31" t="str">
        <f>IFERROR(INDEX([2]Sheet1!$B:$B,MATCH($D877,[2]Sheet1!$A:$A,0)),"Not found")</f>
        <v>Non-Retail</v>
      </c>
      <c r="N877">
        <f t="shared" si="26"/>
        <v>0</v>
      </c>
      <c r="O877">
        <f t="shared" si="27"/>
        <v>1</v>
      </c>
    </row>
    <row r="878" spans="1:15" x14ac:dyDescent="0.25">
      <c r="A878" t="s">
        <v>0</v>
      </c>
      <c r="B878" s="1">
        <v>44256</v>
      </c>
      <c r="C878" s="1">
        <v>55153</v>
      </c>
      <c r="D878" s="4" t="s">
        <v>1944</v>
      </c>
      <c r="E878" s="32" t="s">
        <v>1945</v>
      </c>
      <c r="F878" s="32">
        <v>31801652</v>
      </c>
      <c r="G878" t="s">
        <v>10</v>
      </c>
      <c r="H878" t="s">
        <v>11</v>
      </c>
      <c r="I878" t="s">
        <v>20</v>
      </c>
      <c r="J878" s="30" t="str">
        <f>IF(ISNUMBER(MATCH($D878,'Lopettaneet 2013-&gt;'!$D:$D,0)),INDEX('Lopettaneet 2013-&gt;'!$K:$K,MATCH($D878,'Lopettaneet 2013-&gt;'!$D:$D,0)),"Continues")</f>
        <v>Continues</v>
      </c>
      <c r="K878" s="30">
        <f ca="1">IF($J878="Continues",DATEDIF($B878,TODAY(),"Y"),INDEX('Lopettaneet 2013-&gt;'!$L:$L,MATCH($D878,'Lopettaneet 2013-&gt;'!$D:$D,0)))</f>
        <v>4</v>
      </c>
      <c r="L878" s="31" t="str">
        <f>IFERROR(INDEX('[1]30.06.2024'!$H:$H,MATCH($E878,'[1]30.06.2024'!$B:$B,0)),"Not found")</f>
        <v>eQ Rahastoyhtiö Oy</v>
      </c>
      <c r="M878" s="31" t="str">
        <f>IFERROR(INDEX([2]Sheet1!$B:$B,MATCH($D878,[2]Sheet1!$A:$A,0)),"Not found")</f>
        <v>Non-Retail</v>
      </c>
      <c r="N878">
        <f t="shared" si="26"/>
        <v>0</v>
      </c>
      <c r="O878">
        <f t="shared" si="27"/>
        <v>1</v>
      </c>
    </row>
    <row r="879" spans="1:15" x14ac:dyDescent="0.25">
      <c r="A879" t="s">
        <v>0</v>
      </c>
      <c r="B879" s="1">
        <v>44256</v>
      </c>
      <c r="C879" s="1">
        <v>55153</v>
      </c>
      <c r="D879" s="4" t="s">
        <v>1946</v>
      </c>
      <c r="E879" s="32" t="s">
        <v>1947</v>
      </c>
      <c r="F879" s="32">
        <v>31801679</v>
      </c>
      <c r="G879" t="s">
        <v>10</v>
      </c>
      <c r="H879" t="s">
        <v>11</v>
      </c>
      <c r="I879" t="s">
        <v>20</v>
      </c>
      <c r="J879" s="30" t="str">
        <f>IF(ISNUMBER(MATCH($D879,'Lopettaneet 2013-&gt;'!$D:$D,0)),INDEX('Lopettaneet 2013-&gt;'!$K:$K,MATCH($D879,'Lopettaneet 2013-&gt;'!$D:$D,0)),"Continues")</f>
        <v>Continues</v>
      </c>
      <c r="K879" s="30">
        <f ca="1">IF($J879="Continues",DATEDIF($B879,TODAY(),"Y"),INDEX('Lopettaneet 2013-&gt;'!$L:$L,MATCH($D879,'Lopettaneet 2013-&gt;'!$D:$D,0)))</f>
        <v>4</v>
      </c>
      <c r="L879" s="31" t="str">
        <f>IFERROR(INDEX('[1]30.06.2024'!$H:$H,MATCH($E879,'[1]30.06.2024'!$B:$B,0)),"Not found")</f>
        <v>eQ Rahastoyhtiö Oy</v>
      </c>
      <c r="M879" s="31" t="str">
        <f>IFERROR(INDEX([2]Sheet1!$B:$B,MATCH($D879,[2]Sheet1!$A:$A,0)),"Not found")</f>
        <v>Non-Retail</v>
      </c>
      <c r="N879">
        <f t="shared" si="26"/>
        <v>0</v>
      </c>
      <c r="O879">
        <f t="shared" si="27"/>
        <v>1</v>
      </c>
    </row>
    <row r="880" spans="1:15" x14ac:dyDescent="0.25">
      <c r="A880" t="s">
        <v>0</v>
      </c>
      <c r="B880" s="1">
        <v>44256</v>
      </c>
      <c r="C880" s="1">
        <v>44530</v>
      </c>
      <c r="D880" s="4" t="s">
        <v>1948</v>
      </c>
      <c r="E880" s="32" t="s">
        <v>1949</v>
      </c>
      <c r="F880" s="32">
        <v>31793453</v>
      </c>
      <c r="G880" t="s">
        <v>10</v>
      </c>
      <c r="H880" t="s">
        <v>4</v>
      </c>
      <c r="I880" t="s">
        <v>20</v>
      </c>
      <c r="J880" s="30" t="str">
        <f>IF(ISNUMBER(MATCH($D880,'Lopettaneet 2013-&gt;'!$D:$D,0)),INDEX('Lopettaneet 2013-&gt;'!$K:$K,MATCH($D880,'Lopettaneet 2013-&gt;'!$D:$D,0)),"Continues")</f>
        <v>Merged</v>
      </c>
      <c r="K880" s="30">
        <f ca="1">IF($J880="Continues",DATEDIF($B880,TODAY(),"Y"),INDEX('Lopettaneet 2013-&gt;'!$L:$L,MATCH($D880,'Lopettaneet 2013-&gt;'!$D:$D,0)))</f>
        <v>0</v>
      </c>
      <c r="L880" s="31" t="str">
        <f>IFERROR(INDEX('[1]30.06.2024'!$H:$H,MATCH($E880,'[1]30.06.2024'!$B:$B,0)),"Not found")</f>
        <v>Not found</v>
      </c>
      <c r="M880" s="31" t="str">
        <f>IFERROR(INDEX([2]Sheet1!$B:$B,MATCH($D880,[2]Sheet1!$A:$A,0)),"Not found")</f>
        <v>Not found</v>
      </c>
      <c r="N880">
        <f t="shared" si="26"/>
        <v>0</v>
      </c>
      <c r="O880">
        <f t="shared" si="27"/>
        <v>0</v>
      </c>
    </row>
    <row r="881" spans="1:15" x14ac:dyDescent="0.25">
      <c r="A881" t="s">
        <v>7</v>
      </c>
      <c r="B881" s="1">
        <v>44256</v>
      </c>
      <c r="C881" s="1">
        <v>55153</v>
      </c>
      <c r="D881" s="4" t="s">
        <v>1950</v>
      </c>
      <c r="E881" s="32" t="s">
        <v>1951</v>
      </c>
      <c r="F881" s="32">
        <v>31758375</v>
      </c>
      <c r="G881" t="s">
        <v>10</v>
      </c>
      <c r="H881" t="s">
        <v>11</v>
      </c>
      <c r="I881" t="s">
        <v>12</v>
      </c>
      <c r="J881" s="30" t="str">
        <f>IF(ISNUMBER(MATCH($D881,'Lopettaneet 2013-&gt;'!$D:$D,0)),INDEX('Lopettaneet 2013-&gt;'!$K:$K,MATCH($D881,'Lopettaneet 2013-&gt;'!$D:$D,0)),"Continues")</f>
        <v>Continues</v>
      </c>
      <c r="K881" s="30">
        <f ca="1">IF($J881="Continues",DATEDIF($B881,TODAY(),"Y"),INDEX('Lopettaneet 2013-&gt;'!$L:$L,MATCH($D881,'Lopettaneet 2013-&gt;'!$D:$D,0)))</f>
        <v>4</v>
      </c>
      <c r="L881" s="31" t="str">
        <f>IFERROR(INDEX('[1]30.06.2024'!$H:$H,MATCH($E881,'[1]30.06.2024'!$B:$B,0)),"Not found")</f>
        <v>CapMan AIFM Oy</v>
      </c>
      <c r="M881" s="31" t="str">
        <f>IFERROR(INDEX([2]Sheet1!$B:$B,MATCH($D881,[2]Sheet1!$A:$A,0)),"Not found")</f>
        <v>Non-Retail</v>
      </c>
      <c r="N881">
        <f t="shared" si="26"/>
        <v>0</v>
      </c>
      <c r="O881">
        <f t="shared" si="27"/>
        <v>1</v>
      </c>
    </row>
    <row r="882" spans="1:15" x14ac:dyDescent="0.25">
      <c r="A882" t="s">
        <v>7</v>
      </c>
      <c r="B882" s="1">
        <v>44348</v>
      </c>
      <c r="C882" s="1">
        <v>45199</v>
      </c>
      <c r="D882" s="4" t="s">
        <v>61</v>
      </c>
      <c r="E882" s="32" t="s">
        <v>1952</v>
      </c>
      <c r="F882" s="32">
        <v>32073968</v>
      </c>
      <c r="G882" t="s">
        <v>10</v>
      </c>
      <c r="H882" t="s">
        <v>11</v>
      </c>
      <c r="I882" t="s">
        <v>29</v>
      </c>
      <c r="J882" s="30" t="str">
        <f>IF(ISNUMBER(MATCH($D882,'Lopettaneet 2013-&gt;'!$D:$D,0)),INDEX('Lopettaneet 2013-&gt;'!$K:$K,MATCH($D882,'Lopettaneet 2013-&gt;'!$D:$D,0)),"Continues")</f>
        <v>Closed</v>
      </c>
      <c r="K882" s="30">
        <f ca="1">IF($J882="Continues",DATEDIF($B882,TODAY(),"Y"),INDEX('Lopettaneet 2013-&gt;'!$L:$L,MATCH($D882,'Lopettaneet 2013-&gt;'!$D:$D,0)))</f>
        <v>2</v>
      </c>
      <c r="L882" s="31" t="str">
        <f>IFERROR(INDEX('[1]30.06.2024'!$H:$H,MATCH($E882,'[1]30.06.2024'!$B:$B,0)),"Not found")</f>
        <v>Not found</v>
      </c>
      <c r="M882" s="31" t="str">
        <f>IFERROR(INDEX([2]Sheet1!$B:$B,MATCH($D882,[2]Sheet1!$A:$A,0)),"Not found")</f>
        <v>Not found</v>
      </c>
      <c r="N882">
        <f t="shared" si="26"/>
        <v>0</v>
      </c>
      <c r="O882">
        <f t="shared" si="27"/>
        <v>0</v>
      </c>
    </row>
    <row r="883" spans="1:15" x14ac:dyDescent="0.25">
      <c r="A883" t="s">
        <v>7</v>
      </c>
      <c r="B883" s="1">
        <v>44348</v>
      </c>
      <c r="C883" s="1">
        <v>55153</v>
      </c>
      <c r="D883" s="4" t="s">
        <v>1953</v>
      </c>
      <c r="E883" s="32" t="s">
        <v>1954</v>
      </c>
      <c r="F883" s="32">
        <v>32041499</v>
      </c>
      <c r="G883" t="s">
        <v>10</v>
      </c>
      <c r="H883" t="s">
        <v>11</v>
      </c>
      <c r="I883" t="s">
        <v>80</v>
      </c>
      <c r="J883" s="30" t="str">
        <f>IF(ISNUMBER(MATCH($D883,'Lopettaneet 2013-&gt;'!$D:$D,0)),INDEX('Lopettaneet 2013-&gt;'!$K:$K,MATCH($D883,'Lopettaneet 2013-&gt;'!$D:$D,0)),"Continues")</f>
        <v>Continues</v>
      </c>
      <c r="K883" s="30">
        <f ca="1">IF($J883="Continues",DATEDIF($B883,TODAY(),"Y"),INDEX('Lopettaneet 2013-&gt;'!$L:$L,MATCH($D883,'Lopettaneet 2013-&gt;'!$D:$D,0)))</f>
        <v>3</v>
      </c>
      <c r="L883" s="31" t="str">
        <f>IFERROR(INDEX('[1]30.06.2024'!$H:$H,MATCH($E883,'[1]30.06.2024'!$B:$B,0)),"Not found")</f>
        <v>Vendep Capital Oy</v>
      </c>
      <c r="M883" s="31" t="str">
        <f>IFERROR(INDEX([2]Sheet1!$B:$B,MATCH($D883,[2]Sheet1!$A:$A,0)),"Not found")</f>
        <v>Retail</v>
      </c>
      <c r="N883">
        <f t="shared" si="26"/>
        <v>1</v>
      </c>
      <c r="O883">
        <f t="shared" si="27"/>
        <v>0</v>
      </c>
    </row>
    <row r="884" spans="1:15" x14ac:dyDescent="0.25">
      <c r="A884" t="s">
        <v>7</v>
      </c>
      <c r="B884" s="1">
        <v>44348</v>
      </c>
      <c r="C884" s="1">
        <v>55153</v>
      </c>
      <c r="D884" s="4" t="s">
        <v>1955</v>
      </c>
      <c r="E884" s="32" t="s">
        <v>1956</v>
      </c>
      <c r="F884" s="32">
        <v>32041501</v>
      </c>
      <c r="G884" t="s">
        <v>10</v>
      </c>
      <c r="H884" t="s">
        <v>11</v>
      </c>
      <c r="I884" t="s">
        <v>80</v>
      </c>
      <c r="J884" s="30" t="str">
        <f>IF(ISNUMBER(MATCH($D884,'Lopettaneet 2013-&gt;'!$D:$D,0)),INDEX('Lopettaneet 2013-&gt;'!$K:$K,MATCH($D884,'Lopettaneet 2013-&gt;'!$D:$D,0)),"Continues")</f>
        <v>Continues</v>
      </c>
      <c r="K884" s="30">
        <f ca="1">IF($J884="Continues",DATEDIF($B884,TODAY(),"Y"),INDEX('Lopettaneet 2013-&gt;'!$L:$L,MATCH($D884,'Lopettaneet 2013-&gt;'!$D:$D,0)))</f>
        <v>3</v>
      </c>
      <c r="L884" s="31" t="str">
        <f>IFERROR(INDEX('[1]30.06.2024'!$H:$H,MATCH($E884,'[1]30.06.2024'!$B:$B,0)),"Not found")</f>
        <v>Vendep Capital Oy</v>
      </c>
      <c r="M884" s="31" t="str">
        <f>IFERROR(INDEX([2]Sheet1!$B:$B,MATCH($D884,[2]Sheet1!$A:$A,0)),"Not found")</f>
        <v>Retail</v>
      </c>
      <c r="N884">
        <f t="shared" si="26"/>
        <v>1</v>
      </c>
      <c r="O884">
        <f t="shared" si="27"/>
        <v>0</v>
      </c>
    </row>
    <row r="885" spans="1:15" x14ac:dyDescent="0.25">
      <c r="A885" t="s">
        <v>7</v>
      </c>
      <c r="B885" s="1">
        <v>44440</v>
      </c>
      <c r="C885" s="1">
        <v>55153</v>
      </c>
      <c r="D885" s="4" t="s">
        <v>1957</v>
      </c>
      <c r="E885" s="32" t="s">
        <v>1958</v>
      </c>
      <c r="F885" s="32">
        <v>32136471</v>
      </c>
      <c r="G885" t="s">
        <v>10</v>
      </c>
      <c r="H885" t="s">
        <v>11</v>
      </c>
      <c r="I885" t="s">
        <v>32</v>
      </c>
      <c r="J885" s="30" t="str">
        <f>IF(ISNUMBER(MATCH($D885,'Lopettaneet 2013-&gt;'!$D:$D,0)),INDEX('Lopettaneet 2013-&gt;'!$K:$K,MATCH($D885,'Lopettaneet 2013-&gt;'!$D:$D,0)),"Continues")</f>
        <v>Continues</v>
      </c>
      <c r="K885" s="30">
        <f ca="1">IF($J885="Continues",DATEDIF($B885,TODAY(),"Y"),INDEX('Lopettaneet 2013-&gt;'!$L:$L,MATCH($D885,'Lopettaneet 2013-&gt;'!$D:$D,0)))</f>
        <v>3</v>
      </c>
      <c r="L885" s="31" t="str">
        <f>IFERROR(INDEX('[1]30.06.2024'!$H:$H,MATCH($E885,'[1]30.06.2024'!$B:$B,0)),"Not found")</f>
        <v>Samla Capital Oy</v>
      </c>
      <c r="M885" s="31" t="str">
        <f>IFERROR(INDEX([2]Sheet1!$B:$B,MATCH($D885,[2]Sheet1!$A:$A,0)),"Not found")</f>
        <v>Retail</v>
      </c>
      <c r="N885">
        <f t="shared" si="26"/>
        <v>1</v>
      </c>
      <c r="O885">
        <f t="shared" si="27"/>
        <v>0</v>
      </c>
    </row>
    <row r="886" spans="1:15" x14ac:dyDescent="0.25">
      <c r="A886" t="s">
        <v>7</v>
      </c>
      <c r="B886" s="1">
        <v>44348</v>
      </c>
      <c r="C886" s="1">
        <v>55153</v>
      </c>
      <c r="D886" s="4" t="s">
        <v>1959</v>
      </c>
      <c r="E886" s="32" t="s">
        <v>1960</v>
      </c>
      <c r="F886" s="32">
        <v>31895193</v>
      </c>
      <c r="G886" t="s">
        <v>10</v>
      </c>
      <c r="H886" t="s">
        <v>11</v>
      </c>
      <c r="I886" t="s">
        <v>80</v>
      </c>
      <c r="J886" s="30" t="str">
        <f>IF(ISNUMBER(MATCH($D886,'Lopettaneet 2013-&gt;'!$D:$D,0)),INDEX('Lopettaneet 2013-&gt;'!$K:$K,MATCH($D886,'Lopettaneet 2013-&gt;'!$D:$D,0)),"Continues")</f>
        <v>Continues</v>
      </c>
      <c r="K886" s="30">
        <f ca="1">IF($J886="Continues",DATEDIF($B886,TODAY(),"Y"),INDEX('Lopettaneet 2013-&gt;'!$L:$L,MATCH($D886,'Lopettaneet 2013-&gt;'!$D:$D,0)))</f>
        <v>3</v>
      </c>
      <c r="L886" s="31" t="str">
        <f>IFERROR(INDEX('[1]30.06.2024'!$H:$H,MATCH($E886,'[1]30.06.2024'!$B:$B,0)),"Not found")</f>
        <v>Icebreaker Fund Management Oy</v>
      </c>
      <c r="M886" s="31" t="str">
        <f>IFERROR(INDEX([2]Sheet1!$B:$B,MATCH($D886,[2]Sheet1!$A:$A,0)),"Not found")</f>
        <v>Non-Retail</v>
      </c>
      <c r="N886">
        <f t="shared" si="26"/>
        <v>0</v>
      </c>
      <c r="O886">
        <f t="shared" si="27"/>
        <v>1</v>
      </c>
    </row>
    <row r="887" spans="1:15" x14ac:dyDescent="0.25">
      <c r="A887" t="s">
        <v>7</v>
      </c>
      <c r="B887" s="1">
        <v>44348</v>
      </c>
      <c r="C887" s="1">
        <v>55153</v>
      </c>
      <c r="D887" s="4" t="s">
        <v>1961</v>
      </c>
      <c r="E887" s="32" t="s">
        <v>1962</v>
      </c>
      <c r="F887" s="32">
        <v>32053369</v>
      </c>
      <c r="G887" t="s">
        <v>10</v>
      </c>
      <c r="H887" t="s">
        <v>11</v>
      </c>
      <c r="I887" t="s">
        <v>32</v>
      </c>
      <c r="J887" s="30" t="str">
        <f>IF(ISNUMBER(MATCH($D887,'Lopettaneet 2013-&gt;'!$D:$D,0)),INDEX('Lopettaneet 2013-&gt;'!$K:$K,MATCH($D887,'Lopettaneet 2013-&gt;'!$D:$D,0)),"Continues")</f>
        <v>Continues</v>
      </c>
      <c r="K887" s="30">
        <f ca="1">IF($J887="Continues",DATEDIF($B887,TODAY(),"Y"),INDEX('Lopettaneet 2013-&gt;'!$L:$L,MATCH($D887,'Lopettaneet 2013-&gt;'!$D:$D,0)))</f>
        <v>3</v>
      </c>
      <c r="L887" s="31" t="str">
        <f>IFERROR(INDEX('[1]30.06.2024'!$H:$H,MATCH($E887,'[1]30.06.2024'!$B:$B,0)),"Not found")</f>
        <v>Tuohex Capital Oy</v>
      </c>
      <c r="M887" s="31" t="str">
        <f>IFERROR(INDEX([2]Sheet1!$B:$B,MATCH($D887,[2]Sheet1!$A:$A,0)),"Not found")</f>
        <v>Retail</v>
      </c>
      <c r="N887">
        <f t="shared" si="26"/>
        <v>1</v>
      </c>
      <c r="O887">
        <f t="shared" si="27"/>
        <v>0</v>
      </c>
    </row>
    <row r="888" spans="1:15" x14ac:dyDescent="0.25">
      <c r="A888" t="s">
        <v>0</v>
      </c>
      <c r="B888" s="1">
        <v>44409</v>
      </c>
      <c r="C888" s="1">
        <v>55153</v>
      </c>
      <c r="D888" s="4" t="s">
        <v>1963</v>
      </c>
      <c r="E888" s="32" t="s">
        <v>1964</v>
      </c>
      <c r="F888" s="32">
        <v>32096246</v>
      </c>
      <c r="G888" t="s">
        <v>10</v>
      </c>
      <c r="H888" t="s">
        <v>4</v>
      </c>
      <c r="I888" t="s">
        <v>50</v>
      </c>
      <c r="J888" s="30" t="str">
        <f>IF(ISNUMBER(MATCH($D888,'Lopettaneet 2013-&gt;'!$D:$D,0)),INDEX('Lopettaneet 2013-&gt;'!$K:$K,MATCH($D888,'Lopettaneet 2013-&gt;'!$D:$D,0)),"Continues")</f>
        <v>Continues</v>
      </c>
      <c r="K888" s="30">
        <f ca="1">IF($J888="Continues",DATEDIF($B888,TODAY(),"Y"),INDEX('Lopettaneet 2013-&gt;'!$L:$L,MATCH($D888,'Lopettaneet 2013-&gt;'!$D:$D,0)))</f>
        <v>3</v>
      </c>
      <c r="L888" s="31" t="str">
        <f>IFERROR(INDEX('[1]30.06.2024'!$H:$H,MATCH($E888,'[1]30.06.2024'!$B:$B,0)),"Not found")</f>
        <v>Evli-Rahastoyhtiö Oy</v>
      </c>
      <c r="M888" s="31" t="str">
        <f>IFERROR(INDEX([2]Sheet1!$B:$B,MATCH($D888,[2]Sheet1!$A:$A,0)),"Not found")</f>
        <v>Retail</v>
      </c>
      <c r="N888">
        <f t="shared" si="26"/>
        <v>1</v>
      </c>
      <c r="O888">
        <f t="shared" si="27"/>
        <v>0</v>
      </c>
    </row>
    <row r="889" spans="1:15" x14ac:dyDescent="0.25">
      <c r="A889" t="s">
        <v>7</v>
      </c>
      <c r="B889" s="1">
        <v>44256</v>
      </c>
      <c r="C889" s="1">
        <v>55153</v>
      </c>
      <c r="D889" s="4" t="s">
        <v>1965</v>
      </c>
      <c r="E889" s="32" t="s">
        <v>1966</v>
      </c>
      <c r="F889" s="32">
        <v>31914948</v>
      </c>
      <c r="G889" t="s">
        <v>10</v>
      </c>
      <c r="H889" t="s">
        <v>11</v>
      </c>
      <c r="I889" t="s">
        <v>32</v>
      </c>
      <c r="J889" s="30" t="str">
        <f>IF(ISNUMBER(MATCH($D889,'Lopettaneet 2013-&gt;'!$D:$D,0)),INDEX('Lopettaneet 2013-&gt;'!$K:$K,MATCH($D889,'Lopettaneet 2013-&gt;'!$D:$D,0)),"Continues")</f>
        <v>Continues</v>
      </c>
      <c r="K889" s="30">
        <f ca="1">IF($J889="Continues",DATEDIF($B889,TODAY(),"Y"),INDEX('Lopettaneet 2013-&gt;'!$L:$L,MATCH($D889,'Lopettaneet 2013-&gt;'!$D:$D,0)))</f>
        <v>4</v>
      </c>
      <c r="L889" s="31" t="str">
        <f>IFERROR(INDEX('[1]30.06.2024'!$H:$H,MATCH($E889,'[1]30.06.2024'!$B:$B,0)),"Not found")</f>
        <v>Obsido Rahastoyhtiö Oy</v>
      </c>
      <c r="M889" s="31" t="str">
        <f>IFERROR(INDEX([2]Sheet1!$B:$B,MATCH($D889,[2]Sheet1!$A:$A,0)),"Not found")</f>
        <v>Non-Retail</v>
      </c>
      <c r="N889">
        <f t="shared" si="26"/>
        <v>0</v>
      </c>
      <c r="O889">
        <f t="shared" si="27"/>
        <v>1</v>
      </c>
    </row>
    <row r="890" spans="1:15" x14ac:dyDescent="0.25">
      <c r="A890" t="s">
        <v>7</v>
      </c>
      <c r="B890" s="1">
        <v>44348</v>
      </c>
      <c r="C890" s="1">
        <v>55153</v>
      </c>
      <c r="D890" s="4" t="s">
        <v>1967</v>
      </c>
      <c r="E890" s="32" t="s">
        <v>1968</v>
      </c>
      <c r="F890" s="32">
        <v>31861321</v>
      </c>
      <c r="G890" t="s">
        <v>10</v>
      </c>
      <c r="H890" t="s">
        <v>11</v>
      </c>
      <c r="I890" t="s">
        <v>32</v>
      </c>
      <c r="J890" s="30" t="str">
        <f>IF(ISNUMBER(MATCH($D890,'Lopettaneet 2013-&gt;'!$D:$D,0)),INDEX('Lopettaneet 2013-&gt;'!$K:$K,MATCH($D890,'Lopettaneet 2013-&gt;'!$D:$D,0)),"Continues")</f>
        <v>Continues</v>
      </c>
      <c r="K890" s="30">
        <f ca="1">IF($J890="Continues",DATEDIF($B890,TODAY(),"Y"),INDEX('Lopettaneet 2013-&gt;'!$L:$L,MATCH($D890,'Lopettaneet 2013-&gt;'!$D:$D,0)))</f>
        <v>3</v>
      </c>
      <c r="L890" s="31" t="str">
        <f>IFERROR(INDEX('[1]30.06.2024'!$H:$H,MATCH($E890,'[1]30.06.2024'!$B:$B,0)),"Not found")</f>
        <v>Avara Rahastot Oy</v>
      </c>
      <c r="M890" s="31" t="str">
        <f>IFERROR(INDEX([2]Sheet1!$B:$B,MATCH($D890,[2]Sheet1!$A:$A,0)),"Not found")</f>
        <v>Non-Retail</v>
      </c>
      <c r="N890">
        <f t="shared" si="26"/>
        <v>0</v>
      </c>
      <c r="O890">
        <f t="shared" si="27"/>
        <v>1</v>
      </c>
    </row>
    <row r="891" spans="1:15" x14ac:dyDescent="0.25">
      <c r="A891" t="s">
        <v>0</v>
      </c>
      <c r="B891" s="1">
        <v>44317</v>
      </c>
      <c r="C891" s="1">
        <v>55153</v>
      </c>
      <c r="D891" s="4" t="s">
        <v>1969</v>
      </c>
      <c r="E891" s="32" t="s">
        <v>1970</v>
      </c>
      <c r="F891" s="32">
        <v>31968647</v>
      </c>
      <c r="G891" t="s">
        <v>10</v>
      </c>
      <c r="H891" t="s">
        <v>11</v>
      </c>
      <c r="I891" t="s">
        <v>20</v>
      </c>
      <c r="J891" s="30" t="str">
        <f>IF(ISNUMBER(MATCH($D891,'Lopettaneet 2013-&gt;'!$D:$D,0)),INDEX('Lopettaneet 2013-&gt;'!$K:$K,MATCH($D891,'Lopettaneet 2013-&gt;'!$D:$D,0)),"Continues")</f>
        <v>Continues</v>
      </c>
      <c r="K891" s="30">
        <f ca="1">IF($J891="Continues",DATEDIF($B891,TODAY(),"Y"),INDEX('Lopettaneet 2013-&gt;'!$L:$L,MATCH($D891,'Lopettaneet 2013-&gt;'!$D:$D,0)))</f>
        <v>4</v>
      </c>
      <c r="L891" s="31" t="str">
        <f>IFERROR(INDEX('[1]30.06.2024'!$H:$H,MATCH($E891,'[1]30.06.2024'!$B:$B,0)),"Not found")</f>
        <v>eQ Rahastoyhtiö Oy</v>
      </c>
      <c r="M891" s="31" t="str">
        <f>IFERROR(INDEX([2]Sheet1!$B:$B,MATCH($D891,[2]Sheet1!$A:$A,0)),"Not found")</f>
        <v>Non-Retail</v>
      </c>
      <c r="N891">
        <f t="shared" si="26"/>
        <v>0</v>
      </c>
      <c r="O891">
        <f t="shared" si="27"/>
        <v>1</v>
      </c>
    </row>
    <row r="892" spans="1:15" x14ac:dyDescent="0.25">
      <c r="A892" t="s">
        <v>0</v>
      </c>
      <c r="B892" s="1">
        <v>44317</v>
      </c>
      <c r="C892" s="1">
        <v>55153</v>
      </c>
      <c r="D892" s="4" t="s">
        <v>1971</v>
      </c>
      <c r="E892" s="32" t="s">
        <v>1972</v>
      </c>
      <c r="F892" s="32">
        <v>31968655</v>
      </c>
      <c r="G892" t="s">
        <v>10</v>
      </c>
      <c r="H892" t="s">
        <v>11</v>
      </c>
      <c r="I892" t="s">
        <v>20</v>
      </c>
      <c r="J892" s="30" t="str">
        <f>IF(ISNUMBER(MATCH($D892,'Lopettaneet 2013-&gt;'!$D:$D,0)),INDEX('Lopettaneet 2013-&gt;'!$K:$K,MATCH($D892,'Lopettaneet 2013-&gt;'!$D:$D,0)),"Continues")</f>
        <v>Continues</v>
      </c>
      <c r="K892" s="30">
        <f ca="1">IF($J892="Continues",DATEDIF($B892,TODAY(),"Y"),INDEX('Lopettaneet 2013-&gt;'!$L:$L,MATCH($D892,'Lopettaneet 2013-&gt;'!$D:$D,0)))</f>
        <v>4</v>
      </c>
      <c r="L892" s="31" t="str">
        <f>IFERROR(INDEX('[1]30.06.2024'!$H:$H,MATCH($E892,'[1]30.06.2024'!$B:$B,0)),"Not found")</f>
        <v>eQ Rahastoyhtiö Oy</v>
      </c>
      <c r="M892" s="31" t="str">
        <f>IFERROR(INDEX([2]Sheet1!$B:$B,MATCH($D892,[2]Sheet1!$A:$A,0)),"Not found")</f>
        <v>Non-Retail</v>
      </c>
      <c r="N892">
        <f t="shared" si="26"/>
        <v>0</v>
      </c>
      <c r="O892">
        <f t="shared" si="27"/>
        <v>1</v>
      </c>
    </row>
    <row r="893" spans="1:15" x14ac:dyDescent="0.25">
      <c r="A893" t="s">
        <v>7</v>
      </c>
      <c r="B893" s="1">
        <v>44348</v>
      </c>
      <c r="C893" s="1">
        <v>55153</v>
      </c>
      <c r="D893" s="4" t="s">
        <v>1973</v>
      </c>
      <c r="E893" s="32" t="s">
        <v>1974</v>
      </c>
      <c r="F893" s="32">
        <v>31836193</v>
      </c>
      <c r="G893" t="s">
        <v>10</v>
      </c>
      <c r="H893" t="s">
        <v>11</v>
      </c>
      <c r="I893" t="s">
        <v>29</v>
      </c>
      <c r="J893" s="30" t="str">
        <f>IF(ISNUMBER(MATCH($D893,'Lopettaneet 2013-&gt;'!$D:$D,0)),INDEX('Lopettaneet 2013-&gt;'!$K:$K,MATCH($D893,'Lopettaneet 2013-&gt;'!$D:$D,0)),"Continues")</f>
        <v>Continues</v>
      </c>
      <c r="K893" s="30">
        <f ca="1">IF($J893="Continues",DATEDIF($B893,TODAY(),"Y"),INDEX('Lopettaneet 2013-&gt;'!$L:$L,MATCH($D893,'Lopettaneet 2013-&gt;'!$D:$D,0)))</f>
        <v>3</v>
      </c>
      <c r="L893" s="31" t="str">
        <f>IFERROR(INDEX('[1]30.06.2024'!$H:$H,MATCH($E893,'[1]30.06.2024'!$B:$B,0)),"Not found")</f>
        <v>Evli-Rahastoyhtiö Oy</v>
      </c>
      <c r="M893" s="31" t="str">
        <f>IFERROR(INDEX([2]Sheet1!$B:$B,MATCH($D893,[2]Sheet1!$A:$A,0)),"Not found")</f>
        <v>Retail</v>
      </c>
      <c r="N893">
        <f t="shared" si="26"/>
        <v>1</v>
      </c>
      <c r="O893">
        <f t="shared" si="27"/>
        <v>0</v>
      </c>
    </row>
    <row r="894" spans="1:15" x14ac:dyDescent="0.25">
      <c r="A894" t="s">
        <v>7</v>
      </c>
      <c r="B894" s="1">
        <v>44348</v>
      </c>
      <c r="C894" s="1">
        <v>55153</v>
      </c>
      <c r="D894" s="4" t="s">
        <v>1975</v>
      </c>
      <c r="E894" s="32" t="s">
        <v>1976</v>
      </c>
      <c r="F894" s="32">
        <v>31968006</v>
      </c>
      <c r="G894" t="s">
        <v>10</v>
      </c>
      <c r="H894" t="s">
        <v>11</v>
      </c>
      <c r="I894" t="s">
        <v>29</v>
      </c>
      <c r="J894" s="30" t="str">
        <f>IF(ISNUMBER(MATCH($D894,'Lopettaneet 2013-&gt;'!$D:$D,0)),INDEX('Lopettaneet 2013-&gt;'!$K:$K,MATCH($D894,'Lopettaneet 2013-&gt;'!$D:$D,0)),"Continues")</f>
        <v>Continues</v>
      </c>
      <c r="K894" s="30">
        <f ca="1">IF($J894="Continues",DATEDIF($B894,TODAY(),"Y"),INDEX('Lopettaneet 2013-&gt;'!$L:$L,MATCH($D894,'Lopettaneet 2013-&gt;'!$D:$D,0)))</f>
        <v>3</v>
      </c>
      <c r="L894" s="31" t="str">
        <f>IFERROR(INDEX('[1]30.06.2024'!$H:$H,MATCH($E894,'[1]30.06.2024'!$B:$B,0)),"Not found")</f>
        <v>Aurora Studios Oy</v>
      </c>
      <c r="M894" s="31" t="str">
        <f>IFERROR(INDEX([2]Sheet1!$B:$B,MATCH($D894,[2]Sheet1!$A:$A,0)),"Not found")</f>
        <v>Non-Retail</v>
      </c>
      <c r="N894">
        <f t="shared" si="26"/>
        <v>0</v>
      </c>
      <c r="O894">
        <f t="shared" si="27"/>
        <v>1</v>
      </c>
    </row>
    <row r="895" spans="1:15" x14ac:dyDescent="0.25">
      <c r="A895" t="s">
        <v>7</v>
      </c>
      <c r="B895" s="1">
        <v>44440</v>
      </c>
      <c r="C895" s="1">
        <v>55153</v>
      </c>
      <c r="D895" s="4" t="s">
        <v>1977</v>
      </c>
      <c r="E895" s="32" t="s">
        <v>1978</v>
      </c>
      <c r="F895" s="32">
        <v>31951677</v>
      </c>
      <c r="G895" t="s">
        <v>10</v>
      </c>
      <c r="H895" t="s">
        <v>11</v>
      </c>
      <c r="I895" t="s">
        <v>29</v>
      </c>
      <c r="J895" s="30" t="str">
        <f>IF(ISNUMBER(MATCH($D895,'Lopettaneet 2013-&gt;'!$D:$D,0)),INDEX('Lopettaneet 2013-&gt;'!$K:$K,MATCH($D895,'Lopettaneet 2013-&gt;'!$D:$D,0)),"Continues")</f>
        <v>Continues</v>
      </c>
      <c r="K895" s="30">
        <f ca="1">IF($J895="Continues",DATEDIF($B895,TODAY(),"Y"),INDEX('Lopettaneet 2013-&gt;'!$L:$L,MATCH($D895,'Lopettaneet 2013-&gt;'!$D:$D,0)))</f>
        <v>3</v>
      </c>
      <c r="L895" s="31" t="str">
        <f>IFERROR(INDEX('[1]30.06.2024'!$H:$H,MATCH($E895,'[1]30.06.2024'!$B:$B,0)),"Not found")</f>
        <v>Aurora Studios Oy</v>
      </c>
      <c r="M895" s="31" t="str">
        <f>IFERROR(INDEX([2]Sheet1!$B:$B,MATCH($D895,[2]Sheet1!$A:$A,0)),"Not found")</f>
        <v>Non-Retail</v>
      </c>
      <c r="N895">
        <f t="shared" si="26"/>
        <v>0</v>
      </c>
      <c r="O895">
        <f t="shared" si="27"/>
        <v>1</v>
      </c>
    </row>
    <row r="896" spans="1:15" x14ac:dyDescent="0.25">
      <c r="A896" t="s">
        <v>7</v>
      </c>
      <c r="B896" s="1">
        <v>44621</v>
      </c>
      <c r="C896" s="1">
        <v>55153</v>
      </c>
      <c r="D896" s="4" t="s">
        <v>1979</v>
      </c>
      <c r="E896" s="32" t="s">
        <v>1980</v>
      </c>
      <c r="F896" s="32">
        <v>32505468</v>
      </c>
      <c r="G896" t="s">
        <v>10</v>
      </c>
      <c r="H896" t="s">
        <v>11</v>
      </c>
      <c r="I896" t="s">
        <v>80</v>
      </c>
      <c r="J896" s="30" t="str">
        <f>IF(ISNUMBER(MATCH($D896,'Lopettaneet 2013-&gt;'!$D:$D,0)),INDEX('Lopettaneet 2013-&gt;'!$K:$K,MATCH($D896,'Lopettaneet 2013-&gt;'!$D:$D,0)),"Continues")</f>
        <v>Continues</v>
      </c>
      <c r="K896" s="30">
        <f ca="1">IF($J896="Continues",DATEDIF($B896,TODAY(),"Y"),INDEX('Lopettaneet 2013-&gt;'!$L:$L,MATCH($D896,'Lopettaneet 2013-&gt;'!$D:$D,0)))</f>
        <v>3</v>
      </c>
      <c r="L896" s="31" t="str">
        <f>IFERROR(INDEX('[1]30.06.2024'!$H:$H,MATCH($E896,'[1]30.06.2024'!$B:$B,0)),"Not found")</f>
        <v>Not found</v>
      </c>
      <c r="M896" s="31" t="str">
        <f>IFERROR(INDEX([2]Sheet1!$B:$B,MATCH($D896,[2]Sheet1!$A:$A,0)),"Not found")</f>
        <v>Retail</v>
      </c>
      <c r="N896">
        <f t="shared" si="26"/>
        <v>1</v>
      </c>
      <c r="O896">
        <f t="shared" si="27"/>
        <v>0</v>
      </c>
    </row>
    <row r="897" spans="1:15" x14ac:dyDescent="0.25">
      <c r="A897" t="s">
        <v>7</v>
      </c>
      <c r="B897" s="1">
        <v>44713</v>
      </c>
      <c r="C897" s="1">
        <v>55153</v>
      </c>
      <c r="D897" s="4" t="s">
        <v>1981</v>
      </c>
      <c r="E897" s="32" t="s">
        <v>1982</v>
      </c>
      <c r="F897" s="32">
        <v>32677083</v>
      </c>
      <c r="G897" t="s">
        <v>10</v>
      </c>
      <c r="H897" t="s">
        <v>11</v>
      </c>
      <c r="I897" t="s">
        <v>80</v>
      </c>
      <c r="J897" s="30" t="str">
        <f>IF(ISNUMBER(MATCH($D897,'Lopettaneet 2013-&gt;'!$D:$D,0)),INDEX('Lopettaneet 2013-&gt;'!$K:$K,MATCH($D897,'Lopettaneet 2013-&gt;'!$D:$D,0)),"Continues")</f>
        <v>Continues</v>
      </c>
      <c r="K897" s="30">
        <f ca="1">IF($J897="Continues",DATEDIF($B897,TODAY(),"Y"),INDEX('Lopettaneet 2013-&gt;'!$L:$L,MATCH($D897,'Lopettaneet 2013-&gt;'!$D:$D,0)))</f>
        <v>2</v>
      </c>
      <c r="L897" s="31" t="str">
        <f>IFERROR(INDEX('[1]30.06.2024'!$H:$H,MATCH($E897,'[1]30.06.2024'!$B:$B,0)),"Not found")</f>
        <v>Wave Ventures Oy</v>
      </c>
      <c r="M897" s="31" t="str">
        <f>IFERROR(INDEX([2]Sheet1!$B:$B,MATCH($D897,[2]Sheet1!$A:$A,0)),"Not found")</f>
        <v>Non-Retail</v>
      </c>
      <c r="N897">
        <f t="shared" si="26"/>
        <v>0</v>
      </c>
      <c r="O897">
        <f t="shared" si="27"/>
        <v>1</v>
      </c>
    </row>
    <row r="898" spans="1:15" x14ac:dyDescent="0.25">
      <c r="A898" t="s">
        <v>0</v>
      </c>
      <c r="B898" s="1">
        <v>44287</v>
      </c>
      <c r="C898" s="1">
        <v>55153</v>
      </c>
      <c r="D898" s="4" t="s">
        <v>1983</v>
      </c>
      <c r="E898" s="32" t="s">
        <v>1984</v>
      </c>
      <c r="F898" s="32">
        <v>32032373</v>
      </c>
      <c r="G898" t="s">
        <v>3</v>
      </c>
      <c r="H898" t="s">
        <v>4</v>
      </c>
      <c r="I898" t="s">
        <v>20</v>
      </c>
      <c r="J898" s="30" t="str">
        <f>IF(ISNUMBER(MATCH($D898,'Lopettaneet 2013-&gt;'!$D:$D,0)),INDEX('Lopettaneet 2013-&gt;'!$K:$K,MATCH($D898,'Lopettaneet 2013-&gt;'!$D:$D,0)),"Continues")</f>
        <v>Continues</v>
      </c>
      <c r="K898" s="30">
        <f ca="1">IF($J898="Continues",DATEDIF($B898,TODAY(),"Y"),INDEX('Lopettaneet 2013-&gt;'!$L:$L,MATCH($D898,'Lopettaneet 2013-&gt;'!$D:$D,0)))</f>
        <v>4</v>
      </c>
      <c r="L898" s="31" t="str">
        <f>IFERROR(INDEX('[1]30.06.2024'!$H:$H,MATCH($E898,'[1]30.06.2024'!$B:$B,0)),"Not found")</f>
        <v>Evli-Rahastoyhtiö Oy</v>
      </c>
      <c r="M898" s="31" t="str">
        <f>IFERROR(INDEX([2]Sheet1!$B:$B,MATCH($D898,[2]Sheet1!$A:$A,0)),"Not found")</f>
        <v>Retail</v>
      </c>
      <c r="N898">
        <f t="shared" si="26"/>
        <v>1</v>
      </c>
      <c r="O898">
        <f t="shared" si="27"/>
        <v>0</v>
      </c>
    </row>
    <row r="899" spans="1:15" x14ac:dyDescent="0.25">
      <c r="A899" t="s">
        <v>0</v>
      </c>
      <c r="B899" s="1">
        <v>44256</v>
      </c>
      <c r="C899" s="1">
        <v>55153</v>
      </c>
      <c r="D899" s="4" t="s">
        <v>1985</v>
      </c>
      <c r="E899" s="32" t="s">
        <v>1986</v>
      </c>
      <c r="F899" s="32">
        <v>31939838</v>
      </c>
      <c r="G899" t="s">
        <v>10</v>
      </c>
      <c r="H899" t="s">
        <v>4</v>
      </c>
      <c r="I899" t="s">
        <v>20</v>
      </c>
      <c r="J899" s="30" t="str">
        <f>IF(ISNUMBER(MATCH($D899,'Lopettaneet 2013-&gt;'!$D:$D,0)),INDEX('Lopettaneet 2013-&gt;'!$K:$K,MATCH($D899,'Lopettaneet 2013-&gt;'!$D:$D,0)),"Continues")</f>
        <v>Continues</v>
      </c>
      <c r="K899" s="30">
        <f ca="1">IF($J899="Continues",DATEDIF($B899,TODAY(),"Y"),INDEX('Lopettaneet 2013-&gt;'!$L:$L,MATCH($D899,'Lopettaneet 2013-&gt;'!$D:$D,0)))</f>
        <v>4</v>
      </c>
      <c r="L899" s="31" t="str">
        <f>IFERROR(INDEX('[1]30.06.2024'!$H:$H,MATCH($E899,'[1]30.06.2024'!$B:$B,0)),"Not found")</f>
        <v>GRIT Rahastoyhtiö Oy</v>
      </c>
      <c r="M899" s="31" t="str">
        <f>IFERROR(INDEX([2]Sheet1!$B:$B,MATCH($D899,[2]Sheet1!$A:$A,0)),"Not found")</f>
        <v>Retail</v>
      </c>
      <c r="N899">
        <f t="shared" ref="N899:N962" si="28">IF($M899="Retail",1,0)</f>
        <v>1</v>
      </c>
      <c r="O899">
        <f t="shared" ref="O899:O962" si="29">IF($M899="Non-Retail",1,0)</f>
        <v>0</v>
      </c>
    </row>
    <row r="900" spans="1:15" x14ac:dyDescent="0.25">
      <c r="A900" t="s">
        <v>7</v>
      </c>
      <c r="B900" s="1">
        <v>44348</v>
      </c>
      <c r="C900" s="1">
        <v>55153</v>
      </c>
      <c r="D900" s="4" t="s">
        <v>1987</v>
      </c>
      <c r="E900" s="32" t="s">
        <v>1988</v>
      </c>
      <c r="F900" s="32">
        <v>31992209</v>
      </c>
      <c r="G900" t="s">
        <v>10</v>
      </c>
      <c r="H900" t="s">
        <v>11</v>
      </c>
      <c r="I900" t="s">
        <v>29</v>
      </c>
      <c r="J900" s="30" t="str">
        <f>IF(ISNUMBER(MATCH($D900,'Lopettaneet 2013-&gt;'!$D:$D,0)),INDEX('Lopettaneet 2013-&gt;'!$K:$K,MATCH($D900,'Lopettaneet 2013-&gt;'!$D:$D,0)),"Continues")</f>
        <v>Continues</v>
      </c>
      <c r="K900" s="30">
        <f ca="1">IF($J900="Continues",DATEDIF($B900,TODAY(),"Y"),INDEX('Lopettaneet 2013-&gt;'!$L:$L,MATCH($D900,'Lopettaneet 2013-&gt;'!$D:$D,0)))</f>
        <v>3</v>
      </c>
      <c r="L900" s="31" t="str">
        <f>IFERROR(INDEX('[1]30.06.2024'!$H:$H,MATCH($E900,'[1]30.06.2024'!$B:$B,0)),"Not found")</f>
        <v>Evli-Rahastoyhtiö Oy</v>
      </c>
      <c r="M900" s="31" t="str">
        <f>IFERROR(INDEX([2]Sheet1!$B:$B,MATCH($D900,[2]Sheet1!$A:$A,0)),"Not found")</f>
        <v>Retail</v>
      </c>
      <c r="N900">
        <f t="shared" si="28"/>
        <v>1</v>
      </c>
      <c r="O900">
        <f t="shared" si="29"/>
        <v>0</v>
      </c>
    </row>
    <row r="901" spans="1:15" x14ac:dyDescent="0.25">
      <c r="A901" t="s">
        <v>0</v>
      </c>
      <c r="B901" s="1">
        <v>44287</v>
      </c>
      <c r="C901" s="1">
        <v>55153</v>
      </c>
      <c r="D901" s="4" t="s">
        <v>1989</v>
      </c>
      <c r="E901" s="32" t="s">
        <v>1990</v>
      </c>
      <c r="F901" s="32">
        <v>31947264</v>
      </c>
      <c r="G901" t="s">
        <v>10</v>
      </c>
      <c r="H901" t="s">
        <v>4</v>
      </c>
      <c r="I901" t="s">
        <v>29</v>
      </c>
      <c r="J901" s="30" t="str">
        <f>IF(ISNUMBER(MATCH($D901,'Lopettaneet 2013-&gt;'!$D:$D,0)),INDEX('Lopettaneet 2013-&gt;'!$K:$K,MATCH($D901,'Lopettaneet 2013-&gt;'!$D:$D,0)),"Continues")</f>
        <v>Continues</v>
      </c>
      <c r="K901" s="30">
        <f ca="1">IF($J901="Continues",DATEDIF($B901,TODAY(),"Y"),INDEX('Lopettaneet 2013-&gt;'!$L:$L,MATCH($D901,'Lopettaneet 2013-&gt;'!$D:$D,0)))</f>
        <v>4</v>
      </c>
      <c r="L901" s="31" t="str">
        <f>IFERROR(INDEX('[1]30.06.2024'!$H:$H,MATCH($E901,'[1]30.06.2024'!$B:$B,0)),"Not found")</f>
        <v>UB Rahastoyhtiö Oy</v>
      </c>
      <c r="M901" s="31" t="str">
        <f>IFERROR(INDEX([2]Sheet1!$B:$B,MATCH($D901,[2]Sheet1!$A:$A,0)),"Not found")</f>
        <v>Retail</v>
      </c>
      <c r="N901">
        <f t="shared" si="28"/>
        <v>1</v>
      </c>
      <c r="O901">
        <f t="shared" si="29"/>
        <v>0</v>
      </c>
    </row>
    <row r="902" spans="1:15" x14ac:dyDescent="0.25">
      <c r="A902" t="s">
        <v>7</v>
      </c>
      <c r="B902" s="1">
        <v>44531</v>
      </c>
      <c r="C902" s="1">
        <v>55153</v>
      </c>
      <c r="D902" s="4" t="s">
        <v>1991</v>
      </c>
      <c r="E902" s="32" t="s">
        <v>1992</v>
      </c>
      <c r="F902" s="32">
        <v>32236878</v>
      </c>
      <c r="G902" t="s">
        <v>10</v>
      </c>
      <c r="H902" t="s">
        <v>11</v>
      </c>
      <c r="I902" t="s">
        <v>12</v>
      </c>
      <c r="J902" s="30" t="str">
        <f>IF(ISNUMBER(MATCH($D902,'Lopettaneet 2013-&gt;'!$D:$D,0)),INDEX('Lopettaneet 2013-&gt;'!$K:$K,MATCH($D902,'Lopettaneet 2013-&gt;'!$D:$D,0)),"Continues")</f>
        <v>Continues</v>
      </c>
      <c r="K902" s="30">
        <f ca="1">IF($J902="Continues",DATEDIF($B902,TODAY(),"Y"),INDEX('Lopettaneet 2013-&gt;'!$L:$L,MATCH($D902,'Lopettaneet 2013-&gt;'!$D:$D,0)))</f>
        <v>3</v>
      </c>
      <c r="L902" s="31" t="str">
        <f>IFERROR(INDEX('[1]30.06.2024'!$H:$H,MATCH($E902,'[1]30.06.2024'!$B:$B,0)),"Not found")</f>
        <v>Korona Invest Oy</v>
      </c>
      <c r="M902" s="31" t="str">
        <f>IFERROR(INDEX([2]Sheet1!$B:$B,MATCH($D902,[2]Sheet1!$A:$A,0)),"Not found")</f>
        <v>Retail</v>
      </c>
      <c r="N902">
        <f t="shared" si="28"/>
        <v>1</v>
      </c>
      <c r="O902">
        <f t="shared" si="29"/>
        <v>0</v>
      </c>
    </row>
    <row r="903" spans="1:15" x14ac:dyDescent="0.25">
      <c r="A903" t="s">
        <v>0</v>
      </c>
      <c r="B903" s="1">
        <v>44348</v>
      </c>
      <c r="C903" s="1">
        <v>55153</v>
      </c>
      <c r="D903" s="4" t="s">
        <v>1993</v>
      </c>
      <c r="E903" s="32" t="s">
        <v>1994</v>
      </c>
      <c r="F903" s="32">
        <v>31978941</v>
      </c>
      <c r="G903" t="s">
        <v>10</v>
      </c>
      <c r="H903" t="s">
        <v>4</v>
      </c>
      <c r="I903" t="s">
        <v>32</v>
      </c>
      <c r="J903" s="30" t="str">
        <f>IF(ISNUMBER(MATCH($D903,'Lopettaneet 2013-&gt;'!$D:$D,0)),INDEX('Lopettaneet 2013-&gt;'!$K:$K,MATCH($D903,'Lopettaneet 2013-&gt;'!$D:$D,0)),"Continues")</f>
        <v>Continues</v>
      </c>
      <c r="K903" s="30">
        <f ca="1">IF($J903="Continues",DATEDIF($B903,TODAY(),"Y"),INDEX('Lopettaneet 2013-&gt;'!$L:$L,MATCH($D903,'Lopettaneet 2013-&gt;'!$D:$D,0)))</f>
        <v>3</v>
      </c>
      <c r="L903" s="31" t="str">
        <f>IFERROR(INDEX('[1]30.06.2024'!$H:$H,MATCH($E903,'[1]30.06.2024'!$B:$B,0)),"Not found")</f>
        <v>Titanium Rahastoyhtiö Oy</v>
      </c>
      <c r="M903" s="31" t="str">
        <f>IFERROR(INDEX([2]Sheet1!$B:$B,MATCH($D903,[2]Sheet1!$A:$A,0)),"Not found")</f>
        <v>Retail</v>
      </c>
      <c r="N903">
        <f t="shared" si="28"/>
        <v>1</v>
      </c>
      <c r="O903">
        <f t="shared" si="29"/>
        <v>0</v>
      </c>
    </row>
    <row r="904" spans="1:15" x14ac:dyDescent="0.25">
      <c r="A904" t="s">
        <v>7</v>
      </c>
      <c r="B904" s="1">
        <v>44531</v>
      </c>
      <c r="C904" s="1">
        <v>55153</v>
      </c>
      <c r="D904" s="4" t="s">
        <v>1995</v>
      </c>
      <c r="E904" s="32" t="s">
        <v>1996</v>
      </c>
      <c r="F904" s="32">
        <v>32137212</v>
      </c>
      <c r="G904" t="s">
        <v>10</v>
      </c>
      <c r="H904" t="s">
        <v>11</v>
      </c>
      <c r="I904" t="s">
        <v>80</v>
      </c>
      <c r="J904" s="30" t="str">
        <f>IF(ISNUMBER(MATCH($D904,'Lopettaneet 2013-&gt;'!$D:$D,0)),INDEX('Lopettaneet 2013-&gt;'!$K:$K,MATCH($D904,'Lopettaneet 2013-&gt;'!$D:$D,0)),"Continues")</f>
        <v>Continues</v>
      </c>
      <c r="K904" s="30">
        <f ca="1">IF($J904="Continues",DATEDIF($B904,TODAY(),"Y"),INDEX('Lopettaneet 2013-&gt;'!$L:$L,MATCH($D904,'Lopettaneet 2013-&gt;'!$D:$D,0)))</f>
        <v>3</v>
      </c>
      <c r="L904" s="31" t="str">
        <f>IFERROR(INDEX('[1]30.06.2024'!$H:$H,MATCH($E904,'[1]30.06.2024'!$B:$B,0)),"Not found")</f>
        <v>FOV Fund Management Oy</v>
      </c>
      <c r="M904" s="31" t="str">
        <f>IFERROR(INDEX([2]Sheet1!$B:$B,MATCH($D904,[2]Sheet1!$A:$A,0)),"Not found")</f>
        <v>Non-Retail</v>
      </c>
      <c r="N904">
        <f t="shared" si="28"/>
        <v>0</v>
      </c>
      <c r="O904">
        <f t="shared" si="29"/>
        <v>1</v>
      </c>
    </row>
    <row r="905" spans="1:15" x14ac:dyDescent="0.25">
      <c r="A905" t="s">
        <v>7</v>
      </c>
      <c r="B905" s="1">
        <v>44621</v>
      </c>
      <c r="C905" s="1">
        <v>55153</v>
      </c>
      <c r="D905" s="4" t="s">
        <v>1997</v>
      </c>
      <c r="E905" s="32" t="s">
        <v>1998</v>
      </c>
      <c r="F905" s="32">
        <v>32446402</v>
      </c>
      <c r="G905" t="s">
        <v>10</v>
      </c>
      <c r="H905" t="s">
        <v>11</v>
      </c>
      <c r="I905" t="s">
        <v>80</v>
      </c>
      <c r="J905" s="30" t="str">
        <f>IF(ISNUMBER(MATCH($D905,'Lopettaneet 2013-&gt;'!$D:$D,0)),INDEX('Lopettaneet 2013-&gt;'!$K:$K,MATCH($D905,'Lopettaneet 2013-&gt;'!$D:$D,0)),"Continues")</f>
        <v>Continues</v>
      </c>
      <c r="K905" s="30">
        <f ca="1">IF($J905="Continues",DATEDIF($B905,TODAY(),"Y"),INDEX('Lopettaneet 2013-&gt;'!$L:$L,MATCH($D905,'Lopettaneet 2013-&gt;'!$D:$D,0)))</f>
        <v>3</v>
      </c>
      <c r="L905" s="31" t="str">
        <f>IFERROR(INDEX('[1]30.06.2024'!$H:$H,MATCH($E905,'[1]30.06.2024'!$B:$B,0)),"Not found")</f>
        <v>Not found</v>
      </c>
      <c r="M905" s="31" t="str">
        <f>IFERROR(INDEX([2]Sheet1!$B:$B,MATCH($D905,[2]Sheet1!$A:$A,0)),"Not found")</f>
        <v>Retail</v>
      </c>
      <c r="N905">
        <f t="shared" si="28"/>
        <v>1</v>
      </c>
      <c r="O905">
        <f t="shared" si="29"/>
        <v>0</v>
      </c>
    </row>
    <row r="906" spans="1:15" x14ac:dyDescent="0.25">
      <c r="A906" t="s">
        <v>7</v>
      </c>
      <c r="B906" s="1">
        <v>44440</v>
      </c>
      <c r="C906" s="1">
        <v>55153</v>
      </c>
      <c r="D906" s="4" t="s">
        <v>1999</v>
      </c>
      <c r="E906" s="32" t="s">
        <v>2000</v>
      </c>
      <c r="F906" s="32">
        <v>32166531</v>
      </c>
      <c r="G906" t="s">
        <v>10</v>
      </c>
      <c r="H906" t="s">
        <v>11</v>
      </c>
      <c r="I906" t="s">
        <v>29</v>
      </c>
      <c r="J906" s="30" t="str">
        <f>IF(ISNUMBER(MATCH($D906,'Lopettaneet 2013-&gt;'!$D:$D,0)),INDEX('Lopettaneet 2013-&gt;'!$K:$K,MATCH($D906,'Lopettaneet 2013-&gt;'!$D:$D,0)),"Continues")</f>
        <v>Continues</v>
      </c>
      <c r="K906" s="30">
        <f ca="1">IF($J906="Continues",DATEDIF($B906,TODAY(),"Y"),INDEX('Lopettaneet 2013-&gt;'!$L:$L,MATCH($D906,'Lopettaneet 2013-&gt;'!$D:$D,0)))</f>
        <v>3</v>
      </c>
      <c r="L906" s="31" t="str">
        <f>IFERROR(INDEX('[1]30.06.2024'!$H:$H,MATCH($E906,'[1]30.06.2024'!$B:$B,0)),"Not found")</f>
        <v>OP-Rahastoyhtiö Oy</v>
      </c>
      <c r="M906" s="31" t="str">
        <f>IFERROR(INDEX([2]Sheet1!$B:$B,MATCH($D906,[2]Sheet1!$A:$A,0)),"Not found")</f>
        <v>Non-Retail</v>
      </c>
      <c r="N906">
        <f t="shared" si="28"/>
        <v>0</v>
      </c>
      <c r="O906">
        <f t="shared" si="29"/>
        <v>1</v>
      </c>
    </row>
    <row r="907" spans="1:15" x14ac:dyDescent="0.25">
      <c r="A907" t="s">
        <v>0</v>
      </c>
      <c r="B907" s="1">
        <v>44805</v>
      </c>
      <c r="C907" s="1">
        <v>55153</v>
      </c>
      <c r="D907" s="4" t="s">
        <v>2001</v>
      </c>
      <c r="E907" s="32" t="s">
        <v>2002</v>
      </c>
      <c r="F907" s="32">
        <v>32054353</v>
      </c>
      <c r="G907" t="s">
        <v>10</v>
      </c>
      <c r="H907" t="s">
        <v>11</v>
      </c>
      <c r="I907" t="s">
        <v>29</v>
      </c>
      <c r="J907" s="30" t="str">
        <f>IF(ISNUMBER(MATCH($D907,'Lopettaneet 2013-&gt;'!$D:$D,0)),INDEX('Lopettaneet 2013-&gt;'!$K:$K,MATCH($D907,'Lopettaneet 2013-&gt;'!$D:$D,0)),"Continues")</f>
        <v>Continues</v>
      </c>
      <c r="K907" s="30">
        <f ca="1">IF($J907="Continues",DATEDIF($B907,TODAY(),"Y"),INDEX('Lopettaneet 2013-&gt;'!$L:$L,MATCH($D907,'Lopettaneet 2013-&gt;'!$D:$D,0)))</f>
        <v>2</v>
      </c>
      <c r="L907" s="31" t="str">
        <f>IFERROR(INDEX('[1]30.06.2024'!$H:$H,MATCH($E907,'[1]30.06.2024'!$B:$B,0)),"Not found")</f>
        <v>OP-Rahastoyhtiö Oy</v>
      </c>
      <c r="M907" s="31" t="str">
        <f>IFERROR(INDEX([2]Sheet1!$B:$B,MATCH($D907,[2]Sheet1!$A:$A,0)),"Not found")</f>
        <v>Non-Retail</v>
      </c>
      <c r="N907">
        <f t="shared" si="28"/>
        <v>0</v>
      </c>
      <c r="O907">
        <f t="shared" si="29"/>
        <v>1</v>
      </c>
    </row>
    <row r="908" spans="1:15" x14ac:dyDescent="0.25">
      <c r="A908" t="s">
        <v>7</v>
      </c>
      <c r="B908" s="1">
        <v>44348</v>
      </c>
      <c r="C908" s="1">
        <v>55153</v>
      </c>
      <c r="D908" s="4" t="s">
        <v>2003</v>
      </c>
      <c r="E908" s="32" t="s">
        <v>2004</v>
      </c>
      <c r="F908" s="32">
        <v>32105931</v>
      </c>
      <c r="G908" t="s">
        <v>10</v>
      </c>
      <c r="H908" t="s">
        <v>11</v>
      </c>
      <c r="I908" t="s">
        <v>12</v>
      </c>
      <c r="J908" s="30" t="str">
        <f>IF(ISNUMBER(MATCH($D908,'Lopettaneet 2013-&gt;'!$D:$D,0)),INDEX('Lopettaneet 2013-&gt;'!$K:$K,MATCH($D908,'Lopettaneet 2013-&gt;'!$D:$D,0)),"Continues")</f>
        <v>Continues</v>
      </c>
      <c r="K908" s="30">
        <f ca="1">IF($J908="Continues",DATEDIF($B908,TODAY(),"Y"),INDEX('Lopettaneet 2013-&gt;'!$L:$L,MATCH($D908,'Lopettaneet 2013-&gt;'!$D:$D,0)))</f>
        <v>3</v>
      </c>
      <c r="L908" s="31" t="str">
        <f>IFERROR(INDEX('[1]30.06.2024'!$H:$H,MATCH($E908,'[1]30.06.2024'!$B:$B,0)),"Not found")</f>
        <v>LähiTapiola Vaihtoehtorahastot Oy</v>
      </c>
      <c r="M908" s="31" t="str">
        <f>IFERROR(INDEX([2]Sheet1!$B:$B,MATCH($D908,[2]Sheet1!$A:$A,0)),"Not found")</f>
        <v>Retail</v>
      </c>
      <c r="N908">
        <f t="shared" si="28"/>
        <v>1</v>
      </c>
      <c r="O908">
        <f t="shared" si="29"/>
        <v>0</v>
      </c>
    </row>
    <row r="909" spans="1:15" x14ac:dyDescent="0.25">
      <c r="A909" t="s">
        <v>0</v>
      </c>
      <c r="B909" s="1">
        <v>44409</v>
      </c>
      <c r="C909" s="1">
        <v>55153</v>
      </c>
      <c r="D909" s="4" t="s">
        <v>2005</v>
      </c>
      <c r="E909" s="32" t="s">
        <v>2006</v>
      </c>
      <c r="F909" s="32">
        <v>32811035</v>
      </c>
      <c r="G909" t="s">
        <v>10</v>
      </c>
      <c r="H909" t="s">
        <v>4</v>
      </c>
      <c r="I909" t="s">
        <v>5</v>
      </c>
      <c r="J909" s="30" t="str">
        <f>IF(ISNUMBER(MATCH($D909,'Lopettaneet 2013-&gt;'!$D:$D,0)),INDEX('Lopettaneet 2013-&gt;'!$K:$K,MATCH($D909,'Lopettaneet 2013-&gt;'!$D:$D,0)),"Continues")</f>
        <v>Continues</v>
      </c>
      <c r="K909" s="30">
        <f ca="1">IF($J909="Continues",DATEDIF($B909,TODAY(),"Y"),INDEX('Lopettaneet 2013-&gt;'!$L:$L,MATCH($D909,'Lopettaneet 2013-&gt;'!$D:$D,0)))</f>
        <v>3</v>
      </c>
      <c r="L909" s="31" t="str">
        <f>IFERROR(INDEX('[1]30.06.2024'!$H:$H,MATCH($E909,'[1]30.06.2024'!$B:$B,0)),"Not found")</f>
        <v>Aktia Rahastoyhtiö Oy</v>
      </c>
      <c r="M909" s="31" t="str">
        <f>IFERROR(INDEX([2]Sheet1!$B:$B,MATCH($D909,[2]Sheet1!$A:$A,0)),"Not found")</f>
        <v>Retail</v>
      </c>
      <c r="N909">
        <f t="shared" si="28"/>
        <v>1</v>
      </c>
      <c r="O909">
        <f t="shared" si="29"/>
        <v>0</v>
      </c>
    </row>
    <row r="910" spans="1:15" x14ac:dyDescent="0.25">
      <c r="A910" t="s">
        <v>7</v>
      </c>
      <c r="B910" s="1">
        <v>44531</v>
      </c>
      <c r="C910" s="1">
        <v>55153</v>
      </c>
      <c r="D910" s="4" t="s">
        <v>2007</v>
      </c>
      <c r="E910" s="32" t="s">
        <v>2008</v>
      </c>
      <c r="F910" s="32">
        <v>32468572</v>
      </c>
      <c r="G910" t="s">
        <v>10</v>
      </c>
      <c r="H910" t="s">
        <v>11</v>
      </c>
      <c r="I910" t="s">
        <v>80</v>
      </c>
      <c r="J910" s="30" t="str">
        <f>IF(ISNUMBER(MATCH($D910,'Lopettaneet 2013-&gt;'!$D:$D,0)),INDEX('Lopettaneet 2013-&gt;'!$K:$K,MATCH($D910,'Lopettaneet 2013-&gt;'!$D:$D,0)),"Continues")</f>
        <v>Continues</v>
      </c>
      <c r="K910" s="30">
        <f ca="1">IF($J910="Continues",DATEDIF($B910,TODAY(),"Y"),INDEX('Lopettaneet 2013-&gt;'!$L:$L,MATCH($D910,'Lopettaneet 2013-&gt;'!$D:$D,0)))</f>
        <v>3</v>
      </c>
      <c r="L910" s="31" t="str">
        <f>IFERROR(INDEX('[1]30.06.2024'!$H:$H,MATCH($E910,'[1]30.06.2024'!$B:$B,0)),"Not found")</f>
        <v>Nordia Management Oy</v>
      </c>
      <c r="M910" s="31" t="str">
        <f>IFERROR(INDEX([2]Sheet1!$B:$B,MATCH($D910,[2]Sheet1!$A:$A,0)),"Not found")</f>
        <v>Non-Retail</v>
      </c>
      <c r="N910">
        <f t="shared" si="28"/>
        <v>0</v>
      </c>
      <c r="O910">
        <f t="shared" si="29"/>
        <v>1</v>
      </c>
    </row>
    <row r="911" spans="1:15" x14ac:dyDescent="0.25">
      <c r="A911" t="s">
        <v>7</v>
      </c>
      <c r="B911" s="1">
        <v>44440</v>
      </c>
      <c r="C911" s="1">
        <v>55153</v>
      </c>
      <c r="D911" s="4" t="s">
        <v>2009</v>
      </c>
      <c r="E911" s="32" t="s">
        <v>2010</v>
      </c>
      <c r="F911" s="32">
        <v>32059496</v>
      </c>
      <c r="G911" t="s">
        <v>10</v>
      </c>
      <c r="H911" t="s">
        <v>11</v>
      </c>
      <c r="I911" t="s">
        <v>29</v>
      </c>
      <c r="J911" s="30" t="str">
        <f>IF(ISNUMBER(MATCH($D911,'Lopettaneet 2013-&gt;'!$D:$D,0)),INDEX('Lopettaneet 2013-&gt;'!$K:$K,MATCH($D911,'Lopettaneet 2013-&gt;'!$D:$D,0)),"Continues")</f>
        <v>Continues</v>
      </c>
      <c r="K911" s="30">
        <f ca="1">IF($J911="Continues",DATEDIF($B911,TODAY(),"Y"),INDEX('Lopettaneet 2013-&gt;'!$L:$L,MATCH($D911,'Lopettaneet 2013-&gt;'!$D:$D,0)))</f>
        <v>3</v>
      </c>
      <c r="L911" s="31" t="str">
        <f>IFERROR(INDEX('[1]30.06.2024'!$H:$H,MATCH($E911,'[1]30.06.2024'!$B:$B,0)),"Not found")</f>
        <v>Evli-Rahastoyhtiö Oy</v>
      </c>
      <c r="M911" s="31" t="str">
        <f>IFERROR(INDEX([2]Sheet1!$B:$B,MATCH($D911,[2]Sheet1!$A:$A,0)),"Not found")</f>
        <v>Retail</v>
      </c>
      <c r="N911">
        <f t="shared" si="28"/>
        <v>1</v>
      </c>
      <c r="O911">
        <f t="shared" si="29"/>
        <v>0</v>
      </c>
    </row>
    <row r="912" spans="1:15" x14ac:dyDescent="0.25">
      <c r="A912" t="s">
        <v>7</v>
      </c>
      <c r="B912" s="1">
        <v>44440</v>
      </c>
      <c r="C912" s="1">
        <v>55153</v>
      </c>
      <c r="D912" s="4" t="s">
        <v>2011</v>
      </c>
      <c r="E912" s="32" t="s">
        <v>2012</v>
      </c>
      <c r="F912" s="32">
        <v>32062935</v>
      </c>
      <c r="G912" t="s">
        <v>10</v>
      </c>
      <c r="H912" t="s">
        <v>11</v>
      </c>
      <c r="I912" t="s">
        <v>29</v>
      </c>
      <c r="J912" s="30" t="str">
        <f>IF(ISNUMBER(MATCH($D912,'Lopettaneet 2013-&gt;'!$D:$D,0)),INDEX('Lopettaneet 2013-&gt;'!$K:$K,MATCH($D912,'Lopettaneet 2013-&gt;'!$D:$D,0)),"Continues")</f>
        <v>Continues</v>
      </c>
      <c r="K912" s="30">
        <f ca="1">IF($J912="Continues",DATEDIF($B912,TODAY(),"Y"),INDEX('Lopettaneet 2013-&gt;'!$L:$L,MATCH($D912,'Lopettaneet 2013-&gt;'!$D:$D,0)))</f>
        <v>3</v>
      </c>
      <c r="L912" s="31" t="str">
        <f>IFERROR(INDEX('[1]30.06.2024'!$H:$H,MATCH($E912,'[1]30.06.2024'!$B:$B,0)),"Not found")</f>
        <v>Evli-Rahastoyhtiö Oy</v>
      </c>
      <c r="M912" s="31" t="str">
        <f>IFERROR(INDEX([2]Sheet1!$B:$B,MATCH($D912,[2]Sheet1!$A:$A,0)),"Not found")</f>
        <v>Retail</v>
      </c>
      <c r="N912">
        <f t="shared" si="28"/>
        <v>1</v>
      </c>
      <c r="O912">
        <f t="shared" si="29"/>
        <v>0</v>
      </c>
    </row>
    <row r="913" spans="1:15" x14ac:dyDescent="0.25">
      <c r="A913" t="s">
        <v>0</v>
      </c>
      <c r="B913" s="1">
        <v>44378</v>
      </c>
      <c r="C913" s="1">
        <v>55153</v>
      </c>
      <c r="D913" s="4" t="s">
        <v>2013</v>
      </c>
      <c r="E913" s="32" t="s">
        <v>2014</v>
      </c>
      <c r="F913" s="32">
        <v>32140788</v>
      </c>
      <c r="G913" t="s">
        <v>10</v>
      </c>
      <c r="H913" t="s">
        <v>4</v>
      </c>
      <c r="I913" t="s">
        <v>20</v>
      </c>
      <c r="J913" s="30" t="str">
        <f>IF(ISNUMBER(MATCH($D913,'Lopettaneet 2013-&gt;'!$D:$D,0)),INDEX('Lopettaneet 2013-&gt;'!$K:$K,MATCH($D913,'Lopettaneet 2013-&gt;'!$D:$D,0)),"Continues")</f>
        <v>Continues</v>
      </c>
      <c r="K913" s="30">
        <f ca="1">IF($J913="Continues",DATEDIF($B913,TODAY(),"Y"),INDEX('Lopettaneet 2013-&gt;'!$L:$L,MATCH($D913,'Lopettaneet 2013-&gt;'!$D:$D,0)))</f>
        <v>3</v>
      </c>
      <c r="L913" s="31" t="str">
        <f>IFERROR(INDEX('[1]30.06.2024'!$H:$H,MATCH($E913,'[1]30.06.2024'!$B:$B,0)),"Not found")</f>
        <v>S-Pankki Rahastoyhtiö Oy</v>
      </c>
      <c r="M913" s="31" t="str">
        <f>IFERROR(INDEX([2]Sheet1!$B:$B,MATCH($D913,[2]Sheet1!$A:$A,0)),"Not found")</f>
        <v>Retail</v>
      </c>
      <c r="N913">
        <f t="shared" si="28"/>
        <v>1</v>
      </c>
      <c r="O913">
        <f t="shared" si="29"/>
        <v>0</v>
      </c>
    </row>
    <row r="914" spans="1:15" x14ac:dyDescent="0.25">
      <c r="A914" t="s">
        <v>7</v>
      </c>
      <c r="B914" s="1">
        <v>44440</v>
      </c>
      <c r="C914" s="1">
        <v>55153</v>
      </c>
      <c r="D914" s="4" t="s">
        <v>2015</v>
      </c>
      <c r="E914" s="32" t="s">
        <v>2016</v>
      </c>
      <c r="F914" s="32">
        <v>32182398</v>
      </c>
      <c r="G914" t="s">
        <v>10</v>
      </c>
      <c r="H914" t="s">
        <v>11</v>
      </c>
      <c r="I914" t="s">
        <v>12</v>
      </c>
      <c r="J914" s="30" t="str">
        <f>IF(ISNUMBER(MATCH($D914,'Lopettaneet 2013-&gt;'!$D:$D,0)),INDEX('Lopettaneet 2013-&gt;'!$K:$K,MATCH($D914,'Lopettaneet 2013-&gt;'!$D:$D,0)),"Continues")</f>
        <v>Continues</v>
      </c>
      <c r="K914" s="30">
        <f ca="1">IF($J914="Continues",DATEDIF($B914,TODAY(),"Y"),INDEX('Lopettaneet 2013-&gt;'!$L:$L,MATCH($D914,'Lopettaneet 2013-&gt;'!$D:$D,0)))</f>
        <v>3</v>
      </c>
      <c r="L914" s="31" t="str">
        <f>IFERROR(INDEX('[1]30.06.2024'!$H:$H,MATCH($E914,'[1]30.06.2024'!$B:$B,0)),"Not found")</f>
        <v>Intera Partners Oy</v>
      </c>
      <c r="M914" s="31" t="str">
        <f>IFERROR(INDEX([2]Sheet1!$B:$B,MATCH($D914,[2]Sheet1!$A:$A,0)),"Not found")</f>
        <v>Retail</v>
      </c>
      <c r="N914">
        <f t="shared" si="28"/>
        <v>1</v>
      </c>
      <c r="O914">
        <f t="shared" si="29"/>
        <v>0</v>
      </c>
    </row>
    <row r="915" spans="1:15" x14ac:dyDescent="0.25">
      <c r="A915" t="s">
        <v>7</v>
      </c>
      <c r="B915" s="1">
        <v>44440</v>
      </c>
      <c r="C915" s="1">
        <v>55153</v>
      </c>
      <c r="D915" s="4" t="s">
        <v>2017</v>
      </c>
      <c r="E915" s="32" t="s">
        <v>2018</v>
      </c>
      <c r="F915" s="32">
        <v>32059912</v>
      </c>
      <c r="G915" t="s">
        <v>10</v>
      </c>
      <c r="H915" t="s">
        <v>11</v>
      </c>
      <c r="I915" t="s">
        <v>29</v>
      </c>
      <c r="J915" s="30" t="str">
        <f>IF(ISNUMBER(MATCH($D915,'Lopettaneet 2013-&gt;'!$D:$D,0)),INDEX('Lopettaneet 2013-&gt;'!$K:$K,MATCH($D915,'Lopettaneet 2013-&gt;'!$D:$D,0)),"Continues")</f>
        <v>Continues</v>
      </c>
      <c r="K915" s="30">
        <f ca="1">IF($J915="Continues",DATEDIF($B915,TODAY(),"Y"),INDEX('Lopettaneet 2013-&gt;'!$L:$L,MATCH($D915,'Lopettaneet 2013-&gt;'!$D:$D,0)))</f>
        <v>3</v>
      </c>
      <c r="L915" s="31" t="str">
        <f>IFERROR(INDEX('[1]30.06.2024'!$H:$H,MATCH($E915,'[1]30.06.2024'!$B:$B,0)),"Not found")</f>
        <v>Evli-Rahastoyhtiö Oy</v>
      </c>
      <c r="M915" s="31" t="str">
        <f>IFERROR(INDEX([2]Sheet1!$B:$B,MATCH($D915,[2]Sheet1!$A:$A,0)),"Not found")</f>
        <v>Retail</v>
      </c>
      <c r="N915">
        <f t="shared" si="28"/>
        <v>1</v>
      </c>
      <c r="O915">
        <f t="shared" si="29"/>
        <v>0</v>
      </c>
    </row>
    <row r="916" spans="1:15" x14ac:dyDescent="0.25">
      <c r="A916" t="s">
        <v>0</v>
      </c>
      <c r="B916" s="1">
        <v>44378</v>
      </c>
      <c r="C916" s="1">
        <v>45412</v>
      </c>
      <c r="D916" s="4" t="s">
        <v>2019</v>
      </c>
      <c r="E916" s="32" t="s">
        <v>2020</v>
      </c>
      <c r="F916" s="32">
        <v>32114555</v>
      </c>
      <c r="G916" t="s">
        <v>10</v>
      </c>
      <c r="H916" t="s">
        <v>4</v>
      </c>
      <c r="I916" t="s">
        <v>20</v>
      </c>
      <c r="J916" s="30" t="str">
        <f>IF(ISNUMBER(MATCH($D916,'Lopettaneet 2013-&gt;'!$D:$D,0)),INDEX('Lopettaneet 2013-&gt;'!$K:$K,MATCH($D916,'Lopettaneet 2013-&gt;'!$D:$D,0)),"Continues")</f>
        <v>Closed</v>
      </c>
      <c r="K916" s="30">
        <f ca="1">IF($J916="Continues",DATEDIF($B916,TODAY(),"Y"),INDEX('Lopettaneet 2013-&gt;'!$L:$L,MATCH($D916,'Lopettaneet 2013-&gt;'!$D:$D,0)))</f>
        <v>2</v>
      </c>
      <c r="L916" s="31" t="str">
        <f>IFERROR(INDEX('[1]30.06.2024'!$H:$H,MATCH($E916,'[1]30.06.2024'!$B:$B,0)),"Not found")</f>
        <v>Not found</v>
      </c>
      <c r="M916" s="31" t="str">
        <f>IFERROR(INDEX([2]Sheet1!$B:$B,MATCH($D916,[2]Sheet1!$A:$A,0)),"Not found")</f>
        <v>Non-Retail</v>
      </c>
      <c r="N916">
        <f t="shared" si="28"/>
        <v>0</v>
      </c>
      <c r="O916">
        <f t="shared" si="29"/>
        <v>1</v>
      </c>
    </row>
    <row r="917" spans="1:15" x14ac:dyDescent="0.25">
      <c r="A917" t="s">
        <v>7</v>
      </c>
      <c r="B917" s="1">
        <v>44531</v>
      </c>
      <c r="C917" s="1">
        <v>55153</v>
      </c>
      <c r="D917" s="4" t="s">
        <v>2021</v>
      </c>
      <c r="E917" s="32" t="s">
        <v>2022</v>
      </c>
      <c r="F917" s="32">
        <v>31991097</v>
      </c>
      <c r="G917" t="s">
        <v>10</v>
      </c>
      <c r="H917" t="s">
        <v>11</v>
      </c>
      <c r="I917" t="s">
        <v>29</v>
      </c>
      <c r="J917" s="30" t="str">
        <f>IF(ISNUMBER(MATCH($D917,'Lopettaneet 2013-&gt;'!$D:$D,0)),INDEX('Lopettaneet 2013-&gt;'!$K:$K,MATCH($D917,'Lopettaneet 2013-&gt;'!$D:$D,0)),"Continues")</f>
        <v>Continues</v>
      </c>
      <c r="K917" s="30">
        <f ca="1">IF($J917="Continues",DATEDIF($B917,TODAY(),"Y"),INDEX('Lopettaneet 2013-&gt;'!$L:$L,MATCH($D917,'Lopettaneet 2013-&gt;'!$D:$D,0)))</f>
        <v>3</v>
      </c>
      <c r="L917" s="31" t="str">
        <f>IFERROR(INDEX('[1]30.06.2024'!$H:$H,MATCH($E917,'[1]30.06.2024'!$B:$B,0)),"Not found")</f>
        <v>S-Pankki Rahastoyhtiö Oy</v>
      </c>
      <c r="M917" s="31" t="str">
        <f>IFERROR(INDEX([2]Sheet1!$B:$B,MATCH($D917,[2]Sheet1!$A:$A,0)),"Not found")</f>
        <v>Retail</v>
      </c>
      <c r="N917">
        <f t="shared" si="28"/>
        <v>1</v>
      </c>
      <c r="O917">
        <f t="shared" si="29"/>
        <v>0</v>
      </c>
    </row>
    <row r="918" spans="1:15" x14ac:dyDescent="0.25">
      <c r="A918" t="s">
        <v>7</v>
      </c>
      <c r="B918" s="1">
        <v>44531</v>
      </c>
      <c r="C918" s="1">
        <v>55153</v>
      </c>
      <c r="D918" s="4" t="s">
        <v>2023</v>
      </c>
      <c r="E918" s="32" t="s">
        <v>2024</v>
      </c>
      <c r="F918" s="32">
        <v>31991118</v>
      </c>
      <c r="G918" t="s">
        <v>10</v>
      </c>
      <c r="H918" t="s">
        <v>11</v>
      </c>
      <c r="I918" t="s">
        <v>29</v>
      </c>
      <c r="J918" s="30" t="str">
        <f>IF(ISNUMBER(MATCH($D918,'Lopettaneet 2013-&gt;'!$D:$D,0)),INDEX('Lopettaneet 2013-&gt;'!$K:$K,MATCH($D918,'Lopettaneet 2013-&gt;'!$D:$D,0)),"Continues")</f>
        <v>Continues</v>
      </c>
      <c r="K918" s="30">
        <f ca="1">IF($J918="Continues",DATEDIF($B918,TODAY(),"Y"),INDEX('Lopettaneet 2013-&gt;'!$L:$L,MATCH($D918,'Lopettaneet 2013-&gt;'!$D:$D,0)))</f>
        <v>3</v>
      </c>
      <c r="L918" s="31" t="str">
        <f>IFERROR(INDEX('[1]30.06.2024'!$H:$H,MATCH($E918,'[1]30.06.2024'!$B:$B,0)),"Not found")</f>
        <v>S-Pankki Rahastoyhtiö Oy</v>
      </c>
      <c r="M918" s="31" t="str">
        <f>IFERROR(INDEX([2]Sheet1!$B:$B,MATCH($D918,[2]Sheet1!$A:$A,0)),"Not found")</f>
        <v>Retail</v>
      </c>
      <c r="N918">
        <f t="shared" si="28"/>
        <v>1</v>
      </c>
      <c r="O918">
        <f t="shared" si="29"/>
        <v>0</v>
      </c>
    </row>
    <row r="919" spans="1:15" x14ac:dyDescent="0.25">
      <c r="A919" t="s">
        <v>7</v>
      </c>
      <c r="B919" s="1">
        <v>44348</v>
      </c>
      <c r="C919" s="1">
        <v>55153</v>
      </c>
      <c r="D919" s="4" t="s">
        <v>2025</v>
      </c>
      <c r="E919" s="32" t="s">
        <v>2026</v>
      </c>
      <c r="F919" s="32">
        <v>32105819</v>
      </c>
      <c r="G919" t="s">
        <v>10</v>
      </c>
      <c r="H919" t="s">
        <v>11</v>
      </c>
      <c r="I919" t="s">
        <v>12</v>
      </c>
      <c r="J919" s="30" t="str">
        <f>IF(ISNUMBER(MATCH($D919,'Lopettaneet 2013-&gt;'!$D:$D,0)),INDEX('Lopettaneet 2013-&gt;'!$K:$K,MATCH($D919,'Lopettaneet 2013-&gt;'!$D:$D,0)),"Continues")</f>
        <v>Continues</v>
      </c>
      <c r="K919" s="30">
        <f ca="1">IF($J919="Continues",DATEDIF($B919,TODAY(),"Y"),INDEX('Lopettaneet 2013-&gt;'!$L:$L,MATCH($D919,'Lopettaneet 2013-&gt;'!$D:$D,0)))</f>
        <v>3</v>
      </c>
      <c r="L919" s="31" t="str">
        <f>IFERROR(INDEX('[1]30.06.2024'!$H:$H,MATCH($E919,'[1]30.06.2024'!$B:$B,0)),"Not found")</f>
        <v>LähiTapiola Vaihtoehtorahastot Oy</v>
      </c>
      <c r="M919" s="31" t="str">
        <f>IFERROR(INDEX([2]Sheet1!$B:$B,MATCH($D919,[2]Sheet1!$A:$A,0)),"Not found")</f>
        <v>Retail</v>
      </c>
      <c r="N919">
        <f t="shared" si="28"/>
        <v>1</v>
      </c>
      <c r="O919">
        <f t="shared" si="29"/>
        <v>0</v>
      </c>
    </row>
    <row r="920" spans="1:15" x14ac:dyDescent="0.25">
      <c r="A920" t="s">
        <v>7</v>
      </c>
      <c r="B920" s="1">
        <v>44531</v>
      </c>
      <c r="C920" s="1">
        <v>55153</v>
      </c>
      <c r="D920" s="4" t="s">
        <v>2027</v>
      </c>
      <c r="E920" s="32" t="s">
        <v>2028</v>
      </c>
      <c r="F920" s="32">
        <v>32418217</v>
      </c>
      <c r="G920" t="s">
        <v>10</v>
      </c>
      <c r="H920" t="s">
        <v>11</v>
      </c>
      <c r="I920" t="s">
        <v>12</v>
      </c>
      <c r="J920" s="30" t="str">
        <f>IF(ISNUMBER(MATCH($D920,'Lopettaneet 2013-&gt;'!$D:$D,0)),INDEX('Lopettaneet 2013-&gt;'!$K:$K,MATCH($D920,'Lopettaneet 2013-&gt;'!$D:$D,0)),"Continues")</f>
        <v>Continues</v>
      </c>
      <c r="K920" s="30">
        <f ca="1">IF($J920="Continues",DATEDIF($B920,TODAY(),"Y"),INDEX('Lopettaneet 2013-&gt;'!$L:$L,MATCH($D920,'Lopettaneet 2013-&gt;'!$D:$D,0)))</f>
        <v>3</v>
      </c>
      <c r="L920" s="31" t="str">
        <f>IFERROR(INDEX('[1]30.06.2024'!$H:$H,MATCH($E920,'[1]30.06.2024'!$B:$B,0)),"Not found")</f>
        <v>MB Partners Oy</v>
      </c>
      <c r="M920" s="31" t="str">
        <f>IFERROR(INDEX([2]Sheet1!$B:$B,MATCH($D920,[2]Sheet1!$A:$A,0)),"Not found")</f>
        <v>Retail</v>
      </c>
      <c r="N920">
        <f t="shared" si="28"/>
        <v>1</v>
      </c>
      <c r="O920">
        <f t="shared" si="29"/>
        <v>0</v>
      </c>
    </row>
    <row r="921" spans="1:15" x14ac:dyDescent="0.25">
      <c r="A921" t="s">
        <v>7</v>
      </c>
      <c r="B921" s="1">
        <v>44440</v>
      </c>
      <c r="C921" s="1">
        <v>55153</v>
      </c>
      <c r="D921" s="4" t="s">
        <v>2029</v>
      </c>
      <c r="E921" s="32" t="s">
        <v>2030</v>
      </c>
      <c r="F921" s="32">
        <v>32083525</v>
      </c>
      <c r="G921" t="s">
        <v>10</v>
      </c>
      <c r="H921" t="s">
        <v>11</v>
      </c>
      <c r="I921" t="s">
        <v>32</v>
      </c>
      <c r="J921" s="30" t="str">
        <f>IF(ISNUMBER(MATCH($D921,'Lopettaneet 2013-&gt;'!$D:$D,0)),INDEX('Lopettaneet 2013-&gt;'!$K:$K,MATCH($D921,'Lopettaneet 2013-&gt;'!$D:$D,0)),"Continues")</f>
        <v>Continues</v>
      </c>
      <c r="K921" s="30">
        <f ca="1">IF($J921="Continues",DATEDIF($B921,TODAY(),"Y"),INDEX('Lopettaneet 2013-&gt;'!$L:$L,MATCH($D921,'Lopettaneet 2013-&gt;'!$D:$D,0)))</f>
        <v>3</v>
      </c>
      <c r="L921" s="31" t="str">
        <f>IFERROR(INDEX('[1]30.06.2024'!$H:$H,MATCH($E921,'[1]30.06.2024'!$B:$B,0)),"Not found")</f>
        <v>Evli-Rahastoyhtiö Oy</v>
      </c>
      <c r="M921" s="31" t="str">
        <f>IFERROR(INDEX([2]Sheet1!$B:$B,MATCH($D921,[2]Sheet1!$A:$A,0)),"Not found")</f>
        <v>Retail</v>
      </c>
      <c r="N921">
        <f t="shared" si="28"/>
        <v>1</v>
      </c>
      <c r="O921">
        <f t="shared" si="29"/>
        <v>0</v>
      </c>
    </row>
    <row r="922" spans="1:15" x14ac:dyDescent="0.25">
      <c r="A922" t="s">
        <v>7</v>
      </c>
      <c r="B922" s="1">
        <v>44440</v>
      </c>
      <c r="C922" s="1">
        <v>55153</v>
      </c>
      <c r="D922" s="4" t="s">
        <v>2031</v>
      </c>
      <c r="E922" s="32" t="s">
        <v>2032</v>
      </c>
      <c r="F922" s="32">
        <v>32083576</v>
      </c>
      <c r="G922" t="s">
        <v>10</v>
      </c>
      <c r="H922" t="s">
        <v>11</v>
      </c>
      <c r="I922" t="s">
        <v>32</v>
      </c>
      <c r="J922" s="30" t="str">
        <f>IF(ISNUMBER(MATCH($D922,'Lopettaneet 2013-&gt;'!$D:$D,0)),INDEX('Lopettaneet 2013-&gt;'!$K:$K,MATCH($D922,'Lopettaneet 2013-&gt;'!$D:$D,0)),"Continues")</f>
        <v>Continues</v>
      </c>
      <c r="K922" s="30">
        <f ca="1">IF($J922="Continues",DATEDIF($B922,TODAY(),"Y"),INDEX('Lopettaneet 2013-&gt;'!$L:$L,MATCH($D922,'Lopettaneet 2013-&gt;'!$D:$D,0)))</f>
        <v>3</v>
      </c>
      <c r="L922" s="31" t="str">
        <f>IFERROR(INDEX('[1]30.06.2024'!$H:$H,MATCH($E922,'[1]30.06.2024'!$B:$B,0)),"Not found")</f>
        <v>Evli-Rahastoyhtiö Oy</v>
      </c>
      <c r="M922" s="31" t="str">
        <f>IFERROR(INDEX([2]Sheet1!$B:$B,MATCH($D922,[2]Sheet1!$A:$A,0)),"Not found")</f>
        <v>Retail</v>
      </c>
      <c r="N922">
        <f t="shared" si="28"/>
        <v>1</v>
      </c>
      <c r="O922">
        <f t="shared" si="29"/>
        <v>0</v>
      </c>
    </row>
    <row r="923" spans="1:15" x14ac:dyDescent="0.25">
      <c r="A923" t="s">
        <v>0</v>
      </c>
      <c r="B923" s="1">
        <v>44348</v>
      </c>
      <c r="C923" s="1">
        <v>55153</v>
      </c>
      <c r="D923" s="4" t="s">
        <v>2033</v>
      </c>
      <c r="E923" s="32" t="s">
        <v>2034</v>
      </c>
      <c r="F923" s="32">
        <v>32207903</v>
      </c>
      <c r="G923" t="s">
        <v>10</v>
      </c>
      <c r="H923" t="s">
        <v>11</v>
      </c>
      <c r="I923" t="s">
        <v>20</v>
      </c>
      <c r="J923" s="30" t="str">
        <f>IF(ISNUMBER(MATCH($D923,'Lopettaneet 2013-&gt;'!$D:$D,0)),INDEX('Lopettaneet 2013-&gt;'!$K:$K,MATCH($D923,'Lopettaneet 2013-&gt;'!$D:$D,0)),"Continues")</f>
        <v>Continues</v>
      </c>
      <c r="K923" s="30">
        <f ca="1">IF($J923="Continues",DATEDIF($B923,TODAY(),"Y"),INDEX('Lopettaneet 2013-&gt;'!$L:$L,MATCH($D923,'Lopettaneet 2013-&gt;'!$D:$D,0)))</f>
        <v>3</v>
      </c>
      <c r="L923" s="31" t="str">
        <f>IFERROR(INDEX('[1]30.06.2024'!$H:$H,MATCH($E923,'[1]30.06.2024'!$B:$B,0)),"Not found")</f>
        <v>eQ Rahastoyhtiö Oy</v>
      </c>
      <c r="M923" s="31" t="str">
        <f>IFERROR(INDEX([2]Sheet1!$B:$B,MATCH($D923,[2]Sheet1!$A:$A,0)),"Not found")</f>
        <v>Non-Retail</v>
      </c>
      <c r="N923">
        <f t="shared" si="28"/>
        <v>0</v>
      </c>
      <c r="O923">
        <f t="shared" si="29"/>
        <v>1</v>
      </c>
    </row>
    <row r="924" spans="1:15" x14ac:dyDescent="0.25">
      <c r="A924" t="s">
        <v>0</v>
      </c>
      <c r="B924" s="1">
        <v>44440</v>
      </c>
      <c r="C924" s="1">
        <v>55153</v>
      </c>
      <c r="D924" s="4" t="s">
        <v>2035</v>
      </c>
      <c r="E924" s="32" t="s">
        <v>2036</v>
      </c>
      <c r="F924" s="32">
        <v>32183868</v>
      </c>
      <c r="G924" t="s">
        <v>3</v>
      </c>
      <c r="H924" t="s">
        <v>4</v>
      </c>
      <c r="I924" t="s">
        <v>20</v>
      </c>
      <c r="J924" s="30" t="str">
        <f>IF(ISNUMBER(MATCH($D924,'Lopettaneet 2013-&gt;'!$D:$D,0)),INDEX('Lopettaneet 2013-&gt;'!$K:$K,MATCH($D924,'Lopettaneet 2013-&gt;'!$D:$D,0)),"Continues")</f>
        <v>Continues</v>
      </c>
      <c r="K924" s="30">
        <f ca="1">IF($J924="Continues",DATEDIF($B924,TODAY(),"Y"),INDEX('Lopettaneet 2013-&gt;'!$L:$L,MATCH($D924,'Lopettaneet 2013-&gt;'!$D:$D,0)))</f>
        <v>3</v>
      </c>
      <c r="L924" s="31" t="str">
        <f>IFERROR(INDEX('[1]30.06.2024'!$H:$H,MATCH($E924,'[1]30.06.2024'!$B:$B,0)),"Not found")</f>
        <v>Fourton Oy</v>
      </c>
      <c r="M924" s="31" t="str">
        <f>IFERROR(INDEX([2]Sheet1!$B:$B,MATCH($D924,[2]Sheet1!$A:$A,0)),"Not found")</f>
        <v>Retail</v>
      </c>
      <c r="N924">
        <f t="shared" si="28"/>
        <v>1</v>
      </c>
      <c r="O924">
        <f t="shared" si="29"/>
        <v>0</v>
      </c>
    </row>
    <row r="925" spans="1:15" x14ac:dyDescent="0.25">
      <c r="A925" t="s">
        <v>7</v>
      </c>
      <c r="B925" s="1">
        <v>44348</v>
      </c>
      <c r="C925" s="1">
        <v>55153</v>
      </c>
      <c r="D925" s="4" t="s">
        <v>2037</v>
      </c>
      <c r="E925" s="32" t="s">
        <v>2038</v>
      </c>
      <c r="F925" s="32">
        <v>31917903</v>
      </c>
      <c r="G925" t="s">
        <v>10</v>
      </c>
      <c r="H925" t="s">
        <v>11</v>
      </c>
      <c r="I925" t="s">
        <v>80</v>
      </c>
      <c r="J925" s="30" t="str">
        <f>IF(ISNUMBER(MATCH($D925,'Lopettaneet 2013-&gt;'!$D:$D,0)),INDEX('Lopettaneet 2013-&gt;'!$K:$K,MATCH($D925,'Lopettaneet 2013-&gt;'!$D:$D,0)),"Continues")</f>
        <v>Continues</v>
      </c>
      <c r="K925" s="30">
        <f ca="1">IF($J925="Continues",DATEDIF($B925,TODAY(),"Y"),INDEX('Lopettaneet 2013-&gt;'!$L:$L,MATCH($D925,'Lopettaneet 2013-&gt;'!$D:$D,0)))</f>
        <v>3</v>
      </c>
      <c r="L925" s="31" t="str">
        <f>IFERROR(INDEX('[1]30.06.2024'!$H:$H,MATCH($E925,'[1]30.06.2024'!$B:$B,0)),"Not found")</f>
        <v>EduImpact Venture Capital Oy</v>
      </c>
      <c r="M925" s="31" t="str">
        <f>IFERROR(INDEX([2]Sheet1!$B:$B,MATCH($D925,[2]Sheet1!$A:$A,0)),"Not found")</f>
        <v>Retail</v>
      </c>
      <c r="N925">
        <f t="shared" si="28"/>
        <v>1</v>
      </c>
      <c r="O925">
        <f t="shared" si="29"/>
        <v>0</v>
      </c>
    </row>
    <row r="926" spans="1:15" x14ac:dyDescent="0.25">
      <c r="A926" t="s">
        <v>0</v>
      </c>
      <c r="B926" s="1">
        <v>44805</v>
      </c>
      <c r="C926" s="1">
        <v>55153</v>
      </c>
      <c r="D926" s="4" t="s">
        <v>2039</v>
      </c>
      <c r="E926" s="32" t="s">
        <v>2040</v>
      </c>
      <c r="F926" s="32">
        <v>32183841</v>
      </c>
      <c r="G926" t="s">
        <v>3</v>
      </c>
      <c r="H926" t="s">
        <v>4</v>
      </c>
      <c r="I926" t="s">
        <v>20</v>
      </c>
      <c r="J926" s="30" t="str">
        <f>IF(ISNUMBER(MATCH($D926,'Lopettaneet 2013-&gt;'!$D:$D,0)),INDEX('Lopettaneet 2013-&gt;'!$K:$K,MATCH($D926,'Lopettaneet 2013-&gt;'!$D:$D,0)),"Continues")</f>
        <v>Continues</v>
      </c>
      <c r="K926" s="30">
        <f ca="1">IF($J926="Continues",DATEDIF($B926,TODAY(),"Y"),INDEX('Lopettaneet 2013-&gt;'!$L:$L,MATCH($D926,'Lopettaneet 2013-&gt;'!$D:$D,0)))</f>
        <v>2</v>
      </c>
      <c r="L926" s="31" t="str">
        <f>IFERROR(INDEX('[1]30.06.2024'!$H:$H,MATCH($E926,'[1]30.06.2024'!$B:$B,0)),"Not found")</f>
        <v>Titanium Rahastoyhtiö Oy</v>
      </c>
      <c r="M926" s="31" t="str">
        <f>IFERROR(INDEX([2]Sheet1!$B:$B,MATCH($D926,[2]Sheet1!$A:$A,0)),"Not found")</f>
        <v>Retail</v>
      </c>
      <c r="N926">
        <f t="shared" si="28"/>
        <v>1</v>
      </c>
      <c r="O926">
        <f t="shared" si="29"/>
        <v>0</v>
      </c>
    </row>
    <row r="927" spans="1:15" x14ac:dyDescent="0.25">
      <c r="A927" t="s">
        <v>7</v>
      </c>
      <c r="B927" s="1">
        <v>44531</v>
      </c>
      <c r="C927" s="1">
        <v>55153</v>
      </c>
      <c r="D927" s="4" t="s">
        <v>2041</v>
      </c>
      <c r="E927" s="32" t="s">
        <v>2042</v>
      </c>
      <c r="F927" s="32">
        <v>32171701</v>
      </c>
      <c r="G927" t="s">
        <v>10</v>
      </c>
      <c r="H927" t="s">
        <v>11</v>
      </c>
      <c r="I927" t="s">
        <v>29</v>
      </c>
      <c r="J927" s="30" t="str">
        <f>IF(ISNUMBER(MATCH($D927,'Lopettaneet 2013-&gt;'!$D:$D,0)),INDEX('Lopettaneet 2013-&gt;'!$K:$K,MATCH($D927,'Lopettaneet 2013-&gt;'!$D:$D,0)),"Continues")</f>
        <v>Continues</v>
      </c>
      <c r="K927" s="30">
        <f ca="1">IF($J927="Continues",DATEDIF($B927,TODAY(),"Y"),INDEX('Lopettaneet 2013-&gt;'!$L:$L,MATCH($D927,'Lopettaneet 2013-&gt;'!$D:$D,0)))</f>
        <v>3</v>
      </c>
      <c r="L927" s="31" t="str">
        <f>IFERROR(INDEX('[1]30.06.2024'!$H:$H,MATCH($E927,'[1]30.06.2024'!$B:$B,0)),"Not found")</f>
        <v>Evli-Rahastoyhtiö Oy</v>
      </c>
      <c r="M927" s="31" t="str">
        <f>IFERROR(INDEX([2]Sheet1!$B:$B,MATCH($D927,[2]Sheet1!$A:$A,0)),"Not found")</f>
        <v>Retail</v>
      </c>
      <c r="N927">
        <f t="shared" si="28"/>
        <v>1</v>
      </c>
      <c r="O927">
        <f t="shared" si="29"/>
        <v>0</v>
      </c>
    </row>
    <row r="928" spans="1:15" x14ac:dyDescent="0.25">
      <c r="A928" t="s">
        <v>0</v>
      </c>
      <c r="B928" s="1">
        <v>44378</v>
      </c>
      <c r="C928" s="1">
        <v>44926</v>
      </c>
      <c r="D928" s="4" t="s">
        <v>2043</v>
      </c>
      <c r="E928" s="32" t="s">
        <v>2044</v>
      </c>
      <c r="F928" s="32">
        <v>32103645</v>
      </c>
      <c r="G928" t="s">
        <v>10</v>
      </c>
      <c r="H928" t="s">
        <v>4</v>
      </c>
      <c r="I928" t="s">
        <v>20</v>
      </c>
      <c r="J928" s="30" t="str">
        <f>IF(ISNUMBER(MATCH($D928,'Lopettaneet 2013-&gt;'!$D:$D,0)),INDEX('Lopettaneet 2013-&gt;'!$K:$K,MATCH($D928,'Lopettaneet 2013-&gt;'!$D:$D,0)),"Continues")</f>
        <v>Merged</v>
      </c>
      <c r="K928" s="30">
        <f ca="1">IF($J928="Continues",DATEDIF($B928,TODAY(),"Y"),INDEX('Lopettaneet 2013-&gt;'!$L:$L,MATCH($D928,'Lopettaneet 2013-&gt;'!$D:$D,0)))</f>
        <v>1</v>
      </c>
      <c r="L928" s="31" t="str">
        <f>IFERROR(INDEX('[1]30.06.2024'!$H:$H,MATCH($E928,'[1]30.06.2024'!$B:$B,0)),"Not found")</f>
        <v>Not found</v>
      </c>
      <c r="M928" s="31" t="str">
        <f>IFERROR(INDEX([2]Sheet1!$B:$B,MATCH($D928,[2]Sheet1!$A:$A,0)),"Not found")</f>
        <v>Not found</v>
      </c>
      <c r="N928">
        <f t="shared" si="28"/>
        <v>0</v>
      </c>
      <c r="O928">
        <f t="shared" si="29"/>
        <v>0</v>
      </c>
    </row>
    <row r="929" spans="1:15" x14ac:dyDescent="0.25">
      <c r="A929" t="s">
        <v>0</v>
      </c>
      <c r="B929" s="1">
        <v>44531</v>
      </c>
      <c r="C929" s="1">
        <v>55153</v>
      </c>
      <c r="D929" s="4" t="s">
        <v>2045</v>
      </c>
      <c r="E929" s="32" t="s">
        <v>2046</v>
      </c>
      <c r="F929" s="32">
        <v>32229993</v>
      </c>
      <c r="G929" t="s">
        <v>10</v>
      </c>
      <c r="H929" t="s">
        <v>4</v>
      </c>
      <c r="I929" t="s">
        <v>32</v>
      </c>
      <c r="J929" s="30" t="str">
        <f>IF(ISNUMBER(MATCH($D929,'Lopettaneet 2013-&gt;'!$D:$D,0)),INDEX('Lopettaneet 2013-&gt;'!$K:$K,MATCH($D929,'Lopettaneet 2013-&gt;'!$D:$D,0)),"Continues")</f>
        <v>Continues</v>
      </c>
      <c r="K929" s="30">
        <f ca="1">IF($J929="Continues",DATEDIF($B929,TODAY(),"Y"),INDEX('Lopettaneet 2013-&gt;'!$L:$L,MATCH($D929,'Lopettaneet 2013-&gt;'!$D:$D,0)))</f>
        <v>3</v>
      </c>
      <c r="L929" s="31" t="str">
        <f>IFERROR(INDEX('[1]30.06.2024'!$H:$H,MATCH($E929,'[1]30.06.2024'!$B:$B,0)),"Not found")</f>
        <v>S-Pankki Rahastoyhtiö Oy</v>
      </c>
      <c r="M929" s="31" t="str">
        <f>IFERROR(INDEX([2]Sheet1!$B:$B,MATCH($D929,[2]Sheet1!$A:$A,0)),"Not found")</f>
        <v>Retail</v>
      </c>
      <c r="N929">
        <f t="shared" si="28"/>
        <v>1</v>
      </c>
      <c r="O929">
        <f t="shared" si="29"/>
        <v>0</v>
      </c>
    </row>
    <row r="930" spans="1:15" x14ac:dyDescent="0.25">
      <c r="A930" t="s">
        <v>0</v>
      </c>
      <c r="B930" s="1">
        <v>44440</v>
      </c>
      <c r="C930" s="1">
        <v>55153</v>
      </c>
      <c r="D930" s="4" t="s">
        <v>2047</v>
      </c>
      <c r="E930" s="32" t="s">
        <v>2048</v>
      </c>
      <c r="F930" s="32">
        <v>32234899</v>
      </c>
      <c r="G930" t="s">
        <v>10</v>
      </c>
      <c r="H930" t="s">
        <v>4</v>
      </c>
      <c r="I930" t="s">
        <v>20</v>
      </c>
      <c r="J930" s="30" t="str">
        <f>IF(ISNUMBER(MATCH($D930,'Lopettaneet 2013-&gt;'!$D:$D,0)),INDEX('Lopettaneet 2013-&gt;'!$K:$K,MATCH($D930,'Lopettaneet 2013-&gt;'!$D:$D,0)),"Continues")</f>
        <v>Continues</v>
      </c>
      <c r="K930" s="30">
        <f ca="1">IF($J930="Continues",DATEDIF($B930,TODAY(),"Y"),INDEX('Lopettaneet 2013-&gt;'!$L:$L,MATCH($D930,'Lopettaneet 2013-&gt;'!$D:$D,0)))</f>
        <v>3</v>
      </c>
      <c r="L930" s="31" t="str">
        <f>IFERROR(INDEX('[1]30.06.2024'!$H:$H,MATCH($E930,'[1]30.06.2024'!$B:$B,0)),"Not found")</f>
        <v>GRIT Rahastoyhtiö Oy</v>
      </c>
      <c r="M930" s="31" t="str">
        <f>IFERROR(INDEX([2]Sheet1!$B:$B,MATCH($D930,[2]Sheet1!$A:$A,0)),"Not found")</f>
        <v>Retail</v>
      </c>
      <c r="N930">
        <f t="shared" si="28"/>
        <v>1</v>
      </c>
      <c r="O930">
        <f t="shared" si="29"/>
        <v>0</v>
      </c>
    </row>
    <row r="931" spans="1:15" x14ac:dyDescent="0.25">
      <c r="A931" t="s">
        <v>7</v>
      </c>
      <c r="B931" s="1">
        <v>44531</v>
      </c>
      <c r="C931" s="1">
        <v>55153</v>
      </c>
      <c r="D931" s="4" t="s">
        <v>2049</v>
      </c>
      <c r="E931" s="32" t="s">
        <v>2050</v>
      </c>
      <c r="F931" s="32">
        <v>32143479</v>
      </c>
      <c r="G931" t="s">
        <v>10</v>
      </c>
      <c r="H931" t="s">
        <v>11</v>
      </c>
      <c r="I931" t="s">
        <v>32</v>
      </c>
      <c r="J931" s="30" t="str">
        <f>IF(ISNUMBER(MATCH($D931,'Lopettaneet 2013-&gt;'!$D:$D,0)),INDEX('Lopettaneet 2013-&gt;'!$K:$K,MATCH($D931,'Lopettaneet 2013-&gt;'!$D:$D,0)),"Continues")</f>
        <v>Continues</v>
      </c>
      <c r="K931" s="30">
        <f ca="1">IF($J931="Continues",DATEDIF($B931,TODAY(),"Y"),INDEX('Lopettaneet 2013-&gt;'!$L:$L,MATCH($D931,'Lopettaneet 2013-&gt;'!$D:$D,0)))</f>
        <v>3</v>
      </c>
      <c r="L931" s="31" t="str">
        <f>IFERROR(INDEX('[1]30.06.2024'!$H:$H,MATCH($E931,'[1]30.06.2024'!$B:$B,0)),"Not found")</f>
        <v>Avara Rahastot Oy</v>
      </c>
      <c r="M931" s="31" t="str">
        <f>IFERROR(INDEX([2]Sheet1!$B:$B,MATCH($D931,[2]Sheet1!$A:$A,0)),"Not found")</f>
        <v>Non-Retail</v>
      </c>
      <c r="N931">
        <f t="shared" si="28"/>
        <v>0</v>
      </c>
      <c r="O931">
        <f t="shared" si="29"/>
        <v>1</v>
      </c>
    </row>
    <row r="932" spans="1:15" x14ac:dyDescent="0.25">
      <c r="A932" t="s">
        <v>0</v>
      </c>
      <c r="B932" s="1">
        <v>44440</v>
      </c>
      <c r="C932" s="1">
        <v>55153</v>
      </c>
      <c r="D932" s="4" t="s">
        <v>2051</v>
      </c>
      <c r="E932" s="32" t="s">
        <v>2052</v>
      </c>
      <c r="F932" s="32">
        <v>32087139</v>
      </c>
      <c r="G932" t="s">
        <v>3</v>
      </c>
      <c r="H932" t="s">
        <v>4</v>
      </c>
      <c r="I932" t="s">
        <v>20</v>
      </c>
      <c r="J932" s="30" t="str">
        <f>IF(ISNUMBER(MATCH($D932,'Lopettaneet 2013-&gt;'!$D:$D,0)),INDEX('Lopettaneet 2013-&gt;'!$K:$K,MATCH($D932,'Lopettaneet 2013-&gt;'!$D:$D,0)),"Continues")</f>
        <v>Continues</v>
      </c>
      <c r="K932" s="30">
        <f ca="1">IF($J932="Continues",DATEDIF($B932,TODAY(),"Y"),INDEX('Lopettaneet 2013-&gt;'!$L:$L,MATCH($D932,'Lopettaneet 2013-&gt;'!$D:$D,0)))</f>
        <v>3</v>
      </c>
      <c r="L932" s="31" t="str">
        <f>IFERROR(INDEX('[1]30.06.2024'!$H:$H,MATCH($E932,'[1]30.06.2024'!$B:$B,0)),"Not found")</f>
        <v>UB Rahastoyhtiö Oy</v>
      </c>
      <c r="M932" s="31" t="str">
        <f>IFERROR(INDEX([2]Sheet1!$B:$B,MATCH($D932,[2]Sheet1!$A:$A,0)),"Not found")</f>
        <v>Retail</v>
      </c>
      <c r="N932">
        <f t="shared" si="28"/>
        <v>1</v>
      </c>
      <c r="O932">
        <f t="shared" si="29"/>
        <v>0</v>
      </c>
    </row>
    <row r="933" spans="1:15" x14ac:dyDescent="0.25">
      <c r="A933" t="s">
        <v>7</v>
      </c>
      <c r="B933" s="1">
        <v>44440</v>
      </c>
      <c r="C933" s="1">
        <v>55153</v>
      </c>
      <c r="D933" s="4" t="s">
        <v>2053</v>
      </c>
      <c r="E933" s="32" t="s">
        <v>2054</v>
      </c>
      <c r="F933" s="32">
        <v>32195922</v>
      </c>
      <c r="G933" t="s">
        <v>10</v>
      </c>
      <c r="H933" t="s">
        <v>11</v>
      </c>
      <c r="I933" t="s">
        <v>32</v>
      </c>
      <c r="J933" s="30" t="str">
        <f>IF(ISNUMBER(MATCH($D933,'Lopettaneet 2013-&gt;'!$D:$D,0)),INDEX('Lopettaneet 2013-&gt;'!$K:$K,MATCH($D933,'Lopettaneet 2013-&gt;'!$D:$D,0)),"Continues")</f>
        <v>Continues</v>
      </c>
      <c r="K933" s="30">
        <f ca="1">IF($J933="Continues",DATEDIF($B933,TODAY(),"Y"),INDEX('Lopettaneet 2013-&gt;'!$L:$L,MATCH($D933,'Lopettaneet 2013-&gt;'!$D:$D,0)))</f>
        <v>3</v>
      </c>
      <c r="L933" s="31" t="str">
        <f>IFERROR(INDEX('[1]30.06.2024'!$H:$H,MATCH($E933,'[1]30.06.2024'!$B:$B,0)),"Not found")</f>
        <v>Evli-Rahastoyhtiö Oy</v>
      </c>
      <c r="M933" s="31" t="str">
        <f>IFERROR(INDEX([2]Sheet1!$B:$B,MATCH($D933,[2]Sheet1!$A:$A,0)),"Not found")</f>
        <v>Retail</v>
      </c>
      <c r="N933">
        <f t="shared" si="28"/>
        <v>1</v>
      </c>
      <c r="O933">
        <f t="shared" si="29"/>
        <v>0</v>
      </c>
    </row>
    <row r="934" spans="1:15" x14ac:dyDescent="0.25">
      <c r="A934" t="s">
        <v>0</v>
      </c>
      <c r="B934" s="1">
        <v>44682</v>
      </c>
      <c r="C934" s="1">
        <v>55153</v>
      </c>
      <c r="D934" s="4" t="s">
        <v>2055</v>
      </c>
      <c r="E934" s="32" t="s">
        <v>2056</v>
      </c>
      <c r="F934" s="32">
        <v>32234928</v>
      </c>
      <c r="G934" t="s">
        <v>10</v>
      </c>
      <c r="H934" t="s">
        <v>4</v>
      </c>
      <c r="I934" t="s">
        <v>29</v>
      </c>
      <c r="J934" s="30" t="str">
        <f>IF(ISNUMBER(MATCH($D934,'Lopettaneet 2013-&gt;'!$D:$D,0)),INDEX('Lopettaneet 2013-&gt;'!$K:$K,MATCH($D934,'Lopettaneet 2013-&gt;'!$D:$D,0)),"Continues")</f>
        <v>Continues</v>
      </c>
      <c r="K934" s="30">
        <f ca="1">IF($J934="Continues",DATEDIF($B934,TODAY(),"Y"),INDEX('Lopettaneet 2013-&gt;'!$L:$L,MATCH($D934,'Lopettaneet 2013-&gt;'!$D:$D,0)))</f>
        <v>3</v>
      </c>
      <c r="L934" s="31" t="str">
        <f>IFERROR(INDEX('[1]30.06.2024'!$H:$H,MATCH($E934,'[1]30.06.2024'!$B:$B,0)),"Not found")</f>
        <v>Nordea Funds Oy</v>
      </c>
      <c r="M934" s="31" t="str">
        <f>IFERROR(INDEX([2]Sheet1!$B:$B,MATCH($D934,[2]Sheet1!$A:$A,0)),"Not found")</f>
        <v>Retail</v>
      </c>
      <c r="N934">
        <f t="shared" si="28"/>
        <v>1</v>
      </c>
      <c r="O934">
        <f t="shared" si="29"/>
        <v>0</v>
      </c>
    </row>
    <row r="935" spans="1:15" x14ac:dyDescent="0.25">
      <c r="A935" t="s">
        <v>7</v>
      </c>
      <c r="B935" s="1">
        <v>44531</v>
      </c>
      <c r="C935" s="1">
        <v>55153</v>
      </c>
      <c r="D935" s="4" t="s">
        <v>2057</v>
      </c>
      <c r="E935" s="32" t="s">
        <v>2058</v>
      </c>
      <c r="F935" s="32">
        <v>32230759</v>
      </c>
      <c r="G935" t="s">
        <v>10</v>
      </c>
      <c r="H935" t="s">
        <v>11</v>
      </c>
      <c r="I935" t="s">
        <v>32</v>
      </c>
      <c r="J935" s="30" t="str">
        <f>IF(ISNUMBER(MATCH($D935,'Lopettaneet 2013-&gt;'!$D:$D,0)),INDEX('Lopettaneet 2013-&gt;'!$K:$K,MATCH($D935,'Lopettaneet 2013-&gt;'!$D:$D,0)),"Continues")</f>
        <v>Continues</v>
      </c>
      <c r="K935" s="30">
        <f ca="1">IF($J935="Continues",DATEDIF($B935,TODAY(),"Y"),INDEX('Lopettaneet 2013-&gt;'!$L:$L,MATCH($D935,'Lopettaneet 2013-&gt;'!$D:$D,0)))</f>
        <v>3</v>
      </c>
      <c r="L935" s="31" t="str">
        <f>IFERROR(INDEX('[1]30.06.2024'!$H:$H,MATCH($E935,'[1]30.06.2024'!$B:$B,0)),"Not found")</f>
        <v>Aktia Rahastoyhtiö Oy</v>
      </c>
      <c r="M935" s="31" t="str">
        <f>IFERROR(INDEX([2]Sheet1!$B:$B,MATCH($D935,[2]Sheet1!$A:$A,0)),"Not found")</f>
        <v>Retail</v>
      </c>
      <c r="N935">
        <f t="shared" si="28"/>
        <v>1</v>
      </c>
      <c r="O935">
        <f t="shared" si="29"/>
        <v>0</v>
      </c>
    </row>
    <row r="936" spans="1:15" x14ac:dyDescent="0.25">
      <c r="A936" t="s">
        <v>7</v>
      </c>
      <c r="B936" s="1">
        <v>44531</v>
      </c>
      <c r="C936" s="1">
        <v>55153</v>
      </c>
      <c r="D936" s="4" t="s">
        <v>2059</v>
      </c>
      <c r="E936" s="32" t="s">
        <v>2060</v>
      </c>
      <c r="F936" s="32">
        <v>32230732</v>
      </c>
      <c r="G936" t="s">
        <v>10</v>
      </c>
      <c r="H936" t="s">
        <v>11</v>
      </c>
      <c r="I936" t="s">
        <v>32</v>
      </c>
      <c r="J936" s="30" t="str">
        <f>IF(ISNUMBER(MATCH($D936,'Lopettaneet 2013-&gt;'!$D:$D,0)),INDEX('Lopettaneet 2013-&gt;'!$K:$K,MATCH($D936,'Lopettaneet 2013-&gt;'!$D:$D,0)),"Continues")</f>
        <v>Continues</v>
      </c>
      <c r="K936" s="30">
        <f ca="1">IF($J936="Continues",DATEDIF($B936,TODAY(),"Y"),INDEX('Lopettaneet 2013-&gt;'!$L:$L,MATCH($D936,'Lopettaneet 2013-&gt;'!$D:$D,0)))</f>
        <v>3</v>
      </c>
      <c r="L936" s="31" t="str">
        <f>IFERROR(INDEX('[1]30.06.2024'!$H:$H,MATCH($E936,'[1]30.06.2024'!$B:$B,0)),"Not found")</f>
        <v>Aktia Rahastoyhtiö Oy</v>
      </c>
      <c r="M936" s="31" t="str">
        <f>IFERROR(INDEX([2]Sheet1!$B:$B,MATCH($D936,[2]Sheet1!$A:$A,0)),"Not found")</f>
        <v>Retail</v>
      </c>
      <c r="N936">
        <f t="shared" si="28"/>
        <v>1</v>
      </c>
      <c r="O936">
        <f t="shared" si="29"/>
        <v>0</v>
      </c>
    </row>
    <row r="937" spans="1:15" x14ac:dyDescent="0.25">
      <c r="A937" t="s">
        <v>7</v>
      </c>
      <c r="B937" s="1">
        <v>44531</v>
      </c>
      <c r="C937" s="1">
        <v>55153</v>
      </c>
      <c r="D937" s="4" t="s">
        <v>2061</v>
      </c>
      <c r="E937" s="32" t="s">
        <v>2062</v>
      </c>
      <c r="F937" s="32">
        <v>32230724</v>
      </c>
      <c r="G937" t="s">
        <v>10</v>
      </c>
      <c r="H937" t="s">
        <v>11</v>
      </c>
      <c r="I937" t="s">
        <v>32</v>
      </c>
      <c r="J937" s="30" t="str">
        <f>IF(ISNUMBER(MATCH($D937,'Lopettaneet 2013-&gt;'!$D:$D,0)),INDEX('Lopettaneet 2013-&gt;'!$K:$K,MATCH($D937,'Lopettaneet 2013-&gt;'!$D:$D,0)),"Continues")</f>
        <v>Continues</v>
      </c>
      <c r="K937" s="30">
        <f ca="1">IF($J937="Continues",DATEDIF($B937,TODAY(),"Y"),INDEX('Lopettaneet 2013-&gt;'!$L:$L,MATCH($D937,'Lopettaneet 2013-&gt;'!$D:$D,0)))</f>
        <v>3</v>
      </c>
      <c r="L937" s="31" t="str">
        <f>IFERROR(INDEX('[1]30.06.2024'!$H:$H,MATCH($E937,'[1]30.06.2024'!$B:$B,0)),"Not found")</f>
        <v>Aktia Rahastoyhtiö Oy</v>
      </c>
      <c r="M937" s="31" t="str">
        <f>IFERROR(INDEX([2]Sheet1!$B:$B,MATCH($D937,[2]Sheet1!$A:$A,0)),"Not found")</f>
        <v>Retail</v>
      </c>
      <c r="N937">
        <f t="shared" si="28"/>
        <v>1</v>
      </c>
      <c r="O937">
        <f t="shared" si="29"/>
        <v>0</v>
      </c>
    </row>
    <row r="938" spans="1:15" x14ac:dyDescent="0.25">
      <c r="A938" t="s">
        <v>7</v>
      </c>
      <c r="B938" s="1">
        <v>44531</v>
      </c>
      <c r="C938" s="1">
        <v>55153</v>
      </c>
      <c r="D938" s="4" t="s">
        <v>2063</v>
      </c>
      <c r="E938" s="32" t="s">
        <v>2064</v>
      </c>
      <c r="F938" s="32">
        <v>32230716</v>
      </c>
      <c r="G938" t="s">
        <v>10</v>
      </c>
      <c r="H938" t="s">
        <v>11</v>
      </c>
      <c r="I938" t="s">
        <v>32</v>
      </c>
      <c r="J938" s="30" t="str">
        <f>IF(ISNUMBER(MATCH($D938,'Lopettaneet 2013-&gt;'!$D:$D,0)),INDEX('Lopettaneet 2013-&gt;'!$K:$K,MATCH($D938,'Lopettaneet 2013-&gt;'!$D:$D,0)),"Continues")</f>
        <v>Continues</v>
      </c>
      <c r="K938" s="30">
        <f ca="1">IF($J938="Continues",DATEDIF($B938,TODAY(),"Y"),INDEX('Lopettaneet 2013-&gt;'!$L:$L,MATCH($D938,'Lopettaneet 2013-&gt;'!$D:$D,0)))</f>
        <v>3</v>
      </c>
      <c r="L938" s="31" t="str">
        <f>IFERROR(INDEX('[1]30.06.2024'!$H:$H,MATCH($E938,'[1]30.06.2024'!$B:$B,0)),"Not found")</f>
        <v>Aktia Rahastoyhtiö Oy</v>
      </c>
      <c r="M938" s="31" t="str">
        <f>IFERROR(INDEX([2]Sheet1!$B:$B,MATCH($D938,[2]Sheet1!$A:$A,0)),"Not found")</f>
        <v>Retail</v>
      </c>
      <c r="N938">
        <f t="shared" si="28"/>
        <v>1</v>
      </c>
      <c r="O938">
        <f t="shared" si="29"/>
        <v>0</v>
      </c>
    </row>
    <row r="939" spans="1:15" x14ac:dyDescent="0.25">
      <c r="A939" t="s">
        <v>7</v>
      </c>
      <c r="B939" s="1">
        <v>44531</v>
      </c>
      <c r="C939" s="1">
        <v>55153</v>
      </c>
      <c r="D939" s="4" t="s">
        <v>2065</v>
      </c>
      <c r="E939" s="32" t="s">
        <v>2066</v>
      </c>
      <c r="F939" s="32">
        <v>32230695</v>
      </c>
      <c r="G939" t="s">
        <v>10</v>
      </c>
      <c r="H939" t="s">
        <v>11</v>
      </c>
      <c r="I939" t="s">
        <v>32</v>
      </c>
      <c r="J939" s="30" t="str">
        <f>IF(ISNUMBER(MATCH($D939,'Lopettaneet 2013-&gt;'!$D:$D,0)),INDEX('Lopettaneet 2013-&gt;'!$K:$K,MATCH($D939,'Lopettaneet 2013-&gt;'!$D:$D,0)),"Continues")</f>
        <v>Continues</v>
      </c>
      <c r="K939" s="30">
        <f ca="1">IF($J939="Continues",DATEDIF($B939,TODAY(),"Y"),INDEX('Lopettaneet 2013-&gt;'!$L:$L,MATCH($D939,'Lopettaneet 2013-&gt;'!$D:$D,0)))</f>
        <v>3</v>
      </c>
      <c r="L939" s="31" t="str">
        <f>IFERROR(INDEX('[1]30.06.2024'!$H:$H,MATCH($E939,'[1]30.06.2024'!$B:$B,0)),"Not found")</f>
        <v>Aktia Rahastoyhtiö Oy</v>
      </c>
      <c r="M939" s="31" t="str">
        <f>IFERROR(INDEX([2]Sheet1!$B:$B,MATCH($D939,[2]Sheet1!$A:$A,0)),"Not found")</f>
        <v>Retail</v>
      </c>
      <c r="N939">
        <f t="shared" si="28"/>
        <v>1</v>
      </c>
      <c r="O939">
        <f t="shared" si="29"/>
        <v>0</v>
      </c>
    </row>
    <row r="940" spans="1:15" x14ac:dyDescent="0.25">
      <c r="A940" t="s">
        <v>7</v>
      </c>
      <c r="B940" s="1">
        <v>44713</v>
      </c>
      <c r="C940" s="1">
        <v>55153</v>
      </c>
      <c r="D940" s="4" t="s">
        <v>2067</v>
      </c>
      <c r="E940" s="32" t="s">
        <v>2068</v>
      </c>
      <c r="F940" s="32">
        <v>31655886</v>
      </c>
      <c r="G940" t="s">
        <v>10</v>
      </c>
      <c r="H940" t="s">
        <v>11</v>
      </c>
      <c r="I940" t="s">
        <v>32</v>
      </c>
      <c r="J940" s="30" t="str">
        <f>IF(ISNUMBER(MATCH($D940,'Lopettaneet 2013-&gt;'!$D:$D,0)),INDEX('Lopettaneet 2013-&gt;'!$K:$K,MATCH($D940,'Lopettaneet 2013-&gt;'!$D:$D,0)),"Continues")</f>
        <v>Continues</v>
      </c>
      <c r="K940" s="30">
        <f ca="1">IF($J940="Continues",DATEDIF($B940,TODAY(),"Y"),INDEX('Lopettaneet 2013-&gt;'!$L:$L,MATCH($D940,'Lopettaneet 2013-&gt;'!$D:$D,0)))</f>
        <v>2</v>
      </c>
      <c r="L940" s="31" t="str">
        <f>IFERROR(INDEX('[1]30.06.2024'!$H:$H,MATCH($E940,'[1]30.06.2024'!$B:$B,0)),"Not found")</f>
        <v>Taaleri Pääomarahastot Oy</v>
      </c>
      <c r="M940" s="31" t="str">
        <f>IFERROR(INDEX([2]Sheet1!$B:$B,MATCH($D940,[2]Sheet1!$A:$A,0)),"Not found")</f>
        <v>Retail</v>
      </c>
      <c r="N940">
        <f t="shared" si="28"/>
        <v>1</v>
      </c>
      <c r="O940">
        <f t="shared" si="29"/>
        <v>0</v>
      </c>
    </row>
    <row r="941" spans="1:15" x14ac:dyDescent="0.25">
      <c r="A941" t="s">
        <v>7</v>
      </c>
      <c r="B941" s="1">
        <v>44621</v>
      </c>
      <c r="C941" s="1">
        <v>55153</v>
      </c>
      <c r="D941" s="4" t="s">
        <v>2069</v>
      </c>
      <c r="E941" s="32" t="s">
        <v>2070</v>
      </c>
      <c r="F941" s="32">
        <v>32527106</v>
      </c>
      <c r="G941" t="s">
        <v>10</v>
      </c>
      <c r="H941" t="s">
        <v>11</v>
      </c>
      <c r="I941" t="s">
        <v>12</v>
      </c>
      <c r="J941" s="30" t="str">
        <f>IF(ISNUMBER(MATCH($D941,'Lopettaneet 2013-&gt;'!$D:$D,0)),INDEX('Lopettaneet 2013-&gt;'!$K:$K,MATCH($D941,'Lopettaneet 2013-&gt;'!$D:$D,0)),"Continues")</f>
        <v>Continues</v>
      </c>
      <c r="K941" s="30">
        <f ca="1">IF($J941="Continues",DATEDIF($B941,TODAY(),"Y"),INDEX('Lopettaneet 2013-&gt;'!$L:$L,MATCH($D941,'Lopettaneet 2013-&gt;'!$D:$D,0)))</f>
        <v>3</v>
      </c>
      <c r="L941" s="31" t="str">
        <f>IFERROR(INDEX('[1]30.06.2024'!$H:$H,MATCH($E941,'[1]30.06.2024'!$B:$B,0)),"Not found")</f>
        <v>DevCo Partners Oy</v>
      </c>
      <c r="M941" s="31" t="str">
        <f>IFERROR(INDEX([2]Sheet1!$B:$B,MATCH($D941,[2]Sheet1!$A:$A,0)),"Not found")</f>
        <v>Non-Retail</v>
      </c>
      <c r="N941">
        <f t="shared" si="28"/>
        <v>0</v>
      </c>
      <c r="O941">
        <f t="shared" si="29"/>
        <v>1</v>
      </c>
    </row>
    <row r="942" spans="1:15" x14ac:dyDescent="0.25">
      <c r="A942" t="s">
        <v>0</v>
      </c>
      <c r="B942" s="1">
        <v>44531</v>
      </c>
      <c r="C942" s="1">
        <v>55153</v>
      </c>
      <c r="D942" s="4" t="s">
        <v>2071</v>
      </c>
      <c r="E942" s="32" t="s">
        <v>2072</v>
      </c>
      <c r="F942" s="32">
        <v>32294883</v>
      </c>
      <c r="G942" t="s">
        <v>10</v>
      </c>
      <c r="H942" t="s">
        <v>11</v>
      </c>
      <c r="I942" t="s">
        <v>20</v>
      </c>
      <c r="J942" s="30" t="str">
        <f>IF(ISNUMBER(MATCH($D942,'Lopettaneet 2013-&gt;'!$D:$D,0)),INDEX('Lopettaneet 2013-&gt;'!$K:$K,MATCH($D942,'Lopettaneet 2013-&gt;'!$D:$D,0)),"Continues")</f>
        <v>Continues</v>
      </c>
      <c r="K942" s="30">
        <f ca="1">IF($J942="Continues",DATEDIF($B942,TODAY(),"Y"),INDEX('Lopettaneet 2013-&gt;'!$L:$L,MATCH($D942,'Lopettaneet 2013-&gt;'!$D:$D,0)))</f>
        <v>3</v>
      </c>
      <c r="L942" s="31" t="str">
        <f>IFERROR(INDEX('[1]30.06.2024'!$H:$H,MATCH($E942,'[1]30.06.2024'!$B:$B,0)),"Not found")</f>
        <v>CapMan AIFM Oy</v>
      </c>
      <c r="M942" s="31" t="str">
        <f>IFERROR(INDEX([2]Sheet1!$B:$B,MATCH($D942,[2]Sheet1!$A:$A,0)),"Not found")</f>
        <v>Non-Retail</v>
      </c>
      <c r="N942">
        <f t="shared" si="28"/>
        <v>0</v>
      </c>
      <c r="O942">
        <f t="shared" si="29"/>
        <v>1</v>
      </c>
    </row>
    <row r="943" spans="1:15" x14ac:dyDescent="0.25">
      <c r="A943" t="s">
        <v>7</v>
      </c>
      <c r="B943" s="1">
        <v>44621</v>
      </c>
      <c r="C943" s="1">
        <v>55153</v>
      </c>
      <c r="D943" s="4" t="s">
        <v>2073</v>
      </c>
      <c r="E943" s="32" t="s">
        <v>2074</v>
      </c>
      <c r="F943" s="32">
        <v>32352043</v>
      </c>
      <c r="G943" t="s">
        <v>10</v>
      </c>
      <c r="H943" t="s">
        <v>11</v>
      </c>
      <c r="I943" t="s">
        <v>12</v>
      </c>
      <c r="J943" s="30" t="str">
        <f>IF(ISNUMBER(MATCH($D943,'Lopettaneet 2013-&gt;'!$D:$D,0)),INDEX('Lopettaneet 2013-&gt;'!$K:$K,MATCH($D943,'Lopettaneet 2013-&gt;'!$D:$D,0)),"Continues")</f>
        <v>Continues</v>
      </c>
      <c r="K943" s="30">
        <f ca="1">IF($J943="Continues",DATEDIF($B943,TODAY(),"Y"),INDEX('Lopettaneet 2013-&gt;'!$L:$L,MATCH($D943,'Lopettaneet 2013-&gt;'!$D:$D,0)))</f>
        <v>3</v>
      </c>
      <c r="L943" s="31" t="str">
        <f>IFERROR(INDEX('[1]30.06.2024'!$H:$H,MATCH($E943,'[1]30.06.2024'!$B:$B,0)),"Not found")</f>
        <v>Evli-Rahastoyhtiö Oy</v>
      </c>
      <c r="M943" s="31" t="str">
        <f>IFERROR(INDEX([2]Sheet1!$B:$B,MATCH($D943,[2]Sheet1!$A:$A,0)),"Not found")</f>
        <v>Retail</v>
      </c>
      <c r="N943">
        <f t="shared" si="28"/>
        <v>1</v>
      </c>
      <c r="O943">
        <f t="shared" si="29"/>
        <v>0</v>
      </c>
    </row>
    <row r="944" spans="1:15" x14ac:dyDescent="0.25">
      <c r="A944" t="s">
        <v>7</v>
      </c>
      <c r="B944" s="1">
        <v>44621</v>
      </c>
      <c r="C944" s="1">
        <v>55153</v>
      </c>
      <c r="D944" s="4" t="s">
        <v>2075</v>
      </c>
      <c r="E944" s="32" t="s">
        <v>2076</v>
      </c>
      <c r="F944" s="32">
        <v>32352131</v>
      </c>
      <c r="G944" t="s">
        <v>10</v>
      </c>
      <c r="H944" t="s">
        <v>11</v>
      </c>
      <c r="I944" t="s">
        <v>12</v>
      </c>
      <c r="J944" s="30" t="str">
        <f>IF(ISNUMBER(MATCH($D944,'Lopettaneet 2013-&gt;'!$D:$D,0)),INDEX('Lopettaneet 2013-&gt;'!$K:$K,MATCH($D944,'Lopettaneet 2013-&gt;'!$D:$D,0)),"Continues")</f>
        <v>Continues</v>
      </c>
      <c r="K944" s="30">
        <f ca="1">IF($J944="Continues",DATEDIF($B944,TODAY(),"Y"),INDEX('Lopettaneet 2013-&gt;'!$L:$L,MATCH($D944,'Lopettaneet 2013-&gt;'!$D:$D,0)))</f>
        <v>3</v>
      </c>
      <c r="L944" s="31" t="str">
        <f>IFERROR(INDEX('[1]30.06.2024'!$H:$H,MATCH($E944,'[1]30.06.2024'!$B:$B,0)),"Not found")</f>
        <v>Evli-Rahastoyhtiö Oy</v>
      </c>
      <c r="M944" s="31" t="str">
        <f>IFERROR(INDEX([2]Sheet1!$B:$B,MATCH($D944,[2]Sheet1!$A:$A,0)),"Not found")</f>
        <v>Retail</v>
      </c>
      <c r="N944">
        <f t="shared" si="28"/>
        <v>1</v>
      </c>
      <c r="O944">
        <f t="shared" si="29"/>
        <v>0</v>
      </c>
    </row>
    <row r="945" spans="1:15" x14ac:dyDescent="0.25">
      <c r="A945" t="s">
        <v>0</v>
      </c>
      <c r="B945" s="1">
        <v>44805</v>
      </c>
      <c r="C945" s="1">
        <v>55153</v>
      </c>
      <c r="D945" s="4" t="s">
        <v>2077</v>
      </c>
      <c r="E945" s="32" t="s">
        <v>2078</v>
      </c>
      <c r="F945" s="32">
        <v>32847097</v>
      </c>
      <c r="G945" t="s">
        <v>10</v>
      </c>
      <c r="H945" t="s">
        <v>4</v>
      </c>
      <c r="I945" t="s">
        <v>32</v>
      </c>
      <c r="J945" s="30" t="str">
        <f>IF(ISNUMBER(MATCH($D945,'Lopettaneet 2013-&gt;'!$D:$D,0)),INDEX('Lopettaneet 2013-&gt;'!$K:$K,MATCH($D945,'Lopettaneet 2013-&gt;'!$D:$D,0)),"Continues")</f>
        <v>Continues</v>
      </c>
      <c r="K945" s="30">
        <f ca="1">IF($J945="Continues",DATEDIF($B945,TODAY(),"Y"),INDEX('Lopettaneet 2013-&gt;'!$L:$L,MATCH($D945,'Lopettaneet 2013-&gt;'!$D:$D,0)))</f>
        <v>2</v>
      </c>
      <c r="L945" s="31" t="str">
        <f>IFERROR(INDEX('[1]30.06.2024'!$H:$H,MATCH($E945,'[1]30.06.2024'!$B:$B,0)),"Not found")</f>
        <v>S-Pankki Rahastoyhtiö Oy</v>
      </c>
      <c r="M945" s="31" t="str">
        <f>IFERROR(INDEX([2]Sheet1!$B:$B,MATCH($D945,[2]Sheet1!$A:$A,0)),"Not found")</f>
        <v>Retail</v>
      </c>
      <c r="N945">
        <f t="shared" si="28"/>
        <v>1</v>
      </c>
      <c r="O945">
        <f t="shared" si="29"/>
        <v>0</v>
      </c>
    </row>
    <row r="946" spans="1:15" x14ac:dyDescent="0.25">
      <c r="A946" t="s">
        <v>0</v>
      </c>
      <c r="B946" s="1">
        <v>44501</v>
      </c>
      <c r="C946" s="1">
        <v>55153</v>
      </c>
      <c r="D946" s="4" t="s">
        <v>2079</v>
      </c>
      <c r="E946" s="32" t="s">
        <v>2080</v>
      </c>
      <c r="F946" s="32">
        <v>32388345</v>
      </c>
      <c r="G946" t="s">
        <v>10</v>
      </c>
      <c r="H946" t="s">
        <v>4</v>
      </c>
      <c r="I946" t="s">
        <v>47</v>
      </c>
      <c r="J946" s="30" t="str">
        <f>IF(ISNUMBER(MATCH($D946,'Lopettaneet 2013-&gt;'!$D:$D,0)),INDEX('Lopettaneet 2013-&gt;'!$K:$K,MATCH($D946,'Lopettaneet 2013-&gt;'!$D:$D,0)),"Continues")</f>
        <v>Continues</v>
      </c>
      <c r="K946" s="30">
        <f ca="1">IF($J946="Continues",DATEDIF($B946,TODAY(),"Y"),INDEX('Lopettaneet 2013-&gt;'!$L:$L,MATCH($D946,'Lopettaneet 2013-&gt;'!$D:$D,0)))</f>
        <v>3</v>
      </c>
      <c r="L946" s="31" t="str">
        <f>IFERROR(INDEX('[1]30.06.2024'!$H:$H,MATCH($E946,'[1]30.06.2024'!$B:$B,0)),"Not found")</f>
        <v>GRIT Rahastoyhtiö Oy</v>
      </c>
      <c r="M946" s="31" t="str">
        <f>IFERROR(INDEX([2]Sheet1!$B:$B,MATCH($D946,[2]Sheet1!$A:$A,0)),"Not found")</f>
        <v>Non-Retail</v>
      </c>
      <c r="N946">
        <f t="shared" si="28"/>
        <v>0</v>
      </c>
      <c r="O946">
        <f t="shared" si="29"/>
        <v>1</v>
      </c>
    </row>
    <row r="947" spans="1:15" x14ac:dyDescent="0.25">
      <c r="A947" t="s">
        <v>7</v>
      </c>
      <c r="B947" s="1">
        <v>44713</v>
      </c>
      <c r="C947" s="1">
        <v>55153</v>
      </c>
      <c r="D947" s="4" t="s">
        <v>2081</v>
      </c>
      <c r="E947" s="32" t="s">
        <v>2082</v>
      </c>
      <c r="F947" s="32">
        <v>32401853</v>
      </c>
      <c r="G947" t="s">
        <v>10</v>
      </c>
      <c r="H947" t="s">
        <v>11</v>
      </c>
      <c r="I947" t="s">
        <v>29</v>
      </c>
      <c r="J947" s="30" t="str">
        <f>IF(ISNUMBER(MATCH($D947,'Lopettaneet 2013-&gt;'!$D:$D,0)),INDEX('Lopettaneet 2013-&gt;'!$K:$K,MATCH($D947,'Lopettaneet 2013-&gt;'!$D:$D,0)),"Continues")</f>
        <v>Continues</v>
      </c>
      <c r="K947" s="30">
        <f ca="1">IF($J947="Continues",DATEDIF($B947,TODAY(),"Y"),INDEX('Lopettaneet 2013-&gt;'!$L:$L,MATCH($D947,'Lopettaneet 2013-&gt;'!$D:$D,0)))</f>
        <v>2</v>
      </c>
      <c r="L947" s="31" t="str">
        <f>IFERROR(INDEX('[1]30.06.2024'!$H:$H,MATCH($E947,'[1]30.06.2024'!$B:$B,0)),"Not found")</f>
        <v>Evli-Rahastoyhtiö Oy</v>
      </c>
      <c r="M947" s="31" t="str">
        <f>IFERROR(INDEX([2]Sheet1!$B:$B,MATCH($D947,[2]Sheet1!$A:$A,0)),"Not found")</f>
        <v>Retail</v>
      </c>
      <c r="N947">
        <f t="shared" si="28"/>
        <v>1</v>
      </c>
      <c r="O947">
        <f t="shared" si="29"/>
        <v>0</v>
      </c>
    </row>
    <row r="948" spans="1:15" x14ac:dyDescent="0.25">
      <c r="A948" t="s">
        <v>7</v>
      </c>
      <c r="B948" s="1">
        <v>44621</v>
      </c>
      <c r="C948" s="1">
        <v>55153</v>
      </c>
      <c r="D948" s="4" t="s">
        <v>2083</v>
      </c>
      <c r="E948" s="32" t="s">
        <v>2084</v>
      </c>
      <c r="F948" s="32">
        <v>32347762</v>
      </c>
      <c r="G948" t="s">
        <v>10</v>
      </c>
      <c r="H948" t="s">
        <v>11</v>
      </c>
      <c r="I948" t="s">
        <v>80</v>
      </c>
      <c r="J948" s="30" t="str">
        <f>IF(ISNUMBER(MATCH($D948,'Lopettaneet 2013-&gt;'!$D:$D,0)),INDEX('Lopettaneet 2013-&gt;'!$K:$K,MATCH($D948,'Lopettaneet 2013-&gt;'!$D:$D,0)),"Continues")</f>
        <v>Continues</v>
      </c>
      <c r="K948" s="30">
        <f ca="1">IF($J948="Continues",DATEDIF($B948,TODAY(),"Y"),INDEX('Lopettaneet 2013-&gt;'!$L:$L,MATCH($D948,'Lopettaneet 2013-&gt;'!$D:$D,0)))</f>
        <v>3</v>
      </c>
      <c r="L948" s="31" t="str">
        <f>IFERROR(INDEX('[1]30.06.2024'!$H:$H,MATCH($E948,'[1]30.06.2024'!$B:$B,0)),"Not found")</f>
        <v>Onventure Oy</v>
      </c>
      <c r="M948" s="31" t="str">
        <f>IFERROR(INDEX([2]Sheet1!$B:$B,MATCH($D948,[2]Sheet1!$A:$A,0)),"Not found")</f>
        <v>Retail</v>
      </c>
      <c r="N948">
        <f t="shared" si="28"/>
        <v>1</v>
      </c>
      <c r="O948">
        <f t="shared" si="29"/>
        <v>0</v>
      </c>
    </row>
    <row r="949" spans="1:15" x14ac:dyDescent="0.25">
      <c r="A949" t="s">
        <v>7</v>
      </c>
      <c r="B949" s="1">
        <v>44531</v>
      </c>
      <c r="C949" s="1">
        <v>55153</v>
      </c>
      <c r="D949" s="4" t="s">
        <v>2085</v>
      </c>
      <c r="E949" s="32" t="s">
        <v>2086</v>
      </c>
      <c r="F949" s="32">
        <v>32339818</v>
      </c>
      <c r="G949" t="s">
        <v>10</v>
      </c>
      <c r="H949" t="s">
        <v>11</v>
      </c>
      <c r="I949" t="s">
        <v>32</v>
      </c>
      <c r="J949" s="30" t="str">
        <f>IF(ISNUMBER(MATCH($D949,'Lopettaneet 2013-&gt;'!$D:$D,0)),INDEX('Lopettaneet 2013-&gt;'!$K:$K,MATCH($D949,'Lopettaneet 2013-&gt;'!$D:$D,0)),"Continues")</f>
        <v>Continues</v>
      </c>
      <c r="K949" s="30">
        <f ca="1">IF($J949="Continues",DATEDIF($B949,TODAY(),"Y"),INDEX('Lopettaneet 2013-&gt;'!$L:$L,MATCH($D949,'Lopettaneet 2013-&gt;'!$D:$D,0)))</f>
        <v>3</v>
      </c>
      <c r="L949" s="31" t="str">
        <f>IFERROR(INDEX('[1]30.06.2024'!$H:$H,MATCH($E949,'[1]30.06.2024'!$B:$B,0)),"Not found")</f>
        <v>Not found</v>
      </c>
      <c r="M949" s="31" t="str">
        <f>IFERROR(INDEX([2]Sheet1!$B:$B,MATCH($D949,[2]Sheet1!$A:$A,0)),"Not found")</f>
        <v>Retail</v>
      </c>
      <c r="N949">
        <f t="shared" si="28"/>
        <v>1</v>
      </c>
      <c r="O949">
        <f t="shared" si="29"/>
        <v>0</v>
      </c>
    </row>
    <row r="950" spans="1:15" x14ac:dyDescent="0.25">
      <c r="A950" t="s">
        <v>7</v>
      </c>
      <c r="B950" s="1">
        <v>44531</v>
      </c>
      <c r="C950" s="1">
        <v>55153</v>
      </c>
      <c r="D950" s="4" t="s">
        <v>2087</v>
      </c>
      <c r="E950" s="32" t="s">
        <v>2088</v>
      </c>
      <c r="F950" s="32">
        <v>32339834</v>
      </c>
      <c r="G950" t="s">
        <v>10</v>
      </c>
      <c r="H950" t="s">
        <v>11</v>
      </c>
      <c r="I950" t="s">
        <v>32</v>
      </c>
      <c r="J950" s="30" t="str">
        <f>IF(ISNUMBER(MATCH($D950,'Lopettaneet 2013-&gt;'!$D:$D,0)),INDEX('Lopettaneet 2013-&gt;'!$K:$K,MATCH($D950,'Lopettaneet 2013-&gt;'!$D:$D,0)),"Continues")</f>
        <v>Continues</v>
      </c>
      <c r="K950" s="30">
        <f ca="1">IF($J950="Continues",DATEDIF($B950,TODAY(),"Y"),INDEX('Lopettaneet 2013-&gt;'!$L:$L,MATCH($D950,'Lopettaneet 2013-&gt;'!$D:$D,0)))</f>
        <v>3</v>
      </c>
      <c r="L950" s="31" t="str">
        <f>IFERROR(INDEX('[1]30.06.2024'!$H:$H,MATCH($E950,'[1]30.06.2024'!$B:$B,0)),"Not found")</f>
        <v>Not found</v>
      </c>
      <c r="M950" s="31" t="str">
        <f>IFERROR(INDEX([2]Sheet1!$B:$B,MATCH($D950,[2]Sheet1!$A:$A,0)),"Not found")</f>
        <v>Retail</v>
      </c>
      <c r="N950">
        <f t="shared" si="28"/>
        <v>1</v>
      </c>
      <c r="O950">
        <f t="shared" si="29"/>
        <v>0</v>
      </c>
    </row>
    <row r="951" spans="1:15" x14ac:dyDescent="0.25">
      <c r="A951" t="s">
        <v>7</v>
      </c>
      <c r="B951" s="1">
        <v>44531</v>
      </c>
      <c r="C951" s="1">
        <v>55153</v>
      </c>
      <c r="D951" s="4" t="s">
        <v>2089</v>
      </c>
      <c r="E951" s="32" t="s">
        <v>2090</v>
      </c>
      <c r="F951" s="32">
        <v>32339842</v>
      </c>
      <c r="G951" t="s">
        <v>10</v>
      </c>
      <c r="H951" t="s">
        <v>11</v>
      </c>
      <c r="I951" t="s">
        <v>32</v>
      </c>
      <c r="J951" s="30" t="str">
        <f>IF(ISNUMBER(MATCH($D951,'Lopettaneet 2013-&gt;'!$D:$D,0)),INDEX('Lopettaneet 2013-&gt;'!$K:$K,MATCH($D951,'Lopettaneet 2013-&gt;'!$D:$D,0)),"Continues")</f>
        <v>Continues</v>
      </c>
      <c r="K951" s="30">
        <f ca="1">IF($J951="Continues",DATEDIF($B951,TODAY(),"Y"),INDEX('Lopettaneet 2013-&gt;'!$L:$L,MATCH($D951,'Lopettaneet 2013-&gt;'!$D:$D,0)))</f>
        <v>3</v>
      </c>
      <c r="L951" s="31" t="str">
        <f>IFERROR(INDEX('[1]30.06.2024'!$H:$H,MATCH($E951,'[1]30.06.2024'!$B:$B,0)),"Not found")</f>
        <v>Not found</v>
      </c>
      <c r="M951" s="31" t="str">
        <f>IFERROR(INDEX([2]Sheet1!$B:$B,MATCH($D951,[2]Sheet1!$A:$A,0)),"Not found")</f>
        <v>Retail</v>
      </c>
      <c r="N951">
        <f t="shared" si="28"/>
        <v>1</v>
      </c>
      <c r="O951">
        <f t="shared" si="29"/>
        <v>0</v>
      </c>
    </row>
    <row r="952" spans="1:15" x14ac:dyDescent="0.25">
      <c r="A952" t="s">
        <v>7</v>
      </c>
      <c r="B952" s="1">
        <v>44621</v>
      </c>
      <c r="C952" s="1">
        <v>55153</v>
      </c>
      <c r="D952" s="4" t="s">
        <v>2091</v>
      </c>
      <c r="E952" s="32" t="s">
        <v>2092</v>
      </c>
      <c r="F952" s="32">
        <v>29208585</v>
      </c>
      <c r="G952" t="s">
        <v>10</v>
      </c>
      <c r="H952" t="s">
        <v>11</v>
      </c>
      <c r="I952" t="s">
        <v>29</v>
      </c>
      <c r="J952" s="30" t="str">
        <f>IF(ISNUMBER(MATCH($D952,'Lopettaneet 2013-&gt;'!$D:$D,0)),INDEX('Lopettaneet 2013-&gt;'!$K:$K,MATCH($D952,'Lopettaneet 2013-&gt;'!$D:$D,0)),"Continues")</f>
        <v>Continues</v>
      </c>
      <c r="K952" s="30">
        <f ca="1">IF($J952="Continues",DATEDIF($B952,TODAY(),"Y"),INDEX('Lopettaneet 2013-&gt;'!$L:$L,MATCH($D952,'Lopettaneet 2013-&gt;'!$D:$D,0)))</f>
        <v>3</v>
      </c>
      <c r="L952" s="31" t="str">
        <f>IFERROR(INDEX('[1]30.06.2024'!$H:$H,MATCH($E952,'[1]30.06.2024'!$B:$B,0)),"Not found")</f>
        <v>Robin Capital Management Oy</v>
      </c>
      <c r="M952" s="31" t="str">
        <f>IFERROR(INDEX([2]Sheet1!$B:$B,MATCH($D952,[2]Sheet1!$A:$A,0)),"Not found")</f>
        <v>Non-Retail</v>
      </c>
      <c r="N952">
        <f t="shared" si="28"/>
        <v>0</v>
      </c>
      <c r="O952">
        <f t="shared" si="29"/>
        <v>1</v>
      </c>
    </row>
    <row r="953" spans="1:15" x14ac:dyDescent="0.25">
      <c r="A953" t="s">
        <v>7</v>
      </c>
      <c r="B953" s="1">
        <v>44713</v>
      </c>
      <c r="C953" s="1">
        <v>55153</v>
      </c>
      <c r="D953" s="4" t="s">
        <v>2093</v>
      </c>
      <c r="E953" s="32" t="s">
        <v>2094</v>
      </c>
      <c r="F953" s="32">
        <v>32209028</v>
      </c>
      <c r="G953" t="s">
        <v>10</v>
      </c>
      <c r="H953" t="s">
        <v>11</v>
      </c>
      <c r="I953" t="s">
        <v>12</v>
      </c>
      <c r="J953" s="30" t="str">
        <f>IF(ISNUMBER(MATCH($D953,'Lopettaneet 2013-&gt;'!$D:$D,0)),INDEX('Lopettaneet 2013-&gt;'!$K:$K,MATCH($D953,'Lopettaneet 2013-&gt;'!$D:$D,0)),"Continues")</f>
        <v>Continues</v>
      </c>
      <c r="K953" s="30">
        <f ca="1">IF($J953="Continues",DATEDIF($B953,TODAY(),"Y"),INDEX('Lopettaneet 2013-&gt;'!$L:$L,MATCH($D953,'Lopettaneet 2013-&gt;'!$D:$D,0)))</f>
        <v>2</v>
      </c>
      <c r="L953" s="31" t="str">
        <f>IFERROR(INDEX('[1]30.06.2024'!$H:$H,MATCH($E953,'[1]30.06.2024'!$B:$B,0)),"Not found")</f>
        <v>Virta Equity Oy</v>
      </c>
      <c r="M953" s="31" t="str">
        <f>IFERROR(INDEX([2]Sheet1!$B:$B,MATCH($D953,[2]Sheet1!$A:$A,0)),"Not found")</f>
        <v>Retail</v>
      </c>
      <c r="N953">
        <f t="shared" si="28"/>
        <v>1</v>
      </c>
      <c r="O953">
        <f t="shared" si="29"/>
        <v>0</v>
      </c>
    </row>
    <row r="954" spans="1:15" x14ac:dyDescent="0.25">
      <c r="A954" t="s">
        <v>7</v>
      </c>
      <c r="B954" s="1">
        <v>44531</v>
      </c>
      <c r="C954" s="1">
        <v>55153</v>
      </c>
      <c r="D954" s="4" t="s">
        <v>2095</v>
      </c>
      <c r="E954" s="32" t="s">
        <v>2096</v>
      </c>
      <c r="F954" s="32">
        <v>32285311</v>
      </c>
      <c r="G954" t="s">
        <v>10</v>
      </c>
      <c r="H954" t="s">
        <v>11</v>
      </c>
      <c r="I954" t="s">
        <v>80</v>
      </c>
      <c r="J954" s="30" t="str">
        <f>IF(ISNUMBER(MATCH($D954,'Lopettaneet 2013-&gt;'!$D:$D,0)),INDEX('Lopettaneet 2013-&gt;'!$K:$K,MATCH($D954,'Lopettaneet 2013-&gt;'!$D:$D,0)),"Continues")</f>
        <v>Continues</v>
      </c>
      <c r="K954" s="30">
        <f ca="1">IF($J954="Continues",DATEDIF($B954,TODAY(),"Y"),INDEX('Lopettaneet 2013-&gt;'!$L:$L,MATCH($D954,'Lopettaneet 2013-&gt;'!$D:$D,0)))</f>
        <v>3</v>
      </c>
      <c r="L954" s="31" t="str">
        <f>IFERROR(INDEX('[1]30.06.2024'!$H:$H,MATCH($E954,'[1]30.06.2024'!$B:$B,0)),"Not found")</f>
        <v>Butterfly Ventures Oy</v>
      </c>
      <c r="M954" s="31" t="str">
        <f>IFERROR(INDEX([2]Sheet1!$B:$B,MATCH($D954,[2]Sheet1!$A:$A,0)),"Not found")</f>
        <v>Retail</v>
      </c>
      <c r="N954">
        <f t="shared" si="28"/>
        <v>1</v>
      </c>
      <c r="O954">
        <f t="shared" si="29"/>
        <v>0</v>
      </c>
    </row>
    <row r="955" spans="1:15" x14ac:dyDescent="0.25">
      <c r="A955" t="s">
        <v>0</v>
      </c>
      <c r="B955" s="1">
        <v>44501</v>
      </c>
      <c r="C955" s="1">
        <v>55153</v>
      </c>
      <c r="D955" s="4" t="s">
        <v>2097</v>
      </c>
      <c r="E955" s="32" t="s">
        <v>2098</v>
      </c>
      <c r="F955" s="32">
        <v>32445098</v>
      </c>
      <c r="G955" t="s">
        <v>10</v>
      </c>
      <c r="H955" t="s">
        <v>4</v>
      </c>
      <c r="I955" t="s">
        <v>20</v>
      </c>
      <c r="J955" s="30" t="str">
        <f>IF(ISNUMBER(MATCH($D955,'Lopettaneet 2013-&gt;'!$D:$D,0)),INDEX('Lopettaneet 2013-&gt;'!$K:$K,MATCH($D955,'Lopettaneet 2013-&gt;'!$D:$D,0)),"Continues")</f>
        <v>Continues</v>
      </c>
      <c r="K955" s="30">
        <f ca="1">IF($J955="Continues",DATEDIF($B955,TODAY(),"Y"),INDEX('Lopettaneet 2013-&gt;'!$L:$L,MATCH($D955,'Lopettaneet 2013-&gt;'!$D:$D,0)))</f>
        <v>3</v>
      </c>
      <c r="L955" s="31" t="str">
        <f>IFERROR(INDEX('[1]30.06.2024'!$H:$H,MATCH($E955,'[1]30.06.2024'!$B:$B,0)),"Not found")</f>
        <v>Alexandria Rahastoyhtiö Oy</v>
      </c>
      <c r="M955" s="31" t="str">
        <f>IFERROR(INDEX([2]Sheet1!$B:$B,MATCH($D955,[2]Sheet1!$A:$A,0)),"Not found")</f>
        <v>Retail</v>
      </c>
      <c r="N955">
        <f t="shared" si="28"/>
        <v>1</v>
      </c>
      <c r="O955">
        <f t="shared" si="29"/>
        <v>0</v>
      </c>
    </row>
    <row r="956" spans="1:15" x14ac:dyDescent="0.25">
      <c r="A956" t="s">
        <v>0</v>
      </c>
      <c r="B956" s="1">
        <v>44562</v>
      </c>
      <c r="C956" s="1">
        <v>55153</v>
      </c>
      <c r="D956" s="4" t="s">
        <v>2099</v>
      </c>
      <c r="E956" s="32" t="s">
        <v>2100</v>
      </c>
      <c r="F956" s="32">
        <v>32226848</v>
      </c>
      <c r="G956" t="s">
        <v>3</v>
      </c>
      <c r="H956" t="s">
        <v>4</v>
      </c>
      <c r="I956" t="s">
        <v>20</v>
      </c>
      <c r="J956" s="30" t="str">
        <f>IF(ISNUMBER(MATCH($D956,'Lopettaneet 2013-&gt;'!$D:$D,0)),INDEX('Lopettaneet 2013-&gt;'!$K:$K,MATCH($D956,'Lopettaneet 2013-&gt;'!$D:$D,0)),"Continues")</f>
        <v>Continues</v>
      </c>
      <c r="K956" s="30">
        <f ca="1">IF($J956="Continues",DATEDIF($B956,TODAY(),"Y"),INDEX('Lopettaneet 2013-&gt;'!$L:$L,MATCH($D956,'Lopettaneet 2013-&gt;'!$D:$D,0)))</f>
        <v>3</v>
      </c>
      <c r="L956" s="31" t="str">
        <f>IFERROR(INDEX('[1]30.06.2024'!$H:$H,MATCH($E956,'[1]30.06.2024'!$B:$B,0)),"Not found")</f>
        <v>Nordea Funds Oy</v>
      </c>
      <c r="M956" s="31" t="str">
        <f>IFERROR(INDEX([2]Sheet1!$B:$B,MATCH($D956,[2]Sheet1!$A:$A,0)),"Not found")</f>
        <v>Retail</v>
      </c>
      <c r="N956">
        <f t="shared" si="28"/>
        <v>1</v>
      </c>
      <c r="O956">
        <f t="shared" si="29"/>
        <v>0</v>
      </c>
    </row>
    <row r="957" spans="1:15" x14ac:dyDescent="0.25">
      <c r="A957" t="s">
        <v>0</v>
      </c>
      <c r="B957" s="1">
        <v>44562</v>
      </c>
      <c r="C957" s="1">
        <v>55153</v>
      </c>
      <c r="D957" s="4" t="s">
        <v>2101</v>
      </c>
      <c r="E957" s="32" t="s">
        <v>2102</v>
      </c>
      <c r="F957" s="32">
        <v>32226821</v>
      </c>
      <c r="G957" t="s">
        <v>3</v>
      </c>
      <c r="H957" t="s">
        <v>4</v>
      </c>
      <c r="I957" t="s">
        <v>5</v>
      </c>
      <c r="J957" s="30" t="str">
        <f>IF(ISNUMBER(MATCH($D957,'Lopettaneet 2013-&gt;'!$D:$D,0)),INDEX('Lopettaneet 2013-&gt;'!$K:$K,MATCH($D957,'Lopettaneet 2013-&gt;'!$D:$D,0)),"Continues")</f>
        <v>Continues</v>
      </c>
      <c r="K957" s="30">
        <f ca="1">IF($J957="Continues",DATEDIF($B957,TODAY(),"Y"),INDEX('Lopettaneet 2013-&gt;'!$L:$L,MATCH($D957,'Lopettaneet 2013-&gt;'!$D:$D,0)))</f>
        <v>3</v>
      </c>
      <c r="L957" s="31" t="str">
        <f>IFERROR(INDEX('[1]30.06.2024'!$H:$H,MATCH($E957,'[1]30.06.2024'!$B:$B,0)),"Not found")</f>
        <v>Nordea Funds Oy</v>
      </c>
      <c r="M957" s="31" t="str">
        <f>IFERROR(INDEX([2]Sheet1!$B:$B,MATCH($D957,[2]Sheet1!$A:$A,0)),"Not found")</f>
        <v>Retail</v>
      </c>
      <c r="N957">
        <f t="shared" si="28"/>
        <v>1</v>
      </c>
      <c r="O957">
        <f t="shared" si="29"/>
        <v>0</v>
      </c>
    </row>
    <row r="958" spans="1:15" x14ac:dyDescent="0.25">
      <c r="A958" t="s">
        <v>0</v>
      </c>
      <c r="B958" s="1">
        <v>44562</v>
      </c>
      <c r="C958" s="1">
        <v>55153</v>
      </c>
      <c r="D958" s="4" t="s">
        <v>2103</v>
      </c>
      <c r="E958" s="32" t="s">
        <v>2104</v>
      </c>
      <c r="F958" s="32">
        <v>32226856</v>
      </c>
      <c r="G958" t="s">
        <v>3</v>
      </c>
      <c r="H958" t="s">
        <v>4</v>
      </c>
      <c r="I958" t="s">
        <v>5</v>
      </c>
      <c r="J958" s="30" t="str">
        <f>IF(ISNUMBER(MATCH($D958,'Lopettaneet 2013-&gt;'!$D:$D,0)),INDEX('Lopettaneet 2013-&gt;'!$K:$K,MATCH($D958,'Lopettaneet 2013-&gt;'!$D:$D,0)),"Continues")</f>
        <v>Continues</v>
      </c>
      <c r="K958" s="30">
        <f ca="1">IF($J958="Continues",DATEDIF($B958,TODAY(),"Y"),INDEX('Lopettaneet 2013-&gt;'!$L:$L,MATCH($D958,'Lopettaneet 2013-&gt;'!$D:$D,0)))</f>
        <v>3</v>
      </c>
      <c r="L958" s="31" t="str">
        <f>IFERROR(INDEX('[1]30.06.2024'!$H:$H,MATCH($E958,'[1]30.06.2024'!$B:$B,0)),"Not found")</f>
        <v>Nordea Funds Oy</v>
      </c>
      <c r="M958" s="31" t="str">
        <f>IFERROR(INDEX([2]Sheet1!$B:$B,MATCH($D958,[2]Sheet1!$A:$A,0)),"Not found")</f>
        <v>Retail</v>
      </c>
      <c r="N958">
        <f t="shared" si="28"/>
        <v>1</v>
      </c>
      <c r="O958">
        <f t="shared" si="29"/>
        <v>0</v>
      </c>
    </row>
    <row r="959" spans="1:15" x14ac:dyDescent="0.25">
      <c r="A959" t="s">
        <v>0</v>
      </c>
      <c r="B959" s="1">
        <v>44531</v>
      </c>
      <c r="C959" s="1">
        <v>55153</v>
      </c>
      <c r="D959" s="4" t="s">
        <v>2105</v>
      </c>
      <c r="E959" s="32" t="s">
        <v>2106</v>
      </c>
      <c r="F959" s="32">
        <v>32402282</v>
      </c>
      <c r="G959" t="s">
        <v>3</v>
      </c>
      <c r="H959" t="s">
        <v>4</v>
      </c>
      <c r="I959" t="s">
        <v>50</v>
      </c>
      <c r="J959" s="30" t="str">
        <f>IF(ISNUMBER(MATCH($D959,'Lopettaneet 2013-&gt;'!$D:$D,0)),INDEX('Lopettaneet 2013-&gt;'!$K:$K,MATCH($D959,'Lopettaneet 2013-&gt;'!$D:$D,0)),"Continues")</f>
        <v>Continues</v>
      </c>
      <c r="K959" s="30">
        <f ca="1">IF($J959="Continues",DATEDIF($B959,TODAY(),"Y"),INDEX('Lopettaneet 2013-&gt;'!$L:$L,MATCH($D959,'Lopettaneet 2013-&gt;'!$D:$D,0)))</f>
        <v>3</v>
      </c>
      <c r="L959" s="31" t="str">
        <f>IFERROR(INDEX('[1]30.06.2024'!$H:$H,MATCH($E959,'[1]30.06.2024'!$B:$B,0)),"Not found")</f>
        <v>Nordea Funds Oy</v>
      </c>
      <c r="M959" s="31" t="str">
        <f>IFERROR(INDEX([2]Sheet1!$B:$B,MATCH($D959,[2]Sheet1!$A:$A,0)),"Not found")</f>
        <v>Retail</v>
      </c>
      <c r="N959">
        <f t="shared" si="28"/>
        <v>1</v>
      </c>
      <c r="O959">
        <f t="shared" si="29"/>
        <v>0</v>
      </c>
    </row>
    <row r="960" spans="1:15" x14ac:dyDescent="0.25">
      <c r="A960" t="s">
        <v>7</v>
      </c>
      <c r="B960" s="1">
        <v>44713</v>
      </c>
      <c r="C960" s="1">
        <v>55153</v>
      </c>
      <c r="D960" s="4" t="s">
        <v>2107</v>
      </c>
      <c r="E960" s="32" t="s">
        <v>2108</v>
      </c>
      <c r="F960" s="32">
        <v>32442508</v>
      </c>
      <c r="G960" t="s">
        <v>10</v>
      </c>
      <c r="H960" t="s">
        <v>11</v>
      </c>
      <c r="I960" t="s">
        <v>80</v>
      </c>
      <c r="J960" s="30" t="str">
        <f>IF(ISNUMBER(MATCH($D960,'Lopettaneet 2013-&gt;'!$D:$D,0)),INDEX('Lopettaneet 2013-&gt;'!$K:$K,MATCH($D960,'Lopettaneet 2013-&gt;'!$D:$D,0)),"Continues")</f>
        <v>Continues</v>
      </c>
      <c r="K960" s="30">
        <f ca="1">IF($J960="Continues",DATEDIF($B960,TODAY(),"Y"),INDEX('Lopettaneet 2013-&gt;'!$L:$L,MATCH($D960,'Lopettaneet 2013-&gt;'!$D:$D,0)))</f>
        <v>2</v>
      </c>
      <c r="L960" s="31" t="str">
        <f>IFERROR(INDEX('[1]30.06.2024'!$H:$H,MATCH($E960,'[1]30.06.2024'!$B:$B,0)),"Not found")</f>
        <v>eQ Rahastoyhtiö Oy</v>
      </c>
      <c r="M960" s="31" t="str">
        <f>IFERROR(INDEX([2]Sheet1!$B:$B,MATCH($D960,[2]Sheet1!$A:$A,0)),"Not found")</f>
        <v>Non-Retail</v>
      </c>
      <c r="N960">
        <f t="shared" si="28"/>
        <v>0</v>
      </c>
      <c r="O960">
        <f t="shared" si="29"/>
        <v>1</v>
      </c>
    </row>
    <row r="961" spans="1:15" x14ac:dyDescent="0.25">
      <c r="A961" t="s">
        <v>0</v>
      </c>
      <c r="B961" s="1">
        <v>44713</v>
      </c>
      <c r="C961" s="1">
        <v>55153</v>
      </c>
      <c r="D961" s="4" t="s">
        <v>2109</v>
      </c>
      <c r="E961" s="32" t="s">
        <v>2110</v>
      </c>
      <c r="F961" s="32">
        <v>32471341</v>
      </c>
      <c r="G961" t="s">
        <v>10</v>
      </c>
      <c r="H961" t="s">
        <v>11</v>
      </c>
      <c r="I961" t="s">
        <v>20</v>
      </c>
      <c r="J961" s="30" t="str">
        <f>IF(ISNUMBER(MATCH($D961,'Lopettaneet 2013-&gt;'!$D:$D,0)),INDEX('Lopettaneet 2013-&gt;'!$K:$K,MATCH($D961,'Lopettaneet 2013-&gt;'!$D:$D,0)),"Continues")</f>
        <v>Continues</v>
      </c>
      <c r="K961" s="30">
        <f ca="1">IF($J961="Continues",DATEDIF($B961,TODAY(),"Y"),INDEX('Lopettaneet 2013-&gt;'!$L:$L,MATCH($D961,'Lopettaneet 2013-&gt;'!$D:$D,0)))</f>
        <v>2</v>
      </c>
      <c r="L961" s="31" t="str">
        <f>IFERROR(INDEX('[1]30.06.2024'!$H:$H,MATCH($E961,'[1]30.06.2024'!$B:$B,0)),"Not found")</f>
        <v>eQ Rahastoyhtiö Oy</v>
      </c>
      <c r="M961" s="31" t="str">
        <f>IFERROR(INDEX([2]Sheet1!$B:$B,MATCH($D961,[2]Sheet1!$A:$A,0)),"Not found")</f>
        <v>Non-Retail</v>
      </c>
      <c r="N961">
        <f t="shared" si="28"/>
        <v>0</v>
      </c>
      <c r="O961">
        <f t="shared" si="29"/>
        <v>1</v>
      </c>
    </row>
    <row r="962" spans="1:15" x14ac:dyDescent="0.25">
      <c r="A962" t="s">
        <v>7</v>
      </c>
      <c r="B962" s="1">
        <v>44621</v>
      </c>
      <c r="C962" s="1">
        <v>55153</v>
      </c>
      <c r="D962" s="4" t="s">
        <v>2111</v>
      </c>
      <c r="E962" s="32" t="s">
        <v>2112</v>
      </c>
      <c r="F962" s="32">
        <v>32366509</v>
      </c>
      <c r="G962" t="s">
        <v>10</v>
      </c>
      <c r="H962" t="s">
        <v>11</v>
      </c>
      <c r="I962" t="s">
        <v>12</v>
      </c>
      <c r="J962" s="30" t="str">
        <f>IF(ISNUMBER(MATCH($D962,'Lopettaneet 2013-&gt;'!$D:$D,0)),INDEX('Lopettaneet 2013-&gt;'!$K:$K,MATCH($D962,'Lopettaneet 2013-&gt;'!$D:$D,0)),"Continues")</f>
        <v>Continues</v>
      </c>
      <c r="K962" s="30">
        <f ca="1">IF($J962="Continues",DATEDIF($B962,TODAY(),"Y"),INDEX('Lopettaneet 2013-&gt;'!$L:$L,MATCH($D962,'Lopettaneet 2013-&gt;'!$D:$D,0)))</f>
        <v>3</v>
      </c>
      <c r="L962" s="31" t="str">
        <f>IFERROR(INDEX('[1]30.06.2024'!$H:$H,MATCH($E962,'[1]30.06.2024'!$B:$B,0)),"Not found")</f>
        <v>UB Rahastoyhtiö Oy</v>
      </c>
      <c r="M962" s="31" t="str">
        <f>IFERROR(INDEX([2]Sheet1!$B:$B,MATCH($D962,[2]Sheet1!$A:$A,0)),"Not found")</f>
        <v>Non-Retail</v>
      </c>
      <c r="N962">
        <f t="shared" si="28"/>
        <v>0</v>
      </c>
      <c r="O962">
        <f t="shared" si="29"/>
        <v>1</v>
      </c>
    </row>
    <row r="963" spans="1:15" x14ac:dyDescent="0.25">
      <c r="A963" t="s">
        <v>7</v>
      </c>
      <c r="B963" s="1">
        <v>44621</v>
      </c>
      <c r="C963" s="1">
        <v>55153</v>
      </c>
      <c r="D963" s="4" t="s">
        <v>2113</v>
      </c>
      <c r="E963" s="32" t="s">
        <v>2114</v>
      </c>
      <c r="F963" s="32">
        <v>32459289</v>
      </c>
      <c r="G963" t="s">
        <v>10</v>
      </c>
      <c r="H963" t="s">
        <v>11</v>
      </c>
      <c r="I963" t="s">
        <v>32</v>
      </c>
      <c r="J963" s="30" t="str">
        <f>IF(ISNUMBER(MATCH($D963,'Lopettaneet 2013-&gt;'!$D:$D,0)),INDEX('Lopettaneet 2013-&gt;'!$K:$K,MATCH($D963,'Lopettaneet 2013-&gt;'!$D:$D,0)),"Continues")</f>
        <v>Continues</v>
      </c>
      <c r="K963" s="30">
        <f ca="1">IF($J963="Continues",DATEDIF($B963,TODAY(),"Y"),INDEX('Lopettaneet 2013-&gt;'!$L:$L,MATCH($D963,'Lopettaneet 2013-&gt;'!$D:$D,0)))</f>
        <v>3</v>
      </c>
      <c r="L963" s="31" t="str">
        <f>IFERROR(INDEX('[1]30.06.2024'!$H:$H,MATCH($E963,'[1]30.06.2024'!$B:$B,0)),"Not found")</f>
        <v>Evli-Rahastoyhtiö Oy</v>
      </c>
      <c r="M963" s="31" t="str">
        <f>IFERROR(INDEX([2]Sheet1!$B:$B,MATCH($D963,[2]Sheet1!$A:$A,0)),"Not found")</f>
        <v>Retail</v>
      </c>
      <c r="N963">
        <f t="shared" ref="N963:N1026" si="30">IF($M963="Retail",1,0)</f>
        <v>1</v>
      </c>
      <c r="O963">
        <f t="shared" ref="O963:O1026" si="31">IF($M963="Non-Retail",1,0)</f>
        <v>0</v>
      </c>
    </row>
    <row r="964" spans="1:15" x14ac:dyDescent="0.25">
      <c r="A964" t="s">
        <v>7</v>
      </c>
      <c r="B964" s="1">
        <v>44621</v>
      </c>
      <c r="C964" s="1">
        <v>55153</v>
      </c>
      <c r="D964" s="4" t="s">
        <v>2115</v>
      </c>
      <c r="E964" s="32" t="s">
        <v>2116</v>
      </c>
      <c r="F964" s="32">
        <v>32459246</v>
      </c>
      <c r="G964" t="s">
        <v>10</v>
      </c>
      <c r="H964" t="s">
        <v>11</v>
      </c>
      <c r="I964" t="s">
        <v>32</v>
      </c>
      <c r="J964" s="30" t="str">
        <f>IF(ISNUMBER(MATCH($D964,'Lopettaneet 2013-&gt;'!$D:$D,0)),INDEX('Lopettaneet 2013-&gt;'!$K:$K,MATCH($D964,'Lopettaneet 2013-&gt;'!$D:$D,0)),"Continues")</f>
        <v>Continues</v>
      </c>
      <c r="K964" s="30">
        <f ca="1">IF($J964="Continues",DATEDIF($B964,TODAY(),"Y"),INDEX('Lopettaneet 2013-&gt;'!$L:$L,MATCH($D964,'Lopettaneet 2013-&gt;'!$D:$D,0)))</f>
        <v>3</v>
      </c>
      <c r="L964" s="31" t="str">
        <f>IFERROR(INDEX('[1]30.06.2024'!$H:$H,MATCH($E964,'[1]30.06.2024'!$B:$B,0)),"Not found")</f>
        <v>Evli-Rahastoyhtiö Oy</v>
      </c>
      <c r="M964" s="31" t="str">
        <f>IFERROR(INDEX([2]Sheet1!$B:$B,MATCH($D964,[2]Sheet1!$A:$A,0)),"Not found")</f>
        <v>Retail</v>
      </c>
      <c r="N964">
        <f t="shared" si="30"/>
        <v>1</v>
      </c>
      <c r="O964">
        <f t="shared" si="31"/>
        <v>0</v>
      </c>
    </row>
    <row r="965" spans="1:15" x14ac:dyDescent="0.25">
      <c r="A965" t="s">
        <v>7</v>
      </c>
      <c r="B965" s="1">
        <v>44621</v>
      </c>
      <c r="C965" s="1">
        <v>55153</v>
      </c>
      <c r="D965" s="4" t="s">
        <v>2117</v>
      </c>
      <c r="E965" s="32" t="s">
        <v>2118</v>
      </c>
      <c r="F965" s="32">
        <v>32485858</v>
      </c>
      <c r="G965" t="s">
        <v>10</v>
      </c>
      <c r="H965" t="s">
        <v>11</v>
      </c>
      <c r="I965" t="s">
        <v>12</v>
      </c>
      <c r="J965" s="30" t="str">
        <f>IF(ISNUMBER(MATCH($D965,'Lopettaneet 2013-&gt;'!$D:$D,0)),INDEX('Lopettaneet 2013-&gt;'!$K:$K,MATCH($D965,'Lopettaneet 2013-&gt;'!$D:$D,0)),"Continues")</f>
        <v>Continues</v>
      </c>
      <c r="K965" s="30">
        <f ca="1">IF($J965="Continues",DATEDIF($B965,TODAY(),"Y"),INDEX('Lopettaneet 2013-&gt;'!$L:$L,MATCH($D965,'Lopettaneet 2013-&gt;'!$D:$D,0)))</f>
        <v>3</v>
      </c>
      <c r="L965" s="31" t="str">
        <f>IFERROR(INDEX('[1]30.06.2024'!$H:$H,MATCH($E965,'[1]30.06.2024'!$B:$B,0)),"Not found")</f>
        <v>Evli-Rahastoyhtiö Oy</v>
      </c>
      <c r="M965" s="31" t="str">
        <f>IFERROR(INDEX([2]Sheet1!$B:$B,MATCH($D965,[2]Sheet1!$A:$A,0)),"Not found")</f>
        <v>Retail</v>
      </c>
      <c r="N965">
        <f t="shared" si="30"/>
        <v>1</v>
      </c>
      <c r="O965">
        <f t="shared" si="31"/>
        <v>0</v>
      </c>
    </row>
    <row r="966" spans="1:15" x14ac:dyDescent="0.25">
      <c r="A966" t="s">
        <v>7</v>
      </c>
      <c r="B966" s="1">
        <v>44621</v>
      </c>
      <c r="C966" s="1">
        <v>55153</v>
      </c>
      <c r="D966" s="4" t="s">
        <v>2119</v>
      </c>
      <c r="E966" s="32" t="s">
        <v>2120</v>
      </c>
      <c r="F966" s="32">
        <v>32485874</v>
      </c>
      <c r="G966" t="s">
        <v>10</v>
      </c>
      <c r="H966" t="s">
        <v>11</v>
      </c>
      <c r="I966" t="s">
        <v>12</v>
      </c>
      <c r="J966" s="30" t="str">
        <f>IF(ISNUMBER(MATCH($D966,'Lopettaneet 2013-&gt;'!$D:$D,0)),INDEX('Lopettaneet 2013-&gt;'!$K:$K,MATCH($D966,'Lopettaneet 2013-&gt;'!$D:$D,0)),"Continues")</f>
        <v>Continues</v>
      </c>
      <c r="K966" s="30">
        <f ca="1">IF($J966="Continues",DATEDIF($B966,TODAY(),"Y"),INDEX('Lopettaneet 2013-&gt;'!$L:$L,MATCH($D966,'Lopettaneet 2013-&gt;'!$D:$D,0)))</f>
        <v>3</v>
      </c>
      <c r="L966" s="31" t="str">
        <f>IFERROR(INDEX('[1]30.06.2024'!$H:$H,MATCH($E966,'[1]30.06.2024'!$B:$B,0)),"Not found")</f>
        <v>Evli-Rahastoyhtiö Oy</v>
      </c>
      <c r="M966" s="31" t="str">
        <f>IFERROR(INDEX([2]Sheet1!$B:$B,MATCH($D966,[2]Sheet1!$A:$A,0)),"Not found")</f>
        <v>Retail</v>
      </c>
      <c r="N966">
        <f t="shared" si="30"/>
        <v>1</v>
      </c>
      <c r="O966">
        <f t="shared" si="31"/>
        <v>0</v>
      </c>
    </row>
    <row r="967" spans="1:15" x14ac:dyDescent="0.25">
      <c r="A967" t="s">
        <v>7</v>
      </c>
      <c r="B967" s="1">
        <v>44713</v>
      </c>
      <c r="C967" s="1">
        <v>55153</v>
      </c>
      <c r="D967" s="4" t="s">
        <v>2121</v>
      </c>
      <c r="E967" s="32" t="s">
        <v>2122</v>
      </c>
      <c r="F967" s="32">
        <v>32555158</v>
      </c>
      <c r="G967" t="s">
        <v>10</v>
      </c>
      <c r="H967" t="s">
        <v>11</v>
      </c>
      <c r="I967" t="s">
        <v>12</v>
      </c>
      <c r="J967" s="30" t="str">
        <f>IF(ISNUMBER(MATCH($D967,'Lopettaneet 2013-&gt;'!$D:$D,0)),INDEX('Lopettaneet 2013-&gt;'!$K:$K,MATCH($D967,'Lopettaneet 2013-&gt;'!$D:$D,0)),"Continues")</f>
        <v>Continues</v>
      </c>
      <c r="K967" s="30">
        <f ca="1">IF($J967="Continues",DATEDIF($B967,TODAY(),"Y"),INDEX('Lopettaneet 2013-&gt;'!$L:$L,MATCH($D967,'Lopettaneet 2013-&gt;'!$D:$D,0)))</f>
        <v>2</v>
      </c>
      <c r="L967" s="31" t="str">
        <f>IFERROR(INDEX('[1]30.06.2024'!$H:$H,MATCH($E967,'[1]30.06.2024'!$B:$B,0)),"Not found")</f>
        <v>Vaaka Partners Oy</v>
      </c>
      <c r="M967" s="31" t="str">
        <f>IFERROR(INDEX([2]Sheet1!$B:$B,MATCH($D967,[2]Sheet1!$A:$A,0)),"Not found")</f>
        <v>Retail</v>
      </c>
      <c r="N967">
        <f t="shared" si="30"/>
        <v>1</v>
      </c>
      <c r="O967">
        <f t="shared" si="31"/>
        <v>0</v>
      </c>
    </row>
    <row r="968" spans="1:15" x14ac:dyDescent="0.25">
      <c r="A968" t="s">
        <v>7</v>
      </c>
      <c r="B968" s="1">
        <v>44713</v>
      </c>
      <c r="C968" s="1">
        <v>55153</v>
      </c>
      <c r="D968" s="4" t="s">
        <v>2123</v>
      </c>
      <c r="E968" s="32" t="s">
        <v>2124</v>
      </c>
      <c r="F968" s="32">
        <v>32555123</v>
      </c>
      <c r="G968" t="s">
        <v>10</v>
      </c>
      <c r="H968" t="s">
        <v>11</v>
      </c>
      <c r="I968" t="s">
        <v>12</v>
      </c>
      <c r="J968" s="30" t="str">
        <f>IF(ISNUMBER(MATCH($D968,'Lopettaneet 2013-&gt;'!$D:$D,0)),INDEX('Lopettaneet 2013-&gt;'!$K:$K,MATCH($D968,'Lopettaneet 2013-&gt;'!$D:$D,0)),"Continues")</f>
        <v>Continues</v>
      </c>
      <c r="K968" s="30">
        <f ca="1">IF($J968="Continues",DATEDIF($B968,TODAY(),"Y"),INDEX('Lopettaneet 2013-&gt;'!$L:$L,MATCH($D968,'Lopettaneet 2013-&gt;'!$D:$D,0)))</f>
        <v>2</v>
      </c>
      <c r="L968" s="31" t="str">
        <f>IFERROR(INDEX('[1]30.06.2024'!$H:$H,MATCH($E968,'[1]30.06.2024'!$B:$B,0)),"Not found")</f>
        <v>Vaaka Partners Oy</v>
      </c>
      <c r="M968" s="31" t="str">
        <f>IFERROR(INDEX([2]Sheet1!$B:$B,MATCH($D968,[2]Sheet1!$A:$A,0)),"Not found")</f>
        <v>Retail</v>
      </c>
      <c r="N968">
        <f t="shared" si="30"/>
        <v>1</v>
      </c>
      <c r="O968">
        <f t="shared" si="31"/>
        <v>0</v>
      </c>
    </row>
    <row r="969" spans="1:15" x14ac:dyDescent="0.25">
      <c r="A969" t="s">
        <v>7</v>
      </c>
      <c r="B969" s="1">
        <v>44621</v>
      </c>
      <c r="C969" s="1">
        <v>55153</v>
      </c>
      <c r="D969" s="4" t="s">
        <v>2125</v>
      </c>
      <c r="E969" s="32" t="s">
        <v>2126</v>
      </c>
      <c r="F969" s="32">
        <v>32506495</v>
      </c>
      <c r="G969" t="s">
        <v>10</v>
      </c>
      <c r="H969" t="s">
        <v>11</v>
      </c>
      <c r="I969" t="s">
        <v>12</v>
      </c>
      <c r="J969" s="30" t="str">
        <f>IF(ISNUMBER(MATCH($D969,'Lopettaneet 2013-&gt;'!$D:$D,0)),INDEX('Lopettaneet 2013-&gt;'!$K:$K,MATCH($D969,'Lopettaneet 2013-&gt;'!$D:$D,0)),"Continues")</f>
        <v>Continues</v>
      </c>
      <c r="K969" s="30">
        <f ca="1">IF($J969="Continues",DATEDIF($B969,TODAY(),"Y"),INDEX('Lopettaneet 2013-&gt;'!$L:$L,MATCH($D969,'Lopettaneet 2013-&gt;'!$D:$D,0)))</f>
        <v>3</v>
      </c>
      <c r="L969" s="31" t="str">
        <f>IFERROR(INDEX('[1]30.06.2024'!$H:$H,MATCH($E969,'[1]30.06.2024'!$B:$B,0)),"Not found")</f>
        <v>DevCo Partners Oy</v>
      </c>
      <c r="M969" s="31" t="str">
        <f>IFERROR(INDEX([2]Sheet1!$B:$B,MATCH($D969,[2]Sheet1!$A:$A,0)),"Not found")</f>
        <v>Non-Retail</v>
      </c>
      <c r="N969">
        <f t="shared" si="30"/>
        <v>0</v>
      </c>
      <c r="O969">
        <f t="shared" si="31"/>
        <v>1</v>
      </c>
    </row>
    <row r="970" spans="1:15" x14ac:dyDescent="0.25">
      <c r="A970" t="s">
        <v>7</v>
      </c>
      <c r="B970" s="1">
        <v>44713</v>
      </c>
      <c r="C970" s="1">
        <v>55153</v>
      </c>
      <c r="D970" s="4" t="s">
        <v>2127</v>
      </c>
      <c r="E970" s="32" t="s">
        <v>2128</v>
      </c>
      <c r="F970" s="32">
        <v>32599919</v>
      </c>
      <c r="G970" t="s">
        <v>10</v>
      </c>
      <c r="H970" t="s">
        <v>11</v>
      </c>
      <c r="I970" t="s">
        <v>12</v>
      </c>
      <c r="J970" s="30" t="str">
        <f>IF(ISNUMBER(MATCH($D970,'Lopettaneet 2013-&gt;'!$D:$D,0)),INDEX('Lopettaneet 2013-&gt;'!$K:$K,MATCH($D970,'Lopettaneet 2013-&gt;'!$D:$D,0)),"Continues")</f>
        <v>Continues</v>
      </c>
      <c r="K970" s="30">
        <f ca="1">IF($J970="Continues",DATEDIF($B970,TODAY(),"Y"),INDEX('Lopettaneet 2013-&gt;'!$L:$L,MATCH($D970,'Lopettaneet 2013-&gt;'!$D:$D,0)))</f>
        <v>2</v>
      </c>
      <c r="L970" s="31" t="str">
        <f>IFERROR(INDEX('[1]30.06.2024'!$H:$H,MATCH($E970,'[1]30.06.2024'!$B:$B,0)),"Not found")</f>
        <v>eQ Rahastoyhtiö Oy</v>
      </c>
      <c r="M970" s="31" t="str">
        <f>IFERROR(INDEX([2]Sheet1!$B:$B,MATCH($D970,[2]Sheet1!$A:$A,0)),"Not found")</f>
        <v>Retail</v>
      </c>
      <c r="N970">
        <f t="shared" si="30"/>
        <v>1</v>
      </c>
      <c r="O970">
        <f t="shared" si="31"/>
        <v>0</v>
      </c>
    </row>
    <row r="971" spans="1:15" x14ac:dyDescent="0.25">
      <c r="A971" t="s">
        <v>0</v>
      </c>
      <c r="B971" s="1">
        <v>44713</v>
      </c>
      <c r="C971" s="1">
        <v>55153</v>
      </c>
      <c r="D971" s="4" t="s">
        <v>2129</v>
      </c>
      <c r="E971" s="32" t="s">
        <v>2130</v>
      </c>
      <c r="F971" s="32">
        <v>32572409</v>
      </c>
      <c r="G971" t="s">
        <v>10</v>
      </c>
      <c r="H971" t="s">
        <v>11</v>
      </c>
      <c r="I971" t="s">
        <v>20</v>
      </c>
      <c r="J971" s="30" t="str">
        <f>IF(ISNUMBER(MATCH($D971,'Lopettaneet 2013-&gt;'!$D:$D,0)),INDEX('Lopettaneet 2013-&gt;'!$K:$K,MATCH($D971,'Lopettaneet 2013-&gt;'!$D:$D,0)),"Continues")</f>
        <v>Continues</v>
      </c>
      <c r="K971" s="30">
        <f ca="1">IF($J971="Continues",DATEDIF($B971,TODAY(),"Y"),INDEX('Lopettaneet 2013-&gt;'!$L:$L,MATCH($D971,'Lopettaneet 2013-&gt;'!$D:$D,0)))</f>
        <v>2</v>
      </c>
      <c r="L971" s="31" t="str">
        <f>IFERROR(INDEX('[1]30.06.2024'!$H:$H,MATCH($E971,'[1]30.06.2024'!$B:$B,0)),"Not found")</f>
        <v>eQ Rahastoyhtiö Oy</v>
      </c>
      <c r="M971" s="31" t="str">
        <f>IFERROR(INDEX([2]Sheet1!$B:$B,MATCH($D971,[2]Sheet1!$A:$A,0)),"Not found")</f>
        <v>Non-Retail</v>
      </c>
      <c r="N971">
        <f t="shared" si="30"/>
        <v>0</v>
      </c>
      <c r="O971">
        <f t="shared" si="31"/>
        <v>1</v>
      </c>
    </row>
    <row r="972" spans="1:15" x14ac:dyDescent="0.25">
      <c r="A972" t="s">
        <v>0</v>
      </c>
      <c r="B972" s="1">
        <v>44713</v>
      </c>
      <c r="C972" s="1">
        <v>55153</v>
      </c>
      <c r="D972" s="4" t="s">
        <v>2131</v>
      </c>
      <c r="E972" s="32" t="s">
        <v>2132</v>
      </c>
      <c r="F972" s="32">
        <v>32572337</v>
      </c>
      <c r="G972" t="s">
        <v>10</v>
      </c>
      <c r="H972" t="s">
        <v>11</v>
      </c>
      <c r="I972" t="s">
        <v>20</v>
      </c>
      <c r="J972" s="30" t="str">
        <f>IF(ISNUMBER(MATCH($D972,'Lopettaneet 2013-&gt;'!$D:$D,0)),INDEX('Lopettaneet 2013-&gt;'!$K:$K,MATCH($D972,'Lopettaneet 2013-&gt;'!$D:$D,0)),"Continues")</f>
        <v>Continues</v>
      </c>
      <c r="K972" s="30">
        <f ca="1">IF($J972="Continues",DATEDIF($B972,TODAY(),"Y"),INDEX('Lopettaneet 2013-&gt;'!$L:$L,MATCH($D972,'Lopettaneet 2013-&gt;'!$D:$D,0)))</f>
        <v>2</v>
      </c>
      <c r="L972" s="31" t="str">
        <f>IFERROR(INDEX('[1]30.06.2024'!$H:$H,MATCH($E972,'[1]30.06.2024'!$B:$B,0)),"Not found")</f>
        <v>eQ Rahastoyhtiö Oy</v>
      </c>
      <c r="M972" s="31" t="str">
        <f>IFERROR(INDEX([2]Sheet1!$B:$B,MATCH($D972,[2]Sheet1!$A:$A,0)),"Not found")</f>
        <v>Non-Retail</v>
      </c>
      <c r="N972">
        <f t="shared" si="30"/>
        <v>0</v>
      </c>
      <c r="O972">
        <f t="shared" si="31"/>
        <v>1</v>
      </c>
    </row>
    <row r="973" spans="1:15" x14ac:dyDescent="0.25">
      <c r="A973" t="s">
        <v>7</v>
      </c>
      <c r="B973" s="1">
        <v>44621</v>
      </c>
      <c r="C973" s="1">
        <v>55153</v>
      </c>
      <c r="D973" s="4" t="s">
        <v>2133</v>
      </c>
      <c r="E973" s="32" t="s">
        <v>2134</v>
      </c>
      <c r="F973" s="32">
        <v>32512748</v>
      </c>
      <c r="G973" t="s">
        <v>10</v>
      </c>
      <c r="H973" t="s">
        <v>11</v>
      </c>
      <c r="I973" t="s">
        <v>32</v>
      </c>
      <c r="J973" s="30" t="str">
        <f>IF(ISNUMBER(MATCH($D973,'Lopettaneet 2013-&gt;'!$D:$D,0)),INDEX('Lopettaneet 2013-&gt;'!$K:$K,MATCH($D973,'Lopettaneet 2013-&gt;'!$D:$D,0)),"Continues")</f>
        <v>Continues</v>
      </c>
      <c r="K973" s="30">
        <f ca="1">IF($J973="Continues",DATEDIF($B973,TODAY(),"Y"),INDEX('Lopettaneet 2013-&gt;'!$L:$L,MATCH($D973,'Lopettaneet 2013-&gt;'!$D:$D,0)))</f>
        <v>3</v>
      </c>
      <c r="L973" s="31" t="str">
        <f>IFERROR(INDEX('[1]30.06.2024'!$H:$H,MATCH($E973,'[1]30.06.2024'!$B:$B,0)),"Not found")</f>
        <v>Evli-Rahastoyhtiö Oy</v>
      </c>
      <c r="M973" s="31" t="str">
        <f>IFERROR(INDEX([2]Sheet1!$B:$B,MATCH($D973,[2]Sheet1!$A:$A,0)),"Not found")</f>
        <v>Retail</v>
      </c>
      <c r="N973">
        <f t="shared" si="30"/>
        <v>1</v>
      </c>
      <c r="O973">
        <f t="shared" si="31"/>
        <v>0</v>
      </c>
    </row>
    <row r="974" spans="1:15" x14ac:dyDescent="0.25">
      <c r="A974" t="s">
        <v>7</v>
      </c>
      <c r="B974" s="1">
        <v>44805</v>
      </c>
      <c r="C974" s="1">
        <v>55153</v>
      </c>
      <c r="D974" s="4" t="s">
        <v>2135</v>
      </c>
      <c r="E974" s="32" t="s">
        <v>2136</v>
      </c>
      <c r="F974" s="32">
        <v>32275607</v>
      </c>
      <c r="G974" t="s">
        <v>10</v>
      </c>
      <c r="H974" t="s">
        <v>11</v>
      </c>
      <c r="I974" t="s">
        <v>12</v>
      </c>
      <c r="J974" s="30" t="str">
        <f>IF(ISNUMBER(MATCH($D974,'Lopettaneet 2013-&gt;'!$D:$D,0)),INDEX('Lopettaneet 2013-&gt;'!$K:$K,MATCH($D974,'Lopettaneet 2013-&gt;'!$D:$D,0)),"Continues")</f>
        <v>Continues</v>
      </c>
      <c r="K974" s="30">
        <f ca="1">IF($J974="Continues",DATEDIF($B974,TODAY(),"Y"),INDEX('Lopettaneet 2013-&gt;'!$L:$L,MATCH($D974,'Lopettaneet 2013-&gt;'!$D:$D,0)))</f>
        <v>2</v>
      </c>
      <c r="L974" s="31" t="str">
        <f>IFERROR(INDEX('[1]30.06.2024'!$H:$H,MATCH($E974,'[1]30.06.2024'!$B:$B,0)),"Not found")</f>
        <v>Taaleri Pääomarahastot Oy</v>
      </c>
      <c r="M974" s="31" t="str">
        <f>IFERROR(INDEX([2]Sheet1!$B:$B,MATCH($D974,[2]Sheet1!$A:$A,0)),"Not found")</f>
        <v>Retail</v>
      </c>
      <c r="N974">
        <f t="shared" si="30"/>
        <v>1</v>
      </c>
      <c r="O974">
        <f t="shared" si="31"/>
        <v>0</v>
      </c>
    </row>
    <row r="975" spans="1:15" x14ac:dyDescent="0.25">
      <c r="A975" t="s">
        <v>7</v>
      </c>
      <c r="B975" s="1">
        <v>44713</v>
      </c>
      <c r="C975" s="1">
        <v>55153</v>
      </c>
      <c r="D975" s="4" t="s">
        <v>2137</v>
      </c>
      <c r="E975" s="32" t="s">
        <v>2138</v>
      </c>
      <c r="F975" s="32">
        <v>32687038</v>
      </c>
      <c r="G975" t="s">
        <v>10</v>
      </c>
      <c r="H975" t="s">
        <v>11</v>
      </c>
      <c r="I975" t="s">
        <v>32</v>
      </c>
      <c r="J975" s="30" t="str">
        <f>IF(ISNUMBER(MATCH($D975,'Lopettaneet 2013-&gt;'!$D:$D,0)),INDEX('Lopettaneet 2013-&gt;'!$K:$K,MATCH($D975,'Lopettaneet 2013-&gt;'!$D:$D,0)),"Continues")</f>
        <v>Continues</v>
      </c>
      <c r="K975" s="30">
        <f ca="1">IF($J975="Continues",DATEDIF($B975,TODAY(),"Y"),INDEX('Lopettaneet 2013-&gt;'!$L:$L,MATCH($D975,'Lopettaneet 2013-&gt;'!$D:$D,0)))</f>
        <v>2</v>
      </c>
      <c r="L975" s="31" t="str">
        <f>IFERROR(INDEX('[1]30.06.2024'!$H:$H,MATCH($E975,'[1]30.06.2024'!$B:$B,0)),"Not found")</f>
        <v>eQ Rahastoyhtiö Oy</v>
      </c>
      <c r="M975" s="31" t="str">
        <f>IFERROR(INDEX([2]Sheet1!$B:$B,MATCH($D975,[2]Sheet1!$A:$A,0)),"Not found")</f>
        <v>Non-Retail</v>
      </c>
      <c r="N975">
        <f t="shared" si="30"/>
        <v>0</v>
      </c>
      <c r="O975">
        <f t="shared" si="31"/>
        <v>1</v>
      </c>
    </row>
    <row r="976" spans="1:15" x14ac:dyDescent="0.25">
      <c r="A976" t="s">
        <v>0</v>
      </c>
      <c r="B976" s="1">
        <v>44682</v>
      </c>
      <c r="C976" s="1">
        <v>55153</v>
      </c>
      <c r="D976" s="4" t="s">
        <v>2139</v>
      </c>
      <c r="E976" s="32" t="s">
        <v>2140</v>
      </c>
      <c r="F976" s="32">
        <v>32572361</v>
      </c>
      <c r="G976" t="s">
        <v>10</v>
      </c>
      <c r="H976" t="s">
        <v>11</v>
      </c>
      <c r="I976" t="s">
        <v>32</v>
      </c>
      <c r="J976" s="30" t="str">
        <f>IF(ISNUMBER(MATCH($D976,'Lopettaneet 2013-&gt;'!$D:$D,0)),INDEX('Lopettaneet 2013-&gt;'!$K:$K,MATCH($D976,'Lopettaneet 2013-&gt;'!$D:$D,0)),"Continues")</f>
        <v>Continues</v>
      </c>
      <c r="K976" s="30">
        <f ca="1">IF($J976="Continues",DATEDIF($B976,TODAY(),"Y"),INDEX('Lopettaneet 2013-&gt;'!$L:$L,MATCH($D976,'Lopettaneet 2013-&gt;'!$D:$D,0)))</f>
        <v>3</v>
      </c>
      <c r="L976" s="31" t="str">
        <f>IFERROR(INDEX('[1]30.06.2024'!$H:$H,MATCH($E976,'[1]30.06.2024'!$B:$B,0)),"Not found")</f>
        <v>eQ Rahastoyhtiö Oy</v>
      </c>
      <c r="M976" s="31" t="str">
        <f>IFERROR(INDEX([2]Sheet1!$B:$B,MATCH($D976,[2]Sheet1!$A:$A,0)),"Not found")</f>
        <v>Non-Retail</v>
      </c>
      <c r="N976">
        <f t="shared" si="30"/>
        <v>0</v>
      </c>
      <c r="O976">
        <f t="shared" si="31"/>
        <v>1</v>
      </c>
    </row>
    <row r="977" spans="1:15" x14ac:dyDescent="0.25">
      <c r="A977" t="s">
        <v>0</v>
      </c>
      <c r="B977" s="1">
        <v>44562</v>
      </c>
      <c r="C977" s="1">
        <v>45230</v>
      </c>
      <c r="D977" s="4" t="s">
        <v>62</v>
      </c>
      <c r="E977" s="32" t="s">
        <v>63</v>
      </c>
      <c r="F977" s="32">
        <v>32550808</v>
      </c>
      <c r="G977" t="s">
        <v>10</v>
      </c>
      <c r="H977" t="s">
        <v>4</v>
      </c>
      <c r="I977" t="s">
        <v>20</v>
      </c>
      <c r="J977" s="30" t="str">
        <f>IF(ISNUMBER(MATCH($D977,'Lopettaneet 2013-&gt;'!$D:$D,0)),INDEX('Lopettaneet 2013-&gt;'!$K:$K,MATCH($D977,'Lopettaneet 2013-&gt;'!$D:$D,0)),"Continues")</f>
        <v>Closed</v>
      </c>
      <c r="K977" s="30">
        <f ca="1">IF($J977="Continues",DATEDIF($B977,TODAY(),"Y"),INDEX('Lopettaneet 2013-&gt;'!$L:$L,MATCH($D977,'Lopettaneet 2013-&gt;'!$D:$D,0)))</f>
        <v>1</v>
      </c>
      <c r="L977" s="31" t="str">
        <f>IFERROR(INDEX('[1]30.06.2024'!$H:$H,MATCH($E977,'[1]30.06.2024'!$B:$B,0)),"Not found")</f>
        <v>Not found</v>
      </c>
      <c r="M977" s="31" t="str">
        <f>IFERROR(INDEX([2]Sheet1!$B:$B,MATCH($D977,[2]Sheet1!$A:$A,0)),"Not found")</f>
        <v>Not found</v>
      </c>
      <c r="N977">
        <f t="shared" si="30"/>
        <v>0</v>
      </c>
      <c r="O977">
        <f t="shared" si="31"/>
        <v>0</v>
      </c>
    </row>
    <row r="978" spans="1:15" x14ac:dyDescent="0.25">
      <c r="A978" t="s">
        <v>0</v>
      </c>
      <c r="B978" s="1">
        <v>44682</v>
      </c>
      <c r="C978" s="1">
        <v>55153</v>
      </c>
      <c r="D978" s="4" t="s">
        <v>2141</v>
      </c>
      <c r="E978" s="32" t="s">
        <v>2142</v>
      </c>
      <c r="F978" s="32">
        <v>32572345</v>
      </c>
      <c r="G978" t="s">
        <v>10</v>
      </c>
      <c r="H978" t="s">
        <v>11</v>
      </c>
      <c r="I978" t="s">
        <v>20</v>
      </c>
      <c r="J978" s="30" t="str">
        <f>IF(ISNUMBER(MATCH($D978,'Lopettaneet 2013-&gt;'!$D:$D,0)),INDEX('Lopettaneet 2013-&gt;'!$K:$K,MATCH($D978,'Lopettaneet 2013-&gt;'!$D:$D,0)),"Continues")</f>
        <v>Continues</v>
      </c>
      <c r="K978" s="30">
        <f ca="1">IF($J978="Continues",DATEDIF($B978,TODAY(),"Y"),INDEX('Lopettaneet 2013-&gt;'!$L:$L,MATCH($D978,'Lopettaneet 2013-&gt;'!$D:$D,0)))</f>
        <v>3</v>
      </c>
      <c r="L978" s="31" t="str">
        <f>IFERROR(INDEX('[1]30.06.2024'!$H:$H,MATCH($E978,'[1]30.06.2024'!$B:$B,0)),"Not found")</f>
        <v>eQ Rahastoyhtiö Oy</v>
      </c>
      <c r="M978" s="31" t="str">
        <f>IFERROR(INDEX([2]Sheet1!$B:$B,MATCH($D978,[2]Sheet1!$A:$A,0)),"Not found")</f>
        <v>Non-Retail</v>
      </c>
      <c r="N978">
        <f t="shared" si="30"/>
        <v>0</v>
      </c>
      <c r="O978">
        <f t="shared" si="31"/>
        <v>1</v>
      </c>
    </row>
    <row r="979" spans="1:15" x14ac:dyDescent="0.25">
      <c r="A979" t="s">
        <v>0</v>
      </c>
      <c r="B979" s="1">
        <v>44682</v>
      </c>
      <c r="C979" s="1">
        <v>55153</v>
      </c>
      <c r="D979" s="4" t="s">
        <v>2143</v>
      </c>
      <c r="E979" s="32" t="s">
        <v>2144</v>
      </c>
      <c r="F979" s="32">
        <v>32572353</v>
      </c>
      <c r="G979" t="s">
        <v>10</v>
      </c>
      <c r="H979" t="s">
        <v>11</v>
      </c>
      <c r="I979" t="s">
        <v>20</v>
      </c>
      <c r="J979" s="30" t="str">
        <f>IF(ISNUMBER(MATCH($D979,'Lopettaneet 2013-&gt;'!$D:$D,0)),INDEX('Lopettaneet 2013-&gt;'!$K:$K,MATCH($D979,'Lopettaneet 2013-&gt;'!$D:$D,0)),"Continues")</f>
        <v>Continues</v>
      </c>
      <c r="K979" s="30">
        <f ca="1">IF($J979="Continues",DATEDIF($B979,TODAY(),"Y"),INDEX('Lopettaneet 2013-&gt;'!$L:$L,MATCH($D979,'Lopettaneet 2013-&gt;'!$D:$D,0)))</f>
        <v>3</v>
      </c>
      <c r="L979" s="31" t="str">
        <f>IFERROR(INDEX('[1]30.06.2024'!$H:$H,MATCH($E979,'[1]30.06.2024'!$B:$B,0)),"Not found")</f>
        <v>eQ Rahastoyhtiö Oy</v>
      </c>
      <c r="M979" s="31" t="str">
        <f>IFERROR(INDEX([2]Sheet1!$B:$B,MATCH($D979,[2]Sheet1!$A:$A,0)),"Not found")</f>
        <v>Non-Retail</v>
      </c>
      <c r="N979">
        <f t="shared" si="30"/>
        <v>0</v>
      </c>
      <c r="O979">
        <f t="shared" si="31"/>
        <v>1</v>
      </c>
    </row>
    <row r="980" spans="1:15" x14ac:dyDescent="0.25">
      <c r="A980" t="s">
        <v>7</v>
      </c>
      <c r="B980" s="1">
        <v>44621</v>
      </c>
      <c r="C980" s="1">
        <v>55153</v>
      </c>
      <c r="D980" s="4" t="s">
        <v>2145</v>
      </c>
      <c r="E980" s="32" t="s">
        <v>2146</v>
      </c>
      <c r="F980" s="32">
        <v>32566914</v>
      </c>
      <c r="G980" t="s">
        <v>10</v>
      </c>
      <c r="H980" t="s">
        <v>11</v>
      </c>
      <c r="I980" t="s">
        <v>29</v>
      </c>
      <c r="J980" s="30" t="str">
        <f>IF(ISNUMBER(MATCH($D980,'Lopettaneet 2013-&gt;'!$D:$D,0)),INDEX('Lopettaneet 2013-&gt;'!$K:$K,MATCH($D980,'Lopettaneet 2013-&gt;'!$D:$D,0)),"Continues")</f>
        <v>Continues</v>
      </c>
      <c r="K980" s="30">
        <f ca="1">IF($J980="Continues",DATEDIF($B980,TODAY(),"Y"),INDEX('Lopettaneet 2013-&gt;'!$L:$L,MATCH($D980,'Lopettaneet 2013-&gt;'!$D:$D,0)))</f>
        <v>3</v>
      </c>
      <c r="L980" s="31" t="str">
        <f>IFERROR(INDEX('[1]30.06.2024'!$H:$H,MATCH($E980,'[1]30.06.2024'!$B:$B,0)),"Not found")</f>
        <v>Evli-Rahastoyhtiö Oy</v>
      </c>
      <c r="M980" s="31" t="str">
        <f>IFERROR(INDEX([2]Sheet1!$B:$B,MATCH($D980,[2]Sheet1!$A:$A,0)),"Not found")</f>
        <v>Retail</v>
      </c>
      <c r="N980">
        <f t="shared" si="30"/>
        <v>1</v>
      </c>
      <c r="O980">
        <f t="shared" si="31"/>
        <v>0</v>
      </c>
    </row>
    <row r="981" spans="1:15" x14ac:dyDescent="0.25">
      <c r="A981" t="s">
        <v>7</v>
      </c>
      <c r="B981" s="1">
        <v>44713</v>
      </c>
      <c r="C981" s="1">
        <v>55153</v>
      </c>
      <c r="D981" s="4" t="s">
        <v>2147</v>
      </c>
      <c r="E981" s="32" t="s">
        <v>2148</v>
      </c>
      <c r="F981" s="32">
        <v>32561267</v>
      </c>
      <c r="G981" t="s">
        <v>10</v>
      </c>
      <c r="H981" t="s">
        <v>11</v>
      </c>
      <c r="I981" t="s">
        <v>12</v>
      </c>
      <c r="J981" s="30" t="str">
        <f>IF(ISNUMBER(MATCH($D981,'Lopettaneet 2013-&gt;'!$D:$D,0)),INDEX('Lopettaneet 2013-&gt;'!$K:$K,MATCH($D981,'Lopettaneet 2013-&gt;'!$D:$D,0)),"Continues")</f>
        <v>Continues</v>
      </c>
      <c r="K981" s="30">
        <f ca="1">IF($J981="Continues",DATEDIF($B981,TODAY(),"Y"),INDEX('Lopettaneet 2013-&gt;'!$L:$L,MATCH($D981,'Lopettaneet 2013-&gt;'!$D:$D,0)))</f>
        <v>2</v>
      </c>
      <c r="L981" s="31" t="str">
        <f>IFERROR(INDEX('[1]30.06.2024'!$H:$H,MATCH($E981,'[1]30.06.2024'!$B:$B,0)),"Not found")</f>
        <v>Aktia Rahastoyhtiö Oy</v>
      </c>
      <c r="M981" s="31" t="str">
        <f>IFERROR(INDEX([2]Sheet1!$B:$B,MATCH($D981,[2]Sheet1!$A:$A,0)),"Not found")</f>
        <v>Retail</v>
      </c>
      <c r="N981">
        <f t="shared" si="30"/>
        <v>1</v>
      </c>
      <c r="O981">
        <f t="shared" si="31"/>
        <v>0</v>
      </c>
    </row>
    <row r="982" spans="1:15" x14ac:dyDescent="0.25">
      <c r="A982" t="s">
        <v>7</v>
      </c>
      <c r="B982" s="1">
        <v>44713</v>
      </c>
      <c r="C982" s="1">
        <v>55153</v>
      </c>
      <c r="D982" s="4" t="s">
        <v>2149</v>
      </c>
      <c r="E982" s="32" t="s">
        <v>2150</v>
      </c>
      <c r="F982" s="32">
        <v>32561312</v>
      </c>
      <c r="G982" t="s">
        <v>10</v>
      </c>
      <c r="H982" t="s">
        <v>11</v>
      </c>
      <c r="I982" t="s">
        <v>12</v>
      </c>
      <c r="J982" s="30" t="str">
        <f>IF(ISNUMBER(MATCH($D982,'Lopettaneet 2013-&gt;'!$D:$D,0)),INDEX('Lopettaneet 2013-&gt;'!$K:$K,MATCH($D982,'Lopettaneet 2013-&gt;'!$D:$D,0)),"Continues")</f>
        <v>Continues</v>
      </c>
      <c r="K982" s="30">
        <f ca="1">IF($J982="Continues",DATEDIF($B982,TODAY(),"Y"),INDEX('Lopettaneet 2013-&gt;'!$L:$L,MATCH($D982,'Lopettaneet 2013-&gt;'!$D:$D,0)))</f>
        <v>2</v>
      </c>
      <c r="L982" s="31" t="str">
        <f>IFERROR(INDEX('[1]30.06.2024'!$H:$H,MATCH($E982,'[1]30.06.2024'!$B:$B,0)),"Not found")</f>
        <v>Aktia Rahastoyhtiö Oy</v>
      </c>
      <c r="M982" s="31" t="str">
        <f>IFERROR(INDEX([2]Sheet1!$B:$B,MATCH($D982,[2]Sheet1!$A:$A,0)),"Not found")</f>
        <v>Retail</v>
      </c>
      <c r="N982">
        <f t="shared" si="30"/>
        <v>1</v>
      </c>
      <c r="O982">
        <f t="shared" si="31"/>
        <v>0</v>
      </c>
    </row>
    <row r="983" spans="1:15" x14ac:dyDescent="0.25">
      <c r="A983" t="s">
        <v>7</v>
      </c>
      <c r="B983" s="1">
        <v>44713</v>
      </c>
      <c r="C983" s="1">
        <v>55153</v>
      </c>
      <c r="D983" s="4" t="s">
        <v>2151</v>
      </c>
      <c r="E983" s="32" t="s">
        <v>2152</v>
      </c>
      <c r="F983" s="32">
        <v>32561259</v>
      </c>
      <c r="G983" t="s">
        <v>10</v>
      </c>
      <c r="H983" t="s">
        <v>11</v>
      </c>
      <c r="I983" t="s">
        <v>12</v>
      </c>
      <c r="J983" s="30" t="str">
        <f>IF(ISNUMBER(MATCH($D983,'Lopettaneet 2013-&gt;'!$D:$D,0)),INDEX('Lopettaneet 2013-&gt;'!$K:$K,MATCH($D983,'Lopettaneet 2013-&gt;'!$D:$D,0)),"Continues")</f>
        <v>Continues</v>
      </c>
      <c r="K983" s="30">
        <f ca="1">IF($J983="Continues",DATEDIF($B983,TODAY(),"Y"),INDEX('Lopettaneet 2013-&gt;'!$L:$L,MATCH($D983,'Lopettaneet 2013-&gt;'!$D:$D,0)))</f>
        <v>2</v>
      </c>
      <c r="L983" s="31" t="str">
        <f>IFERROR(INDEX('[1]30.06.2024'!$H:$H,MATCH($E983,'[1]30.06.2024'!$B:$B,0)),"Not found")</f>
        <v>Aktia Rahastoyhtiö Oy</v>
      </c>
      <c r="M983" s="31" t="str">
        <f>IFERROR(INDEX([2]Sheet1!$B:$B,MATCH($D983,[2]Sheet1!$A:$A,0)),"Not found")</f>
        <v>Retail</v>
      </c>
      <c r="N983">
        <f t="shared" si="30"/>
        <v>1</v>
      </c>
      <c r="O983">
        <f t="shared" si="31"/>
        <v>0</v>
      </c>
    </row>
    <row r="984" spans="1:15" x14ac:dyDescent="0.25">
      <c r="A984" t="s">
        <v>7</v>
      </c>
      <c r="B984" s="1">
        <v>44713</v>
      </c>
      <c r="C984" s="1">
        <v>55153</v>
      </c>
      <c r="D984" s="4" t="s">
        <v>2153</v>
      </c>
      <c r="E984" s="32" t="s">
        <v>2154</v>
      </c>
      <c r="F984" s="32">
        <v>32561304</v>
      </c>
      <c r="G984" t="s">
        <v>10</v>
      </c>
      <c r="H984" t="s">
        <v>11</v>
      </c>
      <c r="I984" t="s">
        <v>12</v>
      </c>
      <c r="J984" s="30" t="str">
        <f>IF(ISNUMBER(MATCH($D984,'Lopettaneet 2013-&gt;'!$D:$D,0)),INDEX('Lopettaneet 2013-&gt;'!$K:$K,MATCH($D984,'Lopettaneet 2013-&gt;'!$D:$D,0)),"Continues")</f>
        <v>Continues</v>
      </c>
      <c r="K984" s="30">
        <f ca="1">IF($J984="Continues",DATEDIF($B984,TODAY(),"Y"),INDEX('Lopettaneet 2013-&gt;'!$L:$L,MATCH($D984,'Lopettaneet 2013-&gt;'!$D:$D,0)))</f>
        <v>2</v>
      </c>
      <c r="L984" s="31" t="str">
        <f>IFERROR(INDEX('[1]30.06.2024'!$H:$H,MATCH($E984,'[1]30.06.2024'!$B:$B,0)),"Not found")</f>
        <v>Aktia Rahastoyhtiö Oy</v>
      </c>
      <c r="M984" s="31" t="str">
        <f>IFERROR(INDEX([2]Sheet1!$B:$B,MATCH($D984,[2]Sheet1!$A:$A,0)),"Not found")</f>
        <v>Retail</v>
      </c>
      <c r="N984">
        <f t="shared" si="30"/>
        <v>1</v>
      </c>
      <c r="O984">
        <f t="shared" si="31"/>
        <v>0</v>
      </c>
    </row>
    <row r="985" spans="1:15" x14ac:dyDescent="0.25">
      <c r="A985" t="s">
        <v>7</v>
      </c>
      <c r="B985" s="1">
        <v>44713</v>
      </c>
      <c r="C985" s="1">
        <v>55153</v>
      </c>
      <c r="D985" s="4" t="s">
        <v>2155</v>
      </c>
      <c r="E985" s="32" t="s">
        <v>2156</v>
      </c>
      <c r="F985" s="32">
        <v>32561339</v>
      </c>
      <c r="G985" t="s">
        <v>10</v>
      </c>
      <c r="H985" t="s">
        <v>11</v>
      </c>
      <c r="I985" t="s">
        <v>12</v>
      </c>
      <c r="J985" s="30" t="str">
        <f>IF(ISNUMBER(MATCH($D985,'Lopettaneet 2013-&gt;'!$D:$D,0)),INDEX('Lopettaneet 2013-&gt;'!$K:$K,MATCH($D985,'Lopettaneet 2013-&gt;'!$D:$D,0)),"Continues")</f>
        <v>Continues</v>
      </c>
      <c r="K985" s="30">
        <f ca="1">IF($J985="Continues",DATEDIF($B985,TODAY(),"Y"),INDEX('Lopettaneet 2013-&gt;'!$L:$L,MATCH($D985,'Lopettaneet 2013-&gt;'!$D:$D,0)))</f>
        <v>2</v>
      </c>
      <c r="L985" s="31" t="str">
        <f>IFERROR(INDEX('[1]30.06.2024'!$H:$H,MATCH($E985,'[1]30.06.2024'!$B:$B,0)),"Not found")</f>
        <v>Aktia Rahastoyhtiö Oy</v>
      </c>
      <c r="M985" s="31" t="str">
        <f>IFERROR(INDEX([2]Sheet1!$B:$B,MATCH($D985,[2]Sheet1!$A:$A,0)),"Not found")</f>
        <v>Retail</v>
      </c>
      <c r="N985">
        <f t="shared" si="30"/>
        <v>1</v>
      </c>
      <c r="O985">
        <f t="shared" si="31"/>
        <v>0</v>
      </c>
    </row>
    <row r="986" spans="1:15" x14ac:dyDescent="0.25">
      <c r="A986" t="s">
        <v>7</v>
      </c>
      <c r="B986" s="1">
        <v>44621</v>
      </c>
      <c r="C986" s="1">
        <v>55153</v>
      </c>
      <c r="D986" s="4" t="s">
        <v>2157</v>
      </c>
      <c r="E986" s="32" t="s">
        <v>2158</v>
      </c>
      <c r="F986" s="32">
        <v>32414566</v>
      </c>
      <c r="G986" t="s">
        <v>10</v>
      </c>
      <c r="H986" t="s">
        <v>11</v>
      </c>
      <c r="I986" t="s">
        <v>29</v>
      </c>
      <c r="J986" s="30" t="str">
        <f>IF(ISNUMBER(MATCH($D986,'Lopettaneet 2013-&gt;'!$D:$D,0)),INDEX('Lopettaneet 2013-&gt;'!$K:$K,MATCH($D986,'Lopettaneet 2013-&gt;'!$D:$D,0)),"Continues")</f>
        <v>Continues</v>
      </c>
      <c r="K986" s="30">
        <f ca="1">IF($J986="Continues",DATEDIF($B986,TODAY(),"Y"),INDEX('Lopettaneet 2013-&gt;'!$L:$L,MATCH($D986,'Lopettaneet 2013-&gt;'!$D:$D,0)))</f>
        <v>3</v>
      </c>
      <c r="L986" s="31" t="str">
        <f>IFERROR(INDEX('[1]30.06.2024'!$H:$H,MATCH($E986,'[1]30.06.2024'!$B:$B,0)),"Not found")</f>
        <v>Korkia Capital Oy</v>
      </c>
      <c r="M986" s="31" t="str">
        <f>IFERROR(INDEX([2]Sheet1!$B:$B,MATCH($D986,[2]Sheet1!$A:$A,0)),"Not found")</f>
        <v>Retail</v>
      </c>
      <c r="N986">
        <f t="shared" si="30"/>
        <v>1</v>
      </c>
      <c r="O986">
        <f t="shared" si="31"/>
        <v>0</v>
      </c>
    </row>
    <row r="987" spans="1:15" x14ac:dyDescent="0.25">
      <c r="A987" t="s">
        <v>7</v>
      </c>
      <c r="B987" s="1">
        <v>44621</v>
      </c>
      <c r="C987" s="1">
        <v>55153</v>
      </c>
      <c r="D987" s="4" t="s">
        <v>2159</v>
      </c>
      <c r="E987" s="32" t="s">
        <v>2160</v>
      </c>
      <c r="F987" s="32">
        <v>32414312</v>
      </c>
      <c r="G987" t="s">
        <v>10</v>
      </c>
      <c r="H987" t="s">
        <v>11</v>
      </c>
      <c r="I987" t="s">
        <v>29</v>
      </c>
      <c r="J987" s="30" t="str">
        <f>IF(ISNUMBER(MATCH($D987,'Lopettaneet 2013-&gt;'!$D:$D,0)),INDEX('Lopettaneet 2013-&gt;'!$K:$K,MATCH($D987,'Lopettaneet 2013-&gt;'!$D:$D,0)),"Continues")</f>
        <v>Continues</v>
      </c>
      <c r="K987" s="30">
        <f ca="1">IF($J987="Continues",DATEDIF($B987,TODAY(),"Y"),INDEX('Lopettaneet 2013-&gt;'!$L:$L,MATCH($D987,'Lopettaneet 2013-&gt;'!$D:$D,0)))</f>
        <v>3</v>
      </c>
      <c r="L987" s="31" t="str">
        <f>IFERROR(INDEX('[1]30.06.2024'!$H:$H,MATCH($E987,'[1]30.06.2024'!$B:$B,0)),"Not found")</f>
        <v>Korkia Capital Oy</v>
      </c>
      <c r="M987" s="31" t="str">
        <f>IFERROR(INDEX([2]Sheet1!$B:$B,MATCH($D987,[2]Sheet1!$A:$A,0)),"Not found")</f>
        <v>Retail</v>
      </c>
      <c r="N987">
        <f t="shared" si="30"/>
        <v>1</v>
      </c>
      <c r="O987">
        <f t="shared" si="31"/>
        <v>0</v>
      </c>
    </row>
    <row r="988" spans="1:15" x14ac:dyDescent="0.25">
      <c r="A988" t="s">
        <v>7</v>
      </c>
      <c r="B988" s="1">
        <v>44621</v>
      </c>
      <c r="C988" s="1">
        <v>55153</v>
      </c>
      <c r="D988" s="4" t="s">
        <v>2161</v>
      </c>
      <c r="E988" s="32" t="s">
        <v>2162</v>
      </c>
      <c r="F988" s="32">
        <v>32414259</v>
      </c>
      <c r="G988" t="s">
        <v>10</v>
      </c>
      <c r="H988" t="s">
        <v>11</v>
      </c>
      <c r="I988" t="s">
        <v>29</v>
      </c>
      <c r="J988" s="30" t="str">
        <f>IF(ISNUMBER(MATCH($D988,'Lopettaneet 2013-&gt;'!$D:$D,0)),INDEX('Lopettaneet 2013-&gt;'!$K:$K,MATCH($D988,'Lopettaneet 2013-&gt;'!$D:$D,0)),"Continues")</f>
        <v>Continues</v>
      </c>
      <c r="K988" s="30">
        <f ca="1">IF($J988="Continues",DATEDIF($B988,TODAY(),"Y"),INDEX('Lopettaneet 2013-&gt;'!$L:$L,MATCH($D988,'Lopettaneet 2013-&gt;'!$D:$D,0)))</f>
        <v>3</v>
      </c>
      <c r="L988" s="31" t="str">
        <f>IFERROR(INDEX('[1]30.06.2024'!$H:$H,MATCH($E988,'[1]30.06.2024'!$B:$B,0)),"Not found")</f>
        <v>Korkia Capital Oy</v>
      </c>
      <c r="M988" s="31" t="str">
        <f>IFERROR(INDEX([2]Sheet1!$B:$B,MATCH($D988,[2]Sheet1!$A:$A,0)),"Not found")</f>
        <v>Retail</v>
      </c>
      <c r="N988">
        <f t="shared" si="30"/>
        <v>1</v>
      </c>
      <c r="O988">
        <f t="shared" si="31"/>
        <v>0</v>
      </c>
    </row>
    <row r="989" spans="1:15" x14ac:dyDescent="0.25">
      <c r="A989" t="s">
        <v>0</v>
      </c>
      <c r="B989" s="1">
        <v>44713</v>
      </c>
      <c r="C989" s="1">
        <v>55153</v>
      </c>
      <c r="D989" s="4" t="s">
        <v>2163</v>
      </c>
      <c r="E989" s="32" t="s">
        <v>2164</v>
      </c>
      <c r="F989" s="32">
        <v>32044534</v>
      </c>
      <c r="G989" t="s">
        <v>10</v>
      </c>
      <c r="H989" t="s">
        <v>4</v>
      </c>
      <c r="I989" t="s">
        <v>32</v>
      </c>
      <c r="J989" s="30" t="str">
        <f>IF(ISNUMBER(MATCH($D989,'Lopettaneet 2013-&gt;'!$D:$D,0)),INDEX('Lopettaneet 2013-&gt;'!$K:$K,MATCH($D989,'Lopettaneet 2013-&gt;'!$D:$D,0)),"Continues")</f>
        <v>Continues</v>
      </c>
      <c r="K989" s="30">
        <f ca="1">IF($J989="Continues",DATEDIF($B989,TODAY(),"Y"),INDEX('Lopettaneet 2013-&gt;'!$L:$L,MATCH($D989,'Lopettaneet 2013-&gt;'!$D:$D,0)))</f>
        <v>2</v>
      </c>
      <c r="L989" s="31" t="str">
        <f>IFERROR(INDEX('[1]30.06.2024'!$H:$H,MATCH($E989,'[1]30.06.2024'!$B:$B,0)),"Not found")</f>
        <v>Helsinki Capital Partners Oy</v>
      </c>
      <c r="M989" s="31" t="str">
        <f>IFERROR(INDEX([2]Sheet1!$B:$B,MATCH($D989,[2]Sheet1!$A:$A,0)),"Not found")</f>
        <v>Retail</v>
      </c>
      <c r="N989">
        <f t="shared" si="30"/>
        <v>1</v>
      </c>
      <c r="O989">
        <f t="shared" si="31"/>
        <v>0</v>
      </c>
    </row>
    <row r="990" spans="1:15" x14ac:dyDescent="0.25">
      <c r="A990" t="s">
        <v>0</v>
      </c>
      <c r="B990" s="1">
        <v>44652</v>
      </c>
      <c r="C990" s="1">
        <v>45291</v>
      </c>
      <c r="D990" s="4" t="s">
        <v>64</v>
      </c>
      <c r="E990" s="32" t="s">
        <v>65</v>
      </c>
      <c r="F990" s="32">
        <v>32655773</v>
      </c>
      <c r="G990" t="s">
        <v>10</v>
      </c>
      <c r="H990" t="s">
        <v>4</v>
      </c>
      <c r="I990" t="s">
        <v>47</v>
      </c>
      <c r="J990" s="30" t="str">
        <f>IF(ISNUMBER(MATCH($D990,'Lopettaneet 2013-&gt;'!$D:$D,0)),INDEX('Lopettaneet 2013-&gt;'!$K:$K,MATCH($D990,'Lopettaneet 2013-&gt;'!$D:$D,0)),"Continues")</f>
        <v>Closed</v>
      </c>
      <c r="K990" s="30">
        <f ca="1">IF($J990="Continues",DATEDIF($B990,TODAY(),"Y"),INDEX('Lopettaneet 2013-&gt;'!$L:$L,MATCH($D990,'Lopettaneet 2013-&gt;'!$D:$D,0)))</f>
        <v>1</v>
      </c>
      <c r="L990" s="31" t="str">
        <f>IFERROR(INDEX('[1]30.06.2024'!$H:$H,MATCH($E990,'[1]30.06.2024'!$B:$B,0)),"Not found")</f>
        <v>Not found</v>
      </c>
      <c r="M990" s="31" t="str">
        <f>IFERROR(INDEX([2]Sheet1!$B:$B,MATCH($D990,[2]Sheet1!$A:$A,0)),"Not found")</f>
        <v>Not found</v>
      </c>
      <c r="N990">
        <f t="shared" si="30"/>
        <v>0</v>
      </c>
      <c r="O990">
        <f t="shared" si="31"/>
        <v>0</v>
      </c>
    </row>
    <row r="991" spans="1:15" x14ac:dyDescent="0.25">
      <c r="A991" t="s">
        <v>7</v>
      </c>
      <c r="B991" s="1">
        <v>44713</v>
      </c>
      <c r="C991" s="1">
        <v>55153</v>
      </c>
      <c r="D991" s="4" t="s">
        <v>2165</v>
      </c>
      <c r="E991" s="32" t="s">
        <v>2166</v>
      </c>
      <c r="F991" s="32">
        <v>32574535</v>
      </c>
      <c r="G991" t="s">
        <v>10</v>
      </c>
      <c r="H991" t="s">
        <v>11</v>
      </c>
      <c r="I991" t="s">
        <v>12</v>
      </c>
      <c r="J991" s="30" t="str">
        <f>IF(ISNUMBER(MATCH($D991,'Lopettaneet 2013-&gt;'!$D:$D,0)),INDEX('Lopettaneet 2013-&gt;'!$K:$K,MATCH($D991,'Lopettaneet 2013-&gt;'!$D:$D,0)),"Continues")</f>
        <v>Continues</v>
      </c>
      <c r="K991" s="30">
        <f ca="1">IF($J991="Continues",DATEDIF($B991,TODAY(),"Y"),INDEX('Lopettaneet 2013-&gt;'!$L:$L,MATCH($D991,'Lopettaneet 2013-&gt;'!$D:$D,0)))</f>
        <v>2</v>
      </c>
      <c r="L991" s="31" t="str">
        <f>IFERROR(INDEX('[1]30.06.2024'!$H:$H,MATCH($E991,'[1]30.06.2024'!$B:$B,0)),"Not found")</f>
        <v>UB Rahastoyhtiö Oy</v>
      </c>
      <c r="M991" s="31" t="str">
        <f>IFERROR(INDEX([2]Sheet1!$B:$B,MATCH($D991,[2]Sheet1!$A:$A,0)),"Not found")</f>
        <v>Non-Retail</v>
      </c>
      <c r="N991">
        <f t="shared" si="30"/>
        <v>0</v>
      </c>
      <c r="O991">
        <f t="shared" si="31"/>
        <v>1</v>
      </c>
    </row>
    <row r="992" spans="1:15" x14ac:dyDescent="0.25">
      <c r="A992" t="s">
        <v>0</v>
      </c>
      <c r="B992" s="1">
        <v>44743</v>
      </c>
      <c r="C992" s="1">
        <v>55153</v>
      </c>
      <c r="D992" s="4" t="s">
        <v>2167</v>
      </c>
      <c r="E992" s="32" t="s">
        <v>2168</v>
      </c>
      <c r="F992" s="32">
        <v>32638412</v>
      </c>
      <c r="G992" t="s">
        <v>10</v>
      </c>
      <c r="H992" t="s">
        <v>4</v>
      </c>
      <c r="I992" t="s">
        <v>32</v>
      </c>
      <c r="J992" s="30" t="str">
        <f>IF(ISNUMBER(MATCH($D992,'Lopettaneet 2013-&gt;'!$D:$D,0)),INDEX('Lopettaneet 2013-&gt;'!$K:$K,MATCH($D992,'Lopettaneet 2013-&gt;'!$D:$D,0)),"Continues")</f>
        <v>Continues</v>
      </c>
      <c r="K992" s="30">
        <f ca="1">IF($J992="Continues",DATEDIF($B992,TODAY(),"Y"),INDEX('Lopettaneet 2013-&gt;'!$L:$L,MATCH($D992,'Lopettaneet 2013-&gt;'!$D:$D,0)))</f>
        <v>2</v>
      </c>
      <c r="L992" s="31" t="str">
        <f>IFERROR(INDEX('[1]30.06.2024'!$H:$H,MATCH($E992,'[1]30.06.2024'!$B:$B,0)),"Not found")</f>
        <v>Evli-Rahastoyhtiö Oy</v>
      </c>
      <c r="M992" s="31" t="str">
        <f>IFERROR(INDEX([2]Sheet1!$B:$B,MATCH($D992,[2]Sheet1!$A:$A,0)),"Not found")</f>
        <v>Retail</v>
      </c>
      <c r="N992">
        <f t="shared" si="30"/>
        <v>1</v>
      </c>
      <c r="O992">
        <f t="shared" si="31"/>
        <v>0</v>
      </c>
    </row>
    <row r="993" spans="1:15" x14ac:dyDescent="0.25">
      <c r="A993" t="s">
        <v>0</v>
      </c>
      <c r="B993" s="1">
        <v>44743</v>
      </c>
      <c r="C993" s="1">
        <v>55153</v>
      </c>
      <c r="D993" s="4" t="s">
        <v>2169</v>
      </c>
      <c r="E993" s="32" t="s">
        <v>2170</v>
      </c>
      <c r="F993" s="32">
        <v>32716409</v>
      </c>
      <c r="G993" t="s">
        <v>10</v>
      </c>
      <c r="H993" t="s">
        <v>4</v>
      </c>
      <c r="I993" t="s">
        <v>29</v>
      </c>
      <c r="J993" s="30" t="str">
        <f>IF(ISNUMBER(MATCH($D993,'Lopettaneet 2013-&gt;'!$D:$D,0)),INDEX('Lopettaneet 2013-&gt;'!$K:$K,MATCH($D993,'Lopettaneet 2013-&gt;'!$D:$D,0)),"Continues")</f>
        <v>Continues</v>
      </c>
      <c r="K993" s="30">
        <f ca="1">IF($J993="Continues",DATEDIF($B993,TODAY(),"Y"),INDEX('Lopettaneet 2013-&gt;'!$L:$L,MATCH($D993,'Lopettaneet 2013-&gt;'!$D:$D,0)))</f>
        <v>2</v>
      </c>
      <c r="L993" s="31" t="str">
        <f>IFERROR(INDEX('[1]30.06.2024'!$H:$H,MATCH($E993,'[1]30.06.2024'!$B:$B,0)),"Not found")</f>
        <v>GRIT Rahastoyhtiö Oy</v>
      </c>
      <c r="M993" s="31" t="str">
        <f>IFERROR(INDEX([2]Sheet1!$B:$B,MATCH($D993,[2]Sheet1!$A:$A,0)),"Not found")</f>
        <v>Retail</v>
      </c>
      <c r="N993">
        <f t="shared" si="30"/>
        <v>1</v>
      </c>
      <c r="O993">
        <f t="shared" si="31"/>
        <v>0</v>
      </c>
    </row>
    <row r="994" spans="1:15" x14ac:dyDescent="0.25">
      <c r="A994" t="s">
        <v>0</v>
      </c>
      <c r="B994" s="1">
        <v>44652</v>
      </c>
      <c r="C994" s="1">
        <v>55153</v>
      </c>
      <c r="D994" s="4" t="s">
        <v>2171</v>
      </c>
      <c r="E994" s="32" t="s">
        <v>2172</v>
      </c>
      <c r="F994" s="32">
        <v>32324608</v>
      </c>
      <c r="G994" t="s">
        <v>10</v>
      </c>
      <c r="H994" t="s">
        <v>4</v>
      </c>
      <c r="I994" t="s">
        <v>20</v>
      </c>
      <c r="J994" s="30" t="str">
        <f>IF(ISNUMBER(MATCH($D994,'Lopettaneet 2013-&gt;'!$D:$D,0)),INDEX('Lopettaneet 2013-&gt;'!$K:$K,MATCH($D994,'Lopettaneet 2013-&gt;'!$D:$D,0)),"Continues")</f>
        <v>Continues</v>
      </c>
      <c r="K994" s="30">
        <f ca="1">IF($J994="Continues",DATEDIF($B994,TODAY(),"Y"),INDEX('Lopettaneet 2013-&gt;'!$L:$L,MATCH($D994,'Lopettaneet 2013-&gt;'!$D:$D,0)))</f>
        <v>3</v>
      </c>
      <c r="L994" s="31" t="str">
        <f>IFERROR(INDEX('[1]30.06.2024'!$H:$H,MATCH($E994,'[1]30.06.2024'!$B:$B,0)),"Not found")</f>
        <v>Finlandia Rahastoyhtiö Oy</v>
      </c>
      <c r="M994" s="31" t="str">
        <f>IFERROR(INDEX([2]Sheet1!$B:$B,MATCH($D994,[2]Sheet1!$A:$A,0)),"Not found")</f>
        <v>Retail</v>
      </c>
      <c r="N994">
        <f t="shared" si="30"/>
        <v>1</v>
      </c>
      <c r="O994">
        <f t="shared" si="31"/>
        <v>0</v>
      </c>
    </row>
    <row r="995" spans="1:15" x14ac:dyDescent="0.25">
      <c r="A995" t="s">
        <v>0</v>
      </c>
      <c r="B995" s="1">
        <v>44713</v>
      </c>
      <c r="C995" s="1">
        <v>55153</v>
      </c>
      <c r="D995" s="4" t="s">
        <v>2173</v>
      </c>
      <c r="E995" s="32" t="s">
        <v>2174</v>
      </c>
      <c r="F995" s="32">
        <v>32658798</v>
      </c>
      <c r="G995" t="s">
        <v>3</v>
      </c>
      <c r="H995" t="s">
        <v>4</v>
      </c>
      <c r="I995" t="s">
        <v>20</v>
      </c>
      <c r="J995" s="30" t="str">
        <f>IF(ISNUMBER(MATCH($D995,'Lopettaneet 2013-&gt;'!$D:$D,0)),INDEX('Lopettaneet 2013-&gt;'!$K:$K,MATCH($D995,'Lopettaneet 2013-&gt;'!$D:$D,0)),"Continues")</f>
        <v>Continues</v>
      </c>
      <c r="K995" s="30">
        <f ca="1">IF($J995="Continues",DATEDIF($B995,TODAY(),"Y"),INDEX('Lopettaneet 2013-&gt;'!$L:$L,MATCH($D995,'Lopettaneet 2013-&gt;'!$D:$D,0)))</f>
        <v>2</v>
      </c>
      <c r="L995" s="31" t="str">
        <f>IFERROR(INDEX('[1]30.06.2024'!$H:$H,MATCH($E995,'[1]30.06.2024'!$B:$B,0)),"Not found")</f>
        <v>Nordea Funds Oy</v>
      </c>
      <c r="M995" s="31" t="str">
        <f>IFERROR(INDEX([2]Sheet1!$B:$B,MATCH($D995,[2]Sheet1!$A:$A,0)),"Not found")</f>
        <v>Retail</v>
      </c>
      <c r="N995">
        <f t="shared" si="30"/>
        <v>1</v>
      </c>
      <c r="O995">
        <f t="shared" si="31"/>
        <v>0</v>
      </c>
    </row>
    <row r="996" spans="1:15" x14ac:dyDescent="0.25">
      <c r="A996" t="s">
        <v>0</v>
      </c>
      <c r="B996" s="1">
        <v>44682</v>
      </c>
      <c r="C996" s="1">
        <v>55153</v>
      </c>
      <c r="D996" s="4" t="s">
        <v>2175</v>
      </c>
      <c r="E996" s="32" t="s">
        <v>2176</v>
      </c>
      <c r="F996" s="32">
        <v>32778407</v>
      </c>
      <c r="G996" t="s">
        <v>3</v>
      </c>
      <c r="H996" t="s">
        <v>4</v>
      </c>
      <c r="I996" t="s">
        <v>20</v>
      </c>
      <c r="J996" s="30" t="str">
        <f>IF(ISNUMBER(MATCH($D996,'Lopettaneet 2013-&gt;'!$D:$D,0)),INDEX('Lopettaneet 2013-&gt;'!$K:$K,MATCH($D996,'Lopettaneet 2013-&gt;'!$D:$D,0)),"Continues")</f>
        <v>Continues</v>
      </c>
      <c r="K996" s="30">
        <f ca="1">IF($J996="Continues",DATEDIF($B996,TODAY(),"Y"),INDEX('Lopettaneet 2013-&gt;'!$L:$L,MATCH($D996,'Lopettaneet 2013-&gt;'!$D:$D,0)))</f>
        <v>3</v>
      </c>
      <c r="L996" s="31" t="str">
        <f>IFERROR(INDEX('[1]30.06.2024'!$H:$H,MATCH($E996,'[1]30.06.2024'!$B:$B,0)),"Not found")</f>
        <v>Sp-Rahastoyhtiö Oy</v>
      </c>
      <c r="M996" s="31" t="str">
        <f>IFERROR(INDEX([2]Sheet1!$B:$B,MATCH($D996,[2]Sheet1!$A:$A,0)),"Not found")</f>
        <v>Retail</v>
      </c>
      <c r="N996">
        <f t="shared" si="30"/>
        <v>1</v>
      </c>
      <c r="O996">
        <f t="shared" si="31"/>
        <v>0</v>
      </c>
    </row>
    <row r="997" spans="1:15" x14ac:dyDescent="0.25">
      <c r="A997" t="s">
        <v>0</v>
      </c>
      <c r="B997" s="1">
        <v>44713</v>
      </c>
      <c r="C997" s="1">
        <v>55153</v>
      </c>
      <c r="D997" s="4" t="s">
        <v>2177</v>
      </c>
      <c r="E997" s="32" t="s">
        <v>2178</v>
      </c>
      <c r="F997" s="32">
        <v>32733137</v>
      </c>
      <c r="G997" t="s">
        <v>10</v>
      </c>
      <c r="H997" t="s">
        <v>4</v>
      </c>
      <c r="I997" t="s">
        <v>20</v>
      </c>
      <c r="J997" s="30" t="str">
        <f>IF(ISNUMBER(MATCH($D997,'Lopettaneet 2013-&gt;'!$D:$D,0)),INDEX('Lopettaneet 2013-&gt;'!$K:$K,MATCH($D997,'Lopettaneet 2013-&gt;'!$D:$D,0)),"Continues")</f>
        <v>Continues</v>
      </c>
      <c r="K997" s="30">
        <f ca="1">IF($J997="Continues",DATEDIF($B997,TODAY(),"Y"),INDEX('Lopettaneet 2013-&gt;'!$L:$L,MATCH($D997,'Lopettaneet 2013-&gt;'!$D:$D,0)))</f>
        <v>2</v>
      </c>
      <c r="L997" s="31" t="str">
        <f>IFERROR(INDEX('[1]30.06.2024'!$H:$H,MATCH($E997,'[1]30.06.2024'!$B:$B,0)),"Not found")</f>
        <v>GRIT Rahastoyhtiö Oy</v>
      </c>
      <c r="M997" s="31" t="str">
        <f>IFERROR(INDEX([2]Sheet1!$B:$B,MATCH($D997,[2]Sheet1!$A:$A,0)),"Not found")</f>
        <v>Retail</v>
      </c>
      <c r="N997">
        <f t="shared" si="30"/>
        <v>1</v>
      </c>
      <c r="O997">
        <f t="shared" si="31"/>
        <v>0</v>
      </c>
    </row>
    <row r="998" spans="1:15" x14ac:dyDescent="0.25">
      <c r="A998" t="s">
        <v>0</v>
      </c>
      <c r="B998" s="1">
        <v>44743</v>
      </c>
      <c r="C998" s="1">
        <v>55153</v>
      </c>
      <c r="D998" s="4" t="s">
        <v>2179</v>
      </c>
      <c r="E998" s="32" t="s">
        <v>2180</v>
      </c>
      <c r="F998" s="32">
        <v>32766916</v>
      </c>
      <c r="G998" t="s">
        <v>10</v>
      </c>
      <c r="H998" t="s">
        <v>11</v>
      </c>
      <c r="I998" t="s">
        <v>20</v>
      </c>
      <c r="J998" s="30" t="str">
        <f>IF(ISNUMBER(MATCH($D998,'Lopettaneet 2013-&gt;'!$D:$D,0)),INDEX('Lopettaneet 2013-&gt;'!$K:$K,MATCH($D998,'Lopettaneet 2013-&gt;'!$D:$D,0)),"Continues")</f>
        <v>Continues</v>
      </c>
      <c r="K998" s="30">
        <f ca="1">IF($J998="Continues",DATEDIF($B998,TODAY(),"Y"),INDEX('Lopettaneet 2013-&gt;'!$L:$L,MATCH($D998,'Lopettaneet 2013-&gt;'!$D:$D,0)))</f>
        <v>2</v>
      </c>
      <c r="L998" s="31" t="str">
        <f>IFERROR(INDEX('[1]30.06.2024'!$H:$H,MATCH($E998,'[1]30.06.2024'!$B:$B,0)),"Not found")</f>
        <v>CapMan AIFM Oy</v>
      </c>
      <c r="M998" s="31" t="str">
        <f>IFERROR(INDEX([2]Sheet1!$B:$B,MATCH($D998,[2]Sheet1!$A:$A,0)),"Not found")</f>
        <v>Non-Retail</v>
      </c>
      <c r="N998">
        <f t="shared" si="30"/>
        <v>0</v>
      </c>
      <c r="O998">
        <f t="shared" si="31"/>
        <v>1</v>
      </c>
    </row>
    <row r="999" spans="1:15" x14ac:dyDescent="0.25">
      <c r="A999" t="s">
        <v>0</v>
      </c>
      <c r="B999" s="1">
        <v>44896</v>
      </c>
      <c r="C999" s="1">
        <v>55153</v>
      </c>
      <c r="D999" s="4" t="s">
        <v>2181</v>
      </c>
      <c r="E999" s="32" t="s">
        <v>2182</v>
      </c>
      <c r="F999" s="32">
        <v>32766887</v>
      </c>
      <c r="G999" t="s">
        <v>10</v>
      </c>
      <c r="H999" t="s">
        <v>11</v>
      </c>
      <c r="I999" t="s">
        <v>29</v>
      </c>
      <c r="J999" s="30" t="str">
        <f>IF(ISNUMBER(MATCH($D999,'Lopettaneet 2013-&gt;'!$D:$D,0)),INDEX('Lopettaneet 2013-&gt;'!$K:$K,MATCH($D999,'Lopettaneet 2013-&gt;'!$D:$D,0)),"Continues")</f>
        <v>Continues</v>
      </c>
      <c r="K999" s="30">
        <f ca="1">IF($J999="Continues",DATEDIF($B999,TODAY(),"Y"),INDEX('Lopettaneet 2013-&gt;'!$L:$L,MATCH($D999,'Lopettaneet 2013-&gt;'!$D:$D,0)))</f>
        <v>2</v>
      </c>
      <c r="L999" s="31" t="str">
        <f>IFERROR(INDEX('[1]30.06.2024'!$H:$H,MATCH($E999,'[1]30.06.2024'!$B:$B,0)),"Not found")</f>
        <v>CapMan AIFM Oy</v>
      </c>
      <c r="M999" s="31" t="str">
        <f>IFERROR(INDEX([2]Sheet1!$B:$B,MATCH($D999,[2]Sheet1!$A:$A,0)),"Not found")</f>
        <v>Non-Retail</v>
      </c>
      <c r="N999">
        <f t="shared" si="30"/>
        <v>0</v>
      </c>
      <c r="O999">
        <f t="shared" si="31"/>
        <v>1</v>
      </c>
    </row>
    <row r="1000" spans="1:15" x14ac:dyDescent="0.25">
      <c r="A1000" t="s">
        <v>7</v>
      </c>
      <c r="B1000" s="1">
        <v>44621</v>
      </c>
      <c r="C1000" s="1">
        <v>55153</v>
      </c>
      <c r="D1000" s="4" t="s">
        <v>2183</v>
      </c>
      <c r="E1000" s="32" t="s">
        <v>2184</v>
      </c>
      <c r="F1000" s="32">
        <v>32184916</v>
      </c>
      <c r="G1000" t="s">
        <v>10</v>
      </c>
      <c r="H1000" t="s">
        <v>11</v>
      </c>
      <c r="I1000" t="s">
        <v>12</v>
      </c>
      <c r="J1000" s="30" t="str">
        <f>IF(ISNUMBER(MATCH($D1000,'Lopettaneet 2013-&gt;'!$D:$D,0)),INDEX('Lopettaneet 2013-&gt;'!$K:$K,MATCH($D1000,'Lopettaneet 2013-&gt;'!$D:$D,0)),"Continues")</f>
        <v>Continues</v>
      </c>
      <c r="K1000" s="30">
        <f ca="1">IF($J1000="Continues",DATEDIF($B1000,TODAY(),"Y"),INDEX('Lopettaneet 2013-&gt;'!$L:$L,MATCH($D1000,'Lopettaneet 2013-&gt;'!$D:$D,0)))</f>
        <v>3</v>
      </c>
      <c r="L1000" s="31" t="str">
        <f>IFERROR(INDEX('[1]30.06.2024'!$H:$H,MATCH($E1000,'[1]30.06.2024'!$B:$B,0)),"Not found")</f>
        <v>Canelco Management Oy</v>
      </c>
      <c r="M1000" s="31" t="str">
        <f>IFERROR(INDEX([2]Sheet1!$B:$B,MATCH($D1000,[2]Sheet1!$A:$A,0)),"Not found")</f>
        <v>Non-Retail</v>
      </c>
      <c r="N1000">
        <f t="shared" si="30"/>
        <v>0</v>
      </c>
      <c r="O1000">
        <f t="shared" si="31"/>
        <v>1</v>
      </c>
    </row>
    <row r="1001" spans="1:15" x14ac:dyDescent="0.25">
      <c r="A1001" t="s">
        <v>7</v>
      </c>
      <c r="B1001" s="1">
        <v>44896</v>
      </c>
      <c r="C1001" s="1">
        <v>55153</v>
      </c>
      <c r="D1001" s="4" t="s">
        <v>2185</v>
      </c>
      <c r="E1001" s="32" t="s">
        <v>2186</v>
      </c>
      <c r="F1001" s="32">
        <v>33197997</v>
      </c>
      <c r="G1001" t="s">
        <v>10</v>
      </c>
      <c r="H1001" t="s">
        <v>11</v>
      </c>
      <c r="I1001" t="s">
        <v>80</v>
      </c>
      <c r="J1001" s="30" t="str">
        <f>IF(ISNUMBER(MATCH($D1001,'Lopettaneet 2013-&gt;'!$D:$D,0)),INDEX('Lopettaneet 2013-&gt;'!$K:$K,MATCH($D1001,'Lopettaneet 2013-&gt;'!$D:$D,0)),"Continues")</f>
        <v>Continues</v>
      </c>
      <c r="K1001" s="30">
        <f ca="1">IF($J1001="Continues",DATEDIF($B1001,TODAY(),"Y"),INDEX('Lopettaneet 2013-&gt;'!$L:$L,MATCH($D1001,'Lopettaneet 2013-&gt;'!$D:$D,0)))</f>
        <v>2</v>
      </c>
      <c r="L1001" s="31" t="str">
        <f>IFERROR(INDEX('[1]30.06.2024'!$H:$H,MATCH($E1001,'[1]30.06.2024'!$B:$B,0)),"Not found")</f>
        <v>Superhero Capital Oy</v>
      </c>
      <c r="M1001" s="31" t="str">
        <f>IFERROR(INDEX([2]Sheet1!$B:$B,MATCH($D1001,[2]Sheet1!$A:$A,0)),"Not found")</f>
        <v>Retail</v>
      </c>
      <c r="N1001">
        <f t="shared" si="30"/>
        <v>1</v>
      </c>
      <c r="O1001">
        <f t="shared" si="31"/>
        <v>0</v>
      </c>
    </row>
    <row r="1002" spans="1:15" x14ac:dyDescent="0.25">
      <c r="A1002" t="s">
        <v>7</v>
      </c>
      <c r="B1002" s="1">
        <v>44896</v>
      </c>
      <c r="C1002" s="1">
        <v>55153</v>
      </c>
      <c r="D1002" s="4" t="s">
        <v>2187</v>
      </c>
      <c r="E1002" s="32" t="s">
        <v>2188</v>
      </c>
      <c r="F1002" s="32">
        <v>32973325</v>
      </c>
      <c r="G1002" t="s">
        <v>10</v>
      </c>
      <c r="H1002" t="s">
        <v>11</v>
      </c>
      <c r="I1002" t="s">
        <v>12</v>
      </c>
      <c r="J1002" s="30" t="str">
        <f>IF(ISNUMBER(MATCH($D1002,'Lopettaneet 2013-&gt;'!$D:$D,0)),INDEX('Lopettaneet 2013-&gt;'!$K:$K,MATCH($D1002,'Lopettaneet 2013-&gt;'!$D:$D,0)),"Continues")</f>
        <v>Continues</v>
      </c>
      <c r="K1002" s="30">
        <f ca="1">IF($J1002="Continues",DATEDIF($B1002,TODAY(),"Y"),INDEX('Lopettaneet 2013-&gt;'!$L:$L,MATCH($D1002,'Lopettaneet 2013-&gt;'!$D:$D,0)))</f>
        <v>2</v>
      </c>
      <c r="L1002" s="31" t="str">
        <f>IFERROR(INDEX('[1]30.06.2024'!$H:$H,MATCH($E1002,'[1]30.06.2024'!$B:$B,0)),"Not found")</f>
        <v>Voland Partners Oy</v>
      </c>
      <c r="M1002" s="31" t="str">
        <f>IFERROR(INDEX([2]Sheet1!$B:$B,MATCH($D1002,[2]Sheet1!$A:$A,0)),"Not found")</f>
        <v>Retail</v>
      </c>
      <c r="N1002">
        <f t="shared" si="30"/>
        <v>1</v>
      </c>
      <c r="O1002">
        <f t="shared" si="31"/>
        <v>0</v>
      </c>
    </row>
    <row r="1003" spans="1:15" x14ac:dyDescent="0.25">
      <c r="A1003" t="s">
        <v>7</v>
      </c>
      <c r="B1003" s="1">
        <v>44896</v>
      </c>
      <c r="C1003" s="1">
        <v>55153</v>
      </c>
      <c r="D1003" s="4" t="s">
        <v>2189</v>
      </c>
      <c r="E1003" s="32" t="s">
        <v>2190</v>
      </c>
      <c r="F1003" s="32">
        <v>33316706</v>
      </c>
      <c r="G1003" t="s">
        <v>10</v>
      </c>
      <c r="H1003" t="s">
        <v>11</v>
      </c>
      <c r="I1003" t="s">
        <v>12</v>
      </c>
      <c r="J1003" s="30" t="str">
        <f>IF(ISNUMBER(MATCH($D1003,'Lopettaneet 2013-&gt;'!$D:$D,0)),INDEX('Lopettaneet 2013-&gt;'!$K:$K,MATCH($D1003,'Lopettaneet 2013-&gt;'!$D:$D,0)),"Continues")</f>
        <v>Continues</v>
      </c>
      <c r="K1003" s="30">
        <f ca="1">IF($J1003="Continues",DATEDIF($B1003,TODAY(),"Y"),INDEX('Lopettaneet 2013-&gt;'!$L:$L,MATCH($D1003,'Lopettaneet 2013-&gt;'!$D:$D,0)))</f>
        <v>2</v>
      </c>
      <c r="L1003" s="31" t="str">
        <f>IFERROR(INDEX('[1]30.06.2024'!$H:$H,MATCH($E1003,'[1]30.06.2024'!$B:$B,0)),"Not found")</f>
        <v>Saari Partners Oy</v>
      </c>
      <c r="M1003" s="31" t="str">
        <f>IFERROR(INDEX([2]Sheet1!$B:$B,MATCH($D1003,[2]Sheet1!$A:$A,0)),"Not found")</f>
        <v>Non-Retail</v>
      </c>
      <c r="N1003">
        <f t="shared" si="30"/>
        <v>0</v>
      </c>
      <c r="O1003">
        <f t="shared" si="31"/>
        <v>1</v>
      </c>
    </row>
    <row r="1004" spans="1:15" x14ac:dyDescent="0.25">
      <c r="A1004" t="s">
        <v>0</v>
      </c>
      <c r="B1004" s="1">
        <v>44713</v>
      </c>
      <c r="C1004" s="1">
        <v>55153</v>
      </c>
      <c r="D1004" s="4" t="s">
        <v>2191</v>
      </c>
      <c r="E1004" s="32" t="s">
        <v>2192</v>
      </c>
      <c r="F1004" s="32">
        <v>32850501</v>
      </c>
      <c r="G1004" t="s">
        <v>3</v>
      </c>
      <c r="H1004" t="s">
        <v>4</v>
      </c>
      <c r="I1004" t="s">
        <v>20</v>
      </c>
      <c r="J1004" s="30" t="str">
        <f>IF(ISNUMBER(MATCH($D1004,'Lopettaneet 2013-&gt;'!$D:$D,0)),INDEX('Lopettaneet 2013-&gt;'!$K:$K,MATCH($D1004,'Lopettaneet 2013-&gt;'!$D:$D,0)),"Continues")</f>
        <v>Continues</v>
      </c>
      <c r="K1004" s="30">
        <f ca="1">IF($J1004="Continues",DATEDIF($B1004,TODAY(),"Y"),INDEX('Lopettaneet 2013-&gt;'!$L:$L,MATCH($D1004,'Lopettaneet 2013-&gt;'!$D:$D,0)))</f>
        <v>2</v>
      </c>
      <c r="L1004" s="31" t="str">
        <f>IFERROR(INDEX('[1]30.06.2024'!$H:$H,MATCH($E1004,'[1]30.06.2024'!$B:$B,0)),"Not found")</f>
        <v>Nordea Funds Oy</v>
      </c>
      <c r="M1004" s="31" t="str">
        <f>IFERROR(INDEX([2]Sheet1!$B:$B,MATCH($D1004,[2]Sheet1!$A:$A,0)),"Not found")</f>
        <v>Retail</v>
      </c>
      <c r="N1004">
        <f t="shared" si="30"/>
        <v>1</v>
      </c>
      <c r="O1004">
        <f t="shared" si="31"/>
        <v>0</v>
      </c>
    </row>
    <row r="1005" spans="1:15" x14ac:dyDescent="0.25">
      <c r="A1005" t="s">
        <v>0</v>
      </c>
      <c r="B1005" s="1">
        <v>45261</v>
      </c>
      <c r="C1005" s="1">
        <v>55153</v>
      </c>
      <c r="D1005" s="4" t="s">
        <v>76</v>
      </c>
      <c r="E1005" s="32" t="s">
        <v>77</v>
      </c>
      <c r="F1005" s="32">
        <v>33981124</v>
      </c>
      <c r="G1005" t="s">
        <v>3</v>
      </c>
      <c r="H1005" t="s">
        <v>4</v>
      </c>
      <c r="I1005" t="s">
        <v>20</v>
      </c>
      <c r="J1005" s="30" t="str">
        <f>IF(ISNUMBER(MATCH($D1005,'Lopettaneet 2013-&gt;'!$D:$D,0)),INDEX('Lopettaneet 2013-&gt;'!$K:$K,MATCH($D1005,'Lopettaneet 2013-&gt;'!$D:$D,0)),"Continues")</f>
        <v>Continues</v>
      </c>
      <c r="K1005" s="30">
        <f ca="1">IF($J1005="Continues",DATEDIF($B1005,TODAY(),"Y"),INDEX('Lopettaneet 2013-&gt;'!$L:$L,MATCH($D1005,'Lopettaneet 2013-&gt;'!$D:$D,0)))</f>
        <v>1</v>
      </c>
      <c r="L1005" s="31" t="str">
        <f>IFERROR(INDEX('[1]30.06.2024'!$H:$H,MATCH($E1005,'[1]30.06.2024'!$B:$B,0)),"Not found")</f>
        <v>Evli-Rahastoyhtiö Oy</v>
      </c>
      <c r="M1005" s="31" t="str">
        <f>IFERROR(INDEX([2]Sheet1!$B:$B,MATCH($D1005,[2]Sheet1!$A:$A,0)),"Not found")</f>
        <v>Retail</v>
      </c>
      <c r="N1005">
        <f t="shared" si="30"/>
        <v>1</v>
      </c>
      <c r="O1005">
        <f t="shared" si="31"/>
        <v>0</v>
      </c>
    </row>
    <row r="1006" spans="1:15" x14ac:dyDescent="0.25">
      <c r="A1006" t="s">
        <v>7</v>
      </c>
      <c r="B1006" s="1">
        <v>44713</v>
      </c>
      <c r="C1006" s="1">
        <v>55153</v>
      </c>
      <c r="D1006" s="4" t="s">
        <v>2193</v>
      </c>
      <c r="E1006" s="32" t="s">
        <v>2194</v>
      </c>
      <c r="F1006" s="32">
        <v>32850763</v>
      </c>
      <c r="G1006" t="s">
        <v>10</v>
      </c>
      <c r="H1006" t="s">
        <v>11</v>
      </c>
      <c r="I1006" t="s">
        <v>29</v>
      </c>
      <c r="J1006" s="30" t="str">
        <f>IF(ISNUMBER(MATCH($D1006,'Lopettaneet 2013-&gt;'!$D:$D,0)),INDEX('Lopettaneet 2013-&gt;'!$K:$K,MATCH($D1006,'Lopettaneet 2013-&gt;'!$D:$D,0)),"Continues")</f>
        <v>Continues</v>
      </c>
      <c r="K1006" s="30">
        <f ca="1">IF($J1006="Continues",DATEDIF($B1006,TODAY(),"Y"),INDEX('Lopettaneet 2013-&gt;'!$L:$L,MATCH($D1006,'Lopettaneet 2013-&gt;'!$D:$D,0)))</f>
        <v>2</v>
      </c>
      <c r="L1006" s="31" t="str">
        <f>IFERROR(INDEX('[1]30.06.2024'!$H:$H,MATCH($E1006,'[1]30.06.2024'!$B:$B,0)),"Not found")</f>
        <v>Evli-Rahastoyhtiö Oy</v>
      </c>
      <c r="M1006" s="31" t="str">
        <f>IFERROR(INDEX([2]Sheet1!$B:$B,MATCH($D1006,[2]Sheet1!$A:$A,0)),"Not found")</f>
        <v>Retail</v>
      </c>
      <c r="N1006">
        <f t="shared" si="30"/>
        <v>1</v>
      </c>
      <c r="O1006">
        <f t="shared" si="31"/>
        <v>0</v>
      </c>
    </row>
    <row r="1007" spans="1:15" x14ac:dyDescent="0.25">
      <c r="A1007" t="s">
        <v>7</v>
      </c>
      <c r="B1007" s="1">
        <v>44896</v>
      </c>
      <c r="C1007" s="1">
        <v>55153</v>
      </c>
      <c r="D1007" s="4" t="s">
        <v>2195</v>
      </c>
      <c r="E1007" s="32" t="s">
        <v>2196</v>
      </c>
      <c r="F1007" s="32">
        <v>32959814</v>
      </c>
      <c r="G1007" t="s">
        <v>10</v>
      </c>
      <c r="H1007" t="s">
        <v>11</v>
      </c>
      <c r="I1007" t="s">
        <v>12</v>
      </c>
      <c r="J1007" s="30" t="str">
        <f>IF(ISNUMBER(MATCH($D1007,'Lopettaneet 2013-&gt;'!$D:$D,0)),INDEX('Lopettaneet 2013-&gt;'!$K:$K,MATCH($D1007,'Lopettaneet 2013-&gt;'!$D:$D,0)),"Continues")</f>
        <v>Continues</v>
      </c>
      <c r="K1007" s="30">
        <f ca="1">IF($J1007="Continues",DATEDIF($B1007,TODAY(),"Y"),INDEX('Lopettaneet 2013-&gt;'!$L:$L,MATCH($D1007,'Lopettaneet 2013-&gt;'!$D:$D,0)))</f>
        <v>2</v>
      </c>
      <c r="L1007" s="31" t="str">
        <f>IFERROR(INDEX('[1]30.06.2024'!$H:$H,MATCH($E1007,'[1]30.06.2024'!$B:$B,0)),"Not found")</f>
        <v>Voland Partners Oy</v>
      </c>
      <c r="M1007" s="31" t="str">
        <f>IFERROR(INDEX([2]Sheet1!$B:$B,MATCH($D1007,[2]Sheet1!$A:$A,0)),"Not found")</f>
        <v>Retail</v>
      </c>
      <c r="N1007">
        <f t="shared" si="30"/>
        <v>1</v>
      </c>
      <c r="O1007">
        <f t="shared" si="31"/>
        <v>0</v>
      </c>
    </row>
    <row r="1008" spans="1:15" x14ac:dyDescent="0.25">
      <c r="A1008" t="s">
        <v>0</v>
      </c>
      <c r="B1008" s="1">
        <v>44866</v>
      </c>
      <c r="C1008" s="1">
        <v>55153</v>
      </c>
      <c r="D1008" s="4" t="s">
        <v>2197</v>
      </c>
      <c r="E1008" s="32" t="s">
        <v>2198</v>
      </c>
      <c r="F1008" s="32">
        <v>33080262</v>
      </c>
      <c r="G1008" t="s">
        <v>3</v>
      </c>
      <c r="H1008" t="s">
        <v>4</v>
      </c>
      <c r="I1008" t="s">
        <v>20</v>
      </c>
      <c r="J1008" s="30" t="str">
        <f>IF(ISNUMBER(MATCH($D1008,'Lopettaneet 2013-&gt;'!$D:$D,0)),INDEX('Lopettaneet 2013-&gt;'!$K:$K,MATCH($D1008,'Lopettaneet 2013-&gt;'!$D:$D,0)),"Continues")</f>
        <v>Continues</v>
      </c>
      <c r="K1008" s="30">
        <f ca="1">IF($J1008="Continues",DATEDIF($B1008,TODAY(),"Y"),INDEX('Lopettaneet 2013-&gt;'!$L:$L,MATCH($D1008,'Lopettaneet 2013-&gt;'!$D:$D,0)))</f>
        <v>2</v>
      </c>
      <c r="L1008" s="31" t="str">
        <f>IFERROR(INDEX('[1]30.06.2024'!$H:$H,MATCH($E1008,'[1]30.06.2024'!$B:$B,0)),"Not found")</f>
        <v>Evli-Rahastoyhtiö Oy</v>
      </c>
      <c r="M1008" s="31" t="str">
        <f>IFERROR(INDEX([2]Sheet1!$B:$B,MATCH($D1008,[2]Sheet1!$A:$A,0)),"Not found")</f>
        <v>Retail</v>
      </c>
      <c r="N1008">
        <f t="shared" si="30"/>
        <v>1</v>
      </c>
      <c r="O1008">
        <f t="shared" si="31"/>
        <v>0</v>
      </c>
    </row>
    <row r="1009" spans="1:15" x14ac:dyDescent="0.25">
      <c r="A1009" t="s">
        <v>0</v>
      </c>
      <c r="B1009" s="1">
        <v>44805</v>
      </c>
      <c r="C1009" s="1">
        <v>55153</v>
      </c>
      <c r="D1009" s="4" t="s">
        <v>2199</v>
      </c>
      <c r="E1009" s="32" t="s">
        <v>2200</v>
      </c>
      <c r="F1009" s="32">
        <v>33066225</v>
      </c>
      <c r="G1009" t="s">
        <v>3</v>
      </c>
      <c r="H1009" t="s">
        <v>4</v>
      </c>
      <c r="I1009" t="s">
        <v>20</v>
      </c>
      <c r="J1009" s="30" t="str">
        <f>IF(ISNUMBER(MATCH($D1009,'Lopettaneet 2013-&gt;'!$D:$D,0)),INDEX('Lopettaneet 2013-&gt;'!$K:$K,MATCH($D1009,'Lopettaneet 2013-&gt;'!$D:$D,0)),"Continues")</f>
        <v>Continues</v>
      </c>
      <c r="K1009" s="30">
        <f ca="1">IF($J1009="Continues",DATEDIF($B1009,TODAY(),"Y"),INDEX('Lopettaneet 2013-&gt;'!$L:$L,MATCH($D1009,'Lopettaneet 2013-&gt;'!$D:$D,0)))</f>
        <v>2</v>
      </c>
      <c r="L1009" s="31" t="str">
        <f>IFERROR(INDEX('[1]30.06.2024'!$H:$H,MATCH($E1009,'[1]30.06.2024'!$B:$B,0)),"Not found")</f>
        <v>Evli-Rahastoyhtiö Oy</v>
      </c>
      <c r="M1009" s="31" t="str">
        <f>IFERROR(INDEX([2]Sheet1!$B:$B,MATCH($D1009,[2]Sheet1!$A:$A,0)),"Not found")</f>
        <v>Retail</v>
      </c>
      <c r="N1009">
        <f t="shared" si="30"/>
        <v>1</v>
      </c>
      <c r="O1009">
        <f t="shared" si="31"/>
        <v>0</v>
      </c>
    </row>
    <row r="1010" spans="1:15" x14ac:dyDescent="0.25">
      <c r="A1010" t="s">
        <v>7</v>
      </c>
      <c r="B1010" s="1">
        <v>45170</v>
      </c>
      <c r="C1010" s="1">
        <v>55153</v>
      </c>
      <c r="D1010" s="4" t="s">
        <v>78</v>
      </c>
      <c r="E1010" s="32" t="s">
        <v>79</v>
      </c>
      <c r="F1010" s="32">
        <v>33757966</v>
      </c>
      <c r="G1010" t="s">
        <v>10</v>
      </c>
      <c r="H1010" t="s">
        <v>11</v>
      </c>
      <c r="I1010" t="s">
        <v>80</v>
      </c>
      <c r="J1010" s="30" t="str">
        <f>IF(ISNUMBER(MATCH($D1010,'Lopettaneet 2013-&gt;'!$D:$D,0)),INDEX('Lopettaneet 2013-&gt;'!$K:$K,MATCH($D1010,'Lopettaneet 2013-&gt;'!$D:$D,0)),"Continues")</f>
        <v>Continues</v>
      </c>
      <c r="K1010" s="30">
        <f ca="1">IF($J1010="Continues",DATEDIF($B1010,TODAY(),"Y"),INDEX('Lopettaneet 2013-&gt;'!$L:$L,MATCH($D1010,'Lopettaneet 2013-&gt;'!$D:$D,0)))</f>
        <v>1</v>
      </c>
      <c r="L1010" s="31" t="str">
        <f>IFERROR(INDEX('[1]30.06.2024'!$H:$H,MATCH($E1010,'[1]30.06.2024'!$B:$B,0)),"Not found")</f>
        <v>Gorilla Capital Management Oy</v>
      </c>
      <c r="M1010" s="31" t="str">
        <f>IFERROR(INDEX([2]Sheet1!$B:$B,MATCH($D1010,[2]Sheet1!$A:$A,0)),"Not found")</f>
        <v>Non-Retail</v>
      </c>
      <c r="N1010">
        <f t="shared" si="30"/>
        <v>0</v>
      </c>
      <c r="O1010">
        <f t="shared" si="31"/>
        <v>1</v>
      </c>
    </row>
    <row r="1011" spans="1:15" x14ac:dyDescent="0.25">
      <c r="A1011" t="s">
        <v>7</v>
      </c>
      <c r="B1011" s="1">
        <v>44896</v>
      </c>
      <c r="C1011" s="1">
        <v>55153</v>
      </c>
      <c r="D1011" s="4" t="s">
        <v>2201</v>
      </c>
      <c r="E1011" s="32" t="s">
        <v>2202</v>
      </c>
      <c r="F1011" s="32">
        <v>32960751</v>
      </c>
      <c r="G1011" t="s">
        <v>10</v>
      </c>
      <c r="H1011" t="s">
        <v>11</v>
      </c>
      <c r="I1011" t="s">
        <v>80</v>
      </c>
      <c r="J1011" s="30" t="str">
        <f>IF(ISNUMBER(MATCH($D1011,'Lopettaneet 2013-&gt;'!$D:$D,0)),INDEX('Lopettaneet 2013-&gt;'!$K:$K,MATCH($D1011,'Lopettaneet 2013-&gt;'!$D:$D,0)),"Continues")</f>
        <v>Continues</v>
      </c>
      <c r="K1011" s="30">
        <f ca="1">IF($J1011="Continues",DATEDIF($B1011,TODAY(),"Y"),INDEX('Lopettaneet 2013-&gt;'!$L:$L,MATCH($D1011,'Lopettaneet 2013-&gt;'!$D:$D,0)))</f>
        <v>2</v>
      </c>
      <c r="L1011" s="31" t="str">
        <f>IFERROR(INDEX('[1]30.06.2024'!$H:$H,MATCH($E1011,'[1]30.06.2024'!$B:$B,0)),"Not found")</f>
        <v>Onventure Oy</v>
      </c>
      <c r="M1011" s="31" t="str">
        <f>IFERROR(INDEX([2]Sheet1!$B:$B,MATCH($D1011,[2]Sheet1!$A:$A,0)),"Not found")</f>
        <v>Retail</v>
      </c>
      <c r="N1011">
        <f t="shared" si="30"/>
        <v>1</v>
      </c>
      <c r="O1011">
        <f t="shared" si="31"/>
        <v>0</v>
      </c>
    </row>
    <row r="1012" spans="1:15" x14ac:dyDescent="0.25">
      <c r="A1012" t="s">
        <v>7</v>
      </c>
      <c r="B1012" s="1">
        <v>44986</v>
      </c>
      <c r="C1012" s="1">
        <v>55153</v>
      </c>
      <c r="D1012" s="4" t="s">
        <v>81</v>
      </c>
      <c r="E1012" s="32" t="s">
        <v>82</v>
      </c>
      <c r="F1012" s="32">
        <v>32998469</v>
      </c>
      <c r="G1012" t="s">
        <v>10</v>
      </c>
      <c r="H1012" t="s">
        <v>11</v>
      </c>
      <c r="I1012" t="s">
        <v>29</v>
      </c>
      <c r="J1012" s="30" t="str">
        <f>IF(ISNUMBER(MATCH($D1012,'Lopettaneet 2013-&gt;'!$D:$D,0)),INDEX('Lopettaneet 2013-&gt;'!$K:$K,MATCH($D1012,'Lopettaneet 2013-&gt;'!$D:$D,0)),"Continues")</f>
        <v>Continues</v>
      </c>
      <c r="K1012" s="30">
        <f ca="1">IF($J1012="Continues",DATEDIF($B1012,TODAY(),"Y"),INDEX('Lopettaneet 2013-&gt;'!$L:$L,MATCH($D1012,'Lopettaneet 2013-&gt;'!$D:$D,0)))</f>
        <v>2</v>
      </c>
      <c r="L1012" s="31" t="str">
        <f>IFERROR(INDEX('[1]30.06.2024'!$H:$H,MATCH($E1012,'[1]30.06.2024'!$B:$B,0)),"Not found")</f>
        <v>Evli-Rahastoyhtiö Oy</v>
      </c>
      <c r="M1012" s="31" t="str">
        <f>IFERROR(INDEX([2]Sheet1!$B:$B,MATCH($D1012,[2]Sheet1!$A:$A,0)),"Not found")</f>
        <v>Retail</v>
      </c>
      <c r="N1012">
        <f t="shared" si="30"/>
        <v>1</v>
      </c>
      <c r="O1012">
        <f t="shared" si="31"/>
        <v>0</v>
      </c>
    </row>
    <row r="1013" spans="1:15" x14ac:dyDescent="0.25">
      <c r="A1013" t="s">
        <v>7</v>
      </c>
      <c r="B1013" s="1">
        <v>44986</v>
      </c>
      <c r="C1013" s="1">
        <v>55153</v>
      </c>
      <c r="D1013" s="4" t="s">
        <v>83</v>
      </c>
      <c r="E1013" s="32" t="s">
        <v>84</v>
      </c>
      <c r="F1013" s="32">
        <v>32998442</v>
      </c>
      <c r="G1013" t="s">
        <v>10</v>
      </c>
      <c r="H1013" t="s">
        <v>11</v>
      </c>
      <c r="I1013" t="s">
        <v>29</v>
      </c>
      <c r="J1013" s="30" t="str">
        <f>IF(ISNUMBER(MATCH($D1013,'Lopettaneet 2013-&gt;'!$D:$D,0)),INDEX('Lopettaneet 2013-&gt;'!$K:$K,MATCH($D1013,'Lopettaneet 2013-&gt;'!$D:$D,0)),"Continues")</f>
        <v>Continues</v>
      </c>
      <c r="K1013" s="30">
        <f ca="1">IF($J1013="Continues",DATEDIF($B1013,TODAY(),"Y"),INDEX('Lopettaneet 2013-&gt;'!$L:$L,MATCH($D1013,'Lopettaneet 2013-&gt;'!$D:$D,0)))</f>
        <v>2</v>
      </c>
      <c r="L1013" s="31" t="str">
        <f>IFERROR(INDEX('[1]30.06.2024'!$H:$H,MATCH($E1013,'[1]30.06.2024'!$B:$B,0)),"Not found")</f>
        <v>Evli-Rahastoyhtiö Oy</v>
      </c>
      <c r="M1013" s="31" t="str">
        <f>IFERROR(INDEX([2]Sheet1!$B:$B,MATCH($D1013,[2]Sheet1!$A:$A,0)),"Not found")</f>
        <v>Retail</v>
      </c>
      <c r="N1013">
        <f t="shared" si="30"/>
        <v>1</v>
      </c>
      <c r="O1013">
        <f t="shared" si="31"/>
        <v>0</v>
      </c>
    </row>
    <row r="1014" spans="1:15" x14ac:dyDescent="0.25">
      <c r="A1014" t="s">
        <v>7</v>
      </c>
      <c r="B1014" s="1">
        <v>44805</v>
      </c>
      <c r="C1014" s="1">
        <v>55153</v>
      </c>
      <c r="D1014" s="4" t="s">
        <v>2203</v>
      </c>
      <c r="E1014" s="32" t="s">
        <v>2204</v>
      </c>
      <c r="F1014" s="32">
        <v>32972904</v>
      </c>
      <c r="G1014" t="s">
        <v>10</v>
      </c>
      <c r="H1014" t="s">
        <v>11</v>
      </c>
      <c r="I1014" t="s">
        <v>32</v>
      </c>
      <c r="J1014" s="30" t="str">
        <f>IF(ISNUMBER(MATCH($D1014,'Lopettaneet 2013-&gt;'!$D:$D,0)),INDEX('Lopettaneet 2013-&gt;'!$K:$K,MATCH($D1014,'Lopettaneet 2013-&gt;'!$D:$D,0)),"Continues")</f>
        <v>Continues</v>
      </c>
      <c r="K1014" s="30">
        <f ca="1">IF($J1014="Continues",DATEDIF($B1014,TODAY(),"Y"),INDEX('Lopettaneet 2013-&gt;'!$L:$L,MATCH($D1014,'Lopettaneet 2013-&gt;'!$D:$D,0)))</f>
        <v>2</v>
      </c>
      <c r="L1014" s="31" t="str">
        <f>IFERROR(INDEX('[1]30.06.2024'!$H:$H,MATCH($E1014,'[1]30.06.2024'!$B:$B,0)),"Not found")</f>
        <v>Evli-Rahastoyhtiö Oy</v>
      </c>
      <c r="M1014" s="31" t="str">
        <f>IFERROR(INDEX([2]Sheet1!$B:$B,MATCH($D1014,[2]Sheet1!$A:$A,0)),"Not found")</f>
        <v>Retail</v>
      </c>
      <c r="N1014">
        <f t="shared" si="30"/>
        <v>1</v>
      </c>
      <c r="O1014">
        <f t="shared" si="31"/>
        <v>0</v>
      </c>
    </row>
    <row r="1015" spans="1:15" x14ac:dyDescent="0.25">
      <c r="A1015" t="s">
        <v>7</v>
      </c>
      <c r="B1015" s="1">
        <v>44805</v>
      </c>
      <c r="C1015" s="1">
        <v>55153</v>
      </c>
      <c r="D1015" s="4" t="s">
        <v>2205</v>
      </c>
      <c r="E1015" s="32" t="s">
        <v>2206</v>
      </c>
      <c r="F1015" s="32">
        <v>32972891</v>
      </c>
      <c r="G1015" t="s">
        <v>10</v>
      </c>
      <c r="H1015" t="s">
        <v>11</v>
      </c>
      <c r="I1015" t="s">
        <v>29</v>
      </c>
      <c r="J1015" s="30" t="str">
        <f>IF(ISNUMBER(MATCH($D1015,'Lopettaneet 2013-&gt;'!$D:$D,0)),INDEX('Lopettaneet 2013-&gt;'!$K:$K,MATCH($D1015,'Lopettaneet 2013-&gt;'!$D:$D,0)),"Continues")</f>
        <v>Continues</v>
      </c>
      <c r="K1015" s="30">
        <f ca="1">IF($J1015="Continues",DATEDIF($B1015,TODAY(),"Y"),INDEX('Lopettaneet 2013-&gt;'!$L:$L,MATCH($D1015,'Lopettaneet 2013-&gt;'!$D:$D,0)))</f>
        <v>2</v>
      </c>
      <c r="L1015" s="31" t="str">
        <f>IFERROR(INDEX('[1]30.06.2024'!$H:$H,MATCH($E1015,'[1]30.06.2024'!$B:$B,0)),"Not found")</f>
        <v>Evli-Rahastoyhtiö Oy</v>
      </c>
      <c r="M1015" s="31" t="str">
        <f>IFERROR(INDEX([2]Sheet1!$B:$B,MATCH($D1015,[2]Sheet1!$A:$A,0)),"Not found")</f>
        <v>Retail</v>
      </c>
      <c r="N1015">
        <f t="shared" si="30"/>
        <v>1</v>
      </c>
      <c r="O1015">
        <f t="shared" si="31"/>
        <v>0</v>
      </c>
    </row>
    <row r="1016" spans="1:15" x14ac:dyDescent="0.25">
      <c r="A1016" t="s">
        <v>7</v>
      </c>
      <c r="B1016" s="1">
        <v>44986</v>
      </c>
      <c r="C1016" s="1">
        <v>55153</v>
      </c>
      <c r="D1016" s="4" t="s">
        <v>85</v>
      </c>
      <c r="E1016" s="32" t="s">
        <v>86</v>
      </c>
      <c r="F1016" s="32">
        <v>33058321</v>
      </c>
      <c r="G1016" t="s">
        <v>10</v>
      </c>
      <c r="H1016" t="s">
        <v>11</v>
      </c>
      <c r="I1016" t="s">
        <v>29</v>
      </c>
      <c r="J1016" s="30" t="str">
        <f>IF(ISNUMBER(MATCH($D1016,'Lopettaneet 2013-&gt;'!$D:$D,0)),INDEX('Lopettaneet 2013-&gt;'!$K:$K,MATCH($D1016,'Lopettaneet 2013-&gt;'!$D:$D,0)),"Continues")</f>
        <v>Continues</v>
      </c>
      <c r="K1016" s="30">
        <f ca="1">IF($J1016="Continues",DATEDIF($B1016,TODAY(),"Y"),INDEX('Lopettaneet 2013-&gt;'!$L:$L,MATCH($D1016,'Lopettaneet 2013-&gt;'!$D:$D,0)))</f>
        <v>2</v>
      </c>
      <c r="L1016" s="31" t="str">
        <f>IFERROR(INDEX('[1]30.06.2024'!$H:$H,MATCH($E1016,'[1]30.06.2024'!$B:$B,0)),"Not found")</f>
        <v>Evli-Rahastoyhtiö Oy</v>
      </c>
      <c r="M1016" s="31" t="str">
        <f>IFERROR(INDEX([2]Sheet1!$B:$B,MATCH($D1016,[2]Sheet1!$A:$A,0)),"Not found")</f>
        <v>Retail</v>
      </c>
      <c r="N1016">
        <f t="shared" si="30"/>
        <v>1</v>
      </c>
      <c r="O1016">
        <f t="shared" si="31"/>
        <v>0</v>
      </c>
    </row>
    <row r="1017" spans="1:15" x14ac:dyDescent="0.25">
      <c r="A1017" t="s">
        <v>7</v>
      </c>
      <c r="B1017" s="1">
        <v>45078</v>
      </c>
      <c r="C1017" s="1">
        <v>55153</v>
      </c>
      <c r="D1017" s="4" t="s">
        <v>87</v>
      </c>
      <c r="E1017" s="32" t="s">
        <v>88</v>
      </c>
      <c r="F1017" s="32">
        <v>33148693</v>
      </c>
      <c r="G1017" t="s">
        <v>10</v>
      </c>
      <c r="H1017" t="s">
        <v>11</v>
      </c>
      <c r="I1017" t="s">
        <v>12</v>
      </c>
      <c r="J1017" s="30" t="str">
        <f>IF(ISNUMBER(MATCH($D1017,'Lopettaneet 2013-&gt;'!$D:$D,0)),INDEX('Lopettaneet 2013-&gt;'!$K:$K,MATCH($D1017,'Lopettaneet 2013-&gt;'!$D:$D,0)),"Continues")</f>
        <v>Continues</v>
      </c>
      <c r="K1017" s="30">
        <f ca="1">IF($J1017="Continues",DATEDIF($B1017,TODAY(),"Y"),INDEX('Lopettaneet 2013-&gt;'!$L:$L,MATCH($D1017,'Lopettaneet 2013-&gt;'!$D:$D,0)))</f>
        <v>1</v>
      </c>
      <c r="L1017" s="31" t="str">
        <f>IFERROR(INDEX('[1]30.06.2024'!$H:$H,MATCH($E1017,'[1]30.06.2024'!$B:$B,0)),"Not found")</f>
        <v>Mandatum AM AIFM Oy</v>
      </c>
      <c r="M1017" s="31" t="str">
        <f>IFERROR(INDEX([2]Sheet1!$B:$B,MATCH($D1017,[2]Sheet1!$A:$A,0)),"Not found")</f>
        <v>Retail</v>
      </c>
      <c r="N1017">
        <f t="shared" si="30"/>
        <v>1</v>
      </c>
      <c r="O1017">
        <f t="shared" si="31"/>
        <v>0</v>
      </c>
    </row>
    <row r="1018" spans="1:15" x14ac:dyDescent="0.25">
      <c r="A1018" t="s">
        <v>7</v>
      </c>
      <c r="B1018" s="1">
        <v>45078</v>
      </c>
      <c r="C1018" s="1">
        <v>55153</v>
      </c>
      <c r="D1018" s="4" t="s">
        <v>89</v>
      </c>
      <c r="E1018" s="32" t="s">
        <v>90</v>
      </c>
      <c r="F1018" s="32">
        <v>33563926</v>
      </c>
      <c r="G1018" t="s">
        <v>10</v>
      </c>
      <c r="H1018" t="s">
        <v>11</v>
      </c>
      <c r="I1018" t="s">
        <v>32</v>
      </c>
      <c r="J1018" s="30" t="str">
        <f>IF(ISNUMBER(MATCH($D1018,'Lopettaneet 2013-&gt;'!$D:$D,0)),INDEX('Lopettaneet 2013-&gt;'!$K:$K,MATCH($D1018,'Lopettaneet 2013-&gt;'!$D:$D,0)),"Continues")</f>
        <v>Continues</v>
      </c>
      <c r="K1018" s="30">
        <f ca="1">IF($J1018="Continues",DATEDIF($B1018,TODAY(),"Y"),INDEX('Lopettaneet 2013-&gt;'!$L:$L,MATCH($D1018,'Lopettaneet 2013-&gt;'!$D:$D,0)))</f>
        <v>1</v>
      </c>
      <c r="L1018" s="31" t="str">
        <f>IFERROR(INDEX('[1]30.06.2024'!$H:$H,MATCH($E1018,'[1]30.06.2024'!$B:$B,0)),"Not found")</f>
        <v>BOA Capital Oy</v>
      </c>
      <c r="M1018" s="31" t="str">
        <f>IFERROR(INDEX([2]Sheet1!$B:$B,MATCH($D1018,[2]Sheet1!$A:$A,0)),"Not found")</f>
        <v>Non-Retail</v>
      </c>
      <c r="N1018">
        <f t="shared" si="30"/>
        <v>0</v>
      </c>
      <c r="O1018">
        <f t="shared" si="31"/>
        <v>1</v>
      </c>
    </row>
    <row r="1019" spans="1:15" x14ac:dyDescent="0.25">
      <c r="A1019" t="s">
        <v>7</v>
      </c>
      <c r="B1019" s="1">
        <v>45261</v>
      </c>
      <c r="C1019" s="1">
        <v>55153</v>
      </c>
      <c r="D1019" s="4" t="s">
        <v>91</v>
      </c>
      <c r="E1019" s="32" t="s">
        <v>92</v>
      </c>
      <c r="F1019" s="32">
        <v>34105361</v>
      </c>
      <c r="G1019" t="s">
        <v>10</v>
      </c>
      <c r="H1019" t="s">
        <v>11</v>
      </c>
      <c r="I1019" t="s">
        <v>29</v>
      </c>
      <c r="J1019" s="30" t="str">
        <f>IF(ISNUMBER(MATCH($D1019,'Lopettaneet 2013-&gt;'!$D:$D,0)),INDEX('Lopettaneet 2013-&gt;'!$K:$K,MATCH($D1019,'Lopettaneet 2013-&gt;'!$D:$D,0)),"Continues")</f>
        <v>Continues</v>
      </c>
      <c r="K1019" s="30">
        <f ca="1">IF($J1019="Continues",DATEDIF($B1019,TODAY(),"Y"),INDEX('Lopettaneet 2013-&gt;'!$L:$L,MATCH($D1019,'Lopettaneet 2013-&gt;'!$D:$D,0)))</f>
        <v>1</v>
      </c>
      <c r="L1019" s="31" t="str">
        <f>IFERROR(INDEX('[1]30.06.2024'!$H:$H,MATCH($E1019,'[1]30.06.2024'!$B:$B,0)),"Not found")</f>
        <v>Armada Credit Partners Oy</v>
      </c>
      <c r="M1019" s="31" t="str">
        <f>IFERROR(INDEX([2]Sheet1!$B:$B,MATCH($D1019,[2]Sheet1!$A:$A,0)),"Not found")</f>
        <v>Non-Retail</v>
      </c>
      <c r="N1019">
        <f t="shared" si="30"/>
        <v>0</v>
      </c>
      <c r="O1019">
        <f t="shared" si="31"/>
        <v>1</v>
      </c>
    </row>
    <row r="1020" spans="1:15" x14ac:dyDescent="0.25">
      <c r="A1020" t="s">
        <v>7</v>
      </c>
      <c r="B1020" s="1">
        <v>45261</v>
      </c>
      <c r="C1020" s="1">
        <v>55153</v>
      </c>
      <c r="D1020" s="4" t="s">
        <v>211</v>
      </c>
      <c r="E1020" s="32" t="s">
        <v>212</v>
      </c>
      <c r="F1020" s="32">
        <v>33235797</v>
      </c>
      <c r="G1020" t="s">
        <v>10</v>
      </c>
      <c r="H1020" t="s">
        <v>11</v>
      </c>
      <c r="I1020" t="s">
        <v>12</v>
      </c>
      <c r="J1020" s="30" t="str">
        <f>IF(ISNUMBER(MATCH($D1020,'Lopettaneet 2013-&gt;'!$D:$D,0)),INDEX('Lopettaneet 2013-&gt;'!$K:$K,MATCH($D1020,'Lopettaneet 2013-&gt;'!$D:$D,0)),"Continues")</f>
        <v>Continues</v>
      </c>
      <c r="K1020" s="30">
        <f ca="1">IF($J1020="Continues",DATEDIF($B1020,TODAY(),"Y"),INDEX('Lopettaneet 2013-&gt;'!$L:$L,MATCH($D1020,'Lopettaneet 2013-&gt;'!$D:$D,0)))</f>
        <v>1</v>
      </c>
      <c r="L1020" s="31" t="str">
        <f>IFERROR(INDEX('[1]30.06.2024'!$H:$H,MATCH($E1020,'[1]30.06.2024'!$B:$B,0)),"Not found")</f>
        <v>eQ Rahastoyhtiö Oy</v>
      </c>
      <c r="M1020" s="31" t="str">
        <f>IFERROR(INDEX([2]Sheet1!$B:$B,MATCH($D1020,[2]Sheet1!$A:$A,0)),"Not found")</f>
        <v>Non-Retail</v>
      </c>
      <c r="N1020">
        <f t="shared" si="30"/>
        <v>0</v>
      </c>
      <c r="O1020">
        <f t="shared" si="31"/>
        <v>1</v>
      </c>
    </row>
    <row r="1021" spans="1:15" x14ac:dyDescent="0.25">
      <c r="A1021" t="s">
        <v>0</v>
      </c>
      <c r="B1021" s="1">
        <v>45261</v>
      </c>
      <c r="C1021" s="1">
        <v>55153</v>
      </c>
      <c r="D1021" s="4" t="s">
        <v>93</v>
      </c>
      <c r="E1021" s="32" t="s">
        <v>94</v>
      </c>
      <c r="F1021" s="32">
        <v>33239026</v>
      </c>
      <c r="G1021" t="s">
        <v>10</v>
      </c>
      <c r="H1021" t="s">
        <v>11</v>
      </c>
      <c r="I1021" t="s">
        <v>20</v>
      </c>
      <c r="J1021" s="30" t="str">
        <f>IF(ISNUMBER(MATCH($D1021,'Lopettaneet 2013-&gt;'!$D:$D,0)),INDEX('Lopettaneet 2013-&gt;'!$K:$K,MATCH($D1021,'Lopettaneet 2013-&gt;'!$D:$D,0)),"Continues")</f>
        <v>Continues</v>
      </c>
      <c r="K1021" s="30">
        <f ca="1">IF($J1021="Continues",DATEDIF($B1021,TODAY(),"Y"),INDEX('Lopettaneet 2013-&gt;'!$L:$L,MATCH($D1021,'Lopettaneet 2013-&gt;'!$D:$D,0)))</f>
        <v>1</v>
      </c>
      <c r="L1021" s="31" t="str">
        <f>IFERROR(INDEX('[1]30.06.2024'!$H:$H,MATCH($E1021,'[1]30.06.2024'!$B:$B,0)),"Not found")</f>
        <v>eQ Rahastoyhtiö Oy</v>
      </c>
      <c r="M1021" s="31" t="str">
        <f>IFERROR(INDEX([2]Sheet1!$B:$B,MATCH($D1021,[2]Sheet1!$A:$A,0)),"Not found")</f>
        <v>Non-Retail</v>
      </c>
      <c r="N1021">
        <f t="shared" si="30"/>
        <v>0</v>
      </c>
      <c r="O1021">
        <f t="shared" si="31"/>
        <v>1</v>
      </c>
    </row>
    <row r="1022" spans="1:15" x14ac:dyDescent="0.25">
      <c r="A1022" t="s">
        <v>0</v>
      </c>
      <c r="B1022" s="1">
        <v>45078</v>
      </c>
      <c r="C1022" s="1">
        <v>55153</v>
      </c>
      <c r="D1022" s="4" t="s">
        <v>95</v>
      </c>
      <c r="E1022" s="32" t="s">
        <v>96</v>
      </c>
      <c r="F1022" s="32">
        <v>33085979</v>
      </c>
      <c r="G1022" t="s">
        <v>10</v>
      </c>
      <c r="H1022" t="s">
        <v>4</v>
      </c>
      <c r="I1022" t="s">
        <v>20</v>
      </c>
      <c r="J1022" s="30" t="str">
        <f>IF(ISNUMBER(MATCH($D1022,'Lopettaneet 2013-&gt;'!$D:$D,0)),INDEX('Lopettaneet 2013-&gt;'!$K:$K,MATCH($D1022,'Lopettaneet 2013-&gt;'!$D:$D,0)),"Continues")</f>
        <v>Continues</v>
      </c>
      <c r="K1022" s="30">
        <f ca="1">IF($J1022="Continues",DATEDIF($B1022,TODAY(),"Y"),INDEX('Lopettaneet 2013-&gt;'!$L:$L,MATCH($D1022,'Lopettaneet 2013-&gt;'!$D:$D,0)))</f>
        <v>1</v>
      </c>
      <c r="L1022" s="31" t="str">
        <f>IFERROR(INDEX('[1]30.06.2024'!$H:$H,MATCH($E1022,'[1]30.06.2024'!$B:$B,0)),"Not found")</f>
        <v>OP-Rahastoyhtiö Oy</v>
      </c>
      <c r="M1022" s="31" t="str">
        <f>IFERROR(INDEX([2]Sheet1!$B:$B,MATCH($D1022,[2]Sheet1!$A:$A,0)),"Not found")</f>
        <v>Retail</v>
      </c>
      <c r="N1022">
        <f t="shared" si="30"/>
        <v>1</v>
      </c>
      <c r="O1022">
        <f t="shared" si="31"/>
        <v>0</v>
      </c>
    </row>
    <row r="1023" spans="1:15" x14ac:dyDescent="0.25">
      <c r="A1023" t="s">
        <v>7</v>
      </c>
      <c r="B1023" s="1">
        <v>44986</v>
      </c>
      <c r="C1023" s="1">
        <v>55153</v>
      </c>
      <c r="D1023" s="4" t="s">
        <v>97</v>
      </c>
      <c r="E1023" s="32" t="s">
        <v>98</v>
      </c>
      <c r="F1023" s="32">
        <v>33206806</v>
      </c>
      <c r="G1023" t="s">
        <v>10</v>
      </c>
      <c r="H1023" t="s">
        <v>11</v>
      </c>
      <c r="I1023" t="s">
        <v>29</v>
      </c>
      <c r="J1023" s="30" t="str">
        <f>IF(ISNUMBER(MATCH($D1023,'Lopettaneet 2013-&gt;'!$D:$D,0)),INDEX('Lopettaneet 2013-&gt;'!$K:$K,MATCH($D1023,'Lopettaneet 2013-&gt;'!$D:$D,0)),"Continues")</f>
        <v>Continues</v>
      </c>
      <c r="K1023" s="30">
        <f ca="1">IF($J1023="Continues",DATEDIF($B1023,TODAY(),"Y"),INDEX('Lopettaneet 2013-&gt;'!$L:$L,MATCH($D1023,'Lopettaneet 2013-&gt;'!$D:$D,0)))</f>
        <v>2</v>
      </c>
      <c r="L1023" s="31" t="str">
        <f>IFERROR(INDEX('[1]30.06.2024'!$H:$H,MATCH($E1023,'[1]30.06.2024'!$B:$B,0)),"Not found")</f>
        <v>LähiTapiola Vaihtoehtorahastot Oy</v>
      </c>
      <c r="M1023" s="31" t="str">
        <f>IFERROR(INDEX([2]Sheet1!$B:$B,MATCH($D1023,[2]Sheet1!$A:$A,0)),"Not found")</f>
        <v>Retail</v>
      </c>
      <c r="N1023">
        <f t="shared" si="30"/>
        <v>1</v>
      </c>
      <c r="O1023">
        <f t="shared" si="31"/>
        <v>0</v>
      </c>
    </row>
    <row r="1024" spans="1:15" x14ac:dyDescent="0.25">
      <c r="A1024" t="s">
        <v>7</v>
      </c>
      <c r="B1024" s="1">
        <v>44986</v>
      </c>
      <c r="C1024" s="1">
        <v>55153</v>
      </c>
      <c r="D1024" s="4" t="s">
        <v>99</v>
      </c>
      <c r="E1024" s="32" t="s">
        <v>100</v>
      </c>
      <c r="F1024" s="32">
        <v>33206857</v>
      </c>
      <c r="G1024" t="s">
        <v>10</v>
      </c>
      <c r="H1024" t="s">
        <v>11</v>
      </c>
      <c r="I1024" t="s">
        <v>29</v>
      </c>
      <c r="J1024" s="30" t="str">
        <f>IF(ISNUMBER(MATCH($D1024,'Lopettaneet 2013-&gt;'!$D:$D,0)),INDEX('Lopettaneet 2013-&gt;'!$K:$K,MATCH($D1024,'Lopettaneet 2013-&gt;'!$D:$D,0)),"Continues")</f>
        <v>Continues</v>
      </c>
      <c r="K1024" s="30">
        <f ca="1">IF($J1024="Continues",DATEDIF($B1024,TODAY(),"Y"),INDEX('Lopettaneet 2013-&gt;'!$L:$L,MATCH($D1024,'Lopettaneet 2013-&gt;'!$D:$D,0)))</f>
        <v>2</v>
      </c>
      <c r="L1024" s="31" t="str">
        <f>IFERROR(INDEX('[1]30.06.2024'!$H:$H,MATCH($E1024,'[1]30.06.2024'!$B:$B,0)),"Not found")</f>
        <v>LähiTapiola Vaihtoehtorahastot Oy</v>
      </c>
      <c r="M1024" s="31" t="str">
        <f>IFERROR(INDEX([2]Sheet1!$B:$B,MATCH($D1024,[2]Sheet1!$A:$A,0)),"Not found")</f>
        <v>Retail</v>
      </c>
      <c r="N1024">
        <f t="shared" si="30"/>
        <v>1</v>
      </c>
      <c r="O1024">
        <f t="shared" si="31"/>
        <v>0</v>
      </c>
    </row>
    <row r="1025" spans="1:15" x14ac:dyDescent="0.25">
      <c r="A1025" t="s">
        <v>7</v>
      </c>
      <c r="B1025" s="1">
        <v>45078</v>
      </c>
      <c r="C1025" s="1">
        <v>55153</v>
      </c>
      <c r="D1025" s="4" t="s">
        <v>101</v>
      </c>
      <c r="E1025" s="32" t="s">
        <v>102</v>
      </c>
      <c r="F1025" s="32">
        <v>33422795</v>
      </c>
      <c r="G1025" t="s">
        <v>10</v>
      </c>
      <c r="H1025" t="s">
        <v>11</v>
      </c>
      <c r="I1025" t="s">
        <v>32</v>
      </c>
      <c r="J1025" s="30" t="str">
        <f>IF(ISNUMBER(MATCH($D1025,'Lopettaneet 2013-&gt;'!$D:$D,0)),INDEX('Lopettaneet 2013-&gt;'!$K:$K,MATCH($D1025,'Lopettaneet 2013-&gt;'!$D:$D,0)),"Continues")</f>
        <v>Continues</v>
      </c>
      <c r="K1025" s="30">
        <f ca="1">IF($J1025="Continues",DATEDIF($B1025,TODAY(),"Y"),INDEX('Lopettaneet 2013-&gt;'!$L:$L,MATCH($D1025,'Lopettaneet 2013-&gt;'!$D:$D,0)))</f>
        <v>1</v>
      </c>
      <c r="L1025" s="31" t="str">
        <f>IFERROR(INDEX('[1]30.06.2024'!$H:$H,MATCH($E1025,'[1]30.06.2024'!$B:$B,0)),"Not found")</f>
        <v>Ethos Capital Oy</v>
      </c>
      <c r="M1025" s="31" t="str">
        <f>IFERROR(INDEX([2]Sheet1!$B:$B,MATCH($D1025,[2]Sheet1!$A:$A,0)),"Not found")</f>
        <v>Retail</v>
      </c>
      <c r="N1025">
        <f t="shared" si="30"/>
        <v>1</v>
      </c>
      <c r="O1025">
        <f t="shared" si="31"/>
        <v>0</v>
      </c>
    </row>
    <row r="1026" spans="1:15" x14ac:dyDescent="0.25">
      <c r="A1026" t="s">
        <v>0</v>
      </c>
      <c r="B1026" s="1">
        <v>44896</v>
      </c>
      <c r="C1026" s="1">
        <v>55153</v>
      </c>
      <c r="D1026" s="4" t="s">
        <v>2207</v>
      </c>
      <c r="E1026" s="32" t="s">
        <v>2208</v>
      </c>
      <c r="F1026" s="32">
        <v>33199685</v>
      </c>
      <c r="G1026" t="s">
        <v>10</v>
      </c>
      <c r="H1026" t="s">
        <v>4</v>
      </c>
      <c r="I1026" t="s">
        <v>5</v>
      </c>
      <c r="J1026" s="30" t="str">
        <f>IF(ISNUMBER(MATCH($D1026,'Lopettaneet 2013-&gt;'!$D:$D,0)),INDEX('Lopettaneet 2013-&gt;'!$K:$K,MATCH($D1026,'Lopettaneet 2013-&gt;'!$D:$D,0)),"Continues")</f>
        <v>Continues</v>
      </c>
      <c r="K1026" s="30">
        <f ca="1">IF($J1026="Continues",DATEDIF($B1026,TODAY(),"Y"),INDEX('Lopettaneet 2013-&gt;'!$L:$L,MATCH($D1026,'Lopettaneet 2013-&gt;'!$D:$D,0)))</f>
        <v>2</v>
      </c>
      <c r="L1026" s="31" t="str">
        <f>IFERROR(INDEX('[1]30.06.2024'!$H:$H,MATCH($E1026,'[1]30.06.2024'!$B:$B,0)),"Not found")</f>
        <v>Alexandria Rahastoyhtiö Oy</v>
      </c>
      <c r="M1026" s="31" t="str">
        <f>IFERROR(INDEX([2]Sheet1!$B:$B,MATCH($D1026,[2]Sheet1!$A:$A,0)),"Not found")</f>
        <v>Retail</v>
      </c>
      <c r="N1026">
        <f t="shared" si="30"/>
        <v>1</v>
      </c>
      <c r="O1026">
        <f t="shared" si="31"/>
        <v>0</v>
      </c>
    </row>
    <row r="1027" spans="1:15" x14ac:dyDescent="0.25">
      <c r="A1027" t="s">
        <v>7</v>
      </c>
      <c r="B1027" s="1">
        <v>44986</v>
      </c>
      <c r="C1027" s="1">
        <v>55153</v>
      </c>
      <c r="D1027" s="4" t="s">
        <v>103</v>
      </c>
      <c r="E1027" s="32" t="s">
        <v>104</v>
      </c>
      <c r="F1027" s="32">
        <v>33313214</v>
      </c>
      <c r="G1027" t="s">
        <v>10</v>
      </c>
      <c r="H1027" t="s">
        <v>11</v>
      </c>
      <c r="I1027" t="s">
        <v>12</v>
      </c>
      <c r="J1027" s="30" t="str">
        <f>IF(ISNUMBER(MATCH($D1027,'Lopettaneet 2013-&gt;'!$D:$D,0)),INDEX('Lopettaneet 2013-&gt;'!$K:$K,MATCH($D1027,'Lopettaneet 2013-&gt;'!$D:$D,0)),"Continues")</f>
        <v>Continues</v>
      </c>
      <c r="K1027" s="30">
        <f ca="1">IF($J1027="Continues",DATEDIF($B1027,TODAY(),"Y"),INDEX('Lopettaneet 2013-&gt;'!$L:$L,MATCH($D1027,'Lopettaneet 2013-&gt;'!$D:$D,0)))</f>
        <v>2</v>
      </c>
      <c r="L1027" s="31" t="str">
        <f>IFERROR(INDEX('[1]30.06.2024'!$H:$H,MATCH($E1027,'[1]30.06.2024'!$B:$B,0)),"Not found")</f>
        <v>Certior Capital Oy</v>
      </c>
      <c r="M1027" s="31" t="str">
        <f>IFERROR(INDEX([2]Sheet1!$B:$B,MATCH($D1027,[2]Sheet1!$A:$A,0)),"Not found")</f>
        <v>Non-Retail</v>
      </c>
      <c r="N1027">
        <f t="shared" ref="N1027:N1090" si="32">IF($M1027="Retail",1,0)</f>
        <v>0</v>
      </c>
      <c r="O1027">
        <f t="shared" ref="O1027:O1090" si="33">IF($M1027="Non-Retail",1,0)</f>
        <v>1</v>
      </c>
    </row>
    <row r="1028" spans="1:15" x14ac:dyDescent="0.25">
      <c r="A1028" t="s">
        <v>7</v>
      </c>
      <c r="B1028" s="1">
        <v>44986</v>
      </c>
      <c r="C1028" s="1">
        <v>55153</v>
      </c>
      <c r="D1028" s="4" t="s">
        <v>105</v>
      </c>
      <c r="E1028" s="32" t="s">
        <v>106</v>
      </c>
      <c r="F1028" s="32">
        <v>33330057</v>
      </c>
      <c r="G1028" t="s">
        <v>10</v>
      </c>
      <c r="H1028" t="s">
        <v>11</v>
      </c>
      <c r="I1028" t="s">
        <v>12</v>
      </c>
      <c r="J1028" s="30" t="str">
        <f>IF(ISNUMBER(MATCH($D1028,'Lopettaneet 2013-&gt;'!$D:$D,0)),INDEX('Lopettaneet 2013-&gt;'!$K:$K,MATCH($D1028,'Lopettaneet 2013-&gt;'!$D:$D,0)),"Continues")</f>
        <v>Continues</v>
      </c>
      <c r="K1028" s="30">
        <f ca="1">IF($J1028="Continues",DATEDIF($B1028,TODAY(),"Y"),INDEX('Lopettaneet 2013-&gt;'!$L:$L,MATCH($D1028,'Lopettaneet 2013-&gt;'!$D:$D,0)))</f>
        <v>2</v>
      </c>
      <c r="L1028" s="31" t="str">
        <f>IFERROR(INDEX('[1]30.06.2024'!$H:$H,MATCH($E1028,'[1]30.06.2024'!$B:$B,0)),"Not found")</f>
        <v>Certior Capital Oy</v>
      </c>
      <c r="M1028" s="31" t="str">
        <f>IFERROR(INDEX([2]Sheet1!$B:$B,MATCH($D1028,[2]Sheet1!$A:$A,0)),"Not found")</f>
        <v>Non-Retail</v>
      </c>
      <c r="N1028">
        <f t="shared" si="32"/>
        <v>0</v>
      </c>
      <c r="O1028">
        <f t="shared" si="33"/>
        <v>1</v>
      </c>
    </row>
    <row r="1029" spans="1:15" x14ac:dyDescent="0.25">
      <c r="A1029" t="s">
        <v>7</v>
      </c>
      <c r="B1029" s="1">
        <v>44986</v>
      </c>
      <c r="C1029" s="1">
        <v>55153</v>
      </c>
      <c r="D1029" s="4" t="s">
        <v>107</v>
      </c>
      <c r="E1029" s="32" t="s">
        <v>108</v>
      </c>
      <c r="F1029" s="32">
        <v>33417195</v>
      </c>
      <c r="G1029" t="s">
        <v>10</v>
      </c>
      <c r="H1029" t="s">
        <v>11</v>
      </c>
      <c r="I1029" t="s">
        <v>80</v>
      </c>
      <c r="J1029" s="30" t="str">
        <f>IF(ISNUMBER(MATCH($D1029,'Lopettaneet 2013-&gt;'!$D:$D,0)),INDEX('Lopettaneet 2013-&gt;'!$K:$K,MATCH($D1029,'Lopettaneet 2013-&gt;'!$D:$D,0)),"Continues")</f>
        <v>Continues</v>
      </c>
      <c r="K1029" s="30">
        <f ca="1">IF($J1029="Continues",DATEDIF($B1029,TODAY(),"Y"),INDEX('Lopettaneet 2013-&gt;'!$L:$L,MATCH($D1029,'Lopettaneet 2013-&gt;'!$D:$D,0)))</f>
        <v>2</v>
      </c>
      <c r="L1029" s="31" t="str">
        <f>IFERROR(INDEX('[1]30.06.2024'!$H:$H,MATCH($E1029,'[1]30.06.2024'!$B:$B,0)),"Not found")</f>
        <v>LLV Fund Management Oy</v>
      </c>
      <c r="M1029" s="31" t="str">
        <f>IFERROR(INDEX([2]Sheet1!$B:$B,MATCH($D1029,[2]Sheet1!$A:$A,0)),"Not found")</f>
        <v>Non-Retail</v>
      </c>
      <c r="N1029">
        <f t="shared" si="32"/>
        <v>0</v>
      </c>
      <c r="O1029">
        <f t="shared" si="33"/>
        <v>1</v>
      </c>
    </row>
    <row r="1030" spans="1:15" x14ac:dyDescent="0.25">
      <c r="A1030" t="s">
        <v>7</v>
      </c>
      <c r="B1030" s="1">
        <v>45352</v>
      </c>
      <c r="C1030" s="1">
        <v>55153</v>
      </c>
      <c r="D1030" s="4" t="s">
        <v>213</v>
      </c>
      <c r="E1030" s="32" t="s">
        <v>214</v>
      </c>
      <c r="F1030" s="32">
        <v>33332247</v>
      </c>
      <c r="G1030" t="s">
        <v>10</v>
      </c>
      <c r="H1030" t="s">
        <v>11</v>
      </c>
      <c r="I1030" t="s">
        <v>80</v>
      </c>
      <c r="J1030" s="30" t="str">
        <f>IF(ISNUMBER(MATCH($D1030,'Lopettaneet 2013-&gt;'!$D:$D,0)),INDEX('Lopettaneet 2013-&gt;'!$K:$K,MATCH($D1030,'Lopettaneet 2013-&gt;'!$D:$D,0)),"Continues")</f>
        <v>Continues</v>
      </c>
      <c r="K1030" s="30">
        <f ca="1">IF($J1030="Continues",DATEDIF($B1030,TODAY(),"Y"),INDEX('Lopettaneet 2013-&gt;'!$L:$L,MATCH($D1030,'Lopettaneet 2013-&gt;'!$D:$D,0)))</f>
        <v>1</v>
      </c>
      <c r="L1030" s="31" t="str">
        <f>IFERROR(INDEX('[1]30.06.2024'!$H:$H,MATCH($E1030,'[1]30.06.2024'!$B:$B,0)),"Not found")</f>
        <v>MAKI Ventures Oy</v>
      </c>
      <c r="M1030" s="31" t="str">
        <f>IFERROR(INDEX([2]Sheet1!$B:$B,MATCH($D1030,[2]Sheet1!$A:$A,0)),"Not found")</f>
        <v>Non-Retail</v>
      </c>
      <c r="N1030">
        <f t="shared" si="32"/>
        <v>0</v>
      </c>
      <c r="O1030">
        <f t="shared" si="33"/>
        <v>1</v>
      </c>
    </row>
    <row r="1031" spans="1:15" x14ac:dyDescent="0.25">
      <c r="A1031" t="s">
        <v>0</v>
      </c>
      <c r="B1031" s="1">
        <v>44927</v>
      </c>
      <c r="C1031" s="1">
        <v>55153</v>
      </c>
      <c r="D1031" s="4" t="s">
        <v>109</v>
      </c>
      <c r="E1031" s="32" t="s">
        <v>110</v>
      </c>
      <c r="F1031" s="32">
        <v>33424846</v>
      </c>
      <c r="G1031" t="s">
        <v>10</v>
      </c>
      <c r="H1031" t="s">
        <v>11</v>
      </c>
      <c r="I1031" t="s">
        <v>20</v>
      </c>
      <c r="J1031" s="30" t="str">
        <f>IF(ISNUMBER(MATCH($D1031,'Lopettaneet 2013-&gt;'!$D:$D,0)),INDEX('Lopettaneet 2013-&gt;'!$K:$K,MATCH($D1031,'Lopettaneet 2013-&gt;'!$D:$D,0)),"Continues")</f>
        <v>Continues</v>
      </c>
      <c r="K1031" s="30">
        <f ca="1">IF($J1031="Continues",DATEDIF($B1031,TODAY(),"Y"),INDEX('Lopettaneet 2013-&gt;'!$L:$L,MATCH($D1031,'Lopettaneet 2013-&gt;'!$D:$D,0)))</f>
        <v>2</v>
      </c>
      <c r="L1031" s="31" t="str">
        <f>IFERROR(INDEX('[1]30.06.2024'!$H:$H,MATCH($E1031,'[1]30.06.2024'!$B:$B,0)),"Not found")</f>
        <v>eQ Rahastoyhtiö Oy</v>
      </c>
      <c r="M1031" s="31" t="str">
        <f>IFERROR(INDEX([2]Sheet1!$B:$B,MATCH($D1031,[2]Sheet1!$A:$A,0)),"Not found")</f>
        <v>Non-Retail</v>
      </c>
      <c r="N1031">
        <f t="shared" si="32"/>
        <v>0</v>
      </c>
      <c r="O1031">
        <f t="shared" si="33"/>
        <v>1</v>
      </c>
    </row>
    <row r="1032" spans="1:15" x14ac:dyDescent="0.25">
      <c r="A1032" t="s">
        <v>0</v>
      </c>
      <c r="B1032" s="1">
        <v>44927</v>
      </c>
      <c r="C1032" s="1">
        <v>55153</v>
      </c>
      <c r="D1032" s="4" t="s">
        <v>111</v>
      </c>
      <c r="E1032" s="32" t="s">
        <v>112</v>
      </c>
      <c r="F1032" s="32">
        <v>33424838</v>
      </c>
      <c r="G1032" t="s">
        <v>10</v>
      </c>
      <c r="H1032" t="s">
        <v>11</v>
      </c>
      <c r="I1032" t="s">
        <v>29</v>
      </c>
      <c r="J1032" s="30" t="str">
        <f>IF(ISNUMBER(MATCH($D1032,'Lopettaneet 2013-&gt;'!$D:$D,0)),INDEX('Lopettaneet 2013-&gt;'!$K:$K,MATCH($D1032,'Lopettaneet 2013-&gt;'!$D:$D,0)),"Continues")</f>
        <v>Continues</v>
      </c>
      <c r="K1032" s="30">
        <f ca="1">IF($J1032="Continues",DATEDIF($B1032,TODAY(),"Y"),INDEX('Lopettaneet 2013-&gt;'!$L:$L,MATCH($D1032,'Lopettaneet 2013-&gt;'!$D:$D,0)))</f>
        <v>2</v>
      </c>
      <c r="L1032" s="31" t="str">
        <f>IFERROR(INDEX('[1]30.06.2024'!$H:$H,MATCH($E1032,'[1]30.06.2024'!$B:$B,0)),"Not found")</f>
        <v>eQ Rahastoyhtiö Oy</v>
      </c>
      <c r="M1032" s="31" t="str">
        <f>IFERROR(INDEX([2]Sheet1!$B:$B,MATCH($D1032,[2]Sheet1!$A:$A,0)),"Not found")</f>
        <v>Non-Retail</v>
      </c>
      <c r="N1032">
        <f t="shared" si="32"/>
        <v>0</v>
      </c>
      <c r="O1032">
        <f t="shared" si="33"/>
        <v>1</v>
      </c>
    </row>
    <row r="1033" spans="1:15" x14ac:dyDescent="0.25">
      <c r="A1033" t="s">
        <v>0</v>
      </c>
      <c r="B1033" s="1">
        <v>44986</v>
      </c>
      <c r="C1033" s="1">
        <v>55153</v>
      </c>
      <c r="D1033" s="4" t="s">
        <v>113</v>
      </c>
      <c r="E1033" s="32" t="s">
        <v>114</v>
      </c>
      <c r="F1033" s="32">
        <v>33435588</v>
      </c>
      <c r="G1033" t="s">
        <v>10</v>
      </c>
      <c r="H1033" t="s">
        <v>4</v>
      </c>
      <c r="I1033" t="s">
        <v>5</v>
      </c>
      <c r="J1033" s="30" t="str">
        <f>IF(ISNUMBER(MATCH($D1033,'Lopettaneet 2013-&gt;'!$D:$D,0)),INDEX('Lopettaneet 2013-&gt;'!$K:$K,MATCH($D1033,'Lopettaneet 2013-&gt;'!$D:$D,0)),"Continues")</f>
        <v>Continues</v>
      </c>
      <c r="K1033" s="30">
        <f ca="1">IF($J1033="Continues",DATEDIF($B1033,TODAY(),"Y"),INDEX('Lopettaneet 2013-&gt;'!$L:$L,MATCH($D1033,'Lopettaneet 2013-&gt;'!$D:$D,0)))</f>
        <v>2</v>
      </c>
      <c r="L1033" s="31" t="str">
        <f>IFERROR(INDEX('[1]30.06.2024'!$H:$H,MATCH($E1033,'[1]30.06.2024'!$B:$B,0)),"Not found")</f>
        <v>Finlandia Rahastoyhtiö Oy</v>
      </c>
      <c r="M1033" s="31" t="str">
        <f>IFERROR(INDEX([2]Sheet1!$B:$B,MATCH($D1033,[2]Sheet1!$A:$A,0)),"Not found")</f>
        <v>Retail</v>
      </c>
      <c r="N1033">
        <f t="shared" si="32"/>
        <v>1</v>
      </c>
      <c r="O1033">
        <f t="shared" si="33"/>
        <v>0</v>
      </c>
    </row>
    <row r="1034" spans="1:15" x14ac:dyDescent="0.25">
      <c r="A1034" t="s">
        <v>0</v>
      </c>
      <c r="B1034" s="1">
        <v>44986</v>
      </c>
      <c r="C1034" s="1">
        <v>55153</v>
      </c>
      <c r="D1034" s="4" t="s">
        <v>115</v>
      </c>
      <c r="E1034" s="32" t="s">
        <v>116</v>
      </c>
      <c r="F1034" s="32">
        <v>33435561</v>
      </c>
      <c r="G1034" t="s">
        <v>10</v>
      </c>
      <c r="H1034" t="s">
        <v>4</v>
      </c>
      <c r="I1034" t="s">
        <v>5</v>
      </c>
      <c r="J1034" s="30" t="str">
        <f>IF(ISNUMBER(MATCH($D1034,'Lopettaneet 2013-&gt;'!$D:$D,0)),INDEX('Lopettaneet 2013-&gt;'!$K:$K,MATCH($D1034,'Lopettaneet 2013-&gt;'!$D:$D,0)),"Continues")</f>
        <v>Continues</v>
      </c>
      <c r="K1034" s="30">
        <f ca="1">IF($J1034="Continues",DATEDIF($B1034,TODAY(),"Y"),INDEX('Lopettaneet 2013-&gt;'!$L:$L,MATCH($D1034,'Lopettaneet 2013-&gt;'!$D:$D,0)))</f>
        <v>2</v>
      </c>
      <c r="L1034" s="31" t="str">
        <f>IFERROR(INDEX('[1]30.06.2024'!$H:$H,MATCH($E1034,'[1]30.06.2024'!$B:$B,0)),"Not found")</f>
        <v>Finlandia Rahastoyhtiö Oy</v>
      </c>
      <c r="M1034" s="31" t="str">
        <f>IFERROR(INDEX([2]Sheet1!$B:$B,MATCH($D1034,[2]Sheet1!$A:$A,0)),"Not found")</f>
        <v>Retail</v>
      </c>
      <c r="N1034">
        <f t="shared" si="32"/>
        <v>1</v>
      </c>
      <c r="O1034">
        <f t="shared" si="33"/>
        <v>0</v>
      </c>
    </row>
    <row r="1035" spans="1:15" x14ac:dyDescent="0.25">
      <c r="A1035" t="s">
        <v>7</v>
      </c>
      <c r="B1035" s="1">
        <v>45170</v>
      </c>
      <c r="C1035" s="1">
        <v>55153</v>
      </c>
      <c r="D1035" s="4" t="s">
        <v>117</v>
      </c>
      <c r="E1035" s="32" t="s">
        <v>118</v>
      </c>
      <c r="F1035" s="32">
        <v>33637745</v>
      </c>
      <c r="G1035" t="s">
        <v>10</v>
      </c>
      <c r="H1035" t="s">
        <v>11</v>
      </c>
      <c r="I1035" t="s">
        <v>80</v>
      </c>
      <c r="J1035" s="30" t="str">
        <f>IF(ISNUMBER(MATCH($D1035,'Lopettaneet 2013-&gt;'!$D:$D,0)),INDEX('Lopettaneet 2013-&gt;'!$K:$K,MATCH($D1035,'Lopettaneet 2013-&gt;'!$D:$D,0)),"Continues")</f>
        <v>Continues</v>
      </c>
      <c r="K1035" s="30">
        <f ca="1">IF($J1035="Continues",DATEDIF($B1035,TODAY(),"Y"),INDEX('Lopettaneet 2013-&gt;'!$L:$L,MATCH($D1035,'Lopettaneet 2013-&gt;'!$D:$D,0)))</f>
        <v>1</v>
      </c>
      <c r="L1035" s="31" t="str">
        <f>IFERROR(INDEX('[1]30.06.2024'!$H:$H,MATCH($E1035,'[1]30.06.2024'!$B:$B,0)),"Not found")</f>
        <v>Failup Ventures Management Oy</v>
      </c>
      <c r="M1035" s="31" t="str">
        <f>IFERROR(INDEX([2]Sheet1!$B:$B,MATCH($D1035,[2]Sheet1!$A:$A,0)),"Not found")</f>
        <v>Retail</v>
      </c>
      <c r="N1035">
        <f t="shared" si="32"/>
        <v>1</v>
      </c>
      <c r="O1035">
        <f t="shared" si="33"/>
        <v>0</v>
      </c>
    </row>
    <row r="1036" spans="1:15" x14ac:dyDescent="0.25">
      <c r="A1036" t="s">
        <v>7</v>
      </c>
      <c r="B1036" s="1">
        <v>45170</v>
      </c>
      <c r="C1036" s="1">
        <v>55153</v>
      </c>
      <c r="D1036" s="4" t="s">
        <v>119</v>
      </c>
      <c r="E1036" s="32" t="s">
        <v>120</v>
      </c>
      <c r="F1036" s="32">
        <v>33693333</v>
      </c>
      <c r="G1036" t="s">
        <v>10</v>
      </c>
      <c r="H1036" t="s">
        <v>11</v>
      </c>
      <c r="I1036" t="s">
        <v>80</v>
      </c>
      <c r="J1036" s="30" t="str">
        <f>IF(ISNUMBER(MATCH($D1036,'Lopettaneet 2013-&gt;'!$D:$D,0)),INDEX('Lopettaneet 2013-&gt;'!$K:$K,MATCH($D1036,'Lopettaneet 2013-&gt;'!$D:$D,0)),"Continues")</f>
        <v>Continues</v>
      </c>
      <c r="K1036" s="30">
        <f ca="1">IF($J1036="Continues",DATEDIF($B1036,TODAY(),"Y"),INDEX('Lopettaneet 2013-&gt;'!$L:$L,MATCH($D1036,'Lopettaneet 2013-&gt;'!$D:$D,0)))</f>
        <v>1</v>
      </c>
      <c r="L1036" s="31" t="str">
        <f>IFERROR(INDEX('[1]30.06.2024'!$H:$H,MATCH($E1036,'[1]30.06.2024'!$B:$B,0)),"Not found")</f>
        <v>Greencode Ventures Oy</v>
      </c>
      <c r="M1036" s="31" t="str">
        <f>IFERROR(INDEX([2]Sheet1!$B:$B,MATCH($D1036,[2]Sheet1!$A:$A,0)),"Not found")</f>
        <v>Non-Retail</v>
      </c>
      <c r="N1036">
        <f t="shared" si="32"/>
        <v>0</v>
      </c>
      <c r="O1036">
        <f t="shared" si="33"/>
        <v>1</v>
      </c>
    </row>
    <row r="1037" spans="1:15" x14ac:dyDescent="0.25">
      <c r="A1037" t="s">
        <v>7</v>
      </c>
      <c r="B1037" s="1">
        <v>45078</v>
      </c>
      <c r="C1037" s="1">
        <v>55153</v>
      </c>
      <c r="D1037" s="4" t="s">
        <v>121</v>
      </c>
      <c r="E1037" s="32" t="s">
        <v>122</v>
      </c>
      <c r="F1037" s="32">
        <v>33491491</v>
      </c>
      <c r="G1037" t="s">
        <v>10</v>
      </c>
      <c r="H1037" t="s">
        <v>11</v>
      </c>
      <c r="I1037" t="s">
        <v>80</v>
      </c>
      <c r="J1037" s="30" t="str">
        <f>IF(ISNUMBER(MATCH($D1037,'Lopettaneet 2013-&gt;'!$D:$D,0)),INDEX('Lopettaneet 2013-&gt;'!$K:$K,MATCH($D1037,'Lopettaneet 2013-&gt;'!$D:$D,0)),"Continues")</f>
        <v>Continues</v>
      </c>
      <c r="K1037" s="30">
        <f ca="1">IF($J1037="Continues",DATEDIF($B1037,TODAY(),"Y"),INDEX('Lopettaneet 2013-&gt;'!$L:$L,MATCH($D1037,'Lopettaneet 2013-&gt;'!$D:$D,0)))</f>
        <v>1</v>
      </c>
      <c r="L1037" s="31" t="str">
        <f>IFERROR(INDEX('[1]30.06.2024'!$H:$H,MATCH($E1037,'[1]30.06.2024'!$B:$B,0)),"Not found")</f>
        <v>Voima Ventures Oy</v>
      </c>
      <c r="M1037" s="31" t="str">
        <f>IFERROR(INDEX([2]Sheet1!$B:$B,MATCH($D1037,[2]Sheet1!$A:$A,0)),"Not found")</f>
        <v>Non-Retail</v>
      </c>
      <c r="N1037">
        <f t="shared" si="32"/>
        <v>0</v>
      </c>
      <c r="O1037">
        <f t="shared" si="33"/>
        <v>1</v>
      </c>
    </row>
    <row r="1038" spans="1:15" x14ac:dyDescent="0.25">
      <c r="A1038" t="s">
        <v>7</v>
      </c>
      <c r="B1038" s="1">
        <v>44986</v>
      </c>
      <c r="C1038" s="1">
        <v>55153</v>
      </c>
      <c r="D1038" s="4" t="s">
        <v>123</v>
      </c>
      <c r="E1038" s="32" t="s">
        <v>124</v>
      </c>
      <c r="F1038" s="32">
        <v>33420001</v>
      </c>
      <c r="G1038" t="s">
        <v>10</v>
      </c>
      <c r="H1038" t="s">
        <v>11</v>
      </c>
      <c r="I1038" t="s">
        <v>80</v>
      </c>
      <c r="J1038" s="30" t="str">
        <f>IF(ISNUMBER(MATCH($D1038,'Lopettaneet 2013-&gt;'!$D:$D,0)),INDEX('Lopettaneet 2013-&gt;'!$K:$K,MATCH($D1038,'Lopettaneet 2013-&gt;'!$D:$D,0)),"Continues")</f>
        <v>Continues</v>
      </c>
      <c r="K1038" s="30">
        <f ca="1">IF($J1038="Continues",DATEDIF($B1038,TODAY(),"Y"),INDEX('Lopettaneet 2013-&gt;'!$L:$L,MATCH($D1038,'Lopettaneet 2013-&gt;'!$D:$D,0)))</f>
        <v>2</v>
      </c>
      <c r="L1038" s="31" t="str">
        <f>IFERROR(INDEX('[1]30.06.2024'!$H:$H,MATCH($E1038,'[1]30.06.2024'!$B:$B,0)),"Not found")</f>
        <v>LLV Fund Management Oy</v>
      </c>
      <c r="M1038" s="31" t="str">
        <f>IFERROR(INDEX([2]Sheet1!$B:$B,MATCH($D1038,[2]Sheet1!$A:$A,0)),"Not found")</f>
        <v>Non-Retail</v>
      </c>
      <c r="N1038">
        <f t="shared" si="32"/>
        <v>0</v>
      </c>
      <c r="O1038">
        <f t="shared" si="33"/>
        <v>1</v>
      </c>
    </row>
    <row r="1039" spans="1:15" x14ac:dyDescent="0.25">
      <c r="A1039" t="s">
        <v>0</v>
      </c>
      <c r="B1039" s="1">
        <v>44958</v>
      </c>
      <c r="C1039" s="1">
        <v>55153</v>
      </c>
      <c r="D1039" s="4" t="s">
        <v>125</v>
      </c>
      <c r="E1039" s="32" t="s">
        <v>126</v>
      </c>
      <c r="F1039" s="32">
        <v>33376207</v>
      </c>
      <c r="G1039" t="s">
        <v>3</v>
      </c>
      <c r="H1039" t="s">
        <v>4</v>
      </c>
      <c r="I1039" t="s">
        <v>50</v>
      </c>
      <c r="J1039" s="30" t="str">
        <f>IF(ISNUMBER(MATCH($D1039,'Lopettaneet 2013-&gt;'!$D:$D,0)),INDEX('Lopettaneet 2013-&gt;'!$K:$K,MATCH($D1039,'Lopettaneet 2013-&gt;'!$D:$D,0)),"Continues")</f>
        <v>Continues</v>
      </c>
      <c r="K1039" s="30">
        <f ca="1">IF($J1039="Continues",DATEDIF($B1039,TODAY(),"Y"),INDEX('Lopettaneet 2013-&gt;'!$L:$L,MATCH($D1039,'Lopettaneet 2013-&gt;'!$D:$D,0)))</f>
        <v>2</v>
      </c>
      <c r="L1039" s="31" t="str">
        <f>IFERROR(INDEX('[1]30.06.2024'!$H:$H,MATCH($E1039,'[1]30.06.2024'!$B:$B,0)),"Not found")</f>
        <v>Finlandia Rahastoyhtiö Oy</v>
      </c>
      <c r="M1039" s="31" t="str">
        <f>IFERROR(INDEX([2]Sheet1!$B:$B,MATCH($D1039,[2]Sheet1!$A:$A,0)),"Not found")</f>
        <v>Retail</v>
      </c>
      <c r="N1039">
        <f t="shared" si="32"/>
        <v>1</v>
      </c>
      <c r="O1039">
        <f t="shared" si="33"/>
        <v>0</v>
      </c>
    </row>
    <row r="1040" spans="1:15" x14ac:dyDescent="0.25">
      <c r="A1040" t="s">
        <v>0</v>
      </c>
      <c r="B1040" s="1">
        <v>45017</v>
      </c>
      <c r="C1040" s="1">
        <v>55153</v>
      </c>
      <c r="D1040" s="4" t="s">
        <v>127</v>
      </c>
      <c r="E1040" s="32" t="s">
        <v>128</v>
      </c>
      <c r="F1040" s="32">
        <v>33421661</v>
      </c>
      <c r="G1040" t="s">
        <v>10</v>
      </c>
      <c r="H1040" t="s">
        <v>4</v>
      </c>
      <c r="I1040" t="s">
        <v>20</v>
      </c>
      <c r="J1040" s="30" t="str">
        <f>IF(ISNUMBER(MATCH($D1040,'Lopettaneet 2013-&gt;'!$D:$D,0)),INDEX('Lopettaneet 2013-&gt;'!$K:$K,MATCH($D1040,'Lopettaneet 2013-&gt;'!$D:$D,0)),"Continues")</f>
        <v>Continues</v>
      </c>
      <c r="K1040" s="30">
        <f ca="1">IF($J1040="Continues",DATEDIF($B1040,TODAY(),"Y"),INDEX('Lopettaneet 2013-&gt;'!$L:$L,MATCH($D1040,'Lopettaneet 2013-&gt;'!$D:$D,0)))</f>
        <v>2</v>
      </c>
      <c r="L1040" s="31" t="str">
        <f>IFERROR(INDEX('[1]30.06.2024'!$H:$H,MATCH($E1040,'[1]30.06.2024'!$B:$B,0)),"Not found")</f>
        <v>Proprius Partners Oy</v>
      </c>
      <c r="M1040" s="31" t="str">
        <f>IFERROR(INDEX([2]Sheet1!$B:$B,MATCH($D1040,[2]Sheet1!$A:$A,0)),"Not found")</f>
        <v>Retail</v>
      </c>
      <c r="N1040">
        <f t="shared" si="32"/>
        <v>1</v>
      </c>
      <c r="O1040">
        <f t="shared" si="33"/>
        <v>0</v>
      </c>
    </row>
    <row r="1041" spans="1:15" x14ac:dyDescent="0.25">
      <c r="A1041" t="s">
        <v>0</v>
      </c>
      <c r="B1041" s="1">
        <v>45017</v>
      </c>
      <c r="C1041" s="1">
        <v>55153</v>
      </c>
      <c r="D1041" s="4" t="s">
        <v>129</v>
      </c>
      <c r="E1041" s="32" t="s">
        <v>130</v>
      </c>
      <c r="F1041" s="32">
        <v>33421653</v>
      </c>
      <c r="G1041" t="s">
        <v>10</v>
      </c>
      <c r="H1041" t="s">
        <v>4</v>
      </c>
      <c r="I1041" t="s">
        <v>20</v>
      </c>
      <c r="J1041" s="30" t="str">
        <f>IF(ISNUMBER(MATCH($D1041,'Lopettaneet 2013-&gt;'!$D:$D,0)),INDEX('Lopettaneet 2013-&gt;'!$K:$K,MATCH($D1041,'Lopettaneet 2013-&gt;'!$D:$D,0)),"Continues")</f>
        <v>Continues</v>
      </c>
      <c r="K1041" s="30">
        <f ca="1">IF($J1041="Continues",DATEDIF($B1041,TODAY(),"Y"),INDEX('Lopettaneet 2013-&gt;'!$L:$L,MATCH($D1041,'Lopettaneet 2013-&gt;'!$D:$D,0)))</f>
        <v>2</v>
      </c>
      <c r="L1041" s="31" t="str">
        <f>IFERROR(INDEX('[1]30.06.2024'!$H:$H,MATCH($E1041,'[1]30.06.2024'!$B:$B,0)),"Not found")</f>
        <v>Proprius Partners Oy</v>
      </c>
      <c r="M1041" s="31" t="str">
        <f>IFERROR(INDEX([2]Sheet1!$B:$B,MATCH($D1041,[2]Sheet1!$A:$A,0)),"Not found")</f>
        <v>Retail</v>
      </c>
      <c r="N1041">
        <f t="shared" si="32"/>
        <v>1</v>
      </c>
      <c r="O1041">
        <f t="shared" si="33"/>
        <v>0</v>
      </c>
    </row>
    <row r="1042" spans="1:15" x14ac:dyDescent="0.25">
      <c r="A1042" t="s">
        <v>7</v>
      </c>
      <c r="B1042" s="1">
        <v>45170</v>
      </c>
      <c r="C1042" s="1">
        <v>55153</v>
      </c>
      <c r="D1042" s="4" t="s">
        <v>131</v>
      </c>
      <c r="E1042" s="32" t="s">
        <v>132</v>
      </c>
      <c r="F1042" s="32">
        <v>33212798</v>
      </c>
      <c r="G1042" t="s">
        <v>10</v>
      </c>
      <c r="H1042" t="s">
        <v>11</v>
      </c>
      <c r="I1042" t="s">
        <v>29</v>
      </c>
      <c r="J1042" s="30" t="str">
        <f>IF(ISNUMBER(MATCH($D1042,'Lopettaneet 2013-&gt;'!$D:$D,0)),INDEX('Lopettaneet 2013-&gt;'!$K:$K,MATCH($D1042,'Lopettaneet 2013-&gt;'!$D:$D,0)),"Continues")</f>
        <v>Continues</v>
      </c>
      <c r="K1042" s="30">
        <f ca="1">IF($J1042="Continues",DATEDIF($B1042,TODAY(),"Y"),INDEX('Lopettaneet 2013-&gt;'!$L:$L,MATCH($D1042,'Lopettaneet 2013-&gt;'!$D:$D,0)))</f>
        <v>1</v>
      </c>
      <c r="L1042" s="31" t="str">
        <f>IFERROR(INDEX('[1]30.06.2024'!$H:$H,MATCH($E1042,'[1]30.06.2024'!$B:$B,0)),"Not found")</f>
        <v>Ålandsbanken Fondbolag Ab</v>
      </c>
      <c r="M1042" s="31" t="str">
        <f>IFERROR(INDEX([2]Sheet1!$B:$B,MATCH($D1042,[2]Sheet1!$A:$A,0)),"Not found")</f>
        <v>Non-Retail</v>
      </c>
      <c r="N1042">
        <f t="shared" si="32"/>
        <v>0</v>
      </c>
      <c r="O1042">
        <f t="shared" si="33"/>
        <v>1</v>
      </c>
    </row>
    <row r="1043" spans="1:15" x14ac:dyDescent="0.25">
      <c r="A1043" t="s">
        <v>7</v>
      </c>
      <c r="B1043" s="1">
        <v>45170</v>
      </c>
      <c r="C1043" s="1">
        <v>55153</v>
      </c>
      <c r="D1043" s="4" t="s">
        <v>133</v>
      </c>
      <c r="E1043" s="32" t="s">
        <v>134</v>
      </c>
      <c r="F1043" s="32">
        <v>33240705</v>
      </c>
      <c r="G1043" t="s">
        <v>10</v>
      </c>
      <c r="H1043" t="s">
        <v>11</v>
      </c>
      <c r="I1043" t="s">
        <v>29</v>
      </c>
      <c r="J1043" s="30" t="str">
        <f>IF(ISNUMBER(MATCH($D1043,'Lopettaneet 2013-&gt;'!$D:$D,0)),INDEX('Lopettaneet 2013-&gt;'!$K:$K,MATCH($D1043,'Lopettaneet 2013-&gt;'!$D:$D,0)),"Continues")</f>
        <v>Continues</v>
      </c>
      <c r="K1043" s="30">
        <f ca="1">IF($J1043="Continues",DATEDIF($B1043,TODAY(),"Y"),INDEX('Lopettaneet 2013-&gt;'!$L:$L,MATCH($D1043,'Lopettaneet 2013-&gt;'!$D:$D,0)))</f>
        <v>1</v>
      </c>
      <c r="L1043" s="31" t="str">
        <f>IFERROR(INDEX('[1]30.06.2024'!$H:$H,MATCH($E1043,'[1]30.06.2024'!$B:$B,0)),"Not found")</f>
        <v>Taaleri Energia Funds Management Oy</v>
      </c>
      <c r="M1043" s="31" t="str">
        <f>IFERROR(INDEX([2]Sheet1!$B:$B,MATCH($D1043,[2]Sheet1!$A:$A,0)),"Not found")</f>
        <v>Retail</v>
      </c>
      <c r="N1043">
        <f t="shared" si="32"/>
        <v>1</v>
      </c>
      <c r="O1043">
        <f t="shared" si="33"/>
        <v>0</v>
      </c>
    </row>
    <row r="1044" spans="1:15" x14ac:dyDescent="0.25">
      <c r="A1044" t="s">
        <v>7</v>
      </c>
      <c r="B1044" s="1">
        <v>45078</v>
      </c>
      <c r="C1044" s="1">
        <v>55153</v>
      </c>
      <c r="D1044" s="4" t="s">
        <v>135</v>
      </c>
      <c r="E1044" s="32" t="s">
        <v>136</v>
      </c>
      <c r="F1044" s="32">
        <v>33288901</v>
      </c>
      <c r="G1044" t="s">
        <v>10</v>
      </c>
      <c r="H1044" t="s">
        <v>11</v>
      </c>
      <c r="I1044" t="s">
        <v>12</v>
      </c>
      <c r="J1044" s="30" t="str">
        <f>IF(ISNUMBER(MATCH($D1044,'Lopettaneet 2013-&gt;'!$D:$D,0)),INDEX('Lopettaneet 2013-&gt;'!$K:$K,MATCH($D1044,'Lopettaneet 2013-&gt;'!$D:$D,0)),"Continues")</f>
        <v>Continues</v>
      </c>
      <c r="K1044" s="30">
        <f ca="1">IF($J1044="Continues",DATEDIF($B1044,TODAY(),"Y"),INDEX('Lopettaneet 2013-&gt;'!$L:$L,MATCH($D1044,'Lopettaneet 2013-&gt;'!$D:$D,0)))</f>
        <v>1</v>
      </c>
      <c r="L1044" s="31" t="str">
        <f>IFERROR(INDEX('[1]30.06.2024'!$H:$H,MATCH($E1044,'[1]30.06.2024'!$B:$B,0)),"Not found")</f>
        <v>Aktia Rahastoyhtiö Oy</v>
      </c>
      <c r="M1044" s="31" t="str">
        <f>IFERROR(INDEX([2]Sheet1!$B:$B,MATCH($D1044,[2]Sheet1!$A:$A,0)),"Not found")</f>
        <v>Retail</v>
      </c>
      <c r="N1044">
        <f t="shared" si="32"/>
        <v>1</v>
      </c>
      <c r="O1044">
        <f t="shared" si="33"/>
        <v>0</v>
      </c>
    </row>
    <row r="1045" spans="1:15" x14ac:dyDescent="0.25">
      <c r="A1045" t="s">
        <v>7</v>
      </c>
      <c r="B1045" s="1">
        <v>45078</v>
      </c>
      <c r="C1045" s="1">
        <v>55153</v>
      </c>
      <c r="D1045" s="4" t="s">
        <v>137</v>
      </c>
      <c r="E1045" s="32" t="s">
        <v>138</v>
      </c>
      <c r="F1045" s="32">
        <v>33288944</v>
      </c>
      <c r="G1045" t="s">
        <v>10</v>
      </c>
      <c r="H1045" t="s">
        <v>11</v>
      </c>
      <c r="I1045" t="s">
        <v>12</v>
      </c>
      <c r="J1045" s="30" t="str">
        <f>IF(ISNUMBER(MATCH($D1045,'Lopettaneet 2013-&gt;'!$D:$D,0)),INDEX('Lopettaneet 2013-&gt;'!$K:$K,MATCH($D1045,'Lopettaneet 2013-&gt;'!$D:$D,0)),"Continues")</f>
        <v>Continues</v>
      </c>
      <c r="K1045" s="30">
        <f ca="1">IF($J1045="Continues",DATEDIF($B1045,TODAY(),"Y"),INDEX('Lopettaneet 2013-&gt;'!$L:$L,MATCH($D1045,'Lopettaneet 2013-&gt;'!$D:$D,0)))</f>
        <v>1</v>
      </c>
      <c r="L1045" s="31" t="str">
        <f>IFERROR(INDEX('[1]30.06.2024'!$H:$H,MATCH($E1045,'[1]30.06.2024'!$B:$B,0)),"Not found")</f>
        <v>Aktia Rahastoyhtiö Oy</v>
      </c>
      <c r="M1045" s="31" t="str">
        <f>IFERROR(INDEX([2]Sheet1!$B:$B,MATCH($D1045,[2]Sheet1!$A:$A,0)),"Not found")</f>
        <v>Retail</v>
      </c>
      <c r="N1045">
        <f t="shared" si="32"/>
        <v>1</v>
      </c>
      <c r="O1045">
        <f t="shared" si="33"/>
        <v>0</v>
      </c>
    </row>
    <row r="1046" spans="1:15" x14ac:dyDescent="0.25">
      <c r="A1046" t="s">
        <v>7</v>
      </c>
      <c r="B1046" s="1">
        <v>45078</v>
      </c>
      <c r="C1046" s="1">
        <v>55153</v>
      </c>
      <c r="D1046" s="4" t="s">
        <v>139</v>
      </c>
      <c r="E1046" s="32" t="s">
        <v>140</v>
      </c>
      <c r="F1046" s="32">
        <v>33288936</v>
      </c>
      <c r="G1046" t="s">
        <v>10</v>
      </c>
      <c r="H1046" t="s">
        <v>11</v>
      </c>
      <c r="I1046" t="s">
        <v>12</v>
      </c>
      <c r="J1046" s="30" t="str">
        <f>IF(ISNUMBER(MATCH($D1046,'Lopettaneet 2013-&gt;'!$D:$D,0)),INDEX('Lopettaneet 2013-&gt;'!$K:$K,MATCH($D1046,'Lopettaneet 2013-&gt;'!$D:$D,0)),"Continues")</f>
        <v>Continues</v>
      </c>
      <c r="K1046" s="30">
        <f ca="1">IF($J1046="Continues",DATEDIF($B1046,TODAY(),"Y"),INDEX('Lopettaneet 2013-&gt;'!$L:$L,MATCH($D1046,'Lopettaneet 2013-&gt;'!$D:$D,0)))</f>
        <v>1</v>
      </c>
      <c r="L1046" s="31" t="str">
        <f>IFERROR(INDEX('[1]30.06.2024'!$H:$H,MATCH($E1046,'[1]30.06.2024'!$B:$B,0)),"Not found")</f>
        <v>Aktia Rahastoyhtiö Oy</v>
      </c>
      <c r="M1046" s="31" t="str">
        <f>IFERROR(INDEX([2]Sheet1!$B:$B,MATCH($D1046,[2]Sheet1!$A:$A,0)),"Not found")</f>
        <v>Retail</v>
      </c>
      <c r="N1046">
        <f t="shared" si="32"/>
        <v>1</v>
      </c>
      <c r="O1046">
        <f t="shared" si="33"/>
        <v>0</v>
      </c>
    </row>
    <row r="1047" spans="1:15" x14ac:dyDescent="0.25">
      <c r="A1047" t="s">
        <v>7</v>
      </c>
      <c r="B1047" s="1">
        <v>45078</v>
      </c>
      <c r="C1047" s="1">
        <v>55153</v>
      </c>
      <c r="D1047" s="4" t="s">
        <v>141</v>
      </c>
      <c r="E1047" s="32" t="s">
        <v>142</v>
      </c>
      <c r="F1047" s="32">
        <v>33288805</v>
      </c>
      <c r="G1047" t="s">
        <v>10</v>
      </c>
      <c r="H1047" t="s">
        <v>11</v>
      </c>
      <c r="I1047" t="s">
        <v>12</v>
      </c>
      <c r="J1047" s="30" t="str">
        <f>IF(ISNUMBER(MATCH($D1047,'Lopettaneet 2013-&gt;'!$D:$D,0)),INDEX('Lopettaneet 2013-&gt;'!$K:$K,MATCH($D1047,'Lopettaneet 2013-&gt;'!$D:$D,0)),"Continues")</f>
        <v>Continues</v>
      </c>
      <c r="K1047" s="30">
        <f ca="1">IF($J1047="Continues",DATEDIF($B1047,TODAY(),"Y"),INDEX('Lopettaneet 2013-&gt;'!$L:$L,MATCH($D1047,'Lopettaneet 2013-&gt;'!$D:$D,0)))</f>
        <v>1</v>
      </c>
      <c r="L1047" s="31" t="str">
        <f>IFERROR(INDEX('[1]30.06.2024'!$H:$H,MATCH($E1047,'[1]30.06.2024'!$B:$B,0)),"Not found")</f>
        <v>Aktia Rahastoyhtiö Oy</v>
      </c>
      <c r="M1047" s="31" t="str">
        <f>IFERROR(INDEX([2]Sheet1!$B:$B,MATCH($D1047,[2]Sheet1!$A:$A,0)),"Not found")</f>
        <v>Retail</v>
      </c>
      <c r="N1047">
        <f t="shared" si="32"/>
        <v>1</v>
      </c>
      <c r="O1047">
        <f t="shared" si="33"/>
        <v>0</v>
      </c>
    </row>
    <row r="1048" spans="1:15" x14ac:dyDescent="0.25">
      <c r="A1048" t="s">
        <v>7</v>
      </c>
      <c r="B1048" s="1">
        <v>45078</v>
      </c>
      <c r="C1048" s="1">
        <v>55153</v>
      </c>
      <c r="D1048" s="4" t="s">
        <v>143</v>
      </c>
      <c r="E1048" s="32" t="s">
        <v>144</v>
      </c>
      <c r="F1048" s="32">
        <v>33288864</v>
      </c>
      <c r="G1048" t="s">
        <v>10</v>
      </c>
      <c r="H1048" t="s">
        <v>11</v>
      </c>
      <c r="I1048" t="s">
        <v>12</v>
      </c>
      <c r="J1048" s="30" t="str">
        <f>IF(ISNUMBER(MATCH($D1048,'Lopettaneet 2013-&gt;'!$D:$D,0)),INDEX('Lopettaneet 2013-&gt;'!$K:$K,MATCH($D1048,'Lopettaneet 2013-&gt;'!$D:$D,0)),"Continues")</f>
        <v>Continues</v>
      </c>
      <c r="K1048" s="30">
        <f ca="1">IF($J1048="Continues",DATEDIF($B1048,TODAY(),"Y"),INDEX('Lopettaneet 2013-&gt;'!$L:$L,MATCH($D1048,'Lopettaneet 2013-&gt;'!$D:$D,0)))</f>
        <v>1</v>
      </c>
      <c r="L1048" s="31" t="str">
        <f>IFERROR(INDEX('[1]30.06.2024'!$H:$H,MATCH($E1048,'[1]30.06.2024'!$B:$B,0)),"Not found")</f>
        <v>Aktia Rahastoyhtiö Oy</v>
      </c>
      <c r="M1048" s="31" t="str">
        <f>IFERROR(INDEX([2]Sheet1!$B:$B,MATCH($D1048,[2]Sheet1!$A:$A,0)),"Not found")</f>
        <v>Retail</v>
      </c>
      <c r="N1048">
        <f t="shared" si="32"/>
        <v>1</v>
      </c>
      <c r="O1048">
        <f t="shared" si="33"/>
        <v>0</v>
      </c>
    </row>
    <row r="1049" spans="1:15" x14ac:dyDescent="0.25">
      <c r="A1049" t="s">
        <v>7</v>
      </c>
      <c r="B1049" s="1">
        <v>45078</v>
      </c>
      <c r="C1049" s="1">
        <v>55153</v>
      </c>
      <c r="D1049" s="4" t="s">
        <v>145</v>
      </c>
      <c r="E1049" s="32" t="s">
        <v>146</v>
      </c>
      <c r="F1049" s="32">
        <v>33332204</v>
      </c>
      <c r="G1049" t="s">
        <v>10</v>
      </c>
      <c r="H1049" t="s">
        <v>11</v>
      </c>
      <c r="I1049" t="s">
        <v>12</v>
      </c>
      <c r="J1049" s="30" t="str">
        <f>IF(ISNUMBER(MATCH($D1049,'Lopettaneet 2013-&gt;'!$D:$D,0)),INDEX('Lopettaneet 2013-&gt;'!$K:$K,MATCH($D1049,'Lopettaneet 2013-&gt;'!$D:$D,0)),"Continues")</f>
        <v>Continues</v>
      </c>
      <c r="K1049" s="30">
        <f ca="1">IF($J1049="Continues",DATEDIF($B1049,TODAY(),"Y"),INDEX('Lopettaneet 2013-&gt;'!$L:$L,MATCH($D1049,'Lopettaneet 2013-&gt;'!$D:$D,0)))</f>
        <v>1</v>
      </c>
      <c r="L1049" s="31" t="str">
        <f>IFERROR(INDEX('[1]30.06.2024'!$H:$H,MATCH($E1049,'[1]30.06.2024'!$B:$B,0)),"Not found")</f>
        <v>Evli-Rahastoyhtiö Oy</v>
      </c>
      <c r="M1049" s="31" t="str">
        <f>IFERROR(INDEX([2]Sheet1!$B:$B,MATCH($D1049,[2]Sheet1!$A:$A,0)),"Not found")</f>
        <v>Retail</v>
      </c>
      <c r="N1049">
        <f t="shared" si="32"/>
        <v>1</v>
      </c>
      <c r="O1049">
        <f t="shared" si="33"/>
        <v>0</v>
      </c>
    </row>
    <row r="1050" spans="1:15" x14ac:dyDescent="0.25">
      <c r="A1050" t="s">
        <v>0</v>
      </c>
      <c r="B1050" s="1">
        <v>45047</v>
      </c>
      <c r="C1050" s="1">
        <v>55153</v>
      </c>
      <c r="D1050" s="4" t="s">
        <v>147</v>
      </c>
      <c r="E1050" s="32" t="s">
        <v>148</v>
      </c>
      <c r="F1050" s="32">
        <v>33299029</v>
      </c>
      <c r="G1050" t="s">
        <v>10</v>
      </c>
      <c r="H1050" t="s">
        <v>11</v>
      </c>
      <c r="I1050" t="s">
        <v>50</v>
      </c>
      <c r="J1050" s="30" t="str">
        <f>IF(ISNUMBER(MATCH($D1050,'Lopettaneet 2013-&gt;'!$D:$D,0)),INDEX('Lopettaneet 2013-&gt;'!$K:$K,MATCH($D1050,'Lopettaneet 2013-&gt;'!$D:$D,0)),"Continues")</f>
        <v>Continues</v>
      </c>
      <c r="K1050" s="30">
        <f ca="1">IF($J1050="Continues",DATEDIF($B1050,TODAY(),"Y"),INDEX('Lopettaneet 2013-&gt;'!$L:$L,MATCH($D1050,'Lopettaneet 2013-&gt;'!$D:$D,0)))</f>
        <v>2</v>
      </c>
      <c r="L1050" s="31" t="str">
        <f>IFERROR(INDEX('[1]30.06.2024'!$H:$H,MATCH($E1050,'[1]30.06.2024'!$B:$B,0)),"Not found")</f>
        <v>OP-Rahastoyhtiö Oy</v>
      </c>
      <c r="M1050" s="31" t="str">
        <f>IFERROR(INDEX([2]Sheet1!$B:$B,MATCH($D1050,[2]Sheet1!$A:$A,0)),"Not found")</f>
        <v>Non-Retail</v>
      </c>
      <c r="N1050">
        <f t="shared" si="32"/>
        <v>0</v>
      </c>
      <c r="O1050">
        <f t="shared" si="33"/>
        <v>1</v>
      </c>
    </row>
    <row r="1051" spans="1:15" x14ac:dyDescent="0.25">
      <c r="A1051" t="s">
        <v>7</v>
      </c>
      <c r="B1051" s="1">
        <v>44986</v>
      </c>
      <c r="C1051" s="1">
        <v>55153</v>
      </c>
      <c r="D1051" s="4" t="s">
        <v>149</v>
      </c>
      <c r="E1051" s="32" t="s">
        <v>150</v>
      </c>
      <c r="F1051" s="32">
        <v>33038339</v>
      </c>
      <c r="G1051" t="s">
        <v>10</v>
      </c>
      <c r="H1051" t="s">
        <v>11</v>
      </c>
      <c r="I1051" t="s">
        <v>80</v>
      </c>
      <c r="J1051" s="30" t="str">
        <f>IF(ISNUMBER(MATCH($D1051,'Lopettaneet 2013-&gt;'!$D:$D,0)),INDEX('Lopettaneet 2013-&gt;'!$K:$K,MATCH($D1051,'Lopettaneet 2013-&gt;'!$D:$D,0)),"Continues")</f>
        <v>Continues</v>
      </c>
      <c r="K1051" s="30">
        <f ca="1">IF($J1051="Continues",DATEDIF($B1051,TODAY(),"Y"),INDEX('Lopettaneet 2013-&gt;'!$L:$L,MATCH($D1051,'Lopettaneet 2013-&gt;'!$D:$D,0)))</f>
        <v>2</v>
      </c>
      <c r="L1051" s="31" t="str">
        <f>IFERROR(INDEX('[1]30.06.2024'!$H:$H,MATCH($E1051,'[1]30.06.2024'!$B:$B,0)),"Not found")</f>
        <v>Illusian Capital Oy</v>
      </c>
      <c r="M1051" s="31" t="str">
        <f>IFERROR(INDEX([2]Sheet1!$B:$B,MATCH($D1051,[2]Sheet1!$A:$A,0)),"Not found")</f>
        <v>Non-Retail</v>
      </c>
      <c r="N1051">
        <f t="shared" si="32"/>
        <v>0</v>
      </c>
      <c r="O1051">
        <f t="shared" si="33"/>
        <v>1</v>
      </c>
    </row>
    <row r="1052" spans="1:15" x14ac:dyDescent="0.25">
      <c r="A1052" t="s">
        <v>7</v>
      </c>
      <c r="B1052" s="1">
        <v>45170</v>
      </c>
      <c r="C1052" s="1">
        <v>55153</v>
      </c>
      <c r="D1052" s="4" t="s">
        <v>151</v>
      </c>
      <c r="E1052" s="32" t="s">
        <v>152</v>
      </c>
      <c r="F1052" s="32">
        <v>33450753</v>
      </c>
      <c r="G1052" t="s">
        <v>10</v>
      </c>
      <c r="H1052" t="s">
        <v>11</v>
      </c>
      <c r="I1052" t="s">
        <v>29</v>
      </c>
      <c r="J1052" s="30" t="str">
        <f>IF(ISNUMBER(MATCH($D1052,'Lopettaneet 2013-&gt;'!$D:$D,0)),INDEX('Lopettaneet 2013-&gt;'!$K:$K,MATCH($D1052,'Lopettaneet 2013-&gt;'!$D:$D,0)),"Continues")</f>
        <v>Continues</v>
      </c>
      <c r="K1052" s="30">
        <f ca="1">IF($J1052="Continues",DATEDIF($B1052,TODAY(),"Y"),INDEX('Lopettaneet 2013-&gt;'!$L:$L,MATCH($D1052,'Lopettaneet 2013-&gt;'!$D:$D,0)))</f>
        <v>1</v>
      </c>
      <c r="L1052" s="31" t="str">
        <f>IFERROR(INDEX('[1]30.06.2024'!$H:$H,MATCH($E1052,'[1]30.06.2024'!$B:$B,0)),"Not found")</f>
        <v>Ålandsbanken Fondbolag Ab</v>
      </c>
      <c r="M1052" s="31" t="str">
        <f>IFERROR(INDEX([2]Sheet1!$B:$B,MATCH($D1052,[2]Sheet1!$A:$A,0)),"Not found")</f>
        <v>Non-Retail</v>
      </c>
      <c r="N1052">
        <f t="shared" si="32"/>
        <v>0</v>
      </c>
      <c r="O1052">
        <f t="shared" si="33"/>
        <v>1</v>
      </c>
    </row>
    <row r="1053" spans="1:15" x14ac:dyDescent="0.25">
      <c r="A1053" t="s">
        <v>7</v>
      </c>
      <c r="B1053" s="1">
        <v>45078</v>
      </c>
      <c r="C1053" s="1">
        <v>55153</v>
      </c>
      <c r="D1053" s="4" t="s">
        <v>153</v>
      </c>
      <c r="E1053" s="32" t="s">
        <v>154</v>
      </c>
      <c r="F1053" s="32">
        <v>33403113</v>
      </c>
      <c r="G1053" t="s">
        <v>10</v>
      </c>
      <c r="H1053" t="s">
        <v>11</v>
      </c>
      <c r="I1053" t="s">
        <v>12</v>
      </c>
      <c r="J1053" s="30" t="str">
        <f>IF(ISNUMBER(MATCH($D1053,'Lopettaneet 2013-&gt;'!$D:$D,0)),INDEX('Lopettaneet 2013-&gt;'!$K:$K,MATCH($D1053,'Lopettaneet 2013-&gt;'!$D:$D,0)),"Continues")</f>
        <v>Continues</v>
      </c>
      <c r="K1053" s="30">
        <f ca="1">IF($J1053="Continues",DATEDIF($B1053,TODAY(),"Y"),INDEX('Lopettaneet 2013-&gt;'!$L:$L,MATCH($D1053,'Lopettaneet 2013-&gt;'!$D:$D,0)))</f>
        <v>1</v>
      </c>
      <c r="L1053" s="31" t="str">
        <f>IFERROR(INDEX('[1]30.06.2024'!$H:$H,MATCH($E1053,'[1]30.06.2024'!$B:$B,0)),"Not found")</f>
        <v>Aktia Rahastoyhtiö Oy</v>
      </c>
      <c r="M1053" s="31" t="str">
        <f>IFERROR(INDEX([2]Sheet1!$B:$B,MATCH($D1053,[2]Sheet1!$A:$A,0)),"Not found")</f>
        <v>Retail</v>
      </c>
      <c r="N1053">
        <f t="shared" si="32"/>
        <v>1</v>
      </c>
      <c r="O1053">
        <f t="shared" si="33"/>
        <v>0</v>
      </c>
    </row>
    <row r="1054" spans="1:15" x14ac:dyDescent="0.25">
      <c r="A1054" t="s">
        <v>7</v>
      </c>
      <c r="B1054" s="1">
        <v>45078</v>
      </c>
      <c r="C1054" s="1">
        <v>55153</v>
      </c>
      <c r="D1054" s="4" t="s">
        <v>155</v>
      </c>
      <c r="E1054" s="32" t="s">
        <v>156</v>
      </c>
      <c r="F1054" s="32">
        <v>33491504</v>
      </c>
      <c r="G1054" t="s">
        <v>10</v>
      </c>
      <c r="H1054" t="s">
        <v>11</v>
      </c>
      <c r="I1054" t="s">
        <v>80</v>
      </c>
      <c r="J1054" s="30" t="str">
        <f>IF(ISNUMBER(MATCH($D1054,'Lopettaneet 2013-&gt;'!$D:$D,0)),INDEX('Lopettaneet 2013-&gt;'!$K:$K,MATCH($D1054,'Lopettaneet 2013-&gt;'!$D:$D,0)),"Continues")</f>
        <v>Continues</v>
      </c>
      <c r="K1054" s="30">
        <f ca="1">IF($J1054="Continues",DATEDIF($B1054,TODAY(),"Y"),INDEX('Lopettaneet 2013-&gt;'!$L:$L,MATCH($D1054,'Lopettaneet 2013-&gt;'!$D:$D,0)))</f>
        <v>1</v>
      </c>
      <c r="L1054" s="31" t="str">
        <f>IFERROR(INDEX('[1]30.06.2024'!$H:$H,MATCH($E1054,'[1]30.06.2024'!$B:$B,0)),"Not found")</f>
        <v>Voima Ventures Oy</v>
      </c>
      <c r="M1054" s="31" t="str">
        <f>IFERROR(INDEX([2]Sheet1!$B:$B,MATCH($D1054,[2]Sheet1!$A:$A,0)),"Not found")</f>
        <v>Non-Retail</v>
      </c>
      <c r="N1054">
        <f t="shared" si="32"/>
        <v>0</v>
      </c>
      <c r="O1054">
        <f t="shared" si="33"/>
        <v>1</v>
      </c>
    </row>
    <row r="1055" spans="1:15" x14ac:dyDescent="0.25">
      <c r="A1055" t="s">
        <v>7</v>
      </c>
      <c r="B1055" s="1">
        <v>45078</v>
      </c>
      <c r="C1055" s="1">
        <v>55153</v>
      </c>
      <c r="D1055" s="4" t="s">
        <v>157</v>
      </c>
      <c r="E1055" s="32" t="s">
        <v>158</v>
      </c>
      <c r="F1055" s="32">
        <v>33483416</v>
      </c>
      <c r="G1055" t="s">
        <v>10</v>
      </c>
      <c r="H1055" t="s">
        <v>11</v>
      </c>
      <c r="I1055" t="s">
        <v>80</v>
      </c>
      <c r="J1055" s="30" t="str">
        <f>IF(ISNUMBER(MATCH($D1055,'Lopettaneet 2013-&gt;'!$D:$D,0)),INDEX('Lopettaneet 2013-&gt;'!$K:$K,MATCH($D1055,'Lopettaneet 2013-&gt;'!$D:$D,0)),"Continues")</f>
        <v>Continues</v>
      </c>
      <c r="K1055" s="30">
        <f ca="1">IF($J1055="Continues",DATEDIF($B1055,TODAY(),"Y"),INDEX('Lopettaneet 2013-&gt;'!$L:$L,MATCH($D1055,'Lopettaneet 2013-&gt;'!$D:$D,0)))</f>
        <v>1</v>
      </c>
      <c r="L1055" s="31" t="str">
        <f>IFERROR(INDEX('[1]30.06.2024'!$H:$H,MATCH($E1055,'[1]30.06.2024'!$B:$B,0)),"Not found")</f>
        <v>Innovestor Ventures Oy</v>
      </c>
      <c r="M1055" s="31" t="str">
        <f>IFERROR(INDEX([2]Sheet1!$B:$B,MATCH($D1055,[2]Sheet1!$A:$A,0)),"Not found")</f>
        <v>Retail</v>
      </c>
      <c r="N1055">
        <f t="shared" si="32"/>
        <v>1</v>
      </c>
      <c r="O1055">
        <f t="shared" si="33"/>
        <v>0</v>
      </c>
    </row>
    <row r="1056" spans="1:15" x14ac:dyDescent="0.25">
      <c r="A1056" t="s">
        <v>7</v>
      </c>
      <c r="B1056" s="1">
        <v>45261</v>
      </c>
      <c r="C1056" s="1">
        <v>55153</v>
      </c>
      <c r="D1056" s="4" t="s">
        <v>159</v>
      </c>
      <c r="E1056" s="32" t="s">
        <v>160</v>
      </c>
      <c r="F1056" s="32">
        <v>33757958</v>
      </c>
      <c r="G1056" t="s">
        <v>10</v>
      </c>
      <c r="H1056" t="s">
        <v>11</v>
      </c>
      <c r="I1056" t="s">
        <v>80</v>
      </c>
      <c r="J1056" s="30" t="str">
        <f>IF(ISNUMBER(MATCH($D1056,'Lopettaneet 2013-&gt;'!$D:$D,0)),INDEX('Lopettaneet 2013-&gt;'!$K:$K,MATCH($D1056,'Lopettaneet 2013-&gt;'!$D:$D,0)),"Continues")</f>
        <v>Continues</v>
      </c>
      <c r="K1056" s="30">
        <f ca="1">IF($J1056="Continues",DATEDIF($B1056,TODAY(),"Y"),INDEX('Lopettaneet 2013-&gt;'!$L:$L,MATCH($D1056,'Lopettaneet 2013-&gt;'!$D:$D,0)))</f>
        <v>1</v>
      </c>
      <c r="L1056" s="31" t="str">
        <f>IFERROR(INDEX('[1]30.06.2024'!$H:$H,MATCH($E1056,'[1]30.06.2024'!$B:$B,0)),"Not found")</f>
        <v>IPR.VC Management Oy</v>
      </c>
      <c r="M1056" s="31" t="str">
        <f>IFERROR(INDEX([2]Sheet1!$B:$B,MATCH($D1056,[2]Sheet1!$A:$A,0)),"Not found")</f>
        <v>Non-Retail</v>
      </c>
      <c r="N1056">
        <f t="shared" si="32"/>
        <v>0</v>
      </c>
      <c r="O1056">
        <f t="shared" si="33"/>
        <v>1</v>
      </c>
    </row>
    <row r="1057" spans="1:15" x14ac:dyDescent="0.25">
      <c r="A1057" t="s">
        <v>7</v>
      </c>
      <c r="B1057" s="1">
        <v>45078</v>
      </c>
      <c r="C1057" s="1">
        <v>55153</v>
      </c>
      <c r="D1057" s="4" t="s">
        <v>161</v>
      </c>
      <c r="E1057" s="32" t="s">
        <v>162</v>
      </c>
      <c r="F1057" s="32">
        <v>33351915</v>
      </c>
      <c r="G1057" t="s">
        <v>10</v>
      </c>
      <c r="H1057" t="s">
        <v>11</v>
      </c>
      <c r="I1057" t="s">
        <v>29</v>
      </c>
      <c r="J1057" s="30" t="str">
        <f>IF(ISNUMBER(MATCH($D1057,'Lopettaneet 2013-&gt;'!$D:$D,0)),INDEX('Lopettaneet 2013-&gt;'!$K:$K,MATCH($D1057,'Lopettaneet 2013-&gt;'!$D:$D,0)),"Continues")</f>
        <v>Continues</v>
      </c>
      <c r="K1057" s="30">
        <f ca="1">IF($J1057="Continues",DATEDIF($B1057,TODAY(),"Y"),INDEX('Lopettaneet 2013-&gt;'!$L:$L,MATCH($D1057,'Lopettaneet 2013-&gt;'!$D:$D,0)))</f>
        <v>1</v>
      </c>
      <c r="L1057" s="31" t="str">
        <f>IFERROR(INDEX('[1]30.06.2024'!$H:$H,MATCH($E1057,'[1]30.06.2024'!$B:$B,0)),"Not found")</f>
        <v>Evli-Rahastoyhtiö Oy</v>
      </c>
      <c r="M1057" s="31" t="str">
        <f>IFERROR(INDEX([2]Sheet1!$B:$B,MATCH($D1057,[2]Sheet1!$A:$A,0)),"Not found")</f>
        <v>Retail</v>
      </c>
      <c r="N1057">
        <f t="shared" si="32"/>
        <v>1</v>
      </c>
      <c r="O1057">
        <f t="shared" si="33"/>
        <v>0</v>
      </c>
    </row>
    <row r="1058" spans="1:15" x14ac:dyDescent="0.25">
      <c r="A1058" t="s">
        <v>7</v>
      </c>
      <c r="B1058" s="1">
        <v>45078</v>
      </c>
      <c r="C1058" s="1">
        <v>55153</v>
      </c>
      <c r="D1058" s="4" t="s">
        <v>163</v>
      </c>
      <c r="E1058" s="32" t="s">
        <v>164</v>
      </c>
      <c r="F1058" s="32">
        <v>33642296</v>
      </c>
      <c r="G1058" t="s">
        <v>10</v>
      </c>
      <c r="H1058" t="s">
        <v>11</v>
      </c>
      <c r="I1058" t="s">
        <v>80</v>
      </c>
      <c r="J1058" s="30" t="str">
        <f>IF(ISNUMBER(MATCH($D1058,'Lopettaneet 2013-&gt;'!$D:$D,0)),INDEX('Lopettaneet 2013-&gt;'!$K:$K,MATCH($D1058,'Lopettaneet 2013-&gt;'!$D:$D,0)),"Continues")</f>
        <v>Continues</v>
      </c>
      <c r="K1058" s="30">
        <f ca="1">IF($J1058="Continues",DATEDIF($B1058,TODAY(),"Y"),INDEX('Lopettaneet 2013-&gt;'!$L:$L,MATCH($D1058,'Lopettaneet 2013-&gt;'!$D:$D,0)))</f>
        <v>1</v>
      </c>
      <c r="L1058" s="31" t="str">
        <f>IFERROR(INDEX('[1]30.06.2024'!$H:$H,MATCH($E1058,'[1]30.06.2024'!$B:$B,0)),"Not found")</f>
        <v>Kvanted Oy</v>
      </c>
      <c r="M1058" s="31" t="str">
        <f>IFERROR(INDEX([2]Sheet1!$B:$B,MATCH($D1058,[2]Sheet1!$A:$A,0)),"Not found")</f>
        <v>Non-Retail</v>
      </c>
      <c r="N1058">
        <f t="shared" si="32"/>
        <v>0</v>
      </c>
      <c r="O1058">
        <f t="shared" si="33"/>
        <v>1</v>
      </c>
    </row>
    <row r="1059" spans="1:15" x14ac:dyDescent="0.25">
      <c r="A1059" t="s">
        <v>7</v>
      </c>
      <c r="B1059" s="1">
        <v>45352</v>
      </c>
      <c r="C1059" s="1">
        <v>55153</v>
      </c>
      <c r="D1059" s="4" t="s">
        <v>215</v>
      </c>
      <c r="E1059" s="32" t="s">
        <v>216</v>
      </c>
      <c r="F1059" s="32">
        <v>34151018</v>
      </c>
      <c r="G1059" t="s">
        <v>10</v>
      </c>
      <c r="H1059" t="s">
        <v>11</v>
      </c>
      <c r="I1059" t="s">
        <v>80</v>
      </c>
      <c r="J1059" s="30" t="str">
        <f>IF(ISNUMBER(MATCH($D1059,'Lopettaneet 2013-&gt;'!$D:$D,0)),INDEX('Lopettaneet 2013-&gt;'!$K:$K,MATCH($D1059,'Lopettaneet 2013-&gt;'!$D:$D,0)),"Continues")</f>
        <v>Continues</v>
      </c>
      <c r="K1059" s="30">
        <f ca="1">IF($J1059="Continues",DATEDIF($B1059,TODAY(),"Y"),INDEX('Lopettaneet 2013-&gt;'!$L:$L,MATCH($D1059,'Lopettaneet 2013-&gt;'!$D:$D,0)))</f>
        <v>1</v>
      </c>
      <c r="L1059" s="31" t="str">
        <f>IFERROR(INDEX('[1]30.06.2024'!$H:$H,MATCH($E1059,'[1]30.06.2024'!$B:$B,0)),"Not found")</f>
        <v>Nordic Science Investments Oy</v>
      </c>
      <c r="M1059" s="31" t="str">
        <f>IFERROR(INDEX([2]Sheet1!$B:$B,MATCH($D1059,[2]Sheet1!$A:$A,0)),"Not found")</f>
        <v>Non-Retail</v>
      </c>
      <c r="N1059">
        <f t="shared" si="32"/>
        <v>0</v>
      </c>
      <c r="O1059">
        <f t="shared" si="33"/>
        <v>1</v>
      </c>
    </row>
    <row r="1060" spans="1:15" x14ac:dyDescent="0.25">
      <c r="A1060" t="s">
        <v>7</v>
      </c>
      <c r="B1060" s="1">
        <v>45261</v>
      </c>
      <c r="C1060" s="1">
        <v>55153</v>
      </c>
      <c r="D1060" s="4" t="s">
        <v>165</v>
      </c>
      <c r="E1060" s="32" t="s">
        <v>166</v>
      </c>
      <c r="F1060" s="32">
        <v>33640629</v>
      </c>
      <c r="G1060" t="s">
        <v>10</v>
      </c>
      <c r="H1060" t="s">
        <v>11</v>
      </c>
      <c r="I1060" t="s">
        <v>80</v>
      </c>
      <c r="J1060" s="30" t="str">
        <f>IF(ISNUMBER(MATCH($D1060,'Lopettaneet 2013-&gt;'!$D:$D,0)),INDEX('Lopettaneet 2013-&gt;'!$K:$K,MATCH($D1060,'Lopettaneet 2013-&gt;'!$D:$D,0)),"Continues")</f>
        <v>Continues</v>
      </c>
      <c r="K1060" s="30">
        <f ca="1">IF($J1060="Continues",DATEDIF($B1060,TODAY(),"Y"),INDEX('Lopettaneet 2013-&gt;'!$L:$L,MATCH($D1060,'Lopettaneet 2013-&gt;'!$D:$D,0)))</f>
        <v>1</v>
      </c>
      <c r="L1060" s="31" t="str">
        <f>IFERROR(INDEX('[1]30.06.2024'!$H:$H,MATCH($E1060,'[1]30.06.2024'!$B:$B,0)),"Not found")</f>
        <v>IPR.VC Management Oy</v>
      </c>
      <c r="M1060" s="31" t="str">
        <f>IFERROR(INDEX([2]Sheet1!$B:$B,MATCH($D1060,[2]Sheet1!$A:$A,0)),"Not found")</f>
        <v>Retail</v>
      </c>
      <c r="N1060">
        <f t="shared" si="32"/>
        <v>1</v>
      </c>
      <c r="O1060">
        <f t="shared" si="33"/>
        <v>0</v>
      </c>
    </row>
    <row r="1061" spans="1:15" x14ac:dyDescent="0.25">
      <c r="A1061" t="s">
        <v>0</v>
      </c>
      <c r="B1061" s="1">
        <v>45170</v>
      </c>
      <c r="C1061" s="1">
        <v>55153</v>
      </c>
      <c r="D1061" s="4" t="s">
        <v>167</v>
      </c>
      <c r="E1061" s="32" t="s">
        <v>168</v>
      </c>
      <c r="F1061" s="32">
        <v>33517225</v>
      </c>
      <c r="G1061" t="s">
        <v>10</v>
      </c>
      <c r="H1061" t="s">
        <v>11</v>
      </c>
      <c r="I1061" t="s">
        <v>20</v>
      </c>
      <c r="J1061" s="30" t="str">
        <f>IF(ISNUMBER(MATCH($D1061,'Lopettaneet 2013-&gt;'!$D:$D,0)),INDEX('Lopettaneet 2013-&gt;'!$K:$K,MATCH($D1061,'Lopettaneet 2013-&gt;'!$D:$D,0)),"Continues")</f>
        <v>Continues</v>
      </c>
      <c r="K1061" s="30">
        <f ca="1">IF($J1061="Continues",DATEDIF($B1061,TODAY(),"Y"),INDEX('Lopettaneet 2013-&gt;'!$L:$L,MATCH($D1061,'Lopettaneet 2013-&gt;'!$D:$D,0)))</f>
        <v>1</v>
      </c>
      <c r="L1061" s="31" t="str">
        <f>IFERROR(INDEX('[1]30.06.2024'!$H:$H,MATCH($E1061,'[1]30.06.2024'!$B:$B,0)),"Not found")</f>
        <v>CapMan AIFM Oy</v>
      </c>
      <c r="M1061" s="31" t="str">
        <f>IFERROR(INDEX([2]Sheet1!$B:$B,MATCH($D1061,[2]Sheet1!$A:$A,0)),"Not found")</f>
        <v>Non-Retail</v>
      </c>
      <c r="N1061">
        <f t="shared" si="32"/>
        <v>0</v>
      </c>
      <c r="O1061">
        <f t="shared" si="33"/>
        <v>1</v>
      </c>
    </row>
    <row r="1062" spans="1:15" x14ac:dyDescent="0.25">
      <c r="A1062" t="s">
        <v>7</v>
      </c>
      <c r="B1062" s="1">
        <v>45170</v>
      </c>
      <c r="C1062" s="1">
        <v>55153</v>
      </c>
      <c r="D1062" s="4" t="s">
        <v>169</v>
      </c>
      <c r="E1062" s="32" t="s">
        <v>170</v>
      </c>
      <c r="F1062" s="32">
        <v>33598387</v>
      </c>
      <c r="G1062" t="s">
        <v>10</v>
      </c>
      <c r="H1062" t="s">
        <v>11</v>
      </c>
      <c r="I1062" t="s">
        <v>29</v>
      </c>
      <c r="J1062" s="30" t="str">
        <f>IF(ISNUMBER(MATCH($D1062,'Lopettaneet 2013-&gt;'!$D:$D,0)),INDEX('Lopettaneet 2013-&gt;'!$K:$K,MATCH($D1062,'Lopettaneet 2013-&gt;'!$D:$D,0)),"Continues")</f>
        <v>Continues</v>
      </c>
      <c r="K1062" s="30">
        <f ca="1">IF($J1062="Continues",DATEDIF($B1062,TODAY(),"Y"),INDEX('Lopettaneet 2013-&gt;'!$L:$L,MATCH($D1062,'Lopettaneet 2013-&gt;'!$D:$D,0)))</f>
        <v>1</v>
      </c>
      <c r="L1062" s="31" t="str">
        <f>IFERROR(INDEX('[1]30.06.2024'!$H:$H,MATCH($E1062,'[1]30.06.2024'!$B:$B,0)),"Not found")</f>
        <v>UB Rahastoyhtiö Oy</v>
      </c>
      <c r="M1062" s="31" t="str">
        <f>IFERROR(INDEX([2]Sheet1!$B:$B,MATCH($D1062,[2]Sheet1!$A:$A,0)),"Not found")</f>
        <v>Non-Retail</v>
      </c>
      <c r="N1062">
        <f t="shared" si="32"/>
        <v>0</v>
      </c>
      <c r="O1062">
        <f t="shared" si="33"/>
        <v>1</v>
      </c>
    </row>
    <row r="1063" spans="1:15" x14ac:dyDescent="0.25">
      <c r="A1063" t="s">
        <v>7</v>
      </c>
      <c r="B1063" s="1">
        <v>45170</v>
      </c>
      <c r="C1063" s="1">
        <v>55153</v>
      </c>
      <c r="D1063" s="4" t="s">
        <v>171</v>
      </c>
      <c r="E1063" s="32" t="s">
        <v>172</v>
      </c>
      <c r="F1063" s="32">
        <v>33153521</v>
      </c>
      <c r="G1063" t="s">
        <v>10</v>
      </c>
      <c r="H1063" t="s">
        <v>11</v>
      </c>
      <c r="I1063" t="s">
        <v>29</v>
      </c>
      <c r="J1063" s="30" t="str">
        <f>IF(ISNUMBER(MATCH($D1063,'Lopettaneet 2013-&gt;'!$D:$D,0)),INDEX('Lopettaneet 2013-&gt;'!$K:$K,MATCH($D1063,'Lopettaneet 2013-&gt;'!$D:$D,0)),"Continues")</f>
        <v>Continues</v>
      </c>
      <c r="K1063" s="30">
        <f ca="1">IF($J1063="Continues",DATEDIF($B1063,TODAY(),"Y"),INDEX('Lopettaneet 2013-&gt;'!$L:$L,MATCH($D1063,'Lopettaneet 2013-&gt;'!$D:$D,0)))</f>
        <v>1</v>
      </c>
      <c r="L1063" s="31" t="str">
        <f>IFERROR(INDEX('[1]30.06.2024'!$H:$H,MATCH($E1063,'[1]30.06.2024'!$B:$B,0)),"Not found")</f>
        <v>Evli-Rahastoyhtiö Oy</v>
      </c>
      <c r="M1063" s="31" t="str">
        <f>IFERROR(INDEX([2]Sheet1!$B:$B,MATCH($D1063,[2]Sheet1!$A:$A,0)),"Not found")</f>
        <v>Retail</v>
      </c>
      <c r="N1063">
        <f t="shared" si="32"/>
        <v>1</v>
      </c>
      <c r="O1063">
        <f t="shared" si="33"/>
        <v>0</v>
      </c>
    </row>
    <row r="1064" spans="1:15" x14ac:dyDescent="0.25">
      <c r="A1064" t="s">
        <v>7</v>
      </c>
      <c r="B1064" s="1">
        <v>45170</v>
      </c>
      <c r="C1064" s="1">
        <v>55153</v>
      </c>
      <c r="D1064" s="4" t="s">
        <v>173</v>
      </c>
      <c r="E1064" s="32" t="s">
        <v>174</v>
      </c>
      <c r="F1064" s="32">
        <v>33153492</v>
      </c>
      <c r="G1064" t="s">
        <v>10</v>
      </c>
      <c r="H1064" t="s">
        <v>11</v>
      </c>
      <c r="I1064" t="s">
        <v>29</v>
      </c>
      <c r="J1064" s="30" t="str">
        <f>IF(ISNUMBER(MATCH($D1064,'Lopettaneet 2013-&gt;'!$D:$D,0)),INDEX('Lopettaneet 2013-&gt;'!$K:$K,MATCH($D1064,'Lopettaneet 2013-&gt;'!$D:$D,0)),"Continues")</f>
        <v>Continues</v>
      </c>
      <c r="K1064" s="30">
        <f ca="1">IF($J1064="Continues",DATEDIF($B1064,TODAY(),"Y"),INDEX('Lopettaneet 2013-&gt;'!$L:$L,MATCH($D1064,'Lopettaneet 2013-&gt;'!$D:$D,0)))</f>
        <v>1</v>
      </c>
      <c r="L1064" s="31" t="str">
        <f>IFERROR(INDEX('[1]30.06.2024'!$H:$H,MATCH($E1064,'[1]30.06.2024'!$B:$B,0)),"Not found")</f>
        <v>Evli-Rahastoyhtiö Oy</v>
      </c>
      <c r="M1064" s="31" t="str">
        <f>IFERROR(INDEX([2]Sheet1!$B:$B,MATCH($D1064,[2]Sheet1!$A:$A,0)),"Not found")</f>
        <v>Retail</v>
      </c>
      <c r="N1064">
        <f t="shared" si="32"/>
        <v>1</v>
      </c>
      <c r="O1064">
        <f t="shared" si="33"/>
        <v>0</v>
      </c>
    </row>
    <row r="1065" spans="1:15" x14ac:dyDescent="0.25">
      <c r="A1065" t="s">
        <v>0</v>
      </c>
      <c r="B1065" s="1">
        <v>45078</v>
      </c>
      <c r="C1065" s="1">
        <v>55153</v>
      </c>
      <c r="D1065" s="4" t="s">
        <v>175</v>
      </c>
      <c r="E1065" s="32" t="s">
        <v>176</v>
      </c>
      <c r="F1065" s="32">
        <v>33642106</v>
      </c>
      <c r="G1065" t="s">
        <v>3</v>
      </c>
      <c r="H1065" t="s">
        <v>4</v>
      </c>
      <c r="I1065" t="s">
        <v>50</v>
      </c>
      <c r="J1065" s="30" t="str">
        <f>IF(ISNUMBER(MATCH($D1065,'Lopettaneet 2013-&gt;'!$D:$D,0)),INDEX('Lopettaneet 2013-&gt;'!$K:$K,MATCH($D1065,'Lopettaneet 2013-&gt;'!$D:$D,0)),"Continues")</f>
        <v>Continues</v>
      </c>
      <c r="K1065" s="30">
        <f ca="1">IF($J1065="Continues",DATEDIF($B1065,TODAY(),"Y"),INDEX('Lopettaneet 2013-&gt;'!$L:$L,MATCH($D1065,'Lopettaneet 2013-&gt;'!$D:$D,0)))</f>
        <v>1</v>
      </c>
      <c r="L1065" s="31" t="str">
        <f>IFERROR(INDEX('[1]30.06.2024'!$H:$H,MATCH($E1065,'[1]30.06.2024'!$B:$B,0)),"Not found")</f>
        <v>Alexandria Rahastoyhtiö Oy</v>
      </c>
      <c r="M1065" s="31" t="str">
        <f>IFERROR(INDEX([2]Sheet1!$B:$B,MATCH($D1065,[2]Sheet1!$A:$A,0)),"Not found")</f>
        <v>Retail</v>
      </c>
      <c r="N1065">
        <f t="shared" si="32"/>
        <v>1</v>
      </c>
      <c r="O1065">
        <f t="shared" si="33"/>
        <v>0</v>
      </c>
    </row>
    <row r="1066" spans="1:15" x14ac:dyDescent="0.25">
      <c r="A1066" t="s">
        <v>7</v>
      </c>
      <c r="B1066" s="1">
        <v>45352</v>
      </c>
      <c r="C1066" s="1">
        <v>55153</v>
      </c>
      <c r="D1066" s="4" t="s">
        <v>217</v>
      </c>
      <c r="E1066" s="32" t="s">
        <v>218</v>
      </c>
      <c r="F1066" s="32">
        <v>33690327</v>
      </c>
      <c r="G1066" t="s">
        <v>10</v>
      </c>
      <c r="H1066" t="s">
        <v>11</v>
      </c>
      <c r="I1066" t="s">
        <v>80</v>
      </c>
      <c r="J1066" s="30" t="str">
        <f>IF(ISNUMBER(MATCH($D1066,'Lopettaneet 2013-&gt;'!$D:$D,0)),INDEX('Lopettaneet 2013-&gt;'!$K:$K,MATCH($D1066,'Lopettaneet 2013-&gt;'!$D:$D,0)),"Continues")</f>
        <v>Continues</v>
      </c>
      <c r="K1066" s="30">
        <f ca="1">IF($J1066="Continues",DATEDIF($B1066,TODAY(),"Y"),INDEX('Lopettaneet 2013-&gt;'!$L:$L,MATCH($D1066,'Lopettaneet 2013-&gt;'!$D:$D,0)))</f>
        <v>1</v>
      </c>
      <c r="L1066" s="31" t="str">
        <f>IFERROR(INDEX('[1]30.06.2024'!$H:$H,MATCH($E1066,'[1]30.06.2024'!$B:$B,0)),"Not found")</f>
        <v>Tesi Fund Management Oy</v>
      </c>
      <c r="M1066" s="31" t="str">
        <f>IFERROR(INDEX([2]Sheet1!$B:$B,MATCH($D1066,[2]Sheet1!$A:$A,0)),"Not found")</f>
        <v>Non-Retail</v>
      </c>
      <c r="N1066">
        <f t="shared" si="32"/>
        <v>0</v>
      </c>
      <c r="O1066">
        <f t="shared" si="33"/>
        <v>1</v>
      </c>
    </row>
    <row r="1067" spans="1:15" x14ac:dyDescent="0.25">
      <c r="A1067" t="s">
        <v>0</v>
      </c>
      <c r="B1067" s="1">
        <v>45078</v>
      </c>
      <c r="C1067" s="1">
        <v>55153</v>
      </c>
      <c r="D1067" s="4" t="s">
        <v>177</v>
      </c>
      <c r="E1067" s="32" t="s">
        <v>178</v>
      </c>
      <c r="F1067" s="32">
        <v>33670449</v>
      </c>
      <c r="G1067" t="s">
        <v>3</v>
      </c>
      <c r="H1067" t="s">
        <v>4</v>
      </c>
      <c r="I1067" t="s">
        <v>20</v>
      </c>
      <c r="J1067" s="30" t="str">
        <f>IF(ISNUMBER(MATCH($D1067,'Lopettaneet 2013-&gt;'!$D:$D,0)),INDEX('Lopettaneet 2013-&gt;'!$K:$K,MATCH($D1067,'Lopettaneet 2013-&gt;'!$D:$D,0)),"Continues")</f>
        <v>Continues</v>
      </c>
      <c r="K1067" s="30">
        <f ca="1">IF($J1067="Continues",DATEDIF($B1067,TODAY(),"Y"),INDEX('Lopettaneet 2013-&gt;'!$L:$L,MATCH($D1067,'Lopettaneet 2013-&gt;'!$D:$D,0)))</f>
        <v>1</v>
      </c>
      <c r="L1067" s="31" t="str">
        <f>IFERROR(INDEX('[1]30.06.2024'!$H:$H,MATCH($E1067,'[1]30.06.2024'!$B:$B,0)),"Not found")</f>
        <v>Aktia Rahastoyhtiö Oy</v>
      </c>
      <c r="M1067" s="31" t="str">
        <f>IFERROR(INDEX([2]Sheet1!$B:$B,MATCH($D1067,[2]Sheet1!$A:$A,0)),"Not found")</f>
        <v>Retail</v>
      </c>
      <c r="N1067">
        <f t="shared" si="32"/>
        <v>1</v>
      </c>
      <c r="O1067">
        <f t="shared" si="33"/>
        <v>0</v>
      </c>
    </row>
    <row r="1068" spans="1:15" x14ac:dyDescent="0.25">
      <c r="A1068" t="s">
        <v>0</v>
      </c>
      <c r="B1068" s="1">
        <v>45078</v>
      </c>
      <c r="C1068" s="1">
        <v>55153</v>
      </c>
      <c r="D1068" s="4" t="s">
        <v>179</v>
      </c>
      <c r="E1068" s="32" t="s">
        <v>180</v>
      </c>
      <c r="F1068" s="32">
        <v>33671134</v>
      </c>
      <c r="G1068" t="s">
        <v>3</v>
      </c>
      <c r="H1068" t="s">
        <v>4</v>
      </c>
      <c r="I1068" t="s">
        <v>20</v>
      </c>
      <c r="J1068" s="30" t="str">
        <f>IF(ISNUMBER(MATCH($D1068,'Lopettaneet 2013-&gt;'!$D:$D,0)),INDEX('Lopettaneet 2013-&gt;'!$K:$K,MATCH($D1068,'Lopettaneet 2013-&gt;'!$D:$D,0)),"Continues")</f>
        <v>Continues</v>
      </c>
      <c r="K1068" s="30">
        <f ca="1">IF($J1068="Continues",DATEDIF($B1068,TODAY(),"Y"),INDEX('Lopettaneet 2013-&gt;'!$L:$L,MATCH($D1068,'Lopettaneet 2013-&gt;'!$D:$D,0)))</f>
        <v>1</v>
      </c>
      <c r="L1068" s="31" t="str">
        <f>IFERROR(INDEX('[1]30.06.2024'!$H:$H,MATCH($E1068,'[1]30.06.2024'!$B:$B,0)),"Not found")</f>
        <v>Aktia Rahastoyhtiö Oy</v>
      </c>
      <c r="M1068" s="31" t="str">
        <f>IFERROR(INDEX([2]Sheet1!$B:$B,MATCH($D1068,[2]Sheet1!$A:$A,0)),"Not found")</f>
        <v>Retail</v>
      </c>
      <c r="N1068">
        <f t="shared" si="32"/>
        <v>1</v>
      </c>
      <c r="O1068">
        <f t="shared" si="33"/>
        <v>0</v>
      </c>
    </row>
    <row r="1069" spans="1:15" x14ac:dyDescent="0.25">
      <c r="A1069" t="s">
        <v>0</v>
      </c>
      <c r="B1069" s="1">
        <v>45078</v>
      </c>
      <c r="C1069" s="1">
        <v>55153</v>
      </c>
      <c r="D1069" s="4" t="s">
        <v>181</v>
      </c>
      <c r="E1069" s="32" t="s">
        <v>182</v>
      </c>
      <c r="F1069" s="32">
        <v>33671169</v>
      </c>
      <c r="G1069" t="s">
        <v>3</v>
      </c>
      <c r="H1069" t="s">
        <v>4</v>
      </c>
      <c r="I1069" t="s">
        <v>20</v>
      </c>
      <c r="J1069" s="30" t="str">
        <f>IF(ISNUMBER(MATCH($D1069,'Lopettaneet 2013-&gt;'!$D:$D,0)),INDEX('Lopettaneet 2013-&gt;'!$K:$K,MATCH($D1069,'Lopettaneet 2013-&gt;'!$D:$D,0)),"Continues")</f>
        <v>Continues</v>
      </c>
      <c r="K1069" s="30">
        <f ca="1">IF($J1069="Continues",DATEDIF($B1069,TODAY(),"Y"),INDEX('Lopettaneet 2013-&gt;'!$L:$L,MATCH($D1069,'Lopettaneet 2013-&gt;'!$D:$D,0)))</f>
        <v>1</v>
      </c>
      <c r="L1069" s="31" t="str">
        <f>IFERROR(INDEX('[1]30.06.2024'!$H:$H,MATCH($E1069,'[1]30.06.2024'!$B:$B,0)),"Not found")</f>
        <v>Aktia Rahastoyhtiö Oy</v>
      </c>
      <c r="M1069" s="31" t="str">
        <f>IFERROR(INDEX([2]Sheet1!$B:$B,MATCH($D1069,[2]Sheet1!$A:$A,0)),"Not found")</f>
        <v>Retail</v>
      </c>
      <c r="N1069">
        <f t="shared" si="32"/>
        <v>1</v>
      </c>
      <c r="O1069">
        <f t="shared" si="33"/>
        <v>0</v>
      </c>
    </row>
    <row r="1070" spans="1:15" x14ac:dyDescent="0.25">
      <c r="A1070" t="s">
        <v>0</v>
      </c>
      <c r="B1070" s="1">
        <v>45078</v>
      </c>
      <c r="C1070" s="1">
        <v>55153</v>
      </c>
      <c r="D1070" s="4" t="s">
        <v>183</v>
      </c>
      <c r="E1070" s="32" t="s">
        <v>184</v>
      </c>
      <c r="F1070" s="32">
        <v>33670633</v>
      </c>
      <c r="G1070" t="s">
        <v>3</v>
      </c>
      <c r="H1070" t="s">
        <v>4</v>
      </c>
      <c r="I1070" t="s">
        <v>20</v>
      </c>
      <c r="J1070" s="30" t="str">
        <f>IF(ISNUMBER(MATCH($D1070,'Lopettaneet 2013-&gt;'!$D:$D,0)),INDEX('Lopettaneet 2013-&gt;'!$K:$K,MATCH($D1070,'Lopettaneet 2013-&gt;'!$D:$D,0)),"Continues")</f>
        <v>Continues</v>
      </c>
      <c r="K1070" s="30">
        <f ca="1">IF($J1070="Continues",DATEDIF($B1070,TODAY(),"Y"),INDEX('Lopettaneet 2013-&gt;'!$L:$L,MATCH($D1070,'Lopettaneet 2013-&gt;'!$D:$D,0)))</f>
        <v>1</v>
      </c>
      <c r="L1070" s="31" t="str">
        <f>IFERROR(INDEX('[1]30.06.2024'!$H:$H,MATCH($E1070,'[1]30.06.2024'!$B:$B,0)),"Not found")</f>
        <v>Aktia Rahastoyhtiö Oy</v>
      </c>
      <c r="M1070" s="31" t="str">
        <f>IFERROR(INDEX([2]Sheet1!$B:$B,MATCH($D1070,[2]Sheet1!$A:$A,0)),"Not found")</f>
        <v>Retail</v>
      </c>
      <c r="N1070">
        <f t="shared" si="32"/>
        <v>1</v>
      </c>
      <c r="O1070">
        <f t="shared" si="33"/>
        <v>0</v>
      </c>
    </row>
    <row r="1071" spans="1:15" x14ac:dyDescent="0.25">
      <c r="A1071" t="s">
        <v>0</v>
      </c>
      <c r="B1071" s="1">
        <v>45170</v>
      </c>
      <c r="C1071" s="1">
        <v>55153</v>
      </c>
      <c r="D1071" s="4" t="s">
        <v>185</v>
      </c>
      <c r="E1071" s="32" t="s">
        <v>186</v>
      </c>
      <c r="F1071" s="32">
        <v>33739733</v>
      </c>
      <c r="G1071" t="s">
        <v>3</v>
      </c>
      <c r="H1071" t="s">
        <v>4</v>
      </c>
      <c r="I1071" t="s">
        <v>50</v>
      </c>
      <c r="J1071" s="30" t="str">
        <f>IF(ISNUMBER(MATCH($D1071,'Lopettaneet 2013-&gt;'!$D:$D,0)),INDEX('Lopettaneet 2013-&gt;'!$K:$K,MATCH($D1071,'Lopettaneet 2013-&gt;'!$D:$D,0)),"Continues")</f>
        <v>Continues</v>
      </c>
      <c r="K1071" s="30">
        <f ca="1">IF($J1071="Continues",DATEDIF($B1071,TODAY(),"Y"),INDEX('Lopettaneet 2013-&gt;'!$L:$L,MATCH($D1071,'Lopettaneet 2013-&gt;'!$D:$D,0)))</f>
        <v>1</v>
      </c>
      <c r="L1071" s="31" t="str">
        <f>IFERROR(INDEX('[1]30.06.2024'!$H:$H,MATCH($E1071,'[1]30.06.2024'!$B:$B,0)),"Not found")</f>
        <v>Titanium Rahastoyhtiö Oy</v>
      </c>
      <c r="M1071" s="31" t="str">
        <f>IFERROR(INDEX([2]Sheet1!$B:$B,MATCH($D1071,[2]Sheet1!$A:$A,0)),"Not found")</f>
        <v>Retail</v>
      </c>
      <c r="N1071">
        <f t="shared" si="32"/>
        <v>1</v>
      </c>
      <c r="O1071">
        <f t="shared" si="33"/>
        <v>0</v>
      </c>
    </row>
    <row r="1072" spans="1:15" x14ac:dyDescent="0.25">
      <c r="A1072" t="s">
        <v>0</v>
      </c>
      <c r="B1072" s="1">
        <v>45108</v>
      </c>
      <c r="C1072" s="1">
        <v>55153</v>
      </c>
      <c r="D1072" s="4" t="s">
        <v>187</v>
      </c>
      <c r="E1072" s="32" t="s">
        <v>188</v>
      </c>
      <c r="F1072" s="32">
        <v>33670596</v>
      </c>
      <c r="G1072" t="s">
        <v>10</v>
      </c>
      <c r="H1072" t="s">
        <v>4</v>
      </c>
      <c r="I1072" t="s">
        <v>32</v>
      </c>
      <c r="J1072" s="30" t="str">
        <f>IF(ISNUMBER(MATCH($D1072,'Lopettaneet 2013-&gt;'!$D:$D,0)),INDEX('Lopettaneet 2013-&gt;'!$K:$K,MATCH($D1072,'Lopettaneet 2013-&gt;'!$D:$D,0)),"Continues")</f>
        <v>Continues</v>
      </c>
      <c r="K1072" s="30">
        <f ca="1">IF($J1072="Continues",DATEDIF($B1072,TODAY(),"Y"),INDEX('Lopettaneet 2013-&gt;'!$L:$L,MATCH($D1072,'Lopettaneet 2013-&gt;'!$D:$D,0)))</f>
        <v>1</v>
      </c>
      <c r="L1072" s="31" t="str">
        <f>IFERROR(INDEX('[1]30.06.2024'!$H:$H,MATCH($E1072,'[1]30.06.2024'!$B:$B,0)),"Not found")</f>
        <v>UB Rahastoyhtiö Oy</v>
      </c>
      <c r="M1072" s="31" t="str">
        <f>IFERROR(INDEX([2]Sheet1!$B:$B,MATCH($D1072,[2]Sheet1!$A:$A,0)),"Not found")</f>
        <v>Non-Retail</v>
      </c>
      <c r="N1072">
        <f t="shared" si="32"/>
        <v>0</v>
      </c>
      <c r="O1072">
        <f t="shared" si="33"/>
        <v>1</v>
      </c>
    </row>
    <row r="1073" spans="1:15" x14ac:dyDescent="0.25">
      <c r="A1073" t="s">
        <v>7</v>
      </c>
      <c r="B1073" s="1">
        <v>45352</v>
      </c>
      <c r="C1073" s="1">
        <v>55153</v>
      </c>
      <c r="D1073" s="4" t="s">
        <v>219</v>
      </c>
      <c r="E1073" s="32" t="s">
        <v>220</v>
      </c>
      <c r="F1073" s="32">
        <v>33869941</v>
      </c>
      <c r="G1073" t="s">
        <v>10</v>
      </c>
      <c r="H1073" t="s">
        <v>11</v>
      </c>
      <c r="I1073" t="s">
        <v>80</v>
      </c>
      <c r="J1073" s="30" t="str">
        <f>IF(ISNUMBER(MATCH($D1073,'Lopettaneet 2013-&gt;'!$D:$D,0)),INDEX('Lopettaneet 2013-&gt;'!$K:$K,MATCH($D1073,'Lopettaneet 2013-&gt;'!$D:$D,0)),"Continues")</f>
        <v>Continues</v>
      </c>
      <c r="K1073" s="30">
        <f ca="1">IF($J1073="Continues",DATEDIF($B1073,TODAY(),"Y"),INDEX('Lopettaneet 2013-&gt;'!$L:$L,MATCH($D1073,'Lopettaneet 2013-&gt;'!$D:$D,0)))</f>
        <v>1</v>
      </c>
      <c r="L1073" s="31" t="str">
        <f>IFERROR(INDEX('[1]30.06.2024'!$H:$H,MATCH($E1073,'[1]30.06.2024'!$B:$B,0)),"Not found")</f>
        <v>eQ Rahastoyhtiö Oy</v>
      </c>
      <c r="M1073" s="31" t="str">
        <f>IFERROR(INDEX([2]Sheet1!$B:$B,MATCH($D1073,[2]Sheet1!$A:$A,0)),"Not found")</f>
        <v>Non-Retail</v>
      </c>
      <c r="N1073">
        <f t="shared" si="32"/>
        <v>0</v>
      </c>
      <c r="O1073">
        <f t="shared" si="33"/>
        <v>1</v>
      </c>
    </row>
    <row r="1074" spans="1:15" x14ac:dyDescent="0.25">
      <c r="A1074" t="s">
        <v>0</v>
      </c>
      <c r="B1074" s="1">
        <v>45352</v>
      </c>
      <c r="C1074" s="1">
        <v>55153</v>
      </c>
      <c r="D1074" s="4" t="s">
        <v>221</v>
      </c>
      <c r="E1074" s="32" t="s">
        <v>222</v>
      </c>
      <c r="F1074" s="32">
        <v>33864737</v>
      </c>
      <c r="G1074" t="s">
        <v>10</v>
      </c>
      <c r="H1074" t="s">
        <v>11</v>
      </c>
      <c r="I1074" t="s">
        <v>20</v>
      </c>
      <c r="J1074" s="30" t="str">
        <f>IF(ISNUMBER(MATCH($D1074,'Lopettaneet 2013-&gt;'!$D:$D,0)),INDEX('Lopettaneet 2013-&gt;'!$K:$K,MATCH($D1074,'Lopettaneet 2013-&gt;'!$D:$D,0)),"Continues")</f>
        <v>Continues</v>
      </c>
      <c r="K1074" s="30">
        <f ca="1">IF($J1074="Continues",DATEDIF($B1074,TODAY(),"Y"),INDEX('Lopettaneet 2013-&gt;'!$L:$L,MATCH($D1074,'Lopettaneet 2013-&gt;'!$D:$D,0)))</f>
        <v>1</v>
      </c>
      <c r="L1074" s="31" t="str">
        <f>IFERROR(INDEX('[1]30.06.2024'!$H:$H,MATCH($E1074,'[1]30.06.2024'!$B:$B,0)),"Not found")</f>
        <v>eQ Rahastoyhtiö Oy</v>
      </c>
      <c r="M1074" s="31" t="str">
        <f>IFERROR(INDEX([2]Sheet1!$B:$B,MATCH($D1074,[2]Sheet1!$A:$A,0)),"Not found")</f>
        <v>Non-Retail</v>
      </c>
      <c r="N1074">
        <f t="shared" si="32"/>
        <v>0</v>
      </c>
      <c r="O1074">
        <f t="shared" si="33"/>
        <v>1</v>
      </c>
    </row>
    <row r="1075" spans="1:15" x14ac:dyDescent="0.25">
      <c r="A1075" t="s">
        <v>0</v>
      </c>
      <c r="B1075" s="1">
        <v>45170</v>
      </c>
      <c r="C1075" s="1">
        <v>55153</v>
      </c>
      <c r="D1075" s="4" t="s">
        <v>189</v>
      </c>
      <c r="E1075" s="32" t="s">
        <v>190</v>
      </c>
      <c r="F1075" s="32">
        <v>33670588</v>
      </c>
      <c r="G1075" t="s">
        <v>10</v>
      </c>
      <c r="H1075" t="s">
        <v>4</v>
      </c>
      <c r="I1075" t="s">
        <v>29</v>
      </c>
      <c r="J1075" s="30" t="str">
        <f>IF(ISNUMBER(MATCH($D1075,'Lopettaneet 2013-&gt;'!$D:$D,0)),INDEX('Lopettaneet 2013-&gt;'!$K:$K,MATCH($D1075,'Lopettaneet 2013-&gt;'!$D:$D,0)),"Continues")</f>
        <v>Continues</v>
      </c>
      <c r="K1075" s="30">
        <f ca="1">IF($J1075="Continues",DATEDIF($B1075,TODAY(),"Y"),INDEX('Lopettaneet 2013-&gt;'!$L:$L,MATCH($D1075,'Lopettaneet 2013-&gt;'!$D:$D,0)))</f>
        <v>1</v>
      </c>
      <c r="L1075" s="31" t="str">
        <f>IFERROR(INDEX('[1]30.06.2024'!$H:$H,MATCH($E1075,'[1]30.06.2024'!$B:$B,0)),"Not found")</f>
        <v>UB Rahastoyhtiö Oy</v>
      </c>
      <c r="M1075" s="31" t="str">
        <f>IFERROR(INDEX([2]Sheet1!$B:$B,MATCH($D1075,[2]Sheet1!$A:$A,0)),"Not found")</f>
        <v>Retail</v>
      </c>
      <c r="N1075">
        <f t="shared" si="32"/>
        <v>1</v>
      </c>
      <c r="O1075">
        <f t="shared" si="33"/>
        <v>0</v>
      </c>
    </row>
    <row r="1076" spans="1:15" x14ac:dyDescent="0.25">
      <c r="A1076" t="s">
        <v>7</v>
      </c>
      <c r="B1076" s="1">
        <v>45352</v>
      </c>
      <c r="C1076" s="1">
        <v>55153</v>
      </c>
      <c r="D1076" s="4" t="s">
        <v>223</v>
      </c>
      <c r="E1076" s="32" t="s">
        <v>224</v>
      </c>
      <c r="F1076" s="32">
        <v>33153505</v>
      </c>
      <c r="G1076" t="s">
        <v>10</v>
      </c>
      <c r="H1076" t="s">
        <v>11</v>
      </c>
      <c r="I1076" t="s">
        <v>29</v>
      </c>
      <c r="J1076" s="30" t="str">
        <f>IF(ISNUMBER(MATCH($D1076,'Lopettaneet 2013-&gt;'!$D:$D,0)),INDEX('Lopettaneet 2013-&gt;'!$K:$K,MATCH($D1076,'Lopettaneet 2013-&gt;'!$D:$D,0)),"Continues")</f>
        <v>Continues</v>
      </c>
      <c r="K1076" s="30">
        <f ca="1">IF($J1076="Continues",DATEDIF($B1076,TODAY(),"Y"),INDEX('Lopettaneet 2013-&gt;'!$L:$L,MATCH($D1076,'Lopettaneet 2013-&gt;'!$D:$D,0)))</f>
        <v>1</v>
      </c>
      <c r="L1076" s="31" t="str">
        <f>IFERROR(INDEX('[1]30.06.2024'!$H:$H,MATCH($E1076,'[1]30.06.2024'!$B:$B,0)),"Not found")</f>
        <v>Evli-Rahastoyhtiö Oy</v>
      </c>
      <c r="M1076" s="31" t="str">
        <f>IFERROR(INDEX([2]Sheet1!$B:$B,MATCH($D1076,[2]Sheet1!$A:$A,0)),"Not found")</f>
        <v>Retail</v>
      </c>
      <c r="N1076">
        <f t="shared" si="32"/>
        <v>1</v>
      </c>
      <c r="O1076">
        <f t="shared" si="33"/>
        <v>0</v>
      </c>
    </row>
    <row r="1077" spans="1:15" x14ac:dyDescent="0.25">
      <c r="A1077" t="s">
        <v>7</v>
      </c>
      <c r="B1077" s="1">
        <v>45352</v>
      </c>
      <c r="C1077" s="1">
        <v>55153</v>
      </c>
      <c r="D1077" s="4" t="s">
        <v>225</v>
      </c>
      <c r="E1077" s="32" t="s">
        <v>226</v>
      </c>
      <c r="F1077" s="32">
        <v>33153513</v>
      </c>
      <c r="G1077" t="s">
        <v>10</v>
      </c>
      <c r="H1077" t="s">
        <v>11</v>
      </c>
      <c r="I1077" t="s">
        <v>29</v>
      </c>
      <c r="J1077" s="30" t="str">
        <f>IF(ISNUMBER(MATCH($D1077,'Lopettaneet 2013-&gt;'!$D:$D,0)),INDEX('Lopettaneet 2013-&gt;'!$K:$K,MATCH($D1077,'Lopettaneet 2013-&gt;'!$D:$D,0)),"Continues")</f>
        <v>Continues</v>
      </c>
      <c r="K1077" s="30">
        <f ca="1">IF($J1077="Continues",DATEDIF($B1077,TODAY(),"Y"),INDEX('Lopettaneet 2013-&gt;'!$L:$L,MATCH($D1077,'Lopettaneet 2013-&gt;'!$D:$D,0)))</f>
        <v>1</v>
      </c>
      <c r="L1077" s="31" t="str">
        <f>IFERROR(INDEX('[1]30.06.2024'!$H:$H,MATCH($E1077,'[1]30.06.2024'!$B:$B,0)),"Not found")</f>
        <v>Evli-Rahastoyhtiö Oy</v>
      </c>
      <c r="M1077" s="31" t="str">
        <f>IFERROR(INDEX([2]Sheet1!$B:$B,MATCH($D1077,[2]Sheet1!$A:$A,0)),"Not found")</f>
        <v>Retail</v>
      </c>
      <c r="N1077">
        <f t="shared" si="32"/>
        <v>1</v>
      </c>
      <c r="O1077">
        <f t="shared" si="33"/>
        <v>0</v>
      </c>
    </row>
    <row r="1078" spans="1:15" x14ac:dyDescent="0.25">
      <c r="A1078" t="s">
        <v>0</v>
      </c>
      <c r="B1078" s="1">
        <v>45170</v>
      </c>
      <c r="C1078" s="1">
        <v>55153</v>
      </c>
      <c r="D1078" s="4" t="s">
        <v>191</v>
      </c>
      <c r="E1078" s="32" t="s">
        <v>192</v>
      </c>
      <c r="F1078" s="32">
        <v>33755426</v>
      </c>
      <c r="G1078" t="s">
        <v>3</v>
      </c>
      <c r="H1078" t="s">
        <v>4</v>
      </c>
      <c r="I1078" t="s">
        <v>20</v>
      </c>
      <c r="J1078" s="30" t="str">
        <f>IF(ISNUMBER(MATCH($D1078,'Lopettaneet 2013-&gt;'!$D:$D,0)),INDEX('Lopettaneet 2013-&gt;'!$K:$K,MATCH($D1078,'Lopettaneet 2013-&gt;'!$D:$D,0)),"Continues")</f>
        <v>Continues</v>
      </c>
      <c r="K1078" s="30">
        <f ca="1">IF($J1078="Continues",DATEDIF($B1078,TODAY(),"Y"),INDEX('Lopettaneet 2013-&gt;'!$L:$L,MATCH($D1078,'Lopettaneet 2013-&gt;'!$D:$D,0)))</f>
        <v>1</v>
      </c>
      <c r="L1078" s="31" t="str">
        <f>IFERROR(INDEX('[1]30.06.2024'!$H:$H,MATCH($E1078,'[1]30.06.2024'!$B:$B,0)),"Not found")</f>
        <v>Nordea Funds Oy</v>
      </c>
      <c r="M1078" s="31" t="str">
        <f>IFERROR(INDEX([2]Sheet1!$B:$B,MATCH($D1078,[2]Sheet1!$A:$A,0)),"Not found")</f>
        <v>Retail</v>
      </c>
      <c r="N1078">
        <f t="shared" si="32"/>
        <v>1</v>
      </c>
      <c r="O1078">
        <f t="shared" si="33"/>
        <v>0</v>
      </c>
    </row>
    <row r="1079" spans="1:15" x14ac:dyDescent="0.25">
      <c r="A1079" t="s">
        <v>7</v>
      </c>
      <c r="B1079" s="1">
        <v>45170</v>
      </c>
      <c r="C1079" s="1">
        <v>55153</v>
      </c>
      <c r="D1079" s="4" t="s">
        <v>193</v>
      </c>
      <c r="E1079" s="32" t="s">
        <v>194</v>
      </c>
      <c r="F1079" s="32">
        <v>32978329</v>
      </c>
      <c r="G1079" t="s">
        <v>10</v>
      </c>
      <c r="H1079" t="s">
        <v>11</v>
      </c>
      <c r="I1079" t="s">
        <v>29</v>
      </c>
      <c r="J1079" s="30" t="str">
        <f>IF(ISNUMBER(MATCH($D1079,'Lopettaneet 2013-&gt;'!$D:$D,0)),INDEX('Lopettaneet 2013-&gt;'!$K:$K,MATCH($D1079,'Lopettaneet 2013-&gt;'!$D:$D,0)),"Continues")</f>
        <v>Continues</v>
      </c>
      <c r="K1079" s="30">
        <f ca="1">IF($J1079="Continues",DATEDIF($B1079,TODAY(),"Y"),INDEX('Lopettaneet 2013-&gt;'!$L:$L,MATCH($D1079,'Lopettaneet 2013-&gt;'!$D:$D,0)))</f>
        <v>1</v>
      </c>
      <c r="L1079" s="31" t="str">
        <f>IFERROR(INDEX('[1]30.06.2024'!$H:$H,MATCH($E1079,'[1]30.06.2024'!$B:$B,0)),"Not found")</f>
        <v>Cactos Fleet Management Finland Oy</v>
      </c>
      <c r="M1079" s="31" t="str">
        <f>IFERROR(INDEX([2]Sheet1!$B:$B,MATCH($D1079,[2]Sheet1!$A:$A,0)),"Not found")</f>
        <v>Non-Retail</v>
      </c>
      <c r="N1079">
        <f t="shared" si="32"/>
        <v>0</v>
      </c>
      <c r="O1079">
        <f t="shared" si="33"/>
        <v>1</v>
      </c>
    </row>
    <row r="1080" spans="1:15" x14ac:dyDescent="0.25">
      <c r="A1080" t="s">
        <v>7</v>
      </c>
      <c r="B1080" s="1">
        <v>45261</v>
      </c>
      <c r="C1080" s="1">
        <v>55153</v>
      </c>
      <c r="D1080" s="4" t="s">
        <v>195</v>
      </c>
      <c r="E1080" s="32" t="s">
        <v>196</v>
      </c>
      <c r="F1080" s="32">
        <v>33846459</v>
      </c>
      <c r="G1080" t="s">
        <v>10</v>
      </c>
      <c r="H1080" t="s">
        <v>11</v>
      </c>
      <c r="I1080" t="s">
        <v>12</v>
      </c>
      <c r="J1080" s="30" t="str">
        <f>IF(ISNUMBER(MATCH($D1080,'Lopettaneet 2013-&gt;'!$D:$D,0)),INDEX('Lopettaneet 2013-&gt;'!$K:$K,MATCH($D1080,'Lopettaneet 2013-&gt;'!$D:$D,0)),"Continues")</f>
        <v>Continues</v>
      </c>
      <c r="K1080" s="30">
        <f ca="1">IF($J1080="Continues",DATEDIF($B1080,TODAY(),"Y"),INDEX('Lopettaneet 2013-&gt;'!$L:$L,MATCH($D1080,'Lopettaneet 2013-&gt;'!$D:$D,0)))</f>
        <v>1</v>
      </c>
      <c r="L1080" s="31" t="str">
        <f>IFERROR(INDEX('[1]30.06.2024'!$H:$H,MATCH($E1080,'[1]30.06.2024'!$B:$B,0)),"Not found")</f>
        <v>Virta Equity Oy</v>
      </c>
      <c r="M1080" s="31" t="str">
        <f>IFERROR(INDEX([2]Sheet1!$B:$B,MATCH($D1080,[2]Sheet1!$A:$A,0)),"Not found")</f>
        <v>Retail</v>
      </c>
      <c r="N1080">
        <f t="shared" si="32"/>
        <v>1</v>
      </c>
      <c r="O1080">
        <f t="shared" si="33"/>
        <v>0</v>
      </c>
    </row>
    <row r="1081" spans="1:15" x14ac:dyDescent="0.25">
      <c r="A1081" t="s">
        <v>7</v>
      </c>
      <c r="B1081" s="1">
        <v>45352</v>
      </c>
      <c r="C1081" s="1">
        <v>55153</v>
      </c>
      <c r="D1081" s="4" t="s">
        <v>227</v>
      </c>
      <c r="E1081" s="32" t="s">
        <v>228</v>
      </c>
      <c r="F1081" s="32">
        <v>33774985</v>
      </c>
      <c r="G1081" t="s">
        <v>10</v>
      </c>
      <c r="H1081" t="s">
        <v>11</v>
      </c>
      <c r="I1081" t="s">
        <v>80</v>
      </c>
      <c r="J1081" s="30" t="str">
        <f>IF(ISNUMBER(MATCH($D1081,'Lopettaneet 2013-&gt;'!$D:$D,0)),INDEX('Lopettaneet 2013-&gt;'!$K:$K,MATCH($D1081,'Lopettaneet 2013-&gt;'!$D:$D,0)),"Continues")</f>
        <v>Continues</v>
      </c>
      <c r="K1081" s="30">
        <f ca="1">IF($J1081="Continues",DATEDIF($B1081,TODAY(),"Y"),INDEX('Lopettaneet 2013-&gt;'!$L:$L,MATCH($D1081,'Lopettaneet 2013-&gt;'!$D:$D,0)))</f>
        <v>1</v>
      </c>
      <c r="L1081" s="31" t="str">
        <f>IFERROR(INDEX('[1]30.06.2024'!$H:$H,MATCH($E1081,'[1]30.06.2024'!$B:$B,0)),"Not found")</f>
        <v>MAKI Ventures Oy</v>
      </c>
      <c r="M1081" s="31" t="str">
        <f>IFERROR(INDEX([2]Sheet1!$B:$B,MATCH($D1081,[2]Sheet1!$A:$A,0)),"Not found")</f>
        <v>Non-Retail</v>
      </c>
      <c r="N1081">
        <f t="shared" si="32"/>
        <v>0</v>
      </c>
      <c r="O1081">
        <f t="shared" si="33"/>
        <v>1</v>
      </c>
    </row>
    <row r="1082" spans="1:15" x14ac:dyDescent="0.25">
      <c r="A1082" t="s">
        <v>7</v>
      </c>
      <c r="B1082" s="1">
        <v>45261</v>
      </c>
      <c r="C1082" s="1">
        <v>55153</v>
      </c>
      <c r="D1082" s="4" t="s">
        <v>197</v>
      </c>
      <c r="E1082" s="32" t="s">
        <v>198</v>
      </c>
      <c r="F1082" s="32">
        <v>33843936</v>
      </c>
      <c r="G1082" t="s">
        <v>10</v>
      </c>
      <c r="H1082" t="s">
        <v>11</v>
      </c>
      <c r="I1082" t="s">
        <v>29</v>
      </c>
      <c r="J1082" s="30" t="str">
        <f>IF(ISNUMBER(MATCH($D1082,'Lopettaneet 2013-&gt;'!$D:$D,0)),INDEX('Lopettaneet 2013-&gt;'!$K:$K,MATCH($D1082,'Lopettaneet 2013-&gt;'!$D:$D,0)),"Continues")</f>
        <v>Continues</v>
      </c>
      <c r="K1082" s="30">
        <f ca="1">IF($J1082="Continues",DATEDIF($B1082,TODAY(),"Y"),INDEX('Lopettaneet 2013-&gt;'!$L:$L,MATCH($D1082,'Lopettaneet 2013-&gt;'!$D:$D,0)))</f>
        <v>1</v>
      </c>
      <c r="L1082" s="31" t="str">
        <f>IFERROR(INDEX('[1]30.06.2024'!$H:$H,MATCH($E1082,'[1]30.06.2024'!$B:$B,0)),"Not found")</f>
        <v>Korkia Capital Oy</v>
      </c>
      <c r="M1082" s="31" t="str">
        <f>IFERROR(INDEX([2]Sheet1!$B:$B,MATCH($D1082,[2]Sheet1!$A:$A,0)),"Not found")</f>
        <v>Retail</v>
      </c>
      <c r="N1082">
        <f t="shared" si="32"/>
        <v>1</v>
      </c>
      <c r="O1082">
        <f t="shared" si="33"/>
        <v>0</v>
      </c>
    </row>
    <row r="1083" spans="1:15" x14ac:dyDescent="0.25">
      <c r="A1083" t="s">
        <v>7</v>
      </c>
      <c r="B1083" s="1">
        <v>45261</v>
      </c>
      <c r="C1083" s="1">
        <v>55153</v>
      </c>
      <c r="D1083" s="4" t="s">
        <v>199</v>
      </c>
      <c r="E1083" s="32" t="s">
        <v>200</v>
      </c>
      <c r="F1083" s="32">
        <v>33843872</v>
      </c>
      <c r="G1083" t="s">
        <v>10</v>
      </c>
      <c r="H1083" t="s">
        <v>11</v>
      </c>
      <c r="I1083" t="s">
        <v>29</v>
      </c>
      <c r="J1083" s="30" t="str">
        <f>IF(ISNUMBER(MATCH($D1083,'Lopettaneet 2013-&gt;'!$D:$D,0)),INDEX('Lopettaneet 2013-&gt;'!$K:$K,MATCH($D1083,'Lopettaneet 2013-&gt;'!$D:$D,0)),"Continues")</f>
        <v>Continues</v>
      </c>
      <c r="K1083" s="30">
        <f ca="1">IF($J1083="Continues",DATEDIF($B1083,TODAY(),"Y"),INDEX('Lopettaneet 2013-&gt;'!$L:$L,MATCH($D1083,'Lopettaneet 2013-&gt;'!$D:$D,0)))</f>
        <v>1</v>
      </c>
      <c r="L1083" s="31" t="str">
        <f>IFERROR(INDEX('[1]30.06.2024'!$H:$H,MATCH($E1083,'[1]30.06.2024'!$B:$B,0)),"Not found")</f>
        <v>Korkia Capital Oy</v>
      </c>
      <c r="M1083" s="31" t="str">
        <f>IFERROR(INDEX([2]Sheet1!$B:$B,MATCH($D1083,[2]Sheet1!$A:$A,0)),"Not found")</f>
        <v>Retail</v>
      </c>
      <c r="N1083">
        <f t="shared" si="32"/>
        <v>1</v>
      </c>
      <c r="O1083">
        <f t="shared" si="33"/>
        <v>0</v>
      </c>
    </row>
    <row r="1084" spans="1:15" x14ac:dyDescent="0.25">
      <c r="A1084" t="s">
        <v>7</v>
      </c>
      <c r="B1084" s="1">
        <v>45261</v>
      </c>
      <c r="C1084" s="1">
        <v>55153</v>
      </c>
      <c r="D1084" s="4" t="s">
        <v>201</v>
      </c>
      <c r="E1084" s="32" t="s">
        <v>202</v>
      </c>
      <c r="F1084" s="32">
        <v>33843928</v>
      </c>
      <c r="G1084" t="s">
        <v>10</v>
      </c>
      <c r="H1084" t="s">
        <v>11</v>
      </c>
      <c r="I1084" t="s">
        <v>29</v>
      </c>
      <c r="J1084" s="30" t="str">
        <f>IF(ISNUMBER(MATCH($D1084,'Lopettaneet 2013-&gt;'!$D:$D,0)),INDEX('Lopettaneet 2013-&gt;'!$K:$K,MATCH($D1084,'Lopettaneet 2013-&gt;'!$D:$D,0)),"Continues")</f>
        <v>Continues</v>
      </c>
      <c r="K1084" s="30">
        <f ca="1">IF($J1084="Continues",DATEDIF($B1084,TODAY(),"Y"),INDEX('Lopettaneet 2013-&gt;'!$L:$L,MATCH($D1084,'Lopettaneet 2013-&gt;'!$D:$D,0)))</f>
        <v>1</v>
      </c>
      <c r="L1084" s="31" t="str">
        <f>IFERROR(INDEX('[1]30.06.2024'!$H:$H,MATCH($E1084,'[1]30.06.2024'!$B:$B,0)),"Not found")</f>
        <v>Korkia Capital Oy</v>
      </c>
      <c r="M1084" s="31" t="str">
        <f>IFERROR(INDEX([2]Sheet1!$B:$B,MATCH($D1084,[2]Sheet1!$A:$A,0)),"Not found")</f>
        <v>Retail</v>
      </c>
      <c r="N1084">
        <f t="shared" si="32"/>
        <v>1</v>
      </c>
      <c r="O1084">
        <f t="shared" si="33"/>
        <v>0</v>
      </c>
    </row>
    <row r="1085" spans="1:15" x14ac:dyDescent="0.25">
      <c r="A1085" t="s">
        <v>7</v>
      </c>
      <c r="B1085" s="1">
        <v>45352</v>
      </c>
      <c r="C1085" s="1">
        <v>55153</v>
      </c>
      <c r="D1085" s="4" t="s">
        <v>229</v>
      </c>
      <c r="E1085" s="32" t="s">
        <v>230</v>
      </c>
      <c r="F1085" s="32">
        <v>33883567</v>
      </c>
      <c r="G1085" t="s">
        <v>10</v>
      </c>
      <c r="H1085" t="s">
        <v>11</v>
      </c>
      <c r="I1085" t="s">
        <v>12</v>
      </c>
      <c r="J1085" s="30" t="str">
        <f>IF(ISNUMBER(MATCH($D1085,'Lopettaneet 2013-&gt;'!$D:$D,0)),INDEX('Lopettaneet 2013-&gt;'!$K:$K,MATCH($D1085,'Lopettaneet 2013-&gt;'!$D:$D,0)),"Continues")</f>
        <v>Continues</v>
      </c>
      <c r="K1085" s="30">
        <f ca="1">IF($J1085="Continues",DATEDIF($B1085,TODAY(),"Y"),INDEX('Lopettaneet 2013-&gt;'!$L:$L,MATCH($D1085,'Lopettaneet 2013-&gt;'!$D:$D,0)))</f>
        <v>1</v>
      </c>
      <c r="L1085" s="31" t="str">
        <f>IFERROR(INDEX('[1]30.06.2024'!$H:$H,MATCH($E1085,'[1]30.06.2024'!$B:$B,0)),"Not found")</f>
        <v>CapMan AIFM Oy</v>
      </c>
      <c r="M1085" s="31" t="str">
        <f>IFERROR(INDEX([2]Sheet1!$B:$B,MATCH($D1085,[2]Sheet1!$A:$A,0)),"Not found")</f>
        <v>Not found</v>
      </c>
      <c r="N1085">
        <f t="shared" si="32"/>
        <v>0</v>
      </c>
      <c r="O1085">
        <f t="shared" si="33"/>
        <v>0</v>
      </c>
    </row>
    <row r="1086" spans="1:15" x14ac:dyDescent="0.25">
      <c r="A1086" t="s">
        <v>0</v>
      </c>
      <c r="B1086" s="1">
        <v>45261</v>
      </c>
      <c r="C1086" s="1">
        <v>55153</v>
      </c>
      <c r="D1086" s="4" t="s">
        <v>203</v>
      </c>
      <c r="E1086" s="32" t="s">
        <v>204</v>
      </c>
      <c r="F1086" s="32">
        <v>34025759</v>
      </c>
      <c r="G1086" t="s">
        <v>10</v>
      </c>
      <c r="H1086" t="s">
        <v>4</v>
      </c>
      <c r="I1086" t="s">
        <v>20</v>
      </c>
      <c r="J1086" s="30" t="str">
        <f>IF(ISNUMBER(MATCH($D1086,'Lopettaneet 2013-&gt;'!$D:$D,0)),INDEX('Lopettaneet 2013-&gt;'!$K:$K,MATCH($D1086,'Lopettaneet 2013-&gt;'!$D:$D,0)),"Continues")</f>
        <v>Continues</v>
      </c>
      <c r="K1086" s="30">
        <f ca="1">IF($J1086="Continues",DATEDIF($B1086,TODAY(),"Y"),INDEX('Lopettaneet 2013-&gt;'!$L:$L,MATCH($D1086,'Lopettaneet 2013-&gt;'!$D:$D,0)))</f>
        <v>1</v>
      </c>
      <c r="L1086" s="31" t="str">
        <f>IFERROR(INDEX('[1]30.06.2024'!$H:$H,MATCH($E1086,'[1]30.06.2024'!$B:$B,0)),"Not found")</f>
        <v>Proprius Partners Oy</v>
      </c>
      <c r="M1086" s="31" t="str">
        <f>IFERROR(INDEX([2]Sheet1!$B:$B,MATCH($D1086,[2]Sheet1!$A:$A,0)),"Not found")</f>
        <v>Retail</v>
      </c>
      <c r="N1086">
        <f t="shared" si="32"/>
        <v>1</v>
      </c>
      <c r="O1086">
        <f t="shared" si="33"/>
        <v>0</v>
      </c>
    </row>
    <row r="1087" spans="1:15" x14ac:dyDescent="0.25">
      <c r="A1087" t="s">
        <v>0</v>
      </c>
      <c r="B1087" s="1">
        <v>45261</v>
      </c>
      <c r="C1087" s="1">
        <v>55153</v>
      </c>
      <c r="D1087" s="4" t="s">
        <v>205</v>
      </c>
      <c r="E1087" s="32" t="s">
        <v>206</v>
      </c>
      <c r="F1087" s="32">
        <v>33950977</v>
      </c>
      <c r="G1087" t="s">
        <v>10</v>
      </c>
      <c r="H1087" t="s">
        <v>4</v>
      </c>
      <c r="I1087" t="s">
        <v>20</v>
      </c>
      <c r="J1087" s="30" t="str">
        <f>IF(ISNUMBER(MATCH($D1087,'Lopettaneet 2013-&gt;'!$D:$D,0)),INDEX('Lopettaneet 2013-&gt;'!$K:$K,MATCH($D1087,'Lopettaneet 2013-&gt;'!$D:$D,0)),"Continues")</f>
        <v>Continues</v>
      </c>
      <c r="K1087" s="30">
        <f ca="1">IF($J1087="Continues",DATEDIF($B1087,TODAY(),"Y"),INDEX('Lopettaneet 2013-&gt;'!$L:$L,MATCH($D1087,'Lopettaneet 2013-&gt;'!$D:$D,0)))</f>
        <v>1</v>
      </c>
      <c r="L1087" s="31" t="str">
        <f>IFERROR(INDEX('[1]30.06.2024'!$H:$H,MATCH($E1087,'[1]30.06.2024'!$B:$B,0)),"Not found")</f>
        <v>GRIT Rahastoyhtiö Oy</v>
      </c>
      <c r="M1087" s="31" t="str">
        <f>IFERROR(INDEX([2]Sheet1!$B:$B,MATCH($D1087,[2]Sheet1!$A:$A,0)),"Not found")</f>
        <v>Retail</v>
      </c>
      <c r="N1087">
        <f t="shared" si="32"/>
        <v>1</v>
      </c>
      <c r="O1087">
        <f t="shared" si="33"/>
        <v>0</v>
      </c>
    </row>
    <row r="1088" spans="1:15" x14ac:dyDescent="0.25">
      <c r="A1088" t="s">
        <v>0</v>
      </c>
      <c r="B1088" s="1">
        <v>45231</v>
      </c>
      <c r="C1088" s="1">
        <v>55153</v>
      </c>
      <c r="D1088" s="4" t="s">
        <v>207</v>
      </c>
      <c r="E1088" s="32" t="s">
        <v>208</v>
      </c>
      <c r="F1088" s="32">
        <v>33925077</v>
      </c>
      <c r="G1088" t="s">
        <v>3</v>
      </c>
      <c r="H1088" t="s">
        <v>4</v>
      </c>
      <c r="I1088" t="s">
        <v>20</v>
      </c>
      <c r="J1088" s="30" t="str">
        <f>IF(ISNUMBER(MATCH($D1088,'Lopettaneet 2013-&gt;'!$D:$D,0)),INDEX('Lopettaneet 2013-&gt;'!$K:$K,MATCH($D1088,'Lopettaneet 2013-&gt;'!$D:$D,0)),"Continues")</f>
        <v>Continues</v>
      </c>
      <c r="K1088" s="30">
        <f ca="1">IF($J1088="Continues",DATEDIF($B1088,TODAY(),"Y"),INDEX('Lopettaneet 2013-&gt;'!$L:$L,MATCH($D1088,'Lopettaneet 2013-&gt;'!$D:$D,0)))</f>
        <v>1</v>
      </c>
      <c r="L1088" s="31" t="str">
        <f>IFERROR(INDEX('[1]30.06.2024'!$H:$H,MATCH($E1088,'[1]30.06.2024'!$B:$B,0)),"Not found")</f>
        <v>OP-Rahastoyhtiö Oy</v>
      </c>
      <c r="M1088" s="31" t="str">
        <f>IFERROR(INDEX([2]Sheet1!$B:$B,MATCH($D1088,[2]Sheet1!$A:$A,0)),"Not found")</f>
        <v>Retail</v>
      </c>
      <c r="N1088">
        <f t="shared" si="32"/>
        <v>1</v>
      </c>
      <c r="O1088">
        <f t="shared" si="33"/>
        <v>0</v>
      </c>
    </row>
    <row r="1089" spans="1:15" x14ac:dyDescent="0.25">
      <c r="A1089" t="s">
        <v>7</v>
      </c>
      <c r="B1089" s="1">
        <v>45261</v>
      </c>
      <c r="C1089" s="1">
        <v>55153</v>
      </c>
      <c r="D1089" s="4" t="s">
        <v>209</v>
      </c>
      <c r="E1089" s="32" t="s">
        <v>210</v>
      </c>
      <c r="F1089" s="32">
        <v>34080598</v>
      </c>
      <c r="G1089" t="s">
        <v>10</v>
      </c>
      <c r="H1089" t="s">
        <v>11</v>
      </c>
      <c r="I1089" t="s">
        <v>80</v>
      </c>
      <c r="J1089" s="30" t="str">
        <f>IF(ISNUMBER(MATCH($D1089,'Lopettaneet 2013-&gt;'!$D:$D,0)),INDEX('Lopettaneet 2013-&gt;'!$K:$K,MATCH($D1089,'Lopettaneet 2013-&gt;'!$D:$D,0)),"Continues")</f>
        <v>Continues</v>
      </c>
      <c r="K1089" s="30">
        <f ca="1">IF($J1089="Continues",DATEDIF($B1089,TODAY(),"Y"),INDEX('Lopettaneet 2013-&gt;'!$L:$L,MATCH($D1089,'Lopettaneet 2013-&gt;'!$D:$D,0)))</f>
        <v>1</v>
      </c>
      <c r="L1089" s="31" t="str">
        <f>IFERROR(INDEX('[1]30.06.2024'!$H:$H,MATCH($E1089,'[1]30.06.2024'!$B:$B,0)),"Not found")</f>
        <v>Innovestor Ventures Oy</v>
      </c>
      <c r="M1089" s="31" t="str">
        <f>IFERROR(INDEX([2]Sheet1!$B:$B,MATCH($D1089,[2]Sheet1!$A:$A,0)),"Not found")</f>
        <v>Non-Retail</v>
      </c>
      <c r="N1089">
        <f t="shared" si="32"/>
        <v>0</v>
      </c>
      <c r="O1089">
        <f t="shared" si="33"/>
        <v>1</v>
      </c>
    </row>
    <row r="1090" spans="1:15" x14ac:dyDescent="0.25">
      <c r="A1090" t="s">
        <v>0</v>
      </c>
      <c r="B1090" s="1">
        <v>45352</v>
      </c>
      <c r="C1090" s="1">
        <v>55153</v>
      </c>
      <c r="D1090" s="4" t="s">
        <v>231</v>
      </c>
      <c r="E1090" s="32" t="s">
        <v>232</v>
      </c>
      <c r="F1090" s="32">
        <v>34111358</v>
      </c>
      <c r="G1090" t="s">
        <v>3</v>
      </c>
      <c r="H1090" t="s">
        <v>4</v>
      </c>
      <c r="I1090" t="s">
        <v>20</v>
      </c>
      <c r="J1090" s="30" t="str">
        <f>IF(ISNUMBER(MATCH($D1090,'Lopettaneet 2013-&gt;'!$D:$D,0)),INDEX('Lopettaneet 2013-&gt;'!$K:$K,MATCH($D1090,'Lopettaneet 2013-&gt;'!$D:$D,0)),"Continues")</f>
        <v>Continues</v>
      </c>
      <c r="K1090" s="30">
        <f ca="1">IF($J1090="Continues",DATEDIF($B1090,TODAY(),"Y"),INDEX('Lopettaneet 2013-&gt;'!$L:$L,MATCH($D1090,'Lopettaneet 2013-&gt;'!$D:$D,0)))</f>
        <v>1</v>
      </c>
      <c r="L1090" s="31" t="str">
        <f>IFERROR(INDEX('[1]30.06.2024'!$H:$H,MATCH($E1090,'[1]30.06.2024'!$B:$B,0)),"Not found")</f>
        <v>Evli-Rahastoyhtiö Oy</v>
      </c>
      <c r="M1090" s="31" t="str">
        <f>IFERROR(INDEX([2]Sheet1!$B:$B,MATCH($D1090,[2]Sheet1!$A:$A,0)),"Not found")</f>
        <v>Retail</v>
      </c>
      <c r="N1090">
        <f t="shared" si="32"/>
        <v>1</v>
      </c>
      <c r="O1090">
        <f t="shared" si="33"/>
        <v>0</v>
      </c>
    </row>
    <row r="1091" spans="1:15" x14ac:dyDescent="0.25">
      <c r="A1091" t="s">
        <v>7</v>
      </c>
      <c r="B1091" s="1">
        <v>45352</v>
      </c>
      <c r="C1091" s="1">
        <v>55153</v>
      </c>
      <c r="D1091" s="4" t="s">
        <v>233</v>
      </c>
      <c r="E1091" s="32" t="s">
        <v>234</v>
      </c>
      <c r="F1091" s="32">
        <v>34151106</v>
      </c>
      <c r="G1091" t="s">
        <v>10</v>
      </c>
      <c r="H1091" t="s">
        <v>11</v>
      </c>
      <c r="I1091" t="s">
        <v>80</v>
      </c>
      <c r="J1091" s="30" t="str">
        <f>IF(ISNUMBER(MATCH($D1091,'Lopettaneet 2013-&gt;'!$D:$D,0)),INDEX('Lopettaneet 2013-&gt;'!$K:$K,MATCH($D1091,'Lopettaneet 2013-&gt;'!$D:$D,0)),"Continues")</f>
        <v>Continues</v>
      </c>
      <c r="K1091" s="30">
        <f ca="1">IF($J1091="Continues",DATEDIF($B1091,TODAY(),"Y"),INDEX('Lopettaneet 2013-&gt;'!$L:$L,MATCH($D1091,'Lopettaneet 2013-&gt;'!$D:$D,0)))</f>
        <v>1</v>
      </c>
      <c r="L1091" s="31" t="str">
        <f>IFERROR(INDEX('[1]30.06.2024'!$H:$H,MATCH($E1091,'[1]30.06.2024'!$B:$B,0)),"Not found")</f>
        <v>Nordic Science Investments Oy</v>
      </c>
      <c r="M1091" s="31" t="str">
        <f>IFERROR(INDEX([2]Sheet1!$B:$B,MATCH($D1091,[2]Sheet1!$A:$A,0)),"Not found")</f>
        <v>Non-Retail</v>
      </c>
      <c r="N1091">
        <f t="shared" ref="N1091:N1149" si="34">IF($M1091="Retail",1,0)</f>
        <v>0</v>
      </c>
      <c r="O1091">
        <f t="shared" ref="O1091:O1149" si="35">IF($M1091="Non-Retail",1,0)</f>
        <v>1</v>
      </c>
    </row>
    <row r="1092" spans="1:15" x14ac:dyDescent="0.25">
      <c r="A1092" t="s">
        <v>7</v>
      </c>
      <c r="B1092" s="1">
        <v>45444</v>
      </c>
      <c r="C1092" s="1">
        <v>55153</v>
      </c>
      <c r="D1092" t="s">
        <v>3022</v>
      </c>
      <c r="E1092" s="33" t="s">
        <v>3023</v>
      </c>
      <c r="F1092" s="33">
        <v>33785166</v>
      </c>
      <c r="G1092" t="s">
        <v>10</v>
      </c>
      <c r="H1092" t="s">
        <v>11</v>
      </c>
      <c r="I1092" t="s">
        <v>80</v>
      </c>
      <c r="J1092" s="30" t="str">
        <f>IF(ISNUMBER(MATCH($D1092,'Lopettaneet 2013-&gt;'!$D:$D,0)),INDEX('Lopettaneet 2013-&gt;'!$K:$K,MATCH($D1092,'Lopettaneet 2013-&gt;'!$D:$D,0)),"Continues")</f>
        <v>Continues</v>
      </c>
      <c r="K1092" s="30">
        <f ca="1">IF($J1092="Continues",DATEDIF($B1092,TODAY(),"Y"),INDEX('Lopettaneet 2013-&gt;'!$L:$L,MATCH($D1092,'Lopettaneet 2013-&gt;'!$D:$D,0)))</f>
        <v>0</v>
      </c>
      <c r="L1092" s="31" t="str">
        <f>IFERROR(INDEX('[1]30.06.2024'!$H:$H,MATCH($E1092,'[1]30.06.2024'!$B:$B,0)),"Not found")</f>
        <v>OpenOcean Oy</v>
      </c>
      <c r="M1092" s="31" t="str">
        <f>IFERROR(INDEX([2]Sheet1!$B:$B,MATCH($D1092,[2]Sheet1!$A:$A,0)),"Not found")</f>
        <v>Not found</v>
      </c>
      <c r="N1092">
        <f t="shared" si="34"/>
        <v>0</v>
      </c>
      <c r="O1092">
        <f t="shared" si="35"/>
        <v>0</v>
      </c>
    </row>
    <row r="1093" spans="1:15" x14ac:dyDescent="0.25">
      <c r="A1093" t="s">
        <v>7</v>
      </c>
      <c r="B1093" s="1">
        <v>45444</v>
      </c>
      <c r="C1093" s="1">
        <v>55153</v>
      </c>
      <c r="D1093" t="s">
        <v>3024</v>
      </c>
      <c r="E1093" s="33" t="s">
        <v>3025</v>
      </c>
      <c r="F1093" s="33">
        <v>34439353</v>
      </c>
      <c r="G1093" t="s">
        <v>10</v>
      </c>
      <c r="H1093" t="s">
        <v>11</v>
      </c>
      <c r="I1093" t="s">
        <v>12</v>
      </c>
      <c r="J1093" s="30" t="str">
        <f>IF(ISNUMBER(MATCH($D1093,'Lopettaneet 2013-&gt;'!$D:$D,0)),INDEX('Lopettaneet 2013-&gt;'!$K:$K,MATCH($D1093,'Lopettaneet 2013-&gt;'!$D:$D,0)),"Continues")</f>
        <v>Continues</v>
      </c>
      <c r="K1093" s="30">
        <f ca="1">IF($J1093="Continues",DATEDIF($B1093,TODAY(),"Y"),INDEX('Lopettaneet 2013-&gt;'!$L:$L,MATCH($D1093,'Lopettaneet 2013-&gt;'!$D:$D,0)))</f>
        <v>0</v>
      </c>
      <c r="L1093" s="31" t="str">
        <f>IFERROR(INDEX('[1]30.06.2024'!$H:$H,MATCH($E1093,'[1]30.06.2024'!$B:$B,0)),"Not found")</f>
        <v>Evolver Equity Ab</v>
      </c>
      <c r="M1093" s="31" t="str">
        <f>IFERROR(INDEX([2]Sheet1!$B:$B,MATCH($D1093,[2]Sheet1!$A:$A,0)),"Not found")</f>
        <v>Not found</v>
      </c>
      <c r="N1093">
        <f t="shared" si="34"/>
        <v>0</v>
      </c>
      <c r="O1093">
        <f t="shared" si="35"/>
        <v>0</v>
      </c>
    </row>
    <row r="1094" spans="1:15" x14ac:dyDescent="0.25">
      <c r="A1094" t="s">
        <v>7</v>
      </c>
      <c r="B1094" s="1">
        <v>45444</v>
      </c>
      <c r="C1094" s="1">
        <v>55153</v>
      </c>
      <c r="D1094" t="s">
        <v>3026</v>
      </c>
      <c r="E1094" s="33" t="s">
        <v>3027</v>
      </c>
      <c r="F1094" s="33">
        <v>33443481</v>
      </c>
      <c r="G1094" t="s">
        <v>10</v>
      </c>
      <c r="H1094" t="s">
        <v>11</v>
      </c>
      <c r="I1094" t="s">
        <v>80</v>
      </c>
      <c r="J1094" s="30" t="str">
        <f>IF(ISNUMBER(MATCH($D1094,'Lopettaneet 2013-&gt;'!$D:$D,0)),INDEX('Lopettaneet 2013-&gt;'!$K:$K,MATCH($D1094,'Lopettaneet 2013-&gt;'!$D:$D,0)),"Continues")</f>
        <v>Continues</v>
      </c>
      <c r="K1094" s="30">
        <f ca="1">IF($J1094="Continues",DATEDIF($B1094,TODAY(),"Y"),INDEX('Lopettaneet 2013-&gt;'!$L:$L,MATCH($D1094,'Lopettaneet 2013-&gt;'!$D:$D,0)))</f>
        <v>0</v>
      </c>
      <c r="L1094" s="31" t="str">
        <f>IFERROR(INDEX('[1]30.06.2024'!$H:$H,MATCH($E1094,'[1]30.06.2024'!$B:$B,0)),"Not found")</f>
        <v>Redstone Nordics Oy</v>
      </c>
      <c r="M1094" s="31" t="str">
        <f>IFERROR(INDEX([2]Sheet1!$B:$B,MATCH($D1094,[2]Sheet1!$A:$A,0)),"Not found")</f>
        <v>Not found</v>
      </c>
      <c r="N1094">
        <f t="shared" si="34"/>
        <v>0</v>
      </c>
      <c r="O1094">
        <f t="shared" si="35"/>
        <v>0</v>
      </c>
    </row>
    <row r="1095" spans="1:15" x14ac:dyDescent="0.25">
      <c r="A1095" t="s">
        <v>0</v>
      </c>
      <c r="B1095" s="1">
        <v>45444</v>
      </c>
      <c r="C1095" s="1">
        <v>55153</v>
      </c>
      <c r="D1095" t="s">
        <v>3028</v>
      </c>
      <c r="E1095" s="33" t="s">
        <v>3029</v>
      </c>
      <c r="F1095" s="33">
        <v>34031956</v>
      </c>
      <c r="G1095" t="s">
        <v>10</v>
      </c>
      <c r="H1095" t="s">
        <v>4</v>
      </c>
      <c r="I1095" t="s">
        <v>20</v>
      </c>
      <c r="J1095" s="30" t="str">
        <f>IF(ISNUMBER(MATCH($D1095,'Lopettaneet 2013-&gt;'!$D:$D,0)),INDEX('Lopettaneet 2013-&gt;'!$K:$K,MATCH($D1095,'Lopettaneet 2013-&gt;'!$D:$D,0)),"Continues")</f>
        <v>Continues</v>
      </c>
      <c r="K1095" s="30">
        <f ca="1">IF($J1095="Continues",DATEDIF($B1095,TODAY(),"Y"),INDEX('Lopettaneet 2013-&gt;'!$L:$L,MATCH($D1095,'Lopettaneet 2013-&gt;'!$D:$D,0)))</f>
        <v>0</v>
      </c>
      <c r="L1095" s="31" t="str">
        <f>IFERROR(INDEX('[1]30.06.2024'!$H:$H,MATCH($E1095,'[1]30.06.2024'!$B:$B,0)),"Not found")</f>
        <v>CapMan AIFM Oy</v>
      </c>
      <c r="M1095" s="31" t="str">
        <f>IFERROR(INDEX([2]Sheet1!$B:$B,MATCH($D1095,[2]Sheet1!$A:$A,0)),"Not found")</f>
        <v>Not found</v>
      </c>
      <c r="N1095">
        <f t="shared" si="34"/>
        <v>0</v>
      </c>
      <c r="O1095">
        <f t="shared" si="35"/>
        <v>0</v>
      </c>
    </row>
    <row r="1096" spans="1:15" x14ac:dyDescent="0.25">
      <c r="A1096" t="s">
        <v>0</v>
      </c>
      <c r="B1096" s="1">
        <v>45413</v>
      </c>
      <c r="C1096" s="1">
        <v>55153</v>
      </c>
      <c r="D1096" t="s">
        <v>3030</v>
      </c>
      <c r="E1096" s="33" t="s">
        <v>3031</v>
      </c>
      <c r="F1096" s="33">
        <v>34111649</v>
      </c>
      <c r="G1096" t="s">
        <v>3</v>
      </c>
      <c r="H1096" t="s">
        <v>4</v>
      </c>
      <c r="I1096" t="s">
        <v>20</v>
      </c>
      <c r="J1096" s="30" t="str">
        <f>IF(ISNUMBER(MATCH($D1096,'Lopettaneet 2013-&gt;'!$D:$D,0)),INDEX('Lopettaneet 2013-&gt;'!$K:$K,MATCH($D1096,'Lopettaneet 2013-&gt;'!$D:$D,0)),"Continues")</f>
        <v>Continues</v>
      </c>
      <c r="K1096" s="30">
        <f ca="1">IF($J1096="Continues",DATEDIF($B1096,TODAY(),"Y"),INDEX('Lopettaneet 2013-&gt;'!$L:$L,MATCH($D1096,'Lopettaneet 2013-&gt;'!$D:$D,0)))</f>
        <v>1</v>
      </c>
      <c r="L1096" s="31" t="str">
        <f>IFERROR(INDEX('[1]30.06.2024'!$H:$H,MATCH($E1096,'[1]30.06.2024'!$B:$B,0)),"Not found")</f>
        <v>Nordea Funds Oy</v>
      </c>
      <c r="M1096" s="31" t="str">
        <f>IFERROR(INDEX([2]Sheet1!$B:$B,MATCH($D1096,[2]Sheet1!$A:$A,0)),"Not found")</f>
        <v>Not found</v>
      </c>
      <c r="N1096">
        <f t="shared" si="34"/>
        <v>0</v>
      </c>
      <c r="O1096">
        <f t="shared" si="35"/>
        <v>0</v>
      </c>
    </row>
    <row r="1097" spans="1:15" x14ac:dyDescent="0.25">
      <c r="A1097" t="s">
        <v>0</v>
      </c>
      <c r="B1097" s="1">
        <v>45413</v>
      </c>
      <c r="C1097" s="1">
        <v>55153</v>
      </c>
      <c r="D1097" t="s">
        <v>3032</v>
      </c>
      <c r="E1097" s="33" t="s">
        <v>3033</v>
      </c>
      <c r="F1097" s="33">
        <v>34111657</v>
      </c>
      <c r="G1097" t="s">
        <v>3</v>
      </c>
      <c r="H1097" t="s">
        <v>4</v>
      </c>
      <c r="I1097" t="s">
        <v>50</v>
      </c>
      <c r="J1097" s="30" t="str">
        <f>IF(ISNUMBER(MATCH($D1097,'Lopettaneet 2013-&gt;'!$D:$D,0)),INDEX('Lopettaneet 2013-&gt;'!$K:$K,MATCH($D1097,'Lopettaneet 2013-&gt;'!$D:$D,0)),"Continues")</f>
        <v>Continues</v>
      </c>
      <c r="K1097" s="30">
        <f ca="1">IF($J1097="Continues",DATEDIF($B1097,TODAY(),"Y"),INDEX('Lopettaneet 2013-&gt;'!$L:$L,MATCH($D1097,'Lopettaneet 2013-&gt;'!$D:$D,0)))</f>
        <v>1</v>
      </c>
      <c r="L1097" s="31" t="str">
        <f>IFERROR(INDEX('[1]30.06.2024'!$H:$H,MATCH($E1097,'[1]30.06.2024'!$B:$B,0)),"Not found")</f>
        <v>Nordea Funds Oy</v>
      </c>
      <c r="M1097" s="31" t="str">
        <f>IFERROR(INDEX([2]Sheet1!$B:$B,MATCH($D1097,[2]Sheet1!$A:$A,0)),"Not found")</f>
        <v>Not found</v>
      </c>
      <c r="N1097">
        <f t="shared" si="34"/>
        <v>0</v>
      </c>
      <c r="O1097">
        <f t="shared" si="35"/>
        <v>0</v>
      </c>
    </row>
    <row r="1098" spans="1:15" x14ac:dyDescent="0.25">
      <c r="A1098" t="s">
        <v>0</v>
      </c>
      <c r="B1098" s="1">
        <v>45413</v>
      </c>
      <c r="C1098" s="1">
        <v>55153</v>
      </c>
      <c r="D1098" t="s">
        <v>3034</v>
      </c>
      <c r="E1098" s="33" t="s">
        <v>3035</v>
      </c>
      <c r="F1098" s="33">
        <v>34111737</v>
      </c>
      <c r="G1098" t="s">
        <v>3</v>
      </c>
      <c r="H1098" t="s">
        <v>4</v>
      </c>
      <c r="I1098" t="s">
        <v>50</v>
      </c>
      <c r="J1098" s="30" t="str">
        <f>IF(ISNUMBER(MATCH($D1098,'Lopettaneet 2013-&gt;'!$D:$D,0)),INDEX('Lopettaneet 2013-&gt;'!$K:$K,MATCH($D1098,'Lopettaneet 2013-&gt;'!$D:$D,0)),"Continues")</f>
        <v>Continues</v>
      </c>
      <c r="K1098" s="30">
        <f ca="1">IF($J1098="Continues",DATEDIF($B1098,TODAY(),"Y"),INDEX('Lopettaneet 2013-&gt;'!$L:$L,MATCH($D1098,'Lopettaneet 2013-&gt;'!$D:$D,0)))</f>
        <v>1</v>
      </c>
      <c r="L1098" s="31" t="str">
        <f>IFERROR(INDEX('[1]30.06.2024'!$H:$H,MATCH($E1098,'[1]30.06.2024'!$B:$B,0)),"Not found")</f>
        <v>Nordea Funds Oy</v>
      </c>
      <c r="M1098" s="31" t="str">
        <f>IFERROR(INDEX([2]Sheet1!$B:$B,MATCH($D1098,[2]Sheet1!$A:$A,0)),"Not found")</f>
        <v>Not found</v>
      </c>
      <c r="N1098">
        <f t="shared" si="34"/>
        <v>0</v>
      </c>
      <c r="O1098">
        <f t="shared" si="35"/>
        <v>0</v>
      </c>
    </row>
    <row r="1099" spans="1:15" x14ac:dyDescent="0.25">
      <c r="A1099" t="s">
        <v>0</v>
      </c>
      <c r="B1099" s="1">
        <v>45413</v>
      </c>
      <c r="C1099" s="1">
        <v>55153</v>
      </c>
      <c r="D1099" t="s">
        <v>3036</v>
      </c>
      <c r="E1099" s="33" t="s">
        <v>3037</v>
      </c>
      <c r="F1099" s="33">
        <v>34111518</v>
      </c>
      <c r="G1099" t="s">
        <v>3</v>
      </c>
      <c r="H1099" t="s">
        <v>4</v>
      </c>
      <c r="I1099" t="s">
        <v>50</v>
      </c>
      <c r="J1099" s="30" t="str">
        <f>IF(ISNUMBER(MATCH($D1099,'Lopettaneet 2013-&gt;'!$D:$D,0)),INDEX('Lopettaneet 2013-&gt;'!$K:$K,MATCH($D1099,'Lopettaneet 2013-&gt;'!$D:$D,0)),"Continues")</f>
        <v>Continues</v>
      </c>
      <c r="K1099" s="30">
        <f ca="1">IF($J1099="Continues",DATEDIF($B1099,TODAY(),"Y"),INDEX('Lopettaneet 2013-&gt;'!$L:$L,MATCH($D1099,'Lopettaneet 2013-&gt;'!$D:$D,0)))</f>
        <v>1</v>
      </c>
      <c r="L1099" s="31" t="str">
        <f>IFERROR(INDEX('[1]30.06.2024'!$H:$H,MATCH($E1099,'[1]30.06.2024'!$B:$B,0)),"Not found")</f>
        <v>Nordea Funds Oy</v>
      </c>
      <c r="M1099" s="31" t="str">
        <f>IFERROR(INDEX([2]Sheet1!$B:$B,MATCH($D1099,[2]Sheet1!$A:$A,0)),"Not found")</f>
        <v>Not found</v>
      </c>
      <c r="N1099">
        <f t="shared" si="34"/>
        <v>0</v>
      </c>
      <c r="O1099">
        <f t="shared" si="35"/>
        <v>0</v>
      </c>
    </row>
    <row r="1100" spans="1:15" x14ac:dyDescent="0.25">
      <c r="A1100" t="s">
        <v>0</v>
      </c>
      <c r="B1100" s="1">
        <v>45413</v>
      </c>
      <c r="C1100" s="1">
        <v>55153</v>
      </c>
      <c r="D1100" t="s">
        <v>3038</v>
      </c>
      <c r="E1100" s="33" t="s">
        <v>3039</v>
      </c>
      <c r="F1100" s="33">
        <v>34111569</v>
      </c>
      <c r="G1100" t="s">
        <v>3</v>
      </c>
      <c r="H1100" t="s">
        <v>4</v>
      </c>
      <c r="I1100" t="s">
        <v>50</v>
      </c>
      <c r="J1100" s="30" t="str">
        <f>IF(ISNUMBER(MATCH($D1100,'Lopettaneet 2013-&gt;'!$D:$D,0)),INDEX('Lopettaneet 2013-&gt;'!$K:$K,MATCH($D1100,'Lopettaneet 2013-&gt;'!$D:$D,0)),"Continues")</f>
        <v>Continues</v>
      </c>
      <c r="K1100" s="30">
        <f ca="1">IF($J1100="Continues",DATEDIF($B1100,TODAY(),"Y"),INDEX('Lopettaneet 2013-&gt;'!$L:$L,MATCH($D1100,'Lopettaneet 2013-&gt;'!$D:$D,0)))</f>
        <v>1</v>
      </c>
      <c r="L1100" s="31" t="str">
        <f>IFERROR(INDEX('[1]30.06.2024'!$H:$H,MATCH($E1100,'[1]30.06.2024'!$B:$B,0)),"Not found")</f>
        <v>Nordea Funds Oy</v>
      </c>
      <c r="M1100" s="31" t="str">
        <f>IFERROR(INDEX([2]Sheet1!$B:$B,MATCH($D1100,[2]Sheet1!$A:$A,0)),"Not found")</f>
        <v>Not found</v>
      </c>
      <c r="N1100">
        <f t="shared" si="34"/>
        <v>0</v>
      </c>
      <c r="O1100">
        <f t="shared" si="35"/>
        <v>0</v>
      </c>
    </row>
    <row r="1101" spans="1:15" x14ac:dyDescent="0.25">
      <c r="A1101" t="s">
        <v>0</v>
      </c>
      <c r="B1101" s="1">
        <v>45444</v>
      </c>
      <c r="C1101" s="1">
        <v>55153</v>
      </c>
      <c r="D1101" t="s">
        <v>3040</v>
      </c>
      <c r="E1101" s="33" t="s">
        <v>3041</v>
      </c>
      <c r="F1101" s="33">
        <v>34084302</v>
      </c>
      <c r="G1101" t="s">
        <v>10</v>
      </c>
      <c r="H1101" t="s">
        <v>4</v>
      </c>
      <c r="I1101" t="s">
        <v>50</v>
      </c>
      <c r="J1101" s="30" t="str">
        <f>IF(ISNUMBER(MATCH($D1101,'Lopettaneet 2013-&gt;'!$D:$D,0)),INDEX('Lopettaneet 2013-&gt;'!$K:$K,MATCH($D1101,'Lopettaneet 2013-&gt;'!$D:$D,0)),"Continues")</f>
        <v>Continues</v>
      </c>
      <c r="K1101" s="30">
        <f ca="1">IF($J1101="Continues",DATEDIF($B1101,TODAY(),"Y"),INDEX('Lopettaneet 2013-&gt;'!$L:$L,MATCH($D1101,'Lopettaneet 2013-&gt;'!$D:$D,0)))</f>
        <v>0</v>
      </c>
      <c r="L1101" s="31" t="str">
        <f>IFERROR(INDEX('[1]30.06.2024'!$H:$H,MATCH($E1101,'[1]30.06.2024'!$B:$B,0)),"Not found")</f>
        <v>OP-Rahastoyhtiö Oy</v>
      </c>
      <c r="M1101" s="31" t="str">
        <f>IFERROR(INDEX([2]Sheet1!$B:$B,MATCH($D1101,[2]Sheet1!$A:$A,0)),"Not found")</f>
        <v>Not found</v>
      </c>
      <c r="N1101">
        <f t="shared" si="34"/>
        <v>0</v>
      </c>
      <c r="O1101">
        <f t="shared" si="35"/>
        <v>0</v>
      </c>
    </row>
    <row r="1102" spans="1:15" x14ac:dyDescent="0.25">
      <c r="A1102" t="s">
        <v>7</v>
      </c>
      <c r="B1102" s="1">
        <v>45444</v>
      </c>
      <c r="C1102" s="1">
        <v>55153</v>
      </c>
      <c r="D1102" t="s">
        <v>3042</v>
      </c>
      <c r="E1102" s="33" t="s">
        <v>3043</v>
      </c>
      <c r="F1102" s="33">
        <v>34377252</v>
      </c>
      <c r="G1102" t="s">
        <v>10</v>
      </c>
      <c r="H1102" t="s">
        <v>11</v>
      </c>
      <c r="I1102" t="s">
        <v>32</v>
      </c>
      <c r="J1102" s="30" t="str">
        <f>IF(ISNUMBER(MATCH($D1102,'Lopettaneet 2013-&gt;'!$D:$D,0)),INDEX('Lopettaneet 2013-&gt;'!$K:$K,MATCH($D1102,'Lopettaneet 2013-&gt;'!$D:$D,0)),"Continues")</f>
        <v>Continues</v>
      </c>
      <c r="K1102" s="30">
        <f ca="1">IF($J1102="Continues",DATEDIF($B1102,TODAY(),"Y"),INDEX('Lopettaneet 2013-&gt;'!$L:$L,MATCH($D1102,'Lopettaneet 2013-&gt;'!$D:$D,0)))</f>
        <v>0</v>
      </c>
      <c r="L1102" s="31" t="str">
        <f>IFERROR(INDEX('[1]30.06.2024'!$H:$H,MATCH($E1102,'[1]30.06.2024'!$B:$B,0)),"Not found")</f>
        <v>Ethos Capital Oy</v>
      </c>
      <c r="M1102" s="31" t="str">
        <f>IFERROR(INDEX([2]Sheet1!$B:$B,MATCH($D1102,[2]Sheet1!$A:$A,0)),"Not found")</f>
        <v>Not found</v>
      </c>
      <c r="N1102">
        <f t="shared" si="34"/>
        <v>0</v>
      </c>
      <c r="O1102">
        <f t="shared" si="35"/>
        <v>0</v>
      </c>
    </row>
    <row r="1103" spans="1:15" x14ac:dyDescent="0.25">
      <c r="A1103" t="s">
        <v>0</v>
      </c>
      <c r="B1103" s="1">
        <v>45413</v>
      </c>
      <c r="C1103" s="1">
        <v>55153</v>
      </c>
      <c r="D1103" t="s">
        <v>3044</v>
      </c>
      <c r="E1103" s="33" t="s">
        <v>3045</v>
      </c>
      <c r="F1103" s="33">
        <v>34286131</v>
      </c>
      <c r="G1103" t="s">
        <v>10</v>
      </c>
      <c r="H1103" t="s">
        <v>4</v>
      </c>
      <c r="I1103" t="s">
        <v>29</v>
      </c>
      <c r="J1103" s="30" t="str">
        <f>IF(ISNUMBER(MATCH($D1103,'Lopettaneet 2013-&gt;'!$D:$D,0)),INDEX('Lopettaneet 2013-&gt;'!$K:$K,MATCH($D1103,'Lopettaneet 2013-&gt;'!$D:$D,0)),"Continues")</f>
        <v>Continues</v>
      </c>
      <c r="K1103" s="30">
        <f ca="1">IF($J1103="Continues",DATEDIF($B1103,TODAY(),"Y"),INDEX('Lopettaneet 2013-&gt;'!$L:$L,MATCH($D1103,'Lopettaneet 2013-&gt;'!$D:$D,0)))</f>
        <v>1</v>
      </c>
      <c r="L1103" s="31" t="str">
        <f>IFERROR(INDEX('[1]30.06.2024'!$H:$H,MATCH($E1103,'[1]30.06.2024'!$B:$B,0)),"Not found")</f>
        <v>S-Pankki Rahastoyhtiö Oy</v>
      </c>
      <c r="M1103" s="31" t="str">
        <f>IFERROR(INDEX([2]Sheet1!$B:$B,MATCH($D1103,[2]Sheet1!$A:$A,0)),"Not found")</f>
        <v>Not found</v>
      </c>
      <c r="N1103">
        <f t="shared" si="34"/>
        <v>0</v>
      </c>
      <c r="O1103">
        <f t="shared" si="35"/>
        <v>0</v>
      </c>
    </row>
    <row r="1104" spans="1:15" x14ac:dyDescent="0.25">
      <c r="A1104" t="s">
        <v>0</v>
      </c>
      <c r="B1104" s="1">
        <v>45383</v>
      </c>
      <c r="C1104" s="1">
        <v>55153</v>
      </c>
      <c r="D1104" t="s">
        <v>3046</v>
      </c>
      <c r="E1104" s="33" t="s">
        <v>3047</v>
      </c>
      <c r="F1104" s="33">
        <v>34346974</v>
      </c>
      <c r="G1104" t="s">
        <v>10</v>
      </c>
      <c r="H1104" t="s">
        <v>4</v>
      </c>
      <c r="I1104" t="s">
        <v>20</v>
      </c>
      <c r="J1104" s="30" t="str">
        <f>IF(ISNUMBER(MATCH($D1104,'Lopettaneet 2013-&gt;'!$D:$D,0)),INDEX('Lopettaneet 2013-&gt;'!$K:$K,MATCH($D1104,'Lopettaneet 2013-&gt;'!$D:$D,0)),"Continues")</f>
        <v>Continues</v>
      </c>
      <c r="K1104" s="30">
        <f ca="1">IF($J1104="Continues",DATEDIF($B1104,TODAY(),"Y"),INDEX('Lopettaneet 2013-&gt;'!$L:$L,MATCH($D1104,'Lopettaneet 2013-&gt;'!$D:$D,0)))</f>
        <v>1</v>
      </c>
      <c r="L1104" s="31" t="str">
        <f>IFERROR(INDEX('[1]30.06.2024'!$H:$H,MATCH($E1104,'[1]30.06.2024'!$B:$B,0)),"Not found")</f>
        <v>Proprius Partners Oy</v>
      </c>
      <c r="M1104" s="31" t="str">
        <f>IFERROR(INDEX([2]Sheet1!$B:$B,MATCH($D1104,[2]Sheet1!$A:$A,0)),"Not found")</f>
        <v>Not found</v>
      </c>
      <c r="N1104">
        <f t="shared" si="34"/>
        <v>0</v>
      </c>
      <c r="O1104">
        <f t="shared" si="35"/>
        <v>0</v>
      </c>
    </row>
    <row r="1105" spans="1:15" x14ac:dyDescent="0.25">
      <c r="A1105" t="s">
        <v>0</v>
      </c>
      <c r="B1105" s="1">
        <v>45383</v>
      </c>
      <c r="C1105" s="1">
        <v>55153</v>
      </c>
      <c r="D1105" t="s">
        <v>3048</v>
      </c>
      <c r="E1105" s="33" t="s">
        <v>3049</v>
      </c>
      <c r="F1105" s="33">
        <v>34298204</v>
      </c>
      <c r="G1105" t="s">
        <v>10</v>
      </c>
      <c r="H1105" t="s">
        <v>4</v>
      </c>
      <c r="I1105" t="s">
        <v>50</v>
      </c>
      <c r="J1105" s="30" t="str">
        <f>IF(ISNUMBER(MATCH($D1105,'Lopettaneet 2013-&gt;'!$D:$D,0)),INDEX('Lopettaneet 2013-&gt;'!$K:$K,MATCH($D1105,'Lopettaneet 2013-&gt;'!$D:$D,0)),"Continues")</f>
        <v>Continues</v>
      </c>
      <c r="K1105" s="30">
        <f ca="1">IF($J1105="Continues",DATEDIF($B1105,TODAY(),"Y"),INDEX('Lopettaneet 2013-&gt;'!$L:$L,MATCH($D1105,'Lopettaneet 2013-&gt;'!$D:$D,0)))</f>
        <v>1</v>
      </c>
      <c r="L1105" s="31" t="str">
        <f>IFERROR(INDEX('[1]30.06.2024'!$H:$H,MATCH($E1105,'[1]30.06.2024'!$B:$B,0)),"Not found")</f>
        <v>GRIT Rahastoyhtiö Oy</v>
      </c>
      <c r="M1105" s="31" t="str">
        <f>IFERROR(INDEX([2]Sheet1!$B:$B,MATCH($D1105,[2]Sheet1!$A:$A,0)),"Not found")</f>
        <v>Not found</v>
      </c>
      <c r="N1105">
        <f t="shared" si="34"/>
        <v>0</v>
      </c>
      <c r="O1105">
        <f t="shared" si="35"/>
        <v>0</v>
      </c>
    </row>
    <row r="1106" spans="1:15" x14ac:dyDescent="0.25">
      <c r="A1106" t="s">
        <v>0</v>
      </c>
      <c r="B1106" s="1">
        <v>45413</v>
      </c>
      <c r="C1106" s="1">
        <v>55153</v>
      </c>
      <c r="D1106" t="s">
        <v>3050</v>
      </c>
      <c r="E1106" s="33" t="s">
        <v>3051</v>
      </c>
      <c r="F1106" s="33" t="s">
        <v>14</v>
      </c>
      <c r="G1106" t="s">
        <v>3</v>
      </c>
      <c r="H1106" t="s">
        <v>4</v>
      </c>
      <c r="I1106" t="s">
        <v>50</v>
      </c>
      <c r="J1106" s="30" t="str">
        <f>IF(ISNUMBER(MATCH($D1106,'Lopettaneet 2013-&gt;'!$D:$D,0)),INDEX('Lopettaneet 2013-&gt;'!$K:$K,MATCH($D1106,'Lopettaneet 2013-&gt;'!$D:$D,0)),"Continues")</f>
        <v>Continues</v>
      </c>
      <c r="K1106" s="30">
        <f ca="1">IF($J1106="Continues",DATEDIF($B1106,TODAY(),"Y"),INDEX('Lopettaneet 2013-&gt;'!$L:$L,MATCH($D1106,'Lopettaneet 2013-&gt;'!$D:$D,0)))</f>
        <v>1</v>
      </c>
      <c r="L1106" s="31" t="str">
        <f>IFERROR(INDEX('[3]30.09.2024'!$H:$H,MATCH($E1106,'[3]30.09.2024'!$B:$B,0)),"Not found")</f>
        <v>OP-Rahastoyhtiö Oy</v>
      </c>
      <c r="M1106" s="31" t="str">
        <f>IFERROR(INDEX([2]Sheet1!$B:$B,MATCH($D1106,[2]Sheet1!$A:$A,0)),"Not found")</f>
        <v>Not found</v>
      </c>
      <c r="N1106">
        <f t="shared" si="34"/>
        <v>0</v>
      </c>
      <c r="O1106">
        <f t="shared" si="35"/>
        <v>0</v>
      </c>
    </row>
    <row r="1107" spans="1:15" x14ac:dyDescent="0.25">
      <c r="A1107" t="s">
        <v>7</v>
      </c>
      <c r="B1107" s="1">
        <v>45536</v>
      </c>
      <c r="C1107" s="1">
        <v>55153</v>
      </c>
      <c r="D1107" t="s">
        <v>3069</v>
      </c>
      <c r="E1107" s="33" t="s">
        <v>3070</v>
      </c>
      <c r="F1107" s="33">
        <v>31975142</v>
      </c>
      <c r="G1107" t="s">
        <v>10</v>
      </c>
      <c r="H1107" t="s">
        <v>11</v>
      </c>
      <c r="I1107" t="s">
        <v>32</v>
      </c>
      <c r="J1107" s="30" t="str">
        <f>IF(ISNUMBER(MATCH($D1107,'Lopettaneet 2013-&gt;'!$D:$D,0)),INDEX('Lopettaneet 2013-&gt;'!$K:$K,MATCH($D1107,'Lopettaneet 2013-&gt;'!$D:$D,0)),"Continues")</f>
        <v>Continues</v>
      </c>
      <c r="K1107" s="30">
        <f ca="1">IF($J1107="Continues",DATEDIF($B1107,TODAY(),"Y"),INDEX('Lopettaneet 2013-&gt;'!$L:$L,MATCH($D1107,'Lopettaneet 2013-&gt;'!$D:$D,0)))</f>
        <v>0</v>
      </c>
      <c r="L1107" s="31" t="str">
        <f>IFERROR(INDEX('[3]30.09.2024'!$H:$H,MATCH($E1107,'[3]30.09.2024'!$B:$B,0)),"Not found")</f>
        <v>YKS Management Oy</v>
      </c>
      <c r="M1107" s="31" t="str">
        <f>IFERROR(INDEX([2]Sheet1!$B:$B,MATCH($D1107,[2]Sheet1!$A:$A,0)),"Not found")</f>
        <v>Not found</v>
      </c>
      <c r="N1107">
        <f t="shared" si="34"/>
        <v>0</v>
      </c>
      <c r="O1107">
        <f t="shared" si="35"/>
        <v>0</v>
      </c>
    </row>
    <row r="1108" spans="1:15" x14ac:dyDescent="0.25">
      <c r="A1108" t="s">
        <v>7</v>
      </c>
      <c r="B1108" s="1">
        <v>45536</v>
      </c>
      <c r="C1108" s="1">
        <v>55153</v>
      </c>
      <c r="D1108" t="s">
        <v>3071</v>
      </c>
      <c r="E1108" s="33" t="s">
        <v>3072</v>
      </c>
      <c r="F1108" s="33">
        <v>34084265</v>
      </c>
      <c r="G1108" t="s">
        <v>10</v>
      </c>
      <c r="H1108" t="s">
        <v>11</v>
      </c>
      <c r="I1108" t="s">
        <v>29</v>
      </c>
      <c r="J1108" s="30" t="str">
        <f>IF(ISNUMBER(MATCH($D1108,'Lopettaneet 2013-&gt;'!$D:$D,0)),INDEX('Lopettaneet 2013-&gt;'!$K:$K,MATCH($D1108,'Lopettaneet 2013-&gt;'!$D:$D,0)),"Continues")</f>
        <v>Continues</v>
      </c>
      <c r="K1108" s="30">
        <f ca="1">IF($J1108="Continues",DATEDIF($B1108,TODAY(),"Y"),INDEX('Lopettaneet 2013-&gt;'!$L:$L,MATCH($D1108,'Lopettaneet 2013-&gt;'!$D:$D,0)))</f>
        <v>0</v>
      </c>
      <c r="L1108" s="31" t="str">
        <f>IFERROR(INDEX('[3]30.09.2024'!$H:$H,MATCH($E1108,'[3]30.09.2024'!$B:$B,0)),"Not found")</f>
        <v>Equilibrium Funds Oy</v>
      </c>
      <c r="M1108" s="31" t="str">
        <f>IFERROR(INDEX([2]Sheet1!$B:$B,MATCH($D1108,[2]Sheet1!$A:$A,0)),"Not found")</f>
        <v>Not found</v>
      </c>
      <c r="N1108">
        <f t="shared" si="34"/>
        <v>0</v>
      </c>
      <c r="O1108">
        <f t="shared" si="35"/>
        <v>0</v>
      </c>
    </row>
    <row r="1109" spans="1:15" x14ac:dyDescent="0.25">
      <c r="A1109" t="s">
        <v>0</v>
      </c>
      <c r="B1109" s="1">
        <v>45536</v>
      </c>
      <c r="C1109" s="1">
        <v>55153</v>
      </c>
      <c r="D1109" t="s">
        <v>3073</v>
      </c>
      <c r="E1109" s="33" t="s">
        <v>3074</v>
      </c>
      <c r="F1109" s="33">
        <v>34111323</v>
      </c>
      <c r="G1109" t="s">
        <v>3</v>
      </c>
      <c r="H1109" t="s">
        <v>4</v>
      </c>
      <c r="I1109" t="s">
        <v>20</v>
      </c>
      <c r="J1109" s="30" t="str">
        <f>IF(ISNUMBER(MATCH($D1109,'Lopettaneet 2013-&gt;'!$D:$D,0)),INDEX('Lopettaneet 2013-&gt;'!$K:$K,MATCH($D1109,'Lopettaneet 2013-&gt;'!$D:$D,0)),"Continues")</f>
        <v>Continues</v>
      </c>
      <c r="K1109" s="30">
        <f ca="1">IF($J1109="Continues",DATEDIF($B1109,TODAY(),"Y"),INDEX('Lopettaneet 2013-&gt;'!$L:$L,MATCH($D1109,'Lopettaneet 2013-&gt;'!$D:$D,0)))</f>
        <v>0</v>
      </c>
      <c r="L1109" s="31" t="str">
        <f>IFERROR(INDEX('[3]30.09.2024'!$H:$H,MATCH($E1109,'[3]30.09.2024'!$B:$B,0)),"Not found")</f>
        <v>Nordea Funds Oy</v>
      </c>
      <c r="M1109" s="31" t="str">
        <f>IFERROR(INDEX([2]Sheet1!$B:$B,MATCH($D1109,[2]Sheet1!$A:$A,0)),"Not found")</f>
        <v>Not found</v>
      </c>
      <c r="N1109">
        <f t="shared" si="34"/>
        <v>0</v>
      </c>
      <c r="O1109">
        <f t="shared" si="35"/>
        <v>0</v>
      </c>
    </row>
    <row r="1110" spans="1:15" x14ac:dyDescent="0.25">
      <c r="A1110" t="s">
        <v>0</v>
      </c>
      <c r="B1110" s="1">
        <v>45536</v>
      </c>
      <c r="C1110" s="1">
        <v>55153</v>
      </c>
      <c r="D1110" t="s">
        <v>3075</v>
      </c>
      <c r="E1110" s="33" t="s">
        <v>3076</v>
      </c>
      <c r="F1110" s="33">
        <v>34111454</v>
      </c>
      <c r="G1110" t="s">
        <v>3</v>
      </c>
      <c r="H1110" t="s">
        <v>4</v>
      </c>
      <c r="I1110" t="s">
        <v>20</v>
      </c>
      <c r="J1110" s="30" t="str">
        <f>IF(ISNUMBER(MATCH($D1110,'Lopettaneet 2013-&gt;'!$D:$D,0)),INDEX('Lopettaneet 2013-&gt;'!$K:$K,MATCH($D1110,'Lopettaneet 2013-&gt;'!$D:$D,0)),"Continues")</f>
        <v>Continues</v>
      </c>
      <c r="K1110" s="30">
        <f ca="1">IF($J1110="Continues",DATEDIF($B1110,TODAY(),"Y"),INDEX('Lopettaneet 2013-&gt;'!$L:$L,MATCH($D1110,'Lopettaneet 2013-&gt;'!$D:$D,0)))</f>
        <v>0</v>
      </c>
      <c r="L1110" s="31" t="str">
        <f>IFERROR(INDEX('[3]30.09.2024'!$H:$H,MATCH($E1110,'[3]30.09.2024'!$B:$B,0)),"Not found")</f>
        <v>Nordea Funds Oy</v>
      </c>
      <c r="M1110" s="31" t="str">
        <f>IFERROR(INDEX([2]Sheet1!$B:$B,MATCH($D1110,[2]Sheet1!$A:$A,0)),"Not found")</f>
        <v>Not found</v>
      </c>
      <c r="N1110">
        <f t="shared" si="34"/>
        <v>0</v>
      </c>
      <c r="O1110">
        <f t="shared" si="35"/>
        <v>0</v>
      </c>
    </row>
    <row r="1111" spans="1:15" x14ac:dyDescent="0.25">
      <c r="A1111" t="s">
        <v>0</v>
      </c>
      <c r="B1111" s="1">
        <v>45536</v>
      </c>
      <c r="C1111" s="1">
        <v>55153</v>
      </c>
      <c r="D1111" t="s">
        <v>3077</v>
      </c>
      <c r="E1111" s="33" t="s">
        <v>3078</v>
      </c>
      <c r="F1111" s="33">
        <v>34111446</v>
      </c>
      <c r="G1111" t="s">
        <v>3</v>
      </c>
      <c r="H1111" t="s">
        <v>4</v>
      </c>
      <c r="I1111" t="s">
        <v>20</v>
      </c>
      <c r="J1111" s="30" t="str">
        <f>IF(ISNUMBER(MATCH($D1111,'Lopettaneet 2013-&gt;'!$D:$D,0)),INDEX('Lopettaneet 2013-&gt;'!$K:$K,MATCH($D1111,'Lopettaneet 2013-&gt;'!$D:$D,0)),"Continues")</f>
        <v>Continues</v>
      </c>
      <c r="K1111" s="30">
        <f ca="1">IF($J1111="Continues",DATEDIF($B1111,TODAY(),"Y"),INDEX('Lopettaneet 2013-&gt;'!$L:$L,MATCH($D1111,'Lopettaneet 2013-&gt;'!$D:$D,0)))</f>
        <v>0</v>
      </c>
      <c r="L1111" s="31" t="str">
        <f>IFERROR(INDEX('[3]30.09.2024'!$H:$H,MATCH($E1111,'[3]30.09.2024'!$B:$B,0)),"Not found")</f>
        <v>Nordea Funds Oy</v>
      </c>
      <c r="M1111" s="31" t="str">
        <f>IFERROR(INDEX([2]Sheet1!$B:$B,MATCH($D1111,[2]Sheet1!$A:$A,0)),"Not found")</f>
        <v>Not found</v>
      </c>
      <c r="N1111">
        <f t="shared" si="34"/>
        <v>0</v>
      </c>
      <c r="O1111">
        <f t="shared" si="35"/>
        <v>0</v>
      </c>
    </row>
    <row r="1112" spans="1:15" x14ac:dyDescent="0.25">
      <c r="A1112" t="s">
        <v>0</v>
      </c>
      <c r="B1112" s="1">
        <v>45536</v>
      </c>
      <c r="C1112" s="1">
        <v>55153</v>
      </c>
      <c r="D1112" t="s">
        <v>3079</v>
      </c>
      <c r="E1112" s="33" t="s">
        <v>3080</v>
      </c>
      <c r="F1112" s="33">
        <v>34111411</v>
      </c>
      <c r="G1112" t="s">
        <v>3</v>
      </c>
      <c r="H1112" t="s">
        <v>4</v>
      </c>
      <c r="I1112" t="s">
        <v>50</v>
      </c>
      <c r="J1112" s="30" t="str">
        <f>IF(ISNUMBER(MATCH($D1112,'Lopettaneet 2013-&gt;'!$D:$D,0)),INDEX('Lopettaneet 2013-&gt;'!$K:$K,MATCH($D1112,'Lopettaneet 2013-&gt;'!$D:$D,0)),"Continues")</f>
        <v>Continues</v>
      </c>
      <c r="K1112" s="30">
        <f ca="1">IF($J1112="Continues",DATEDIF($B1112,TODAY(),"Y"),INDEX('Lopettaneet 2013-&gt;'!$L:$L,MATCH($D1112,'Lopettaneet 2013-&gt;'!$D:$D,0)))</f>
        <v>0</v>
      </c>
      <c r="L1112" s="31" t="str">
        <f>IFERROR(INDEX('[3]30.09.2024'!$H:$H,MATCH($E1112,'[3]30.09.2024'!$B:$B,0)),"Not found")</f>
        <v>Nordea Funds Oy</v>
      </c>
      <c r="M1112" s="31" t="str">
        <f>IFERROR(INDEX([2]Sheet1!$B:$B,MATCH($D1112,[2]Sheet1!$A:$A,0)),"Not found")</f>
        <v>Not found</v>
      </c>
      <c r="N1112">
        <f t="shared" si="34"/>
        <v>0</v>
      </c>
      <c r="O1112">
        <f t="shared" si="35"/>
        <v>0</v>
      </c>
    </row>
    <row r="1113" spans="1:15" x14ac:dyDescent="0.25">
      <c r="A1113" t="s">
        <v>0</v>
      </c>
      <c r="B1113" s="1">
        <v>45536</v>
      </c>
      <c r="C1113" s="1">
        <v>55153</v>
      </c>
      <c r="D1113" t="s">
        <v>3081</v>
      </c>
      <c r="E1113" s="33" t="s">
        <v>3082</v>
      </c>
      <c r="F1113" s="33">
        <v>34111403</v>
      </c>
      <c r="G1113" t="s">
        <v>3</v>
      </c>
      <c r="H1113" t="s">
        <v>4</v>
      </c>
      <c r="I1113" t="s">
        <v>5</v>
      </c>
      <c r="J1113" s="30" t="str">
        <f>IF(ISNUMBER(MATCH($D1113,'Lopettaneet 2013-&gt;'!$D:$D,0)),INDEX('Lopettaneet 2013-&gt;'!$K:$K,MATCH($D1113,'Lopettaneet 2013-&gt;'!$D:$D,0)),"Continues")</f>
        <v>Continues</v>
      </c>
      <c r="K1113" s="30">
        <f ca="1">IF($J1113="Continues",DATEDIF($B1113,TODAY(),"Y"),INDEX('Lopettaneet 2013-&gt;'!$L:$L,MATCH($D1113,'Lopettaneet 2013-&gt;'!$D:$D,0)))</f>
        <v>0</v>
      </c>
      <c r="L1113" s="31" t="str">
        <f>IFERROR(INDEX('[3]30.09.2024'!$H:$H,MATCH($E1113,'[3]30.09.2024'!$B:$B,0)),"Not found")</f>
        <v>Nordea Funds Oy</v>
      </c>
      <c r="M1113" s="31" t="str">
        <f>IFERROR(INDEX([2]Sheet1!$B:$B,MATCH($D1113,[2]Sheet1!$A:$A,0)),"Not found")</f>
        <v>Not found</v>
      </c>
      <c r="N1113">
        <f t="shared" si="34"/>
        <v>0</v>
      </c>
      <c r="O1113">
        <f t="shared" si="35"/>
        <v>0</v>
      </c>
    </row>
    <row r="1114" spans="1:15" x14ac:dyDescent="0.25">
      <c r="A1114" t="s">
        <v>0</v>
      </c>
      <c r="B1114" s="1">
        <v>45536</v>
      </c>
      <c r="C1114" s="1">
        <v>55153</v>
      </c>
      <c r="D1114" t="s">
        <v>3083</v>
      </c>
      <c r="E1114" s="33" t="s">
        <v>3084</v>
      </c>
      <c r="F1114" s="33">
        <v>34111577</v>
      </c>
      <c r="G1114" t="s">
        <v>3</v>
      </c>
      <c r="H1114" t="s">
        <v>4</v>
      </c>
      <c r="I1114" t="s">
        <v>5</v>
      </c>
      <c r="J1114" s="30" t="str">
        <f>IF(ISNUMBER(MATCH($D1114,'Lopettaneet 2013-&gt;'!$D:$D,0)),INDEX('Lopettaneet 2013-&gt;'!$K:$K,MATCH($D1114,'Lopettaneet 2013-&gt;'!$D:$D,0)),"Continues")</f>
        <v>Continues</v>
      </c>
      <c r="K1114" s="30">
        <f ca="1">IF($J1114="Continues",DATEDIF($B1114,TODAY(),"Y"),INDEX('Lopettaneet 2013-&gt;'!$L:$L,MATCH($D1114,'Lopettaneet 2013-&gt;'!$D:$D,0)))</f>
        <v>0</v>
      </c>
      <c r="L1114" s="31" t="str">
        <f>IFERROR(INDEX('[3]30.09.2024'!$H:$H,MATCH($E1114,'[3]30.09.2024'!$B:$B,0)),"Not found")</f>
        <v>Nordea Funds Oy</v>
      </c>
      <c r="M1114" s="31" t="str">
        <f>IFERROR(INDEX([2]Sheet1!$B:$B,MATCH($D1114,[2]Sheet1!$A:$A,0)),"Not found")</f>
        <v>Not found</v>
      </c>
      <c r="N1114">
        <f t="shared" si="34"/>
        <v>0</v>
      </c>
      <c r="O1114">
        <f t="shared" si="35"/>
        <v>0</v>
      </c>
    </row>
    <row r="1115" spans="1:15" x14ac:dyDescent="0.25">
      <c r="A1115" t="s">
        <v>0</v>
      </c>
      <c r="B1115" s="1">
        <v>45536</v>
      </c>
      <c r="C1115" s="1">
        <v>55153</v>
      </c>
      <c r="D1115" t="s">
        <v>3085</v>
      </c>
      <c r="E1115" s="33" t="s">
        <v>3086</v>
      </c>
      <c r="F1115" s="33">
        <v>34111374</v>
      </c>
      <c r="G1115" t="s">
        <v>3</v>
      </c>
      <c r="H1115" t="s">
        <v>4</v>
      </c>
      <c r="I1115" t="s">
        <v>5</v>
      </c>
      <c r="J1115" s="30" t="str">
        <f>IF(ISNUMBER(MATCH($D1115,'Lopettaneet 2013-&gt;'!$D:$D,0)),INDEX('Lopettaneet 2013-&gt;'!$K:$K,MATCH($D1115,'Lopettaneet 2013-&gt;'!$D:$D,0)),"Continues")</f>
        <v>Continues</v>
      </c>
      <c r="K1115" s="30">
        <f ca="1">IF($J1115="Continues",DATEDIF($B1115,TODAY(),"Y"),INDEX('Lopettaneet 2013-&gt;'!$L:$L,MATCH($D1115,'Lopettaneet 2013-&gt;'!$D:$D,0)))</f>
        <v>0</v>
      </c>
      <c r="L1115" s="31" t="str">
        <f>IFERROR(INDEX('[3]30.09.2024'!$H:$H,MATCH($E1115,'[3]30.09.2024'!$B:$B,0)),"Not found")</f>
        <v>Nordea Funds Oy</v>
      </c>
      <c r="M1115" s="31" t="str">
        <f>IFERROR(INDEX([2]Sheet1!$B:$B,MATCH($D1115,[2]Sheet1!$A:$A,0)),"Not found")</f>
        <v>Not found</v>
      </c>
      <c r="N1115">
        <f t="shared" si="34"/>
        <v>0</v>
      </c>
      <c r="O1115">
        <f t="shared" si="35"/>
        <v>0</v>
      </c>
    </row>
    <row r="1116" spans="1:15" x14ac:dyDescent="0.25">
      <c r="A1116" t="s">
        <v>0</v>
      </c>
      <c r="B1116" s="1">
        <v>45536</v>
      </c>
      <c r="C1116" s="1">
        <v>55153</v>
      </c>
      <c r="D1116" t="s">
        <v>3087</v>
      </c>
      <c r="E1116" s="33" t="s">
        <v>3088</v>
      </c>
      <c r="F1116" s="33">
        <v>34111331</v>
      </c>
      <c r="G1116" t="s">
        <v>3</v>
      </c>
      <c r="H1116" t="s">
        <v>4</v>
      </c>
      <c r="I1116" t="s">
        <v>5</v>
      </c>
      <c r="J1116" s="30" t="str">
        <f>IF(ISNUMBER(MATCH($D1116,'Lopettaneet 2013-&gt;'!$D:$D,0)),INDEX('Lopettaneet 2013-&gt;'!$K:$K,MATCH($D1116,'Lopettaneet 2013-&gt;'!$D:$D,0)),"Continues")</f>
        <v>Continues</v>
      </c>
      <c r="K1116" s="30">
        <f ca="1">IF($J1116="Continues",DATEDIF($B1116,TODAY(),"Y"),INDEX('Lopettaneet 2013-&gt;'!$L:$L,MATCH($D1116,'Lopettaneet 2013-&gt;'!$D:$D,0)))</f>
        <v>0</v>
      </c>
      <c r="L1116" s="31" t="str">
        <f>IFERROR(INDEX('[3]30.09.2024'!$H:$H,MATCH($E1116,'[3]30.09.2024'!$B:$B,0)),"Not found")</f>
        <v>Nordea Funds Oy</v>
      </c>
      <c r="M1116" s="31" t="str">
        <f>IFERROR(INDEX([2]Sheet1!$B:$B,MATCH($D1116,[2]Sheet1!$A:$A,0)),"Not found")</f>
        <v>Not found</v>
      </c>
      <c r="N1116">
        <f t="shared" si="34"/>
        <v>0</v>
      </c>
      <c r="O1116">
        <f t="shared" si="35"/>
        <v>0</v>
      </c>
    </row>
    <row r="1117" spans="1:15" x14ac:dyDescent="0.25">
      <c r="A1117" t="s">
        <v>0</v>
      </c>
      <c r="B1117" s="1">
        <v>45536</v>
      </c>
      <c r="C1117" s="1">
        <v>55153</v>
      </c>
      <c r="D1117" t="s">
        <v>3089</v>
      </c>
      <c r="E1117" s="33" t="s">
        <v>3090</v>
      </c>
      <c r="F1117" s="33">
        <v>34111366</v>
      </c>
      <c r="G1117" t="s">
        <v>3</v>
      </c>
      <c r="H1117" t="s">
        <v>4</v>
      </c>
      <c r="I1117" t="s">
        <v>5</v>
      </c>
      <c r="J1117" s="30" t="str">
        <f>IF(ISNUMBER(MATCH($D1117,'Lopettaneet 2013-&gt;'!$D:$D,0)),INDEX('Lopettaneet 2013-&gt;'!$K:$K,MATCH($D1117,'Lopettaneet 2013-&gt;'!$D:$D,0)),"Continues")</f>
        <v>Continues</v>
      </c>
      <c r="K1117" s="30">
        <f ca="1">IF($J1117="Continues",DATEDIF($B1117,TODAY(),"Y"),INDEX('Lopettaneet 2013-&gt;'!$L:$L,MATCH($D1117,'Lopettaneet 2013-&gt;'!$D:$D,0)))</f>
        <v>0</v>
      </c>
      <c r="L1117" s="31" t="str">
        <f>IFERROR(INDEX('[3]30.09.2024'!$H:$H,MATCH($E1117,'[3]30.09.2024'!$B:$B,0)),"Not found")</f>
        <v>Nordea Funds Oy</v>
      </c>
      <c r="M1117" s="31" t="str">
        <f>IFERROR(INDEX([2]Sheet1!$B:$B,MATCH($D1117,[2]Sheet1!$A:$A,0)),"Not found")</f>
        <v>Not found</v>
      </c>
      <c r="N1117">
        <f t="shared" si="34"/>
        <v>0</v>
      </c>
      <c r="O1117">
        <f t="shared" si="35"/>
        <v>0</v>
      </c>
    </row>
    <row r="1118" spans="1:15" x14ac:dyDescent="0.25">
      <c r="A1118" t="s">
        <v>7</v>
      </c>
      <c r="B1118" s="1">
        <v>45536</v>
      </c>
      <c r="C1118" s="1">
        <v>55153</v>
      </c>
      <c r="D1118" t="s">
        <v>3091</v>
      </c>
      <c r="E1118" s="33" t="s">
        <v>3092</v>
      </c>
      <c r="F1118" s="33">
        <v>34637413</v>
      </c>
      <c r="G1118" t="s">
        <v>10</v>
      </c>
      <c r="H1118" t="s">
        <v>11</v>
      </c>
      <c r="I1118" t="s">
        <v>80</v>
      </c>
      <c r="J1118" s="30" t="str">
        <f>IF(ISNUMBER(MATCH($D1118,'Lopettaneet 2013-&gt;'!$D:$D,0)),INDEX('Lopettaneet 2013-&gt;'!$K:$K,MATCH($D1118,'Lopettaneet 2013-&gt;'!$D:$D,0)),"Continues")</f>
        <v>Continues</v>
      </c>
      <c r="K1118" s="30">
        <f ca="1">IF($J1118="Continues",DATEDIF($B1118,TODAY(),"Y"),INDEX('Lopettaneet 2013-&gt;'!$L:$L,MATCH($D1118,'Lopettaneet 2013-&gt;'!$D:$D,0)))</f>
        <v>0</v>
      </c>
      <c r="L1118" s="31" t="str">
        <f>IFERROR(INDEX('[3]30.09.2024'!$H:$H,MATCH($E1118,'[3]30.09.2024'!$B:$B,0)),"Not found")</f>
        <v>Superhero Capital Oy</v>
      </c>
      <c r="M1118" s="31" t="str">
        <f>IFERROR(INDEX([2]Sheet1!$B:$B,MATCH($D1118,[2]Sheet1!$A:$A,0)),"Not found")</f>
        <v>Not found</v>
      </c>
      <c r="N1118">
        <f t="shared" si="34"/>
        <v>0</v>
      </c>
      <c r="O1118">
        <f t="shared" si="35"/>
        <v>0</v>
      </c>
    </row>
    <row r="1119" spans="1:15" x14ac:dyDescent="0.25">
      <c r="A1119" t="s">
        <v>0</v>
      </c>
      <c r="B1119" s="1">
        <v>45536</v>
      </c>
      <c r="C1119" s="1">
        <v>55153</v>
      </c>
      <c r="D1119" t="s">
        <v>3093</v>
      </c>
      <c r="E1119" s="33" t="s">
        <v>3094</v>
      </c>
      <c r="F1119" s="33">
        <v>34111489</v>
      </c>
      <c r="G1119" t="s">
        <v>3</v>
      </c>
      <c r="H1119" t="s">
        <v>4</v>
      </c>
      <c r="I1119" t="s">
        <v>20</v>
      </c>
      <c r="J1119" s="30" t="str">
        <f>IF(ISNUMBER(MATCH($D1119,'Lopettaneet 2013-&gt;'!$D:$D,0)),INDEX('Lopettaneet 2013-&gt;'!$K:$K,MATCH($D1119,'Lopettaneet 2013-&gt;'!$D:$D,0)),"Continues")</f>
        <v>Continues</v>
      </c>
      <c r="K1119" s="30">
        <f ca="1">IF($J1119="Continues",DATEDIF($B1119,TODAY(),"Y"),INDEX('Lopettaneet 2013-&gt;'!$L:$L,MATCH($D1119,'Lopettaneet 2013-&gt;'!$D:$D,0)))</f>
        <v>0</v>
      </c>
      <c r="L1119" s="31" t="str">
        <f>IFERROR(INDEX('[3]30.09.2024'!$H:$H,MATCH($E1119,'[3]30.09.2024'!$B:$B,0)),"Not found")</f>
        <v>Nordea Funds Oy</v>
      </c>
      <c r="M1119" s="31" t="str">
        <f>IFERROR(INDEX([2]Sheet1!$B:$B,MATCH($D1119,[2]Sheet1!$A:$A,0)),"Not found")</f>
        <v>Not found</v>
      </c>
      <c r="N1119">
        <f t="shared" si="34"/>
        <v>0</v>
      </c>
      <c r="O1119">
        <f t="shared" si="35"/>
        <v>0</v>
      </c>
    </row>
    <row r="1120" spans="1:15" x14ac:dyDescent="0.25">
      <c r="A1120" t="s">
        <v>0</v>
      </c>
      <c r="B1120" s="1">
        <v>45536</v>
      </c>
      <c r="C1120" s="1">
        <v>55153</v>
      </c>
      <c r="D1120" t="s">
        <v>3095</v>
      </c>
      <c r="E1120" s="33" t="s">
        <v>3096</v>
      </c>
      <c r="F1120" s="33">
        <v>34111702</v>
      </c>
      <c r="G1120" t="s">
        <v>3</v>
      </c>
      <c r="H1120" t="s">
        <v>4</v>
      </c>
      <c r="I1120" t="s">
        <v>20</v>
      </c>
      <c r="J1120" s="30" t="str">
        <f>IF(ISNUMBER(MATCH($D1120,'Lopettaneet 2013-&gt;'!$D:$D,0)),INDEX('Lopettaneet 2013-&gt;'!$K:$K,MATCH($D1120,'Lopettaneet 2013-&gt;'!$D:$D,0)),"Continues")</f>
        <v>Continues</v>
      </c>
      <c r="K1120" s="30">
        <f ca="1">IF($J1120="Continues",DATEDIF($B1120,TODAY(),"Y"),INDEX('Lopettaneet 2013-&gt;'!$L:$L,MATCH($D1120,'Lopettaneet 2013-&gt;'!$D:$D,0)))</f>
        <v>0</v>
      </c>
      <c r="L1120" s="31" t="str">
        <f>IFERROR(INDEX('[3]30.09.2024'!$H:$H,MATCH($E1120,'[3]30.09.2024'!$B:$B,0)),"Not found")</f>
        <v>Nordea Funds Oy</v>
      </c>
      <c r="M1120" s="31" t="str">
        <f>IFERROR(INDEX([2]Sheet1!$B:$B,MATCH($D1120,[2]Sheet1!$A:$A,0)),"Not found")</f>
        <v>Not found</v>
      </c>
      <c r="N1120">
        <f t="shared" si="34"/>
        <v>0</v>
      </c>
      <c r="O1120">
        <f t="shared" si="35"/>
        <v>0</v>
      </c>
    </row>
    <row r="1121" spans="1:15" x14ac:dyDescent="0.25">
      <c r="A1121" t="s">
        <v>0</v>
      </c>
      <c r="B1121" s="1">
        <v>45536</v>
      </c>
      <c r="C1121" s="1">
        <v>55153</v>
      </c>
      <c r="D1121" t="s">
        <v>3097</v>
      </c>
      <c r="E1121" s="33" t="s">
        <v>3098</v>
      </c>
      <c r="F1121" s="33">
        <v>34111614</v>
      </c>
      <c r="G1121" t="s">
        <v>3</v>
      </c>
      <c r="H1121" t="s">
        <v>4</v>
      </c>
      <c r="I1121" t="s">
        <v>50</v>
      </c>
      <c r="J1121" s="30" t="str">
        <f>IF(ISNUMBER(MATCH($D1121,'Lopettaneet 2013-&gt;'!$D:$D,0)),INDEX('Lopettaneet 2013-&gt;'!$K:$K,MATCH($D1121,'Lopettaneet 2013-&gt;'!$D:$D,0)),"Continues")</f>
        <v>Continues</v>
      </c>
      <c r="K1121" s="30">
        <f ca="1">IF($J1121="Continues",DATEDIF($B1121,TODAY(),"Y"),INDEX('Lopettaneet 2013-&gt;'!$L:$L,MATCH($D1121,'Lopettaneet 2013-&gt;'!$D:$D,0)))</f>
        <v>0</v>
      </c>
      <c r="L1121" s="31" t="str">
        <f>IFERROR(INDEX('[3]30.09.2024'!$H:$H,MATCH($E1121,'[3]30.09.2024'!$B:$B,0)),"Not found")</f>
        <v>Nordea Funds Oy</v>
      </c>
      <c r="M1121" s="31" t="str">
        <f>IFERROR(INDEX([2]Sheet1!$B:$B,MATCH($D1121,[2]Sheet1!$A:$A,0)),"Not found")</f>
        <v>Not found</v>
      </c>
      <c r="N1121">
        <f t="shared" si="34"/>
        <v>0</v>
      </c>
      <c r="O1121">
        <f t="shared" si="35"/>
        <v>0</v>
      </c>
    </row>
    <row r="1122" spans="1:15" x14ac:dyDescent="0.25">
      <c r="A1122" t="s">
        <v>0</v>
      </c>
      <c r="B1122" s="1">
        <v>45536</v>
      </c>
      <c r="C1122" s="1">
        <v>55153</v>
      </c>
      <c r="D1122" t="s">
        <v>3099</v>
      </c>
      <c r="E1122" s="33" t="s">
        <v>3100</v>
      </c>
      <c r="F1122" s="33">
        <v>34111497</v>
      </c>
      <c r="G1122" t="s">
        <v>3</v>
      </c>
      <c r="H1122" t="s">
        <v>4</v>
      </c>
      <c r="I1122" t="s">
        <v>50</v>
      </c>
      <c r="J1122" s="30" t="str">
        <f>IF(ISNUMBER(MATCH($D1122,'Lopettaneet 2013-&gt;'!$D:$D,0)),INDEX('Lopettaneet 2013-&gt;'!$K:$K,MATCH($D1122,'Lopettaneet 2013-&gt;'!$D:$D,0)),"Continues")</f>
        <v>Continues</v>
      </c>
      <c r="K1122" s="30">
        <f ca="1">IF($J1122="Continues",DATEDIF($B1122,TODAY(),"Y"),INDEX('Lopettaneet 2013-&gt;'!$L:$L,MATCH($D1122,'Lopettaneet 2013-&gt;'!$D:$D,0)))</f>
        <v>0</v>
      </c>
      <c r="L1122" s="31" t="str">
        <f>IFERROR(INDEX('[3]30.09.2024'!$H:$H,MATCH($E1122,'[3]30.09.2024'!$B:$B,0)),"Not found")</f>
        <v>Nordea Funds Oy</v>
      </c>
      <c r="M1122" s="31" t="str">
        <f>IFERROR(INDEX([2]Sheet1!$B:$B,MATCH($D1122,[2]Sheet1!$A:$A,0)),"Not found")</f>
        <v>Not found</v>
      </c>
      <c r="N1122">
        <f t="shared" si="34"/>
        <v>0</v>
      </c>
      <c r="O1122">
        <f t="shared" si="35"/>
        <v>0</v>
      </c>
    </row>
    <row r="1123" spans="1:15" x14ac:dyDescent="0.25">
      <c r="A1123" t="s">
        <v>0</v>
      </c>
      <c r="B1123" s="1">
        <v>45536</v>
      </c>
      <c r="C1123" s="1">
        <v>55153</v>
      </c>
      <c r="D1123" t="s">
        <v>3101</v>
      </c>
      <c r="E1123" s="33" t="s">
        <v>3102</v>
      </c>
      <c r="F1123" s="33">
        <v>34111673</v>
      </c>
      <c r="G1123" t="s">
        <v>3</v>
      </c>
      <c r="H1123" t="s">
        <v>4</v>
      </c>
      <c r="I1123" t="s">
        <v>50</v>
      </c>
      <c r="J1123" s="30" t="str">
        <f>IF(ISNUMBER(MATCH($D1123,'Lopettaneet 2013-&gt;'!$D:$D,0)),INDEX('Lopettaneet 2013-&gt;'!$K:$K,MATCH($D1123,'Lopettaneet 2013-&gt;'!$D:$D,0)),"Continues")</f>
        <v>Continues</v>
      </c>
      <c r="K1123" s="30">
        <f ca="1">IF($J1123="Continues",DATEDIF($B1123,TODAY(),"Y"),INDEX('Lopettaneet 2013-&gt;'!$L:$L,MATCH($D1123,'Lopettaneet 2013-&gt;'!$D:$D,0)))</f>
        <v>0</v>
      </c>
      <c r="L1123" s="31" t="str">
        <f>IFERROR(INDEX('[3]30.09.2024'!$H:$H,MATCH($E1123,'[3]30.09.2024'!$B:$B,0)),"Not found")</f>
        <v>Nordea Funds Oy</v>
      </c>
      <c r="M1123" s="31" t="str">
        <f>IFERROR(INDEX([2]Sheet1!$B:$B,MATCH($D1123,[2]Sheet1!$A:$A,0)),"Not found")</f>
        <v>Not found</v>
      </c>
      <c r="N1123">
        <f t="shared" si="34"/>
        <v>0</v>
      </c>
      <c r="O1123">
        <f t="shared" si="35"/>
        <v>0</v>
      </c>
    </row>
    <row r="1124" spans="1:15" x14ac:dyDescent="0.25">
      <c r="A1124" t="s">
        <v>7</v>
      </c>
      <c r="B1124" s="1">
        <v>45536</v>
      </c>
      <c r="C1124" s="1">
        <v>55153</v>
      </c>
      <c r="D1124" t="s">
        <v>3103</v>
      </c>
      <c r="E1124" s="33" t="s">
        <v>3104</v>
      </c>
      <c r="F1124" s="33">
        <v>34327482</v>
      </c>
      <c r="G1124" t="s">
        <v>10</v>
      </c>
      <c r="H1124" t="s">
        <v>11</v>
      </c>
      <c r="I1124" t="s">
        <v>12</v>
      </c>
      <c r="J1124" s="30" t="str">
        <f>IF(ISNUMBER(MATCH($D1124,'Lopettaneet 2013-&gt;'!$D:$D,0)),INDEX('Lopettaneet 2013-&gt;'!$K:$K,MATCH($D1124,'Lopettaneet 2013-&gt;'!$D:$D,0)),"Continues")</f>
        <v>Continues</v>
      </c>
      <c r="K1124" s="30">
        <f ca="1">IF($J1124="Continues",DATEDIF($B1124,TODAY(),"Y"),INDEX('Lopettaneet 2013-&gt;'!$L:$L,MATCH($D1124,'Lopettaneet 2013-&gt;'!$D:$D,0)))</f>
        <v>0</v>
      </c>
      <c r="L1124" s="31" t="str">
        <f>IFERROR(INDEX('[3]30.09.2024'!$H:$H,MATCH($E1124,'[3]30.09.2024'!$B:$B,0)),"Not found")</f>
        <v>LähiTapiola Vaihtoehtorahastot Oy</v>
      </c>
      <c r="M1124" s="31" t="str">
        <f>IFERROR(INDEX([2]Sheet1!$B:$B,MATCH($D1124,[2]Sheet1!$A:$A,0)),"Not found")</f>
        <v>Not found</v>
      </c>
      <c r="N1124">
        <f t="shared" si="34"/>
        <v>0</v>
      </c>
      <c r="O1124">
        <f t="shared" si="35"/>
        <v>0</v>
      </c>
    </row>
    <row r="1125" spans="1:15" x14ac:dyDescent="0.25">
      <c r="A1125" t="s">
        <v>7</v>
      </c>
      <c r="B1125" s="1">
        <v>45536</v>
      </c>
      <c r="C1125" s="1">
        <v>55153</v>
      </c>
      <c r="D1125" t="s">
        <v>3105</v>
      </c>
      <c r="E1125" s="33" t="s">
        <v>3106</v>
      </c>
      <c r="F1125" s="33">
        <v>34327458</v>
      </c>
      <c r="G1125" t="s">
        <v>10</v>
      </c>
      <c r="H1125" t="s">
        <v>11</v>
      </c>
      <c r="I1125" t="s">
        <v>12</v>
      </c>
      <c r="J1125" s="30" t="str">
        <f>IF(ISNUMBER(MATCH($D1125,'Lopettaneet 2013-&gt;'!$D:$D,0)),INDEX('Lopettaneet 2013-&gt;'!$K:$K,MATCH($D1125,'Lopettaneet 2013-&gt;'!$D:$D,0)),"Continues")</f>
        <v>Continues</v>
      </c>
      <c r="K1125" s="30">
        <f ca="1">IF($J1125="Continues",DATEDIF($B1125,TODAY(),"Y"),INDEX('Lopettaneet 2013-&gt;'!$L:$L,MATCH($D1125,'Lopettaneet 2013-&gt;'!$D:$D,0)))</f>
        <v>0</v>
      </c>
      <c r="L1125" s="31" t="str">
        <f>IFERROR(INDEX('[3]30.09.2024'!$H:$H,MATCH($E1125,'[3]30.09.2024'!$B:$B,0)),"Not found")</f>
        <v>LähiTapiola Vaihtoehtorahastot Oy</v>
      </c>
      <c r="M1125" s="31" t="str">
        <f>IFERROR(INDEX([2]Sheet1!$B:$B,MATCH($D1125,[2]Sheet1!$A:$A,0)),"Not found")</f>
        <v>Not found</v>
      </c>
      <c r="N1125">
        <f t="shared" si="34"/>
        <v>0</v>
      </c>
      <c r="O1125">
        <f t="shared" si="35"/>
        <v>0</v>
      </c>
    </row>
    <row r="1126" spans="1:15" x14ac:dyDescent="0.25">
      <c r="A1126" t="s">
        <v>0</v>
      </c>
      <c r="B1126" s="1">
        <v>45505</v>
      </c>
      <c r="C1126" s="1">
        <v>55153</v>
      </c>
      <c r="D1126" t="s">
        <v>3107</v>
      </c>
      <c r="E1126" s="33" t="s">
        <v>3108</v>
      </c>
      <c r="F1126" s="33">
        <v>34338296</v>
      </c>
      <c r="G1126" t="s">
        <v>10</v>
      </c>
      <c r="H1126" t="s">
        <v>4</v>
      </c>
      <c r="I1126" t="s">
        <v>29</v>
      </c>
      <c r="J1126" s="30" t="str">
        <f>IF(ISNUMBER(MATCH($D1126,'Lopettaneet 2013-&gt;'!$D:$D,0)),INDEX('Lopettaneet 2013-&gt;'!$K:$K,MATCH($D1126,'Lopettaneet 2013-&gt;'!$D:$D,0)),"Continues")</f>
        <v>Continues</v>
      </c>
      <c r="K1126" s="30">
        <f ca="1">IF($J1126="Continues",DATEDIF($B1126,TODAY(),"Y"),INDEX('Lopettaneet 2013-&gt;'!$L:$L,MATCH($D1126,'Lopettaneet 2013-&gt;'!$D:$D,0)))</f>
        <v>0</v>
      </c>
      <c r="L1126" s="31" t="str">
        <f>IFERROR(INDEX('[3]30.09.2024'!$H:$H,MATCH($E1126,'[3]30.09.2024'!$B:$B,0)),"Not found")</f>
        <v>eQ Rahastoyhtiö Oy</v>
      </c>
      <c r="M1126" s="31" t="str">
        <f>IFERROR(INDEX([2]Sheet1!$B:$B,MATCH($D1126,[2]Sheet1!$A:$A,0)),"Not found")</f>
        <v>Not found</v>
      </c>
      <c r="N1126">
        <f t="shared" si="34"/>
        <v>0</v>
      </c>
      <c r="O1126">
        <f t="shared" si="35"/>
        <v>0</v>
      </c>
    </row>
    <row r="1127" spans="1:15" x14ac:dyDescent="0.25">
      <c r="A1127" t="s">
        <v>7</v>
      </c>
      <c r="B1127" s="1">
        <v>45536</v>
      </c>
      <c r="C1127" s="1">
        <v>55153</v>
      </c>
      <c r="D1127" t="s">
        <v>3109</v>
      </c>
      <c r="E1127" s="33" t="s">
        <v>3110</v>
      </c>
      <c r="F1127" s="33">
        <v>34671064</v>
      </c>
      <c r="G1127" t="s">
        <v>10</v>
      </c>
      <c r="H1127" t="s">
        <v>11</v>
      </c>
      <c r="I1127" t="s">
        <v>80</v>
      </c>
      <c r="J1127" s="30" t="str">
        <f>IF(ISNUMBER(MATCH($D1127,'Lopettaneet 2013-&gt;'!$D:$D,0)),INDEX('Lopettaneet 2013-&gt;'!$K:$K,MATCH($D1127,'Lopettaneet 2013-&gt;'!$D:$D,0)),"Continues")</f>
        <v>Continues</v>
      </c>
      <c r="K1127" s="30">
        <f ca="1">IF($J1127="Continues",DATEDIF($B1127,TODAY(),"Y"),INDEX('Lopettaneet 2013-&gt;'!$L:$L,MATCH($D1127,'Lopettaneet 2013-&gt;'!$D:$D,0)))</f>
        <v>0</v>
      </c>
      <c r="L1127" s="31" t="str">
        <f>IFERROR(INDEX('[3]30.09.2024'!$H:$H,MATCH($E1127,'[3]30.09.2024'!$B:$B,0)),"Not found")</f>
        <v>Illusian Capital Oy</v>
      </c>
      <c r="M1127" s="31" t="str">
        <f>IFERROR(INDEX([2]Sheet1!$B:$B,MATCH($D1127,[2]Sheet1!$A:$A,0)),"Not found")</f>
        <v>Not found</v>
      </c>
      <c r="N1127">
        <f t="shared" si="34"/>
        <v>0</v>
      </c>
      <c r="O1127">
        <f t="shared" si="35"/>
        <v>0</v>
      </c>
    </row>
    <row r="1128" spans="1:15" x14ac:dyDescent="0.25">
      <c r="A1128" t="s">
        <v>0</v>
      </c>
      <c r="B1128" s="1">
        <v>45536</v>
      </c>
      <c r="C1128" s="1">
        <v>55153</v>
      </c>
      <c r="D1128" t="s">
        <v>3111</v>
      </c>
      <c r="E1128" s="33" t="s">
        <v>3112</v>
      </c>
      <c r="F1128" s="33">
        <v>34330198</v>
      </c>
      <c r="G1128" t="s">
        <v>10</v>
      </c>
      <c r="H1128" t="s">
        <v>4</v>
      </c>
      <c r="I1128" t="s">
        <v>20</v>
      </c>
      <c r="J1128" s="30" t="str">
        <f>IF(ISNUMBER(MATCH($D1128,'Lopettaneet 2013-&gt;'!$D:$D,0)),INDEX('Lopettaneet 2013-&gt;'!$K:$K,MATCH($D1128,'Lopettaneet 2013-&gt;'!$D:$D,0)),"Continues")</f>
        <v>Continues</v>
      </c>
      <c r="K1128" s="30">
        <f ca="1">IF($J1128="Continues",DATEDIF($B1128,TODAY(),"Y"),INDEX('Lopettaneet 2013-&gt;'!$L:$L,MATCH($D1128,'Lopettaneet 2013-&gt;'!$D:$D,0)))</f>
        <v>0</v>
      </c>
      <c r="L1128" s="31" t="str">
        <f>IFERROR(INDEX('[3]30.09.2024'!$H:$H,MATCH($E1128,'[3]30.09.2024'!$B:$B,0)),"Not found")</f>
        <v>GRIT Rahastoyhtiö Oy</v>
      </c>
      <c r="M1128" s="31" t="str">
        <f>IFERROR(INDEX([2]Sheet1!$B:$B,MATCH($D1128,[2]Sheet1!$A:$A,0)),"Not found")</f>
        <v>Not found</v>
      </c>
      <c r="N1128">
        <f t="shared" si="34"/>
        <v>0</v>
      </c>
      <c r="O1128">
        <f t="shared" si="35"/>
        <v>0</v>
      </c>
    </row>
    <row r="1129" spans="1:15" x14ac:dyDescent="0.25">
      <c r="A1129" t="s">
        <v>0</v>
      </c>
      <c r="B1129" s="1">
        <v>45536</v>
      </c>
      <c r="C1129" s="1">
        <v>55153</v>
      </c>
      <c r="D1129" t="s">
        <v>3113</v>
      </c>
      <c r="E1129" s="33" t="s">
        <v>3114</v>
      </c>
      <c r="F1129" s="33">
        <v>34330163</v>
      </c>
      <c r="G1129" t="s">
        <v>10</v>
      </c>
      <c r="H1129" t="s">
        <v>4</v>
      </c>
      <c r="I1129" t="s">
        <v>50</v>
      </c>
      <c r="J1129" s="30" t="str">
        <f>IF(ISNUMBER(MATCH($D1129,'Lopettaneet 2013-&gt;'!$D:$D,0)),INDEX('Lopettaneet 2013-&gt;'!$K:$K,MATCH($D1129,'Lopettaneet 2013-&gt;'!$D:$D,0)),"Continues")</f>
        <v>Continues</v>
      </c>
      <c r="K1129" s="30">
        <f ca="1">IF($J1129="Continues",DATEDIF($B1129,TODAY(),"Y"),INDEX('Lopettaneet 2013-&gt;'!$L:$L,MATCH($D1129,'Lopettaneet 2013-&gt;'!$D:$D,0)))</f>
        <v>0</v>
      </c>
      <c r="L1129" s="31" t="str">
        <f>IFERROR(INDEX('[3]30.09.2024'!$H:$H,MATCH($E1129,'[3]30.09.2024'!$B:$B,0)),"Not found")</f>
        <v>GRIT Rahastoyhtiö Oy</v>
      </c>
      <c r="M1129" s="31" t="str">
        <f>IFERROR(INDEX([2]Sheet1!$B:$B,MATCH($D1129,[2]Sheet1!$A:$A,0)),"Not found")</f>
        <v>Not found</v>
      </c>
      <c r="N1129">
        <f t="shared" si="34"/>
        <v>0</v>
      </c>
      <c r="O1129">
        <f t="shared" si="35"/>
        <v>0</v>
      </c>
    </row>
    <row r="1130" spans="1:15" x14ac:dyDescent="0.25">
      <c r="A1130" t="s">
        <v>7</v>
      </c>
      <c r="B1130" s="1">
        <v>45536</v>
      </c>
      <c r="C1130" s="1">
        <v>55153</v>
      </c>
      <c r="D1130" t="s">
        <v>3115</v>
      </c>
      <c r="E1130" s="33" t="s">
        <v>3116</v>
      </c>
      <c r="F1130" s="33">
        <v>34630107</v>
      </c>
      <c r="G1130" t="s">
        <v>10</v>
      </c>
      <c r="H1130" t="s">
        <v>11</v>
      </c>
      <c r="I1130" t="s">
        <v>80</v>
      </c>
      <c r="J1130" s="30" t="str">
        <f>IF(ISNUMBER(MATCH($D1130,'Lopettaneet 2013-&gt;'!$D:$D,0)),INDEX('Lopettaneet 2013-&gt;'!$K:$K,MATCH($D1130,'Lopettaneet 2013-&gt;'!$D:$D,0)),"Continues")</f>
        <v>Continues</v>
      </c>
      <c r="K1130" s="30">
        <f ca="1">IF($J1130="Continues",DATEDIF($B1130,TODAY(),"Y"),INDEX('Lopettaneet 2013-&gt;'!$L:$L,MATCH($D1130,'Lopettaneet 2013-&gt;'!$D:$D,0)))</f>
        <v>0</v>
      </c>
      <c r="L1130" s="31" t="str">
        <f>IFERROR(INDEX('[3]30.09.2024'!$H:$H,MATCH($E1130,'[3]30.09.2024'!$B:$B,0)),"Not found")</f>
        <v>Superhero Capital Oy</v>
      </c>
      <c r="M1130" s="31" t="str">
        <f>IFERROR(INDEX([2]Sheet1!$B:$B,MATCH($D1130,[2]Sheet1!$A:$A,0)),"Not found")</f>
        <v>Not found</v>
      </c>
      <c r="N1130">
        <f t="shared" si="34"/>
        <v>0</v>
      </c>
      <c r="O1130">
        <f t="shared" si="35"/>
        <v>0</v>
      </c>
    </row>
    <row r="1131" spans="1:15" x14ac:dyDescent="0.25">
      <c r="A1131" t="s">
        <v>0</v>
      </c>
      <c r="B1131" s="1">
        <v>45536</v>
      </c>
      <c r="C1131" s="1">
        <v>55153</v>
      </c>
      <c r="D1131" t="s">
        <v>3117</v>
      </c>
      <c r="E1131" s="33" t="s">
        <v>3118</v>
      </c>
      <c r="F1131" s="33">
        <v>34627303</v>
      </c>
      <c r="G1131" t="s">
        <v>10</v>
      </c>
      <c r="H1131" t="s">
        <v>11</v>
      </c>
      <c r="I1131" t="s">
        <v>20</v>
      </c>
      <c r="J1131" s="30" t="str">
        <f>IF(ISNUMBER(MATCH($D1131,'Lopettaneet 2013-&gt;'!$D:$D,0)),INDEX('Lopettaneet 2013-&gt;'!$K:$K,MATCH($D1131,'Lopettaneet 2013-&gt;'!$D:$D,0)),"Continues")</f>
        <v>Continues</v>
      </c>
      <c r="K1131" s="30">
        <f ca="1">IF($J1131="Continues",DATEDIF($B1131,TODAY(),"Y"),INDEX('Lopettaneet 2013-&gt;'!$L:$L,MATCH($D1131,'Lopettaneet 2013-&gt;'!$D:$D,0)))</f>
        <v>0</v>
      </c>
      <c r="L1131" s="31" t="str">
        <f>IFERROR(INDEX('[3]30.09.2024'!$H:$H,MATCH($E1131,'[3]30.09.2024'!$B:$B,0)),"Not found")</f>
        <v>Evli-Rahastoyhtiö Oy</v>
      </c>
      <c r="M1131" s="31" t="str">
        <f>IFERROR(INDEX([2]Sheet1!$B:$B,MATCH($D1131,[2]Sheet1!$A:$A,0)),"Not found")</f>
        <v>Not found</v>
      </c>
      <c r="N1131">
        <f t="shared" si="34"/>
        <v>0</v>
      </c>
      <c r="O1131">
        <f t="shared" si="35"/>
        <v>0</v>
      </c>
    </row>
    <row r="1132" spans="1:15" x14ac:dyDescent="0.25">
      <c r="A1132" t="s">
        <v>0</v>
      </c>
      <c r="B1132" s="1">
        <v>45536</v>
      </c>
      <c r="C1132" s="1">
        <v>55153</v>
      </c>
      <c r="D1132" t="s">
        <v>3119</v>
      </c>
      <c r="E1132" s="33" t="s">
        <v>3120</v>
      </c>
      <c r="F1132" s="33">
        <v>34627274</v>
      </c>
      <c r="G1132" t="s">
        <v>10</v>
      </c>
      <c r="H1132" t="s">
        <v>11</v>
      </c>
      <c r="I1132" t="s">
        <v>20</v>
      </c>
      <c r="J1132" s="30" t="str">
        <f>IF(ISNUMBER(MATCH($D1132,'Lopettaneet 2013-&gt;'!$D:$D,0)),INDEX('Lopettaneet 2013-&gt;'!$K:$K,MATCH($D1132,'Lopettaneet 2013-&gt;'!$D:$D,0)),"Continues")</f>
        <v>Continues</v>
      </c>
      <c r="K1132" s="30">
        <f ca="1">IF($J1132="Continues",DATEDIF($B1132,TODAY(),"Y"),INDEX('Lopettaneet 2013-&gt;'!$L:$L,MATCH($D1132,'Lopettaneet 2013-&gt;'!$D:$D,0)))</f>
        <v>0</v>
      </c>
      <c r="L1132" s="31" t="str">
        <f>IFERROR(INDEX('[3]30.09.2024'!$H:$H,MATCH($E1132,'[3]30.09.2024'!$B:$B,0)),"Not found")</f>
        <v>Evli-Rahastoyhtiö Oy</v>
      </c>
      <c r="M1132" s="31" t="str">
        <f>IFERROR(INDEX([2]Sheet1!$B:$B,MATCH($D1132,[2]Sheet1!$A:$A,0)),"Not found")</f>
        <v>Not found</v>
      </c>
      <c r="N1132">
        <f t="shared" si="34"/>
        <v>0</v>
      </c>
      <c r="O1132">
        <f t="shared" si="35"/>
        <v>0</v>
      </c>
    </row>
    <row r="1133" spans="1:15" x14ac:dyDescent="0.25">
      <c r="A1133" t="s">
        <v>0</v>
      </c>
      <c r="B1133" s="1">
        <v>45536</v>
      </c>
      <c r="C1133" s="1">
        <v>55153</v>
      </c>
      <c r="D1133" t="s">
        <v>3121</v>
      </c>
      <c r="E1133" s="33" t="s">
        <v>3122</v>
      </c>
      <c r="F1133" s="33">
        <v>34595946</v>
      </c>
      <c r="G1133" t="s">
        <v>10</v>
      </c>
      <c r="H1133" t="s">
        <v>4</v>
      </c>
      <c r="I1133" t="s">
        <v>29</v>
      </c>
      <c r="J1133" s="30" t="str">
        <f>IF(ISNUMBER(MATCH($D1133,'Lopettaneet 2013-&gt;'!$D:$D,0)),INDEX('Lopettaneet 2013-&gt;'!$K:$K,MATCH($D1133,'Lopettaneet 2013-&gt;'!$D:$D,0)),"Continues")</f>
        <v>Continues</v>
      </c>
      <c r="K1133" s="30">
        <f ca="1">IF($J1133="Continues",DATEDIF($B1133,TODAY(),"Y"),INDEX('Lopettaneet 2013-&gt;'!$L:$L,MATCH($D1133,'Lopettaneet 2013-&gt;'!$D:$D,0)))</f>
        <v>0</v>
      </c>
      <c r="L1133" s="31" t="str">
        <f>IFERROR(INDEX('[3]30.09.2024'!$H:$H,MATCH($E1133,'[3]30.09.2024'!$B:$B,0)),"Not found")</f>
        <v>Alexandria Rahastoyhtiö Oy</v>
      </c>
      <c r="M1133" s="31" t="str">
        <f>IFERROR(INDEX([2]Sheet1!$B:$B,MATCH($D1133,[2]Sheet1!$A:$A,0)),"Not found")</f>
        <v>Not found</v>
      </c>
      <c r="N1133">
        <f t="shared" si="34"/>
        <v>0</v>
      </c>
      <c r="O1133">
        <f t="shared" si="35"/>
        <v>0</v>
      </c>
    </row>
    <row r="1134" spans="1:15" x14ac:dyDescent="0.25">
      <c r="A1134" t="s">
        <v>7</v>
      </c>
      <c r="B1134" s="1">
        <v>45627</v>
      </c>
      <c r="C1134" s="1">
        <v>55153</v>
      </c>
      <c r="D1134" t="s">
        <v>3135</v>
      </c>
      <c r="E1134" t="s">
        <v>3136</v>
      </c>
      <c r="F1134" t="s">
        <v>14</v>
      </c>
      <c r="G1134" t="s">
        <v>10</v>
      </c>
      <c r="H1134" t="s">
        <v>11</v>
      </c>
      <c r="I1134" t="s">
        <v>12</v>
      </c>
      <c r="J1134" s="30" t="str">
        <f>IF(ISNUMBER(MATCH($D1134,'Lopettaneet 2013-&gt;'!$D:$D,0)),INDEX('Lopettaneet 2013-&gt;'!$K:$K,MATCH($D1134,'Lopettaneet 2013-&gt;'!$D:$D,0)),"Continues")</f>
        <v>Continues</v>
      </c>
      <c r="K1134" s="30">
        <f ca="1">IF($J1134="Continues",DATEDIF($B1134,TODAY(),"Y"),INDEX('Lopettaneet 2013-&gt;'!$L:$L,MATCH($D1134,'Lopettaneet 2013-&gt;'!$D:$D,0)))</f>
        <v>0</v>
      </c>
      <c r="L1134" s="31" t="str">
        <f>IFERROR(INDEX('[3]30.09.2024'!$H:$H,MATCH($E1134,'[3]30.09.2024'!$B:$B,0)),"Not found")</f>
        <v>BOA Capital Oy</v>
      </c>
      <c r="M1134" s="31" t="str">
        <f>IFERROR(INDEX([2]Sheet1!$B:$B,MATCH($D1134,[2]Sheet1!$A:$A,0)),"Not found")</f>
        <v>Not found</v>
      </c>
      <c r="N1134">
        <f t="shared" si="34"/>
        <v>0</v>
      </c>
      <c r="O1134">
        <f t="shared" si="35"/>
        <v>0</v>
      </c>
    </row>
    <row r="1135" spans="1:15" x14ac:dyDescent="0.25">
      <c r="A1135" t="s">
        <v>7</v>
      </c>
      <c r="B1135" s="1">
        <v>45627</v>
      </c>
      <c r="C1135" s="1">
        <v>55153</v>
      </c>
      <c r="D1135" t="s">
        <v>3137</v>
      </c>
      <c r="E1135" t="s">
        <v>3138</v>
      </c>
      <c r="F1135">
        <v>33986689</v>
      </c>
      <c r="G1135" t="s">
        <v>10</v>
      </c>
      <c r="H1135" t="s">
        <v>11</v>
      </c>
      <c r="I1135" t="s">
        <v>12</v>
      </c>
      <c r="J1135" s="30" t="str">
        <f>IF(ISNUMBER(MATCH($D1135,'Lopettaneet 2013-&gt;'!$D:$D,0)),INDEX('Lopettaneet 2013-&gt;'!$K:$K,MATCH($D1135,'Lopettaneet 2013-&gt;'!$D:$D,0)),"Continues")</f>
        <v>Continues</v>
      </c>
      <c r="K1135" s="30">
        <f ca="1">IF($J1135="Continues",DATEDIF($B1135,TODAY(),"Y"),INDEX('Lopettaneet 2013-&gt;'!$L:$L,MATCH($D1135,'Lopettaneet 2013-&gt;'!$D:$D,0)))</f>
        <v>0</v>
      </c>
      <c r="L1135" s="31" t="str">
        <f>IFERROR(INDEX('[3]30.09.2024'!$H:$H,MATCH($E1135,'[3]30.09.2024'!$B:$B,0)),"Not found")</f>
        <v>Evli-Rahastoyhtiö Oy</v>
      </c>
      <c r="M1135" s="31" t="str">
        <f>IFERROR(INDEX([2]Sheet1!$B:$B,MATCH($D1135,[2]Sheet1!$A:$A,0)),"Not found")</f>
        <v>Not found</v>
      </c>
      <c r="N1135">
        <f t="shared" si="34"/>
        <v>0</v>
      </c>
      <c r="O1135">
        <f t="shared" si="35"/>
        <v>0</v>
      </c>
    </row>
    <row r="1136" spans="1:15" x14ac:dyDescent="0.25">
      <c r="A1136" t="s">
        <v>7</v>
      </c>
      <c r="B1136" s="1">
        <v>45627</v>
      </c>
      <c r="C1136" s="1">
        <v>55153</v>
      </c>
      <c r="D1136" t="s">
        <v>3139</v>
      </c>
      <c r="E1136" t="s">
        <v>3140</v>
      </c>
      <c r="F1136">
        <v>33986638</v>
      </c>
      <c r="G1136" t="s">
        <v>10</v>
      </c>
      <c r="H1136" t="s">
        <v>11</v>
      </c>
      <c r="I1136" t="s">
        <v>12</v>
      </c>
      <c r="J1136" s="30" t="str">
        <f>IF(ISNUMBER(MATCH($D1136,'Lopettaneet 2013-&gt;'!$D:$D,0)),INDEX('Lopettaneet 2013-&gt;'!$K:$K,MATCH($D1136,'Lopettaneet 2013-&gt;'!$D:$D,0)),"Continues")</f>
        <v>Continues</v>
      </c>
      <c r="K1136" s="30">
        <f ca="1">IF($J1136="Continues",DATEDIF($B1136,TODAY(),"Y"),INDEX('Lopettaneet 2013-&gt;'!$L:$L,MATCH($D1136,'Lopettaneet 2013-&gt;'!$D:$D,0)))</f>
        <v>0</v>
      </c>
      <c r="L1136" s="31" t="str">
        <f>IFERROR(INDEX('[3]30.09.2024'!$H:$H,MATCH($E1136,'[3]30.09.2024'!$B:$B,0)),"Not found")</f>
        <v>Evli-Rahastoyhtiö Oy</v>
      </c>
      <c r="M1136" s="31" t="str">
        <f>IFERROR(INDEX([2]Sheet1!$B:$B,MATCH($D1136,[2]Sheet1!$A:$A,0)),"Not found")</f>
        <v>Not found</v>
      </c>
      <c r="N1136">
        <f t="shared" si="34"/>
        <v>0</v>
      </c>
      <c r="O1136">
        <f t="shared" si="35"/>
        <v>0</v>
      </c>
    </row>
    <row r="1137" spans="1:15" x14ac:dyDescent="0.25">
      <c r="A1137" t="s">
        <v>7</v>
      </c>
      <c r="B1137" s="1">
        <v>45627</v>
      </c>
      <c r="C1137" s="1">
        <v>55153</v>
      </c>
      <c r="D1137" t="s">
        <v>3141</v>
      </c>
      <c r="E1137" t="s">
        <v>3142</v>
      </c>
      <c r="F1137">
        <v>34305574</v>
      </c>
      <c r="G1137" t="s">
        <v>10</v>
      </c>
      <c r="H1137" t="s">
        <v>11</v>
      </c>
      <c r="I1137" t="s">
        <v>12</v>
      </c>
      <c r="J1137" s="30" t="str">
        <f>IF(ISNUMBER(MATCH($D1137,'Lopettaneet 2013-&gt;'!$D:$D,0)),INDEX('Lopettaneet 2013-&gt;'!$K:$K,MATCH($D1137,'Lopettaneet 2013-&gt;'!$D:$D,0)),"Continues")</f>
        <v>Continues</v>
      </c>
      <c r="K1137" s="30">
        <f ca="1">IF($J1137="Continues",DATEDIF($B1137,TODAY(),"Y"),INDEX('Lopettaneet 2013-&gt;'!$L:$L,MATCH($D1137,'Lopettaneet 2013-&gt;'!$D:$D,0)))</f>
        <v>0</v>
      </c>
      <c r="L1137" s="31" t="str">
        <f>IFERROR(INDEX('[3]30.09.2024'!$H:$H,MATCH($E1137,'[3]30.09.2024'!$B:$B,0)),"Not found")</f>
        <v>fundco oy</v>
      </c>
      <c r="M1137" s="31" t="str">
        <f>IFERROR(INDEX([2]Sheet1!$B:$B,MATCH($D1137,[2]Sheet1!$A:$A,0)),"Not found")</f>
        <v>Not found</v>
      </c>
      <c r="N1137">
        <f t="shared" si="34"/>
        <v>0</v>
      </c>
      <c r="O1137">
        <f t="shared" si="35"/>
        <v>0</v>
      </c>
    </row>
    <row r="1138" spans="1:15" x14ac:dyDescent="0.25">
      <c r="A1138" t="s">
        <v>7</v>
      </c>
      <c r="B1138" s="1">
        <v>45627</v>
      </c>
      <c r="C1138" s="1">
        <v>55153</v>
      </c>
      <c r="D1138" t="s">
        <v>3143</v>
      </c>
      <c r="E1138" t="s">
        <v>3144</v>
      </c>
      <c r="F1138">
        <v>34305566</v>
      </c>
      <c r="G1138" t="s">
        <v>10</v>
      </c>
      <c r="H1138" t="s">
        <v>11</v>
      </c>
      <c r="I1138" t="s">
        <v>12</v>
      </c>
      <c r="J1138" s="30" t="str">
        <f>IF(ISNUMBER(MATCH($D1138,'Lopettaneet 2013-&gt;'!$D:$D,0)),INDEX('Lopettaneet 2013-&gt;'!$K:$K,MATCH($D1138,'Lopettaneet 2013-&gt;'!$D:$D,0)),"Continues")</f>
        <v>Continues</v>
      </c>
      <c r="K1138" s="30">
        <f ca="1">IF($J1138="Continues",DATEDIF($B1138,TODAY(),"Y"),INDEX('Lopettaneet 2013-&gt;'!$L:$L,MATCH($D1138,'Lopettaneet 2013-&gt;'!$D:$D,0)))</f>
        <v>0</v>
      </c>
      <c r="L1138" s="31" t="str">
        <f>IFERROR(INDEX('[3]30.09.2024'!$H:$H,MATCH($E1138,'[3]30.09.2024'!$B:$B,0)),"Not found")</f>
        <v>fundco oy</v>
      </c>
      <c r="M1138" s="31" t="str">
        <f>IFERROR(INDEX([2]Sheet1!$B:$B,MATCH($D1138,[2]Sheet1!$A:$A,0)),"Not found")</f>
        <v>Not found</v>
      </c>
      <c r="N1138">
        <f t="shared" si="34"/>
        <v>0</v>
      </c>
      <c r="O1138">
        <f t="shared" si="35"/>
        <v>0</v>
      </c>
    </row>
    <row r="1139" spans="1:15" x14ac:dyDescent="0.25">
      <c r="A1139" t="s">
        <v>7</v>
      </c>
      <c r="B1139" s="1">
        <v>45627</v>
      </c>
      <c r="C1139" s="1">
        <v>55153</v>
      </c>
      <c r="D1139" t="s">
        <v>3145</v>
      </c>
      <c r="E1139" t="s">
        <v>3146</v>
      </c>
      <c r="F1139">
        <v>34110726</v>
      </c>
      <c r="G1139" t="s">
        <v>10</v>
      </c>
      <c r="H1139" t="s">
        <v>11</v>
      </c>
      <c r="I1139" t="s">
        <v>50</v>
      </c>
      <c r="J1139" s="30" t="str">
        <f>IF(ISNUMBER(MATCH($D1139,'Lopettaneet 2013-&gt;'!$D:$D,0)),INDEX('Lopettaneet 2013-&gt;'!$K:$K,MATCH($D1139,'Lopettaneet 2013-&gt;'!$D:$D,0)),"Continues")</f>
        <v>Continues</v>
      </c>
      <c r="K1139" s="30">
        <f ca="1">IF($J1139="Continues",DATEDIF($B1139,TODAY(),"Y"),INDEX('Lopettaneet 2013-&gt;'!$L:$L,MATCH($D1139,'Lopettaneet 2013-&gt;'!$D:$D,0)))</f>
        <v>0</v>
      </c>
      <c r="L1139" s="31" t="str">
        <f>IFERROR(INDEX('[3]30.09.2024'!$H:$H,MATCH($E1139,'[3]30.09.2024'!$B:$B,0)),"Not found")</f>
        <v>Aktia Rahastoyhtiö Oy</v>
      </c>
      <c r="M1139" s="31" t="str">
        <f>IFERROR(INDEX([2]Sheet1!$B:$B,MATCH($D1139,[2]Sheet1!$A:$A,0)),"Not found")</f>
        <v>Not found</v>
      </c>
      <c r="N1139">
        <f t="shared" si="34"/>
        <v>0</v>
      </c>
      <c r="O1139">
        <f t="shared" si="35"/>
        <v>0</v>
      </c>
    </row>
    <row r="1140" spans="1:15" x14ac:dyDescent="0.25">
      <c r="A1140" t="s">
        <v>7</v>
      </c>
      <c r="B1140" s="1">
        <v>45627</v>
      </c>
      <c r="C1140" s="1">
        <v>55153</v>
      </c>
      <c r="D1140" t="s">
        <v>3147</v>
      </c>
      <c r="E1140" t="s">
        <v>3148</v>
      </c>
      <c r="F1140">
        <v>34110742</v>
      </c>
      <c r="G1140" t="s">
        <v>10</v>
      </c>
      <c r="H1140" t="s">
        <v>11</v>
      </c>
      <c r="I1140" t="s">
        <v>50</v>
      </c>
      <c r="J1140" s="30" t="str">
        <f>IF(ISNUMBER(MATCH($D1140,'Lopettaneet 2013-&gt;'!$D:$D,0)),INDEX('Lopettaneet 2013-&gt;'!$K:$K,MATCH($D1140,'Lopettaneet 2013-&gt;'!$D:$D,0)),"Continues")</f>
        <v>Continues</v>
      </c>
      <c r="K1140" s="30">
        <f ca="1">IF($J1140="Continues",DATEDIF($B1140,TODAY(),"Y"),INDEX('Lopettaneet 2013-&gt;'!$L:$L,MATCH($D1140,'Lopettaneet 2013-&gt;'!$D:$D,0)))</f>
        <v>0</v>
      </c>
      <c r="L1140" s="31" t="str">
        <f>IFERROR(INDEX('[3]30.09.2024'!$H:$H,MATCH($E1140,'[3]30.09.2024'!$B:$B,0)),"Not found")</f>
        <v>Aktia Rahastoyhtiö Oy</v>
      </c>
      <c r="M1140" s="31" t="str">
        <f>IFERROR(INDEX([2]Sheet1!$B:$B,MATCH($D1140,[2]Sheet1!$A:$A,0)),"Not found")</f>
        <v>Not found</v>
      </c>
      <c r="N1140">
        <f t="shared" si="34"/>
        <v>0</v>
      </c>
      <c r="O1140">
        <f t="shared" si="35"/>
        <v>0</v>
      </c>
    </row>
    <row r="1141" spans="1:15" x14ac:dyDescent="0.25">
      <c r="A1141" t="s">
        <v>7</v>
      </c>
      <c r="B1141" s="1">
        <v>45627</v>
      </c>
      <c r="C1141" s="1">
        <v>55153</v>
      </c>
      <c r="D1141" t="s">
        <v>3149</v>
      </c>
      <c r="E1141" t="s">
        <v>3150</v>
      </c>
      <c r="F1141">
        <v>34110769</v>
      </c>
      <c r="G1141" t="s">
        <v>10</v>
      </c>
      <c r="H1141" t="s">
        <v>11</v>
      </c>
      <c r="I1141" t="s">
        <v>50</v>
      </c>
      <c r="J1141" s="30" t="str">
        <f>IF(ISNUMBER(MATCH($D1141,'Lopettaneet 2013-&gt;'!$D:$D,0)),INDEX('Lopettaneet 2013-&gt;'!$K:$K,MATCH($D1141,'Lopettaneet 2013-&gt;'!$D:$D,0)),"Continues")</f>
        <v>Continues</v>
      </c>
      <c r="K1141" s="30">
        <f ca="1">IF($J1141="Continues",DATEDIF($B1141,TODAY(),"Y"),INDEX('Lopettaneet 2013-&gt;'!$L:$L,MATCH($D1141,'Lopettaneet 2013-&gt;'!$D:$D,0)))</f>
        <v>0</v>
      </c>
      <c r="L1141" s="31" t="str">
        <f>IFERROR(INDEX('[3]30.09.2024'!$H:$H,MATCH($E1141,'[3]30.09.2024'!$B:$B,0)),"Not found")</f>
        <v>Aktia Rahastoyhtiö Oy</v>
      </c>
      <c r="M1141" s="31" t="str">
        <f>IFERROR(INDEX([2]Sheet1!$B:$B,MATCH($D1141,[2]Sheet1!$A:$A,0)),"Not found")</f>
        <v>Not found</v>
      </c>
      <c r="N1141">
        <f t="shared" si="34"/>
        <v>0</v>
      </c>
      <c r="O1141">
        <f t="shared" si="35"/>
        <v>0</v>
      </c>
    </row>
    <row r="1142" spans="1:15" x14ac:dyDescent="0.25">
      <c r="A1142" t="s">
        <v>7</v>
      </c>
      <c r="B1142" s="1">
        <v>45627</v>
      </c>
      <c r="C1142" s="1">
        <v>55153</v>
      </c>
      <c r="D1142" t="s">
        <v>3151</v>
      </c>
      <c r="E1142" t="s">
        <v>3152</v>
      </c>
      <c r="F1142">
        <v>34110793</v>
      </c>
      <c r="G1142" t="s">
        <v>10</v>
      </c>
      <c r="H1142" t="s">
        <v>11</v>
      </c>
      <c r="I1142" t="s">
        <v>50</v>
      </c>
      <c r="J1142" s="30" t="str">
        <f>IF(ISNUMBER(MATCH($D1142,'Lopettaneet 2013-&gt;'!$D:$D,0)),INDEX('Lopettaneet 2013-&gt;'!$K:$K,MATCH($D1142,'Lopettaneet 2013-&gt;'!$D:$D,0)),"Continues")</f>
        <v>Continues</v>
      </c>
      <c r="K1142" s="30">
        <f ca="1">IF($J1142="Continues",DATEDIF($B1142,TODAY(),"Y"),INDEX('Lopettaneet 2013-&gt;'!$L:$L,MATCH($D1142,'Lopettaneet 2013-&gt;'!$D:$D,0)))</f>
        <v>0</v>
      </c>
      <c r="L1142" s="31" t="str">
        <f>IFERROR(INDEX('[3]30.09.2024'!$H:$H,MATCH($E1142,'[3]30.09.2024'!$B:$B,0)),"Not found")</f>
        <v>Aktia Rahastoyhtiö Oy</v>
      </c>
      <c r="M1142" s="31" t="str">
        <f>IFERROR(INDEX([2]Sheet1!$B:$B,MATCH($D1142,[2]Sheet1!$A:$A,0)),"Not found")</f>
        <v>Not found</v>
      </c>
      <c r="N1142">
        <f t="shared" si="34"/>
        <v>0</v>
      </c>
      <c r="O1142">
        <f t="shared" si="35"/>
        <v>0</v>
      </c>
    </row>
    <row r="1143" spans="1:15" x14ac:dyDescent="0.25">
      <c r="A1143" t="s">
        <v>7</v>
      </c>
      <c r="B1143" s="1">
        <v>45627</v>
      </c>
      <c r="C1143" s="1">
        <v>55153</v>
      </c>
      <c r="D1143" t="s">
        <v>3153</v>
      </c>
      <c r="E1143" t="s">
        <v>3154</v>
      </c>
      <c r="F1143">
        <v>34110806</v>
      </c>
      <c r="G1143" t="s">
        <v>10</v>
      </c>
      <c r="H1143" t="s">
        <v>11</v>
      </c>
      <c r="I1143" t="s">
        <v>50</v>
      </c>
      <c r="J1143" s="30" t="str">
        <f>IF(ISNUMBER(MATCH($D1143,'Lopettaneet 2013-&gt;'!$D:$D,0)),INDEX('Lopettaneet 2013-&gt;'!$K:$K,MATCH($D1143,'Lopettaneet 2013-&gt;'!$D:$D,0)),"Continues")</f>
        <v>Continues</v>
      </c>
      <c r="K1143" s="30">
        <f ca="1">IF($J1143="Continues",DATEDIF($B1143,TODAY(),"Y"),INDEX('Lopettaneet 2013-&gt;'!$L:$L,MATCH($D1143,'Lopettaneet 2013-&gt;'!$D:$D,0)))</f>
        <v>0</v>
      </c>
      <c r="L1143" s="31" t="str">
        <f>IFERROR(INDEX('[3]30.09.2024'!$H:$H,MATCH($E1143,'[3]30.09.2024'!$B:$B,0)),"Not found")</f>
        <v>Aktia Rahastoyhtiö Oy</v>
      </c>
      <c r="M1143" s="31" t="str">
        <f>IFERROR(INDEX([2]Sheet1!$B:$B,MATCH($D1143,[2]Sheet1!$A:$A,0)),"Not found")</f>
        <v>Not found</v>
      </c>
      <c r="N1143">
        <f t="shared" si="34"/>
        <v>0</v>
      </c>
      <c r="O1143">
        <f t="shared" si="35"/>
        <v>0</v>
      </c>
    </row>
    <row r="1144" spans="1:15" x14ac:dyDescent="0.25">
      <c r="A1144" t="s">
        <v>7</v>
      </c>
      <c r="B1144" s="1">
        <v>45627</v>
      </c>
      <c r="C1144" s="1">
        <v>55153</v>
      </c>
      <c r="D1144" t="s">
        <v>3155</v>
      </c>
      <c r="E1144" t="s">
        <v>3156</v>
      </c>
      <c r="F1144">
        <v>34033599</v>
      </c>
      <c r="G1144" t="s">
        <v>10</v>
      </c>
      <c r="H1144" t="s">
        <v>11</v>
      </c>
      <c r="I1144" t="s">
        <v>29</v>
      </c>
      <c r="J1144" s="30" t="str">
        <f>IF(ISNUMBER(MATCH($D1144,'Lopettaneet 2013-&gt;'!$D:$D,0)),INDEX('Lopettaneet 2013-&gt;'!$K:$K,MATCH($D1144,'Lopettaneet 2013-&gt;'!$D:$D,0)),"Continues")</f>
        <v>Continues</v>
      </c>
      <c r="K1144" s="30">
        <f ca="1">IF($J1144="Continues",DATEDIF($B1144,TODAY(),"Y"),INDEX('Lopettaneet 2013-&gt;'!$L:$L,MATCH($D1144,'Lopettaneet 2013-&gt;'!$D:$D,0)))</f>
        <v>0</v>
      </c>
      <c r="L1144" s="31" t="str">
        <f>IFERROR(INDEX('[3]30.09.2024'!$H:$H,MATCH($E1144,'[3]30.09.2024'!$B:$B,0)),"Not found")</f>
        <v>eQ Rahastoyhtiö Oy</v>
      </c>
      <c r="M1144" s="31" t="str">
        <f>IFERROR(INDEX([2]Sheet1!$B:$B,MATCH($D1144,[2]Sheet1!$A:$A,0)),"Not found")</f>
        <v>Not found</v>
      </c>
      <c r="N1144">
        <f t="shared" si="34"/>
        <v>0</v>
      </c>
      <c r="O1144">
        <f t="shared" si="35"/>
        <v>0</v>
      </c>
    </row>
    <row r="1145" spans="1:15" x14ac:dyDescent="0.25">
      <c r="A1145" t="s">
        <v>0</v>
      </c>
      <c r="B1145" s="1">
        <v>45627</v>
      </c>
      <c r="C1145" s="1">
        <v>55153</v>
      </c>
      <c r="D1145" t="s">
        <v>3157</v>
      </c>
      <c r="E1145" t="s">
        <v>3158</v>
      </c>
      <c r="F1145">
        <v>34338261</v>
      </c>
      <c r="G1145" t="s">
        <v>10</v>
      </c>
      <c r="H1145" t="s">
        <v>4</v>
      </c>
      <c r="I1145" t="s">
        <v>29</v>
      </c>
      <c r="J1145" s="30" t="str">
        <f>IF(ISNUMBER(MATCH($D1145,'Lopettaneet 2013-&gt;'!$D:$D,0)),INDEX('Lopettaneet 2013-&gt;'!$K:$K,MATCH($D1145,'Lopettaneet 2013-&gt;'!$D:$D,0)),"Continues")</f>
        <v>Continues</v>
      </c>
      <c r="K1145" s="30">
        <f ca="1">IF($J1145="Continues",DATEDIF($B1145,TODAY(),"Y"),INDEX('Lopettaneet 2013-&gt;'!$L:$L,MATCH($D1145,'Lopettaneet 2013-&gt;'!$D:$D,0)))</f>
        <v>0</v>
      </c>
      <c r="L1145" s="31" t="str">
        <f>IFERROR(INDEX('[3]30.09.2024'!$H:$H,MATCH($E1145,'[3]30.09.2024'!$B:$B,0)),"Not found")</f>
        <v>eQ Rahastoyhtiö Oy</v>
      </c>
      <c r="M1145" s="31" t="str">
        <f>IFERROR(INDEX([2]Sheet1!$B:$B,MATCH($D1145,[2]Sheet1!$A:$A,0)),"Not found")</f>
        <v>Not found</v>
      </c>
      <c r="N1145">
        <f t="shared" si="34"/>
        <v>0</v>
      </c>
      <c r="O1145">
        <f t="shared" si="35"/>
        <v>0</v>
      </c>
    </row>
    <row r="1146" spans="1:15" x14ac:dyDescent="0.25">
      <c r="A1146" t="s">
        <v>7</v>
      </c>
      <c r="B1146" s="1">
        <v>45627</v>
      </c>
      <c r="C1146" s="1">
        <v>55153</v>
      </c>
      <c r="D1146" t="s">
        <v>3159</v>
      </c>
      <c r="E1146" t="s">
        <v>3160</v>
      </c>
      <c r="F1146">
        <v>34589503</v>
      </c>
      <c r="G1146" t="s">
        <v>10</v>
      </c>
      <c r="H1146" t="s">
        <v>11</v>
      </c>
      <c r="I1146" t="s">
        <v>80</v>
      </c>
      <c r="J1146" s="30" t="str">
        <f>IF(ISNUMBER(MATCH($D1146,'Lopettaneet 2013-&gt;'!$D:$D,0)),INDEX('Lopettaneet 2013-&gt;'!$K:$K,MATCH($D1146,'Lopettaneet 2013-&gt;'!$D:$D,0)),"Continues")</f>
        <v>Continues</v>
      </c>
      <c r="K1146" s="30">
        <f ca="1">IF($J1146="Continues",DATEDIF($B1146,TODAY(),"Y"),INDEX('Lopettaneet 2013-&gt;'!$L:$L,MATCH($D1146,'Lopettaneet 2013-&gt;'!$D:$D,0)))</f>
        <v>0</v>
      </c>
      <c r="L1146" s="31" t="str">
        <f>IFERROR(INDEX('[3]30.09.2024'!$H:$H,MATCH($E1146,'[3]30.09.2024'!$B:$B,0)),"Not found")</f>
        <v>Leo Capital Europe Oy</v>
      </c>
      <c r="M1146" s="31" t="str">
        <f>IFERROR(INDEX([2]Sheet1!$B:$B,MATCH($D1146,[2]Sheet1!$A:$A,0)),"Not found")</f>
        <v>Not found</v>
      </c>
      <c r="N1146">
        <f t="shared" si="34"/>
        <v>0</v>
      </c>
      <c r="O1146">
        <f t="shared" si="35"/>
        <v>0</v>
      </c>
    </row>
    <row r="1147" spans="1:15" x14ac:dyDescent="0.25">
      <c r="A1147" t="s">
        <v>7</v>
      </c>
      <c r="B1147" s="1">
        <v>45627</v>
      </c>
      <c r="C1147" s="1">
        <v>55153</v>
      </c>
      <c r="D1147" t="s">
        <v>3161</v>
      </c>
      <c r="E1147" t="s">
        <v>3162</v>
      </c>
      <c r="F1147">
        <v>34440768</v>
      </c>
      <c r="G1147" t="s">
        <v>10</v>
      </c>
      <c r="H1147" t="s">
        <v>11</v>
      </c>
      <c r="I1147" t="s">
        <v>12</v>
      </c>
      <c r="J1147" s="30" t="str">
        <f>IF(ISNUMBER(MATCH($D1147,'Lopettaneet 2013-&gt;'!$D:$D,0)),INDEX('Lopettaneet 2013-&gt;'!$K:$K,MATCH($D1147,'Lopettaneet 2013-&gt;'!$D:$D,0)),"Continues")</f>
        <v>Continues</v>
      </c>
      <c r="K1147" s="30">
        <f ca="1">IF($J1147="Continues",DATEDIF($B1147,TODAY(),"Y"),INDEX('Lopettaneet 2013-&gt;'!$L:$L,MATCH($D1147,'Lopettaneet 2013-&gt;'!$D:$D,0)))</f>
        <v>0</v>
      </c>
      <c r="L1147" s="31" t="str">
        <f>IFERROR(INDEX('[3]30.09.2024'!$H:$H,MATCH($E1147,'[3]30.09.2024'!$B:$B,0)),"Not found")</f>
        <v>fundco oy</v>
      </c>
      <c r="M1147" s="31" t="str">
        <f>IFERROR(INDEX([2]Sheet1!$B:$B,MATCH($D1147,[2]Sheet1!$A:$A,0)),"Not found")</f>
        <v>Not found</v>
      </c>
      <c r="N1147">
        <f t="shared" si="34"/>
        <v>0</v>
      </c>
      <c r="O1147">
        <f t="shared" si="35"/>
        <v>0</v>
      </c>
    </row>
    <row r="1148" spans="1:15" x14ac:dyDescent="0.25">
      <c r="A1148" t="s">
        <v>0</v>
      </c>
      <c r="B1148" s="1">
        <v>45597</v>
      </c>
      <c r="C1148" s="1">
        <v>55153</v>
      </c>
      <c r="D1148" t="s">
        <v>3163</v>
      </c>
      <c r="E1148" t="s">
        <v>3164</v>
      </c>
      <c r="F1148">
        <v>34669626</v>
      </c>
      <c r="G1148" t="s">
        <v>3</v>
      </c>
      <c r="H1148" t="s">
        <v>4</v>
      </c>
      <c r="I1148" t="s">
        <v>20</v>
      </c>
      <c r="J1148" s="30" t="str">
        <f>IF(ISNUMBER(MATCH($D1148,'Lopettaneet 2013-&gt;'!$D:$D,0)),INDEX('Lopettaneet 2013-&gt;'!$K:$K,MATCH($D1148,'Lopettaneet 2013-&gt;'!$D:$D,0)),"Continues")</f>
        <v>Continues</v>
      </c>
      <c r="K1148" s="30">
        <f ca="1">IF($J1148="Continues",DATEDIF($B1148,TODAY(),"Y"),INDEX('Lopettaneet 2013-&gt;'!$L:$L,MATCH($D1148,'Lopettaneet 2013-&gt;'!$D:$D,0)))</f>
        <v>0</v>
      </c>
      <c r="L1148" s="31" t="s">
        <v>2770</v>
      </c>
      <c r="M1148" s="31" t="str">
        <f>IFERROR(INDEX([2]Sheet1!$B:$B,MATCH($D1148,[2]Sheet1!$A:$A,0)),"Not found")</f>
        <v>Not found</v>
      </c>
      <c r="N1148">
        <f t="shared" si="34"/>
        <v>0</v>
      </c>
      <c r="O1148">
        <f t="shared" si="35"/>
        <v>0</v>
      </c>
    </row>
    <row r="1149" spans="1:15" x14ac:dyDescent="0.25">
      <c r="A1149" t="s">
        <v>0</v>
      </c>
      <c r="B1149" s="1">
        <v>45627</v>
      </c>
      <c r="C1149" s="1">
        <v>55153</v>
      </c>
      <c r="D1149" t="s">
        <v>3165</v>
      </c>
      <c r="E1149" t="s">
        <v>3166</v>
      </c>
      <c r="F1149">
        <v>34796334</v>
      </c>
      <c r="G1149" t="s">
        <v>10</v>
      </c>
      <c r="H1149" t="s">
        <v>11</v>
      </c>
      <c r="I1149" t="s">
        <v>12</v>
      </c>
      <c r="J1149" s="30" t="str">
        <f>IF(ISNUMBER(MATCH($D1149,'Lopettaneet 2013-&gt;'!$D:$D,0)),INDEX('Lopettaneet 2013-&gt;'!$K:$K,MATCH($D1149,'Lopettaneet 2013-&gt;'!$D:$D,0)),"Continues")</f>
        <v>Continues</v>
      </c>
      <c r="K1149" s="30">
        <f ca="1">IF($J1149="Continues",DATEDIF($B1149,TODAY(),"Y"),INDEX('Lopettaneet 2013-&gt;'!$L:$L,MATCH($D1149,'Lopettaneet 2013-&gt;'!$D:$D,0)))</f>
        <v>0</v>
      </c>
      <c r="L1149" s="31" t="s">
        <v>3167</v>
      </c>
      <c r="M1149" s="31" t="str">
        <f>IFERROR(INDEX([2]Sheet1!$B:$B,MATCH($D1149,[2]Sheet1!$A:$A,0)),"Not found")</f>
        <v>Not found</v>
      </c>
      <c r="N1149">
        <f t="shared" si="34"/>
        <v>0</v>
      </c>
      <c r="O1149">
        <f t="shared" si="35"/>
        <v>0</v>
      </c>
    </row>
    <row r="1150" spans="1:15" x14ac:dyDescent="0.25">
      <c r="A1150" t="s">
        <v>7</v>
      </c>
      <c r="B1150" s="1">
        <v>45717</v>
      </c>
      <c r="C1150" s="1">
        <v>55153</v>
      </c>
      <c r="D1150" t="s">
        <v>3244</v>
      </c>
      <c r="E1150" t="s">
        <v>3245</v>
      </c>
      <c r="F1150">
        <v>34956801</v>
      </c>
      <c r="G1150" t="s">
        <v>10</v>
      </c>
      <c r="H1150" t="s">
        <v>11</v>
      </c>
      <c r="I1150" t="s">
        <v>80</v>
      </c>
      <c r="J1150" s="30" t="str">
        <f>IF(ISNUMBER(MATCH($D1150,'Lopettaneet 2013-&gt;'!$D:$D,0)),INDEX('Lopettaneet 2013-&gt;'!$K:$K,MATCH($D1150,'Lopettaneet 2013-&gt;'!$D:$D,0)),"Continues")</f>
        <v>Continues</v>
      </c>
      <c r="K1150" s="30">
        <f ca="1">IF($J1150="Continues",DATEDIF($B1150,TODAY(),"Y"),INDEX('Lopettaneet 2013-&gt;'!$L:$L,MATCH($D1150,'Lopettaneet 2013-&gt;'!$D:$D,0)))</f>
        <v>0</v>
      </c>
      <c r="L1150" s="31" t="str">
        <f>IFERROR(INDEX('[3]30.09.2024'!$H:$H,MATCH($E1150,'[3]30.09.2024'!$B:$B,0)),"Not found")</f>
        <v>Wave Ventures Oy</v>
      </c>
      <c r="M1150" s="31" t="str">
        <f>IFERROR(INDEX([2]Sheet1!$B:$B,MATCH($D1150,[2]Sheet1!$A:$A,0)),"Not found")</f>
        <v>Not found</v>
      </c>
    </row>
    <row r="1151" spans="1:15" x14ac:dyDescent="0.25">
      <c r="A1151" t="s">
        <v>7</v>
      </c>
      <c r="B1151" s="1">
        <v>45717</v>
      </c>
      <c r="C1151" s="1">
        <v>55153</v>
      </c>
      <c r="D1151" t="s">
        <v>1086</v>
      </c>
      <c r="E1151" t="s">
        <v>3246</v>
      </c>
      <c r="F1151">
        <v>34598741</v>
      </c>
      <c r="G1151" t="s">
        <v>10</v>
      </c>
      <c r="H1151" t="s">
        <v>11</v>
      </c>
      <c r="I1151" t="s">
        <v>32</v>
      </c>
      <c r="J1151" s="30" t="str">
        <f>IF(ISNUMBER(MATCH($F1151,'Lopettaneet 2013-&gt;'!$F:$F,0)),INDEX('Lopettaneet 2013-&gt;'!$K:$K,MATCH($F1151,'Lopettaneet 2013-&gt;'!$F:$F,0)),"Continues")</f>
        <v>Continues</v>
      </c>
      <c r="K1151" s="30">
        <f ca="1">IF($J1151="Continues",DATEDIF($B1151,TODAY(),"Y"),INDEX('Lopettaneet 2013-&gt;'!$L:$L,MATCH($D1151,'Lopettaneet 2013-&gt;'!$D:$D,0)))</f>
        <v>0</v>
      </c>
      <c r="L1151" s="31" t="str">
        <f>IFERROR(INDEX('[3]30.09.2024'!$H:$H,MATCH($E1151,'[3]30.09.2024'!$B:$B,0)),"Not found")</f>
        <v>UB Rahastoyhtiö Oy</v>
      </c>
      <c r="M1151" s="31" t="str">
        <f>IFERROR(INDEX([2]Sheet1!$B:$B,MATCH($D1151,[2]Sheet1!$A:$A,0)),"Not found")</f>
        <v>Not found</v>
      </c>
    </row>
    <row r="1152" spans="1:15" x14ac:dyDescent="0.25">
      <c r="A1152" t="s">
        <v>7</v>
      </c>
      <c r="B1152" s="1">
        <v>45717</v>
      </c>
      <c r="C1152" s="1">
        <v>55153</v>
      </c>
      <c r="D1152" t="s">
        <v>3247</v>
      </c>
      <c r="E1152" t="s">
        <v>3248</v>
      </c>
      <c r="F1152">
        <v>34598768</v>
      </c>
      <c r="G1152" t="s">
        <v>10</v>
      </c>
      <c r="H1152" t="s">
        <v>11</v>
      </c>
      <c r="I1152" t="s">
        <v>32</v>
      </c>
      <c r="J1152" s="30" t="str">
        <f>IF(ISNUMBER(MATCH($F1152,'Lopettaneet 2013-&gt;'!$F:$F,0)),INDEX('Lopettaneet 2013-&gt;'!$K:$K,MATCH($F1152,'Lopettaneet 2013-&gt;'!$F:$F,0)),"Continues")</f>
        <v>Continues</v>
      </c>
      <c r="K1152" s="30">
        <f ca="1">IF($J1152="Continues",DATEDIF($B1152,TODAY(),"Y"),INDEX('Lopettaneet 2013-&gt;'!$L:$L,MATCH($D1152,'Lopettaneet 2013-&gt;'!$D:$D,0)))</f>
        <v>0</v>
      </c>
      <c r="L1152" s="31" t="str">
        <f>IFERROR(INDEX('[3]30.09.2024'!$H:$H,MATCH($E1152,'[3]30.09.2024'!$B:$B,0)),"Not found")</f>
        <v>UB Rahastoyhtiö Oy</v>
      </c>
      <c r="M1152" s="31" t="str">
        <f>IFERROR(INDEX([2]Sheet1!$B:$B,MATCH($D1152,[2]Sheet1!$A:$A,0)),"Not found")</f>
        <v>Not found</v>
      </c>
    </row>
    <row r="1153" spans="1:13" x14ac:dyDescent="0.25">
      <c r="A1153" t="s">
        <v>0</v>
      </c>
      <c r="B1153" s="1">
        <v>45658</v>
      </c>
      <c r="C1153" s="1">
        <v>55153</v>
      </c>
      <c r="D1153" t="s">
        <v>3249</v>
      </c>
      <c r="E1153" t="s">
        <v>3250</v>
      </c>
      <c r="F1153">
        <v>34812015</v>
      </c>
      <c r="G1153" t="s">
        <v>10</v>
      </c>
      <c r="H1153" t="s">
        <v>4</v>
      </c>
      <c r="I1153" t="s">
        <v>20</v>
      </c>
      <c r="J1153" s="30" t="str">
        <f>IF(ISNUMBER(MATCH($F1153,'Lopettaneet 2013-&gt;'!$F:$F,0)),INDEX('Lopettaneet 2013-&gt;'!$K:$K,MATCH($F1153,'Lopettaneet 2013-&gt;'!$F:$F,0)),"Continues")</f>
        <v>Continues</v>
      </c>
      <c r="K1153" s="30">
        <f ca="1">IF($J1153="Continues",DATEDIF($B1153,TODAY(),"Y"),INDEX('Lopettaneet 2013-&gt;'!$L:$L,MATCH($D1153,'Lopettaneet 2013-&gt;'!$D:$D,0)))</f>
        <v>0</v>
      </c>
      <c r="L1153" s="31" t="str">
        <f>IFERROR(INDEX('[5]30.04.2025'!$H:$H,MATCH($E1153,'[5]30.04.2025'!$B:$B,0)),"Not found")</f>
        <v>eQ Rahastoyhtiö Oy</v>
      </c>
      <c r="M1153" s="31" t="str">
        <f>IFERROR(INDEX([2]Sheet1!$B:$B,MATCH($D1153,[2]Sheet1!$A:$A,0)),"Not found")</f>
        <v>Not found</v>
      </c>
    </row>
    <row r="1154" spans="1:13" x14ac:dyDescent="0.25">
      <c r="A1154" t="s">
        <v>0</v>
      </c>
      <c r="B1154" s="1">
        <v>45658</v>
      </c>
      <c r="C1154" s="1">
        <v>55153</v>
      </c>
      <c r="D1154" t="s">
        <v>3251</v>
      </c>
      <c r="E1154" t="s">
        <v>3252</v>
      </c>
      <c r="F1154">
        <v>34812007</v>
      </c>
      <c r="G1154" t="s">
        <v>10</v>
      </c>
      <c r="H1154" t="s">
        <v>4</v>
      </c>
      <c r="I1154" t="s">
        <v>20</v>
      </c>
      <c r="J1154" s="30" t="str">
        <f>IF(ISNUMBER(MATCH($F1154,'Lopettaneet 2013-&gt;'!$F:$F,0)),INDEX('Lopettaneet 2013-&gt;'!$K:$K,MATCH($F1154,'Lopettaneet 2013-&gt;'!$F:$F,0)),"Continues")</f>
        <v>Continues</v>
      </c>
      <c r="K1154" s="30">
        <f ca="1">IF($J1154="Continues",DATEDIF($B1154,TODAY(),"Y"),INDEX('Lopettaneet 2013-&gt;'!$L:$L,MATCH($D1154,'Lopettaneet 2013-&gt;'!$D:$D,0)))</f>
        <v>0</v>
      </c>
      <c r="L1154" s="31" t="str">
        <f>IFERROR(INDEX('[5]30.04.2025'!$H:$H,MATCH($E1154,'[5]30.04.2025'!$B:$B,0)),"Not found")</f>
        <v>eQ Rahastoyhtiö Oy</v>
      </c>
      <c r="M1154" s="31" t="str">
        <f>IFERROR(INDEX([2]Sheet1!$B:$B,MATCH($D1154,[2]Sheet1!$A:$A,0)),"Not found")</f>
        <v>Not found</v>
      </c>
    </row>
    <row r="1155" spans="1:13" x14ac:dyDescent="0.25">
      <c r="A1155" t="s">
        <v>0</v>
      </c>
      <c r="B1155" s="1">
        <v>45717</v>
      </c>
      <c r="C1155" s="1">
        <v>55153</v>
      </c>
      <c r="D1155" t="s">
        <v>3253</v>
      </c>
      <c r="E1155" t="s">
        <v>3254</v>
      </c>
      <c r="F1155">
        <v>34910547</v>
      </c>
      <c r="G1155" t="s">
        <v>3</v>
      </c>
      <c r="H1155" t="s">
        <v>4</v>
      </c>
      <c r="I1155" t="s">
        <v>20</v>
      </c>
      <c r="J1155" s="30" t="str">
        <f>IF(ISNUMBER(MATCH($F1155,'Lopettaneet 2013-&gt;'!$F:$F,0)),INDEX('Lopettaneet 2013-&gt;'!$K:$K,MATCH($F1155,'Lopettaneet 2013-&gt;'!$F:$F,0)),"Continues")</f>
        <v>Continues</v>
      </c>
      <c r="K1155" s="30">
        <f ca="1">IF($J1155="Continues",DATEDIF($B1155,TODAY(),"Y"),INDEX('Lopettaneet 2013-&gt;'!$L:$L,MATCH($D1155,'Lopettaneet 2013-&gt;'!$D:$D,0)))</f>
        <v>0</v>
      </c>
      <c r="L1155" s="31" t="str">
        <f>IFERROR(INDEX('[5]30.04.2025'!$H:$H,MATCH($E1155,'[5]30.04.2025'!$B:$B,0)),"Not found")</f>
        <v>Nordea Funds Oy</v>
      </c>
      <c r="M1155" s="31" t="str">
        <f>IFERROR(INDEX([2]Sheet1!$B:$B,MATCH($D1155,[2]Sheet1!$A:$A,0)),"Not found")</f>
        <v>Not found</v>
      </c>
    </row>
    <row r="1156" spans="1:13" x14ac:dyDescent="0.25">
      <c r="A1156" t="s">
        <v>7</v>
      </c>
      <c r="B1156" s="1">
        <v>45717</v>
      </c>
      <c r="C1156" s="1">
        <v>55153</v>
      </c>
      <c r="D1156" t="s">
        <v>3255</v>
      </c>
      <c r="E1156" t="s">
        <v>3256</v>
      </c>
      <c r="F1156">
        <v>34750205</v>
      </c>
      <c r="G1156" t="s">
        <v>10</v>
      </c>
      <c r="H1156" t="s">
        <v>11</v>
      </c>
      <c r="I1156" t="s">
        <v>80</v>
      </c>
      <c r="J1156" s="30" t="str">
        <f>IF(ISNUMBER(MATCH($F1156,'Lopettaneet 2013-&gt;'!$F:$F,0)),INDEX('Lopettaneet 2013-&gt;'!$K:$K,MATCH($F1156,'Lopettaneet 2013-&gt;'!$F:$F,0)),"Continues")</f>
        <v>Continues</v>
      </c>
      <c r="K1156" s="30">
        <f ca="1">IF($J1156="Continues",DATEDIF($B1156,TODAY(),"Y"),INDEX('Lopettaneet 2013-&gt;'!$L:$L,MATCH($D1156,'Lopettaneet 2013-&gt;'!$D:$D,0)))</f>
        <v>0</v>
      </c>
      <c r="L1156" s="31" t="str">
        <f>IFERROR(INDEX('[5]30.04.2025'!$H:$H,MATCH($E1156,'[5]30.04.2025'!$B:$B,0)),"Not found")</f>
        <v>Icebreaker Fund Management Oy</v>
      </c>
      <c r="M1156" s="31" t="str">
        <f>IFERROR(INDEX([2]Sheet1!$B:$B,MATCH($D1156,[2]Sheet1!$A:$A,0)),"Not found")</f>
        <v>Not found</v>
      </c>
    </row>
    <row r="1157" spans="1:13" x14ac:dyDescent="0.25">
      <c r="A1157" t="s">
        <v>7</v>
      </c>
      <c r="B1157" s="1">
        <v>45717</v>
      </c>
      <c r="C1157" s="1">
        <v>55153</v>
      </c>
      <c r="D1157" t="s">
        <v>3257</v>
      </c>
      <c r="E1157" t="s">
        <v>3258</v>
      </c>
      <c r="F1157">
        <v>35030955</v>
      </c>
      <c r="G1157" t="s">
        <v>10</v>
      </c>
      <c r="H1157" t="s">
        <v>11</v>
      </c>
      <c r="I1157" t="s">
        <v>32</v>
      </c>
      <c r="J1157" s="30" t="str">
        <f>IF(ISNUMBER(MATCH($F1157,'Lopettaneet 2013-&gt;'!$F:$F,0)),INDEX('Lopettaneet 2013-&gt;'!$K:$K,MATCH($F1157,'Lopettaneet 2013-&gt;'!$F:$F,0)),"Continues")</f>
        <v>Continues</v>
      </c>
      <c r="K1157" s="30">
        <f ca="1">IF($J1157="Continues",DATEDIF($B1157,TODAY(),"Y"),INDEX('Lopettaneet 2013-&gt;'!$L:$L,MATCH($D1157,'Lopettaneet 2013-&gt;'!$D:$D,0)))</f>
        <v>0</v>
      </c>
      <c r="L1157" s="31" t="str">
        <f>IFERROR(INDEX('[5]30.04.2025'!$H:$H,MATCH($E1157,'[5]30.04.2025'!$B:$B,0)),"Not found")</f>
        <v>Terwa Management Oy</v>
      </c>
      <c r="M1157" s="31" t="str">
        <f>IFERROR(INDEX([2]Sheet1!$B:$B,MATCH($D1157,[2]Sheet1!$A:$A,0)),"Not found")</f>
        <v>Not found</v>
      </c>
    </row>
    <row r="1158" spans="1:13" x14ac:dyDescent="0.25">
      <c r="A1158" t="s">
        <v>0</v>
      </c>
      <c r="B1158" s="1">
        <v>45717</v>
      </c>
      <c r="C1158" s="1">
        <v>55153</v>
      </c>
      <c r="D1158" t="s">
        <v>3259</v>
      </c>
      <c r="E1158" t="s">
        <v>3260</v>
      </c>
      <c r="F1158">
        <v>34992722</v>
      </c>
      <c r="G1158" t="s">
        <v>3</v>
      </c>
      <c r="H1158" t="s">
        <v>4</v>
      </c>
      <c r="I1158" t="s">
        <v>20</v>
      </c>
      <c r="J1158" s="30" t="str">
        <f>IF(ISNUMBER(MATCH($F1158,'Lopettaneet 2013-&gt;'!$F:$F,0)),INDEX('Lopettaneet 2013-&gt;'!$K:$K,MATCH($F1158,'Lopettaneet 2013-&gt;'!$F:$F,0)),"Continues")</f>
        <v>Continues</v>
      </c>
      <c r="K1158" s="30">
        <f ca="1">IF($J1158="Continues",DATEDIF($B1158,TODAY(),"Y"),INDEX('Lopettaneet 2013-&gt;'!$L:$L,MATCH($D1158,'Lopettaneet 2013-&gt;'!$D:$D,0)))</f>
        <v>0</v>
      </c>
      <c r="L1158" s="31" t="str">
        <f>IFERROR(INDEX('[5]30.04.2025'!$H:$H,MATCH($E1158,'[5]30.04.2025'!$B:$B,0)),"Not found")</f>
        <v>Aktia Rahastoyhtiö Oy</v>
      </c>
      <c r="M1158" s="31" t="str">
        <f>IFERROR(INDEX([2]Sheet1!$B:$B,MATCH($D1158,[2]Sheet1!$A:$A,0)),"Not found")</f>
        <v>Not found</v>
      </c>
    </row>
    <row r="1159" spans="1:13" x14ac:dyDescent="0.25">
      <c r="A1159" t="s">
        <v>0</v>
      </c>
      <c r="B1159" s="1">
        <v>45689</v>
      </c>
      <c r="C1159" s="1">
        <v>55153</v>
      </c>
      <c r="D1159" t="s">
        <v>3261</v>
      </c>
      <c r="E1159" t="s">
        <v>3262</v>
      </c>
      <c r="F1159">
        <v>35128207</v>
      </c>
      <c r="G1159" t="s">
        <v>10</v>
      </c>
      <c r="H1159" t="s">
        <v>11</v>
      </c>
      <c r="I1159" t="s">
        <v>32</v>
      </c>
      <c r="J1159" s="30" t="str">
        <f>IF(ISNUMBER(MATCH($F1159,'Lopettaneet 2013-&gt;'!$F:$F,0)),INDEX('Lopettaneet 2013-&gt;'!$K:$K,MATCH($F1159,'Lopettaneet 2013-&gt;'!$F:$F,0)),"Continues")</f>
        <v>Continues</v>
      </c>
      <c r="K1159" s="30">
        <f ca="1">IF($J1159="Continues",DATEDIF($B1159,TODAY(),"Y"),INDEX('Lopettaneet 2013-&gt;'!$L:$L,MATCH($D1159,'Lopettaneet 2013-&gt;'!$D:$D,0)))</f>
        <v>0</v>
      </c>
      <c r="L1159" s="31" t="str">
        <f>IFERROR(INDEX('[5]30.04.2025'!$H:$H,MATCH($E1159,'[5]30.04.2025'!$B:$B,0)),"Not found")</f>
        <v>eQ Rahastoyhtiö Oy</v>
      </c>
      <c r="M1159" s="31" t="str">
        <f>IFERROR(INDEX([2]Sheet1!$B:$B,MATCH($D1159,[2]Sheet1!$A:$A,0)),"Not found")</f>
        <v>Not found</v>
      </c>
    </row>
    <row r="1160" spans="1:13" x14ac:dyDescent="0.25">
      <c r="D1160"/>
    </row>
    <row r="1161" spans="1:13" x14ac:dyDescent="0.25">
      <c r="D1161"/>
    </row>
    <row r="1162" spans="1:13" x14ac:dyDescent="0.25">
      <c r="D1162"/>
    </row>
    <row r="1163" spans="1:13" x14ac:dyDescent="0.25">
      <c r="D1163"/>
    </row>
    <row r="1164" spans="1:13" x14ac:dyDescent="0.25">
      <c r="D1164"/>
    </row>
    <row r="1165" spans="1:13" x14ac:dyDescent="0.25">
      <c r="D1165"/>
    </row>
    <row r="1166" spans="1:13" x14ac:dyDescent="0.25">
      <c r="D1166"/>
    </row>
    <row r="1167" spans="1:13" x14ac:dyDescent="0.25">
      <c r="D1167"/>
    </row>
    <row r="1168" spans="1:13" x14ac:dyDescent="0.25">
      <c r="D1168"/>
    </row>
    <row r="1169" spans="4:4" x14ac:dyDescent="0.25">
      <c r="D1169"/>
    </row>
    <row r="1170" spans="4:4" x14ac:dyDescent="0.25">
      <c r="D1170"/>
    </row>
    <row r="1171" spans="4:4" x14ac:dyDescent="0.25">
      <c r="D1171"/>
    </row>
    <row r="1172" spans="4:4" x14ac:dyDescent="0.25">
      <c r="D1172"/>
    </row>
    <row r="1173" spans="4:4" x14ac:dyDescent="0.25">
      <c r="D1173"/>
    </row>
    <row r="1174" spans="4:4" x14ac:dyDescent="0.25">
      <c r="D1174"/>
    </row>
    <row r="1175" spans="4:4" x14ac:dyDescent="0.25">
      <c r="D1175"/>
    </row>
    <row r="1176" spans="4:4" x14ac:dyDescent="0.25">
      <c r="D1176"/>
    </row>
    <row r="1177" spans="4:4" x14ac:dyDescent="0.25">
      <c r="D1177"/>
    </row>
    <row r="1178" spans="4:4" x14ac:dyDescent="0.25">
      <c r="D1178"/>
    </row>
    <row r="1179" spans="4:4" x14ac:dyDescent="0.25">
      <c r="D1179"/>
    </row>
    <row r="1180" spans="4:4" x14ac:dyDescent="0.25">
      <c r="D1180"/>
    </row>
    <row r="1181" spans="4:4" x14ac:dyDescent="0.25">
      <c r="D1181"/>
    </row>
    <row r="1182" spans="4:4" x14ac:dyDescent="0.25">
      <c r="D1182"/>
    </row>
    <row r="1183" spans="4:4" x14ac:dyDescent="0.25">
      <c r="D1183"/>
    </row>
    <row r="1184" spans="4:4" x14ac:dyDescent="0.25">
      <c r="D1184"/>
    </row>
    <row r="1185" spans="4:4" x14ac:dyDescent="0.25">
      <c r="D1185"/>
    </row>
    <row r="1186" spans="4:4" x14ac:dyDescent="0.25">
      <c r="D1186"/>
    </row>
    <row r="1187" spans="4:4" x14ac:dyDescent="0.25">
      <c r="D1187"/>
    </row>
    <row r="1188" spans="4:4" x14ac:dyDescent="0.25">
      <c r="D1188"/>
    </row>
    <row r="1189" spans="4:4" x14ac:dyDescent="0.25">
      <c r="D1189"/>
    </row>
    <row r="1190" spans="4:4" x14ac:dyDescent="0.25">
      <c r="D1190"/>
    </row>
    <row r="1191" spans="4:4" x14ac:dyDescent="0.25">
      <c r="D1191"/>
    </row>
    <row r="1192" spans="4:4" x14ac:dyDescent="0.25">
      <c r="D1192"/>
    </row>
    <row r="1193" spans="4:4" x14ac:dyDescent="0.25">
      <c r="D1193"/>
    </row>
    <row r="1194" spans="4:4" x14ac:dyDescent="0.25">
      <c r="D1194"/>
    </row>
    <row r="1195" spans="4:4" x14ac:dyDescent="0.25">
      <c r="D1195"/>
    </row>
    <row r="1196" spans="4:4" x14ac:dyDescent="0.25">
      <c r="D1196"/>
    </row>
    <row r="1197" spans="4:4" x14ac:dyDescent="0.25">
      <c r="D1197"/>
    </row>
    <row r="1198" spans="4:4" x14ac:dyDescent="0.25">
      <c r="D1198"/>
    </row>
    <row r="1199" spans="4:4" x14ac:dyDescent="0.25">
      <c r="D1199"/>
    </row>
    <row r="1200" spans="4:4" x14ac:dyDescent="0.25">
      <c r="D1200"/>
    </row>
    <row r="1201" spans="4:4" x14ac:dyDescent="0.25">
      <c r="D1201"/>
    </row>
    <row r="1202" spans="4:4" x14ac:dyDescent="0.25">
      <c r="D1202"/>
    </row>
    <row r="1203" spans="4:4" x14ac:dyDescent="0.25">
      <c r="D1203"/>
    </row>
    <row r="1204" spans="4:4" x14ac:dyDescent="0.25">
      <c r="D1204"/>
    </row>
    <row r="1205" spans="4:4" x14ac:dyDescent="0.25">
      <c r="D1205"/>
    </row>
    <row r="1206" spans="4:4" x14ac:dyDescent="0.25">
      <c r="D1206"/>
    </row>
    <row r="1207" spans="4:4" x14ac:dyDescent="0.25">
      <c r="D1207"/>
    </row>
    <row r="1208" spans="4:4" x14ac:dyDescent="0.25">
      <c r="D1208"/>
    </row>
    <row r="1209" spans="4:4" x14ac:dyDescent="0.25">
      <c r="D1209"/>
    </row>
    <row r="1210" spans="4:4" x14ac:dyDescent="0.25">
      <c r="D1210"/>
    </row>
    <row r="1211" spans="4:4" x14ac:dyDescent="0.25">
      <c r="D1211"/>
    </row>
    <row r="1212" spans="4:4" x14ac:dyDescent="0.25">
      <c r="D1212"/>
    </row>
    <row r="1213" spans="4:4" x14ac:dyDescent="0.25">
      <c r="D1213"/>
    </row>
    <row r="1214" spans="4:4" x14ac:dyDescent="0.25">
      <c r="D1214"/>
    </row>
    <row r="1215" spans="4:4" x14ac:dyDescent="0.25">
      <c r="D1215"/>
    </row>
    <row r="1216" spans="4:4" x14ac:dyDescent="0.25">
      <c r="D1216"/>
    </row>
    <row r="1217" spans="4:4" x14ac:dyDescent="0.25">
      <c r="D1217"/>
    </row>
    <row r="1218" spans="4:4" x14ac:dyDescent="0.25">
      <c r="D1218"/>
    </row>
    <row r="1219" spans="4:4" x14ac:dyDescent="0.25">
      <c r="D1219"/>
    </row>
    <row r="1220" spans="4:4" x14ac:dyDescent="0.25">
      <c r="D1220"/>
    </row>
    <row r="1221" spans="4:4" x14ac:dyDescent="0.25">
      <c r="D1221"/>
    </row>
    <row r="1222" spans="4:4" x14ac:dyDescent="0.25">
      <c r="D1222"/>
    </row>
    <row r="1223" spans="4:4" x14ac:dyDescent="0.25">
      <c r="D1223"/>
    </row>
    <row r="1224" spans="4:4" x14ac:dyDescent="0.25">
      <c r="D1224"/>
    </row>
    <row r="1225" spans="4:4" x14ac:dyDescent="0.25">
      <c r="D1225"/>
    </row>
    <row r="1226" spans="4:4" x14ac:dyDescent="0.25">
      <c r="D1226"/>
    </row>
    <row r="1227" spans="4:4" x14ac:dyDescent="0.25">
      <c r="D1227"/>
    </row>
    <row r="1228" spans="4:4" x14ac:dyDescent="0.25">
      <c r="D1228"/>
    </row>
    <row r="1229" spans="4:4" x14ac:dyDescent="0.25">
      <c r="D1229"/>
    </row>
    <row r="1230" spans="4:4" x14ac:dyDescent="0.25">
      <c r="D1230"/>
    </row>
    <row r="1231" spans="4:4" x14ac:dyDescent="0.25">
      <c r="D1231"/>
    </row>
    <row r="1232" spans="4:4" x14ac:dyDescent="0.25">
      <c r="D1232"/>
    </row>
    <row r="1233" spans="4:4" x14ac:dyDescent="0.25">
      <c r="D1233"/>
    </row>
    <row r="1234" spans="4:4" x14ac:dyDescent="0.25">
      <c r="D1234"/>
    </row>
    <row r="1235" spans="4:4" x14ac:dyDescent="0.25">
      <c r="D1235"/>
    </row>
    <row r="1236" spans="4:4" x14ac:dyDescent="0.25">
      <c r="D1236"/>
    </row>
    <row r="1237" spans="4:4" x14ac:dyDescent="0.25">
      <c r="D1237"/>
    </row>
    <row r="1238" spans="4:4" x14ac:dyDescent="0.25">
      <c r="D1238"/>
    </row>
    <row r="1239" spans="4:4" x14ac:dyDescent="0.25">
      <c r="D1239"/>
    </row>
    <row r="1240" spans="4:4" x14ac:dyDescent="0.25">
      <c r="D1240"/>
    </row>
    <row r="1241" spans="4:4" x14ac:dyDescent="0.25">
      <c r="D1241"/>
    </row>
    <row r="1242" spans="4:4" x14ac:dyDescent="0.25">
      <c r="D1242"/>
    </row>
    <row r="1243" spans="4:4" x14ac:dyDescent="0.25">
      <c r="D1243"/>
    </row>
    <row r="1244" spans="4:4" x14ac:dyDescent="0.25">
      <c r="D1244"/>
    </row>
    <row r="1245" spans="4:4" x14ac:dyDescent="0.25">
      <c r="D1245"/>
    </row>
    <row r="1246" spans="4:4" x14ac:dyDescent="0.25">
      <c r="D1246"/>
    </row>
    <row r="1247" spans="4:4" x14ac:dyDescent="0.25">
      <c r="D1247"/>
    </row>
    <row r="1248" spans="4:4" x14ac:dyDescent="0.25">
      <c r="D1248"/>
    </row>
    <row r="1249" spans="4:4" x14ac:dyDescent="0.25">
      <c r="D1249"/>
    </row>
    <row r="1250" spans="4:4" x14ac:dyDescent="0.25">
      <c r="D1250"/>
    </row>
    <row r="1251" spans="4:4" x14ac:dyDescent="0.25">
      <c r="D1251"/>
    </row>
    <row r="1252" spans="4:4" x14ac:dyDescent="0.25">
      <c r="D1252"/>
    </row>
    <row r="1253" spans="4:4" x14ac:dyDescent="0.25">
      <c r="D1253"/>
    </row>
    <row r="1254" spans="4:4" x14ac:dyDescent="0.25">
      <c r="D1254"/>
    </row>
    <row r="1255" spans="4:4" x14ac:dyDescent="0.25">
      <c r="D1255"/>
    </row>
    <row r="1256" spans="4:4" x14ac:dyDescent="0.25">
      <c r="D1256"/>
    </row>
    <row r="1257" spans="4:4" x14ac:dyDescent="0.25">
      <c r="D1257"/>
    </row>
    <row r="1258" spans="4:4" x14ac:dyDescent="0.25">
      <c r="D1258"/>
    </row>
    <row r="1259" spans="4:4" x14ac:dyDescent="0.25">
      <c r="D1259"/>
    </row>
    <row r="1260" spans="4:4" x14ac:dyDescent="0.25">
      <c r="D1260"/>
    </row>
    <row r="1261" spans="4:4" x14ac:dyDescent="0.25">
      <c r="D1261"/>
    </row>
    <row r="1262" spans="4:4" x14ac:dyDescent="0.25">
      <c r="D1262"/>
    </row>
    <row r="1263" spans="4:4" x14ac:dyDescent="0.25">
      <c r="D1263"/>
    </row>
    <row r="1264" spans="4:4" x14ac:dyDescent="0.25">
      <c r="D1264"/>
    </row>
    <row r="1265" spans="4:12" x14ac:dyDescent="0.25">
      <c r="D1265"/>
    </row>
    <row r="1266" spans="4:12" x14ac:dyDescent="0.25">
      <c r="D1266"/>
    </row>
    <row r="1267" spans="4:12" x14ac:dyDescent="0.25">
      <c r="D1267"/>
    </row>
    <row r="1268" spans="4:12" x14ac:dyDescent="0.25">
      <c r="D1268"/>
    </row>
    <row r="1269" spans="4:12" x14ac:dyDescent="0.25">
      <c r="D1269"/>
    </row>
    <row r="1270" spans="4:12" x14ac:dyDescent="0.25">
      <c r="D1270"/>
    </row>
    <row r="1271" spans="4:12" x14ac:dyDescent="0.25">
      <c r="D1271"/>
    </row>
    <row r="1272" spans="4:12" x14ac:dyDescent="0.25">
      <c r="D1272"/>
    </row>
    <row r="1273" spans="4:12" x14ac:dyDescent="0.25">
      <c r="D1273"/>
    </row>
    <row r="1274" spans="4:12" x14ac:dyDescent="0.25">
      <c r="D1274"/>
    </row>
    <row r="1275" spans="4:12" x14ac:dyDescent="0.25">
      <c r="D1275"/>
    </row>
    <row r="1276" spans="4:12" x14ac:dyDescent="0.25">
      <c r="D1276"/>
      <c r="L1276" s="31"/>
    </row>
    <row r="1277" spans="4:12" x14ac:dyDescent="0.25">
      <c r="D1277"/>
      <c r="L1277" s="31"/>
    </row>
    <row r="1278" spans="4:12" x14ac:dyDescent="0.25">
      <c r="D1278"/>
      <c r="L1278" s="31"/>
    </row>
    <row r="1279" spans="4:12" x14ac:dyDescent="0.25">
      <c r="D1279"/>
      <c r="L1279" s="31"/>
    </row>
    <row r="1280" spans="4:12" x14ac:dyDescent="0.25">
      <c r="D1280"/>
      <c r="L1280" s="31"/>
    </row>
    <row r="1281" spans="4:12" x14ac:dyDescent="0.25">
      <c r="D1281"/>
      <c r="L1281" s="31"/>
    </row>
    <row r="1282" spans="4:12" x14ac:dyDescent="0.25">
      <c r="D1282"/>
      <c r="L1282" s="31"/>
    </row>
    <row r="1283" spans="4:12" x14ac:dyDescent="0.25">
      <c r="D1283"/>
      <c r="L1283" s="31"/>
    </row>
    <row r="1284" spans="4:12" x14ac:dyDescent="0.25">
      <c r="D1284"/>
      <c r="L1284" s="31"/>
    </row>
    <row r="1285" spans="4:12" x14ac:dyDescent="0.25">
      <c r="D1285"/>
      <c r="L1285" s="31"/>
    </row>
    <row r="1286" spans="4:12" x14ac:dyDescent="0.25">
      <c r="D1286"/>
      <c r="L1286" s="31"/>
    </row>
    <row r="1287" spans="4:12" x14ac:dyDescent="0.25">
      <c r="D1287"/>
      <c r="L1287" s="31"/>
    </row>
    <row r="1288" spans="4:12" x14ac:dyDescent="0.25">
      <c r="D1288"/>
      <c r="L1288" s="31"/>
    </row>
    <row r="1289" spans="4:12" x14ac:dyDescent="0.25">
      <c r="D1289"/>
      <c r="L1289" s="31"/>
    </row>
    <row r="1290" spans="4:12" x14ac:dyDescent="0.25">
      <c r="D1290"/>
      <c r="L1290" s="31"/>
    </row>
    <row r="1291" spans="4:12" x14ac:dyDescent="0.25">
      <c r="D1291"/>
      <c r="L1291" s="31"/>
    </row>
    <row r="1292" spans="4:12" x14ac:dyDescent="0.25">
      <c r="D1292"/>
      <c r="L1292" s="31"/>
    </row>
    <row r="1293" spans="4:12" x14ac:dyDescent="0.25">
      <c r="D1293"/>
      <c r="L1293" s="31"/>
    </row>
    <row r="1294" spans="4:12" x14ac:dyDescent="0.25">
      <c r="D1294"/>
      <c r="L1294" s="31"/>
    </row>
    <row r="1295" spans="4:12" x14ac:dyDescent="0.25">
      <c r="D1295"/>
      <c r="L1295" s="31"/>
    </row>
    <row r="1296" spans="4:12" x14ac:dyDescent="0.25">
      <c r="D1296"/>
      <c r="L1296" s="31"/>
    </row>
    <row r="1297" spans="4:12" x14ac:dyDescent="0.25">
      <c r="D1297"/>
      <c r="L1297" s="31"/>
    </row>
    <row r="1298" spans="4:12" x14ac:dyDescent="0.25">
      <c r="D1298"/>
      <c r="L1298" s="31"/>
    </row>
    <row r="1299" spans="4:12" x14ac:dyDescent="0.25">
      <c r="D1299"/>
      <c r="L1299" s="31"/>
    </row>
    <row r="1300" spans="4:12" x14ac:dyDescent="0.25">
      <c r="D1300"/>
      <c r="L1300" s="31"/>
    </row>
    <row r="1301" spans="4:12" x14ac:dyDescent="0.25">
      <c r="D1301"/>
      <c r="L1301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D5B0-45CA-4C4B-9B5A-1B973457FDD2}">
  <sheetPr codeName="Sheet2"/>
  <dimension ref="A1:P591"/>
  <sheetViews>
    <sheetView topLeftCell="A569" workbookViewId="0">
      <selection activeCell="K565" sqref="K565"/>
    </sheetView>
  </sheetViews>
  <sheetFormatPr defaultRowHeight="15" x14ac:dyDescent="0.25"/>
  <cols>
    <col min="1" max="1" width="6.7109375" bestFit="1" customWidth="1"/>
    <col min="2" max="2" width="23.140625" bestFit="1" customWidth="1"/>
    <col min="3" max="3" width="23.85546875" bestFit="1" customWidth="1"/>
    <col min="4" max="4" width="48.7109375" style="4" customWidth="1"/>
    <col min="5" max="5" width="24.85546875" bestFit="1" customWidth="1"/>
    <col min="6" max="6" width="9.28515625" bestFit="1" customWidth="1"/>
    <col min="8" max="8" width="32.28515625" bestFit="1" customWidth="1"/>
    <col min="9" max="9" width="20.85546875" bestFit="1" customWidth="1"/>
    <col min="10" max="10" width="23" bestFit="1" customWidth="1"/>
    <col min="11" max="11" width="11.42578125" bestFit="1" customWidth="1"/>
    <col min="13" max="13" width="38.28515625" bestFit="1" customWidth="1"/>
  </cols>
  <sheetData>
    <row r="1" spans="1:16" s="2" customFormat="1" x14ac:dyDescent="0.25">
      <c r="A1" s="2" t="s">
        <v>66</v>
      </c>
      <c r="B1" s="2" t="s">
        <v>67</v>
      </c>
      <c r="C1" s="2" t="s">
        <v>68</v>
      </c>
      <c r="D1" s="3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2712</v>
      </c>
      <c r="L1" s="2" t="s">
        <v>2921</v>
      </c>
      <c r="M1" s="2" t="s">
        <v>2762</v>
      </c>
      <c r="N1" s="2" t="s">
        <v>2893</v>
      </c>
      <c r="O1" s="2" t="s">
        <v>2896</v>
      </c>
      <c r="P1" s="2" t="s">
        <v>2897</v>
      </c>
    </row>
    <row r="2" spans="1:16" x14ac:dyDescent="0.25">
      <c r="A2" t="s">
        <v>7</v>
      </c>
      <c r="B2" s="1">
        <v>41974</v>
      </c>
      <c r="C2" s="1">
        <v>43100</v>
      </c>
      <c r="D2" s="4" t="s">
        <v>243</v>
      </c>
      <c r="E2" t="s">
        <v>244</v>
      </c>
      <c r="F2">
        <v>7218</v>
      </c>
      <c r="G2">
        <v>6798092</v>
      </c>
      <c r="H2" t="s">
        <v>10</v>
      </c>
      <c r="I2" t="s">
        <v>11</v>
      </c>
      <c r="J2" t="s">
        <v>12</v>
      </c>
      <c r="K2" t="s">
        <v>2910</v>
      </c>
      <c r="L2">
        <f ca="1">IF($K2="Continues",DATEDIF($B2,TODAY(),"Y"),DATEDIF($B2,$C2,"Y"))</f>
        <v>3</v>
      </c>
      <c r="M2" t="str">
        <f>IFERROR(INDEX('[4]31.03.2024'!$H:$H,MATCH($E2,'[4]31.03.2024'!$B:$B,0)),"Not found")</f>
        <v>Not found</v>
      </c>
      <c r="N2" t="str">
        <f>IFERROR(INDEX([2]Sheet1!$B:$B,MATCH($D2,[2]Sheet1!$A:$A,0)),"Not found")</f>
        <v>Not found</v>
      </c>
      <c r="O2">
        <f>IF($N2="Retail",1,0)</f>
        <v>0</v>
      </c>
      <c r="P2">
        <f>IF($N2="Non-Retail",1,0)</f>
        <v>0</v>
      </c>
    </row>
    <row r="3" spans="1:16" x14ac:dyDescent="0.25">
      <c r="A3" t="s">
        <v>7</v>
      </c>
      <c r="B3" s="1">
        <v>41974</v>
      </c>
      <c r="C3" s="1">
        <v>42735</v>
      </c>
      <c r="D3" s="4" t="s">
        <v>245</v>
      </c>
      <c r="E3" t="s">
        <v>246</v>
      </c>
      <c r="F3">
        <v>8486</v>
      </c>
      <c r="G3">
        <v>15657523</v>
      </c>
      <c r="H3" t="s">
        <v>10</v>
      </c>
      <c r="I3" t="s">
        <v>11</v>
      </c>
      <c r="J3" t="s">
        <v>12</v>
      </c>
      <c r="K3" t="s">
        <v>2910</v>
      </c>
      <c r="L3">
        <f t="shared" ref="L3:L66" ca="1" si="0">IF($K3="Continues",DATEDIF($B3,TODAY(),"Y"),DATEDIF($B3,$C3,"Y"))</f>
        <v>2</v>
      </c>
      <c r="M3" t="str">
        <f>IFERROR(INDEX('[4]31.03.2024'!$H:$H,MATCH($E3,'[4]31.03.2024'!$B:$B,0)),"Not found")</f>
        <v>Not found</v>
      </c>
      <c r="N3" t="str">
        <f>IFERROR(INDEX([2]Sheet1!$B:$B,MATCH($D3,[2]Sheet1!$A:$A,0)),"Not found")</f>
        <v>Not found</v>
      </c>
      <c r="O3">
        <f t="shared" ref="O3:O66" si="1">IF($N3="Retail",1,0)</f>
        <v>0</v>
      </c>
      <c r="P3">
        <f t="shared" ref="P3:P66" si="2">IF($N3="Non-Retail",1,0)</f>
        <v>0</v>
      </c>
    </row>
    <row r="4" spans="1:16" x14ac:dyDescent="0.25">
      <c r="A4" t="s">
        <v>7</v>
      </c>
      <c r="B4" s="1">
        <v>41974</v>
      </c>
      <c r="C4" s="1">
        <v>42369</v>
      </c>
      <c r="D4" s="4" t="s">
        <v>247</v>
      </c>
      <c r="E4" t="s">
        <v>248</v>
      </c>
      <c r="F4">
        <v>10400</v>
      </c>
      <c r="G4">
        <v>17285698</v>
      </c>
      <c r="H4" t="s">
        <v>10</v>
      </c>
      <c r="I4" t="s">
        <v>11</v>
      </c>
      <c r="J4" t="s">
        <v>12</v>
      </c>
      <c r="K4" t="s">
        <v>2910</v>
      </c>
      <c r="L4">
        <f t="shared" ca="1" si="0"/>
        <v>1</v>
      </c>
      <c r="M4" t="str">
        <f>IFERROR(INDEX('[4]31.03.2024'!$H:$H,MATCH($E4,'[4]31.03.2024'!$B:$B,0)),"Not found")</f>
        <v>Not found</v>
      </c>
      <c r="N4" t="str">
        <f>IFERROR(INDEX([2]Sheet1!$B:$B,MATCH($D4,[2]Sheet1!$A:$A,0)),"Not found")</f>
        <v>Not found</v>
      </c>
      <c r="O4">
        <f t="shared" si="1"/>
        <v>0</v>
      </c>
      <c r="P4">
        <f t="shared" si="2"/>
        <v>0</v>
      </c>
    </row>
    <row r="5" spans="1:16" x14ac:dyDescent="0.25">
      <c r="A5" t="s">
        <v>7</v>
      </c>
      <c r="B5" s="1">
        <v>41974</v>
      </c>
      <c r="C5" s="1">
        <v>43738</v>
      </c>
      <c r="D5" s="4" t="s">
        <v>249</v>
      </c>
      <c r="E5" t="s">
        <v>250</v>
      </c>
      <c r="F5">
        <v>10402</v>
      </c>
      <c r="G5">
        <v>16020110</v>
      </c>
      <c r="H5" t="s">
        <v>10</v>
      </c>
      <c r="I5" t="s">
        <v>11</v>
      </c>
      <c r="J5" t="s">
        <v>12</v>
      </c>
      <c r="K5" t="s">
        <v>2910</v>
      </c>
      <c r="L5">
        <f t="shared" ca="1" si="0"/>
        <v>4</v>
      </c>
      <c r="M5" t="str">
        <f>IFERROR(INDEX('[4]31.03.2024'!$H:$H,MATCH($E5,'[4]31.03.2024'!$B:$B,0)),"Not found")</f>
        <v>Not found</v>
      </c>
      <c r="N5" t="str">
        <f>IFERROR(INDEX([2]Sheet1!$B:$B,MATCH($D5,[2]Sheet1!$A:$A,0)),"Not found")</f>
        <v>Not found</v>
      </c>
      <c r="O5">
        <f t="shared" si="1"/>
        <v>0</v>
      </c>
      <c r="P5">
        <f t="shared" si="2"/>
        <v>0</v>
      </c>
    </row>
    <row r="6" spans="1:16" x14ac:dyDescent="0.25">
      <c r="A6" t="s">
        <v>7</v>
      </c>
      <c r="B6" s="1">
        <v>41974</v>
      </c>
      <c r="C6" s="1">
        <v>42369</v>
      </c>
      <c r="D6" s="4" t="s">
        <v>251</v>
      </c>
      <c r="E6" t="s">
        <v>252</v>
      </c>
      <c r="F6">
        <v>10403</v>
      </c>
      <c r="G6">
        <v>16069002</v>
      </c>
      <c r="H6" t="s">
        <v>10</v>
      </c>
      <c r="I6" t="s">
        <v>11</v>
      </c>
      <c r="J6" t="s">
        <v>12</v>
      </c>
      <c r="K6" t="s">
        <v>2910</v>
      </c>
      <c r="L6">
        <f t="shared" ca="1" si="0"/>
        <v>1</v>
      </c>
      <c r="M6" t="str">
        <f>IFERROR(INDEX('[4]31.03.2024'!$H:$H,MATCH($E6,'[4]31.03.2024'!$B:$B,0)),"Not found")</f>
        <v>Not found</v>
      </c>
      <c r="N6" t="str">
        <f>IFERROR(INDEX([2]Sheet1!$B:$B,MATCH($D6,[2]Sheet1!$A:$A,0)),"Not found")</f>
        <v>Not found</v>
      </c>
      <c r="O6">
        <f t="shared" si="1"/>
        <v>0</v>
      </c>
      <c r="P6">
        <f t="shared" si="2"/>
        <v>0</v>
      </c>
    </row>
    <row r="7" spans="1:16" x14ac:dyDescent="0.25">
      <c r="A7" t="s">
        <v>7</v>
      </c>
      <c r="B7" s="1">
        <v>41974</v>
      </c>
      <c r="C7" s="1">
        <v>43738</v>
      </c>
      <c r="D7" s="4" t="s">
        <v>253</v>
      </c>
      <c r="E7" t="s">
        <v>254</v>
      </c>
      <c r="F7">
        <v>11037</v>
      </c>
      <c r="G7">
        <v>16020137</v>
      </c>
      <c r="H7" t="s">
        <v>10</v>
      </c>
      <c r="I7" t="s">
        <v>11</v>
      </c>
      <c r="J7" t="s">
        <v>12</v>
      </c>
      <c r="K7" t="s">
        <v>2910</v>
      </c>
      <c r="L7">
        <f t="shared" ca="1" si="0"/>
        <v>4</v>
      </c>
      <c r="M7" t="str">
        <f>IFERROR(INDEX('[4]31.03.2024'!$H:$H,MATCH($E7,'[4]31.03.2024'!$B:$B,0)),"Not found")</f>
        <v>Not found</v>
      </c>
      <c r="N7" t="str">
        <f>IFERROR(INDEX([2]Sheet1!$B:$B,MATCH($D7,[2]Sheet1!$A:$A,0)),"Not found")</f>
        <v>Not found</v>
      </c>
      <c r="O7">
        <f t="shared" si="1"/>
        <v>0</v>
      </c>
      <c r="P7">
        <f t="shared" si="2"/>
        <v>0</v>
      </c>
    </row>
    <row r="8" spans="1:16" x14ac:dyDescent="0.25">
      <c r="A8" t="s">
        <v>7</v>
      </c>
      <c r="B8" s="1">
        <v>41974</v>
      </c>
      <c r="C8" s="1">
        <v>44196</v>
      </c>
      <c r="D8" s="4" t="s">
        <v>255</v>
      </c>
      <c r="E8" t="s">
        <v>256</v>
      </c>
      <c r="F8">
        <v>11685</v>
      </c>
      <c r="G8">
        <v>19720366</v>
      </c>
      <c r="H8" t="s">
        <v>10</v>
      </c>
      <c r="I8" t="s">
        <v>11</v>
      </c>
      <c r="J8" t="s">
        <v>32</v>
      </c>
      <c r="K8" t="s">
        <v>2910</v>
      </c>
      <c r="L8">
        <f t="shared" ca="1" si="0"/>
        <v>6</v>
      </c>
      <c r="M8" t="str">
        <f>IFERROR(INDEX('[4]31.03.2024'!$H:$H,MATCH($E8,'[4]31.03.2024'!$B:$B,0)),"Not found")</f>
        <v>Not found</v>
      </c>
      <c r="N8" t="str">
        <f>IFERROR(INDEX([2]Sheet1!$B:$B,MATCH($D8,[2]Sheet1!$A:$A,0)),"Not found")</f>
        <v>Not found</v>
      </c>
      <c r="O8">
        <f t="shared" si="1"/>
        <v>0</v>
      </c>
      <c r="P8">
        <f t="shared" si="2"/>
        <v>0</v>
      </c>
    </row>
    <row r="9" spans="1:16" x14ac:dyDescent="0.25">
      <c r="A9" t="s">
        <v>7</v>
      </c>
      <c r="B9" s="1">
        <v>39783</v>
      </c>
      <c r="C9" s="1">
        <v>43496</v>
      </c>
      <c r="D9" s="4" t="s">
        <v>2210</v>
      </c>
      <c r="E9" t="s">
        <v>2211</v>
      </c>
      <c r="F9">
        <v>11716</v>
      </c>
      <c r="G9">
        <v>18799199</v>
      </c>
      <c r="H9" t="s">
        <v>3</v>
      </c>
      <c r="I9" t="s">
        <v>4</v>
      </c>
      <c r="J9" t="s">
        <v>2212</v>
      </c>
      <c r="K9" t="s">
        <v>2911</v>
      </c>
      <c r="L9">
        <f t="shared" ca="1" si="0"/>
        <v>10</v>
      </c>
      <c r="M9" t="str">
        <f>IFERROR(INDEX('[4]31.03.2024'!$H:$H,MATCH($E9,'[4]31.03.2024'!$B:$B,0)),"Not found")</f>
        <v>Not found</v>
      </c>
      <c r="N9" t="str">
        <f>IFERROR(INDEX([2]Sheet1!$B:$B,MATCH($D9,[2]Sheet1!$A:$A,0)),"Not found")</f>
        <v>Not found</v>
      </c>
      <c r="O9">
        <f t="shared" si="1"/>
        <v>0</v>
      </c>
      <c r="P9">
        <f t="shared" si="2"/>
        <v>0</v>
      </c>
    </row>
    <row r="10" spans="1:16" x14ac:dyDescent="0.25">
      <c r="A10" t="s">
        <v>2209</v>
      </c>
      <c r="B10" s="1">
        <v>39783</v>
      </c>
      <c r="C10" s="1">
        <v>43465</v>
      </c>
      <c r="D10" s="4" t="s">
        <v>257</v>
      </c>
      <c r="E10" t="s">
        <v>258</v>
      </c>
      <c r="F10">
        <v>11719</v>
      </c>
      <c r="G10">
        <v>11024008</v>
      </c>
      <c r="H10" t="s">
        <v>3</v>
      </c>
      <c r="I10" t="s">
        <v>4</v>
      </c>
      <c r="J10" t="s">
        <v>50</v>
      </c>
      <c r="K10" t="s">
        <v>2910</v>
      </c>
      <c r="L10">
        <f t="shared" ca="1" si="0"/>
        <v>10</v>
      </c>
      <c r="M10" t="str">
        <f>IFERROR(INDEX('[4]31.03.2024'!$H:$H,MATCH($E10,'[4]31.03.2024'!$B:$B,0)),"Not found")</f>
        <v>OP-Rahastoyhtiö Oy</v>
      </c>
      <c r="N10" t="str">
        <f>IFERROR(INDEX([2]Sheet1!$B:$B,MATCH($D10,[2]Sheet1!$A:$A,0)),"Not found")</f>
        <v>Retail</v>
      </c>
      <c r="O10">
        <f t="shared" si="1"/>
        <v>1</v>
      </c>
      <c r="P10">
        <f t="shared" si="2"/>
        <v>0</v>
      </c>
    </row>
    <row r="11" spans="1:16" x14ac:dyDescent="0.25">
      <c r="A11" t="s">
        <v>2209</v>
      </c>
      <c r="B11" s="1">
        <v>41122</v>
      </c>
      <c r="C11" s="1">
        <v>43465</v>
      </c>
      <c r="D11" s="4" t="s">
        <v>259</v>
      </c>
      <c r="E11" t="s">
        <v>260</v>
      </c>
      <c r="F11">
        <v>11721</v>
      </c>
      <c r="G11">
        <v>20667232</v>
      </c>
      <c r="H11" t="s">
        <v>3</v>
      </c>
      <c r="I11" t="s">
        <v>4</v>
      </c>
      <c r="J11" t="s">
        <v>50</v>
      </c>
      <c r="K11" t="s">
        <v>2910</v>
      </c>
      <c r="L11">
        <f t="shared" ca="1" si="0"/>
        <v>6</v>
      </c>
      <c r="M11" t="str">
        <f>IFERROR(INDEX('[4]31.03.2024'!$H:$H,MATCH($E11,'[4]31.03.2024'!$B:$B,0)),"Not found")</f>
        <v>S-Pankki Rahastoyhtiö Oy</v>
      </c>
      <c r="N11" t="str">
        <f>IFERROR(INDEX([2]Sheet1!$B:$B,MATCH($D11,[2]Sheet1!$A:$A,0)),"Not found")</f>
        <v>Retail</v>
      </c>
      <c r="O11">
        <f t="shared" si="1"/>
        <v>1</v>
      </c>
      <c r="P11">
        <f t="shared" si="2"/>
        <v>0</v>
      </c>
    </row>
    <row r="12" spans="1:16" x14ac:dyDescent="0.25">
      <c r="A12" t="s">
        <v>2209</v>
      </c>
      <c r="B12" s="1">
        <v>39783</v>
      </c>
      <c r="C12" s="1">
        <v>40908</v>
      </c>
      <c r="D12" s="4" t="s">
        <v>2215</v>
      </c>
      <c r="E12" t="s">
        <v>2216</v>
      </c>
      <c r="F12">
        <v>11723</v>
      </c>
      <c r="G12">
        <v>18694434</v>
      </c>
      <c r="H12" t="s">
        <v>3</v>
      </c>
      <c r="I12" t="s">
        <v>4</v>
      </c>
      <c r="J12" t="s">
        <v>50</v>
      </c>
      <c r="K12" t="s">
        <v>2910</v>
      </c>
      <c r="L12">
        <f t="shared" ca="1" si="0"/>
        <v>3</v>
      </c>
      <c r="M12" t="str">
        <f>IFERROR(INDEX('[4]31.03.2024'!$H:$H,MATCH($E12,'[4]31.03.2024'!$B:$B,0)),"Not found")</f>
        <v>Not found</v>
      </c>
      <c r="N12" t="str">
        <f>IFERROR(INDEX([2]Sheet1!$B:$B,MATCH($D12,[2]Sheet1!$A:$A,0)),"Not found")</f>
        <v>Not found</v>
      </c>
      <c r="O12">
        <f t="shared" si="1"/>
        <v>0</v>
      </c>
      <c r="P12">
        <f t="shared" si="2"/>
        <v>0</v>
      </c>
    </row>
    <row r="13" spans="1:16" x14ac:dyDescent="0.25">
      <c r="A13" t="s">
        <v>2209</v>
      </c>
      <c r="B13" s="1">
        <v>40909</v>
      </c>
      <c r="C13" s="1">
        <v>41912</v>
      </c>
      <c r="D13" s="4" t="s">
        <v>2215</v>
      </c>
      <c r="E13" t="s">
        <v>2216</v>
      </c>
      <c r="F13">
        <v>11723</v>
      </c>
      <c r="G13">
        <v>18694434</v>
      </c>
      <c r="H13" t="s">
        <v>3</v>
      </c>
      <c r="I13" t="s">
        <v>4</v>
      </c>
      <c r="J13" t="s">
        <v>50</v>
      </c>
      <c r="K13" t="s">
        <v>2910</v>
      </c>
      <c r="L13">
        <f t="shared" ca="1" si="0"/>
        <v>2</v>
      </c>
      <c r="M13" t="str">
        <f>IFERROR(INDEX('[4]31.03.2024'!$H:$H,MATCH($E13,'[4]31.03.2024'!$B:$B,0)),"Not found")</f>
        <v>Not found</v>
      </c>
      <c r="N13" t="str">
        <f>IFERROR(INDEX([2]Sheet1!$B:$B,MATCH($D13,[2]Sheet1!$A:$A,0)),"Not found")</f>
        <v>Not found</v>
      </c>
      <c r="O13">
        <f t="shared" si="1"/>
        <v>0</v>
      </c>
      <c r="P13">
        <f t="shared" si="2"/>
        <v>0</v>
      </c>
    </row>
    <row r="14" spans="1:16" x14ac:dyDescent="0.25">
      <c r="A14" t="s">
        <v>2209</v>
      </c>
      <c r="B14" s="1">
        <v>39783</v>
      </c>
      <c r="C14" s="1">
        <v>42277</v>
      </c>
      <c r="D14" s="4" t="s">
        <v>2217</v>
      </c>
      <c r="E14" t="s">
        <v>2218</v>
      </c>
      <c r="F14">
        <v>11727</v>
      </c>
      <c r="G14">
        <v>18665836</v>
      </c>
      <c r="H14" t="s">
        <v>3</v>
      </c>
      <c r="I14" t="s">
        <v>4</v>
      </c>
      <c r="J14" t="s">
        <v>2212</v>
      </c>
      <c r="K14" t="s">
        <v>2911</v>
      </c>
      <c r="L14">
        <f t="shared" ca="1" si="0"/>
        <v>6</v>
      </c>
      <c r="M14" t="str">
        <f>IFERROR(INDEX('[4]31.03.2024'!$H:$H,MATCH($E14,'[4]31.03.2024'!$B:$B,0)),"Not found")</f>
        <v>Not found</v>
      </c>
      <c r="N14" t="str">
        <f>IFERROR(INDEX([2]Sheet1!$B:$B,MATCH($D14,[2]Sheet1!$A:$A,0)),"Not found")</f>
        <v>Not found</v>
      </c>
      <c r="O14">
        <f t="shared" si="1"/>
        <v>0</v>
      </c>
      <c r="P14">
        <f t="shared" si="2"/>
        <v>0</v>
      </c>
    </row>
    <row r="15" spans="1:16" x14ac:dyDescent="0.25">
      <c r="A15" t="s">
        <v>2209</v>
      </c>
      <c r="B15" s="1">
        <v>39783</v>
      </c>
      <c r="C15" s="1">
        <v>40908</v>
      </c>
      <c r="D15" s="4" t="s">
        <v>2219</v>
      </c>
      <c r="E15" t="s">
        <v>2220</v>
      </c>
      <c r="F15">
        <v>11734</v>
      </c>
      <c r="G15" t="s">
        <v>14</v>
      </c>
      <c r="H15" t="s">
        <v>3</v>
      </c>
      <c r="I15" t="s">
        <v>4</v>
      </c>
      <c r="J15" t="s">
        <v>50</v>
      </c>
      <c r="K15" t="s">
        <v>2910</v>
      </c>
      <c r="L15">
        <f t="shared" ca="1" si="0"/>
        <v>3</v>
      </c>
      <c r="M15" t="str">
        <f>IFERROR(INDEX('[4]31.03.2024'!$H:$H,MATCH($E15,'[4]31.03.2024'!$B:$B,0)),"Not found")</f>
        <v>Not found</v>
      </c>
      <c r="N15" t="str">
        <f>IFERROR(INDEX([2]Sheet1!$B:$B,MATCH($D15,[2]Sheet1!$A:$A,0)),"Not found")</f>
        <v>Not found</v>
      </c>
      <c r="O15">
        <f t="shared" si="1"/>
        <v>0</v>
      </c>
      <c r="P15">
        <f t="shared" si="2"/>
        <v>0</v>
      </c>
    </row>
    <row r="16" spans="1:16" x14ac:dyDescent="0.25">
      <c r="A16" t="s">
        <v>2209</v>
      </c>
      <c r="B16" s="1">
        <v>40909</v>
      </c>
      <c r="C16" s="1">
        <v>42704</v>
      </c>
      <c r="D16" s="4" t="s">
        <v>2219</v>
      </c>
      <c r="E16" t="s">
        <v>2220</v>
      </c>
      <c r="F16">
        <v>11734</v>
      </c>
      <c r="G16" t="s">
        <v>14</v>
      </c>
      <c r="H16" t="s">
        <v>3</v>
      </c>
      <c r="I16" t="s">
        <v>4</v>
      </c>
      <c r="J16" t="s">
        <v>50</v>
      </c>
      <c r="K16" t="s">
        <v>2910</v>
      </c>
      <c r="L16">
        <f t="shared" ca="1" si="0"/>
        <v>4</v>
      </c>
      <c r="M16" t="str">
        <f>IFERROR(INDEX('[4]31.03.2024'!$H:$H,MATCH($E16,'[4]31.03.2024'!$B:$B,0)),"Not found")</f>
        <v>Not found</v>
      </c>
      <c r="N16" t="str">
        <f>IFERROR(INDEX([2]Sheet1!$B:$B,MATCH($D16,[2]Sheet1!$A:$A,0)),"Not found")</f>
        <v>Not found</v>
      </c>
      <c r="O16">
        <f t="shared" si="1"/>
        <v>0</v>
      </c>
      <c r="P16">
        <f t="shared" si="2"/>
        <v>0</v>
      </c>
    </row>
    <row r="17" spans="1:16" x14ac:dyDescent="0.25">
      <c r="A17" t="s">
        <v>2209</v>
      </c>
      <c r="B17" s="1">
        <v>41974</v>
      </c>
      <c r="C17" s="1">
        <v>44469</v>
      </c>
      <c r="D17" s="4" t="s">
        <v>261</v>
      </c>
      <c r="E17" t="s">
        <v>262</v>
      </c>
      <c r="F17">
        <v>12364</v>
      </c>
      <c r="G17">
        <v>8425222</v>
      </c>
      <c r="H17" t="s">
        <v>10</v>
      </c>
      <c r="I17" t="s">
        <v>11</v>
      </c>
      <c r="J17" t="s">
        <v>80</v>
      </c>
      <c r="K17" t="s">
        <v>2910</v>
      </c>
      <c r="L17">
        <f t="shared" ca="1" si="0"/>
        <v>6</v>
      </c>
      <c r="M17" t="str">
        <f>IFERROR(INDEX('[4]31.03.2024'!$H:$H,MATCH($E17,'[4]31.03.2024'!$B:$B,0)),"Not found")</f>
        <v>Not found</v>
      </c>
      <c r="N17" t="str">
        <f>IFERROR(INDEX([2]Sheet1!$B:$B,MATCH($D17,[2]Sheet1!$A:$A,0)),"Not found")</f>
        <v>Not found</v>
      </c>
      <c r="O17">
        <f t="shared" si="1"/>
        <v>0</v>
      </c>
      <c r="P17">
        <f t="shared" si="2"/>
        <v>0</v>
      </c>
    </row>
    <row r="18" spans="1:16" x14ac:dyDescent="0.25">
      <c r="A18" t="s">
        <v>2209</v>
      </c>
      <c r="B18" s="1">
        <v>41974</v>
      </c>
      <c r="C18" s="1">
        <v>43100</v>
      </c>
      <c r="D18" s="4" t="s">
        <v>263</v>
      </c>
      <c r="E18" t="s">
        <v>264</v>
      </c>
      <c r="F18">
        <v>12372</v>
      </c>
      <c r="G18">
        <v>8425142</v>
      </c>
      <c r="H18" t="s">
        <v>10</v>
      </c>
      <c r="I18" t="s">
        <v>11</v>
      </c>
      <c r="J18" t="s">
        <v>80</v>
      </c>
      <c r="K18" t="s">
        <v>2910</v>
      </c>
      <c r="L18">
        <f t="shared" ca="1" si="0"/>
        <v>3</v>
      </c>
      <c r="M18" t="str">
        <f>IFERROR(INDEX('[4]31.03.2024'!$H:$H,MATCH($E18,'[4]31.03.2024'!$B:$B,0)),"Not found")</f>
        <v>Not found</v>
      </c>
      <c r="N18" t="str">
        <f>IFERROR(INDEX([2]Sheet1!$B:$B,MATCH($D18,[2]Sheet1!$A:$A,0)),"Not found")</f>
        <v>Not found</v>
      </c>
      <c r="O18">
        <f t="shared" si="1"/>
        <v>0</v>
      </c>
      <c r="P18">
        <f t="shared" si="2"/>
        <v>0</v>
      </c>
    </row>
    <row r="19" spans="1:16" x14ac:dyDescent="0.25">
      <c r="A19" t="s">
        <v>0</v>
      </c>
      <c r="B19" s="1">
        <v>39783</v>
      </c>
      <c r="C19" s="1">
        <v>41608</v>
      </c>
      <c r="D19" s="4" t="s">
        <v>2221</v>
      </c>
      <c r="E19" t="s">
        <v>2222</v>
      </c>
      <c r="F19">
        <v>12424</v>
      </c>
      <c r="G19">
        <v>22343899</v>
      </c>
      <c r="H19" t="s">
        <v>3</v>
      </c>
      <c r="I19" t="s">
        <v>4</v>
      </c>
      <c r="J19" t="s">
        <v>2212</v>
      </c>
      <c r="K19" t="s">
        <v>2911</v>
      </c>
      <c r="L19">
        <f t="shared" ca="1" si="0"/>
        <v>4</v>
      </c>
      <c r="M19" t="str">
        <f>IFERROR(INDEX('[4]31.03.2024'!$H:$H,MATCH($E19,'[4]31.03.2024'!$B:$B,0)),"Not found")</f>
        <v>Not found</v>
      </c>
      <c r="N19" t="str">
        <f>IFERROR(INDEX([2]Sheet1!$B:$B,MATCH($D19,[2]Sheet1!$A:$A,0)),"Not found")</f>
        <v>Not found</v>
      </c>
      <c r="O19">
        <f t="shared" si="1"/>
        <v>0</v>
      </c>
      <c r="P19">
        <f t="shared" si="2"/>
        <v>0</v>
      </c>
    </row>
    <row r="20" spans="1:16" x14ac:dyDescent="0.25">
      <c r="A20" t="s">
        <v>2209</v>
      </c>
      <c r="B20" s="1">
        <v>39783</v>
      </c>
      <c r="C20" s="1">
        <v>40908</v>
      </c>
      <c r="D20" s="4" t="s">
        <v>2213</v>
      </c>
      <c r="E20" t="s">
        <v>2214</v>
      </c>
      <c r="F20">
        <v>12425</v>
      </c>
      <c r="G20">
        <v>21644729</v>
      </c>
      <c r="H20" t="s">
        <v>3</v>
      </c>
      <c r="I20" t="s">
        <v>4</v>
      </c>
      <c r="J20" t="s">
        <v>50</v>
      </c>
      <c r="K20" t="s">
        <v>2910</v>
      </c>
      <c r="L20">
        <f t="shared" ca="1" si="0"/>
        <v>3</v>
      </c>
      <c r="M20" t="str">
        <f>IFERROR(INDEX('[4]31.03.2024'!$H:$H,MATCH($E20,'[4]31.03.2024'!$B:$B,0)),"Not found")</f>
        <v>Not found</v>
      </c>
      <c r="N20" t="str">
        <f>IFERROR(INDEX([2]Sheet1!$B:$B,MATCH($D20,[2]Sheet1!$A:$A,0)),"Not found")</f>
        <v>Not found</v>
      </c>
      <c r="O20">
        <f t="shared" si="1"/>
        <v>0</v>
      </c>
      <c r="P20">
        <f t="shared" si="2"/>
        <v>0</v>
      </c>
    </row>
    <row r="21" spans="1:16" x14ac:dyDescent="0.25">
      <c r="A21" t="s">
        <v>2209</v>
      </c>
      <c r="B21" s="1">
        <v>40909</v>
      </c>
      <c r="C21" s="1">
        <v>44712</v>
      </c>
      <c r="D21" s="4" t="s">
        <v>2213</v>
      </c>
      <c r="E21" t="s">
        <v>2214</v>
      </c>
      <c r="F21">
        <v>12425</v>
      </c>
      <c r="G21">
        <v>21644729</v>
      </c>
      <c r="H21" t="s">
        <v>3</v>
      </c>
      <c r="I21" t="s">
        <v>4</v>
      </c>
      <c r="J21" t="s">
        <v>50</v>
      </c>
      <c r="K21" t="s">
        <v>2910</v>
      </c>
      <c r="L21">
        <f t="shared" ca="1" si="0"/>
        <v>10</v>
      </c>
      <c r="M21" t="str">
        <f>IFERROR(INDEX('[4]31.03.2024'!$H:$H,MATCH($E21,'[4]31.03.2024'!$B:$B,0)),"Not found")</f>
        <v>Not found</v>
      </c>
      <c r="N21" t="str">
        <f>IFERROR(INDEX([2]Sheet1!$B:$B,MATCH($D21,[2]Sheet1!$A:$A,0)),"Not found")</f>
        <v>Not found</v>
      </c>
      <c r="O21">
        <f t="shared" si="1"/>
        <v>0</v>
      </c>
      <c r="P21">
        <f t="shared" si="2"/>
        <v>0</v>
      </c>
    </row>
    <row r="22" spans="1:16" x14ac:dyDescent="0.25">
      <c r="A22" t="s">
        <v>2209</v>
      </c>
      <c r="B22" s="1">
        <v>39783</v>
      </c>
      <c r="C22" s="1">
        <v>40908</v>
      </c>
      <c r="D22" s="4" t="s">
        <v>2223</v>
      </c>
      <c r="E22" t="s">
        <v>2224</v>
      </c>
      <c r="F22">
        <v>12555</v>
      </c>
      <c r="G22">
        <v>21869143</v>
      </c>
      <c r="H22" t="s">
        <v>3</v>
      </c>
      <c r="I22" t="s">
        <v>4</v>
      </c>
      <c r="J22" t="s">
        <v>2212</v>
      </c>
      <c r="K22" t="s">
        <v>2911</v>
      </c>
      <c r="L22">
        <f t="shared" ca="1" si="0"/>
        <v>3</v>
      </c>
      <c r="M22" t="str">
        <f>IFERROR(INDEX('[4]31.03.2024'!$H:$H,MATCH($E22,'[4]31.03.2024'!$B:$B,0)),"Not found")</f>
        <v>Not found</v>
      </c>
      <c r="N22" t="str">
        <f>IFERROR(INDEX([2]Sheet1!$B:$B,MATCH($D22,[2]Sheet1!$A:$A,0)),"Not found")</f>
        <v>Not found</v>
      </c>
      <c r="O22">
        <f t="shared" si="1"/>
        <v>0</v>
      </c>
      <c r="P22">
        <f t="shared" si="2"/>
        <v>0</v>
      </c>
    </row>
    <row r="23" spans="1:16" x14ac:dyDescent="0.25">
      <c r="A23" t="s">
        <v>0</v>
      </c>
      <c r="B23" s="1">
        <v>40909</v>
      </c>
      <c r="C23" s="1">
        <v>41121</v>
      </c>
      <c r="D23" s="4" t="s">
        <v>2223</v>
      </c>
      <c r="E23" t="s">
        <v>2224</v>
      </c>
      <c r="F23">
        <v>12555</v>
      </c>
      <c r="G23">
        <v>21869143</v>
      </c>
      <c r="H23" t="s">
        <v>3</v>
      </c>
      <c r="I23" t="s">
        <v>4</v>
      </c>
      <c r="J23" t="s">
        <v>2212</v>
      </c>
      <c r="K23" t="s">
        <v>2911</v>
      </c>
      <c r="L23">
        <f t="shared" ca="1" si="0"/>
        <v>0</v>
      </c>
      <c r="M23" t="str">
        <f>IFERROR(INDEX('[4]31.03.2024'!$H:$H,MATCH($E23,'[4]31.03.2024'!$B:$B,0)),"Not found")</f>
        <v>Not found</v>
      </c>
      <c r="N23" t="str">
        <f>IFERROR(INDEX([2]Sheet1!$B:$B,MATCH($D23,[2]Sheet1!$A:$A,0)),"Not found")</f>
        <v>Not found</v>
      </c>
      <c r="O23">
        <f t="shared" si="1"/>
        <v>0</v>
      </c>
      <c r="P23">
        <f t="shared" si="2"/>
        <v>0</v>
      </c>
    </row>
    <row r="24" spans="1:16" x14ac:dyDescent="0.25">
      <c r="A24" t="s">
        <v>7</v>
      </c>
      <c r="B24" s="1">
        <v>41122</v>
      </c>
      <c r="C24" s="1">
        <v>43008</v>
      </c>
      <c r="D24" s="4" t="s">
        <v>2223</v>
      </c>
      <c r="E24" t="s">
        <v>2224</v>
      </c>
      <c r="F24">
        <v>12555</v>
      </c>
      <c r="G24">
        <v>21869143</v>
      </c>
      <c r="H24" t="s">
        <v>3</v>
      </c>
      <c r="I24" t="s">
        <v>4</v>
      </c>
      <c r="J24" t="s">
        <v>2212</v>
      </c>
      <c r="K24" t="s">
        <v>2911</v>
      </c>
      <c r="L24">
        <f t="shared" ca="1" si="0"/>
        <v>5</v>
      </c>
      <c r="M24" t="str">
        <f>IFERROR(INDEX('[4]31.03.2024'!$H:$H,MATCH($E24,'[4]31.03.2024'!$B:$B,0)),"Not found")</f>
        <v>Not found</v>
      </c>
      <c r="N24" t="str">
        <f>IFERROR(INDEX([2]Sheet1!$B:$B,MATCH($D24,[2]Sheet1!$A:$A,0)),"Not found")</f>
        <v>Not found</v>
      </c>
      <c r="O24">
        <f t="shared" si="1"/>
        <v>0</v>
      </c>
      <c r="P24">
        <f t="shared" si="2"/>
        <v>0</v>
      </c>
    </row>
    <row r="25" spans="1:16" x14ac:dyDescent="0.25">
      <c r="A25" t="s">
        <v>7</v>
      </c>
      <c r="B25" s="1">
        <v>39783</v>
      </c>
      <c r="C25" s="1">
        <v>43465</v>
      </c>
      <c r="D25" s="4" t="s">
        <v>265</v>
      </c>
      <c r="E25" t="s">
        <v>266</v>
      </c>
      <c r="F25">
        <v>12933</v>
      </c>
      <c r="G25">
        <v>18001415</v>
      </c>
      <c r="H25" t="s">
        <v>3</v>
      </c>
      <c r="I25" t="s">
        <v>4</v>
      </c>
      <c r="J25" t="s">
        <v>50</v>
      </c>
      <c r="K25" t="s">
        <v>2910</v>
      </c>
      <c r="L25">
        <f t="shared" ca="1" si="0"/>
        <v>10</v>
      </c>
      <c r="M25" t="str">
        <f>IFERROR(INDEX('[4]31.03.2024'!$H:$H,MATCH($E25,'[4]31.03.2024'!$B:$B,0)),"Not found")</f>
        <v>eQ Rahastoyhtiö Oy</v>
      </c>
      <c r="N25" t="str">
        <f>IFERROR(INDEX([2]Sheet1!$B:$B,MATCH($D25,[2]Sheet1!$A:$A,0)),"Not found")</f>
        <v>Retail</v>
      </c>
      <c r="O25">
        <f t="shared" si="1"/>
        <v>1</v>
      </c>
      <c r="P25">
        <f t="shared" si="2"/>
        <v>0</v>
      </c>
    </row>
    <row r="26" spans="1:16" x14ac:dyDescent="0.25">
      <c r="A26" t="s">
        <v>7</v>
      </c>
      <c r="B26" s="1">
        <v>39783</v>
      </c>
      <c r="C26" s="1">
        <v>43404</v>
      </c>
      <c r="D26" s="4" t="s">
        <v>2225</v>
      </c>
      <c r="E26" t="s">
        <v>2226</v>
      </c>
      <c r="F26">
        <v>12936</v>
      </c>
      <c r="G26">
        <v>21305882</v>
      </c>
      <c r="H26" t="s">
        <v>3</v>
      </c>
      <c r="I26" t="s">
        <v>4</v>
      </c>
      <c r="J26" t="s">
        <v>2212</v>
      </c>
      <c r="K26" t="s">
        <v>2911</v>
      </c>
      <c r="L26">
        <f t="shared" ca="1" si="0"/>
        <v>9</v>
      </c>
      <c r="M26" t="str">
        <f>IFERROR(INDEX('[4]31.03.2024'!$H:$H,MATCH($E26,'[4]31.03.2024'!$B:$B,0)),"Not found")</f>
        <v>Not found</v>
      </c>
      <c r="N26" t="str">
        <f>IFERROR(INDEX([2]Sheet1!$B:$B,MATCH($D26,[2]Sheet1!$A:$A,0)),"Not found")</f>
        <v>Not found</v>
      </c>
      <c r="O26">
        <f t="shared" si="1"/>
        <v>0</v>
      </c>
      <c r="P26">
        <f t="shared" si="2"/>
        <v>0</v>
      </c>
    </row>
    <row r="27" spans="1:16" x14ac:dyDescent="0.25">
      <c r="A27" t="s">
        <v>2209</v>
      </c>
      <c r="B27" s="1">
        <v>39783</v>
      </c>
      <c r="C27" s="1">
        <v>44926</v>
      </c>
      <c r="D27" s="4" t="s">
        <v>2227</v>
      </c>
      <c r="E27" t="s">
        <v>2228</v>
      </c>
      <c r="F27">
        <v>12965</v>
      </c>
      <c r="G27">
        <v>18665983</v>
      </c>
      <c r="H27" t="s">
        <v>3</v>
      </c>
      <c r="I27" t="s">
        <v>4</v>
      </c>
      <c r="J27" t="s">
        <v>20</v>
      </c>
      <c r="K27" t="s">
        <v>2911</v>
      </c>
      <c r="L27">
        <f t="shared" ca="1" si="0"/>
        <v>14</v>
      </c>
      <c r="M27" t="str">
        <f>IFERROR(INDEX('[4]31.03.2024'!$H:$H,MATCH($E27,'[4]31.03.2024'!$B:$B,0)),"Not found")</f>
        <v>Not found</v>
      </c>
      <c r="N27" t="str">
        <f>IFERROR(INDEX([2]Sheet1!$B:$B,MATCH($D27,[2]Sheet1!$A:$A,0)),"Not found")</f>
        <v>Not found</v>
      </c>
      <c r="O27">
        <f t="shared" si="1"/>
        <v>0</v>
      </c>
      <c r="P27">
        <f t="shared" si="2"/>
        <v>0</v>
      </c>
    </row>
    <row r="28" spans="1:16" x14ac:dyDescent="0.25">
      <c r="A28" t="s">
        <v>2209</v>
      </c>
      <c r="B28" s="1">
        <v>39783</v>
      </c>
      <c r="C28" s="1">
        <v>42277</v>
      </c>
      <c r="D28" s="4" t="s">
        <v>2229</v>
      </c>
      <c r="E28" t="s">
        <v>2230</v>
      </c>
      <c r="F28">
        <v>12966</v>
      </c>
      <c r="G28">
        <v>18665852</v>
      </c>
      <c r="H28" t="s">
        <v>3</v>
      </c>
      <c r="I28" t="s">
        <v>4</v>
      </c>
      <c r="J28" t="s">
        <v>50</v>
      </c>
      <c r="K28" t="s">
        <v>2911</v>
      </c>
      <c r="L28">
        <f t="shared" ca="1" si="0"/>
        <v>6</v>
      </c>
      <c r="M28" t="str">
        <f>IFERROR(INDEX('[4]31.03.2024'!$H:$H,MATCH($E28,'[4]31.03.2024'!$B:$B,0)),"Not found")</f>
        <v>Not found</v>
      </c>
      <c r="N28" t="str">
        <f>IFERROR(INDEX([2]Sheet1!$B:$B,MATCH($D28,[2]Sheet1!$A:$A,0)),"Not found")</f>
        <v>Not found</v>
      </c>
      <c r="O28">
        <f t="shared" si="1"/>
        <v>0</v>
      </c>
      <c r="P28">
        <f t="shared" si="2"/>
        <v>0</v>
      </c>
    </row>
    <row r="29" spans="1:16" x14ac:dyDescent="0.25">
      <c r="A29" t="s">
        <v>0</v>
      </c>
      <c r="B29" s="1">
        <v>39783</v>
      </c>
      <c r="C29" s="1">
        <v>41820</v>
      </c>
      <c r="D29" s="4" t="s">
        <v>2231</v>
      </c>
      <c r="E29" t="s">
        <v>2232</v>
      </c>
      <c r="F29">
        <v>12973</v>
      </c>
      <c r="G29">
        <v>20722676</v>
      </c>
      <c r="H29" t="s">
        <v>3</v>
      </c>
      <c r="I29" t="s">
        <v>4</v>
      </c>
      <c r="J29" t="s">
        <v>20</v>
      </c>
      <c r="K29" t="s">
        <v>2911</v>
      </c>
      <c r="L29">
        <f t="shared" ca="1" si="0"/>
        <v>5</v>
      </c>
      <c r="M29" t="str">
        <f>IFERROR(INDEX('[4]31.03.2024'!$H:$H,MATCH($E29,'[4]31.03.2024'!$B:$B,0)),"Not found")</f>
        <v>Not found</v>
      </c>
      <c r="N29" t="str">
        <f>IFERROR(INDEX([2]Sheet1!$B:$B,MATCH($D29,[2]Sheet1!$A:$A,0)),"Not found")</f>
        <v>Not found</v>
      </c>
      <c r="O29">
        <f t="shared" si="1"/>
        <v>0</v>
      </c>
      <c r="P29">
        <f t="shared" si="2"/>
        <v>0</v>
      </c>
    </row>
    <row r="30" spans="1:16" x14ac:dyDescent="0.25">
      <c r="A30" t="s">
        <v>2209</v>
      </c>
      <c r="B30" s="1">
        <v>39783</v>
      </c>
      <c r="C30" s="1">
        <v>44742</v>
      </c>
      <c r="D30" s="4" t="s">
        <v>2233</v>
      </c>
      <c r="E30" t="s">
        <v>2234</v>
      </c>
      <c r="F30">
        <v>12974</v>
      </c>
      <c r="G30">
        <v>18797791</v>
      </c>
      <c r="H30" t="s">
        <v>3</v>
      </c>
      <c r="I30" t="s">
        <v>4</v>
      </c>
      <c r="J30" t="s">
        <v>20</v>
      </c>
      <c r="K30" t="s">
        <v>2910</v>
      </c>
      <c r="L30">
        <f t="shared" ca="1" si="0"/>
        <v>13</v>
      </c>
      <c r="M30" t="str">
        <f>IFERROR(INDEX('[4]31.03.2024'!$H:$H,MATCH($E30,'[4]31.03.2024'!$B:$B,0)),"Not found")</f>
        <v>Not found</v>
      </c>
      <c r="N30" t="str">
        <f>IFERROR(INDEX([2]Sheet1!$B:$B,MATCH($D30,[2]Sheet1!$A:$A,0)),"Not found")</f>
        <v>Not found</v>
      </c>
      <c r="O30">
        <f t="shared" si="1"/>
        <v>0</v>
      </c>
      <c r="P30">
        <f t="shared" si="2"/>
        <v>0</v>
      </c>
    </row>
    <row r="31" spans="1:16" x14ac:dyDescent="0.25">
      <c r="A31" t="s">
        <v>0</v>
      </c>
      <c r="B31" s="1">
        <v>39783</v>
      </c>
      <c r="C31" s="1">
        <v>44500</v>
      </c>
      <c r="D31" s="4" t="s">
        <v>2235</v>
      </c>
      <c r="E31" t="s">
        <v>2236</v>
      </c>
      <c r="F31">
        <v>12975</v>
      </c>
      <c r="G31">
        <v>18797740</v>
      </c>
      <c r="H31" t="s">
        <v>3</v>
      </c>
      <c r="I31" t="s">
        <v>4</v>
      </c>
      <c r="J31" t="s">
        <v>5</v>
      </c>
      <c r="K31" t="s">
        <v>2911</v>
      </c>
      <c r="L31">
        <f t="shared" ca="1" si="0"/>
        <v>12</v>
      </c>
      <c r="M31" t="str">
        <f>IFERROR(INDEX('[4]31.03.2024'!$H:$H,MATCH($E31,'[4]31.03.2024'!$B:$B,0)),"Not found")</f>
        <v>Not found</v>
      </c>
      <c r="N31" t="str">
        <f>IFERROR(INDEX([2]Sheet1!$B:$B,MATCH($D31,[2]Sheet1!$A:$A,0)),"Not found")</f>
        <v>Not found</v>
      </c>
      <c r="O31">
        <f t="shared" si="1"/>
        <v>0</v>
      </c>
      <c r="P31">
        <f t="shared" si="2"/>
        <v>0</v>
      </c>
    </row>
    <row r="32" spans="1:16" x14ac:dyDescent="0.25">
      <c r="A32" t="s">
        <v>2209</v>
      </c>
      <c r="B32" s="1">
        <v>39783</v>
      </c>
      <c r="C32" s="1">
        <v>44712</v>
      </c>
      <c r="D32" s="4" t="s">
        <v>2239</v>
      </c>
      <c r="E32" t="s">
        <v>2240</v>
      </c>
      <c r="F32">
        <v>12976</v>
      </c>
      <c r="G32">
        <v>18800073</v>
      </c>
      <c r="H32" t="s">
        <v>3</v>
      </c>
      <c r="I32" t="s">
        <v>4</v>
      </c>
      <c r="J32" t="s">
        <v>20</v>
      </c>
      <c r="K32" t="s">
        <v>2910</v>
      </c>
      <c r="L32">
        <f t="shared" ca="1" si="0"/>
        <v>13</v>
      </c>
      <c r="M32" t="str">
        <f>IFERROR(INDEX('[4]31.03.2024'!$H:$H,MATCH($E32,'[4]31.03.2024'!$B:$B,0)),"Not found")</f>
        <v>Not found</v>
      </c>
      <c r="N32" t="str">
        <f>IFERROR(INDEX([2]Sheet1!$B:$B,MATCH($D32,[2]Sheet1!$A:$A,0)),"Not found")</f>
        <v>Not found</v>
      </c>
      <c r="O32">
        <f t="shared" si="1"/>
        <v>0</v>
      </c>
      <c r="P32">
        <f t="shared" si="2"/>
        <v>0</v>
      </c>
    </row>
    <row r="33" spans="1:16" x14ac:dyDescent="0.25">
      <c r="A33" t="s">
        <v>0</v>
      </c>
      <c r="B33" s="1">
        <v>39783</v>
      </c>
      <c r="C33" s="1">
        <v>44469</v>
      </c>
      <c r="D33" s="4" t="s">
        <v>2241</v>
      </c>
      <c r="E33" t="s">
        <v>2242</v>
      </c>
      <c r="F33">
        <v>12977</v>
      </c>
      <c r="G33">
        <v>18799981</v>
      </c>
      <c r="H33" t="s">
        <v>3</v>
      </c>
      <c r="I33" t="s">
        <v>4</v>
      </c>
      <c r="J33" t="s">
        <v>20</v>
      </c>
      <c r="K33" t="s">
        <v>2911</v>
      </c>
      <c r="L33">
        <f t="shared" ca="1" si="0"/>
        <v>12</v>
      </c>
      <c r="M33" t="str">
        <f>IFERROR(INDEX('[4]31.03.2024'!$H:$H,MATCH($E33,'[4]31.03.2024'!$B:$B,0)),"Not found")</f>
        <v>Not found</v>
      </c>
      <c r="N33" t="str">
        <f>IFERROR(INDEX([2]Sheet1!$B:$B,MATCH($D33,[2]Sheet1!$A:$A,0)),"Not found")</f>
        <v>Not found</v>
      </c>
      <c r="O33">
        <f t="shared" si="1"/>
        <v>0</v>
      </c>
      <c r="P33">
        <f t="shared" si="2"/>
        <v>0</v>
      </c>
    </row>
    <row r="34" spans="1:16" x14ac:dyDescent="0.25">
      <c r="A34" t="s">
        <v>2209</v>
      </c>
      <c r="B34" s="1">
        <v>39783</v>
      </c>
      <c r="C34" s="1">
        <v>43008</v>
      </c>
      <c r="D34" s="4" t="s">
        <v>2245</v>
      </c>
      <c r="E34" t="s">
        <v>2246</v>
      </c>
      <c r="F34">
        <v>12980</v>
      </c>
      <c r="G34">
        <v>11023953</v>
      </c>
      <c r="H34" t="s">
        <v>3</v>
      </c>
      <c r="I34" t="s">
        <v>4</v>
      </c>
      <c r="J34" t="s">
        <v>20</v>
      </c>
      <c r="K34" t="s">
        <v>2911</v>
      </c>
      <c r="L34">
        <f t="shared" ca="1" si="0"/>
        <v>8</v>
      </c>
      <c r="M34" t="str">
        <f>IFERROR(INDEX('[4]31.03.2024'!$H:$H,MATCH($E34,'[4]31.03.2024'!$B:$B,0)),"Not found")</f>
        <v>Not found</v>
      </c>
      <c r="N34" t="str">
        <f>IFERROR(INDEX([2]Sheet1!$B:$B,MATCH($D34,[2]Sheet1!$A:$A,0)),"Not found")</f>
        <v>Not found</v>
      </c>
      <c r="O34">
        <f t="shared" si="1"/>
        <v>0</v>
      </c>
      <c r="P34">
        <f t="shared" si="2"/>
        <v>0</v>
      </c>
    </row>
    <row r="35" spans="1:16" x14ac:dyDescent="0.25">
      <c r="A35" t="s">
        <v>2209</v>
      </c>
      <c r="B35" s="1">
        <v>39783</v>
      </c>
      <c r="C35" s="1">
        <v>42185</v>
      </c>
      <c r="D35" s="4" t="s">
        <v>2247</v>
      </c>
      <c r="E35" t="s">
        <v>2248</v>
      </c>
      <c r="F35">
        <v>12985</v>
      </c>
      <c r="G35">
        <v>18797695</v>
      </c>
      <c r="H35" t="s">
        <v>3</v>
      </c>
      <c r="I35" t="s">
        <v>4</v>
      </c>
      <c r="J35" t="s">
        <v>20</v>
      </c>
      <c r="K35" t="s">
        <v>2911</v>
      </c>
      <c r="L35">
        <f t="shared" ca="1" si="0"/>
        <v>6</v>
      </c>
      <c r="M35" t="str">
        <f>IFERROR(INDEX('[4]31.03.2024'!$H:$H,MATCH($E35,'[4]31.03.2024'!$B:$B,0)),"Not found")</f>
        <v>Not found</v>
      </c>
      <c r="N35" t="str">
        <f>IFERROR(INDEX([2]Sheet1!$B:$B,MATCH($D35,[2]Sheet1!$A:$A,0)),"Not found")</f>
        <v>Not found</v>
      </c>
      <c r="O35">
        <f t="shared" si="1"/>
        <v>0</v>
      </c>
      <c r="P35">
        <f t="shared" si="2"/>
        <v>0</v>
      </c>
    </row>
    <row r="36" spans="1:16" x14ac:dyDescent="0.25">
      <c r="A36" t="s">
        <v>2209</v>
      </c>
      <c r="B36" s="1">
        <v>39783</v>
      </c>
      <c r="C36" s="1">
        <v>44651</v>
      </c>
      <c r="D36" s="4" t="s">
        <v>2249</v>
      </c>
      <c r="E36" t="s">
        <v>2250</v>
      </c>
      <c r="F36">
        <v>12989</v>
      </c>
      <c r="G36">
        <v>18800129</v>
      </c>
      <c r="H36" t="s">
        <v>3</v>
      </c>
      <c r="I36" t="s">
        <v>4</v>
      </c>
      <c r="J36" t="s">
        <v>20</v>
      </c>
      <c r="K36" t="s">
        <v>2910</v>
      </c>
      <c r="L36">
        <f t="shared" ca="1" si="0"/>
        <v>13</v>
      </c>
      <c r="M36" t="str">
        <f>IFERROR(INDEX('[4]31.03.2024'!$H:$H,MATCH($E36,'[4]31.03.2024'!$B:$B,0)),"Not found")</f>
        <v>Not found</v>
      </c>
      <c r="N36" t="str">
        <f>IFERROR(INDEX([2]Sheet1!$B:$B,MATCH($D36,[2]Sheet1!$A:$A,0)),"Not found")</f>
        <v>Not found</v>
      </c>
      <c r="O36">
        <f t="shared" si="1"/>
        <v>0</v>
      </c>
      <c r="P36">
        <f t="shared" si="2"/>
        <v>0</v>
      </c>
    </row>
    <row r="37" spans="1:16" x14ac:dyDescent="0.25">
      <c r="A37" t="s">
        <v>0</v>
      </c>
      <c r="B37" s="1">
        <v>39783</v>
      </c>
      <c r="C37" s="1">
        <v>41912</v>
      </c>
      <c r="D37" s="4" t="s">
        <v>2251</v>
      </c>
      <c r="E37" t="s">
        <v>2252</v>
      </c>
      <c r="F37">
        <v>12993</v>
      </c>
      <c r="G37">
        <v>18694442</v>
      </c>
      <c r="H37" t="s">
        <v>3</v>
      </c>
      <c r="I37" t="s">
        <v>4</v>
      </c>
      <c r="J37" t="s">
        <v>50</v>
      </c>
      <c r="K37" t="s">
        <v>2910</v>
      </c>
      <c r="L37">
        <f t="shared" ca="1" si="0"/>
        <v>5</v>
      </c>
      <c r="M37" t="str">
        <f>IFERROR(INDEX('[4]31.03.2024'!$H:$H,MATCH($E37,'[4]31.03.2024'!$B:$B,0)),"Not found")</f>
        <v>Not found</v>
      </c>
      <c r="N37" t="str">
        <f>IFERROR(INDEX([2]Sheet1!$B:$B,MATCH($D37,[2]Sheet1!$A:$A,0)),"Not found")</f>
        <v>Not found</v>
      </c>
      <c r="O37">
        <f t="shared" si="1"/>
        <v>0</v>
      </c>
      <c r="P37">
        <f t="shared" si="2"/>
        <v>0</v>
      </c>
    </row>
    <row r="38" spans="1:16" x14ac:dyDescent="0.25">
      <c r="A38" t="s">
        <v>0</v>
      </c>
      <c r="B38" s="1">
        <v>39783</v>
      </c>
      <c r="C38" s="1">
        <v>41943</v>
      </c>
      <c r="D38" s="4" t="s">
        <v>2253</v>
      </c>
      <c r="E38" t="s">
        <v>2254</v>
      </c>
      <c r="F38">
        <v>12994</v>
      </c>
      <c r="G38">
        <v>18694469</v>
      </c>
      <c r="H38" t="s">
        <v>3</v>
      </c>
      <c r="I38" t="s">
        <v>4</v>
      </c>
      <c r="J38" t="s">
        <v>20</v>
      </c>
      <c r="K38" t="s">
        <v>2910</v>
      </c>
      <c r="L38">
        <f t="shared" ca="1" si="0"/>
        <v>5</v>
      </c>
      <c r="M38" t="str">
        <f>IFERROR(INDEX('[4]31.03.2024'!$H:$H,MATCH($E38,'[4]31.03.2024'!$B:$B,0)),"Not found")</f>
        <v>Not found</v>
      </c>
      <c r="N38" t="str">
        <f>IFERROR(INDEX([2]Sheet1!$B:$B,MATCH($D38,[2]Sheet1!$A:$A,0)),"Not found")</f>
        <v>Not found</v>
      </c>
      <c r="O38">
        <f t="shared" si="1"/>
        <v>0</v>
      </c>
      <c r="P38">
        <f t="shared" si="2"/>
        <v>0</v>
      </c>
    </row>
    <row r="39" spans="1:16" x14ac:dyDescent="0.25">
      <c r="A39" t="s">
        <v>0</v>
      </c>
      <c r="B39" s="1">
        <v>39783</v>
      </c>
      <c r="C39" s="1">
        <v>43496</v>
      </c>
      <c r="D39" s="4" t="s">
        <v>2255</v>
      </c>
      <c r="E39" t="s">
        <v>2256</v>
      </c>
      <c r="F39">
        <v>12995</v>
      </c>
      <c r="G39">
        <v>20667208</v>
      </c>
      <c r="H39" t="s">
        <v>3</v>
      </c>
      <c r="I39" t="s">
        <v>4</v>
      </c>
      <c r="J39" t="s">
        <v>20</v>
      </c>
      <c r="K39" t="s">
        <v>2910</v>
      </c>
      <c r="L39">
        <f t="shared" ca="1" si="0"/>
        <v>10</v>
      </c>
      <c r="M39" t="str">
        <f>IFERROR(INDEX('[4]31.03.2024'!$H:$H,MATCH($E39,'[4]31.03.2024'!$B:$B,0)),"Not found")</f>
        <v>Not found</v>
      </c>
      <c r="N39" t="str">
        <f>IFERROR(INDEX([2]Sheet1!$B:$B,MATCH($D39,[2]Sheet1!$A:$A,0)),"Not found")</f>
        <v>Not found</v>
      </c>
      <c r="O39">
        <f t="shared" si="1"/>
        <v>0</v>
      </c>
      <c r="P39">
        <f t="shared" si="2"/>
        <v>0</v>
      </c>
    </row>
    <row r="40" spans="1:16" x14ac:dyDescent="0.25">
      <c r="A40" t="s">
        <v>2209</v>
      </c>
      <c r="B40" s="1">
        <v>39783</v>
      </c>
      <c r="C40" s="1">
        <v>44165</v>
      </c>
      <c r="D40" s="4" t="s">
        <v>2257</v>
      </c>
      <c r="E40" t="s">
        <v>2258</v>
      </c>
      <c r="F40">
        <v>13001</v>
      </c>
      <c r="G40">
        <v>19781169</v>
      </c>
      <c r="H40" t="s">
        <v>3</v>
      </c>
      <c r="I40" t="s">
        <v>4</v>
      </c>
      <c r="J40" t="s">
        <v>5</v>
      </c>
      <c r="K40" t="s">
        <v>2911</v>
      </c>
      <c r="L40">
        <f t="shared" ca="1" si="0"/>
        <v>11</v>
      </c>
      <c r="M40" t="str">
        <f>IFERROR(INDEX('[4]31.03.2024'!$H:$H,MATCH($E40,'[4]31.03.2024'!$B:$B,0)),"Not found")</f>
        <v>Not found</v>
      </c>
      <c r="N40" t="str">
        <f>IFERROR(INDEX([2]Sheet1!$B:$B,MATCH($D40,[2]Sheet1!$A:$A,0)),"Not found")</f>
        <v>Not found</v>
      </c>
      <c r="O40">
        <f t="shared" si="1"/>
        <v>0</v>
      </c>
      <c r="P40">
        <f t="shared" si="2"/>
        <v>0</v>
      </c>
    </row>
    <row r="41" spans="1:16" x14ac:dyDescent="0.25">
      <c r="A41" t="s">
        <v>2209</v>
      </c>
      <c r="B41" s="1">
        <v>39783</v>
      </c>
      <c r="C41" s="1">
        <v>42277</v>
      </c>
      <c r="D41" s="4" t="s">
        <v>2259</v>
      </c>
      <c r="E41" t="s">
        <v>2260</v>
      </c>
      <c r="F41">
        <v>13010</v>
      </c>
      <c r="G41">
        <v>18665609</v>
      </c>
      <c r="H41" t="s">
        <v>3</v>
      </c>
      <c r="I41" t="s">
        <v>4</v>
      </c>
      <c r="J41" t="s">
        <v>20</v>
      </c>
      <c r="K41" t="s">
        <v>2911</v>
      </c>
      <c r="L41">
        <f t="shared" ca="1" si="0"/>
        <v>6</v>
      </c>
      <c r="M41" t="str">
        <f>IFERROR(INDEX('[4]31.03.2024'!$H:$H,MATCH($E41,'[4]31.03.2024'!$B:$B,0)),"Not found")</f>
        <v>Not found</v>
      </c>
      <c r="N41" t="str">
        <f>IFERROR(INDEX([2]Sheet1!$B:$B,MATCH($D41,[2]Sheet1!$A:$A,0)),"Not found")</f>
        <v>Not found</v>
      </c>
      <c r="O41">
        <f t="shared" si="1"/>
        <v>0</v>
      </c>
      <c r="P41">
        <f t="shared" si="2"/>
        <v>0</v>
      </c>
    </row>
    <row r="42" spans="1:16" x14ac:dyDescent="0.25">
      <c r="A42" t="s">
        <v>2209</v>
      </c>
      <c r="B42" s="1">
        <v>39783</v>
      </c>
      <c r="C42" s="1">
        <v>44712</v>
      </c>
      <c r="D42" s="4" t="s">
        <v>2261</v>
      </c>
      <c r="E42" t="s">
        <v>2262</v>
      </c>
      <c r="F42">
        <v>13011</v>
      </c>
      <c r="G42">
        <v>18800102</v>
      </c>
      <c r="H42" t="s">
        <v>3</v>
      </c>
      <c r="I42" t="s">
        <v>4</v>
      </c>
      <c r="J42" t="s">
        <v>50</v>
      </c>
      <c r="K42" t="s">
        <v>2910</v>
      </c>
      <c r="L42">
        <f t="shared" ca="1" si="0"/>
        <v>13</v>
      </c>
      <c r="M42" t="str">
        <f>IFERROR(INDEX('[4]31.03.2024'!$H:$H,MATCH($E42,'[4]31.03.2024'!$B:$B,0)),"Not found")</f>
        <v>Not found</v>
      </c>
      <c r="N42" t="str">
        <f>IFERROR(INDEX([2]Sheet1!$B:$B,MATCH($D42,[2]Sheet1!$A:$A,0)),"Not found")</f>
        <v>Not found</v>
      </c>
      <c r="O42">
        <f t="shared" si="1"/>
        <v>0</v>
      </c>
      <c r="P42">
        <f t="shared" si="2"/>
        <v>0</v>
      </c>
    </row>
    <row r="43" spans="1:16" x14ac:dyDescent="0.25">
      <c r="A43" t="s">
        <v>2209</v>
      </c>
      <c r="B43" s="1">
        <v>39783</v>
      </c>
      <c r="C43" s="1">
        <v>43434</v>
      </c>
      <c r="D43" s="4" t="s">
        <v>2263</v>
      </c>
      <c r="E43" t="s">
        <v>2264</v>
      </c>
      <c r="F43">
        <v>13014</v>
      </c>
      <c r="G43">
        <v>20129645</v>
      </c>
      <c r="H43" t="s">
        <v>3</v>
      </c>
      <c r="I43" t="s">
        <v>4</v>
      </c>
      <c r="J43" t="s">
        <v>5</v>
      </c>
      <c r="K43" t="s">
        <v>2911</v>
      </c>
      <c r="L43">
        <f t="shared" ca="1" si="0"/>
        <v>9</v>
      </c>
      <c r="M43" t="str">
        <f>IFERROR(INDEX('[4]31.03.2024'!$H:$H,MATCH($E43,'[4]31.03.2024'!$B:$B,0)),"Not found")</f>
        <v>Not found</v>
      </c>
      <c r="N43" t="str">
        <f>IFERROR(INDEX([2]Sheet1!$B:$B,MATCH($D43,[2]Sheet1!$A:$A,0)),"Not found")</f>
        <v>Not found</v>
      </c>
      <c r="O43">
        <f t="shared" si="1"/>
        <v>0</v>
      </c>
      <c r="P43">
        <f t="shared" si="2"/>
        <v>0</v>
      </c>
    </row>
    <row r="44" spans="1:16" x14ac:dyDescent="0.25">
      <c r="A44" t="s">
        <v>2209</v>
      </c>
      <c r="B44" s="1">
        <v>39783</v>
      </c>
      <c r="C44" s="1">
        <v>41820</v>
      </c>
      <c r="D44" s="4" t="s">
        <v>2265</v>
      </c>
      <c r="E44" t="s">
        <v>2266</v>
      </c>
      <c r="F44">
        <v>13017</v>
      </c>
      <c r="G44">
        <v>21861758</v>
      </c>
      <c r="H44" t="s">
        <v>3</v>
      </c>
      <c r="I44" t="s">
        <v>4</v>
      </c>
      <c r="J44" t="s">
        <v>20</v>
      </c>
      <c r="K44" t="s">
        <v>2911</v>
      </c>
      <c r="L44">
        <f t="shared" ca="1" si="0"/>
        <v>5</v>
      </c>
      <c r="M44" t="str">
        <f>IFERROR(INDEX('[4]31.03.2024'!$H:$H,MATCH($E44,'[4]31.03.2024'!$B:$B,0)),"Not found")</f>
        <v>Not found</v>
      </c>
      <c r="N44" t="str">
        <f>IFERROR(INDEX([2]Sheet1!$B:$B,MATCH($D44,[2]Sheet1!$A:$A,0)),"Not found")</f>
        <v>Not found</v>
      </c>
      <c r="O44">
        <f t="shared" si="1"/>
        <v>0</v>
      </c>
      <c r="P44">
        <f t="shared" si="2"/>
        <v>0</v>
      </c>
    </row>
    <row r="45" spans="1:16" x14ac:dyDescent="0.25">
      <c r="A45" t="s">
        <v>2209</v>
      </c>
      <c r="B45" s="1">
        <v>39783</v>
      </c>
      <c r="C45" s="1">
        <v>44500</v>
      </c>
      <c r="D45" s="4" t="s">
        <v>2269</v>
      </c>
      <c r="E45" t="s">
        <v>2270</v>
      </c>
      <c r="F45">
        <v>13023</v>
      </c>
      <c r="G45">
        <v>18800065</v>
      </c>
      <c r="H45" t="s">
        <v>3</v>
      </c>
      <c r="I45" t="s">
        <v>4</v>
      </c>
      <c r="J45" t="s">
        <v>50</v>
      </c>
      <c r="K45" t="s">
        <v>2911</v>
      </c>
      <c r="L45">
        <f t="shared" ca="1" si="0"/>
        <v>12</v>
      </c>
      <c r="M45" t="str">
        <f>IFERROR(INDEX('[4]31.03.2024'!$H:$H,MATCH($E45,'[4]31.03.2024'!$B:$B,0)),"Not found")</f>
        <v>Not found</v>
      </c>
      <c r="N45" t="str">
        <f>IFERROR(INDEX([2]Sheet1!$B:$B,MATCH($D45,[2]Sheet1!$A:$A,0)),"Not found")</f>
        <v>Not found</v>
      </c>
      <c r="O45">
        <f t="shared" si="1"/>
        <v>0</v>
      </c>
      <c r="P45">
        <f t="shared" si="2"/>
        <v>0</v>
      </c>
    </row>
    <row r="46" spans="1:16" x14ac:dyDescent="0.25">
      <c r="A46" t="s">
        <v>0</v>
      </c>
      <c r="B46" s="1">
        <v>39783</v>
      </c>
      <c r="C46" s="1">
        <v>41943</v>
      </c>
      <c r="D46" s="4" t="s">
        <v>2273</v>
      </c>
      <c r="E46" t="s">
        <v>2274</v>
      </c>
      <c r="F46">
        <v>13024</v>
      </c>
      <c r="G46">
        <v>18694477</v>
      </c>
      <c r="H46" t="s">
        <v>3</v>
      </c>
      <c r="I46" t="s">
        <v>4</v>
      </c>
      <c r="J46" t="s">
        <v>20</v>
      </c>
      <c r="K46" t="s">
        <v>2910</v>
      </c>
      <c r="L46">
        <f t="shared" ca="1" si="0"/>
        <v>5</v>
      </c>
      <c r="M46" t="str">
        <f>IFERROR(INDEX('[4]31.03.2024'!$H:$H,MATCH($E46,'[4]31.03.2024'!$B:$B,0)),"Not found")</f>
        <v>Not found</v>
      </c>
      <c r="N46" t="str">
        <f>IFERROR(INDEX([2]Sheet1!$B:$B,MATCH($D46,[2]Sheet1!$A:$A,0)),"Not found")</f>
        <v>Not found</v>
      </c>
      <c r="O46">
        <f t="shared" si="1"/>
        <v>0</v>
      </c>
      <c r="P46">
        <f t="shared" si="2"/>
        <v>0</v>
      </c>
    </row>
    <row r="47" spans="1:16" x14ac:dyDescent="0.25">
      <c r="A47" t="s">
        <v>0</v>
      </c>
      <c r="B47" s="1">
        <v>39783</v>
      </c>
      <c r="C47" s="1">
        <v>44500</v>
      </c>
      <c r="D47" s="4" t="s">
        <v>2275</v>
      </c>
      <c r="E47" t="s">
        <v>2276</v>
      </c>
      <c r="F47">
        <v>13026</v>
      </c>
      <c r="G47">
        <v>18799973</v>
      </c>
      <c r="H47" t="s">
        <v>3</v>
      </c>
      <c r="I47" t="s">
        <v>4</v>
      </c>
      <c r="J47" t="s">
        <v>20</v>
      </c>
      <c r="K47" t="s">
        <v>2911</v>
      </c>
      <c r="L47">
        <f t="shared" ca="1" si="0"/>
        <v>12</v>
      </c>
      <c r="M47" t="str">
        <f>IFERROR(INDEX('[4]31.03.2024'!$H:$H,MATCH($E47,'[4]31.03.2024'!$B:$B,0)),"Not found")</f>
        <v>Not found</v>
      </c>
      <c r="N47" t="str">
        <f>IFERROR(INDEX([2]Sheet1!$B:$B,MATCH($D47,[2]Sheet1!$A:$A,0)),"Not found")</f>
        <v>Not found</v>
      </c>
      <c r="O47">
        <f t="shared" si="1"/>
        <v>0</v>
      </c>
      <c r="P47">
        <f t="shared" si="2"/>
        <v>0</v>
      </c>
    </row>
    <row r="48" spans="1:16" x14ac:dyDescent="0.25">
      <c r="A48" t="s">
        <v>0</v>
      </c>
      <c r="B48" s="1">
        <v>39783</v>
      </c>
      <c r="C48" s="1">
        <v>42369</v>
      </c>
      <c r="D48" s="4" t="s">
        <v>971</v>
      </c>
      <c r="E48" t="s">
        <v>2277</v>
      </c>
      <c r="F48">
        <v>13027</v>
      </c>
      <c r="G48">
        <v>15402010</v>
      </c>
      <c r="H48" t="s">
        <v>3</v>
      </c>
      <c r="I48" t="s">
        <v>4</v>
      </c>
      <c r="J48" t="s">
        <v>20</v>
      </c>
      <c r="K48" t="s">
        <v>2910</v>
      </c>
      <c r="L48">
        <f t="shared" ca="1" si="0"/>
        <v>7</v>
      </c>
      <c r="M48" t="str">
        <f>IFERROR(INDEX('[4]31.03.2024'!$H:$H,MATCH($E48,'[4]31.03.2024'!$B:$B,0)),"Not found")</f>
        <v>Not found</v>
      </c>
      <c r="N48" t="str">
        <f>IFERROR(INDEX([2]Sheet1!$B:$B,MATCH($D48,[2]Sheet1!$A:$A,0)),"Not found")</f>
        <v>Retail</v>
      </c>
      <c r="O48">
        <f t="shared" si="1"/>
        <v>1</v>
      </c>
      <c r="P48">
        <f t="shared" si="2"/>
        <v>0</v>
      </c>
    </row>
    <row r="49" spans="1:16" x14ac:dyDescent="0.25">
      <c r="A49" t="s">
        <v>2209</v>
      </c>
      <c r="B49" s="1">
        <v>39783</v>
      </c>
      <c r="C49" s="1">
        <v>41943</v>
      </c>
      <c r="D49" s="4" t="s">
        <v>2278</v>
      </c>
      <c r="E49" t="s">
        <v>2279</v>
      </c>
      <c r="F49">
        <v>13028</v>
      </c>
      <c r="G49">
        <v>18637894</v>
      </c>
      <c r="H49" t="s">
        <v>3</v>
      </c>
      <c r="I49" t="s">
        <v>4</v>
      </c>
      <c r="J49" t="s">
        <v>5</v>
      </c>
      <c r="K49" t="s">
        <v>2911</v>
      </c>
      <c r="L49">
        <f t="shared" ca="1" si="0"/>
        <v>5</v>
      </c>
      <c r="M49" t="str">
        <f>IFERROR(INDEX('[4]31.03.2024'!$H:$H,MATCH($E49,'[4]31.03.2024'!$B:$B,0)),"Not found")</f>
        <v>Not found</v>
      </c>
      <c r="N49" t="str">
        <f>IFERROR(INDEX([2]Sheet1!$B:$B,MATCH($D49,[2]Sheet1!$A:$A,0)),"Not found")</f>
        <v>Not found</v>
      </c>
      <c r="O49">
        <f t="shared" si="1"/>
        <v>0</v>
      </c>
      <c r="P49">
        <f t="shared" si="2"/>
        <v>0</v>
      </c>
    </row>
    <row r="50" spans="1:16" x14ac:dyDescent="0.25">
      <c r="A50" t="s">
        <v>2209</v>
      </c>
      <c r="B50" s="1">
        <v>39783</v>
      </c>
      <c r="C50" s="1">
        <v>42490</v>
      </c>
      <c r="D50" s="4" t="s">
        <v>2267</v>
      </c>
      <c r="E50" t="s">
        <v>2268</v>
      </c>
      <c r="F50">
        <v>13029</v>
      </c>
      <c r="G50">
        <v>21861627</v>
      </c>
      <c r="H50" t="s">
        <v>3</v>
      </c>
      <c r="I50" t="s">
        <v>4</v>
      </c>
      <c r="J50" t="s">
        <v>20</v>
      </c>
      <c r="K50" t="s">
        <v>2911</v>
      </c>
      <c r="L50">
        <f t="shared" ca="1" si="0"/>
        <v>7</v>
      </c>
      <c r="M50" t="str">
        <f>IFERROR(INDEX('[4]31.03.2024'!$H:$H,MATCH($E50,'[4]31.03.2024'!$B:$B,0)),"Not found")</f>
        <v>Not found</v>
      </c>
      <c r="N50" t="str">
        <f>IFERROR(INDEX([2]Sheet1!$B:$B,MATCH($D50,[2]Sheet1!$A:$A,0)),"Not found")</f>
        <v>Not found</v>
      </c>
      <c r="O50">
        <f t="shared" si="1"/>
        <v>0</v>
      </c>
      <c r="P50">
        <f t="shared" si="2"/>
        <v>0</v>
      </c>
    </row>
    <row r="51" spans="1:16" x14ac:dyDescent="0.25">
      <c r="A51" t="s">
        <v>2209</v>
      </c>
      <c r="B51" s="1">
        <v>39783</v>
      </c>
      <c r="C51" s="1">
        <v>44926</v>
      </c>
      <c r="D51" s="4" t="s">
        <v>2280</v>
      </c>
      <c r="E51" t="s">
        <v>2281</v>
      </c>
      <c r="F51">
        <v>13031</v>
      </c>
      <c r="G51">
        <v>18665668</v>
      </c>
      <c r="H51" t="s">
        <v>3</v>
      </c>
      <c r="I51" t="s">
        <v>4</v>
      </c>
      <c r="J51" t="s">
        <v>20</v>
      </c>
      <c r="K51" t="s">
        <v>2911</v>
      </c>
      <c r="L51">
        <f t="shared" ca="1" si="0"/>
        <v>14</v>
      </c>
      <c r="M51" t="str">
        <f>IFERROR(INDEX('[4]31.03.2024'!$H:$H,MATCH($E51,'[4]31.03.2024'!$B:$B,0)),"Not found")</f>
        <v>Not found</v>
      </c>
      <c r="N51" t="str">
        <f>IFERROR(INDEX([2]Sheet1!$B:$B,MATCH($D51,[2]Sheet1!$A:$A,0)),"Not found")</f>
        <v>Not found</v>
      </c>
      <c r="O51">
        <f t="shared" si="1"/>
        <v>0</v>
      </c>
      <c r="P51">
        <f t="shared" si="2"/>
        <v>0</v>
      </c>
    </row>
    <row r="52" spans="1:16" x14ac:dyDescent="0.25">
      <c r="A52" t="s">
        <v>2209</v>
      </c>
      <c r="B52" s="1">
        <v>39783</v>
      </c>
      <c r="C52" s="1">
        <v>44561</v>
      </c>
      <c r="D52" s="4" t="s">
        <v>2282</v>
      </c>
      <c r="E52" t="s">
        <v>2283</v>
      </c>
      <c r="F52">
        <v>13034</v>
      </c>
      <c r="G52">
        <v>18799957</v>
      </c>
      <c r="H52" t="s">
        <v>3</v>
      </c>
      <c r="I52" t="s">
        <v>4</v>
      </c>
      <c r="J52" t="s">
        <v>20</v>
      </c>
      <c r="K52" t="s">
        <v>2910</v>
      </c>
      <c r="L52">
        <f t="shared" ca="1" si="0"/>
        <v>13</v>
      </c>
      <c r="M52" t="str">
        <f>IFERROR(INDEX('[4]31.03.2024'!$H:$H,MATCH($E52,'[4]31.03.2024'!$B:$B,0)),"Not found")</f>
        <v>Not found</v>
      </c>
      <c r="N52" t="str">
        <f>IFERROR(INDEX([2]Sheet1!$B:$B,MATCH($D52,[2]Sheet1!$A:$A,0)),"Not found")</f>
        <v>Not found</v>
      </c>
      <c r="O52">
        <f t="shared" si="1"/>
        <v>0</v>
      </c>
      <c r="P52">
        <f t="shared" si="2"/>
        <v>0</v>
      </c>
    </row>
    <row r="53" spans="1:16" x14ac:dyDescent="0.25">
      <c r="A53" t="s">
        <v>2209</v>
      </c>
      <c r="B53" s="1">
        <v>39783</v>
      </c>
      <c r="C53" s="1">
        <v>41820</v>
      </c>
      <c r="D53" s="4" t="s">
        <v>2284</v>
      </c>
      <c r="E53" t="s">
        <v>2285</v>
      </c>
      <c r="F53">
        <v>13039</v>
      </c>
      <c r="G53">
        <v>21861803</v>
      </c>
      <c r="H53" t="s">
        <v>3</v>
      </c>
      <c r="I53" t="s">
        <v>4</v>
      </c>
      <c r="J53" t="s">
        <v>20</v>
      </c>
      <c r="K53" t="s">
        <v>2911</v>
      </c>
      <c r="L53">
        <f t="shared" ca="1" si="0"/>
        <v>5</v>
      </c>
      <c r="M53" t="str">
        <f>IFERROR(INDEX('[4]31.03.2024'!$H:$H,MATCH($E53,'[4]31.03.2024'!$B:$B,0)),"Not found")</f>
        <v>Not found</v>
      </c>
      <c r="N53" t="str">
        <f>IFERROR(INDEX([2]Sheet1!$B:$B,MATCH($D53,[2]Sheet1!$A:$A,0)),"Not found")</f>
        <v>Not found</v>
      </c>
      <c r="O53">
        <f t="shared" si="1"/>
        <v>0</v>
      </c>
      <c r="P53">
        <f t="shared" si="2"/>
        <v>0</v>
      </c>
    </row>
    <row r="54" spans="1:16" x14ac:dyDescent="0.25">
      <c r="A54" t="s">
        <v>0</v>
      </c>
      <c r="B54" s="1">
        <v>39783</v>
      </c>
      <c r="C54" s="1">
        <v>43799</v>
      </c>
      <c r="D54" s="4" t="s">
        <v>2286</v>
      </c>
      <c r="E54" t="s">
        <v>2287</v>
      </c>
      <c r="F54">
        <v>13050</v>
      </c>
      <c r="G54">
        <v>20667101</v>
      </c>
      <c r="H54" t="s">
        <v>3</v>
      </c>
      <c r="I54" t="s">
        <v>4</v>
      </c>
      <c r="J54" t="s">
        <v>20</v>
      </c>
      <c r="K54" t="s">
        <v>2911</v>
      </c>
      <c r="L54">
        <f t="shared" ca="1" si="0"/>
        <v>10</v>
      </c>
      <c r="M54" t="str">
        <f>IFERROR(INDEX('[4]31.03.2024'!$H:$H,MATCH($E54,'[4]31.03.2024'!$B:$B,0)),"Not found")</f>
        <v>Not found</v>
      </c>
      <c r="N54" t="str">
        <f>IFERROR(INDEX([2]Sheet1!$B:$B,MATCH($D54,[2]Sheet1!$A:$A,0)),"Not found")</f>
        <v>Not found</v>
      </c>
      <c r="O54">
        <f t="shared" si="1"/>
        <v>0</v>
      </c>
      <c r="P54">
        <f t="shared" si="2"/>
        <v>0</v>
      </c>
    </row>
    <row r="55" spans="1:16" x14ac:dyDescent="0.25">
      <c r="A55" t="s">
        <v>0</v>
      </c>
      <c r="B55" s="1">
        <v>39783</v>
      </c>
      <c r="C55" s="1">
        <v>41912</v>
      </c>
      <c r="D55" s="4" t="s">
        <v>2288</v>
      </c>
      <c r="E55" t="s">
        <v>2289</v>
      </c>
      <c r="F55">
        <v>13052</v>
      </c>
      <c r="G55">
        <v>18694370</v>
      </c>
      <c r="H55" t="s">
        <v>3</v>
      </c>
      <c r="I55" t="s">
        <v>4</v>
      </c>
      <c r="J55" t="s">
        <v>50</v>
      </c>
      <c r="K55" t="s">
        <v>2910</v>
      </c>
      <c r="L55">
        <f t="shared" ca="1" si="0"/>
        <v>5</v>
      </c>
      <c r="M55" t="str">
        <f>IFERROR(INDEX('[4]31.03.2024'!$H:$H,MATCH($E55,'[4]31.03.2024'!$B:$B,0)),"Not found")</f>
        <v>Not found</v>
      </c>
      <c r="N55" t="str">
        <f>IFERROR(INDEX([2]Sheet1!$B:$B,MATCH($D55,[2]Sheet1!$A:$A,0)),"Not found")</f>
        <v>Not found</v>
      </c>
      <c r="O55">
        <f t="shared" si="1"/>
        <v>0</v>
      </c>
      <c r="P55">
        <f t="shared" si="2"/>
        <v>0</v>
      </c>
    </row>
    <row r="56" spans="1:16" x14ac:dyDescent="0.25">
      <c r="A56" t="s">
        <v>0</v>
      </c>
      <c r="B56" s="1">
        <v>39783</v>
      </c>
      <c r="C56" s="1">
        <v>42855</v>
      </c>
      <c r="D56" s="4" t="s">
        <v>2290</v>
      </c>
      <c r="E56" t="s">
        <v>2291</v>
      </c>
      <c r="F56">
        <v>13061</v>
      </c>
      <c r="G56">
        <v>22739746</v>
      </c>
      <c r="H56" t="s">
        <v>3</v>
      </c>
      <c r="I56" t="s">
        <v>4</v>
      </c>
      <c r="J56" t="s">
        <v>20</v>
      </c>
      <c r="K56" t="s">
        <v>2911</v>
      </c>
      <c r="L56">
        <f t="shared" ca="1" si="0"/>
        <v>8</v>
      </c>
      <c r="M56" t="str">
        <f>IFERROR(INDEX('[4]31.03.2024'!$H:$H,MATCH($E56,'[4]31.03.2024'!$B:$B,0)),"Not found")</f>
        <v>Not found</v>
      </c>
      <c r="N56" t="str">
        <f>IFERROR(INDEX([2]Sheet1!$B:$B,MATCH($D56,[2]Sheet1!$A:$A,0)),"Not found")</f>
        <v>Not found</v>
      </c>
      <c r="O56">
        <f t="shared" si="1"/>
        <v>0</v>
      </c>
      <c r="P56">
        <f t="shared" si="2"/>
        <v>0</v>
      </c>
    </row>
    <row r="57" spans="1:16" x14ac:dyDescent="0.25">
      <c r="A57" t="s">
        <v>0</v>
      </c>
      <c r="B57" s="1">
        <v>39783</v>
      </c>
      <c r="C57" s="1">
        <v>44165</v>
      </c>
      <c r="D57" s="4" t="s">
        <v>2292</v>
      </c>
      <c r="E57" t="s">
        <v>2293</v>
      </c>
      <c r="F57">
        <v>13066</v>
      </c>
      <c r="G57">
        <v>22667981</v>
      </c>
      <c r="H57" t="s">
        <v>3</v>
      </c>
      <c r="I57" t="s">
        <v>4</v>
      </c>
      <c r="J57" t="s">
        <v>20</v>
      </c>
      <c r="K57" t="s">
        <v>2911</v>
      </c>
      <c r="L57">
        <f t="shared" ca="1" si="0"/>
        <v>11</v>
      </c>
      <c r="M57" t="str">
        <f>IFERROR(INDEX('[4]31.03.2024'!$H:$H,MATCH($E57,'[4]31.03.2024'!$B:$B,0)),"Not found")</f>
        <v>Not found</v>
      </c>
      <c r="N57" t="str">
        <f>IFERROR(INDEX([2]Sheet1!$B:$B,MATCH($D57,[2]Sheet1!$A:$A,0)),"Not found")</f>
        <v>Not found</v>
      </c>
      <c r="O57">
        <f t="shared" si="1"/>
        <v>0</v>
      </c>
      <c r="P57">
        <f t="shared" si="2"/>
        <v>0</v>
      </c>
    </row>
    <row r="58" spans="1:16" x14ac:dyDescent="0.25">
      <c r="A58" t="s">
        <v>0</v>
      </c>
      <c r="B58" s="1">
        <v>39783</v>
      </c>
      <c r="C58" s="1">
        <v>43799</v>
      </c>
      <c r="D58" s="4" t="s">
        <v>2294</v>
      </c>
      <c r="E58" t="s">
        <v>2295</v>
      </c>
      <c r="F58">
        <v>13069</v>
      </c>
      <c r="G58">
        <v>22669274</v>
      </c>
      <c r="H58" t="s">
        <v>3</v>
      </c>
      <c r="I58" t="s">
        <v>4</v>
      </c>
      <c r="J58" t="s">
        <v>50</v>
      </c>
      <c r="K58" t="s">
        <v>2911</v>
      </c>
      <c r="L58">
        <f t="shared" ca="1" si="0"/>
        <v>10</v>
      </c>
      <c r="M58" t="str">
        <f>IFERROR(INDEX('[4]31.03.2024'!$H:$H,MATCH($E58,'[4]31.03.2024'!$B:$B,0)),"Not found")</f>
        <v>Not found</v>
      </c>
      <c r="N58" t="str">
        <f>IFERROR(INDEX([2]Sheet1!$B:$B,MATCH($D58,[2]Sheet1!$A:$A,0)),"Not found")</f>
        <v>Not found</v>
      </c>
      <c r="O58">
        <f t="shared" si="1"/>
        <v>0</v>
      </c>
      <c r="P58">
        <f t="shared" si="2"/>
        <v>0</v>
      </c>
    </row>
    <row r="59" spans="1:16" x14ac:dyDescent="0.25">
      <c r="A59" t="s">
        <v>0</v>
      </c>
      <c r="B59" s="1">
        <v>39783</v>
      </c>
      <c r="C59" s="1">
        <v>43799</v>
      </c>
      <c r="D59" s="4" t="s">
        <v>2296</v>
      </c>
      <c r="E59" t="s">
        <v>2297</v>
      </c>
      <c r="F59">
        <v>13070</v>
      </c>
      <c r="G59">
        <v>22666751</v>
      </c>
      <c r="H59" t="s">
        <v>3</v>
      </c>
      <c r="I59" t="s">
        <v>4</v>
      </c>
      <c r="J59" t="s">
        <v>20</v>
      </c>
      <c r="K59" t="s">
        <v>2911</v>
      </c>
      <c r="L59">
        <f t="shared" ca="1" si="0"/>
        <v>10</v>
      </c>
      <c r="M59" t="str">
        <f>IFERROR(INDEX('[4]31.03.2024'!$H:$H,MATCH($E59,'[4]31.03.2024'!$B:$B,0)),"Not found")</f>
        <v>Not found</v>
      </c>
      <c r="N59" t="str">
        <f>IFERROR(INDEX([2]Sheet1!$B:$B,MATCH($D59,[2]Sheet1!$A:$A,0)),"Not found")</f>
        <v>Not found</v>
      </c>
      <c r="O59">
        <f t="shared" si="1"/>
        <v>0</v>
      </c>
      <c r="P59">
        <f t="shared" si="2"/>
        <v>0</v>
      </c>
    </row>
    <row r="60" spans="1:16" x14ac:dyDescent="0.25">
      <c r="A60" t="s">
        <v>0</v>
      </c>
      <c r="B60" s="1">
        <v>39783</v>
      </c>
      <c r="C60" s="1">
        <v>41639</v>
      </c>
      <c r="D60" s="4" t="s">
        <v>2298</v>
      </c>
      <c r="E60" t="s">
        <v>2299</v>
      </c>
      <c r="F60">
        <v>13071</v>
      </c>
      <c r="G60">
        <v>16398009</v>
      </c>
      <c r="H60" t="s">
        <v>3</v>
      </c>
      <c r="I60" t="s">
        <v>4</v>
      </c>
      <c r="J60" t="s">
        <v>20</v>
      </c>
      <c r="K60" t="s">
        <v>2911</v>
      </c>
      <c r="L60">
        <f t="shared" ca="1" si="0"/>
        <v>5</v>
      </c>
      <c r="M60" t="str">
        <f>IFERROR(INDEX('[4]31.03.2024'!$H:$H,MATCH($E60,'[4]31.03.2024'!$B:$B,0)),"Not found")</f>
        <v>Not found</v>
      </c>
      <c r="N60" t="str">
        <f>IFERROR(INDEX([2]Sheet1!$B:$B,MATCH($D60,[2]Sheet1!$A:$A,0)),"Not found")</f>
        <v>Not found</v>
      </c>
      <c r="O60">
        <f t="shared" si="1"/>
        <v>0</v>
      </c>
      <c r="P60">
        <f t="shared" si="2"/>
        <v>0</v>
      </c>
    </row>
    <row r="61" spans="1:16" x14ac:dyDescent="0.25">
      <c r="A61" t="s">
        <v>0</v>
      </c>
      <c r="B61" s="1">
        <v>39783</v>
      </c>
      <c r="C61" s="1">
        <v>44742</v>
      </c>
      <c r="D61" s="4" t="s">
        <v>2271</v>
      </c>
      <c r="E61" t="s">
        <v>2272</v>
      </c>
      <c r="F61">
        <v>13073</v>
      </c>
      <c r="G61">
        <v>18800049</v>
      </c>
      <c r="H61" t="s">
        <v>3</v>
      </c>
      <c r="I61" t="s">
        <v>4</v>
      </c>
      <c r="J61" t="s">
        <v>50</v>
      </c>
      <c r="K61" t="s">
        <v>2910</v>
      </c>
      <c r="L61">
        <f t="shared" ca="1" si="0"/>
        <v>13</v>
      </c>
      <c r="M61" t="str">
        <f>IFERROR(INDEX('[4]31.03.2024'!$H:$H,MATCH($E61,'[4]31.03.2024'!$B:$B,0)),"Not found")</f>
        <v>Not found</v>
      </c>
      <c r="N61" t="str">
        <f>IFERROR(INDEX([2]Sheet1!$B:$B,MATCH($D61,[2]Sheet1!$A:$A,0)),"Not found")</f>
        <v>Not found</v>
      </c>
      <c r="O61">
        <f t="shared" si="1"/>
        <v>0</v>
      </c>
      <c r="P61">
        <f t="shared" si="2"/>
        <v>0</v>
      </c>
    </row>
    <row r="62" spans="1:16" x14ac:dyDescent="0.25">
      <c r="A62" t="s">
        <v>0</v>
      </c>
      <c r="B62" s="1">
        <v>39783</v>
      </c>
      <c r="C62" s="1">
        <v>44742</v>
      </c>
      <c r="D62" s="4" t="s">
        <v>2237</v>
      </c>
      <c r="E62" t="s">
        <v>2238</v>
      </c>
      <c r="F62">
        <v>13074</v>
      </c>
      <c r="G62">
        <v>18800030</v>
      </c>
      <c r="H62" t="s">
        <v>3</v>
      </c>
      <c r="I62" t="s">
        <v>4</v>
      </c>
      <c r="J62" t="s">
        <v>5</v>
      </c>
      <c r="K62" t="s">
        <v>2910</v>
      </c>
      <c r="L62">
        <f t="shared" ca="1" si="0"/>
        <v>13</v>
      </c>
      <c r="M62" t="str">
        <f>IFERROR(INDEX('[4]31.03.2024'!$H:$H,MATCH($E62,'[4]31.03.2024'!$B:$B,0)),"Not found")</f>
        <v>Not found</v>
      </c>
      <c r="N62" t="str">
        <f>IFERROR(INDEX([2]Sheet1!$B:$B,MATCH($D62,[2]Sheet1!$A:$A,0)),"Not found")</f>
        <v>Not found</v>
      </c>
      <c r="O62">
        <f t="shared" si="1"/>
        <v>0</v>
      </c>
      <c r="P62">
        <f t="shared" si="2"/>
        <v>0</v>
      </c>
    </row>
    <row r="63" spans="1:16" x14ac:dyDescent="0.25">
      <c r="A63" t="s">
        <v>0</v>
      </c>
      <c r="B63" s="1">
        <v>39783</v>
      </c>
      <c r="C63" s="1">
        <v>44742</v>
      </c>
      <c r="D63" s="4" t="s">
        <v>2243</v>
      </c>
      <c r="E63" t="s">
        <v>2244</v>
      </c>
      <c r="F63">
        <v>13075</v>
      </c>
      <c r="G63">
        <v>18800022</v>
      </c>
      <c r="H63" t="s">
        <v>3</v>
      </c>
      <c r="I63" t="s">
        <v>4</v>
      </c>
      <c r="J63" t="s">
        <v>20</v>
      </c>
      <c r="K63" t="s">
        <v>2910</v>
      </c>
      <c r="L63">
        <f t="shared" ca="1" si="0"/>
        <v>13</v>
      </c>
      <c r="M63" t="str">
        <f>IFERROR(INDEX('[4]31.03.2024'!$H:$H,MATCH($E63,'[4]31.03.2024'!$B:$B,0)),"Not found")</f>
        <v>Not found</v>
      </c>
      <c r="N63" t="str">
        <f>IFERROR(INDEX([2]Sheet1!$B:$B,MATCH($D63,[2]Sheet1!$A:$A,0)),"Not found")</f>
        <v>Not found</v>
      </c>
      <c r="O63">
        <f t="shared" si="1"/>
        <v>0</v>
      </c>
      <c r="P63">
        <f t="shared" si="2"/>
        <v>0</v>
      </c>
    </row>
    <row r="64" spans="1:16" x14ac:dyDescent="0.25">
      <c r="A64" t="s">
        <v>0</v>
      </c>
      <c r="B64" s="1">
        <v>39783</v>
      </c>
      <c r="C64" s="1">
        <v>41943</v>
      </c>
      <c r="D64" s="4" t="s">
        <v>2302</v>
      </c>
      <c r="E64" t="s">
        <v>2303</v>
      </c>
      <c r="F64">
        <v>13078</v>
      </c>
      <c r="G64">
        <v>18637982</v>
      </c>
      <c r="H64" t="s">
        <v>10</v>
      </c>
      <c r="I64" t="s">
        <v>4</v>
      </c>
      <c r="J64" t="s">
        <v>5</v>
      </c>
      <c r="K64" t="s">
        <v>2911</v>
      </c>
      <c r="L64">
        <f t="shared" ca="1" si="0"/>
        <v>5</v>
      </c>
      <c r="M64" t="str">
        <f>IFERROR(INDEX('[4]31.03.2024'!$H:$H,MATCH($E64,'[4]31.03.2024'!$B:$B,0)),"Not found")</f>
        <v>Not found</v>
      </c>
      <c r="N64" t="str">
        <f>IFERROR(INDEX([2]Sheet1!$B:$B,MATCH($D64,[2]Sheet1!$A:$A,0)),"Not found")</f>
        <v>Not found</v>
      </c>
      <c r="O64">
        <f t="shared" si="1"/>
        <v>0</v>
      </c>
      <c r="P64">
        <f t="shared" si="2"/>
        <v>0</v>
      </c>
    </row>
    <row r="65" spans="1:16" x14ac:dyDescent="0.25">
      <c r="A65" t="s">
        <v>0</v>
      </c>
      <c r="B65" s="1">
        <v>39783</v>
      </c>
      <c r="C65" s="1">
        <v>43404</v>
      </c>
      <c r="D65" s="4" t="s">
        <v>2304</v>
      </c>
      <c r="E65" t="s">
        <v>2305</v>
      </c>
      <c r="F65">
        <v>13083</v>
      </c>
      <c r="G65">
        <v>22667359</v>
      </c>
      <c r="H65" t="s">
        <v>3</v>
      </c>
      <c r="I65" t="s">
        <v>4</v>
      </c>
      <c r="J65" t="s">
        <v>20</v>
      </c>
      <c r="K65" t="s">
        <v>2911</v>
      </c>
      <c r="L65">
        <f t="shared" ca="1" si="0"/>
        <v>9</v>
      </c>
      <c r="M65" t="str">
        <f>IFERROR(INDEX('[4]31.03.2024'!$H:$H,MATCH($E65,'[4]31.03.2024'!$B:$B,0)),"Not found")</f>
        <v>Not found</v>
      </c>
      <c r="N65" t="str">
        <f>IFERROR(INDEX([2]Sheet1!$B:$B,MATCH($D65,[2]Sheet1!$A:$A,0)),"Not found")</f>
        <v>Not found</v>
      </c>
      <c r="O65">
        <f t="shared" si="1"/>
        <v>0</v>
      </c>
      <c r="P65">
        <f t="shared" si="2"/>
        <v>0</v>
      </c>
    </row>
    <row r="66" spans="1:16" x14ac:dyDescent="0.25">
      <c r="A66" t="s">
        <v>0</v>
      </c>
      <c r="B66" s="1">
        <v>39783</v>
      </c>
      <c r="C66" s="1">
        <v>43799</v>
      </c>
      <c r="D66" s="4" t="s">
        <v>2306</v>
      </c>
      <c r="E66" t="s">
        <v>2307</v>
      </c>
      <c r="F66">
        <v>13085</v>
      </c>
      <c r="G66">
        <v>22668546</v>
      </c>
      <c r="H66" t="s">
        <v>3</v>
      </c>
      <c r="I66" t="s">
        <v>4</v>
      </c>
      <c r="J66" t="s">
        <v>5</v>
      </c>
      <c r="K66" t="s">
        <v>2911</v>
      </c>
      <c r="L66">
        <f t="shared" ca="1" si="0"/>
        <v>10</v>
      </c>
      <c r="M66" t="str">
        <f>IFERROR(INDEX('[4]31.03.2024'!$H:$H,MATCH($E66,'[4]31.03.2024'!$B:$B,0)),"Not found")</f>
        <v>Not found</v>
      </c>
      <c r="N66" t="str">
        <f>IFERROR(INDEX([2]Sheet1!$B:$B,MATCH($D66,[2]Sheet1!$A:$A,0)),"Not found")</f>
        <v>Not found</v>
      </c>
      <c r="O66">
        <f t="shared" si="1"/>
        <v>0</v>
      </c>
      <c r="P66">
        <f t="shared" si="2"/>
        <v>0</v>
      </c>
    </row>
    <row r="67" spans="1:16" x14ac:dyDescent="0.25">
      <c r="A67" t="s">
        <v>0</v>
      </c>
      <c r="B67" s="1">
        <v>39783</v>
      </c>
      <c r="C67" s="1">
        <v>41364</v>
      </c>
      <c r="D67" s="4" t="s">
        <v>2308</v>
      </c>
      <c r="E67" t="s">
        <v>2309</v>
      </c>
      <c r="F67">
        <v>13087</v>
      </c>
      <c r="G67">
        <v>18665748</v>
      </c>
      <c r="H67" t="s">
        <v>3</v>
      </c>
      <c r="I67" t="s">
        <v>4</v>
      </c>
      <c r="J67" t="s">
        <v>20</v>
      </c>
      <c r="K67" t="s">
        <v>2911</v>
      </c>
      <c r="L67">
        <f t="shared" ref="L67:L130" ca="1" si="3">IF($K67="Continues",DATEDIF($B67,TODAY(),"Y"),DATEDIF($B67,$C67,"Y"))</f>
        <v>4</v>
      </c>
      <c r="M67" t="str">
        <f>IFERROR(INDEX('[4]31.03.2024'!$H:$H,MATCH($E67,'[4]31.03.2024'!$B:$B,0)),"Not found")</f>
        <v>Not found</v>
      </c>
      <c r="N67" t="str">
        <f>IFERROR(INDEX([2]Sheet1!$B:$B,MATCH($D67,[2]Sheet1!$A:$A,0)),"Not found")</f>
        <v>Not found</v>
      </c>
      <c r="O67">
        <f t="shared" ref="O67:O130" si="4">IF($N67="Retail",1,0)</f>
        <v>0</v>
      </c>
      <c r="P67">
        <f t="shared" ref="P67:P130" si="5">IF($N67="Non-Retail",1,0)</f>
        <v>0</v>
      </c>
    </row>
    <row r="68" spans="1:16" x14ac:dyDescent="0.25">
      <c r="A68" t="s">
        <v>0</v>
      </c>
      <c r="B68" s="1">
        <v>39783</v>
      </c>
      <c r="C68" s="1">
        <v>42429</v>
      </c>
      <c r="D68" s="4" t="s">
        <v>2310</v>
      </c>
      <c r="E68" t="s">
        <v>2311</v>
      </c>
      <c r="F68">
        <v>13089</v>
      </c>
      <c r="G68">
        <v>17963161</v>
      </c>
      <c r="H68" t="s">
        <v>3</v>
      </c>
      <c r="I68" t="s">
        <v>4</v>
      </c>
      <c r="J68" t="s">
        <v>5</v>
      </c>
      <c r="K68" t="s">
        <v>2911</v>
      </c>
      <c r="L68">
        <f t="shared" ca="1" si="3"/>
        <v>7</v>
      </c>
      <c r="M68" t="str">
        <f>IFERROR(INDEX('[4]31.03.2024'!$H:$H,MATCH($E68,'[4]31.03.2024'!$B:$B,0)),"Not found")</f>
        <v>Not found</v>
      </c>
      <c r="N68" t="str">
        <f>IFERROR(INDEX([2]Sheet1!$B:$B,MATCH($D68,[2]Sheet1!$A:$A,0)),"Not found")</f>
        <v>Not found</v>
      </c>
      <c r="O68">
        <f t="shared" si="4"/>
        <v>0</v>
      </c>
      <c r="P68">
        <f t="shared" si="5"/>
        <v>0</v>
      </c>
    </row>
    <row r="69" spans="1:16" x14ac:dyDescent="0.25">
      <c r="A69" t="s">
        <v>0</v>
      </c>
      <c r="B69" s="1">
        <v>39783</v>
      </c>
      <c r="C69" s="1">
        <v>44408</v>
      </c>
      <c r="D69" s="4" t="s">
        <v>2312</v>
      </c>
      <c r="E69" t="s">
        <v>2313</v>
      </c>
      <c r="F69">
        <v>13090</v>
      </c>
      <c r="G69">
        <v>17963209</v>
      </c>
      <c r="H69" t="s">
        <v>3</v>
      </c>
      <c r="I69" t="s">
        <v>4</v>
      </c>
      <c r="J69" t="s">
        <v>5</v>
      </c>
      <c r="K69" t="s">
        <v>2911</v>
      </c>
      <c r="L69">
        <f t="shared" ca="1" si="3"/>
        <v>12</v>
      </c>
      <c r="M69" t="str">
        <f>IFERROR(INDEX('[4]31.03.2024'!$H:$H,MATCH($E69,'[4]31.03.2024'!$B:$B,0)),"Not found")</f>
        <v>Not found</v>
      </c>
      <c r="N69" t="str">
        <f>IFERROR(INDEX([2]Sheet1!$B:$B,MATCH($D69,[2]Sheet1!$A:$A,0)),"Not found")</f>
        <v>Not found</v>
      </c>
      <c r="O69">
        <f t="shared" si="4"/>
        <v>0</v>
      </c>
      <c r="P69">
        <f t="shared" si="5"/>
        <v>0</v>
      </c>
    </row>
    <row r="70" spans="1:16" x14ac:dyDescent="0.25">
      <c r="A70" t="s">
        <v>0</v>
      </c>
      <c r="B70" s="1">
        <v>39783</v>
      </c>
      <c r="C70" s="1">
        <v>44135</v>
      </c>
      <c r="D70" s="4" t="s">
        <v>2314</v>
      </c>
      <c r="E70" t="s">
        <v>2315</v>
      </c>
      <c r="F70">
        <v>13102</v>
      </c>
      <c r="G70">
        <v>20667224</v>
      </c>
      <c r="H70" t="s">
        <v>3</v>
      </c>
      <c r="I70" t="s">
        <v>4</v>
      </c>
      <c r="J70" t="s">
        <v>20</v>
      </c>
      <c r="K70" t="s">
        <v>2911</v>
      </c>
      <c r="L70">
        <f t="shared" ca="1" si="3"/>
        <v>11</v>
      </c>
      <c r="M70" t="str">
        <f>IFERROR(INDEX('[4]31.03.2024'!$H:$H,MATCH($E70,'[4]31.03.2024'!$B:$B,0)),"Not found")</f>
        <v>Not found</v>
      </c>
      <c r="N70" t="str">
        <f>IFERROR(INDEX([2]Sheet1!$B:$B,MATCH($D70,[2]Sheet1!$A:$A,0)),"Not found")</f>
        <v>Not found</v>
      </c>
      <c r="O70">
        <f t="shared" si="4"/>
        <v>0</v>
      </c>
      <c r="P70">
        <f t="shared" si="5"/>
        <v>0</v>
      </c>
    </row>
    <row r="71" spans="1:16" x14ac:dyDescent="0.25">
      <c r="A71" t="s">
        <v>0</v>
      </c>
      <c r="B71" s="1">
        <v>39783</v>
      </c>
      <c r="C71" s="1">
        <v>41759</v>
      </c>
      <c r="D71" s="4" t="s">
        <v>2316</v>
      </c>
      <c r="E71" t="s">
        <v>2317</v>
      </c>
      <c r="F71">
        <v>13108</v>
      </c>
      <c r="G71">
        <v>17345064</v>
      </c>
      <c r="H71" t="s">
        <v>3</v>
      </c>
      <c r="I71" t="s">
        <v>4</v>
      </c>
      <c r="J71" t="s">
        <v>20</v>
      </c>
      <c r="K71" t="s">
        <v>2911</v>
      </c>
      <c r="L71">
        <f t="shared" ca="1" si="3"/>
        <v>5</v>
      </c>
      <c r="M71" t="str">
        <f>IFERROR(INDEX('[4]31.03.2024'!$H:$H,MATCH($E71,'[4]31.03.2024'!$B:$B,0)),"Not found")</f>
        <v>Not found</v>
      </c>
      <c r="N71" t="str">
        <f>IFERROR(INDEX([2]Sheet1!$B:$B,MATCH($D71,[2]Sheet1!$A:$A,0)),"Not found")</f>
        <v>Not found</v>
      </c>
      <c r="O71">
        <f t="shared" si="4"/>
        <v>0</v>
      </c>
      <c r="P71">
        <f t="shared" si="5"/>
        <v>0</v>
      </c>
    </row>
    <row r="72" spans="1:16" x14ac:dyDescent="0.25">
      <c r="A72" t="s">
        <v>0</v>
      </c>
      <c r="B72" s="1">
        <v>39783</v>
      </c>
      <c r="C72" s="1">
        <v>43008</v>
      </c>
      <c r="D72" s="4" t="s">
        <v>2318</v>
      </c>
      <c r="E72" t="s">
        <v>2319</v>
      </c>
      <c r="F72">
        <v>13113</v>
      </c>
      <c r="G72">
        <v>17532986</v>
      </c>
      <c r="H72" t="s">
        <v>10</v>
      </c>
      <c r="I72" t="s">
        <v>4</v>
      </c>
      <c r="J72" t="s">
        <v>20</v>
      </c>
      <c r="K72" t="s">
        <v>2910</v>
      </c>
      <c r="L72">
        <f t="shared" ca="1" si="3"/>
        <v>8</v>
      </c>
      <c r="M72" t="str">
        <f>IFERROR(INDEX('[4]31.03.2024'!$H:$H,MATCH($E72,'[4]31.03.2024'!$B:$B,0)),"Not found")</f>
        <v>Not found</v>
      </c>
      <c r="N72" t="str">
        <f>IFERROR(INDEX([2]Sheet1!$B:$B,MATCH($D72,[2]Sheet1!$A:$A,0)),"Not found")</f>
        <v>Not found</v>
      </c>
      <c r="O72">
        <f t="shared" si="4"/>
        <v>0</v>
      </c>
      <c r="P72">
        <f t="shared" si="5"/>
        <v>0</v>
      </c>
    </row>
    <row r="73" spans="1:16" x14ac:dyDescent="0.25">
      <c r="A73" t="s">
        <v>0</v>
      </c>
      <c r="B73" s="1">
        <v>39783</v>
      </c>
      <c r="C73" s="1">
        <v>44561</v>
      </c>
      <c r="D73" s="4" t="s">
        <v>2320</v>
      </c>
      <c r="E73" t="s">
        <v>2321</v>
      </c>
      <c r="F73">
        <v>13114</v>
      </c>
      <c r="G73">
        <v>18800153</v>
      </c>
      <c r="H73" t="s">
        <v>3</v>
      </c>
      <c r="I73" t="s">
        <v>4</v>
      </c>
      <c r="J73" t="s">
        <v>20</v>
      </c>
      <c r="K73" t="s">
        <v>2910</v>
      </c>
      <c r="L73">
        <f t="shared" ca="1" si="3"/>
        <v>13</v>
      </c>
      <c r="M73" t="str">
        <f>IFERROR(INDEX('[4]31.03.2024'!$H:$H,MATCH($E73,'[4]31.03.2024'!$B:$B,0)),"Not found")</f>
        <v>Not found</v>
      </c>
      <c r="N73" t="str">
        <f>IFERROR(INDEX([2]Sheet1!$B:$B,MATCH($D73,[2]Sheet1!$A:$A,0)),"Not found")</f>
        <v>Not found</v>
      </c>
      <c r="O73">
        <f t="shared" si="4"/>
        <v>0</v>
      </c>
      <c r="P73">
        <f t="shared" si="5"/>
        <v>0</v>
      </c>
    </row>
    <row r="74" spans="1:16" x14ac:dyDescent="0.25">
      <c r="A74" t="s">
        <v>0</v>
      </c>
      <c r="B74" s="1">
        <v>39783</v>
      </c>
      <c r="C74" s="1">
        <v>43404</v>
      </c>
      <c r="D74" s="4" t="s">
        <v>2322</v>
      </c>
      <c r="E74" t="s">
        <v>2323</v>
      </c>
      <c r="F74">
        <v>13119</v>
      </c>
      <c r="G74">
        <v>20820356</v>
      </c>
      <c r="H74" t="s">
        <v>3</v>
      </c>
      <c r="I74" t="s">
        <v>4</v>
      </c>
      <c r="J74" t="s">
        <v>20</v>
      </c>
      <c r="K74" t="s">
        <v>2911</v>
      </c>
      <c r="L74">
        <f t="shared" ca="1" si="3"/>
        <v>9</v>
      </c>
      <c r="M74" t="str">
        <f>IFERROR(INDEX('[4]31.03.2024'!$H:$H,MATCH($E74,'[4]31.03.2024'!$B:$B,0)),"Not found")</f>
        <v>Not found</v>
      </c>
      <c r="N74" t="str">
        <f>IFERROR(INDEX([2]Sheet1!$B:$B,MATCH($D74,[2]Sheet1!$A:$A,0)),"Not found")</f>
        <v>Not found</v>
      </c>
      <c r="O74">
        <f t="shared" si="4"/>
        <v>0</v>
      </c>
      <c r="P74">
        <f t="shared" si="5"/>
        <v>0</v>
      </c>
    </row>
    <row r="75" spans="1:16" x14ac:dyDescent="0.25">
      <c r="A75" t="s">
        <v>0</v>
      </c>
      <c r="B75" s="1">
        <v>39783</v>
      </c>
      <c r="C75" s="1">
        <v>43069</v>
      </c>
      <c r="D75" s="4" t="s">
        <v>2324</v>
      </c>
      <c r="E75" t="s">
        <v>2325</v>
      </c>
      <c r="F75">
        <v>13121</v>
      </c>
      <c r="G75">
        <v>22667391</v>
      </c>
      <c r="H75" t="s">
        <v>3</v>
      </c>
      <c r="I75" t="s">
        <v>4</v>
      </c>
      <c r="J75" t="s">
        <v>29</v>
      </c>
      <c r="K75" t="s">
        <v>2910</v>
      </c>
      <c r="L75">
        <f t="shared" ca="1" si="3"/>
        <v>8</v>
      </c>
      <c r="M75" t="str">
        <f>IFERROR(INDEX('[4]31.03.2024'!$H:$H,MATCH($E75,'[4]31.03.2024'!$B:$B,0)),"Not found")</f>
        <v>Not found</v>
      </c>
      <c r="N75" t="str">
        <f>IFERROR(INDEX([2]Sheet1!$B:$B,MATCH($D75,[2]Sheet1!$A:$A,0)),"Not found")</f>
        <v>Not found</v>
      </c>
      <c r="O75">
        <f t="shared" si="4"/>
        <v>0</v>
      </c>
      <c r="P75">
        <f t="shared" si="5"/>
        <v>0</v>
      </c>
    </row>
    <row r="76" spans="1:16" x14ac:dyDescent="0.25">
      <c r="A76" t="s">
        <v>0</v>
      </c>
      <c r="B76" s="1">
        <v>39783</v>
      </c>
      <c r="C76" s="1">
        <v>43799</v>
      </c>
      <c r="D76" s="4" t="s">
        <v>2326</v>
      </c>
      <c r="E76" t="s">
        <v>2327</v>
      </c>
      <c r="F76">
        <v>13126</v>
      </c>
      <c r="G76">
        <v>22669231</v>
      </c>
      <c r="H76" t="s">
        <v>3</v>
      </c>
      <c r="I76" t="s">
        <v>4</v>
      </c>
      <c r="J76" t="s">
        <v>50</v>
      </c>
      <c r="K76" t="s">
        <v>2911</v>
      </c>
      <c r="L76">
        <f t="shared" ca="1" si="3"/>
        <v>10</v>
      </c>
      <c r="M76" t="str">
        <f>IFERROR(INDEX('[4]31.03.2024'!$H:$H,MATCH($E76,'[4]31.03.2024'!$B:$B,0)),"Not found")</f>
        <v>Not found</v>
      </c>
      <c r="N76" t="str">
        <f>IFERROR(INDEX([2]Sheet1!$B:$B,MATCH($D76,[2]Sheet1!$A:$A,0)),"Not found")</f>
        <v>Not found</v>
      </c>
      <c r="O76">
        <f t="shared" si="4"/>
        <v>0</v>
      </c>
      <c r="P76">
        <f t="shared" si="5"/>
        <v>0</v>
      </c>
    </row>
    <row r="77" spans="1:16" x14ac:dyDescent="0.25">
      <c r="A77" t="s">
        <v>0</v>
      </c>
      <c r="B77" s="1">
        <v>39783</v>
      </c>
      <c r="C77" s="1">
        <v>41820</v>
      </c>
      <c r="D77" s="4" t="s">
        <v>2328</v>
      </c>
      <c r="E77" t="s">
        <v>2329</v>
      </c>
      <c r="F77">
        <v>13129</v>
      </c>
      <c r="G77">
        <v>21861969</v>
      </c>
      <c r="H77" t="s">
        <v>3</v>
      </c>
      <c r="I77" t="s">
        <v>4</v>
      </c>
      <c r="J77" t="s">
        <v>20</v>
      </c>
      <c r="K77" t="s">
        <v>2911</v>
      </c>
      <c r="L77">
        <f t="shared" ca="1" si="3"/>
        <v>5</v>
      </c>
      <c r="M77" t="str">
        <f>IFERROR(INDEX('[4]31.03.2024'!$H:$H,MATCH($E77,'[4]31.03.2024'!$B:$B,0)),"Not found")</f>
        <v>Not found</v>
      </c>
      <c r="N77" t="str">
        <f>IFERROR(INDEX([2]Sheet1!$B:$B,MATCH($D77,[2]Sheet1!$A:$A,0)),"Not found")</f>
        <v>Not found</v>
      </c>
      <c r="O77">
        <f t="shared" si="4"/>
        <v>0</v>
      </c>
      <c r="P77">
        <f t="shared" si="5"/>
        <v>0</v>
      </c>
    </row>
    <row r="78" spans="1:16" x14ac:dyDescent="0.25">
      <c r="A78" t="s">
        <v>0</v>
      </c>
      <c r="B78" s="1">
        <v>39783</v>
      </c>
      <c r="C78" s="1">
        <v>41820</v>
      </c>
      <c r="D78" s="4" t="s">
        <v>2330</v>
      </c>
      <c r="E78" t="s">
        <v>2331</v>
      </c>
      <c r="F78">
        <v>13130</v>
      </c>
      <c r="G78">
        <v>21862064</v>
      </c>
      <c r="H78" t="s">
        <v>3</v>
      </c>
      <c r="I78" t="s">
        <v>4</v>
      </c>
      <c r="J78" t="s">
        <v>20</v>
      </c>
      <c r="K78" t="s">
        <v>2911</v>
      </c>
      <c r="L78">
        <f t="shared" ca="1" si="3"/>
        <v>5</v>
      </c>
      <c r="M78" t="str">
        <f>IFERROR(INDEX('[4]31.03.2024'!$H:$H,MATCH($E78,'[4]31.03.2024'!$B:$B,0)),"Not found")</f>
        <v>Not found</v>
      </c>
      <c r="N78" t="str">
        <f>IFERROR(INDEX([2]Sheet1!$B:$B,MATCH($D78,[2]Sheet1!$A:$A,0)),"Not found")</f>
        <v>Not found</v>
      </c>
      <c r="O78">
        <f t="shared" si="4"/>
        <v>0</v>
      </c>
      <c r="P78">
        <f t="shared" si="5"/>
        <v>0</v>
      </c>
    </row>
    <row r="79" spans="1:16" x14ac:dyDescent="0.25">
      <c r="A79" t="s">
        <v>0</v>
      </c>
      <c r="B79" s="1">
        <v>39783</v>
      </c>
      <c r="C79" s="1">
        <v>41820</v>
      </c>
      <c r="D79" s="4" t="s">
        <v>2332</v>
      </c>
      <c r="E79" t="s">
        <v>2333</v>
      </c>
      <c r="F79">
        <v>13131</v>
      </c>
      <c r="G79">
        <v>21862013</v>
      </c>
      <c r="H79" t="s">
        <v>3</v>
      </c>
      <c r="I79" t="s">
        <v>4</v>
      </c>
      <c r="J79" t="s">
        <v>20</v>
      </c>
      <c r="K79" t="s">
        <v>2911</v>
      </c>
      <c r="L79">
        <f t="shared" ca="1" si="3"/>
        <v>5</v>
      </c>
      <c r="M79" t="str">
        <f>IFERROR(INDEX('[4]31.03.2024'!$H:$H,MATCH($E79,'[4]31.03.2024'!$B:$B,0)),"Not found")</f>
        <v>Not found</v>
      </c>
      <c r="N79" t="str">
        <f>IFERROR(INDEX([2]Sheet1!$B:$B,MATCH($D79,[2]Sheet1!$A:$A,0)),"Not found")</f>
        <v>Not found</v>
      </c>
      <c r="O79">
        <f t="shared" si="4"/>
        <v>0</v>
      </c>
      <c r="P79">
        <f t="shared" si="5"/>
        <v>0</v>
      </c>
    </row>
    <row r="80" spans="1:16" x14ac:dyDescent="0.25">
      <c r="A80" t="s">
        <v>0</v>
      </c>
      <c r="B80" s="1">
        <v>39783</v>
      </c>
      <c r="C80" s="1">
        <v>41820</v>
      </c>
      <c r="D80" s="4" t="s">
        <v>2334</v>
      </c>
      <c r="E80" t="s">
        <v>2335</v>
      </c>
      <c r="F80">
        <v>13132</v>
      </c>
      <c r="G80">
        <v>21862048</v>
      </c>
      <c r="H80" t="s">
        <v>3</v>
      </c>
      <c r="I80" t="s">
        <v>4</v>
      </c>
      <c r="J80" t="s">
        <v>20</v>
      </c>
      <c r="K80" t="s">
        <v>2911</v>
      </c>
      <c r="L80">
        <f t="shared" ca="1" si="3"/>
        <v>5</v>
      </c>
      <c r="M80" t="str">
        <f>IFERROR(INDEX('[4]31.03.2024'!$H:$H,MATCH($E80,'[4]31.03.2024'!$B:$B,0)),"Not found")</f>
        <v>Not found</v>
      </c>
      <c r="N80" t="str">
        <f>IFERROR(INDEX([2]Sheet1!$B:$B,MATCH($D80,[2]Sheet1!$A:$A,0)),"Not found")</f>
        <v>Not found</v>
      </c>
      <c r="O80">
        <f t="shared" si="4"/>
        <v>0</v>
      </c>
      <c r="P80">
        <f t="shared" si="5"/>
        <v>0</v>
      </c>
    </row>
    <row r="81" spans="1:16" x14ac:dyDescent="0.25">
      <c r="A81" t="s">
        <v>0</v>
      </c>
      <c r="B81" s="1">
        <v>39783</v>
      </c>
      <c r="C81" s="1">
        <v>41608</v>
      </c>
      <c r="D81" s="4" t="s">
        <v>2336</v>
      </c>
      <c r="E81" t="s">
        <v>2337</v>
      </c>
      <c r="F81">
        <v>13135</v>
      </c>
      <c r="G81">
        <v>18694389</v>
      </c>
      <c r="H81" t="s">
        <v>3</v>
      </c>
      <c r="I81" t="s">
        <v>4</v>
      </c>
      <c r="J81" t="s">
        <v>20</v>
      </c>
      <c r="K81" t="s">
        <v>2910</v>
      </c>
      <c r="L81">
        <f t="shared" ca="1" si="3"/>
        <v>4</v>
      </c>
      <c r="M81" t="str">
        <f>IFERROR(INDEX('[4]31.03.2024'!$H:$H,MATCH($E81,'[4]31.03.2024'!$B:$B,0)),"Not found")</f>
        <v>Not found</v>
      </c>
      <c r="N81" t="str">
        <f>IFERROR(INDEX([2]Sheet1!$B:$B,MATCH($D81,[2]Sheet1!$A:$A,0)),"Not found")</f>
        <v>Not found</v>
      </c>
      <c r="O81">
        <f t="shared" si="4"/>
        <v>0</v>
      </c>
      <c r="P81">
        <f t="shared" si="5"/>
        <v>0</v>
      </c>
    </row>
    <row r="82" spans="1:16" x14ac:dyDescent="0.25">
      <c r="A82" t="s">
        <v>0</v>
      </c>
      <c r="B82" s="1">
        <v>39783</v>
      </c>
      <c r="C82" s="1">
        <v>44620</v>
      </c>
      <c r="D82" s="4" t="s">
        <v>2338</v>
      </c>
      <c r="E82" t="s">
        <v>2339</v>
      </c>
      <c r="F82">
        <v>13136</v>
      </c>
      <c r="G82">
        <v>18797863</v>
      </c>
      <c r="H82" t="s">
        <v>3</v>
      </c>
      <c r="I82" t="s">
        <v>4</v>
      </c>
      <c r="J82" t="s">
        <v>50</v>
      </c>
      <c r="K82" t="s">
        <v>2910</v>
      </c>
      <c r="L82">
        <f t="shared" ca="1" si="3"/>
        <v>13</v>
      </c>
      <c r="M82" t="str">
        <f>IFERROR(INDEX('[4]31.03.2024'!$H:$H,MATCH($E82,'[4]31.03.2024'!$B:$B,0)),"Not found")</f>
        <v>Not found</v>
      </c>
      <c r="N82" t="str">
        <f>IFERROR(INDEX([2]Sheet1!$B:$B,MATCH($D82,[2]Sheet1!$A:$A,0)),"Not found")</f>
        <v>Not found</v>
      </c>
      <c r="O82">
        <f t="shared" si="4"/>
        <v>0</v>
      </c>
      <c r="P82">
        <f t="shared" si="5"/>
        <v>0</v>
      </c>
    </row>
    <row r="83" spans="1:16" x14ac:dyDescent="0.25">
      <c r="A83" t="s">
        <v>0</v>
      </c>
      <c r="B83" s="1">
        <v>39783</v>
      </c>
      <c r="C83" s="1">
        <v>42004</v>
      </c>
      <c r="D83" s="4" t="s">
        <v>2340</v>
      </c>
      <c r="E83" t="s">
        <v>2341</v>
      </c>
      <c r="F83">
        <v>13137</v>
      </c>
      <c r="G83">
        <v>20664824</v>
      </c>
      <c r="H83" t="s">
        <v>3</v>
      </c>
      <c r="I83" t="s">
        <v>4</v>
      </c>
      <c r="J83" t="s">
        <v>20</v>
      </c>
      <c r="K83" t="s">
        <v>2911</v>
      </c>
      <c r="L83">
        <f t="shared" ca="1" si="3"/>
        <v>6</v>
      </c>
      <c r="M83" t="str">
        <f>IFERROR(INDEX('[4]31.03.2024'!$H:$H,MATCH($E83,'[4]31.03.2024'!$B:$B,0)),"Not found")</f>
        <v>Not found</v>
      </c>
      <c r="N83" t="str">
        <f>IFERROR(INDEX([2]Sheet1!$B:$B,MATCH($D83,[2]Sheet1!$A:$A,0)),"Not found")</f>
        <v>Not found</v>
      </c>
      <c r="O83">
        <f t="shared" si="4"/>
        <v>0</v>
      </c>
      <c r="P83">
        <f t="shared" si="5"/>
        <v>0</v>
      </c>
    </row>
    <row r="84" spans="1:16" x14ac:dyDescent="0.25">
      <c r="A84" t="s">
        <v>0</v>
      </c>
      <c r="B84" s="1">
        <v>39783</v>
      </c>
      <c r="C84" s="1">
        <v>44530</v>
      </c>
      <c r="D84" s="4" t="s">
        <v>2344</v>
      </c>
      <c r="E84" t="s">
        <v>2345</v>
      </c>
      <c r="F84">
        <v>13140</v>
      </c>
      <c r="G84">
        <v>17963399</v>
      </c>
      <c r="H84" t="s">
        <v>3</v>
      </c>
      <c r="I84" t="s">
        <v>4</v>
      </c>
      <c r="J84" t="s">
        <v>20</v>
      </c>
      <c r="K84" t="s">
        <v>2911</v>
      </c>
      <c r="L84">
        <f t="shared" ca="1" si="3"/>
        <v>12</v>
      </c>
      <c r="M84" t="str">
        <f>IFERROR(INDEX('[4]31.03.2024'!$H:$H,MATCH($E84,'[4]31.03.2024'!$B:$B,0)),"Not found")</f>
        <v>Not found</v>
      </c>
      <c r="N84" t="str">
        <f>IFERROR(INDEX([2]Sheet1!$B:$B,MATCH($D84,[2]Sheet1!$A:$A,0)),"Not found")</f>
        <v>Not found</v>
      </c>
      <c r="O84">
        <f t="shared" si="4"/>
        <v>0</v>
      </c>
      <c r="P84">
        <f t="shared" si="5"/>
        <v>0</v>
      </c>
    </row>
    <row r="85" spans="1:16" x14ac:dyDescent="0.25">
      <c r="A85" t="s">
        <v>0</v>
      </c>
      <c r="B85" s="1">
        <v>39783</v>
      </c>
      <c r="C85" s="1">
        <v>41547</v>
      </c>
      <c r="D85" s="4" t="s">
        <v>2346</v>
      </c>
      <c r="E85" t="s">
        <v>2347</v>
      </c>
      <c r="F85">
        <v>13148</v>
      </c>
      <c r="G85">
        <v>18641404</v>
      </c>
      <c r="H85" t="s">
        <v>3</v>
      </c>
      <c r="I85" t="s">
        <v>4</v>
      </c>
      <c r="J85" t="s">
        <v>20</v>
      </c>
      <c r="K85" t="s">
        <v>2911</v>
      </c>
      <c r="L85">
        <f t="shared" ca="1" si="3"/>
        <v>4</v>
      </c>
      <c r="M85" t="str">
        <f>IFERROR(INDEX('[4]31.03.2024'!$H:$H,MATCH($E85,'[4]31.03.2024'!$B:$B,0)),"Not found")</f>
        <v>Not found</v>
      </c>
      <c r="N85" t="str">
        <f>IFERROR(INDEX([2]Sheet1!$B:$B,MATCH($D85,[2]Sheet1!$A:$A,0)),"Not found")</f>
        <v>Not found</v>
      </c>
      <c r="O85">
        <f t="shared" si="4"/>
        <v>0</v>
      </c>
      <c r="P85">
        <f t="shared" si="5"/>
        <v>0</v>
      </c>
    </row>
    <row r="86" spans="1:16" x14ac:dyDescent="0.25">
      <c r="A86" t="s">
        <v>0</v>
      </c>
      <c r="B86" s="1">
        <v>39783</v>
      </c>
      <c r="C86" s="1">
        <v>41425</v>
      </c>
      <c r="D86" s="4" t="s">
        <v>2348</v>
      </c>
      <c r="E86" t="s">
        <v>2349</v>
      </c>
      <c r="F86">
        <v>13150</v>
      </c>
      <c r="G86">
        <v>18641770</v>
      </c>
      <c r="H86" t="s">
        <v>3</v>
      </c>
      <c r="I86" t="s">
        <v>4</v>
      </c>
      <c r="J86" t="s">
        <v>20</v>
      </c>
      <c r="K86" t="s">
        <v>2911</v>
      </c>
      <c r="L86">
        <f t="shared" ca="1" si="3"/>
        <v>4</v>
      </c>
      <c r="M86" t="str">
        <f>IFERROR(INDEX('[4]31.03.2024'!$H:$H,MATCH($E86,'[4]31.03.2024'!$B:$B,0)),"Not found")</f>
        <v>Not found</v>
      </c>
      <c r="N86" t="str">
        <f>IFERROR(INDEX([2]Sheet1!$B:$B,MATCH($D86,[2]Sheet1!$A:$A,0)),"Not found")</f>
        <v>Not found</v>
      </c>
      <c r="O86">
        <f t="shared" si="4"/>
        <v>0</v>
      </c>
      <c r="P86">
        <f t="shared" si="5"/>
        <v>0</v>
      </c>
    </row>
    <row r="87" spans="1:16" x14ac:dyDescent="0.25">
      <c r="A87" t="s">
        <v>0</v>
      </c>
      <c r="B87" s="1">
        <v>39783</v>
      </c>
      <c r="C87" s="1">
        <v>41547</v>
      </c>
      <c r="D87" s="4" t="s">
        <v>2350</v>
      </c>
      <c r="E87" t="s">
        <v>2351</v>
      </c>
      <c r="F87">
        <v>13154</v>
      </c>
      <c r="G87">
        <v>18641818</v>
      </c>
      <c r="H87" t="s">
        <v>3</v>
      </c>
      <c r="I87" t="s">
        <v>4</v>
      </c>
      <c r="J87" t="s">
        <v>20</v>
      </c>
      <c r="K87" t="s">
        <v>2911</v>
      </c>
      <c r="L87">
        <f t="shared" ca="1" si="3"/>
        <v>4</v>
      </c>
      <c r="M87" t="str">
        <f>IFERROR(INDEX('[4]31.03.2024'!$H:$H,MATCH($E87,'[4]31.03.2024'!$B:$B,0)),"Not found")</f>
        <v>Not found</v>
      </c>
      <c r="N87" t="str">
        <f>IFERROR(INDEX([2]Sheet1!$B:$B,MATCH($D87,[2]Sheet1!$A:$A,0)),"Not found")</f>
        <v>Not found</v>
      </c>
      <c r="O87">
        <f t="shared" si="4"/>
        <v>0</v>
      </c>
      <c r="P87">
        <f t="shared" si="5"/>
        <v>0</v>
      </c>
    </row>
    <row r="88" spans="1:16" x14ac:dyDescent="0.25">
      <c r="A88" t="s">
        <v>0</v>
      </c>
      <c r="B88" s="1">
        <v>39783</v>
      </c>
      <c r="C88" s="1">
        <v>41547</v>
      </c>
      <c r="D88" s="4" t="s">
        <v>2352</v>
      </c>
      <c r="E88" t="s">
        <v>2353</v>
      </c>
      <c r="F88">
        <v>13155</v>
      </c>
      <c r="G88">
        <v>18641834</v>
      </c>
      <c r="H88" t="s">
        <v>3</v>
      </c>
      <c r="I88" t="s">
        <v>4</v>
      </c>
      <c r="J88" t="s">
        <v>20</v>
      </c>
      <c r="K88" t="s">
        <v>2911</v>
      </c>
      <c r="L88">
        <f t="shared" ca="1" si="3"/>
        <v>4</v>
      </c>
      <c r="M88" t="str">
        <f>IFERROR(INDEX('[4]31.03.2024'!$H:$H,MATCH($E88,'[4]31.03.2024'!$B:$B,0)),"Not found")</f>
        <v>Not found</v>
      </c>
      <c r="N88" t="str">
        <f>IFERROR(INDEX([2]Sheet1!$B:$B,MATCH($D88,[2]Sheet1!$A:$A,0)),"Not found")</f>
        <v>Not found</v>
      </c>
      <c r="O88">
        <f t="shared" si="4"/>
        <v>0</v>
      </c>
      <c r="P88">
        <f t="shared" si="5"/>
        <v>0</v>
      </c>
    </row>
    <row r="89" spans="1:16" x14ac:dyDescent="0.25">
      <c r="A89" t="s">
        <v>0</v>
      </c>
      <c r="B89" s="1">
        <v>39783</v>
      </c>
      <c r="C89" s="1">
        <v>43921</v>
      </c>
      <c r="D89" s="4" t="s">
        <v>2354</v>
      </c>
      <c r="E89" t="s">
        <v>2355</v>
      </c>
      <c r="F89">
        <v>13167</v>
      </c>
      <c r="G89">
        <v>18642239</v>
      </c>
      <c r="H89" t="s">
        <v>3</v>
      </c>
      <c r="I89" t="s">
        <v>4</v>
      </c>
      <c r="J89" t="s">
        <v>20</v>
      </c>
      <c r="K89" t="s">
        <v>2911</v>
      </c>
      <c r="L89">
        <f t="shared" ca="1" si="3"/>
        <v>11</v>
      </c>
      <c r="M89" t="str">
        <f>IFERROR(INDEX('[4]31.03.2024'!$H:$H,MATCH($E89,'[4]31.03.2024'!$B:$B,0)),"Not found")</f>
        <v>Not found</v>
      </c>
      <c r="N89" t="str">
        <f>IFERROR(INDEX([2]Sheet1!$B:$B,MATCH($D89,[2]Sheet1!$A:$A,0)),"Not found")</f>
        <v>Not found</v>
      </c>
      <c r="O89">
        <f t="shared" si="4"/>
        <v>0</v>
      </c>
      <c r="P89">
        <f t="shared" si="5"/>
        <v>0</v>
      </c>
    </row>
    <row r="90" spans="1:16" x14ac:dyDescent="0.25">
      <c r="A90" t="s">
        <v>0</v>
      </c>
      <c r="B90" s="1">
        <v>39783</v>
      </c>
      <c r="C90" s="1">
        <v>44865</v>
      </c>
      <c r="D90" s="4" t="s">
        <v>2356</v>
      </c>
      <c r="E90" t="s">
        <v>2357</v>
      </c>
      <c r="F90">
        <v>13170</v>
      </c>
      <c r="G90">
        <v>22669557</v>
      </c>
      <c r="H90" t="s">
        <v>10</v>
      </c>
      <c r="I90" t="s">
        <v>4</v>
      </c>
      <c r="J90" t="s">
        <v>20</v>
      </c>
      <c r="K90" t="s">
        <v>2910</v>
      </c>
      <c r="L90">
        <f t="shared" ca="1" si="3"/>
        <v>13</v>
      </c>
      <c r="M90" t="str">
        <f>IFERROR(INDEX('[4]31.03.2024'!$H:$H,MATCH($E90,'[4]31.03.2024'!$B:$B,0)),"Not found")</f>
        <v>Not found</v>
      </c>
      <c r="N90" t="str">
        <f>IFERROR(INDEX([2]Sheet1!$B:$B,MATCH($D90,[2]Sheet1!$A:$A,0)),"Not found")</f>
        <v>Not found</v>
      </c>
      <c r="O90">
        <f t="shared" si="4"/>
        <v>0</v>
      </c>
      <c r="P90">
        <f t="shared" si="5"/>
        <v>0</v>
      </c>
    </row>
    <row r="91" spans="1:16" x14ac:dyDescent="0.25">
      <c r="A91" t="s">
        <v>0</v>
      </c>
      <c r="B91" s="1">
        <v>39783</v>
      </c>
      <c r="C91" s="1">
        <v>43799</v>
      </c>
      <c r="D91" s="4" t="s">
        <v>2358</v>
      </c>
      <c r="E91" t="s">
        <v>2359</v>
      </c>
      <c r="F91">
        <v>13171</v>
      </c>
      <c r="G91">
        <v>22669485</v>
      </c>
      <c r="H91" t="s">
        <v>10</v>
      </c>
      <c r="I91" t="s">
        <v>4</v>
      </c>
      <c r="J91" t="s">
        <v>20</v>
      </c>
      <c r="K91" t="s">
        <v>2911</v>
      </c>
      <c r="L91">
        <f t="shared" ca="1" si="3"/>
        <v>10</v>
      </c>
      <c r="M91" t="str">
        <f>IFERROR(INDEX('[4]31.03.2024'!$H:$H,MATCH($E91,'[4]31.03.2024'!$B:$B,0)),"Not found")</f>
        <v>Not found</v>
      </c>
      <c r="N91" t="str">
        <f>IFERROR(INDEX([2]Sheet1!$B:$B,MATCH($D91,[2]Sheet1!$A:$A,0)),"Not found")</f>
        <v>Not found</v>
      </c>
      <c r="O91">
        <f t="shared" si="4"/>
        <v>0</v>
      </c>
      <c r="P91">
        <f t="shared" si="5"/>
        <v>0</v>
      </c>
    </row>
    <row r="92" spans="1:16" x14ac:dyDescent="0.25">
      <c r="A92" t="s">
        <v>0</v>
      </c>
      <c r="B92" s="1">
        <v>39783</v>
      </c>
      <c r="C92" s="1">
        <v>42460</v>
      </c>
      <c r="D92" s="4" t="s">
        <v>2360</v>
      </c>
      <c r="E92" t="s">
        <v>2361</v>
      </c>
      <c r="F92">
        <v>13173</v>
      </c>
      <c r="G92">
        <v>20662861</v>
      </c>
      <c r="H92" t="s">
        <v>3</v>
      </c>
      <c r="I92" t="s">
        <v>4</v>
      </c>
      <c r="J92" t="s">
        <v>20</v>
      </c>
      <c r="K92" t="s">
        <v>2911</v>
      </c>
      <c r="L92">
        <f t="shared" ca="1" si="3"/>
        <v>7</v>
      </c>
      <c r="M92" t="str">
        <f>IFERROR(INDEX('[4]31.03.2024'!$H:$H,MATCH($E92,'[4]31.03.2024'!$B:$B,0)),"Not found")</f>
        <v>Not found</v>
      </c>
      <c r="N92" t="str">
        <f>IFERROR(INDEX([2]Sheet1!$B:$B,MATCH($D92,[2]Sheet1!$A:$A,0)),"Not found")</f>
        <v>Not found</v>
      </c>
      <c r="O92">
        <f t="shared" si="4"/>
        <v>0</v>
      </c>
      <c r="P92">
        <f t="shared" si="5"/>
        <v>0</v>
      </c>
    </row>
    <row r="93" spans="1:16" x14ac:dyDescent="0.25">
      <c r="A93" t="s">
        <v>0</v>
      </c>
      <c r="B93" s="1">
        <v>39783</v>
      </c>
      <c r="C93" s="1">
        <v>43404</v>
      </c>
      <c r="D93" s="4" t="s">
        <v>2362</v>
      </c>
      <c r="E93" t="s">
        <v>2363</v>
      </c>
      <c r="F93">
        <v>13177</v>
      </c>
      <c r="G93">
        <v>22667076</v>
      </c>
      <c r="H93" t="s">
        <v>3</v>
      </c>
      <c r="I93" t="s">
        <v>4</v>
      </c>
      <c r="J93" t="s">
        <v>20</v>
      </c>
      <c r="K93" t="s">
        <v>2911</v>
      </c>
      <c r="L93">
        <f t="shared" ca="1" si="3"/>
        <v>9</v>
      </c>
      <c r="M93" t="str">
        <f>IFERROR(INDEX('[4]31.03.2024'!$H:$H,MATCH($E93,'[4]31.03.2024'!$B:$B,0)),"Not found")</f>
        <v>Not found</v>
      </c>
      <c r="N93" t="str">
        <f>IFERROR(INDEX([2]Sheet1!$B:$B,MATCH($D93,[2]Sheet1!$A:$A,0)),"Not found")</f>
        <v>Not found</v>
      </c>
      <c r="O93">
        <f t="shared" si="4"/>
        <v>0</v>
      </c>
      <c r="P93">
        <f t="shared" si="5"/>
        <v>0</v>
      </c>
    </row>
    <row r="94" spans="1:16" x14ac:dyDescent="0.25">
      <c r="A94" t="s">
        <v>0</v>
      </c>
      <c r="B94" s="1">
        <v>39783</v>
      </c>
      <c r="C94" s="1">
        <v>44865</v>
      </c>
      <c r="D94" s="4" t="s">
        <v>2364</v>
      </c>
      <c r="E94" t="s">
        <v>2365</v>
      </c>
      <c r="F94">
        <v>13181</v>
      </c>
      <c r="G94">
        <v>20576314</v>
      </c>
      <c r="H94" t="s">
        <v>10</v>
      </c>
      <c r="I94" t="s">
        <v>4</v>
      </c>
      <c r="J94" t="s">
        <v>47</v>
      </c>
      <c r="K94" t="s">
        <v>2910</v>
      </c>
      <c r="L94">
        <f t="shared" ca="1" si="3"/>
        <v>13</v>
      </c>
      <c r="M94" t="str">
        <f>IFERROR(INDEX('[4]31.03.2024'!$H:$H,MATCH($E94,'[4]31.03.2024'!$B:$B,0)),"Not found")</f>
        <v>Not found</v>
      </c>
      <c r="N94" t="str">
        <f>IFERROR(INDEX([2]Sheet1!$B:$B,MATCH($D94,[2]Sheet1!$A:$A,0)),"Not found")</f>
        <v>Not found</v>
      </c>
      <c r="O94">
        <f t="shared" si="4"/>
        <v>0</v>
      </c>
      <c r="P94">
        <f t="shared" si="5"/>
        <v>0</v>
      </c>
    </row>
    <row r="95" spans="1:16" x14ac:dyDescent="0.25">
      <c r="A95" t="s">
        <v>0</v>
      </c>
      <c r="B95" s="1">
        <v>39783</v>
      </c>
      <c r="C95" s="1">
        <v>42063</v>
      </c>
      <c r="D95" s="4" t="s">
        <v>2366</v>
      </c>
      <c r="E95" t="s">
        <v>2367</v>
      </c>
      <c r="F95">
        <v>13184</v>
      </c>
      <c r="G95">
        <v>18129451</v>
      </c>
      <c r="H95" t="s">
        <v>3</v>
      </c>
      <c r="I95" t="s">
        <v>4</v>
      </c>
      <c r="J95" t="s">
        <v>20</v>
      </c>
      <c r="K95" t="s">
        <v>2911</v>
      </c>
      <c r="L95">
        <f t="shared" ca="1" si="3"/>
        <v>6</v>
      </c>
      <c r="M95" t="str">
        <f>IFERROR(INDEX('[4]31.03.2024'!$H:$H,MATCH($E95,'[4]31.03.2024'!$B:$B,0)),"Not found")</f>
        <v>Not found</v>
      </c>
      <c r="N95" t="str">
        <f>IFERROR(INDEX([2]Sheet1!$B:$B,MATCH($D95,[2]Sheet1!$A:$A,0)),"Not found")</f>
        <v>Not found</v>
      </c>
      <c r="O95">
        <f t="shared" si="4"/>
        <v>0</v>
      </c>
      <c r="P95">
        <f t="shared" si="5"/>
        <v>0</v>
      </c>
    </row>
    <row r="96" spans="1:16" x14ac:dyDescent="0.25">
      <c r="A96" t="s">
        <v>0</v>
      </c>
      <c r="B96" s="1">
        <v>39783</v>
      </c>
      <c r="C96" s="1">
        <v>43799</v>
      </c>
      <c r="D96" s="4" t="s">
        <v>2370</v>
      </c>
      <c r="E96" t="s">
        <v>2371</v>
      </c>
      <c r="F96">
        <v>13186</v>
      </c>
      <c r="G96">
        <v>22667201</v>
      </c>
      <c r="H96" t="s">
        <v>3</v>
      </c>
      <c r="I96" t="s">
        <v>4</v>
      </c>
      <c r="J96" t="s">
        <v>50</v>
      </c>
      <c r="K96" t="s">
        <v>2911</v>
      </c>
      <c r="L96">
        <f t="shared" ca="1" si="3"/>
        <v>10</v>
      </c>
      <c r="M96" t="str">
        <f>IFERROR(INDEX('[4]31.03.2024'!$H:$H,MATCH($E96,'[4]31.03.2024'!$B:$B,0)),"Not found")</f>
        <v>Not found</v>
      </c>
      <c r="N96" t="str">
        <f>IFERROR(INDEX([2]Sheet1!$B:$B,MATCH($D96,[2]Sheet1!$A:$A,0)),"Not found")</f>
        <v>Not found</v>
      </c>
      <c r="O96">
        <f t="shared" si="4"/>
        <v>0</v>
      </c>
      <c r="P96">
        <f t="shared" si="5"/>
        <v>0</v>
      </c>
    </row>
    <row r="97" spans="1:16" x14ac:dyDescent="0.25">
      <c r="A97" t="s">
        <v>0</v>
      </c>
      <c r="B97" s="1">
        <v>39783</v>
      </c>
      <c r="C97" s="1">
        <v>41639</v>
      </c>
      <c r="D97" s="4" t="s">
        <v>2372</v>
      </c>
      <c r="E97" t="s">
        <v>2373</v>
      </c>
      <c r="F97">
        <v>13188</v>
      </c>
      <c r="G97">
        <v>20667072</v>
      </c>
      <c r="H97" t="s">
        <v>3</v>
      </c>
      <c r="I97" t="s">
        <v>4</v>
      </c>
      <c r="J97" t="s">
        <v>20</v>
      </c>
      <c r="K97" t="s">
        <v>2911</v>
      </c>
      <c r="L97">
        <f t="shared" ca="1" si="3"/>
        <v>5</v>
      </c>
      <c r="M97" t="str">
        <f>IFERROR(INDEX('[4]31.03.2024'!$H:$H,MATCH($E97,'[4]31.03.2024'!$B:$B,0)),"Not found")</f>
        <v>Not found</v>
      </c>
      <c r="N97" t="str">
        <f>IFERROR(INDEX([2]Sheet1!$B:$B,MATCH($D97,[2]Sheet1!$A:$A,0)),"Not found")</f>
        <v>Not found</v>
      </c>
      <c r="O97">
        <f t="shared" si="4"/>
        <v>0</v>
      </c>
      <c r="P97">
        <f t="shared" si="5"/>
        <v>0</v>
      </c>
    </row>
    <row r="98" spans="1:16" x14ac:dyDescent="0.25">
      <c r="A98" t="s">
        <v>0</v>
      </c>
      <c r="B98" s="1">
        <v>39783</v>
      </c>
      <c r="C98" s="1">
        <v>42124</v>
      </c>
      <c r="D98" s="4" t="s">
        <v>2374</v>
      </c>
      <c r="E98" t="s">
        <v>2375</v>
      </c>
      <c r="F98">
        <v>13206</v>
      </c>
      <c r="G98">
        <v>20129717</v>
      </c>
      <c r="H98" t="s">
        <v>3</v>
      </c>
      <c r="I98" t="s">
        <v>4</v>
      </c>
      <c r="J98" t="s">
        <v>20</v>
      </c>
      <c r="K98" t="s">
        <v>2911</v>
      </c>
      <c r="L98">
        <f t="shared" ca="1" si="3"/>
        <v>6</v>
      </c>
      <c r="M98" t="str">
        <f>IFERROR(INDEX('[4]31.03.2024'!$H:$H,MATCH($E98,'[4]31.03.2024'!$B:$B,0)),"Not found")</f>
        <v>Not found</v>
      </c>
      <c r="N98" t="str">
        <f>IFERROR(INDEX([2]Sheet1!$B:$B,MATCH($D98,[2]Sheet1!$A:$A,0)),"Not found")</f>
        <v>Not found</v>
      </c>
      <c r="O98">
        <f t="shared" si="4"/>
        <v>0</v>
      </c>
      <c r="P98">
        <f t="shared" si="5"/>
        <v>0</v>
      </c>
    </row>
    <row r="99" spans="1:16" x14ac:dyDescent="0.25">
      <c r="A99" t="s">
        <v>0</v>
      </c>
      <c r="B99" s="1">
        <v>39783</v>
      </c>
      <c r="C99" s="1">
        <v>42978</v>
      </c>
      <c r="D99" s="4" t="s">
        <v>2376</v>
      </c>
      <c r="E99" t="s">
        <v>2377</v>
      </c>
      <c r="F99">
        <v>13211</v>
      </c>
      <c r="G99">
        <v>19127861</v>
      </c>
      <c r="H99" t="s">
        <v>10</v>
      </c>
      <c r="I99" t="s">
        <v>4</v>
      </c>
      <c r="J99" t="s">
        <v>5</v>
      </c>
      <c r="K99" t="s">
        <v>2910</v>
      </c>
      <c r="L99">
        <f t="shared" ca="1" si="3"/>
        <v>8</v>
      </c>
      <c r="M99" t="str">
        <f>IFERROR(INDEX('[4]31.03.2024'!$H:$H,MATCH($E99,'[4]31.03.2024'!$B:$B,0)),"Not found")</f>
        <v>Not found</v>
      </c>
      <c r="N99" t="str">
        <f>IFERROR(INDEX([2]Sheet1!$B:$B,MATCH($D99,[2]Sheet1!$A:$A,0)),"Not found")</f>
        <v>Not found</v>
      </c>
      <c r="O99">
        <f t="shared" si="4"/>
        <v>0</v>
      </c>
      <c r="P99">
        <f t="shared" si="5"/>
        <v>0</v>
      </c>
    </row>
    <row r="100" spans="1:16" x14ac:dyDescent="0.25">
      <c r="A100" t="s">
        <v>0</v>
      </c>
      <c r="B100" s="1">
        <v>39783</v>
      </c>
      <c r="C100" s="1">
        <v>43496</v>
      </c>
      <c r="D100" s="4" t="s">
        <v>2378</v>
      </c>
      <c r="E100" t="s">
        <v>2379</v>
      </c>
      <c r="F100">
        <v>13212</v>
      </c>
      <c r="G100">
        <v>20991737</v>
      </c>
      <c r="H100" t="s">
        <v>3</v>
      </c>
      <c r="I100" t="s">
        <v>4</v>
      </c>
      <c r="J100" t="s">
        <v>20</v>
      </c>
      <c r="K100" t="s">
        <v>2910</v>
      </c>
      <c r="L100">
        <f t="shared" ca="1" si="3"/>
        <v>10</v>
      </c>
      <c r="M100" t="str">
        <f>IFERROR(INDEX('[4]31.03.2024'!$H:$H,MATCH($E100,'[4]31.03.2024'!$B:$B,0)),"Not found")</f>
        <v>Not found</v>
      </c>
      <c r="N100" t="str">
        <f>IFERROR(INDEX([2]Sheet1!$B:$B,MATCH($D100,[2]Sheet1!$A:$A,0)),"Not found")</f>
        <v>Not found</v>
      </c>
      <c r="O100">
        <f t="shared" si="4"/>
        <v>0</v>
      </c>
      <c r="P100">
        <f t="shared" si="5"/>
        <v>0</v>
      </c>
    </row>
    <row r="101" spans="1:16" x14ac:dyDescent="0.25">
      <c r="A101" t="s">
        <v>0</v>
      </c>
      <c r="B101" s="1">
        <v>39783</v>
      </c>
      <c r="C101" s="1">
        <v>43496</v>
      </c>
      <c r="D101" s="4" t="s">
        <v>2380</v>
      </c>
      <c r="E101" t="s">
        <v>2381</v>
      </c>
      <c r="F101">
        <v>13213</v>
      </c>
      <c r="G101">
        <v>21094376</v>
      </c>
      <c r="H101" t="s">
        <v>3</v>
      </c>
      <c r="I101" t="s">
        <v>4</v>
      </c>
      <c r="J101" t="s">
        <v>20</v>
      </c>
      <c r="K101" t="s">
        <v>2910</v>
      </c>
      <c r="L101">
        <f t="shared" ca="1" si="3"/>
        <v>10</v>
      </c>
      <c r="M101" t="str">
        <f>IFERROR(INDEX('[4]31.03.2024'!$H:$H,MATCH($E101,'[4]31.03.2024'!$B:$B,0)),"Not found")</f>
        <v>Not found</v>
      </c>
      <c r="N101" t="str">
        <f>IFERROR(INDEX([2]Sheet1!$B:$B,MATCH($D101,[2]Sheet1!$A:$A,0)),"Not found")</f>
        <v>Not found</v>
      </c>
      <c r="O101">
        <f t="shared" si="4"/>
        <v>0</v>
      </c>
      <c r="P101">
        <f t="shared" si="5"/>
        <v>0</v>
      </c>
    </row>
    <row r="102" spans="1:16" x14ac:dyDescent="0.25">
      <c r="A102" t="s">
        <v>0</v>
      </c>
      <c r="B102" s="1">
        <v>39783</v>
      </c>
      <c r="C102" s="1">
        <v>44316</v>
      </c>
      <c r="D102" s="4" t="s">
        <v>2382</v>
      </c>
      <c r="E102" t="s">
        <v>2383</v>
      </c>
      <c r="F102">
        <v>13215</v>
      </c>
      <c r="G102">
        <v>22344429</v>
      </c>
      <c r="H102" t="s">
        <v>3</v>
      </c>
      <c r="I102" t="s">
        <v>4</v>
      </c>
      <c r="J102" t="s">
        <v>32</v>
      </c>
      <c r="K102" t="s">
        <v>2911</v>
      </c>
      <c r="L102">
        <f t="shared" ca="1" si="3"/>
        <v>12</v>
      </c>
      <c r="M102" t="str">
        <f>IFERROR(INDEX('[4]31.03.2024'!$H:$H,MATCH($E102,'[4]31.03.2024'!$B:$B,0)),"Not found")</f>
        <v>Not found</v>
      </c>
      <c r="N102" t="str">
        <f>IFERROR(INDEX([2]Sheet1!$B:$B,MATCH($D102,[2]Sheet1!$A:$A,0)),"Not found")</f>
        <v>Not found</v>
      </c>
      <c r="O102">
        <f t="shared" si="4"/>
        <v>0</v>
      </c>
      <c r="P102">
        <f t="shared" si="5"/>
        <v>0</v>
      </c>
    </row>
    <row r="103" spans="1:16" x14ac:dyDescent="0.25">
      <c r="A103" t="s">
        <v>0</v>
      </c>
      <c r="B103" s="1">
        <v>39783</v>
      </c>
      <c r="C103" s="1">
        <v>41820</v>
      </c>
      <c r="D103" s="4" t="s">
        <v>2384</v>
      </c>
      <c r="E103" t="s">
        <v>2385</v>
      </c>
      <c r="F103">
        <v>13225</v>
      </c>
      <c r="G103">
        <v>21861993</v>
      </c>
      <c r="H103" t="s">
        <v>3</v>
      </c>
      <c r="I103" t="s">
        <v>4</v>
      </c>
      <c r="J103" t="s">
        <v>20</v>
      </c>
      <c r="K103" t="s">
        <v>2911</v>
      </c>
      <c r="L103">
        <f t="shared" ca="1" si="3"/>
        <v>5</v>
      </c>
      <c r="M103" t="str">
        <f>IFERROR(INDEX('[4]31.03.2024'!$H:$H,MATCH($E103,'[4]31.03.2024'!$B:$B,0)),"Not found")</f>
        <v>Not found</v>
      </c>
      <c r="N103" t="str">
        <f>IFERROR(INDEX([2]Sheet1!$B:$B,MATCH($D103,[2]Sheet1!$A:$A,0)),"Not found")</f>
        <v>Not found</v>
      </c>
      <c r="O103">
        <f t="shared" si="4"/>
        <v>0</v>
      </c>
      <c r="P103">
        <f t="shared" si="5"/>
        <v>0</v>
      </c>
    </row>
    <row r="104" spans="1:16" x14ac:dyDescent="0.25">
      <c r="A104" t="s">
        <v>0</v>
      </c>
      <c r="B104" s="1">
        <v>39783</v>
      </c>
      <c r="C104" s="1">
        <v>42277</v>
      </c>
      <c r="D104" s="4" t="s">
        <v>2386</v>
      </c>
      <c r="E104" t="s">
        <v>2387</v>
      </c>
      <c r="F104">
        <v>13227</v>
      </c>
      <c r="G104">
        <v>20663557</v>
      </c>
      <c r="H104" t="s">
        <v>3</v>
      </c>
      <c r="I104" t="s">
        <v>4</v>
      </c>
      <c r="J104" t="s">
        <v>20</v>
      </c>
      <c r="K104" t="s">
        <v>2911</v>
      </c>
      <c r="L104">
        <f t="shared" ca="1" si="3"/>
        <v>6</v>
      </c>
      <c r="M104" t="str">
        <f>IFERROR(INDEX('[4]31.03.2024'!$H:$H,MATCH($E104,'[4]31.03.2024'!$B:$B,0)),"Not found")</f>
        <v>Not found</v>
      </c>
      <c r="N104" t="str">
        <f>IFERROR(INDEX([2]Sheet1!$B:$B,MATCH($D104,[2]Sheet1!$A:$A,0)),"Not found")</f>
        <v>Not found</v>
      </c>
      <c r="O104">
        <f t="shared" si="4"/>
        <v>0</v>
      </c>
      <c r="P104">
        <f t="shared" si="5"/>
        <v>0</v>
      </c>
    </row>
    <row r="105" spans="1:16" x14ac:dyDescent="0.25">
      <c r="A105" t="s">
        <v>0</v>
      </c>
      <c r="B105" s="1">
        <v>39783</v>
      </c>
      <c r="C105" s="1">
        <v>43799</v>
      </c>
      <c r="D105" s="4" t="s">
        <v>2388</v>
      </c>
      <c r="E105" t="s">
        <v>2389</v>
      </c>
      <c r="F105">
        <v>13230</v>
      </c>
      <c r="G105">
        <v>19262158</v>
      </c>
      <c r="H105" t="s">
        <v>3</v>
      </c>
      <c r="I105" t="s">
        <v>4</v>
      </c>
      <c r="J105" t="s">
        <v>20</v>
      </c>
      <c r="K105" t="s">
        <v>2911</v>
      </c>
      <c r="L105">
        <f t="shared" ca="1" si="3"/>
        <v>10</v>
      </c>
      <c r="M105" t="str">
        <f>IFERROR(INDEX('[4]31.03.2024'!$H:$H,MATCH($E105,'[4]31.03.2024'!$B:$B,0)),"Not found")</f>
        <v>Not found</v>
      </c>
      <c r="N105" t="str">
        <f>IFERROR(INDEX([2]Sheet1!$B:$B,MATCH($D105,[2]Sheet1!$A:$A,0)),"Not found")</f>
        <v>Not found</v>
      </c>
      <c r="O105">
        <f t="shared" si="4"/>
        <v>0</v>
      </c>
      <c r="P105">
        <f t="shared" si="5"/>
        <v>0</v>
      </c>
    </row>
    <row r="106" spans="1:16" x14ac:dyDescent="0.25">
      <c r="A106" t="s">
        <v>0</v>
      </c>
      <c r="B106" s="1">
        <v>39783</v>
      </c>
      <c r="C106" s="1">
        <v>42855</v>
      </c>
      <c r="D106" s="4" t="s">
        <v>2390</v>
      </c>
      <c r="E106" t="s">
        <v>2391</v>
      </c>
      <c r="F106">
        <v>13231</v>
      </c>
      <c r="G106">
        <v>21103279</v>
      </c>
      <c r="H106" t="s">
        <v>3</v>
      </c>
      <c r="I106" t="s">
        <v>4</v>
      </c>
      <c r="J106" t="s">
        <v>32</v>
      </c>
      <c r="K106" t="s">
        <v>2911</v>
      </c>
      <c r="L106">
        <f t="shared" ca="1" si="3"/>
        <v>8</v>
      </c>
      <c r="M106" t="str">
        <f>IFERROR(INDEX('[4]31.03.2024'!$H:$H,MATCH($E106,'[4]31.03.2024'!$B:$B,0)),"Not found")</f>
        <v>Not found</v>
      </c>
      <c r="N106" t="str">
        <f>IFERROR(INDEX([2]Sheet1!$B:$B,MATCH($D106,[2]Sheet1!$A:$A,0)),"Not found")</f>
        <v>Not found</v>
      </c>
      <c r="O106">
        <f t="shared" si="4"/>
        <v>0</v>
      </c>
      <c r="P106">
        <f t="shared" si="5"/>
        <v>0</v>
      </c>
    </row>
    <row r="107" spans="1:16" x14ac:dyDescent="0.25">
      <c r="A107" t="s">
        <v>0</v>
      </c>
      <c r="B107" s="1">
        <v>39783</v>
      </c>
      <c r="C107" s="1">
        <v>44865</v>
      </c>
      <c r="D107" s="4" t="s">
        <v>2392</v>
      </c>
      <c r="E107" t="s">
        <v>2393</v>
      </c>
      <c r="F107">
        <v>13233</v>
      </c>
      <c r="G107">
        <v>22669979</v>
      </c>
      <c r="H107" t="s">
        <v>10</v>
      </c>
      <c r="I107" t="s">
        <v>4</v>
      </c>
      <c r="J107" t="s">
        <v>50</v>
      </c>
      <c r="K107" t="s">
        <v>2910</v>
      </c>
      <c r="L107">
        <f t="shared" ca="1" si="3"/>
        <v>13</v>
      </c>
      <c r="M107" t="str">
        <f>IFERROR(INDEX('[4]31.03.2024'!$H:$H,MATCH($E107,'[4]31.03.2024'!$B:$B,0)),"Not found")</f>
        <v>Not found</v>
      </c>
      <c r="N107" t="str">
        <f>IFERROR(INDEX([2]Sheet1!$B:$B,MATCH($D107,[2]Sheet1!$A:$A,0)),"Not found")</f>
        <v>Not found</v>
      </c>
      <c r="O107">
        <f t="shared" si="4"/>
        <v>0</v>
      </c>
      <c r="P107">
        <f t="shared" si="5"/>
        <v>0</v>
      </c>
    </row>
    <row r="108" spans="1:16" x14ac:dyDescent="0.25">
      <c r="A108" t="s">
        <v>0</v>
      </c>
      <c r="B108" s="1">
        <v>39783</v>
      </c>
      <c r="C108" s="1">
        <v>43069</v>
      </c>
      <c r="D108" s="4" t="s">
        <v>2394</v>
      </c>
      <c r="E108" t="s">
        <v>2395</v>
      </c>
      <c r="F108">
        <v>13234</v>
      </c>
      <c r="G108">
        <v>19541296</v>
      </c>
      <c r="H108" t="s">
        <v>10</v>
      </c>
      <c r="I108" t="s">
        <v>4</v>
      </c>
      <c r="J108" t="s">
        <v>29</v>
      </c>
      <c r="K108" t="s">
        <v>2910</v>
      </c>
      <c r="L108">
        <f t="shared" ca="1" si="3"/>
        <v>8</v>
      </c>
      <c r="M108" t="str">
        <f>IFERROR(INDEX('[4]31.03.2024'!$H:$H,MATCH($E108,'[4]31.03.2024'!$B:$B,0)),"Not found")</f>
        <v>Not found</v>
      </c>
      <c r="N108" t="str">
        <f>IFERROR(INDEX([2]Sheet1!$B:$B,MATCH($D108,[2]Sheet1!$A:$A,0)),"Not found")</f>
        <v>Not found</v>
      </c>
      <c r="O108">
        <f t="shared" si="4"/>
        <v>0</v>
      </c>
      <c r="P108">
        <f t="shared" si="5"/>
        <v>0</v>
      </c>
    </row>
    <row r="109" spans="1:16" x14ac:dyDescent="0.25">
      <c r="A109" t="s">
        <v>0</v>
      </c>
      <c r="B109" s="1">
        <v>39783</v>
      </c>
      <c r="C109" s="1">
        <v>43069</v>
      </c>
      <c r="D109" s="4" t="s">
        <v>2396</v>
      </c>
      <c r="E109" t="s">
        <v>2397</v>
      </c>
      <c r="F109">
        <v>13235</v>
      </c>
      <c r="G109">
        <v>22669880</v>
      </c>
      <c r="H109" t="s">
        <v>10</v>
      </c>
      <c r="I109" t="s">
        <v>4</v>
      </c>
      <c r="J109" t="s">
        <v>29</v>
      </c>
      <c r="K109" t="s">
        <v>2910</v>
      </c>
      <c r="L109">
        <f t="shared" ca="1" si="3"/>
        <v>8</v>
      </c>
      <c r="M109" t="str">
        <f>IFERROR(INDEX('[4]31.03.2024'!$H:$H,MATCH($E109,'[4]31.03.2024'!$B:$B,0)),"Not found")</f>
        <v>Not found</v>
      </c>
      <c r="N109" t="str">
        <f>IFERROR(INDEX([2]Sheet1!$B:$B,MATCH($D109,[2]Sheet1!$A:$A,0)),"Not found")</f>
        <v>Not found</v>
      </c>
      <c r="O109">
        <f t="shared" si="4"/>
        <v>0</v>
      </c>
      <c r="P109">
        <f t="shared" si="5"/>
        <v>0</v>
      </c>
    </row>
    <row r="110" spans="1:16" x14ac:dyDescent="0.25">
      <c r="A110" t="s">
        <v>0</v>
      </c>
      <c r="B110" s="1">
        <v>39783</v>
      </c>
      <c r="C110" s="1">
        <v>43585</v>
      </c>
      <c r="D110" s="4" t="s">
        <v>2398</v>
      </c>
      <c r="E110" t="s">
        <v>2399</v>
      </c>
      <c r="F110">
        <v>13241</v>
      </c>
      <c r="G110">
        <v>19250309</v>
      </c>
      <c r="H110" t="s">
        <v>3</v>
      </c>
      <c r="I110" t="s">
        <v>4</v>
      </c>
      <c r="J110" t="s">
        <v>20</v>
      </c>
      <c r="K110" t="s">
        <v>2911</v>
      </c>
      <c r="L110">
        <f t="shared" ca="1" si="3"/>
        <v>10</v>
      </c>
      <c r="M110" t="str">
        <f>IFERROR(INDEX('[4]31.03.2024'!$H:$H,MATCH($E110,'[4]31.03.2024'!$B:$B,0)),"Not found")</f>
        <v>Not found</v>
      </c>
      <c r="N110" t="str">
        <f>IFERROR(INDEX([2]Sheet1!$B:$B,MATCH($D110,[2]Sheet1!$A:$A,0)),"Not found")</f>
        <v>Not found</v>
      </c>
      <c r="O110">
        <f t="shared" si="4"/>
        <v>0</v>
      </c>
      <c r="P110">
        <f t="shared" si="5"/>
        <v>0</v>
      </c>
    </row>
    <row r="111" spans="1:16" x14ac:dyDescent="0.25">
      <c r="A111" t="s">
        <v>0</v>
      </c>
      <c r="B111" s="1">
        <v>39783</v>
      </c>
      <c r="C111" s="1">
        <v>42004</v>
      </c>
      <c r="D111" s="4" t="s">
        <v>2400</v>
      </c>
      <c r="E111" t="s">
        <v>2401</v>
      </c>
      <c r="F111">
        <v>13244</v>
      </c>
      <c r="G111">
        <v>19280022</v>
      </c>
      <c r="H111" t="s">
        <v>10</v>
      </c>
      <c r="I111" t="s">
        <v>4</v>
      </c>
      <c r="J111" t="s">
        <v>5</v>
      </c>
      <c r="K111" t="s">
        <v>2911</v>
      </c>
      <c r="L111">
        <f t="shared" ca="1" si="3"/>
        <v>6</v>
      </c>
      <c r="M111" t="str">
        <f>IFERROR(INDEX('[4]31.03.2024'!$H:$H,MATCH($E111,'[4]31.03.2024'!$B:$B,0)),"Not found")</f>
        <v>Not found</v>
      </c>
      <c r="N111" t="str">
        <f>IFERROR(INDEX([2]Sheet1!$B:$B,MATCH($D111,[2]Sheet1!$A:$A,0)),"Not found")</f>
        <v>Not found</v>
      </c>
      <c r="O111">
        <f t="shared" si="4"/>
        <v>0</v>
      </c>
      <c r="P111">
        <f t="shared" si="5"/>
        <v>0</v>
      </c>
    </row>
    <row r="112" spans="1:16" x14ac:dyDescent="0.25">
      <c r="A112" t="s">
        <v>0</v>
      </c>
      <c r="B112" s="1">
        <v>39783</v>
      </c>
      <c r="C112" s="1">
        <v>41912</v>
      </c>
      <c r="D112" s="4" t="s">
        <v>2402</v>
      </c>
      <c r="E112" t="s">
        <v>2403</v>
      </c>
      <c r="F112">
        <v>13248</v>
      </c>
      <c r="G112">
        <v>19353498</v>
      </c>
      <c r="H112" t="s">
        <v>3</v>
      </c>
      <c r="I112" t="s">
        <v>4</v>
      </c>
      <c r="J112" t="s">
        <v>20</v>
      </c>
      <c r="K112" t="s">
        <v>2910</v>
      </c>
      <c r="L112">
        <f t="shared" ca="1" si="3"/>
        <v>5</v>
      </c>
      <c r="M112" t="str">
        <f>IFERROR(INDEX('[4]31.03.2024'!$H:$H,MATCH($E112,'[4]31.03.2024'!$B:$B,0)),"Not found")</f>
        <v>Not found</v>
      </c>
      <c r="N112" t="str">
        <f>IFERROR(INDEX([2]Sheet1!$B:$B,MATCH($D112,[2]Sheet1!$A:$A,0)),"Not found")</f>
        <v>Not found</v>
      </c>
      <c r="O112">
        <f t="shared" si="4"/>
        <v>0</v>
      </c>
      <c r="P112">
        <f t="shared" si="5"/>
        <v>0</v>
      </c>
    </row>
    <row r="113" spans="1:16" x14ac:dyDescent="0.25">
      <c r="A113" t="s">
        <v>0</v>
      </c>
      <c r="B113" s="1">
        <v>39783</v>
      </c>
      <c r="C113" s="1">
        <v>41425</v>
      </c>
      <c r="D113" s="4" t="s">
        <v>2404</v>
      </c>
      <c r="E113" t="s">
        <v>2405</v>
      </c>
      <c r="F113">
        <v>13250</v>
      </c>
      <c r="G113">
        <v>19353439</v>
      </c>
      <c r="H113" t="s">
        <v>10</v>
      </c>
      <c r="I113" t="s">
        <v>4</v>
      </c>
      <c r="J113" t="s">
        <v>5</v>
      </c>
      <c r="K113" t="s">
        <v>2910</v>
      </c>
      <c r="L113">
        <f t="shared" ca="1" si="3"/>
        <v>4</v>
      </c>
      <c r="M113" t="str">
        <f>IFERROR(INDEX('[4]31.03.2024'!$H:$H,MATCH($E113,'[4]31.03.2024'!$B:$B,0)),"Not found")</f>
        <v>Not found</v>
      </c>
      <c r="N113" t="str">
        <f>IFERROR(INDEX([2]Sheet1!$B:$B,MATCH($D113,[2]Sheet1!$A:$A,0)),"Not found")</f>
        <v>Not found</v>
      </c>
      <c r="O113">
        <f t="shared" si="4"/>
        <v>0</v>
      </c>
      <c r="P113">
        <f t="shared" si="5"/>
        <v>0</v>
      </c>
    </row>
    <row r="114" spans="1:16" x14ac:dyDescent="0.25">
      <c r="A114" t="s">
        <v>0</v>
      </c>
      <c r="B114" s="1">
        <v>39783</v>
      </c>
      <c r="C114" s="1">
        <v>41394</v>
      </c>
      <c r="D114" s="4" t="s">
        <v>2406</v>
      </c>
      <c r="E114" t="s">
        <v>2407</v>
      </c>
      <c r="F114">
        <v>13251</v>
      </c>
      <c r="G114">
        <v>19339549</v>
      </c>
      <c r="H114" t="s">
        <v>10</v>
      </c>
      <c r="I114" t="s">
        <v>4</v>
      </c>
      <c r="J114" t="s">
        <v>5</v>
      </c>
      <c r="K114" t="s">
        <v>2910</v>
      </c>
      <c r="L114">
        <f t="shared" ca="1" si="3"/>
        <v>4</v>
      </c>
      <c r="M114" t="str">
        <f>IFERROR(INDEX('[4]31.03.2024'!$H:$H,MATCH($E114,'[4]31.03.2024'!$B:$B,0)),"Not found")</f>
        <v>Not found</v>
      </c>
      <c r="N114" t="str">
        <f>IFERROR(INDEX([2]Sheet1!$B:$B,MATCH($D114,[2]Sheet1!$A:$A,0)),"Not found")</f>
        <v>Not found</v>
      </c>
      <c r="O114">
        <f t="shared" si="4"/>
        <v>0</v>
      </c>
      <c r="P114">
        <f t="shared" si="5"/>
        <v>0</v>
      </c>
    </row>
    <row r="115" spans="1:16" x14ac:dyDescent="0.25">
      <c r="A115" t="s">
        <v>0</v>
      </c>
      <c r="B115" s="1">
        <v>39783</v>
      </c>
      <c r="C115" s="1">
        <v>41943</v>
      </c>
      <c r="D115" s="4" t="s">
        <v>2408</v>
      </c>
      <c r="E115" t="s">
        <v>2409</v>
      </c>
      <c r="F115">
        <v>13256</v>
      </c>
      <c r="G115">
        <v>19591824</v>
      </c>
      <c r="H115" t="s">
        <v>3</v>
      </c>
      <c r="I115" t="s">
        <v>4</v>
      </c>
      <c r="J115" t="s">
        <v>20</v>
      </c>
      <c r="K115" t="s">
        <v>2910</v>
      </c>
      <c r="L115">
        <f t="shared" ca="1" si="3"/>
        <v>5</v>
      </c>
      <c r="M115" t="str">
        <f>IFERROR(INDEX('[4]31.03.2024'!$H:$H,MATCH($E115,'[4]31.03.2024'!$B:$B,0)),"Not found")</f>
        <v>Not found</v>
      </c>
      <c r="N115" t="str">
        <f>IFERROR(INDEX([2]Sheet1!$B:$B,MATCH($D115,[2]Sheet1!$A:$A,0)),"Not found")</f>
        <v>Not found</v>
      </c>
      <c r="O115">
        <f t="shared" si="4"/>
        <v>0</v>
      </c>
      <c r="P115">
        <f t="shared" si="5"/>
        <v>0</v>
      </c>
    </row>
    <row r="116" spans="1:16" x14ac:dyDescent="0.25">
      <c r="A116" t="s">
        <v>0</v>
      </c>
      <c r="B116" s="1">
        <v>39783</v>
      </c>
      <c r="C116" s="1">
        <v>41943</v>
      </c>
      <c r="D116" s="4" t="s">
        <v>2410</v>
      </c>
      <c r="E116" t="s">
        <v>2411</v>
      </c>
      <c r="F116">
        <v>13257</v>
      </c>
      <c r="G116">
        <v>19591744</v>
      </c>
      <c r="H116" t="s">
        <v>3</v>
      </c>
      <c r="I116" t="s">
        <v>4</v>
      </c>
      <c r="J116" t="s">
        <v>20</v>
      </c>
      <c r="K116" t="s">
        <v>2910</v>
      </c>
      <c r="L116">
        <f t="shared" ca="1" si="3"/>
        <v>5</v>
      </c>
      <c r="M116" t="str">
        <f>IFERROR(INDEX('[4]31.03.2024'!$H:$H,MATCH($E116,'[4]31.03.2024'!$B:$B,0)),"Not found")</f>
        <v>Not found</v>
      </c>
      <c r="N116" t="str">
        <f>IFERROR(INDEX([2]Sheet1!$B:$B,MATCH($D116,[2]Sheet1!$A:$A,0)),"Not found")</f>
        <v>Not found</v>
      </c>
      <c r="O116">
        <f t="shared" si="4"/>
        <v>0</v>
      </c>
      <c r="P116">
        <f t="shared" si="5"/>
        <v>0</v>
      </c>
    </row>
    <row r="117" spans="1:16" x14ac:dyDescent="0.25">
      <c r="A117" t="s">
        <v>0</v>
      </c>
      <c r="B117" s="1">
        <v>39783</v>
      </c>
      <c r="C117" s="1">
        <v>41394</v>
      </c>
      <c r="D117" s="4" t="s">
        <v>2412</v>
      </c>
      <c r="E117" t="s">
        <v>2413</v>
      </c>
      <c r="F117">
        <v>13264</v>
      </c>
      <c r="G117">
        <v>19591699</v>
      </c>
      <c r="H117" t="s">
        <v>3</v>
      </c>
      <c r="I117" t="s">
        <v>4</v>
      </c>
      <c r="J117" t="s">
        <v>5</v>
      </c>
      <c r="K117" t="s">
        <v>2910</v>
      </c>
      <c r="L117">
        <f t="shared" ca="1" si="3"/>
        <v>4</v>
      </c>
      <c r="M117" t="str">
        <f>IFERROR(INDEX('[4]31.03.2024'!$H:$H,MATCH($E117,'[4]31.03.2024'!$B:$B,0)),"Not found")</f>
        <v>Not found</v>
      </c>
      <c r="N117" t="str">
        <f>IFERROR(INDEX([2]Sheet1!$B:$B,MATCH($D117,[2]Sheet1!$A:$A,0)),"Not found")</f>
        <v>Not found</v>
      </c>
      <c r="O117">
        <f t="shared" si="4"/>
        <v>0</v>
      </c>
      <c r="P117">
        <f t="shared" si="5"/>
        <v>0</v>
      </c>
    </row>
    <row r="118" spans="1:16" x14ac:dyDescent="0.25">
      <c r="A118" t="s">
        <v>0</v>
      </c>
      <c r="B118" s="1">
        <v>39783</v>
      </c>
      <c r="C118" s="1">
        <v>41912</v>
      </c>
      <c r="D118" s="4" t="s">
        <v>2414</v>
      </c>
      <c r="E118" t="s">
        <v>2415</v>
      </c>
      <c r="F118">
        <v>13266</v>
      </c>
      <c r="G118">
        <v>19591592</v>
      </c>
      <c r="H118" t="s">
        <v>3</v>
      </c>
      <c r="I118" t="s">
        <v>4</v>
      </c>
      <c r="J118" t="s">
        <v>5</v>
      </c>
      <c r="K118" t="s">
        <v>2910</v>
      </c>
      <c r="L118">
        <f t="shared" ca="1" si="3"/>
        <v>5</v>
      </c>
      <c r="M118" t="str">
        <f>IFERROR(INDEX('[4]31.03.2024'!$H:$H,MATCH($E118,'[4]31.03.2024'!$B:$B,0)),"Not found")</f>
        <v>Not found</v>
      </c>
      <c r="N118" t="str">
        <f>IFERROR(INDEX([2]Sheet1!$B:$B,MATCH($D118,[2]Sheet1!$A:$A,0)),"Not found")</f>
        <v>Not found</v>
      </c>
      <c r="O118">
        <f t="shared" si="4"/>
        <v>0</v>
      </c>
      <c r="P118">
        <f t="shared" si="5"/>
        <v>0</v>
      </c>
    </row>
    <row r="119" spans="1:16" x14ac:dyDescent="0.25">
      <c r="A119" t="s">
        <v>0</v>
      </c>
      <c r="B119" s="1">
        <v>39783</v>
      </c>
      <c r="C119" s="1">
        <v>41912</v>
      </c>
      <c r="D119" s="4" t="s">
        <v>2416</v>
      </c>
      <c r="E119" t="s">
        <v>2417</v>
      </c>
      <c r="F119">
        <v>13267</v>
      </c>
      <c r="G119">
        <v>19591656</v>
      </c>
      <c r="H119" t="s">
        <v>3</v>
      </c>
      <c r="I119" t="s">
        <v>4</v>
      </c>
      <c r="J119" t="s">
        <v>20</v>
      </c>
      <c r="K119" t="s">
        <v>2910</v>
      </c>
      <c r="L119">
        <f t="shared" ca="1" si="3"/>
        <v>5</v>
      </c>
      <c r="M119" t="str">
        <f>IFERROR(INDEX('[4]31.03.2024'!$H:$H,MATCH($E119,'[4]31.03.2024'!$B:$B,0)),"Not found")</f>
        <v>Not found</v>
      </c>
      <c r="N119" t="str">
        <f>IFERROR(INDEX([2]Sheet1!$B:$B,MATCH($D119,[2]Sheet1!$A:$A,0)),"Not found")</f>
        <v>Not found</v>
      </c>
      <c r="O119">
        <f t="shared" si="4"/>
        <v>0</v>
      </c>
      <c r="P119">
        <f t="shared" si="5"/>
        <v>0</v>
      </c>
    </row>
    <row r="120" spans="1:16" x14ac:dyDescent="0.25">
      <c r="A120" t="s">
        <v>0</v>
      </c>
      <c r="B120" s="1">
        <v>39783</v>
      </c>
      <c r="C120" s="1">
        <v>43404</v>
      </c>
      <c r="D120" s="4" t="s">
        <v>2418</v>
      </c>
      <c r="E120" t="s">
        <v>2419</v>
      </c>
      <c r="F120">
        <v>13274</v>
      </c>
      <c r="G120">
        <v>19603522</v>
      </c>
      <c r="H120" t="s">
        <v>3</v>
      </c>
      <c r="I120" t="s">
        <v>4</v>
      </c>
      <c r="J120" t="s">
        <v>20</v>
      </c>
      <c r="K120" t="s">
        <v>2911</v>
      </c>
      <c r="L120">
        <f t="shared" ca="1" si="3"/>
        <v>9</v>
      </c>
      <c r="M120" t="str">
        <f>IFERROR(INDEX('[4]31.03.2024'!$H:$H,MATCH($E120,'[4]31.03.2024'!$B:$B,0)),"Not found")</f>
        <v>Not found</v>
      </c>
      <c r="N120" t="str">
        <f>IFERROR(INDEX([2]Sheet1!$B:$B,MATCH($D120,[2]Sheet1!$A:$A,0)),"Not found")</f>
        <v>Not found</v>
      </c>
      <c r="O120">
        <f t="shared" si="4"/>
        <v>0</v>
      </c>
      <c r="P120">
        <f t="shared" si="5"/>
        <v>0</v>
      </c>
    </row>
    <row r="121" spans="1:16" x14ac:dyDescent="0.25">
      <c r="A121" t="s">
        <v>0</v>
      </c>
      <c r="B121" s="1">
        <v>39783</v>
      </c>
      <c r="C121" s="1">
        <v>41820</v>
      </c>
      <c r="D121" s="4" t="s">
        <v>2420</v>
      </c>
      <c r="E121" t="s">
        <v>2421</v>
      </c>
      <c r="F121">
        <v>13280</v>
      </c>
      <c r="G121">
        <v>19897807</v>
      </c>
      <c r="H121" t="s">
        <v>3</v>
      </c>
      <c r="I121" t="s">
        <v>4</v>
      </c>
      <c r="J121" t="s">
        <v>50</v>
      </c>
      <c r="K121" t="s">
        <v>2911</v>
      </c>
      <c r="L121">
        <f t="shared" ca="1" si="3"/>
        <v>5</v>
      </c>
      <c r="M121" t="str">
        <f>IFERROR(INDEX('[4]31.03.2024'!$H:$H,MATCH($E121,'[4]31.03.2024'!$B:$B,0)),"Not found")</f>
        <v>Not found</v>
      </c>
      <c r="N121" t="str">
        <f>IFERROR(INDEX([2]Sheet1!$B:$B,MATCH($D121,[2]Sheet1!$A:$A,0)),"Not found")</f>
        <v>Not found</v>
      </c>
      <c r="O121">
        <f t="shared" si="4"/>
        <v>0</v>
      </c>
      <c r="P121">
        <f t="shared" si="5"/>
        <v>0</v>
      </c>
    </row>
    <row r="122" spans="1:16" x14ac:dyDescent="0.25">
      <c r="A122" t="s">
        <v>0</v>
      </c>
      <c r="B122" s="1">
        <v>39783</v>
      </c>
      <c r="C122" s="1">
        <v>43220</v>
      </c>
      <c r="D122" s="4" t="s">
        <v>2422</v>
      </c>
      <c r="E122" t="s">
        <v>2423</v>
      </c>
      <c r="F122">
        <v>13284</v>
      </c>
      <c r="G122">
        <v>19740025</v>
      </c>
      <c r="H122" t="s">
        <v>10</v>
      </c>
      <c r="I122" t="s">
        <v>4</v>
      </c>
      <c r="J122" t="s">
        <v>20</v>
      </c>
      <c r="K122" t="s">
        <v>2911</v>
      </c>
      <c r="L122">
        <f t="shared" ca="1" si="3"/>
        <v>9</v>
      </c>
      <c r="M122" t="str">
        <f>IFERROR(INDEX('[4]31.03.2024'!$H:$H,MATCH($E122,'[4]31.03.2024'!$B:$B,0)),"Not found")</f>
        <v>Not found</v>
      </c>
      <c r="N122" t="str">
        <f>IFERROR(INDEX([2]Sheet1!$B:$B,MATCH($D122,[2]Sheet1!$A:$A,0)),"Not found")</f>
        <v>Not found</v>
      </c>
      <c r="O122">
        <f t="shared" si="4"/>
        <v>0</v>
      </c>
      <c r="P122">
        <f t="shared" si="5"/>
        <v>0</v>
      </c>
    </row>
    <row r="123" spans="1:16" x14ac:dyDescent="0.25">
      <c r="A123" t="s">
        <v>0</v>
      </c>
      <c r="B123" s="1">
        <v>39783</v>
      </c>
      <c r="C123" s="1">
        <v>41608</v>
      </c>
      <c r="D123" s="4" t="s">
        <v>2424</v>
      </c>
      <c r="E123" t="s">
        <v>2425</v>
      </c>
      <c r="F123">
        <v>13289</v>
      </c>
      <c r="G123">
        <v>19750434</v>
      </c>
      <c r="H123" t="s">
        <v>10</v>
      </c>
      <c r="I123" t="s">
        <v>4</v>
      </c>
      <c r="J123" t="s">
        <v>50</v>
      </c>
      <c r="K123" t="s">
        <v>2911</v>
      </c>
      <c r="L123">
        <f t="shared" ca="1" si="3"/>
        <v>4</v>
      </c>
      <c r="M123" t="str">
        <f>IFERROR(INDEX('[4]31.03.2024'!$H:$H,MATCH($E123,'[4]31.03.2024'!$B:$B,0)),"Not found")</f>
        <v>Not found</v>
      </c>
      <c r="N123" t="str">
        <f>IFERROR(INDEX([2]Sheet1!$B:$B,MATCH($D123,[2]Sheet1!$A:$A,0)),"Not found")</f>
        <v>Not found</v>
      </c>
      <c r="O123">
        <f t="shared" si="4"/>
        <v>0</v>
      </c>
      <c r="P123">
        <f t="shared" si="5"/>
        <v>0</v>
      </c>
    </row>
    <row r="124" spans="1:16" x14ac:dyDescent="0.25">
      <c r="A124" t="s">
        <v>0</v>
      </c>
      <c r="B124" s="1">
        <v>39783</v>
      </c>
      <c r="C124" s="1">
        <v>41670</v>
      </c>
      <c r="D124" s="4" t="s">
        <v>2426</v>
      </c>
      <c r="E124" t="s">
        <v>2427</v>
      </c>
      <c r="F124">
        <v>13291</v>
      </c>
      <c r="G124">
        <v>22344314</v>
      </c>
      <c r="H124" t="s">
        <v>10</v>
      </c>
      <c r="I124" t="s">
        <v>4</v>
      </c>
      <c r="J124" t="s">
        <v>47</v>
      </c>
      <c r="K124" t="s">
        <v>2910</v>
      </c>
      <c r="L124">
        <f t="shared" ca="1" si="3"/>
        <v>5</v>
      </c>
      <c r="M124" t="str">
        <f>IFERROR(INDEX('[4]31.03.2024'!$H:$H,MATCH($E124,'[4]31.03.2024'!$B:$B,0)),"Not found")</f>
        <v>Not found</v>
      </c>
      <c r="N124" t="str">
        <f>IFERROR(INDEX([2]Sheet1!$B:$B,MATCH($D124,[2]Sheet1!$A:$A,0)),"Not found")</f>
        <v>Not found</v>
      </c>
      <c r="O124">
        <f t="shared" si="4"/>
        <v>0</v>
      </c>
      <c r="P124">
        <f t="shared" si="5"/>
        <v>0</v>
      </c>
    </row>
    <row r="125" spans="1:16" x14ac:dyDescent="0.25">
      <c r="A125" t="s">
        <v>0</v>
      </c>
      <c r="B125" s="1">
        <v>39783</v>
      </c>
      <c r="C125" s="1">
        <v>42035</v>
      </c>
      <c r="D125" s="4" t="s">
        <v>2428</v>
      </c>
      <c r="E125" t="s">
        <v>2429</v>
      </c>
      <c r="F125">
        <v>13292</v>
      </c>
      <c r="G125">
        <v>20667363</v>
      </c>
      <c r="H125" t="s">
        <v>3</v>
      </c>
      <c r="I125" t="s">
        <v>4</v>
      </c>
      <c r="J125" t="s">
        <v>20</v>
      </c>
      <c r="K125" t="s">
        <v>2911</v>
      </c>
      <c r="L125">
        <f t="shared" ca="1" si="3"/>
        <v>6</v>
      </c>
      <c r="M125" t="str">
        <f>IFERROR(INDEX('[4]31.03.2024'!$H:$H,MATCH($E125,'[4]31.03.2024'!$B:$B,0)),"Not found")</f>
        <v>Not found</v>
      </c>
      <c r="N125" t="str">
        <f>IFERROR(INDEX([2]Sheet1!$B:$B,MATCH($D125,[2]Sheet1!$A:$A,0)),"Not found")</f>
        <v>Not found</v>
      </c>
      <c r="O125">
        <f t="shared" si="4"/>
        <v>0</v>
      </c>
      <c r="P125">
        <f t="shared" si="5"/>
        <v>0</v>
      </c>
    </row>
    <row r="126" spans="1:16" x14ac:dyDescent="0.25">
      <c r="A126" t="s">
        <v>0</v>
      </c>
      <c r="B126" s="1">
        <v>39783</v>
      </c>
      <c r="C126" s="1">
        <v>43465</v>
      </c>
      <c r="D126" s="4" t="s">
        <v>2430</v>
      </c>
      <c r="E126" t="s">
        <v>2431</v>
      </c>
      <c r="F126">
        <v>13293</v>
      </c>
      <c r="G126">
        <v>20129872</v>
      </c>
      <c r="H126" t="s">
        <v>3</v>
      </c>
      <c r="I126" t="s">
        <v>4</v>
      </c>
      <c r="J126" t="s">
        <v>20</v>
      </c>
      <c r="K126" t="s">
        <v>2911</v>
      </c>
      <c r="L126">
        <f t="shared" ca="1" si="3"/>
        <v>10</v>
      </c>
      <c r="M126" t="str">
        <f>IFERROR(INDEX('[4]31.03.2024'!$H:$H,MATCH($E126,'[4]31.03.2024'!$B:$B,0)),"Not found")</f>
        <v>Not found</v>
      </c>
      <c r="N126" t="str">
        <f>IFERROR(INDEX([2]Sheet1!$B:$B,MATCH($D126,[2]Sheet1!$A:$A,0)),"Not found")</f>
        <v>Not found</v>
      </c>
      <c r="O126">
        <f t="shared" si="4"/>
        <v>0</v>
      </c>
      <c r="P126">
        <f t="shared" si="5"/>
        <v>0</v>
      </c>
    </row>
    <row r="127" spans="1:16" x14ac:dyDescent="0.25">
      <c r="A127" t="s">
        <v>0</v>
      </c>
      <c r="B127" s="1">
        <v>39783</v>
      </c>
      <c r="C127" s="1">
        <v>44347</v>
      </c>
      <c r="D127" s="4" t="s">
        <v>2432</v>
      </c>
      <c r="E127" t="s">
        <v>2433</v>
      </c>
      <c r="F127">
        <v>13295</v>
      </c>
      <c r="G127">
        <v>20129848</v>
      </c>
      <c r="H127" t="s">
        <v>3</v>
      </c>
      <c r="I127" t="s">
        <v>4</v>
      </c>
      <c r="J127" t="s">
        <v>50</v>
      </c>
      <c r="K127" t="s">
        <v>2911</v>
      </c>
      <c r="L127">
        <f t="shared" ca="1" si="3"/>
        <v>12</v>
      </c>
      <c r="M127" t="str">
        <f>IFERROR(INDEX('[4]31.03.2024'!$H:$H,MATCH($E127,'[4]31.03.2024'!$B:$B,0)),"Not found")</f>
        <v>Not found</v>
      </c>
      <c r="N127" t="str">
        <f>IFERROR(INDEX([2]Sheet1!$B:$B,MATCH($D127,[2]Sheet1!$A:$A,0)),"Not found")</f>
        <v>Not found</v>
      </c>
      <c r="O127">
        <f t="shared" si="4"/>
        <v>0</v>
      </c>
      <c r="P127">
        <f t="shared" si="5"/>
        <v>0</v>
      </c>
    </row>
    <row r="128" spans="1:16" x14ac:dyDescent="0.25">
      <c r="A128" t="s">
        <v>0</v>
      </c>
      <c r="B128" s="1">
        <v>39783</v>
      </c>
      <c r="C128" s="1">
        <v>42855</v>
      </c>
      <c r="D128" s="4" t="s">
        <v>267</v>
      </c>
      <c r="E128" t="s">
        <v>268</v>
      </c>
      <c r="F128">
        <v>13297</v>
      </c>
      <c r="G128">
        <v>22668650</v>
      </c>
      <c r="H128" t="s">
        <v>3</v>
      </c>
      <c r="I128" t="s">
        <v>4</v>
      </c>
      <c r="J128" t="s">
        <v>20</v>
      </c>
      <c r="K128" t="s">
        <v>2911</v>
      </c>
      <c r="L128">
        <f t="shared" ca="1" si="3"/>
        <v>8</v>
      </c>
      <c r="M128" t="str">
        <f>IFERROR(INDEX('[4]31.03.2024'!$H:$H,MATCH($E128,'[4]31.03.2024'!$B:$B,0)),"Not found")</f>
        <v>Not found</v>
      </c>
      <c r="N128" t="str">
        <f>IFERROR(INDEX([2]Sheet1!$B:$B,MATCH($D128,[2]Sheet1!$A:$A,0)),"Not found")</f>
        <v>Not found</v>
      </c>
      <c r="O128">
        <f t="shared" si="4"/>
        <v>0</v>
      </c>
      <c r="P128">
        <f t="shared" si="5"/>
        <v>0</v>
      </c>
    </row>
    <row r="129" spans="1:16" x14ac:dyDescent="0.25">
      <c r="A129" t="s">
        <v>0</v>
      </c>
      <c r="B129" s="1">
        <v>42856</v>
      </c>
      <c r="C129" s="1">
        <v>44165</v>
      </c>
      <c r="D129" s="4" t="s">
        <v>267</v>
      </c>
      <c r="E129" t="s">
        <v>268</v>
      </c>
      <c r="F129">
        <v>13297</v>
      </c>
      <c r="G129">
        <v>22668650</v>
      </c>
      <c r="H129" t="s">
        <v>3</v>
      </c>
      <c r="I129" t="s">
        <v>4</v>
      </c>
      <c r="J129" t="s">
        <v>20</v>
      </c>
      <c r="K129" t="s">
        <v>2911</v>
      </c>
      <c r="L129">
        <f t="shared" ca="1" si="3"/>
        <v>3</v>
      </c>
      <c r="M129" t="str">
        <f>IFERROR(INDEX('[4]31.03.2024'!$H:$H,MATCH($E129,'[4]31.03.2024'!$B:$B,0)),"Not found")</f>
        <v>Not found</v>
      </c>
      <c r="N129" t="str">
        <f>IFERROR(INDEX([2]Sheet1!$B:$B,MATCH($D129,[2]Sheet1!$A:$A,0)),"Not found")</f>
        <v>Not found</v>
      </c>
      <c r="O129">
        <f t="shared" si="4"/>
        <v>0</v>
      </c>
      <c r="P129">
        <f t="shared" si="5"/>
        <v>0</v>
      </c>
    </row>
    <row r="130" spans="1:16" x14ac:dyDescent="0.25">
      <c r="A130" t="s">
        <v>0</v>
      </c>
      <c r="B130" s="1">
        <v>39783</v>
      </c>
      <c r="C130" s="1">
        <v>41912</v>
      </c>
      <c r="D130" s="4" t="s">
        <v>2434</v>
      </c>
      <c r="E130" t="s">
        <v>2435</v>
      </c>
      <c r="F130">
        <v>13304</v>
      </c>
      <c r="G130">
        <v>19961477</v>
      </c>
      <c r="H130" t="s">
        <v>3</v>
      </c>
      <c r="I130" t="s">
        <v>4</v>
      </c>
      <c r="J130" t="s">
        <v>50</v>
      </c>
      <c r="K130" t="s">
        <v>2910</v>
      </c>
      <c r="L130">
        <f t="shared" ca="1" si="3"/>
        <v>5</v>
      </c>
      <c r="M130" t="str">
        <f>IFERROR(INDEX('[4]31.03.2024'!$H:$H,MATCH($E130,'[4]31.03.2024'!$B:$B,0)),"Not found")</f>
        <v>Not found</v>
      </c>
      <c r="N130" t="str">
        <f>IFERROR(INDEX([2]Sheet1!$B:$B,MATCH($D130,[2]Sheet1!$A:$A,0)),"Not found")</f>
        <v>Not found</v>
      </c>
      <c r="O130">
        <f t="shared" si="4"/>
        <v>0</v>
      </c>
      <c r="P130">
        <f t="shared" si="5"/>
        <v>0</v>
      </c>
    </row>
    <row r="131" spans="1:16" x14ac:dyDescent="0.25">
      <c r="A131" t="s">
        <v>0</v>
      </c>
      <c r="B131" s="1">
        <v>39783</v>
      </c>
      <c r="C131" s="1">
        <v>41912</v>
      </c>
      <c r="D131" s="4" t="s">
        <v>2436</v>
      </c>
      <c r="E131" t="s">
        <v>2437</v>
      </c>
      <c r="F131">
        <v>13305</v>
      </c>
      <c r="G131">
        <v>19959414</v>
      </c>
      <c r="H131" t="s">
        <v>3</v>
      </c>
      <c r="I131" t="s">
        <v>4</v>
      </c>
      <c r="J131" t="s">
        <v>5</v>
      </c>
      <c r="K131" t="s">
        <v>2910</v>
      </c>
      <c r="L131">
        <f t="shared" ref="L131:L194" ca="1" si="6">IF($K131="Continues",DATEDIF($B131,TODAY(),"Y"),DATEDIF($B131,$C131,"Y"))</f>
        <v>5</v>
      </c>
      <c r="M131" t="str">
        <f>IFERROR(INDEX('[4]31.03.2024'!$H:$H,MATCH($E131,'[4]31.03.2024'!$B:$B,0)),"Not found")</f>
        <v>Not found</v>
      </c>
      <c r="N131" t="str">
        <f>IFERROR(INDEX([2]Sheet1!$B:$B,MATCH($D131,[2]Sheet1!$A:$A,0)),"Not found")</f>
        <v>Not found</v>
      </c>
      <c r="O131">
        <f t="shared" ref="O131:O194" si="7">IF($N131="Retail",1,0)</f>
        <v>0</v>
      </c>
      <c r="P131">
        <f t="shared" ref="P131:P194" si="8">IF($N131="Non-Retail",1,0)</f>
        <v>0</v>
      </c>
    </row>
    <row r="132" spans="1:16" x14ac:dyDescent="0.25">
      <c r="A132" t="s">
        <v>0</v>
      </c>
      <c r="B132" s="1">
        <v>39783</v>
      </c>
      <c r="C132" s="1">
        <v>41912</v>
      </c>
      <c r="D132" s="4" t="s">
        <v>2438</v>
      </c>
      <c r="E132" t="s">
        <v>2439</v>
      </c>
      <c r="F132">
        <v>13306</v>
      </c>
      <c r="G132">
        <v>19961178</v>
      </c>
      <c r="H132" t="s">
        <v>3</v>
      </c>
      <c r="I132" t="s">
        <v>4</v>
      </c>
      <c r="J132" t="s">
        <v>5</v>
      </c>
      <c r="K132" t="s">
        <v>2910</v>
      </c>
      <c r="L132">
        <f t="shared" ca="1" si="6"/>
        <v>5</v>
      </c>
      <c r="M132" t="str">
        <f>IFERROR(INDEX('[4]31.03.2024'!$H:$H,MATCH($E132,'[4]31.03.2024'!$B:$B,0)),"Not found")</f>
        <v>Not found</v>
      </c>
      <c r="N132" t="str">
        <f>IFERROR(INDEX([2]Sheet1!$B:$B,MATCH($D132,[2]Sheet1!$A:$A,0)),"Not found")</f>
        <v>Not found</v>
      </c>
      <c r="O132">
        <f t="shared" si="7"/>
        <v>0</v>
      </c>
      <c r="P132">
        <f t="shared" si="8"/>
        <v>0</v>
      </c>
    </row>
    <row r="133" spans="1:16" x14ac:dyDescent="0.25">
      <c r="A133" t="s">
        <v>0</v>
      </c>
      <c r="B133" s="1">
        <v>39783</v>
      </c>
      <c r="C133" s="1">
        <v>41912</v>
      </c>
      <c r="D133" s="4" t="s">
        <v>2440</v>
      </c>
      <c r="E133" t="s">
        <v>2441</v>
      </c>
      <c r="F133">
        <v>13307</v>
      </c>
      <c r="G133">
        <v>19961194</v>
      </c>
      <c r="H133" t="s">
        <v>3</v>
      </c>
      <c r="I133" t="s">
        <v>4</v>
      </c>
      <c r="J133" t="s">
        <v>5</v>
      </c>
      <c r="K133" t="s">
        <v>2910</v>
      </c>
      <c r="L133">
        <f t="shared" ca="1" si="6"/>
        <v>5</v>
      </c>
      <c r="M133" t="str">
        <f>IFERROR(INDEX('[4]31.03.2024'!$H:$H,MATCH($E133,'[4]31.03.2024'!$B:$B,0)),"Not found")</f>
        <v>Not found</v>
      </c>
      <c r="N133" t="str">
        <f>IFERROR(INDEX([2]Sheet1!$B:$B,MATCH($D133,[2]Sheet1!$A:$A,0)),"Not found")</f>
        <v>Not found</v>
      </c>
      <c r="O133">
        <f t="shared" si="7"/>
        <v>0</v>
      </c>
      <c r="P133">
        <f t="shared" si="8"/>
        <v>0</v>
      </c>
    </row>
    <row r="134" spans="1:16" x14ac:dyDescent="0.25">
      <c r="A134" t="s">
        <v>0</v>
      </c>
      <c r="B134" s="1">
        <v>39783</v>
      </c>
      <c r="C134" s="1">
        <v>41912</v>
      </c>
      <c r="D134" s="4" t="s">
        <v>2442</v>
      </c>
      <c r="E134" t="s">
        <v>2443</v>
      </c>
      <c r="F134">
        <v>13308</v>
      </c>
      <c r="G134">
        <v>19961282</v>
      </c>
      <c r="H134" t="s">
        <v>3</v>
      </c>
      <c r="I134" t="s">
        <v>4</v>
      </c>
      <c r="J134" t="s">
        <v>5</v>
      </c>
      <c r="K134" t="s">
        <v>2910</v>
      </c>
      <c r="L134">
        <f t="shared" ca="1" si="6"/>
        <v>5</v>
      </c>
      <c r="M134" t="str">
        <f>IFERROR(INDEX('[4]31.03.2024'!$H:$H,MATCH($E134,'[4]31.03.2024'!$B:$B,0)),"Not found")</f>
        <v>Not found</v>
      </c>
      <c r="N134" t="str">
        <f>IFERROR(INDEX([2]Sheet1!$B:$B,MATCH($D134,[2]Sheet1!$A:$A,0)),"Not found")</f>
        <v>Not found</v>
      </c>
      <c r="O134">
        <f t="shared" si="7"/>
        <v>0</v>
      </c>
      <c r="P134">
        <f t="shared" si="8"/>
        <v>0</v>
      </c>
    </row>
    <row r="135" spans="1:16" x14ac:dyDescent="0.25">
      <c r="A135" t="s">
        <v>0</v>
      </c>
      <c r="B135" s="1">
        <v>39783</v>
      </c>
      <c r="C135" s="1">
        <v>42855</v>
      </c>
      <c r="D135" s="4" t="s">
        <v>2444</v>
      </c>
      <c r="E135" t="s">
        <v>2445</v>
      </c>
      <c r="F135">
        <v>13309</v>
      </c>
      <c r="G135">
        <v>19872976</v>
      </c>
      <c r="H135" t="s">
        <v>3</v>
      </c>
      <c r="I135" t="s">
        <v>4</v>
      </c>
      <c r="J135" t="s">
        <v>20</v>
      </c>
      <c r="K135" t="s">
        <v>2911</v>
      </c>
      <c r="L135">
        <f t="shared" ca="1" si="6"/>
        <v>8</v>
      </c>
      <c r="M135" t="str">
        <f>IFERROR(INDEX('[4]31.03.2024'!$H:$H,MATCH($E135,'[4]31.03.2024'!$B:$B,0)),"Not found")</f>
        <v>Not found</v>
      </c>
      <c r="N135" t="str">
        <f>IFERROR(INDEX([2]Sheet1!$B:$B,MATCH($D135,[2]Sheet1!$A:$A,0)),"Not found")</f>
        <v>Not found</v>
      </c>
      <c r="O135">
        <f t="shared" si="7"/>
        <v>0</v>
      </c>
      <c r="P135">
        <f t="shared" si="8"/>
        <v>0</v>
      </c>
    </row>
    <row r="136" spans="1:16" x14ac:dyDescent="0.25">
      <c r="A136" t="s">
        <v>0</v>
      </c>
      <c r="B136" s="1">
        <v>39783</v>
      </c>
      <c r="C136" s="1">
        <v>43555</v>
      </c>
      <c r="D136" s="4" t="s">
        <v>2446</v>
      </c>
      <c r="E136" t="s">
        <v>2447</v>
      </c>
      <c r="F136">
        <v>13312</v>
      </c>
      <c r="G136">
        <v>19950153</v>
      </c>
      <c r="H136" t="s">
        <v>3</v>
      </c>
      <c r="I136" t="s">
        <v>4</v>
      </c>
      <c r="J136" t="s">
        <v>50</v>
      </c>
      <c r="K136" t="s">
        <v>2910</v>
      </c>
      <c r="L136">
        <f t="shared" ca="1" si="6"/>
        <v>10</v>
      </c>
      <c r="M136" t="str">
        <f>IFERROR(INDEX('[4]31.03.2024'!$H:$H,MATCH($E136,'[4]31.03.2024'!$B:$B,0)),"Not found")</f>
        <v>Not found</v>
      </c>
      <c r="N136" t="str">
        <f>IFERROR(INDEX([2]Sheet1!$B:$B,MATCH($D136,[2]Sheet1!$A:$A,0)),"Not found")</f>
        <v>Not found</v>
      </c>
      <c r="O136">
        <f t="shared" si="7"/>
        <v>0</v>
      </c>
      <c r="P136">
        <f t="shared" si="8"/>
        <v>0</v>
      </c>
    </row>
    <row r="137" spans="1:16" x14ac:dyDescent="0.25">
      <c r="A137" t="s">
        <v>0</v>
      </c>
      <c r="B137" s="1">
        <v>39783</v>
      </c>
      <c r="C137" s="1">
        <v>41943</v>
      </c>
      <c r="D137" s="4" t="s">
        <v>2448</v>
      </c>
      <c r="E137" t="s">
        <v>2449</v>
      </c>
      <c r="F137">
        <v>13314</v>
      </c>
      <c r="G137">
        <v>21527557</v>
      </c>
      <c r="H137" t="s">
        <v>3</v>
      </c>
      <c r="I137" t="s">
        <v>4</v>
      </c>
      <c r="J137" t="s">
        <v>20</v>
      </c>
      <c r="K137" t="s">
        <v>2910</v>
      </c>
      <c r="L137">
        <f t="shared" ca="1" si="6"/>
        <v>5</v>
      </c>
      <c r="M137" t="str">
        <f>IFERROR(INDEX('[4]31.03.2024'!$H:$H,MATCH($E137,'[4]31.03.2024'!$B:$B,0)),"Not found")</f>
        <v>Not found</v>
      </c>
      <c r="N137" t="str">
        <f>IFERROR(INDEX([2]Sheet1!$B:$B,MATCH($D137,[2]Sheet1!$A:$A,0)),"Not found")</f>
        <v>Not found</v>
      </c>
      <c r="O137">
        <f t="shared" si="7"/>
        <v>0</v>
      </c>
      <c r="P137">
        <f t="shared" si="8"/>
        <v>0</v>
      </c>
    </row>
    <row r="138" spans="1:16" x14ac:dyDescent="0.25">
      <c r="A138" t="s">
        <v>0</v>
      </c>
      <c r="B138" s="1">
        <v>39783</v>
      </c>
      <c r="C138" s="1">
        <v>42855</v>
      </c>
      <c r="D138" s="4" t="s">
        <v>2450</v>
      </c>
      <c r="E138" t="s">
        <v>2451</v>
      </c>
      <c r="F138">
        <v>13330</v>
      </c>
      <c r="G138">
        <v>22668597</v>
      </c>
      <c r="H138" t="s">
        <v>3</v>
      </c>
      <c r="I138" t="s">
        <v>4</v>
      </c>
      <c r="J138" t="s">
        <v>20</v>
      </c>
      <c r="K138" t="s">
        <v>2911</v>
      </c>
      <c r="L138">
        <f t="shared" ca="1" si="6"/>
        <v>8</v>
      </c>
      <c r="M138" t="str">
        <f>IFERROR(INDEX('[4]31.03.2024'!$H:$H,MATCH($E138,'[4]31.03.2024'!$B:$B,0)),"Not found")</f>
        <v>Not found</v>
      </c>
      <c r="N138" t="str">
        <f>IFERROR(INDEX([2]Sheet1!$B:$B,MATCH($D138,[2]Sheet1!$A:$A,0)),"Not found")</f>
        <v>Not found</v>
      </c>
      <c r="O138">
        <f t="shared" si="7"/>
        <v>0</v>
      </c>
      <c r="P138">
        <f t="shared" si="8"/>
        <v>0</v>
      </c>
    </row>
    <row r="139" spans="1:16" x14ac:dyDescent="0.25">
      <c r="A139" t="s">
        <v>0</v>
      </c>
      <c r="B139" s="1">
        <v>39783</v>
      </c>
      <c r="C139" s="1">
        <v>42855</v>
      </c>
      <c r="D139" s="4" t="s">
        <v>2452</v>
      </c>
      <c r="E139" t="s">
        <v>2453</v>
      </c>
      <c r="F139">
        <v>13331</v>
      </c>
      <c r="G139">
        <v>22666903</v>
      </c>
      <c r="H139" t="s">
        <v>3</v>
      </c>
      <c r="I139" t="s">
        <v>4</v>
      </c>
      <c r="J139" t="s">
        <v>20</v>
      </c>
      <c r="K139" t="s">
        <v>2911</v>
      </c>
      <c r="L139">
        <f t="shared" ca="1" si="6"/>
        <v>8</v>
      </c>
      <c r="M139" t="str">
        <f>IFERROR(INDEX('[4]31.03.2024'!$H:$H,MATCH($E139,'[4]31.03.2024'!$B:$B,0)),"Not found")</f>
        <v>Not found</v>
      </c>
      <c r="N139" t="str">
        <f>IFERROR(INDEX([2]Sheet1!$B:$B,MATCH($D139,[2]Sheet1!$A:$A,0)),"Not found")</f>
        <v>Not found</v>
      </c>
      <c r="O139">
        <f t="shared" si="7"/>
        <v>0</v>
      </c>
      <c r="P139">
        <f t="shared" si="8"/>
        <v>0</v>
      </c>
    </row>
    <row r="140" spans="1:16" x14ac:dyDescent="0.25">
      <c r="A140" t="s">
        <v>0</v>
      </c>
      <c r="B140" s="1">
        <v>39783</v>
      </c>
      <c r="C140" s="1">
        <v>42185</v>
      </c>
      <c r="D140" s="4" t="s">
        <v>2454</v>
      </c>
      <c r="E140" t="s">
        <v>2455</v>
      </c>
      <c r="F140">
        <v>13333</v>
      </c>
      <c r="G140">
        <v>20344820</v>
      </c>
      <c r="H140" t="s">
        <v>10</v>
      </c>
      <c r="I140" t="s">
        <v>4</v>
      </c>
      <c r="J140" t="s">
        <v>47</v>
      </c>
      <c r="K140" t="s">
        <v>2910</v>
      </c>
      <c r="L140">
        <f t="shared" ca="1" si="6"/>
        <v>6</v>
      </c>
      <c r="M140" t="str">
        <f>IFERROR(INDEX('[4]31.03.2024'!$H:$H,MATCH($E140,'[4]31.03.2024'!$B:$B,0)),"Not found")</f>
        <v>Not found</v>
      </c>
      <c r="N140" t="str">
        <f>IFERROR(INDEX([2]Sheet1!$B:$B,MATCH($D140,[2]Sheet1!$A:$A,0)),"Not found")</f>
        <v>Not found</v>
      </c>
      <c r="O140">
        <f t="shared" si="7"/>
        <v>0</v>
      </c>
      <c r="P140">
        <f t="shared" si="8"/>
        <v>0</v>
      </c>
    </row>
    <row r="141" spans="1:16" x14ac:dyDescent="0.25">
      <c r="A141" t="s">
        <v>0</v>
      </c>
      <c r="B141" s="1">
        <v>39783</v>
      </c>
      <c r="C141" s="1">
        <v>42369</v>
      </c>
      <c r="D141" s="4" t="s">
        <v>2456</v>
      </c>
      <c r="E141" t="s">
        <v>2457</v>
      </c>
      <c r="F141">
        <v>13335</v>
      </c>
      <c r="G141">
        <v>20284522</v>
      </c>
      <c r="H141" t="s">
        <v>10</v>
      </c>
      <c r="I141" t="s">
        <v>4</v>
      </c>
      <c r="J141" t="s">
        <v>5</v>
      </c>
      <c r="K141" t="s">
        <v>2910</v>
      </c>
      <c r="L141">
        <f t="shared" ca="1" si="6"/>
        <v>7</v>
      </c>
      <c r="M141" t="str">
        <f>IFERROR(INDEX('[4]31.03.2024'!$H:$H,MATCH($E141,'[4]31.03.2024'!$B:$B,0)),"Not found")</f>
        <v>Not found</v>
      </c>
      <c r="N141" t="str">
        <f>IFERROR(INDEX([2]Sheet1!$B:$B,MATCH($D141,[2]Sheet1!$A:$A,0)),"Not found")</f>
        <v>Not found</v>
      </c>
      <c r="O141">
        <f t="shared" si="7"/>
        <v>0</v>
      </c>
      <c r="P141">
        <f t="shared" si="8"/>
        <v>0</v>
      </c>
    </row>
    <row r="142" spans="1:16" x14ac:dyDescent="0.25">
      <c r="A142" t="s">
        <v>0</v>
      </c>
      <c r="B142" s="1">
        <v>39783</v>
      </c>
      <c r="C142" s="1">
        <v>43524</v>
      </c>
      <c r="D142" s="4" t="s">
        <v>2458</v>
      </c>
      <c r="E142" t="s">
        <v>2459</v>
      </c>
      <c r="F142">
        <v>13338</v>
      </c>
      <c r="G142">
        <v>21727903</v>
      </c>
      <c r="H142" t="s">
        <v>10</v>
      </c>
      <c r="I142" t="s">
        <v>4</v>
      </c>
      <c r="J142" t="s">
        <v>47</v>
      </c>
      <c r="K142" t="s">
        <v>2911</v>
      </c>
      <c r="L142">
        <f t="shared" ca="1" si="6"/>
        <v>10</v>
      </c>
      <c r="M142" t="str">
        <f>IFERROR(INDEX('[4]31.03.2024'!$H:$H,MATCH($E142,'[4]31.03.2024'!$B:$B,0)),"Not found")</f>
        <v>Not found</v>
      </c>
      <c r="N142" t="str">
        <f>IFERROR(INDEX([2]Sheet1!$B:$B,MATCH($D142,[2]Sheet1!$A:$A,0)),"Not found")</f>
        <v>Not found</v>
      </c>
      <c r="O142">
        <f t="shared" si="7"/>
        <v>0</v>
      </c>
      <c r="P142">
        <f t="shared" si="8"/>
        <v>0</v>
      </c>
    </row>
    <row r="143" spans="1:16" x14ac:dyDescent="0.25">
      <c r="A143" t="s">
        <v>0</v>
      </c>
      <c r="B143" s="1">
        <v>39783</v>
      </c>
      <c r="C143" s="1">
        <v>42886</v>
      </c>
      <c r="D143" s="4" t="s">
        <v>2460</v>
      </c>
      <c r="E143" t="s">
        <v>2461</v>
      </c>
      <c r="F143">
        <v>13339</v>
      </c>
      <c r="G143">
        <v>20284004</v>
      </c>
      <c r="H143" t="s">
        <v>10</v>
      </c>
      <c r="I143" t="s">
        <v>4</v>
      </c>
      <c r="J143" t="s">
        <v>5</v>
      </c>
      <c r="K143" t="s">
        <v>2911</v>
      </c>
      <c r="L143">
        <f t="shared" ca="1" si="6"/>
        <v>8</v>
      </c>
      <c r="M143" t="str">
        <f>IFERROR(INDEX('[4]31.03.2024'!$H:$H,MATCH($E143,'[4]31.03.2024'!$B:$B,0)),"Not found")</f>
        <v>Not found</v>
      </c>
      <c r="N143" t="str">
        <f>IFERROR(INDEX([2]Sheet1!$B:$B,MATCH($D143,[2]Sheet1!$A:$A,0)),"Not found")</f>
        <v>Not found</v>
      </c>
      <c r="O143">
        <f t="shared" si="7"/>
        <v>0</v>
      </c>
      <c r="P143">
        <f t="shared" si="8"/>
        <v>0</v>
      </c>
    </row>
    <row r="144" spans="1:16" x14ac:dyDescent="0.25">
      <c r="A144" t="s">
        <v>0</v>
      </c>
      <c r="B144" s="1">
        <v>39783</v>
      </c>
      <c r="C144" s="1">
        <v>42855</v>
      </c>
      <c r="D144" s="4" t="s">
        <v>2462</v>
      </c>
      <c r="E144" t="s">
        <v>2463</v>
      </c>
      <c r="F144">
        <v>13340</v>
      </c>
      <c r="G144">
        <v>20306373</v>
      </c>
      <c r="H144" t="s">
        <v>3</v>
      </c>
      <c r="I144" t="s">
        <v>4</v>
      </c>
      <c r="J144" t="s">
        <v>20</v>
      </c>
      <c r="K144" t="s">
        <v>2911</v>
      </c>
      <c r="L144">
        <f t="shared" ca="1" si="6"/>
        <v>8</v>
      </c>
      <c r="M144" t="str">
        <f>IFERROR(INDEX('[4]31.03.2024'!$H:$H,MATCH($E144,'[4]31.03.2024'!$B:$B,0)),"Not found")</f>
        <v>Not found</v>
      </c>
      <c r="N144" t="str">
        <f>IFERROR(INDEX([2]Sheet1!$B:$B,MATCH($D144,[2]Sheet1!$A:$A,0)),"Not found")</f>
        <v>Not found</v>
      </c>
      <c r="O144">
        <f t="shared" si="7"/>
        <v>0</v>
      </c>
      <c r="P144">
        <f t="shared" si="8"/>
        <v>0</v>
      </c>
    </row>
    <row r="145" spans="1:16" x14ac:dyDescent="0.25">
      <c r="A145" t="s">
        <v>0</v>
      </c>
      <c r="B145" s="1">
        <v>39783</v>
      </c>
      <c r="C145" s="1">
        <v>42124</v>
      </c>
      <c r="D145" s="4" t="s">
        <v>2464</v>
      </c>
      <c r="E145" t="s">
        <v>2465</v>
      </c>
      <c r="F145">
        <v>13342</v>
      </c>
      <c r="G145">
        <v>21005695</v>
      </c>
      <c r="H145" t="s">
        <v>3</v>
      </c>
      <c r="I145" t="s">
        <v>4</v>
      </c>
      <c r="J145" t="s">
        <v>20</v>
      </c>
      <c r="K145" t="s">
        <v>2911</v>
      </c>
      <c r="L145">
        <f t="shared" ca="1" si="6"/>
        <v>6</v>
      </c>
      <c r="M145" t="str">
        <f>IFERROR(INDEX('[4]31.03.2024'!$H:$H,MATCH($E145,'[4]31.03.2024'!$B:$B,0)),"Not found")</f>
        <v>Not found</v>
      </c>
      <c r="N145" t="str">
        <f>IFERROR(INDEX([2]Sheet1!$B:$B,MATCH($D145,[2]Sheet1!$A:$A,0)),"Not found")</f>
        <v>Not found</v>
      </c>
      <c r="O145">
        <f t="shared" si="7"/>
        <v>0</v>
      </c>
      <c r="P145">
        <f t="shared" si="8"/>
        <v>0</v>
      </c>
    </row>
    <row r="146" spans="1:16" x14ac:dyDescent="0.25">
      <c r="A146" t="s">
        <v>0</v>
      </c>
      <c r="B146" s="1">
        <v>39783</v>
      </c>
      <c r="C146" s="1">
        <v>44104</v>
      </c>
      <c r="D146" s="4" t="s">
        <v>2466</v>
      </c>
      <c r="E146" t="s">
        <v>2467</v>
      </c>
      <c r="F146">
        <v>13343</v>
      </c>
      <c r="G146">
        <v>20302890</v>
      </c>
      <c r="H146" t="s">
        <v>3</v>
      </c>
      <c r="I146" t="s">
        <v>4</v>
      </c>
      <c r="J146" t="s">
        <v>20</v>
      </c>
      <c r="K146" t="s">
        <v>2910</v>
      </c>
      <c r="L146">
        <f t="shared" ca="1" si="6"/>
        <v>11</v>
      </c>
      <c r="M146" t="str">
        <f>IFERROR(INDEX('[4]31.03.2024'!$H:$H,MATCH($E146,'[4]31.03.2024'!$B:$B,0)),"Not found")</f>
        <v>Not found</v>
      </c>
      <c r="N146" t="str">
        <f>IFERROR(INDEX([2]Sheet1!$B:$B,MATCH($D146,[2]Sheet1!$A:$A,0)),"Not found")</f>
        <v>Not found</v>
      </c>
      <c r="O146">
        <f t="shared" si="7"/>
        <v>0</v>
      </c>
      <c r="P146">
        <f t="shared" si="8"/>
        <v>0</v>
      </c>
    </row>
    <row r="147" spans="1:16" x14ac:dyDescent="0.25">
      <c r="A147" t="s">
        <v>0</v>
      </c>
      <c r="B147" s="1">
        <v>39783</v>
      </c>
      <c r="C147" s="1">
        <v>41973</v>
      </c>
      <c r="D147" s="4" t="s">
        <v>2468</v>
      </c>
      <c r="E147" t="s">
        <v>2469</v>
      </c>
      <c r="F147">
        <v>13345</v>
      </c>
      <c r="G147">
        <v>18784683</v>
      </c>
      <c r="H147" t="s">
        <v>3</v>
      </c>
      <c r="I147" t="s">
        <v>4</v>
      </c>
      <c r="J147" t="s">
        <v>50</v>
      </c>
      <c r="K147" t="s">
        <v>2911</v>
      </c>
      <c r="L147">
        <f t="shared" ca="1" si="6"/>
        <v>5</v>
      </c>
      <c r="M147" t="str">
        <f>IFERROR(INDEX('[4]31.03.2024'!$H:$H,MATCH($E147,'[4]31.03.2024'!$B:$B,0)),"Not found")</f>
        <v>Not found</v>
      </c>
      <c r="N147" t="str">
        <f>IFERROR(INDEX([2]Sheet1!$B:$B,MATCH($D147,[2]Sheet1!$A:$A,0)),"Not found")</f>
        <v>Not found</v>
      </c>
      <c r="O147">
        <f t="shared" si="7"/>
        <v>0</v>
      </c>
      <c r="P147">
        <f t="shared" si="8"/>
        <v>0</v>
      </c>
    </row>
    <row r="148" spans="1:16" x14ac:dyDescent="0.25">
      <c r="A148" t="s">
        <v>0</v>
      </c>
      <c r="B148" s="1">
        <v>39783</v>
      </c>
      <c r="C148" s="1">
        <v>42855</v>
      </c>
      <c r="D148" s="4" t="s">
        <v>2368</v>
      </c>
      <c r="E148" t="s">
        <v>2369</v>
      </c>
      <c r="F148">
        <v>13350</v>
      </c>
      <c r="G148">
        <v>18785053</v>
      </c>
      <c r="H148" t="s">
        <v>3</v>
      </c>
      <c r="I148" t="s">
        <v>4</v>
      </c>
      <c r="J148" t="s">
        <v>20</v>
      </c>
      <c r="K148" t="s">
        <v>2911</v>
      </c>
      <c r="L148">
        <f t="shared" ca="1" si="6"/>
        <v>8</v>
      </c>
      <c r="M148" t="str">
        <f>IFERROR(INDEX('[4]31.03.2024'!$H:$H,MATCH($E148,'[4]31.03.2024'!$B:$B,0)),"Not found")</f>
        <v>Not found</v>
      </c>
      <c r="N148" t="str">
        <f>IFERROR(INDEX([2]Sheet1!$B:$B,MATCH($D148,[2]Sheet1!$A:$A,0)),"Not found")</f>
        <v>Not found</v>
      </c>
      <c r="O148">
        <f t="shared" si="7"/>
        <v>0</v>
      </c>
      <c r="P148">
        <f t="shared" si="8"/>
        <v>0</v>
      </c>
    </row>
    <row r="149" spans="1:16" x14ac:dyDescent="0.25">
      <c r="A149" t="s">
        <v>0</v>
      </c>
      <c r="B149" s="1">
        <v>39783</v>
      </c>
      <c r="C149" s="1">
        <v>41305</v>
      </c>
      <c r="D149" s="4" t="s">
        <v>2470</v>
      </c>
      <c r="E149" t="s">
        <v>2471</v>
      </c>
      <c r="F149">
        <v>13351</v>
      </c>
      <c r="G149">
        <v>18918071</v>
      </c>
      <c r="H149" t="s">
        <v>3</v>
      </c>
      <c r="I149" t="s">
        <v>4</v>
      </c>
      <c r="J149" t="s">
        <v>50</v>
      </c>
      <c r="K149" t="s">
        <v>2911</v>
      </c>
      <c r="L149">
        <f t="shared" ca="1" si="6"/>
        <v>4</v>
      </c>
      <c r="M149" t="str">
        <f>IFERROR(INDEX('[4]31.03.2024'!$H:$H,MATCH($E149,'[4]31.03.2024'!$B:$B,0)),"Not found")</f>
        <v>Not found</v>
      </c>
      <c r="N149" t="str">
        <f>IFERROR(INDEX([2]Sheet1!$B:$B,MATCH($D149,[2]Sheet1!$A:$A,0)),"Not found")</f>
        <v>Not found</v>
      </c>
      <c r="O149">
        <f t="shared" si="7"/>
        <v>0</v>
      </c>
      <c r="P149">
        <f t="shared" si="8"/>
        <v>0</v>
      </c>
    </row>
    <row r="150" spans="1:16" x14ac:dyDescent="0.25">
      <c r="A150" t="s">
        <v>0</v>
      </c>
      <c r="B150" s="1">
        <v>39783</v>
      </c>
      <c r="C150" s="1">
        <v>43616</v>
      </c>
      <c r="D150" s="4" t="s">
        <v>2472</v>
      </c>
      <c r="E150" t="s">
        <v>2473</v>
      </c>
      <c r="F150">
        <v>13353</v>
      </c>
      <c r="G150">
        <v>19016416</v>
      </c>
      <c r="H150" t="s">
        <v>10</v>
      </c>
      <c r="I150" t="s">
        <v>4</v>
      </c>
      <c r="J150" t="s">
        <v>29</v>
      </c>
      <c r="K150" t="s">
        <v>2910</v>
      </c>
      <c r="L150">
        <f t="shared" ca="1" si="6"/>
        <v>10</v>
      </c>
      <c r="M150" t="str">
        <f>IFERROR(INDEX('[4]31.03.2024'!$H:$H,MATCH($E150,'[4]31.03.2024'!$B:$B,0)),"Not found")</f>
        <v>Not found</v>
      </c>
      <c r="N150" t="str">
        <f>IFERROR(INDEX([2]Sheet1!$B:$B,MATCH($D150,[2]Sheet1!$A:$A,0)),"Not found")</f>
        <v>Not found</v>
      </c>
      <c r="O150">
        <f t="shared" si="7"/>
        <v>0</v>
      </c>
      <c r="P150">
        <f t="shared" si="8"/>
        <v>0</v>
      </c>
    </row>
    <row r="151" spans="1:16" x14ac:dyDescent="0.25">
      <c r="A151" t="s">
        <v>0</v>
      </c>
      <c r="B151" s="1">
        <v>39783</v>
      </c>
      <c r="C151" s="1">
        <v>41820</v>
      </c>
      <c r="D151" s="4" t="s">
        <v>2474</v>
      </c>
      <c r="E151" t="s">
        <v>2475</v>
      </c>
      <c r="F151">
        <v>13354</v>
      </c>
      <c r="G151">
        <v>19016379</v>
      </c>
      <c r="H151" t="s">
        <v>3</v>
      </c>
      <c r="I151" t="s">
        <v>4</v>
      </c>
      <c r="J151" t="s">
        <v>20</v>
      </c>
      <c r="K151" t="s">
        <v>2911</v>
      </c>
      <c r="L151">
        <f t="shared" ca="1" si="6"/>
        <v>5</v>
      </c>
      <c r="M151" t="str">
        <f>IFERROR(INDEX('[4]31.03.2024'!$H:$H,MATCH($E151,'[4]31.03.2024'!$B:$B,0)),"Not found")</f>
        <v>Not found</v>
      </c>
      <c r="N151" t="str">
        <f>IFERROR(INDEX([2]Sheet1!$B:$B,MATCH($D151,[2]Sheet1!$A:$A,0)),"Not found")</f>
        <v>Not found</v>
      </c>
      <c r="O151">
        <f t="shared" si="7"/>
        <v>0</v>
      </c>
      <c r="P151">
        <f t="shared" si="8"/>
        <v>0</v>
      </c>
    </row>
    <row r="152" spans="1:16" x14ac:dyDescent="0.25">
      <c r="A152" t="s">
        <v>0</v>
      </c>
      <c r="B152" s="1">
        <v>39783</v>
      </c>
      <c r="C152" s="1">
        <v>41912</v>
      </c>
      <c r="D152" s="4" t="s">
        <v>2476</v>
      </c>
      <c r="E152" t="s">
        <v>2477</v>
      </c>
      <c r="F152">
        <v>13357</v>
      </c>
      <c r="G152">
        <v>19813220</v>
      </c>
      <c r="H152" t="s">
        <v>3</v>
      </c>
      <c r="I152" t="s">
        <v>4</v>
      </c>
      <c r="J152" t="s">
        <v>5</v>
      </c>
      <c r="K152" t="s">
        <v>2911</v>
      </c>
      <c r="L152">
        <f t="shared" ca="1" si="6"/>
        <v>5</v>
      </c>
      <c r="M152" t="str">
        <f>IFERROR(INDEX('[4]31.03.2024'!$H:$H,MATCH($E152,'[4]31.03.2024'!$B:$B,0)),"Not found")</f>
        <v>Not found</v>
      </c>
      <c r="N152" t="str">
        <f>IFERROR(INDEX([2]Sheet1!$B:$B,MATCH($D152,[2]Sheet1!$A:$A,0)),"Not found")</f>
        <v>Not found</v>
      </c>
      <c r="O152">
        <f t="shared" si="7"/>
        <v>0</v>
      </c>
      <c r="P152">
        <f t="shared" si="8"/>
        <v>0</v>
      </c>
    </row>
    <row r="153" spans="1:16" x14ac:dyDescent="0.25">
      <c r="A153" t="s">
        <v>0</v>
      </c>
      <c r="B153" s="1">
        <v>39783</v>
      </c>
      <c r="C153" s="1">
        <v>41912</v>
      </c>
      <c r="D153" s="4" t="s">
        <v>2478</v>
      </c>
      <c r="E153" t="s">
        <v>2479</v>
      </c>
      <c r="F153">
        <v>13358</v>
      </c>
      <c r="G153">
        <v>19813212</v>
      </c>
      <c r="H153" t="s">
        <v>3</v>
      </c>
      <c r="I153" t="s">
        <v>4</v>
      </c>
      <c r="J153" t="s">
        <v>5</v>
      </c>
      <c r="K153" t="s">
        <v>2911</v>
      </c>
      <c r="L153">
        <f t="shared" ca="1" si="6"/>
        <v>5</v>
      </c>
      <c r="M153" t="str">
        <f>IFERROR(INDEX('[4]31.03.2024'!$H:$H,MATCH($E153,'[4]31.03.2024'!$B:$B,0)),"Not found")</f>
        <v>Not found</v>
      </c>
      <c r="N153" t="str">
        <f>IFERROR(INDEX([2]Sheet1!$B:$B,MATCH($D153,[2]Sheet1!$A:$A,0)),"Not found")</f>
        <v>Not found</v>
      </c>
      <c r="O153">
        <f t="shared" si="7"/>
        <v>0</v>
      </c>
      <c r="P153">
        <f t="shared" si="8"/>
        <v>0</v>
      </c>
    </row>
    <row r="154" spans="1:16" x14ac:dyDescent="0.25">
      <c r="A154" t="s">
        <v>0</v>
      </c>
      <c r="B154" s="1">
        <v>39783</v>
      </c>
      <c r="C154" s="1">
        <v>41912</v>
      </c>
      <c r="D154" s="4" t="s">
        <v>2480</v>
      </c>
      <c r="E154" t="s">
        <v>2481</v>
      </c>
      <c r="F154">
        <v>13359</v>
      </c>
      <c r="G154">
        <v>19813183</v>
      </c>
      <c r="H154" t="s">
        <v>3</v>
      </c>
      <c r="I154" t="s">
        <v>4</v>
      </c>
      <c r="J154" t="s">
        <v>5</v>
      </c>
      <c r="K154" t="s">
        <v>2911</v>
      </c>
      <c r="L154">
        <f t="shared" ca="1" si="6"/>
        <v>5</v>
      </c>
      <c r="M154" t="str">
        <f>IFERROR(INDEX('[4]31.03.2024'!$H:$H,MATCH($E154,'[4]31.03.2024'!$B:$B,0)),"Not found")</f>
        <v>Not found</v>
      </c>
      <c r="N154" t="str">
        <f>IFERROR(INDEX([2]Sheet1!$B:$B,MATCH($D154,[2]Sheet1!$A:$A,0)),"Not found")</f>
        <v>Not found</v>
      </c>
      <c r="O154">
        <f t="shared" si="7"/>
        <v>0</v>
      </c>
      <c r="P154">
        <f t="shared" si="8"/>
        <v>0</v>
      </c>
    </row>
    <row r="155" spans="1:16" x14ac:dyDescent="0.25">
      <c r="A155" t="s">
        <v>0</v>
      </c>
      <c r="B155" s="1">
        <v>39783</v>
      </c>
      <c r="C155" s="1">
        <v>43281</v>
      </c>
      <c r="D155" s="4" t="s">
        <v>2482</v>
      </c>
      <c r="E155" t="s">
        <v>2483</v>
      </c>
      <c r="F155">
        <v>13362</v>
      </c>
      <c r="G155">
        <v>20351238</v>
      </c>
      <c r="H155" t="s">
        <v>10</v>
      </c>
      <c r="I155" t="s">
        <v>4</v>
      </c>
      <c r="J155" t="s">
        <v>20</v>
      </c>
      <c r="K155" t="s">
        <v>2911</v>
      </c>
      <c r="L155">
        <f t="shared" ca="1" si="6"/>
        <v>9</v>
      </c>
      <c r="M155" t="str">
        <f>IFERROR(INDEX('[4]31.03.2024'!$H:$H,MATCH($E155,'[4]31.03.2024'!$B:$B,0)),"Not found")</f>
        <v>Not found</v>
      </c>
      <c r="N155" t="str">
        <f>IFERROR(INDEX([2]Sheet1!$B:$B,MATCH($D155,[2]Sheet1!$A:$A,0)),"Not found")</f>
        <v>Not found</v>
      </c>
      <c r="O155">
        <f t="shared" si="7"/>
        <v>0</v>
      </c>
      <c r="P155">
        <f t="shared" si="8"/>
        <v>0</v>
      </c>
    </row>
    <row r="156" spans="1:16" x14ac:dyDescent="0.25">
      <c r="A156" t="s">
        <v>0</v>
      </c>
      <c r="B156" s="1">
        <v>39783</v>
      </c>
      <c r="C156" s="1">
        <v>41790</v>
      </c>
      <c r="D156" s="4" t="s">
        <v>2484</v>
      </c>
      <c r="E156" t="s">
        <v>2485</v>
      </c>
      <c r="F156">
        <v>13369</v>
      </c>
      <c r="G156">
        <v>20481438</v>
      </c>
      <c r="H156" t="s">
        <v>3</v>
      </c>
      <c r="I156" t="s">
        <v>4</v>
      </c>
      <c r="J156" t="s">
        <v>20</v>
      </c>
      <c r="K156" t="s">
        <v>2911</v>
      </c>
      <c r="L156">
        <f t="shared" ca="1" si="6"/>
        <v>5</v>
      </c>
      <c r="M156" t="str">
        <f>IFERROR(INDEX('[4]31.03.2024'!$H:$H,MATCH($E156,'[4]31.03.2024'!$B:$B,0)),"Not found")</f>
        <v>Not found</v>
      </c>
      <c r="N156" t="str">
        <f>IFERROR(INDEX([2]Sheet1!$B:$B,MATCH($D156,[2]Sheet1!$A:$A,0)),"Not found")</f>
        <v>Not found</v>
      </c>
      <c r="O156">
        <f t="shared" si="7"/>
        <v>0</v>
      </c>
      <c r="P156">
        <f t="shared" si="8"/>
        <v>0</v>
      </c>
    </row>
    <row r="157" spans="1:16" x14ac:dyDescent="0.25">
      <c r="A157" t="s">
        <v>0</v>
      </c>
      <c r="B157" s="1">
        <v>39783</v>
      </c>
      <c r="C157" s="1">
        <v>41333</v>
      </c>
      <c r="D157" s="4" t="s">
        <v>2486</v>
      </c>
      <c r="E157" t="s">
        <v>2487</v>
      </c>
      <c r="F157">
        <v>13370</v>
      </c>
      <c r="G157">
        <v>20659742</v>
      </c>
      <c r="H157" t="s">
        <v>3</v>
      </c>
      <c r="I157" t="s">
        <v>4</v>
      </c>
      <c r="J157" t="s">
        <v>20</v>
      </c>
      <c r="K157" t="s">
        <v>2911</v>
      </c>
      <c r="L157">
        <f t="shared" ca="1" si="6"/>
        <v>4</v>
      </c>
      <c r="M157" t="str">
        <f>IFERROR(INDEX('[4]31.03.2024'!$H:$H,MATCH($E157,'[4]31.03.2024'!$B:$B,0)),"Not found")</f>
        <v>Not found</v>
      </c>
      <c r="N157" t="str">
        <f>IFERROR(INDEX([2]Sheet1!$B:$B,MATCH($D157,[2]Sheet1!$A:$A,0)),"Not found")</f>
        <v>Not found</v>
      </c>
      <c r="O157">
        <f t="shared" si="7"/>
        <v>0</v>
      </c>
      <c r="P157">
        <f t="shared" si="8"/>
        <v>0</v>
      </c>
    </row>
    <row r="158" spans="1:16" x14ac:dyDescent="0.25">
      <c r="A158" t="s">
        <v>0</v>
      </c>
      <c r="B158" s="1">
        <v>39783</v>
      </c>
      <c r="C158" s="1">
        <v>41547</v>
      </c>
      <c r="D158" s="4" t="s">
        <v>2488</v>
      </c>
      <c r="E158" t="s">
        <v>2489</v>
      </c>
      <c r="F158">
        <v>13376</v>
      </c>
      <c r="G158">
        <v>20523394</v>
      </c>
      <c r="H158" t="s">
        <v>10</v>
      </c>
      <c r="I158" t="s">
        <v>4</v>
      </c>
      <c r="J158" t="s">
        <v>20</v>
      </c>
      <c r="K158" t="s">
        <v>2911</v>
      </c>
      <c r="L158">
        <f t="shared" ca="1" si="6"/>
        <v>4</v>
      </c>
      <c r="M158" t="str">
        <f>IFERROR(INDEX('[4]31.03.2024'!$H:$H,MATCH($E158,'[4]31.03.2024'!$B:$B,0)),"Not found")</f>
        <v>Not found</v>
      </c>
      <c r="N158" t="str">
        <f>IFERROR(INDEX([2]Sheet1!$B:$B,MATCH($D158,[2]Sheet1!$A:$A,0)),"Not found")</f>
        <v>Not found</v>
      </c>
      <c r="O158">
        <f t="shared" si="7"/>
        <v>0</v>
      </c>
      <c r="P158">
        <f t="shared" si="8"/>
        <v>0</v>
      </c>
    </row>
    <row r="159" spans="1:16" x14ac:dyDescent="0.25">
      <c r="A159" t="s">
        <v>0</v>
      </c>
      <c r="B159" s="1">
        <v>39783</v>
      </c>
      <c r="C159" s="1">
        <v>44530</v>
      </c>
      <c r="D159" s="4" t="s">
        <v>2490</v>
      </c>
      <c r="E159" t="s">
        <v>2491</v>
      </c>
      <c r="F159">
        <v>13377</v>
      </c>
      <c r="G159">
        <v>20535889</v>
      </c>
      <c r="H159" t="s">
        <v>3</v>
      </c>
      <c r="I159" t="s">
        <v>4</v>
      </c>
      <c r="J159" t="s">
        <v>20</v>
      </c>
      <c r="K159" t="s">
        <v>2911</v>
      </c>
      <c r="L159">
        <f t="shared" ca="1" si="6"/>
        <v>12</v>
      </c>
      <c r="M159" t="str">
        <f>IFERROR(INDEX('[4]31.03.2024'!$H:$H,MATCH($E159,'[4]31.03.2024'!$B:$B,0)),"Not found")</f>
        <v>Not found</v>
      </c>
      <c r="N159" t="str">
        <f>IFERROR(INDEX([2]Sheet1!$B:$B,MATCH($D159,[2]Sheet1!$A:$A,0)),"Not found")</f>
        <v>Not found</v>
      </c>
      <c r="O159">
        <f t="shared" si="7"/>
        <v>0</v>
      </c>
      <c r="P159">
        <f t="shared" si="8"/>
        <v>0</v>
      </c>
    </row>
    <row r="160" spans="1:16" x14ac:dyDescent="0.25">
      <c r="A160" t="s">
        <v>0</v>
      </c>
      <c r="B160" s="1">
        <v>39783</v>
      </c>
      <c r="C160" s="1">
        <v>43496</v>
      </c>
      <c r="D160" s="4" t="s">
        <v>2492</v>
      </c>
      <c r="E160" t="s">
        <v>2493</v>
      </c>
      <c r="F160">
        <v>13379</v>
      </c>
      <c r="G160">
        <v>20639055</v>
      </c>
      <c r="H160" t="s">
        <v>3</v>
      </c>
      <c r="I160" t="s">
        <v>4</v>
      </c>
      <c r="J160" t="s">
        <v>20</v>
      </c>
      <c r="K160" t="s">
        <v>2911</v>
      </c>
      <c r="L160">
        <f t="shared" ca="1" si="6"/>
        <v>10</v>
      </c>
      <c r="M160" t="str">
        <f>IFERROR(INDEX('[4]31.03.2024'!$H:$H,MATCH($E160,'[4]31.03.2024'!$B:$B,0)),"Not found")</f>
        <v>Not found</v>
      </c>
      <c r="N160" t="str">
        <f>IFERROR(INDEX([2]Sheet1!$B:$B,MATCH($D160,[2]Sheet1!$A:$A,0)),"Not found")</f>
        <v>Not found</v>
      </c>
      <c r="O160">
        <f t="shared" si="7"/>
        <v>0</v>
      </c>
      <c r="P160">
        <f t="shared" si="8"/>
        <v>0</v>
      </c>
    </row>
    <row r="161" spans="1:16" x14ac:dyDescent="0.25">
      <c r="A161" t="s">
        <v>0</v>
      </c>
      <c r="B161" s="1">
        <v>39783</v>
      </c>
      <c r="C161" s="1">
        <v>41364</v>
      </c>
      <c r="D161" s="4" t="s">
        <v>2494</v>
      </c>
      <c r="E161" t="s">
        <v>2495</v>
      </c>
      <c r="F161">
        <v>13380</v>
      </c>
      <c r="G161">
        <v>20667304</v>
      </c>
      <c r="H161" t="s">
        <v>3</v>
      </c>
      <c r="I161" t="s">
        <v>4</v>
      </c>
      <c r="J161" t="s">
        <v>20</v>
      </c>
      <c r="K161" t="s">
        <v>2911</v>
      </c>
      <c r="L161">
        <f t="shared" ca="1" si="6"/>
        <v>4</v>
      </c>
      <c r="M161" t="str">
        <f>IFERROR(INDEX('[4]31.03.2024'!$H:$H,MATCH($E161,'[4]31.03.2024'!$B:$B,0)),"Not found")</f>
        <v>Not found</v>
      </c>
      <c r="N161" t="str">
        <f>IFERROR(INDEX([2]Sheet1!$B:$B,MATCH($D161,[2]Sheet1!$A:$A,0)),"Not found")</f>
        <v>Not found</v>
      </c>
      <c r="O161">
        <f t="shared" si="7"/>
        <v>0</v>
      </c>
      <c r="P161">
        <f t="shared" si="8"/>
        <v>0</v>
      </c>
    </row>
    <row r="162" spans="1:16" x14ac:dyDescent="0.25">
      <c r="A162" t="s">
        <v>0</v>
      </c>
      <c r="B162" s="1">
        <v>39783</v>
      </c>
      <c r="C162" s="1">
        <v>41973</v>
      </c>
      <c r="D162" s="4" t="s">
        <v>2496</v>
      </c>
      <c r="E162" t="s">
        <v>2497</v>
      </c>
      <c r="F162">
        <v>13388</v>
      </c>
      <c r="G162">
        <v>20609569</v>
      </c>
      <c r="H162" t="s">
        <v>3</v>
      </c>
      <c r="I162" t="s">
        <v>4</v>
      </c>
      <c r="J162" t="s">
        <v>50</v>
      </c>
      <c r="K162" t="s">
        <v>2911</v>
      </c>
      <c r="L162">
        <f t="shared" ca="1" si="6"/>
        <v>5</v>
      </c>
      <c r="M162" t="str">
        <f>IFERROR(INDEX('[4]31.03.2024'!$H:$H,MATCH($E162,'[4]31.03.2024'!$B:$B,0)),"Not found")</f>
        <v>Not found</v>
      </c>
      <c r="N162" t="str">
        <f>IFERROR(INDEX([2]Sheet1!$B:$B,MATCH($D162,[2]Sheet1!$A:$A,0)),"Not found")</f>
        <v>Not found</v>
      </c>
      <c r="O162">
        <f t="shared" si="7"/>
        <v>0</v>
      </c>
      <c r="P162">
        <f t="shared" si="8"/>
        <v>0</v>
      </c>
    </row>
    <row r="163" spans="1:16" x14ac:dyDescent="0.25">
      <c r="A163" t="s">
        <v>0</v>
      </c>
      <c r="B163" s="1">
        <v>39783</v>
      </c>
      <c r="C163" s="1">
        <v>43769</v>
      </c>
      <c r="D163" s="4" t="s">
        <v>2498</v>
      </c>
      <c r="E163" t="s">
        <v>2499</v>
      </c>
      <c r="F163">
        <v>13391</v>
      </c>
      <c r="G163">
        <v>20705024</v>
      </c>
      <c r="H163" t="s">
        <v>3</v>
      </c>
      <c r="I163" t="s">
        <v>4</v>
      </c>
      <c r="J163" t="s">
        <v>50</v>
      </c>
      <c r="K163" t="s">
        <v>2911</v>
      </c>
      <c r="L163">
        <f t="shared" ca="1" si="6"/>
        <v>10</v>
      </c>
      <c r="M163" t="str">
        <f>IFERROR(INDEX('[4]31.03.2024'!$H:$H,MATCH($E163,'[4]31.03.2024'!$B:$B,0)),"Not found")</f>
        <v>Not found</v>
      </c>
      <c r="N163" t="str">
        <f>IFERROR(INDEX([2]Sheet1!$B:$B,MATCH($D163,[2]Sheet1!$A:$A,0)),"Not found")</f>
        <v>Not found</v>
      </c>
      <c r="O163">
        <f t="shared" si="7"/>
        <v>0</v>
      </c>
      <c r="P163">
        <f t="shared" si="8"/>
        <v>0</v>
      </c>
    </row>
    <row r="164" spans="1:16" x14ac:dyDescent="0.25">
      <c r="A164" t="s">
        <v>0</v>
      </c>
      <c r="B164" s="1">
        <v>39783</v>
      </c>
      <c r="C164" s="1">
        <v>41670</v>
      </c>
      <c r="D164" s="4" t="s">
        <v>2500</v>
      </c>
      <c r="E164" t="s">
        <v>2501</v>
      </c>
      <c r="F164">
        <v>13393</v>
      </c>
      <c r="G164">
        <v>20750861</v>
      </c>
      <c r="H164" t="s">
        <v>10</v>
      </c>
      <c r="I164" t="s">
        <v>4</v>
      </c>
      <c r="J164" t="s">
        <v>47</v>
      </c>
      <c r="K164" t="s">
        <v>2910</v>
      </c>
      <c r="L164">
        <f t="shared" ca="1" si="6"/>
        <v>5</v>
      </c>
      <c r="M164" t="str">
        <f>IFERROR(INDEX('[4]31.03.2024'!$H:$H,MATCH($E164,'[4]31.03.2024'!$B:$B,0)),"Not found")</f>
        <v>Not found</v>
      </c>
      <c r="N164" t="str">
        <f>IFERROR(INDEX([2]Sheet1!$B:$B,MATCH($D164,[2]Sheet1!$A:$A,0)),"Not found")</f>
        <v>Not found</v>
      </c>
      <c r="O164">
        <f t="shared" si="7"/>
        <v>0</v>
      </c>
      <c r="P164">
        <f t="shared" si="8"/>
        <v>0</v>
      </c>
    </row>
    <row r="165" spans="1:16" x14ac:dyDescent="0.25">
      <c r="A165" t="s">
        <v>0</v>
      </c>
      <c r="B165" s="1">
        <v>39783</v>
      </c>
      <c r="C165" s="1">
        <v>42735</v>
      </c>
      <c r="D165" s="4" t="s">
        <v>2502</v>
      </c>
      <c r="E165" t="s">
        <v>2503</v>
      </c>
      <c r="F165">
        <v>13394</v>
      </c>
      <c r="G165">
        <v>20730289</v>
      </c>
      <c r="H165" t="s">
        <v>10</v>
      </c>
      <c r="I165" t="s">
        <v>4</v>
      </c>
      <c r="J165" t="s">
        <v>5</v>
      </c>
      <c r="K165" t="s">
        <v>2910</v>
      </c>
      <c r="L165">
        <f t="shared" ca="1" si="6"/>
        <v>8</v>
      </c>
      <c r="M165" t="str">
        <f>IFERROR(INDEX('[4]31.03.2024'!$H:$H,MATCH($E165,'[4]31.03.2024'!$B:$B,0)),"Not found")</f>
        <v>Not found</v>
      </c>
      <c r="N165" t="str">
        <f>IFERROR(INDEX([2]Sheet1!$B:$B,MATCH($D165,[2]Sheet1!$A:$A,0)),"Not found")</f>
        <v>Not found</v>
      </c>
      <c r="O165">
        <f t="shared" si="7"/>
        <v>0</v>
      </c>
      <c r="P165">
        <f t="shared" si="8"/>
        <v>0</v>
      </c>
    </row>
    <row r="166" spans="1:16" x14ac:dyDescent="0.25">
      <c r="A166" t="s">
        <v>0</v>
      </c>
      <c r="B166" s="1">
        <v>39783</v>
      </c>
      <c r="C166" s="1">
        <v>45077</v>
      </c>
      <c r="D166" s="4" t="s">
        <v>1</v>
      </c>
      <c r="E166" t="s">
        <v>2</v>
      </c>
      <c r="F166">
        <v>13396</v>
      </c>
      <c r="G166">
        <v>20753640</v>
      </c>
      <c r="H166" t="s">
        <v>3</v>
      </c>
      <c r="I166" t="s">
        <v>4</v>
      </c>
      <c r="J166" t="s">
        <v>5</v>
      </c>
      <c r="K166" t="s">
        <v>2911</v>
      </c>
      <c r="L166">
        <f t="shared" ca="1" si="6"/>
        <v>14</v>
      </c>
      <c r="M166" t="str">
        <f>IFERROR(INDEX('[4]31.03.2024'!$H:$H,MATCH($E166,'[4]31.03.2024'!$B:$B,0)),"Not found")</f>
        <v>Not found</v>
      </c>
      <c r="N166" t="str">
        <f>IFERROR(INDEX([2]Sheet1!$B:$B,MATCH($D166,[2]Sheet1!$A:$A,0)),"Not found")</f>
        <v>Not found</v>
      </c>
      <c r="O166">
        <f t="shared" si="7"/>
        <v>0</v>
      </c>
      <c r="P166">
        <f t="shared" si="8"/>
        <v>0</v>
      </c>
    </row>
    <row r="167" spans="1:16" x14ac:dyDescent="0.25">
      <c r="A167" t="s">
        <v>0</v>
      </c>
      <c r="B167" s="1">
        <v>39783</v>
      </c>
      <c r="C167" s="1">
        <v>41639</v>
      </c>
      <c r="D167" s="4" t="s">
        <v>2504</v>
      </c>
      <c r="E167" t="s">
        <v>2505</v>
      </c>
      <c r="F167">
        <v>13397</v>
      </c>
      <c r="G167">
        <v>22344269</v>
      </c>
      <c r="H167" t="s">
        <v>10</v>
      </c>
      <c r="I167" t="s">
        <v>4</v>
      </c>
      <c r="J167" t="s">
        <v>50</v>
      </c>
      <c r="K167" t="s">
        <v>2910</v>
      </c>
      <c r="L167">
        <f t="shared" ca="1" si="6"/>
        <v>5</v>
      </c>
      <c r="M167" t="str">
        <f>IFERROR(INDEX('[4]31.03.2024'!$H:$H,MATCH($E167,'[4]31.03.2024'!$B:$B,0)),"Not found")</f>
        <v>Not found</v>
      </c>
      <c r="N167" t="str">
        <f>IFERROR(INDEX([2]Sheet1!$B:$B,MATCH($D167,[2]Sheet1!$A:$A,0)),"Not found")</f>
        <v>Not found</v>
      </c>
      <c r="O167">
        <f t="shared" si="7"/>
        <v>0</v>
      </c>
      <c r="P167">
        <f t="shared" si="8"/>
        <v>0</v>
      </c>
    </row>
    <row r="168" spans="1:16" x14ac:dyDescent="0.25">
      <c r="A168" t="s">
        <v>0</v>
      </c>
      <c r="B168" s="1">
        <v>39783</v>
      </c>
      <c r="C168" s="1">
        <v>42429</v>
      </c>
      <c r="D168" s="4" t="s">
        <v>2506</v>
      </c>
      <c r="E168" t="s">
        <v>2507</v>
      </c>
      <c r="F168">
        <v>13403</v>
      </c>
      <c r="G168">
        <v>20872527</v>
      </c>
      <c r="H168" t="s">
        <v>10</v>
      </c>
      <c r="I168" t="s">
        <v>4</v>
      </c>
      <c r="J168" t="s">
        <v>5</v>
      </c>
      <c r="K168" t="s">
        <v>2911</v>
      </c>
      <c r="L168">
        <f t="shared" ca="1" si="6"/>
        <v>7</v>
      </c>
      <c r="M168" t="str">
        <f>IFERROR(INDEX('[4]31.03.2024'!$H:$H,MATCH($E168,'[4]31.03.2024'!$B:$B,0)),"Not found")</f>
        <v>Not found</v>
      </c>
      <c r="N168" t="str">
        <f>IFERROR(INDEX([2]Sheet1!$B:$B,MATCH($D168,[2]Sheet1!$A:$A,0)),"Not found")</f>
        <v>Not found</v>
      </c>
      <c r="O168">
        <f t="shared" si="7"/>
        <v>0</v>
      </c>
      <c r="P168">
        <f t="shared" si="8"/>
        <v>0</v>
      </c>
    </row>
    <row r="169" spans="1:16" x14ac:dyDescent="0.25">
      <c r="A169" t="s">
        <v>0</v>
      </c>
      <c r="B169" s="1">
        <v>39783</v>
      </c>
      <c r="C169" s="1">
        <v>41333</v>
      </c>
      <c r="D169" s="4" t="s">
        <v>2508</v>
      </c>
      <c r="E169" t="s">
        <v>2509</v>
      </c>
      <c r="F169">
        <v>13407</v>
      </c>
      <c r="G169">
        <v>22344154</v>
      </c>
      <c r="H169" t="s">
        <v>10</v>
      </c>
      <c r="I169" t="s">
        <v>4</v>
      </c>
      <c r="J169" t="s">
        <v>47</v>
      </c>
      <c r="K169" t="s">
        <v>2911</v>
      </c>
      <c r="L169">
        <f t="shared" ca="1" si="6"/>
        <v>4</v>
      </c>
      <c r="M169" t="str">
        <f>IFERROR(INDEX('[4]31.03.2024'!$H:$H,MATCH($E169,'[4]31.03.2024'!$B:$B,0)),"Not found")</f>
        <v>Not found</v>
      </c>
      <c r="N169" t="str">
        <f>IFERROR(INDEX([2]Sheet1!$B:$B,MATCH($D169,[2]Sheet1!$A:$A,0)),"Not found")</f>
        <v>Not found</v>
      </c>
      <c r="O169">
        <f t="shared" si="7"/>
        <v>0</v>
      </c>
      <c r="P169">
        <f t="shared" si="8"/>
        <v>0</v>
      </c>
    </row>
    <row r="170" spans="1:16" x14ac:dyDescent="0.25">
      <c r="A170" t="s">
        <v>0</v>
      </c>
      <c r="B170" s="1">
        <v>39783</v>
      </c>
      <c r="C170" s="1">
        <v>41729</v>
      </c>
      <c r="D170" s="4" t="s">
        <v>2510</v>
      </c>
      <c r="E170" t="s">
        <v>2511</v>
      </c>
      <c r="F170">
        <v>13414</v>
      </c>
      <c r="G170">
        <v>21131608</v>
      </c>
      <c r="H170" t="s">
        <v>10</v>
      </c>
      <c r="I170" t="s">
        <v>4</v>
      </c>
      <c r="J170" t="s">
        <v>20</v>
      </c>
      <c r="K170" t="s">
        <v>2911</v>
      </c>
      <c r="L170">
        <f t="shared" ca="1" si="6"/>
        <v>5</v>
      </c>
      <c r="M170" t="str">
        <f>IFERROR(INDEX('[4]31.03.2024'!$H:$H,MATCH($E170,'[4]31.03.2024'!$B:$B,0)),"Not found")</f>
        <v>Not found</v>
      </c>
      <c r="N170" t="str">
        <f>IFERROR(INDEX([2]Sheet1!$B:$B,MATCH($D170,[2]Sheet1!$A:$A,0)),"Not found")</f>
        <v>Not found</v>
      </c>
      <c r="O170">
        <f t="shared" si="7"/>
        <v>0</v>
      </c>
      <c r="P170">
        <f t="shared" si="8"/>
        <v>0</v>
      </c>
    </row>
    <row r="171" spans="1:16" x14ac:dyDescent="0.25">
      <c r="A171" t="s">
        <v>0</v>
      </c>
      <c r="B171" s="1">
        <v>39783</v>
      </c>
      <c r="C171" s="1">
        <v>41364</v>
      </c>
      <c r="D171" s="4" t="s">
        <v>2512</v>
      </c>
      <c r="E171" t="s">
        <v>2513</v>
      </c>
      <c r="F171">
        <v>13419</v>
      </c>
      <c r="G171">
        <v>22344015</v>
      </c>
      <c r="H171" t="s">
        <v>10</v>
      </c>
      <c r="I171" t="s">
        <v>4</v>
      </c>
      <c r="J171" t="s">
        <v>5</v>
      </c>
      <c r="K171" t="s">
        <v>2910</v>
      </c>
      <c r="L171">
        <f t="shared" ca="1" si="6"/>
        <v>4</v>
      </c>
      <c r="M171" t="str">
        <f>IFERROR(INDEX('[4]31.03.2024'!$H:$H,MATCH($E171,'[4]31.03.2024'!$B:$B,0)),"Not found")</f>
        <v>Not found</v>
      </c>
      <c r="N171" t="str">
        <f>IFERROR(INDEX([2]Sheet1!$B:$B,MATCH($D171,[2]Sheet1!$A:$A,0)),"Not found")</f>
        <v>Not found</v>
      </c>
      <c r="O171">
        <f t="shared" si="7"/>
        <v>0</v>
      </c>
      <c r="P171">
        <f t="shared" si="8"/>
        <v>0</v>
      </c>
    </row>
    <row r="172" spans="1:16" x14ac:dyDescent="0.25">
      <c r="A172" t="s">
        <v>0</v>
      </c>
      <c r="B172" s="1">
        <v>39783</v>
      </c>
      <c r="C172" s="1">
        <v>42063</v>
      </c>
      <c r="D172" s="4" t="s">
        <v>2514</v>
      </c>
      <c r="E172" t="s">
        <v>2515</v>
      </c>
      <c r="F172">
        <v>13425</v>
      </c>
      <c r="G172">
        <v>21147917</v>
      </c>
      <c r="H172" t="s">
        <v>10</v>
      </c>
      <c r="I172" t="s">
        <v>4</v>
      </c>
      <c r="J172" t="s">
        <v>47</v>
      </c>
      <c r="K172" t="s">
        <v>2910</v>
      </c>
      <c r="L172">
        <f t="shared" ca="1" si="6"/>
        <v>6</v>
      </c>
      <c r="M172" t="str">
        <f>IFERROR(INDEX('[4]31.03.2024'!$H:$H,MATCH($E172,'[4]31.03.2024'!$B:$B,0)),"Not found")</f>
        <v>Not found</v>
      </c>
      <c r="N172" t="str">
        <f>IFERROR(INDEX([2]Sheet1!$B:$B,MATCH($D172,[2]Sheet1!$A:$A,0)),"Not found")</f>
        <v>Not found</v>
      </c>
      <c r="O172">
        <f t="shared" si="7"/>
        <v>0</v>
      </c>
      <c r="P172">
        <f t="shared" si="8"/>
        <v>0</v>
      </c>
    </row>
    <row r="173" spans="1:16" x14ac:dyDescent="0.25">
      <c r="A173" t="s">
        <v>0</v>
      </c>
      <c r="B173" s="1">
        <v>39783</v>
      </c>
      <c r="C173" s="1">
        <v>43738</v>
      </c>
      <c r="D173" s="4" t="s">
        <v>2516</v>
      </c>
      <c r="E173" t="s">
        <v>2517</v>
      </c>
      <c r="F173">
        <v>13438</v>
      </c>
      <c r="G173">
        <v>21365316</v>
      </c>
      <c r="H173" t="s">
        <v>3</v>
      </c>
      <c r="I173" t="s">
        <v>4</v>
      </c>
      <c r="J173" t="s">
        <v>5</v>
      </c>
      <c r="K173" t="s">
        <v>2911</v>
      </c>
      <c r="L173">
        <f t="shared" ca="1" si="6"/>
        <v>10</v>
      </c>
      <c r="M173" t="str">
        <f>IFERROR(INDEX('[4]31.03.2024'!$H:$H,MATCH($E173,'[4]31.03.2024'!$B:$B,0)),"Not found")</f>
        <v>Not found</v>
      </c>
      <c r="N173" t="str">
        <f>IFERROR(INDEX([2]Sheet1!$B:$B,MATCH($D173,[2]Sheet1!$A:$A,0)),"Not found")</f>
        <v>Not found</v>
      </c>
      <c r="O173">
        <f t="shared" si="7"/>
        <v>0</v>
      </c>
      <c r="P173">
        <f t="shared" si="8"/>
        <v>0</v>
      </c>
    </row>
    <row r="174" spans="1:16" x14ac:dyDescent="0.25">
      <c r="A174" t="s">
        <v>0</v>
      </c>
      <c r="B174" s="1">
        <v>39783</v>
      </c>
      <c r="C174" s="1">
        <v>43251</v>
      </c>
      <c r="D174" s="4" t="s">
        <v>2518</v>
      </c>
      <c r="E174" t="s">
        <v>2519</v>
      </c>
      <c r="F174">
        <v>13440</v>
      </c>
      <c r="G174">
        <v>21383266</v>
      </c>
      <c r="H174" t="s">
        <v>10</v>
      </c>
      <c r="I174" t="s">
        <v>4</v>
      </c>
      <c r="J174" t="s">
        <v>47</v>
      </c>
      <c r="K174" t="s">
        <v>2911</v>
      </c>
      <c r="L174">
        <f t="shared" ca="1" si="6"/>
        <v>9</v>
      </c>
      <c r="M174" t="str">
        <f>IFERROR(INDEX('[4]31.03.2024'!$H:$H,MATCH($E174,'[4]31.03.2024'!$B:$B,0)),"Not found")</f>
        <v>Not found</v>
      </c>
      <c r="N174" t="str">
        <f>IFERROR(INDEX([2]Sheet1!$B:$B,MATCH($D174,[2]Sheet1!$A:$A,0)),"Not found")</f>
        <v>Not found</v>
      </c>
      <c r="O174">
        <f t="shared" si="7"/>
        <v>0</v>
      </c>
      <c r="P174">
        <f t="shared" si="8"/>
        <v>0</v>
      </c>
    </row>
    <row r="175" spans="1:16" x14ac:dyDescent="0.25">
      <c r="A175" t="s">
        <v>0</v>
      </c>
      <c r="B175" s="1">
        <v>39783</v>
      </c>
      <c r="C175" s="1">
        <v>42674</v>
      </c>
      <c r="D175" s="4" t="s">
        <v>2520</v>
      </c>
      <c r="E175" t="s">
        <v>2521</v>
      </c>
      <c r="F175">
        <v>13441</v>
      </c>
      <c r="G175">
        <v>21389051</v>
      </c>
      <c r="H175" t="s">
        <v>10</v>
      </c>
      <c r="I175" t="s">
        <v>4</v>
      </c>
      <c r="J175" t="s">
        <v>47</v>
      </c>
      <c r="K175" t="s">
        <v>2911</v>
      </c>
      <c r="L175">
        <f t="shared" ca="1" si="6"/>
        <v>7</v>
      </c>
      <c r="M175" t="str">
        <f>IFERROR(INDEX('[4]31.03.2024'!$H:$H,MATCH($E175,'[4]31.03.2024'!$B:$B,0)),"Not found")</f>
        <v>Not found</v>
      </c>
      <c r="N175" t="str">
        <f>IFERROR(INDEX([2]Sheet1!$B:$B,MATCH($D175,[2]Sheet1!$A:$A,0)),"Not found")</f>
        <v>Not found</v>
      </c>
      <c r="O175">
        <f t="shared" si="7"/>
        <v>0</v>
      </c>
      <c r="P175">
        <f t="shared" si="8"/>
        <v>0</v>
      </c>
    </row>
    <row r="176" spans="1:16" x14ac:dyDescent="0.25">
      <c r="A176" t="s">
        <v>0</v>
      </c>
      <c r="B176" s="1">
        <v>39783</v>
      </c>
      <c r="C176" s="1">
        <v>42855</v>
      </c>
      <c r="D176" s="4" t="s">
        <v>2522</v>
      </c>
      <c r="E176" t="s">
        <v>2523</v>
      </c>
      <c r="F176">
        <v>13444</v>
      </c>
      <c r="G176">
        <v>21305903</v>
      </c>
      <c r="H176" t="s">
        <v>3</v>
      </c>
      <c r="I176" t="s">
        <v>4</v>
      </c>
      <c r="J176" t="s">
        <v>20</v>
      </c>
      <c r="K176" t="s">
        <v>2911</v>
      </c>
      <c r="L176">
        <f t="shared" ca="1" si="6"/>
        <v>8</v>
      </c>
      <c r="M176" t="str">
        <f>IFERROR(INDEX('[4]31.03.2024'!$H:$H,MATCH($E176,'[4]31.03.2024'!$B:$B,0)),"Not found")</f>
        <v>Not found</v>
      </c>
      <c r="N176" t="str">
        <f>IFERROR(INDEX([2]Sheet1!$B:$B,MATCH($D176,[2]Sheet1!$A:$A,0)),"Not found")</f>
        <v>Not found</v>
      </c>
      <c r="O176">
        <f t="shared" si="7"/>
        <v>0</v>
      </c>
      <c r="P176">
        <f t="shared" si="8"/>
        <v>0</v>
      </c>
    </row>
    <row r="177" spans="1:16" x14ac:dyDescent="0.25">
      <c r="A177" t="s">
        <v>0</v>
      </c>
      <c r="B177" s="1">
        <v>39783</v>
      </c>
      <c r="C177" s="1">
        <v>43404</v>
      </c>
      <c r="D177" s="4" t="s">
        <v>2524</v>
      </c>
      <c r="E177" t="s">
        <v>2525</v>
      </c>
      <c r="F177">
        <v>13446</v>
      </c>
      <c r="G177">
        <v>21305890</v>
      </c>
      <c r="H177" t="s">
        <v>10</v>
      </c>
      <c r="I177" t="s">
        <v>4</v>
      </c>
      <c r="J177" t="s">
        <v>20</v>
      </c>
      <c r="K177" t="s">
        <v>2911</v>
      </c>
      <c r="L177">
        <f t="shared" ca="1" si="6"/>
        <v>9</v>
      </c>
      <c r="M177" t="str">
        <f>IFERROR(INDEX('[4]31.03.2024'!$H:$H,MATCH($E177,'[4]31.03.2024'!$B:$B,0)),"Not found")</f>
        <v>Not found</v>
      </c>
      <c r="N177" t="str">
        <f>IFERROR(INDEX([2]Sheet1!$B:$B,MATCH($D177,[2]Sheet1!$A:$A,0)),"Not found")</f>
        <v>Not found</v>
      </c>
      <c r="O177">
        <f t="shared" si="7"/>
        <v>0</v>
      </c>
      <c r="P177">
        <f t="shared" si="8"/>
        <v>0</v>
      </c>
    </row>
    <row r="178" spans="1:16" x14ac:dyDescent="0.25">
      <c r="A178" t="s">
        <v>0</v>
      </c>
      <c r="B178" s="1">
        <v>39783</v>
      </c>
      <c r="C178" s="1">
        <v>43799</v>
      </c>
      <c r="D178" s="4" t="s">
        <v>2526</v>
      </c>
      <c r="E178" t="s">
        <v>2527</v>
      </c>
      <c r="F178">
        <v>13447</v>
      </c>
      <c r="G178">
        <v>21305938</v>
      </c>
      <c r="H178" t="s">
        <v>3</v>
      </c>
      <c r="I178" t="s">
        <v>4</v>
      </c>
      <c r="J178" t="s">
        <v>50</v>
      </c>
      <c r="K178" t="s">
        <v>2911</v>
      </c>
      <c r="L178">
        <f t="shared" ca="1" si="6"/>
        <v>10</v>
      </c>
      <c r="M178" t="str">
        <f>IFERROR(INDEX('[4]31.03.2024'!$H:$H,MATCH($E178,'[4]31.03.2024'!$B:$B,0)),"Not found")</f>
        <v>Not found</v>
      </c>
      <c r="N178" t="str">
        <f>IFERROR(INDEX([2]Sheet1!$B:$B,MATCH($D178,[2]Sheet1!$A:$A,0)),"Not found")</f>
        <v>Not found</v>
      </c>
      <c r="O178">
        <f t="shared" si="7"/>
        <v>0</v>
      </c>
      <c r="P178">
        <f t="shared" si="8"/>
        <v>0</v>
      </c>
    </row>
    <row r="179" spans="1:16" x14ac:dyDescent="0.25">
      <c r="A179" t="s">
        <v>0</v>
      </c>
      <c r="B179" s="1">
        <v>39783</v>
      </c>
      <c r="C179" s="1">
        <v>42825</v>
      </c>
      <c r="D179" s="4" t="s">
        <v>2528</v>
      </c>
      <c r="E179" t="s">
        <v>2529</v>
      </c>
      <c r="F179">
        <v>13450</v>
      </c>
      <c r="G179">
        <v>21456066</v>
      </c>
      <c r="H179" t="s">
        <v>10</v>
      </c>
      <c r="I179" t="s">
        <v>4</v>
      </c>
      <c r="J179" t="s">
        <v>50</v>
      </c>
      <c r="K179" t="s">
        <v>2911</v>
      </c>
      <c r="L179">
        <f t="shared" ca="1" si="6"/>
        <v>8</v>
      </c>
      <c r="M179" t="str">
        <f>IFERROR(INDEX('[4]31.03.2024'!$H:$H,MATCH($E179,'[4]31.03.2024'!$B:$B,0)),"Not found")</f>
        <v>Not found</v>
      </c>
      <c r="N179" t="str">
        <f>IFERROR(INDEX([2]Sheet1!$B:$B,MATCH($D179,[2]Sheet1!$A:$A,0)),"Not found")</f>
        <v>Not found</v>
      </c>
      <c r="O179">
        <f t="shared" si="7"/>
        <v>0</v>
      </c>
      <c r="P179">
        <f t="shared" si="8"/>
        <v>0</v>
      </c>
    </row>
    <row r="180" spans="1:16" x14ac:dyDescent="0.25">
      <c r="A180" t="s">
        <v>0</v>
      </c>
      <c r="B180" s="1">
        <v>39783</v>
      </c>
      <c r="C180" s="1">
        <v>41943</v>
      </c>
      <c r="D180" s="4" t="s">
        <v>2530</v>
      </c>
      <c r="E180" t="s">
        <v>2531</v>
      </c>
      <c r="F180">
        <v>13456</v>
      </c>
      <c r="G180">
        <v>21634643</v>
      </c>
      <c r="H180" t="s">
        <v>3</v>
      </c>
      <c r="I180" t="s">
        <v>4</v>
      </c>
      <c r="J180" t="s">
        <v>20</v>
      </c>
      <c r="K180" t="s">
        <v>2910</v>
      </c>
      <c r="L180">
        <f t="shared" ca="1" si="6"/>
        <v>5</v>
      </c>
      <c r="M180" t="str">
        <f>IFERROR(INDEX('[4]31.03.2024'!$H:$H,MATCH($E180,'[4]31.03.2024'!$B:$B,0)),"Not found")</f>
        <v>Not found</v>
      </c>
      <c r="N180" t="str">
        <f>IFERROR(INDEX([2]Sheet1!$B:$B,MATCH($D180,[2]Sheet1!$A:$A,0)),"Not found")</f>
        <v>Not found</v>
      </c>
      <c r="O180">
        <f t="shared" si="7"/>
        <v>0</v>
      </c>
      <c r="P180">
        <f t="shared" si="8"/>
        <v>0</v>
      </c>
    </row>
    <row r="181" spans="1:16" x14ac:dyDescent="0.25">
      <c r="A181" t="s">
        <v>0</v>
      </c>
      <c r="B181" s="1">
        <v>39783</v>
      </c>
      <c r="C181" s="1">
        <v>42063</v>
      </c>
      <c r="D181" s="4" t="s">
        <v>2532</v>
      </c>
      <c r="E181" t="s">
        <v>2533</v>
      </c>
      <c r="F181">
        <v>13461</v>
      </c>
      <c r="G181">
        <v>21532372</v>
      </c>
      <c r="H181" t="s">
        <v>3</v>
      </c>
      <c r="I181" t="s">
        <v>4</v>
      </c>
      <c r="J181" t="s">
        <v>20</v>
      </c>
      <c r="K181" t="s">
        <v>2911</v>
      </c>
      <c r="L181">
        <f t="shared" ca="1" si="6"/>
        <v>6</v>
      </c>
      <c r="M181" t="str">
        <f>IFERROR(INDEX('[4]31.03.2024'!$H:$H,MATCH($E181,'[4]31.03.2024'!$B:$B,0)),"Not found")</f>
        <v>Not found</v>
      </c>
      <c r="N181" t="str">
        <f>IFERROR(INDEX([2]Sheet1!$B:$B,MATCH($D181,[2]Sheet1!$A:$A,0)),"Not found")</f>
        <v>Not found</v>
      </c>
      <c r="O181">
        <f t="shared" si="7"/>
        <v>0</v>
      </c>
      <c r="P181">
        <f t="shared" si="8"/>
        <v>0</v>
      </c>
    </row>
    <row r="182" spans="1:16" x14ac:dyDescent="0.25">
      <c r="A182" t="s">
        <v>0</v>
      </c>
      <c r="B182" s="1">
        <v>39783</v>
      </c>
      <c r="C182" s="1">
        <v>42735</v>
      </c>
      <c r="D182" s="4" t="s">
        <v>2536</v>
      </c>
      <c r="E182" t="s">
        <v>2537</v>
      </c>
      <c r="F182">
        <v>13463</v>
      </c>
      <c r="G182">
        <v>22343856</v>
      </c>
      <c r="H182" t="s">
        <v>10</v>
      </c>
      <c r="I182" t="s">
        <v>4</v>
      </c>
      <c r="J182" t="s">
        <v>20</v>
      </c>
      <c r="K182" t="s">
        <v>2910</v>
      </c>
      <c r="L182">
        <f t="shared" ca="1" si="6"/>
        <v>8</v>
      </c>
      <c r="M182" t="str">
        <f>IFERROR(INDEX('[4]31.03.2024'!$H:$H,MATCH($E182,'[4]31.03.2024'!$B:$B,0)),"Not found")</f>
        <v>Not found</v>
      </c>
      <c r="N182" t="str">
        <f>IFERROR(INDEX([2]Sheet1!$B:$B,MATCH($D182,[2]Sheet1!$A:$A,0)),"Not found")</f>
        <v>Not found</v>
      </c>
      <c r="O182">
        <f t="shared" si="7"/>
        <v>0</v>
      </c>
      <c r="P182">
        <f t="shared" si="8"/>
        <v>0</v>
      </c>
    </row>
    <row r="183" spans="1:16" x14ac:dyDescent="0.25">
      <c r="A183" t="s">
        <v>0</v>
      </c>
      <c r="B183" s="1">
        <v>39783</v>
      </c>
      <c r="C183" s="1">
        <v>42247</v>
      </c>
      <c r="D183" s="4" t="s">
        <v>2538</v>
      </c>
      <c r="E183" t="s">
        <v>2539</v>
      </c>
      <c r="F183">
        <v>13469</v>
      </c>
      <c r="G183">
        <v>21579576</v>
      </c>
      <c r="H183" t="s">
        <v>3</v>
      </c>
      <c r="I183" t="s">
        <v>4</v>
      </c>
      <c r="J183" t="s">
        <v>20</v>
      </c>
      <c r="K183" t="s">
        <v>2910</v>
      </c>
      <c r="L183">
        <f t="shared" ca="1" si="6"/>
        <v>6</v>
      </c>
      <c r="M183" t="str">
        <f>IFERROR(INDEX('[4]31.03.2024'!$H:$H,MATCH($E183,'[4]31.03.2024'!$B:$B,0)),"Not found")</f>
        <v>Not found</v>
      </c>
      <c r="N183" t="str">
        <f>IFERROR(INDEX([2]Sheet1!$B:$B,MATCH($D183,[2]Sheet1!$A:$A,0)),"Not found")</f>
        <v>Not found</v>
      </c>
      <c r="O183">
        <f t="shared" si="7"/>
        <v>0</v>
      </c>
      <c r="P183">
        <f t="shared" si="8"/>
        <v>0</v>
      </c>
    </row>
    <row r="184" spans="1:16" x14ac:dyDescent="0.25">
      <c r="A184" t="s">
        <v>0</v>
      </c>
      <c r="B184" s="1">
        <v>39783</v>
      </c>
      <c r="C184" s="1">
        <v>42094</v>
      </c>
      <c r="D184" s="4" t="s">
        <v>2540</v>
      </c>
      <c r="E184" t="s">
        <v>2541</v>
      </c>
      <c r="F184">
        <v>13473</v>
      </c>
      <c r="G184">
        <v>21869311</v>
      </c>
      <c r="H184" t="s">
        <v>10</v>
      </c>
      <c r="I184" t="s">
        <v>4</v>
      </c>
      <c r="J184" t="s">
        <v>20</v>
      </c>
      <c r="K184" t="s">
        <v>2911</v>
      </c>
      <c r="L184">
        <f t="shared" ca="1" si="6"/>
        <v>6</v>
      </c>
      <c r="M184" t="str">
        <f>IFERROR(INDEX('[4]31.03.2024'!$H:$H,MATCH($E184,'[4]31.03.2024'!$B:$B,0)),"Not found")</f>
        <v>Not found</v>
      </c>
      <c r="N184" t="str">
        <f>IFERROR(INDEX([2]Sheet1!$B:$B,MATCH($D184,[2]Sheet1!$A:$A,0)),"Not found")</f>
        <v>Not found</v>
      </c>
      <c r="O184">
        <f t="shared" si="7"/>
        <v>0</v>
      </c>
      <c r="P184">
        <f t="shared" si="8"/>
        <v>0</v>
      </c>
    </row>
    <row r="185" spans="1:16" x14ac:dyDescent="0.25">
      <c r="A185" t="s">
        <v>0</v>
      </c>
      <c r="B185" s="1">
        <v>39845</v>
      </c>
      <c r="C185" s="1">
        <v>41333</v>
      </c>
      <c r="D185" s="4" t="s">
        <v>2542</v>
      </c>
      <c r="E185" t="s">
        <v>2543</v>
      </c>
      <c r="F185">
        <v>13474</v>
      </c>
      <c r="G185">
        <v>22343290</v>
      </c>
      <c r="H185" t="s">
        <v>10</v>
      </c>
      <c r="I185" t="s">
        <v>4</v>
      </c>
      <c r="J185" t="s">
        <v>47</v>
      </c>
      <c r="K185" t="s">
        <v>2911</v>
      </c>
      <c r="L185">
        <f t="shared" ca="1" si="6"/>
        <v>4</v>
      </c>
      <c r="M185" t="str">
        <f>IFERROR(INDEX('[4]31.03.2024'!$H:$H,MATCH($E185,'[4]31.03.2024'!$B:$B,0)),"Not found")</f>
        <v>Not found</v>
      </c>
      <c r="N185" t="str">
        <f>IFERROR(INDEX([2]Sheet1!$B:$B,MATCH($D185,[2]Sheet1!$A:$A,0)),"Not found")</f>
        <v>Not found</v>
      </c>
      <c r="O185">
        <f t="shared" si="7"/>
        <v>0</v>
      </c>
      <c r="P185">
        <f t="shared" si="8"/>
        <v>0</v>
      </c>
    </row>
    <row r="186" spans="1:16" x14ac:dyDescent="0.25">
      <c r="A186" t="s">
        <v>0</v>
      </c>
      <c r="B186" s="1">
        <v>39783</v>
      </c>
      <c r="C186" s="1">
        <v>41364</v>
      </c>
      <c r="D186" s="4" t="s">
        <v>2544</v>
      </c>
      <c r="E186" t="s">
        <v>2545</v>
      </c>
      <c r="F186">
        <v>13476</v>
      </c>
      <c r="G186">
        <v>22002680</v>
      </c>
      <c r="H186" t="s">
        <v>3</v>
      </c>
      <c r="I186" t="s">
        <v>4</v>
      </c>
      <c r="J186" t="s">
        <v>20</v>
      </c>
      <c r="K186" t="s">
        <v>2911</v>
      </c>
      <c r="L186">
        <f t="shared" ca="1" si="6"/>
        <v>4</v>
      </c>
      <c r="M186" t="str">
        <f>IFERROR(INDEX('[4]31.03.2024'!$H:$H,MATCH($E186,'[4]31.03.2024'!$B:$B,0)),"Not found")</f>
        <v>Not found</v>
      </c>
      <c r="N186" t="str">
        <f>IFERROR(INDEX([2]Sheet1!$B:$B,MATCH($D186,[2]Sheet1!$A:$A,0)),"Not found")</f>
        <v>Not found</v>
      </c>
      <c r="O186">
        <f t="shared" si="7"/>
        <v>0</v>
      </c>
      <c r="P186">
        <f t="shared" si="8"/>
        <v>0</v>
      </c>
    </row>
    <row r="187" spans="1:16" x14ac:dyDescent="0.25">
      <c r="A187" t="s">
        <v>0</v>
      </c>
      <c r="B187" s="1">
        <v>40299</v>
      </c>
      <c r="C187" s="1">
        <v>41851</v>
      </c>
      <c r="D187" s="4" t="s">
        <v>2546</v>
      </c>
      <c r="E187" t="s">
        <v>2547</v>
      </c>
      <c r="F187">
        <v>13479</v>
      </c>
      <c r="G187">
        <v>23290047</v>
      </c>
      <c r="H187" t="s">
        <v>3</v>
      </c>
      <c r="I187" t="s">
        <v>4</v>
      </c>
      <c r="J187" t="s">
        <v>20</v>
      </c>
      <c r="K187" t="s">
        <v>2911</v>
      </c>
      <c r="L187">
        <f t="shared" ca="1" si="6"/>
        <v>4</v>
      </c>
      <c r="M187" t="str">
        <f>IFERROR(INDEX('[4]31.03.2024'!$H:$H,MATCH($E187,'[4]31.03.2024'!$B:$B,0)),"Not found")</f>
        <v>Not found</v>
      </c>
      <c r="N187" t="str">
        <f>IFERROR(INDEX([2]Sheet1!$B:$B,MATCH($D187,[2]Sheet1!$A:$A,0)),"Not found")</f>
        <v>Not found</v>
      </c>
      <c r="O187">
        <f t="shared" si="7"/>
        <v>0</v>
      </c>
      <c r="P187">
        <f t="shared" si="8"/>
        <v>0</v>
      </c>
    </row>
    <row r="188" spans="1:16" x14ac:dyDescent="0.25">
      <c r="A188" t="s">
        <v>0</v>
      </c>
      <c r="B188" s="1">
        <v>39783</v>
      </c>
      <c r="C188" s="1">
        <v>44926</v>
      </c>
      <c r="D188" s="4" t="s">
        <v>2548</v>
      </c>
      <c r="E188" t="s">
        <v>2549</v>
      </c>
      <c r="F188">
        <v>13481</v>
      </c>
      <c r="G188">
        <v>22016062</v>
      </c>
      <c r="H188" t="s">
        <v>3</v>
      </c>
      <c r="I188" t="s">
        <v>4</v>
      </c>
      <c r="J188" t="s">
        <v>20</v>
      </c>
      <c r="K188" t="s">
        <v>2911</v>
      </c>
      <c r="L188">
        <f t="shared" ca="1" si="6"/>
        <v>14</v>
      </c>
      <c r="M188" t="str">
        <f>IFERROR(INDEX('[4]31.03.2024'!$H:$H,MATCH($E188,'[4]31.03.2024'!$B:$B,0)),"Not found")</f>
        <v>Not found</v>
      </c>
      <c r="N188" t="str">
        <f>IFERROR(INDEX([2]Sheet1!$B:$B,MATCH($D188,[2]Sheet1!$A:$A,0)),"Not found")</f>
        <v>Not found</v>
      </c>
      <c r="O188">
        <f t="shared" si="7"/>
        <v>0</v>
      </c>
      <c r="P188">
        <f t="shared" si="8"/>
        <v>0</v>
      </c>
    </row>
    <row r="189" spans="1:16" x14ac:dyDescent="0.25">
      <c r="A189" t="s">
        <v>0</v>
      </c>
      <c r="B189" s="1">
        <v>39873</v>
      </c>
      <c r="C189" s="1">
        <v>43281</v>
      </c>
      <c r="D189" s="4" t="s">
        <v>2550</v>
      </c>
      <c r="E189" t="s">
        <v>2551</v>
      </c>
      <c r="F189">
        <v>13488</v>
      </c>
      <c r="G189">
        <v>22571277</v>
      </c>
      <c r="H189" t="s">
        <v>3</v>
      </c>
      <c r="I189" t="s">
        <v>4</v>
      </c>
      <c r="J189" t="s">
        <v>2212</v>
      </c>
      <c r="K189" t="s">
        <v>2911</v>
      </c>
      <c r="L189">
        <f t="shared" ca="1" si="6"/>
        <v>9</v>
      </c>
      <c r="M189" t="str">
        <f>IFERROR(INDEX('[4]31.03.2024'!$H:$H,MATCH($E189,'[4]31.03.2024'!$B:$B,0)),"Not found")</f>
        <v>Not found</v>
      </c>
      <c r="N189" t="str">
        <f>IFERROR(INDEX([2]Sheet1!$B:$B,MATCH($D189,[2]Sheet1!$A:$A,0)),"Not found")</f>
        <v>Not found</v>
      </c>
      <c r="O189">
        <f t="shared" si="7"/>
        <v>0</v>
      </c>
      <c r="P189">
        <f t="shared" si="8"/>
        <v>0</v>
      </c>
    </row>
    <row r="190" spans="1:16" x14ac:dyDescent="0.25">
      <c r="A190" t="s">
        <v>0</v>
      </c>
      <c r="B190" s="1">
        <v>39783</v>
      </c>
      <c r="C190" s="1">
        <v>42674</v>
      </c>
      <c r="D190" s="4" t="s">
        <v>2552</v>
      </c>
      <c r="E190" t="s">
        <v>2553</v>
      </c>
      <c r="F190">
        <v>13490</v>
      </c>
      <c r="G190">
        <v>22195523</v>
      </c>
      <c r="H190" t="s">
        <v>3</v>
      </c>
      <c r="I190" t="s">
        <v>4</v>
      </c>
      <c r="J190" t="s">
        <v>20</v>
      </c>
      <c r="K190" t="s">
        <v>2910</v>
      </c>
      <c r="L190">
        <f t="shared" ca="1" si="6"/>
        <v>7</v>
      </c>
      <c r="M190" t="str">
        <f>IFERROR(INDEX('[4]31.03.2024'!$H:$H,MATCH($E190,'[4]31.03.2024'!$B:$B,0)),"Not found")</f>
        <v>Not found</v>
      </c>
      <c r="N190" t="str">
        <f>IFERROR(INDEX([2]Sheet1!$B:$B,MATCH($D190,[2]Sheet1!$A:$A,0)),"Not found")</f>
        <v>Not found</v>
      </c>
      <c r="O190">
        <f t="shared" si="7"/>
        <v>0</v>
      </c>
      <c r="P190">
        <f t="shared" si="8"/>
        <v>0</v>
      </c>
    </row>
    <row r="191" spans="1:16" x14ac:dyDescent="0.25">
      <c r="A191" t="s">
        <v>0</v>
      </c>
      <c r="B191" s="1">
        <v>39783</v>
      </c>
      <c r="C191" s="1">
        <v>41820</v>
      </c>
      <c r="D191" s="4" t="s">
        <v>2554</v>
      </c>
      <c r="E191" t="s">
        <v>2555</v>
      </c>
      <c r="F191">
        <v>13491</v>
      </c>
      <c r="G191">
        <v>22233788</v>
      </c>
      <c r="H191" t="s">
        <v>3</v>
      </c>
      <c r="I191" t="s">
        <v>4</v>
      </c>
      <c r="J191" t="s">
        <v>5</v>
      </c>
      <c r="K191" t="s">
        <v>2910</v>
      </c>
      <c r="L191">
        <f t="shared" ca="1" si="6"/>
        <v>5</v>
      </c>
      <c r="M191" t="str">
        <f>IFERROR(INDEX('[4]31.03.2024'!$H:$H,MATCH($E191,'[4]31.03.2024'!$B:$B,0)),"Not found")</f>
        <v>Not found</v>
      </c>
      <c r="N191" t="str">
        <f>IFERROR(INDEX([2]Sheet1!$B:$B,MATCH($D191,[2]Sheet1!$A:$A,0)),"Not found")</f>
        <v>Not found</v>
      </c>
      <c r="O191">
        <f t="shared" si="7"/>
        <v>0</v>
      </c>
      <c r="P191">
        <f t="shared" si="8"/>
        <v>0</v>
      </c>
    </row>
    <row r="192" spans="1:16" x14ac:dyDescent="0.25">
      <c r="A192" t="s">
        <v>0</v>
      </c>
      <c r="B192" s="1">
        <v>39783</v>
      </c>
      <c r="C192" s="1">
        <v>41639</v>
      </c>
      <c r="D192" s="4" t="s">
        <v>2556</v>
      </c>
      <c r="E192" t="s">
        <v>2557</v>
      </c>
      <c r="F192">
        <v>13492</v>
      </c>
      <c r="G192">
        <v>22311715</v>
      </c>
      <c r="H192" t="s">
        <v>10</v>
      </c>
      <c r="I192" t="s">
        <v>4</v>
      </c>
      <c r="J192" t="s">
        <v>5</v>
      </c>
      <c r="K192" t="s">
        <v>2910</v>
      </c>
      <c r="L192">
        <f t="shared" ca="1" si="6"/>
        <v>5</v>
      </c>
      <c r="M192" t="str">
        <f>IFERROR(INDEX('[4]31.03.2024'!$H:$H,MATCH($E192,'[4]31.03.2024'!$B:$B,0)),"Not found")</f>
        <v>Not found</v>
      </c>
      <c r="N192" t="str">
        <f>IFERROR(INDEX([2]Sheet1!$B:$B,MATCH($D192,[2]Sheet1!$A:$A,0)),"Not found")</f>
        <v>Not found</v>
      </c>
      <c r="O192">
        <f t="shared" si="7"/>
        <v>0</v>
      </c>
      <c r="P192">
        <f t="shared" si="8"/>
        <v>0</v>
      </c>
    </row>
    <row r="193" spans="1:16" x14ac:dyDescent="0.25">
      <c r="A193" t="s">
        <v>0</v>
      </c>
      <c r="B193" s="1">
        <v>40057</v>
      </c>
      <c r="C193" s="1">
        <v>44530</v>
      </c>
      <c r="D193" s="4" t="s">
        <v>2558</v>
      </c>
      <c r="E193" t="s">
        <v>2559</v>
      </c>
      <c r="F193">
        <v>13493</v>
      </c>
      <c r="G193">
        <v>22814996</v>
      </c>
      <c r="H193" t="s">
        <v>10</v>
      </c>
      <c r="I193" t="s">
        <v>4</v>
      </c>
      <c r="J193" t="s">
        <v>20</v>
      </c>
      <c r="K193" t="s">
        <v>2911</v>
      </c>
      <c r="L193">
        <f t="shared" ca="1" si="6"/>
        <v>12</v>
      </c>
      <c r="M193" t="str">
        <f>IFERROR(INDEX('[4]31.03.2024'!$H:$H,MATCH($E193,'[4]31.03.2024'!$B:$B,0)),"Not found")</f>
        <v>Not found</v>
      </c>
      <c r="N193" t="str">
        <f>IFERROR(INDEX([2]Sheet1!$B:$B,MATCH($D193,[2]Sheet1!$A:$A,0)),"Not found")</f>
        <v>Not found</v>
      </c>
      <c r="O193">
        <f t="shared" si="7"/>
        <v>0</v>
      </c>
      <c r="P193">
        <f t="shared" si="8"/>
        <v>0</v>
      </c>
    </row>
    <row r="194" spans="1:16" x14ac:dyDescent="0.25">
      <c r="A194" t="s">
        <v>0</v>
      </c>
      <c r="B194" s="1">
        <v>39783</v>
      </c>
      <c r="C194" s="1">
        <v>41455</v>
      </c>
      <c r="D194" s="4" t="s">
        <v>2560</v>
      </c>
      <c r="E194" t="s">
        <v>2561</v>
      </c>
      <c r="F194">
        <v>13494</v>
      </c>
      <c r="G194">
        <v>22375188</v>
      </c>
      <c r="H194" t="s">
        <v>3</v>
      </c>
      <c r="I194" t="s">
        <v>4</v>
      </c>
      <c r="J194" t="s">
        <v>5</v>
      </c>
      <c r="K194" t="s">
        <v>2910</v>
      </c>
      <c r="L194">
        <f t="shared" ca="1" si="6"/>
        <v>4</v>
      </c>
      <c r="M194" t="str">
        <f>IFERROR(INDEX('[4]31.03.2024'!$H:$H,MATCH($E194,'[4]31.03.2024'!$B:$B,0)),"Not found")</f>
        <v>Not found</v>
      </c>
      <c r="N194" t="str">
        <f>IFERROR(INDEX([2]Sheet1!$B:$B,MATCH($D194,[2]Sheet1!$A:$A,0)),"Not found")</f>
        <v>Not found</v>
      </c>
      <c r="O194">
        <f t="shared" si="7"/>
        <v>0</v>
      </c>
      <c r="P194">
        <f t="shared" si="8"/>
        <v>0</v>
      </c>
    </row>
    <row r="195" spans="1:16" x14ac:dyDescent="0.25">
      <c r="A195" t="s">
        <v>0</v>
      </c>
      <c r="B195" s="1">
        <v>39783</v>
      </c>
      <c r="C195" s="1">
        <v>41455</v>
      </c>
      <c r="D195" s="4" t="s">
        <v>2562</v>
      </c>
      <c r="E195" t="s">
        <v>2563</v>
      </c>
      <c r="F195">
        <v>13495</v>
      </c>
      <c r="G195">
        <v>22373553</v>
      </c>
      <c r="H195" t="s">
        <v>3</v>
      </c>
      <c r="I195" t="s">
        <v>4</v>
      </c>
      <c r="J195" t="s">
        <v>5</v>
      </c>
      <c r="K195" t="s">
        <v>2910</v>
      </c>
      <c r="L195">
        <f t="shared" ref="L195:L258" ca="1" si="9">IF($K195="Continues",DATEDIF($B195,TODAY(),"Y"),DATEDIF($B195,$C195,"Y"))</f>
        <v>4</v>
      </c>
      <c r="M195" t="str">
        <f>IFERROR(INDEX('[4]31.03.2024'!$H:$H,MATCH($E195,'[4]31.03.2024'!$B:$B,0)),"Not found")</f>
        <v>Not found</v>
      </c>
      <c r="N195" t="str">
        <f>IFERROR(INDEX([2]Sheet1!$B:$B,MATCH($D195,[2]Sheet1!$A:$A,0)),"Not found")</f>
        <v>Not found</v>
      </c>
      <c r="O195">
        <f t="shared" ref="O195:O258" si="10">IF($N195="Retail",1,0)</f>
        <v>0</v>
      </c>
      <c r="P195">
        <f t="shared" ref="P195:P258" si="11">IF($N195="Non-Retail",1,0)</f>
        <v>0</v>
      </c>
    </row>
    <row r="196" spans="1:16" x14ac:dyDescent="0.25">
      <c r="A196" t="s">
        <v>0</v>
      </c>
      <c r="B196" s="1">
        <v>39783</v>
      </c>
      <c r="C196" s="1">
        <v>41455</v>
      </c>
      <c r="D196" s="4" t="s">
        <v>2564</v>
      </c>
      <c r="E196" t="s">
        <v>2565</v>
      </c>
      <c r="F196">
        <v>13496</v>
      </c>
      <c r="G196">
        <v>22373510</v>
      </c>
      <c r="H196" t="s">
        <v>3</v>
      </c>
      <c r="I196" t="s">
        <v>4</v>
      </c>
      <c r="J196" t="s">
        <v>5</v>
      </c>
      <c r="K196" t="s">
        <v>2910</v>
      </c>
      <c r="L196">
        <f t="shared" ca="1" si="9"/>
        <v>4</v>
      </c>
      <c r="M196" t="str">
        <f>IFERROR(INDEX('[4]31.03.2024'!$H:$H,MATCH($E196,'[4]31.03.2024'!$B:$B,0)),"Not found")</f>
        <v>Not found</v>
      </c>
      <c r="N196" t="str">
        <f>IFERROR(INDEX([2]Sheet1!$B:$B,MATCH($D196,[2]Sheet1!$A:$A,0)),"Not found")</f>
        <v>Not found</v>
      </c>
      <c r="O196">
        <f t="shared" si="10"/>
        <v>0</v>
      </c>
      <c r="P196">
        <f t="shared" si="11"/>
        <v>0</v>
      </c>
    </row>
    <row r="197" spans="1:16" x14ac:dyDescent="0.25">
      <c r="A197" t="s">
        <v>0</v>
      </c>
      <c r="B197" s="1">
        <v>39783</v>
      </c>
      <c r="C197" s="1">
        <v>41455</v>
      </c>
      <c r="D197" s="4" t="s">
        <v>2566</v>
      </c>
      <c r="E197" t="s">
        <v>2567</v>
      </c>
      <c r="F197">
        <v>13497</v>
      </c>
      <c r="G197">
        <v>22373385</v>
      </c>
      <c r="H197" t="s">
        <v>3</v>
      </c>
      <c r="I197" t="s">
        <v>4</v>
      </c>
      <c r="J197" t="s">
        <v>5</v>
      </c>
      <c r="K197" t="s">
        <v>2910</v>
      </c>
      <c r="L197">
        <f t="shared" ca="1" si="9"/>
        <v>4</v>
      </c>
      <c r="M197" t="str">
        <f>IFERROR(INDEX('[4]31.03.2024'!$H:$H,MATCH($E197,'[4]31.03.2024'!$B:$B,0)),"Not found")</f>
        <v>Not found</v>
      </c>
      <c r="N197" t="str">
        <f>IFERROR(INDEX([2]Sheet1!$B:$B,MATCH($D197,[2]Sheet1!$A:$A,0)),"Not found")</f>
        <v>Not found</v>
      </c>
      <c r="O197">
        <f t="shared" si="10"/>
        <v>0</v>
      </c>
      <c r="P197">
        <f t="shared" si="11"/>
        <v>0</v>
      </c>
    </row>
    <row r="198" spans="1:16" x14ac:dyDescent="0.25">
      <c r="A198" t="s">
        <v>0</v>
      </c>
      <c r="B198" s="1">
        <v>39783</v>
      </c>
      <c r="C198" s="1">
        <v>41425</v>
      </c>
      <c r="D198" s="4" t="s">
        <v>2568</v>
      </c>
      <c r="E198" t="s">
        <v>2569</v>
      </c>
      <c r="F198">
        <v>13498</v>
      </c>
      <c r="G198">
        <v>22373537</v>
      </c>
      <c r="H198" t="s">
        <v>3</v>
      </c>
      <c r="I198" t="s">
        <v>4</v>
      </c>
      <c r="J198" t="s">
        <v>5</v>
      </c>
      <c r="K198" t="s">
        <v>2910</v>
      </c>
      <c r="L198">
        <f t="shared" ca="1" si="9"/>
        <v>4</v>
      </c>
      <c r="M198" t="str">
        <f>IFERROR(INDEX('[4]31.03.2024'!$H:$H,MATCH($E198,'[4]31.03.2024'!$B:$B,0)),"Not found")</f>
        <v>Not found</v>
      </c>
      <c r="N198" t="str">
        <f>IFERROR(INDEX([2]Sheet1!$B:$B,MATCH($D198,[2]Sheet1!$A:$A,0)),"Not found")</f>
        <v>Not found</v>
      </c>
      <c r="O198">
        <f t="shared" si="10"/>
        <v>0</v>
      </c>
      <c r="P198">
        <f t="shared" si="11"/>
        <v>0</v>
      </c>
    </row>
    <row r="199" spans="1:16" x14ac:dyDescent="0.25">
      <c r="A199" t="s">
        <v>0</v>
      </c>
      <c r="B199" s="1">
        <v>39845</v>
      </c>
      <c r="C199" s="1">
        <v>43738</v>
      </c>
      <c r="D199" s="4" t="s">
        <v>2534</v>
      </c>
      <c r="E199" t="s">
        <v>2535</v>
      </c>
      <c r="F199">
        <v>15183</v>
      </c>
      <c r="G199">
        <v>22386776</v>
      </c>
      <c r="H199" t="s">
        <v>3</v>
      </c>
      <c r="I199" t="s">
        <v>4</v>
      </c>
      <c r="J199" t="s">
        <v>20</v>
      </c>
      <c r="K199" t="s">
        <v>2911</v>
      </c>
      <c r="L199">
        <f t="shared" ca="1" si="9"/>
        <v>10</v>
      </c>
      <c r="M199" t="str">
        <f>IFERROR(INDEX('[4]31.03.2024'!$H:$H,MATCH($E199,'[4]31.03.2024'!$B:$B,0)),"Not found")</f>
        <v>Not found</v>
      </c>
      <c r="N199" t="str">
        <f>IFERROR(INDEX([2]Sheet1!$B:$B,MATCH($D199,[2]Sheet1!$A:$A,0)),"Not found")</f>
        <v>Not found</v>
      </c>
      <c r="O199">
        <f t="shared" si="10"/>
        <v>0</v>
      </c>
      <c r="P199">
        <f t="shared" si="11"/>
        <v>0</v>
      </c>
    </row>
    <row r="200" spans="1:16" x14ac:dyDescent="0.25">
      <c r="A200" t="s">
        <v>0</v>
      </c>
      <c r="B200" s="1">
        <v>39845</v>
      </c>
      <c r="C200" s="1">
        <v>41820</v>
      </c>
      <c r="D200" s="4" t="s">
        <v>2570</v>
      </c>
      <c r="E200" t="s">
        <v>2571</v>
      </c>
      <c r="F200">
        <v>15226</v>
      </c>
      <c r="G200">
        <v>22494224</v>
      </c>
      <c r="H200" t="s">
        <v>10</v>
      </c>
      <c r="I200" t="s">
        <v>4</v>
      </c>
      <c r="J200" t="s">
        <v>47</v>
      </c>
      <c r="K200" t="s">
        <v>2910</v>
      </c>
      <c r="L200">
        <f t="shared" ca="1" si="9"/>
        <v>5</v>
      </c>
      <c r="M200" t="str">
        <f>IFERROR(INDEX('[4]31.03.2024'!$H:$H,MATCH($E200,'[4]31.03.2024'!$B:$B,0)),"Not found")</f>
        <v>Not found</v>
      </c>
      <c r="N200" t="str">
        <f>IFERROR(INDEX([2]Sheet1!$B:$B,MATCH($D200,[2]Sheet1!$A:$A,0)),"Not found")</f>
        <v>Not found</v>
      </c>
      <c r="O200">
        <f t="shared" si="10"/>
        <v>0</v>
      </c>
      <c r="P200">
        <f t="shared" si="11"/>
        <v>0</v>
      </c>
    </row>
    <row r="201" spans="1:16" x14ac:dyDescent="0.25">
      <c r="A201" t="s">
        <v>0</v>
      </c>
      <c r="B201" s="1">
        <v>39856</v>
      </c>
      <c r="C201" s="1">
        <v>43465</v>
      </c>
      <c r="D201" s="4" t="s">
        <v>269</v>
      </c>
      <c r="E201" t="s">
        <v>270</v>
      </c>
      <c r="F201">
        <v>15235</v>
      </c>
      <c r="G201">
        <v>22508606</v>
      </c>
      <c r="H201" t="s">
        <v>3</v>
      </c>
      <c r="I201" t="s">
        <v>4</v>
      </c>
      <c r="J201" t="s">
        <v>50</v>
      </c>
      <c r="K201" t="s">
        <v>2910</v>
      </c>
      <c r="L201">
        <f t="shared" ca="1" si="9"/>
        <v>9</v>
      </c>
      <c r="M201" t="str">
        <f>IFERROR(INDEX('[4]31.03.2024'!$H:$H,MATCH($E201,'[4]31.03.2024'!$B:$B,0)),"Not found")</f>
        <v>Nordea Funds Oy</v>
      </c>
      <c r="N201" t="str">
        <f>IFERROR(INDEX([2]Sheet1!$B:$B,MATCH($D201,[2]Sheet1!$A:$A,0)),"Not found")</f>
        <v>Retail</v>
      </c>
      <c r="O201">
        <f t="shared" si="10"/>
        <v>1</v>
      </c>
      <c r="P201">
        <f t="shared" si="11"/>
        <v>0</v>
      </c>
    </row>
    <row r="202" spans="1:16" x14ac:dyDescent="0.25">
      <c r="A202" t="s">
        <v>0</v>
      </c>
      <c r="B202" s="1">
        <v>39873</v>
      </c>
      <c r="C202" s="1">
        <v>43830</v>
      </c>
      <c r="D202" s="4" t="s">
        <v>2572</v>
      </c>
      <c r="E202" t="s">
        <v>2573</v>
      </c>
      <c r="F202">
        <v>15250</v>
      </c>
      <c r="G202">
        <v>22539226</v>
      </c>
      <c r="H202" t="s">
        <v>3</v>
      </c>
      <c r="I202" t="s">
        <v>4</v>
      </c>
      <c r="J202" t="s">
        <v>20</v>
      </c>
      <c r="K202" t="s">
        <v>2911</v>
      </c>
      <c r="L202">
        <f t="shared" ca="1" si="9"/>
        <v>10</v>
      </c>
      <c r="M202" t="str">
        <f>IFERROR(INDEX('[4]31.03.2024'!$H:$H,MATCH($E202,'[4]31.03.2024'!$B:$B,0)),"Not found")</f>
        <v>Not found</v>
      </c>
      <c r="N202" t="str">
        <f>IFERROR(INDEX([2]Sheet1!$B:$B,MATCH($D202,[2]Sheet1!$A:$A,0)),"Not found")</f>
        <v>Not found</v>
      </c>
      <c r="O202">
        <f t="shared" si="10"/>
        <v>0</v>
      </c>
      <c r="P202">
        <f t="shared" si="11"/>
        <v>0</v>
      </c>
    </row>
    <row r="203" spans="1:16" x14ac:dyDescent="0.25">
      <c r="A203" t="s">
        <v>0</v>
      </c>
      <c r="B203" s="1">
        <v>39934</v>
      </c>
      <c r="C203" s="1">
        <v>43465</v>
      </c>
      <c r="D203" s="4" t="s">
        <v>271</v>
      </c>
      <c r="E203" t="s">
        <v>272</v>
      </c>
      <c r="F203">
        <v>15361</v>
      </c>
      <c r="G203">
        <v>22632295</v>
      </c>
      <c r="H203" t="s">
        <v>3</v>
      </c>
      <c r="I203" t="s">
        <v>4</v>
      </c>
      <c r="J203" t="s">
        <v>50</v>
      </c>
      <c r="K203" t="s">
        <v>2910</v>
      </c>
      <c r="L203">
        <f t="shared" ca="1" si="9"/>
        <v>9</v>
      </c>
      <c r="M203" t="str">
        <f>IFERROR(INDEX('[4]31.03.2024'!$H:$H,MATCH($E203,'[4]31.03.2024'!$B:$B,0)),"Not found")</f>
        <v>Nordea Funds Oy</v>
      </c>
      <c r="N203" t="str">
        <f>IFERROR(INDEX([2]Sheet1!$B:$B,MATCH($D203,[2]Sheet1!$A:$A,0)),"Not found")</f>
        <v>Retail</v>
      </c>
      <c r="O203">
        <f t="shared" si="10"/>
        <v>1</v>
      </c>
      <c r="P203">
        <f t="shared" si="11"/>
        <v>0</v>
      </c>
    </row>
    <row r="204" spans="1:16" x14ac:dyDescent="0.25">
      <c r="A204" t="s">
        <v>0</v>
      </c>
      <c r="B204" s="1">
        <v>39965</v>
      </c>
      <c r="C204" s="1">
        <v>42400</v>
      </c>
      <c r="D204" s="4" t="s">
        <v>2574</v>
      </c>
      <c r="E204" t="s">
        <v>2575</v>
      </c>
      <c r="F204">
        <v>15429</v>
      </c>
      <c r="G204">
        <v>22719593</v>
      </c>
      <c r="H204" t="s">
        <v>3</v>
      </c>
      <c r="I204" t="s">
        <v>4</v>
      </c>
      <c r="J204" t="s">
        <v>5</v>
      </c>
      <c r="K204" t="s">
        <v>2910</v>
      </c>
      <c r="L204">
        <f t="shared" ca="1" si="9"/>
        <v>6</v>
      </c>
      <c r="M204" t="str">
        <f>IFERROR(INDEX('[4]31.03.2024'!$H:$H,MATCH($E204,'[4]31.03.2024'!$B:$B,0)),"Not found")</f>
        <v>Not found</v>
      </c>
      <c r="N204" t="str">
        <f>IFERROR(INDEX([2]Sheet1!$B:$B,MATCH($D204,[2]Sheet1!$A:$A,0)),"Not found")</f>
        <v>Not found</v>
      </c>
      <c r="O204">
        <f t="shared" si="10"/>
        <v>0</v>
      </c>
      <c r="P204">
        <f t="shared" si="11"/>
        <v>0</v>
      </c>
    </row>
    <row r="205" spans="1:16" x14ac:dyDescent="0.25">
      <c r="A205" t="s">
        <v>0</v>
      </c>
      <c r="B205" s="1">
        <v>40057</v>
      </c>
      <c r="C205" s="1">
        <v>43220</v>
      </c>
      <c r="D205" s="4" t="s">
        <v>2576</v>
      </c>
      <c r="E205" t="s">
        <v>2577</v>
      </c>
      <c r="F205">
        <v>15516</v>
      </c>
      <c r="G205">
        <v>22796804</v>
      </c>
      <c r="H205" t="s">
        <v>3</v>
      </c>
      <c r="I205" t="s">
        <v>4</v>
      </c>
      <c r="J205" t="s">
        <v>5</v>
      </c>
      <c r="K205" t="s">
        <v>2911</v>
      </c>
      <c r="L205">
        <f t="shared" ca="1" si="9"/>
        <v>8</v>
      </c>
      <c r="M205" t="str">
        <f>IFERROR(INDEX('[4]31.03.2024'!$H:$H,MATCH($E205,'[4]31.03.2024'!$B:$B,0)),"Not found")</f>
        <v>Not found</v>
      </c>
      <c r="N205" t="str">
        <f>IFERROR(INDEX([2]Sheet1!$B:$B,MATCH($D205,[2]Sheet1!$A:$A,0)),"Not found")</f>
        <v>Not found</v>
      </c>
      <c r="O205">
        <f t="shared" si="10"/>
        <v>0</v>
      </c>
      <c r="P205">
        <f t="shared" si="11"/>
        <v>0</v>
      </c>
    </row>
    <row r="206" spans="1:16" x14ac:dyDescent="0.25">
      <c r="A206" t="s">
        <v>0</v>
      </c>
      <c r="B206" s="1">
        <v>40057</v>
      </c>
      <c r="C206" s="1">
        <v>41790</v>
      </c>
      <c r="D206" s="4" t="s">
        <v>2578</v>
      </c>
      <c r="E206" t="s">
        <v>2579</v>
      </c>
      <c r="F206">
        <v>15563</v>
      </c>
      <c r="G206">
        <v>22842567</v>
      </c>
      <c r="H206" t="s">
        <v>10</v>
      </c>
      <c r="I206" t="s">
        <v>4</v>
      </c>
      <c r="J206" t="s">
        <v>20</v>
      </c>
      <c r="K206" t="s">
        <v>2911</v>
      </c>
      <c r="L206">
        <f t="shared" ca="1" si="9"/>
        <v>4</v>
      </c>
      <c r="M206" t="str">
        <f>IFERROR(INDEX('[4]31.03.2024'!$H:$H,MATCH($E206,'[4]31.03.2024'!$B:$B,0)),"Not found")</f>
        <v>Not found</v>
      </c>
      <c r="N206" t="str">
        <f>IFERROR(INDEX([2]Sheet1!$B:$B,MATCH($D206,[2]Sheet1!$A:$A,0)),"Not found")</f>
        <v>Not found</v>
      </c>
      <c r="O206">
        <f t="shared" si="10"/>
        <v>0</v>
      </c>
      <c r="P206">
        <f t="shared" si="11"/>
        <v>0</v>
      </c>
    </row>
    <row r="207" spans="1:16" x14ac:dyDescent="0.25">
      <c r="A207" t="s">
        <v>0</v>
      </c>
      <c r="B207" s="1">
        <v>40118</v>
      </c>
      <c r="C207" s="1">
        <v>41486</v>
      </c>
      <c r="D207" s="4" t="s">
        <v>2580</v>
      </c>
      <c r="E207" t="s">
        <v>2581</v>
      </c>
      <c r="F207">
        <v>15632</v>
      </c>
      <c r="G207">
        <v>22925872</v>
      </c>
      <c r="H207" t="s">
        <v>10</v>
      </c>
      <c r="I207" t="s">
        <v>4</v>
      </c>
      <c r="J207" t="s">
        <v>20</v>
      </c>
      <c r="K207" t="s">
        <v>2911</v>
      </c>
      <c r="L207">
        <f t="shared" ca="1" si="9"/>
        <v>3</v>
      </c>
      <c r="M207" t="str">
        <f>IFERROR(INDEX('[4]31.03.2024'!$H:$H,MATCH($E207,'[4]31.03.2024'!$B:$B,0)),"Not found")</f>
        <v>Not found</v>
      </c>
      <c r="N207" t="str">
        <f>IFERROR(INDEX([2]Sheet1!$B:$B,MATCH($D207,[2]Sheet1!$A:$A,0)),"Not found")</f>
        <v>Not found</v>
      </c>
      <c r="O207">
        <f t="shared" si="10"/>
        <v>0</v>
      </c>
      <c r="P207">
        <f t="shared" si="11"/>
        <v>0</v>
      </c>
    </row>
    <row r="208" spans="1:16" x14ac:dyDescent="0.25">
      <c r="A208" t="s">
        <v>0</v>
      </c>
      <c r="B208" s="1">
        <v>40238</v>
      </c>
      <c r="C208" s="1">
        <v>42004</v>
      </c>
      <c r="D208" s="4" t="s">
        <v>2582</v>
      </c>
      <c r="E208" t="s">
        <v>2583</v>
      </c>
      <c r="F208">
        <v>15647</v>
      </c>
      <c r="G208">
        <v>23212778</v>
      </c>
      <c r="H208" t="s">
        <v>3</v>
      </c>
      <c r="I208" t="s">
        <v>4</v>
      </c>
      <c r="J208" t="s">
        <v>20</v>
      </c>
      <c r="K208" t="s">
        <v>2911</v>
      </c>
      <c r="L208">
        <f t="shared" ca="1" si="9"/>
        <v>4</v>
      </c>
      <c r="M208" t="str">
        <f>IFERROR(INDEX('[4]31.03.2024'!$H:$H,MATCH($E208,'[4]31.03.2024'!$B:$B,0)),"Not found")</f>
        <v>Not found</v>
      </c>
      <c r="N208" t="str">
        <f>IFERROR(INDEX([2]Sheet1!$B:$B,MATCH($D208,[2]Sheet1!$A:$A,0)),"Not found")</f>
        <v>Not found</v>
      </c>
      <c r="O208">
        <f t="shared" si="10"/>
        <v>0</v>
      </c>
      <c r="P208">
        <f t="shared" si="11"/>
        <v>0</v>
      </c>
    </row>
    <row r="209" spans="1:16" x14ac:dyDescent="0.25">
      <c r="A209" t="s">
        <v>0</v>
      </c>
      <c r="B209" s="1">
        <v>40179</v>
      </c>
      <c r="C209" s="1">
        <v>41943</v>
      </c>
      <c r="D209" s="4" t="s">
        <v>2584</v>
      </c>
      <c r="E209" t="s">
        <v>2585</v>
      </c>
      <c r="F209">
        <v>15660</v>
      </c>
      <c r="G209">
        <v>23031547</v>
      </c>
      <c r="H209" t="s">
        <v>3</v>
      </c>
      <c r="I209" t="s">
        <v>4</v>
      </c>
      <c r="J209" t="s">
        <v>50</v>
      </c>
      <c r="K209" t="s">
        <v>2910</v>
      </c>
      <c r="L209">
        <f t="shared" ca="1" si="9"/>
        <v>4</v>
      </c>
      <c r="M209" t="str">
        <f>IFERROR(INDEX('[4]31.03.2024'!$H:$H,MATCH($E209,'[4]31.03.2024'!$B:$B,0)),"Not found")</f>
        <v>Not found</v>
      </c>
      <c r="N209" t="str">
        <f>IFERROR(INDEX([2]Sheet1!$B:$B,MATCH($D209,[2]Sheet1!$A:$A,0)),"Not found")</f>
        <v>Not found</v>
      </c>
      <c r="O209">
        <f t="shared" si="10"/>
        <v>0</v>
      </c>
      <c r="P209">
        <f t="shared" si="11"/>
        <v>0</v>
      </c>
    </row>
    <row r="210" spans="1:16" x14ac:dyDescent="0.25">
      <c r="A210" t="s">
        <v>0</v>
      </c>
      <c r="B210" s="1">
        <v>40148</v>
      </c>
      <c r="C210" s="1">
        <v>41790</v>
      </c>
      <c r="D210" s="4" t="s">
        <v>2586</v>
      </c>
      <c r="E210" t="s">
        <v>2587</v>
      </c>
      <c r="F210">
        <v>15674</v>
      </c>
      <c r="G210">
        <v>23055231</v>
      </c>
      <c r="H210" t="s">
        <v>3</v>
      </c>
      <c r="I210" t="s">
        <v>4</v>
      </c>
      <c r="J210" t="s">
        <v>20</v>
      </c>
      <c r="K210" t="s">
        <v>2911</v>
      </c>
      <c r="L210">
        <f t="shared" ca="1" si="9"/>
        <v>4</v>
      </c>
      <c r="M210" t="str">
        <f>IFERROR(INDEX('[4]31.03.2024'!$H:$H,MATCH($E210,'[4]31.03.2024'!$B:$B,0)),"Not found")</f>
        <v>Not found</v>
      </c>
      <c r="N210" t="str">
        <f>IFERROR(INDEX([2]Sheet1!$B:$B,MATCH($D210,[2]Sheet1!$A:$A,0)),"Not found")</f>
        <v>Not found</v>
      </c>
      <c r="O210">
        <f t="shared" si="10"/>
        <v>0</v>
      </c>
      <c r="P210">
        <f t="shared" si="11"/>
        <v>0</v>
      </c>
    </row>
    <row r="211" spans="1:16" x14ac:dyDescent="0.25">
      <c r="A211" t="s">
        <v>0</v>
      </c>
      <c r="B211" s="1">
        <v>40179</v>
      </c>
      <c r="C211" s="1">
        <v>42124</v>
      </c>
      <c r="D211" s="4" t="s">
        <v>2588</v>
      </c>
      <c r="E211" t="s">
        <v>2589</v>
      </c>
      <c r="F211">
        <v>15829</v>
      </c>
      <c r="G211">
        <v>22902304</v>
      </c>
      <c r="H211" t="s">
        <v>10</v>
      </c>
      <c r="I211" t="s">
        <v>4</v>
      </c>
      <c r="J211" t="s">
        <v>5</v>
      </c>
      <c r="K211" t="s">
        <v>2911</v>
      </c>
      <c r="L211">
        <f t="shared" ca="1" si="9"/>
        <v>5</v>
      </c>
      <c r="M211" t="str">
        <f>IFERROR(INDEX('[4]31.03.2024'!$H:$H,MATCH($E211,'[4]31.03.2024'!$B:$B,0)),"Not found")</f>
        <v>Not found</v>
      </c>
      <c r="N211" t="str">
        <f>IFERROR(INDEX([2]Sheet1!$B:$B,MATCH($D211,[2]Sheet1!$A:$A,0)),"Not found")</f>
        <v>Not found</v>
      </c>
      <c r="O211">
        <f t="shared" si="10"/>
        <v>0</v>
      </c>
      <c r="P211">
        <f t="shared" si="11"/>
        <v>0</v>
      </c>
    </row>
    <row r="212" spans="1:16" x14ac:dyDescent="0.25">
      <c r="A212" t="s">
        <v>0</v>
      </c>
      <c r="B212" s="1">
        <v>40179</v>
      </c>
      <c r="C212" s="1">
        <v>41305</v>
      </c>
      <c r="D212" s="4" t="s">
        <v>2590</v>
      </c>
      <c r="E212" t="s">
        <v>2591</v>
      </c>
      <c r="F212">
        <v>15832</v>
      </c>
      <c r="G212">
        <v>23070650</v>
      </c>
      <c r="H212" t="s">
        <v>10</v>
      </c>
      <c r="I212" t="s">
        <v>4</v>
      </c>
      <c r="J212" t="s">
        <v>50</v>
      </c>
      <c r="K212" t="s">
        <v>2911</v>
      </c>
      <c r="L212">
        <f t="shared" ca="1" si="9"/>
        <v>3</v>
      </c>
      <c r="M212" t="str">
        <f>IFERROR(INDEX('[4]31.03.2024'!$H:$H,MATCH($E212,'[4]31.03.2024'!$B:$B,0)),"Not found")</f>
        <v>Not found</v>
      </c>
      <c r="N212" t="str">
        <f>IFERROR(INDEX([2]Sheet1!$B:$B,MATCH($D212,[2]Sheet1!$A:$A,0)),"Not found")</f>
        <v>Not found</v>
      </c>
      <c r="O212">
        <f t="shared" si="10"/>
        <v>0</v>
      </c>
      <c r="P212">
        <f t="shared" si="11"/>
        <v>0</v>
      </c>
    </row>
    <row r="213" spans="1:16" x14ac:dyDescent="0.25">
      <c r="A213" t="s">
        <v>0</v>
      </c>
      <c r="B213" s="1">
        <v>40299</v>
      </c>
      <c r="C213" s="1">
        <v>44530</v>
      </c>
      <c r="D213" s="4" t="s">
        <v>2592</v>
      </c>
      <c r="E213" t="s">
        <v>2593</v>
      </c>
      <c r="F213">
        <v>16008</v>
      </c>
      <c r="G213">
        <v>23306977</v>
      </c>
      <c r="H213" t="s">
        <v>3</v>
      </c>
      <c r="I213" t="s">
        <v>4</v>
      </c>
      <c r="J213" t="s">
        <v>20</v>
      </c>
      <c r="K213" t="s">
        <v>2911</v>
      </c>
      <c r="L213">
        <f t="shared" ca="1" si="9"/>
        <v>11</v>
      </c>
      <c r="M213" t="str">
        <f>IFERROR(INDEX('[4]31.03.2024'!$H:$H,MATCH($E213,'[4]31.03.2024'!$B:$B,0)),"Not found")</f>
        <v>Not found</v>
      </c>
      <c r="N213" t="str">
        <f>IFERROR(INDEX([2]Sheet1!$B:$B,MATCH($D213,[2]Sheet1!$A:$A,0)),"Not found")</f>
        <v>Not found</v>
      </c>
      <c r="O213">
        <f t="shared" si="10"/>
        <v>0</v>
      </c>
      <c r="P213">
        <f t="shared" si="11"/>
        <v>0</v>
      </c>
    </row>
    <row r="214" spans="1:16" x14ac:dyDescent="0.25">
      <c r="A214" t="s">
        <v>0</v>
      </c>
      <c r="B214" s="1">
        <v>40299</v>
      </c>
      <c r="C214" s="1">
        <v>43830</v>
      </c>
      <c r="D214" s="4" t="s">
        <v>2594</v>
      </c>
      <c r="E214" t="s">
        <v>2595</v>
      </c>
      <c r="F214">
        <v>16009</v>
      </c>
      <c r="G214">
        <v>23311653</v>
      </c>
      <c r="H214" t="s">
        <v>3</v>
      </c>
      <c r="I214" t="s">
        <v>4</v>
      </c>
      <c r="J214" t="s">
        <v>20</v>
      </c>
      <c r="K214" t="s">
        <v>2911</v>
      </c>
      <c r="L214">
        <f t="shared" ca="1" si="9"/>
        <v>9</v>
      </c>
      <c r="M214" t="str">
        <f>IFERROR(INDEX('[4]31.03.2024'!$H:$H,MATCH($E214,'[4]31.03.2024'!$B:$B,0)),"Not found")</f>
        <v>Not found</v>
      </c>
      <c r="N214" t="str">
        <f>IFERROR(INDEX([2]Sheet1!$B:$B,MATCH($D214,[2]Sheet1!$A:$A,0)),"Not found")</f>
        <v>Not found</v>
      </c>
      <c r="O214">
        <f t="shared" si="10"/>
        <v>0</v>
      </c>
      <c r="P214">
        <f t="shared" si="11"/>
        <v>0</v>
      </c>
    </row>
    <row r="215" spans="1:16" x14ac:dyDescent="0.25">
      <c r="A215" t="s">
        <v>0</v>
      </c>
      <c r="B215" s="1">
        <v>40269</v>
      </c>
      <c r="C215" s="1">
        <v>41912</v>
      </c>
      <c r="D215" s="4" t="s">
        <v>2596</v>
      </c>
      <c r="E215" t="s">
        <v>2597</v>
      </c>
      <c r="F215">
        <v>16011</v>
      </c>
      <c r="G215">
        <v>23239866</v>
      </c>
      <c r="H215" t="s">
        <v>3</v>
      </c>
      <c r="I215" t="s">
        <v>4</v>
      </c>
      <c r="J215" t="s">
        <v>5</v>
      </c>
      <c r="K215" t="s">
        <v>2911</v>
      </c>
      <c r="L215">
        <f t="shared" ca="1" si="9"/>
        <v>4</v>
      </c>
      <c r="M215" t="str">
        <f>IFERROR(INDEX('[4]31.03.2024'!$H:$H,MATCH($E215,'[4]31.03.2024'!$B:$B,0)),"Not found")</f>
        <v>Not found</v>
      </c>
      <c r="N215" t="str">
        <f>IFERROR(INDEX([2]Sheet1!$B:$B,MATCH($D215,[2]Sheet1!$A:$A,0)),"Not found")</f>
        <v>Not found</v>
      </c>
      <c r="O215">
        <f t="shared" si="10"/>
        <v>0</v>
      </c>
      <c r="P215">
        <f t="shared" si="11"/>
        <v>0</v>
      </c>
    </row>
    <row r="216" spans="1:16" x14ac:dyDescent="0.25">
      <c r="A216" t="s">
        <v>0</v>
      </c>
      <c r="B216" s="1">
        <v>40330</v>
      </c>
      <c r="C216" s="1">
        <v>41973</v>
      </c>
      <c r="D216" s="4" t="s">
        <v>2598</v>
      </c>
      <c r="E216" t="s">
        <v>2599</v>
      </c>
      <c r="F216">
        <v>16012</v>
      </c>
      <c r="G216">
        <v>23322301</v>
      </c>
      <c r="H216" t="s">
        <v>10</v>
      </c>
      <c r="I216" t="s">
        <v>4</v>
      </c>
      <c r="J216" t="s">
        <v>47</v>
      </c>
      <c r="K216" t="s">
        <v>2910</v>
      </c>
      <c r="L216">
        <f t="shared" ca="1" si="9"/>
        <v>4</v>
      </c>
      <c r="M216" t="str">
        <f>IFERROR(INDEX('[4]31.03.2024'!$H:$H,MATCH($E216,'[4]31.03.2024'!$B:$B,0)),"Not found")</f>
        <v>Not found</v>
      </c>
      <c r="N216" t="str">
        <f>IFERROR(INDEX([2]Sheet1!$B:$B,MATCH($D216,[2]Sheet1!$A:$A,0)),"Not found")</f>
        <v>Not found</v>
      </c>
      <c r="O216">
        <f t="shared" si="10"/>
        <v>0</v>
      </c>
      <c r="P216">
        <f t="shared" si="11"/>
        <v>0</v>
      </c>
    </row>
    <row r="217" spans="1:16" x14ac:dyDescent="0.25">
      <c r="A217" t="s">
        <v>0</v>
      </c>
      <c r="B217" s="1">
        <v>40330</v>
      </c>
      <c r="C217" s="1">
        <v>41394</v>
      </c>
      <c r="D217" s="4" t="s">
        <v>2600</v>
      </c>
      <c r="E217" t="s">
        <v>2601</v>
      </c>
      <c r="F217">
        <v>16132</v>
      </c>
      <c r="G217">
        <v>23381440</v>
      </c>
      <c r="H217" t="s">
        <v>3</v>
      </c>
      <c r="I217" t="s">
        <v>4</v>
      </c>
      <c r="J217" t="s">
        <v>20</v>
      </c>
      <c r="K217" t="s">
        <v>2911</v>
      </c>
      <c r="L217">
        <f t="shared" ca="1" si="9"/>
        <v>2</v>
      </c>
      <c r="M217" t="str">
        <f>IFERROR(INDEX('[4]31.03.2024'!$H:$H,MATCH($E217,'[4]31.03.2024'!$B:$B,0)),"Not found")</f>
        <v>Not found</v>
      </c>
      <c r="N217" t="str">
        <f>IFERROR(INDEX([2]Sheet1!$B:$B,MATCH($D217,[2]Sheet1!$A:$A,0)),"Not found")</f>
        <v>Not found</v>
      </c>
      <c r="O217">
        <f t="shared" si="10"/>
        <v>0</v>
      </c>
      <c r="P217">
        <f t="shared" si="11"/>
        <v>0</v>
      </c>
    </row>
    <row r="218" spans="1:16" x14ac:dyDescent="0.25">
      <c r="A218" t="s">
        <v>0</v>
      </c>
      <c r="B218" s="1">
        <v>40360</v>
      </c>
      <c r="C218" s="1">
        <v>42551</v>
      </c>
      <c r="D218" s="4" t="s">
        <v>2604</v>
      </c>
      <c r="E218" t="s">
        <v>2605</v>
      </c>
      <c r="F218">
        <v>16177</v>
      </c>
      <c r="G218">
        <v>23394444</v>
      </c>
      <c r="H218" t="s">
        <v>3</v>
      </c>
      <c r="I218" t="s">
        <v>4</v>
      </c>
      <c r="J218" t="s">
        <v>20</v>
      </c>
      <c r="K218" t="s">
        <v>2911</v>
      </c>
      <c r="L218">
        <f t="shared" ca="1" si="9"/>
        <v>5</v>
      </c>
      <c r="M218" t="str">
        <f>IFERROR(INDEX('[4]31.03.2024'!$H:$H,MATCH($E218,'[4]31.03.2024'!$B:$B,0)),"Not found")</f>
        <v>Not found</v>
      </c>
      <c r="N218" t="str">
        <f>IFERROR(INDEX([2]Sheet1!$B:$B,MATCH($D218,[2]Sheet1!$A:$A,0)),"Not found")</f>
        <v>Not found</v>
      </c>
      <c r="O218">
        <f t="shared" si="10"/>
        <v>0</v>
      </c>
      <c r="P218">
        <f t="shared" si="11"/>
        <v>0</v>
      </c>
    </row>
    <row r="219" spans="1:16" x14ac:dyDescent="0.25">
      <c r="A219" t="s">
        <v>0</v>
      </c>
      <c r="B219" s="1">
        <v>40360</v>
      </c>
      <c r="C219" s="1">
        <v>42551</v>
      </c>
      <c r="D219" s="4" t="s">
        <v>2606</v>
      </c>
      <c r="E219" t="s">
        <v>2607</v>
      </c>
      <c r="F219">
        <v>16178</v>
      </c>
      <c r="G219">
        <v>23394583</v>
      </c>
      <c r="H219" t="s">
        <v>3</v>
      </c>
      <c r="I219" t="s">
        <v>4</v>
      </c>
      <c r="J219" t="s">
        <v>20</v>
      </c>
      <c r="K219" t="s">
        <v>2911</v>
      </c>
      <c r="L219">
        <f t="shared" ca="1" si="9"/>
        <v>5</v>
      </c>
      <c r="M219" t="str">
        <f>IFERROR(INDEX('[4]31.03.2024'!$H:$H,MATCH($E219,'[4]31.03.2024'!$B:$B,0)),"Not found")</f>
        <v>Not found</v>
      </c>
      <c r="N219" t="str">
        <f>IFERROR(INDEX([2]Sheet1!$B:$B,MATCH($D219,[2]Sheet1!$A:$A,0)),"Not found")</f>
        <v>Not found</v>
      </c>
      <c r="O219">
        <f t="shared" si="10"/>
        <v>0</v>
      </c>
      <c r="P219">
        <f t="shared" si="11"/>
        <v>0</v>
      </c>
    </row>
    <row r="220" spans="1:16" x14ac:dyDescent="0.25">
      <c r="A220" t="s">
        <v>0</v>
      </c>
      <c r="B220" s="1">
        <v>40360</v>
      </c>
      <c r="C220" s="1">
        <v>42551</v>
      </c>
      <c r="D220" s="4" t="s">
        <v>2608</v>
      </c>
      <c r="E220" t="s">
        <v>2609</v>
      </c>
      <c r="F220">
        <v>16179</v>
      </c>
      <c r="G220">
        <v>23394487</v>
      </c>
      <c r="H220" t="s">
        <v>3</v>
      </c>
      <c r="I220" t="s">
        <v>4</v>
      </c>
      <c r="J220" t="s">
        <v>20</v>
      </c>
      <c r="K220" t="s">
        <v>2911</v>
      </c>
      <c r="L220">
        <f t="shared" ca="1" si="9"/>
        <v>5</v>
      </c>
      <c r="M220" t="str">
        <f>IFERROR(INDEX('[4]31.03.2024'!$H:$H,MATCH($E220,'[4]31.03.2024'!$B:$B,0)),"Not found")</f>
        <v>Not found</v>
      </c>
      <c r="N220" t="str">
        <f>IFERROR(INDEX([2]Sheet1!$B:$B,MATCH($D220,[2]Sheet1!$A:$A,0)),"Not found")</f>
        <v>Not found</v>
      </c>
      <c r="O220">
        <f t="shared" si="10"/>
        <v>0</v>
      </c>
      <c r="P220">
        <f t="shared" si="11"/>
        <v>0</v>
      </c>
    </row>
    <row r="221" spans="1:16" x14ac:dyDescent="0.25">
      <c r="A221" t="s">
        <v>0</v>
      </c>
      <c r="B221" s="1">
        <v>40360</v>
      </c>
      <c r="C221" s="1">
        <v>42551</v>
      </c>
      <c r="D221" s="4" t="s">
        <v>2610</v>
      </c>
      <c r="E221" t="s">
        <v>2611</v>
      </c>
      <c r="F221">
        <v>16180</v>
      </c>
      <c r="G221">
        <v>23394532</v>
      </c>
      <c r="H221" t="s">
        <v>3</v>
      </c>
      <c r="I221" t="s">
        <v>4</v>
      </c>
      <c r="J221" t="s">
        <v>20</v>
      </c>
      <c r="K221" t="s">
        <v>2911</v>
      </c>
      <c r="L221">
        <f t="shared" ca="1" si="9"/>
        <v>5</v>
      </c>
      <c r="M221" t="str">
        <f>IFERROR(INDEX('[4]31.03.2024'!$H:$H,MATCH($E221,'[4]31.03.2024'!$B:$B,0)),"Not found")</f>
        <v>Not found</v>
      </c>
      <c r="N221" t="str">
        <f>IFERROR(INDEX([2]Sheet1!$B:$B,MATCH($D221,[2]Sheet1!$A:$A,0)),"Not found")</f>
        <v>Not found</v>
      </c>
      <c r="O221">
        <f t="shared" si="10"/>
        <v>0</v>
      </c>
      <c r="P221">
        <f t="shared" si="11"/>
        <v>0</v>
      </c>
    </row>
    <row r="222" spans="1:16" x14ac:dyDescent="0.25">
      <c r="A222" t="s">
        <v>0</v>
      </c>
      <c r="B222" s="1">
        <v>40360</v>
      </c>
      <c r="C222" s="1">
        <v>42551</v>
      </c>
      <c r="D222" s="4" t="s">
        <v>2612</v>
      </c>
      <c r="E222" t="s">
        <v>2613</v>
      </c>
      <c r="F222">
        <v>16181</v>
      </c>
      <c r="G222">
        <v>23394380</v>
      </c>
      <c r="H222" t="s">
        <v>3</v>
      </c>
      <c r="I222" t="s">
        <v>4</v>
      </c>
      <c r="J222" t="s">
        <v>20</v>
      </c>
      <c r="K222" t="s">
        <v>2911</v>
      </c>
      <c r="L222">
        <f t="shared" ca="1" si="9"/>
        <v>5</v>
      </c>
      <c r="M222" t="str">
        <f>IFERROR(INDEX('[4]31.03.2024'!$H:$H,MATCH($E222,'[4]31.03.2024'!$B:$B,0)),"Not found")</f>
        <v>Not found</v>
      </c>
      <c r="N222" t="str">
        <f>IFERROR(INDEX([2]Sheet1!$B:$B,MATCH($D222,[2]Sheet1!$A:$A,0)),"Not found")</f>
        <v>Not found</v>
      </c>
      <c r="O222">
        <f t="shared" si="10"/>
        <v>0</v>
      </c>
      <c r="P222">
        <f t="shared" si="11"/>
        <v>0</v>
      </c>
    </row>
    <row r="223" spans="1:16" x14ac:dyDescent="0.25">
      <c r="A223" t="s">
        <v>0</v>
      </c>
      <c r="B223" s="1">
        <v>40634</v>
      </c>
      <c r="C223" s="1">
        <v>42551</v>
      </c>
      <c r="D223" s="4" t="s">
        <v>2614</v>
      </c>
      <c r="E223" t="s">
        <v>2615</v>
      </c>
      <c r="F223">
        <v>16182</v>
      </c>
      <c r="G223">
        <v>23391323</v>
      </c>
      <c r="H223" t="s">
        <v>3</v>
      </c>
      <c r="I223" t="s">
        <v>4</v>
      </c>
      <c r="J223" t="s">
        <v>20</v>
      </c>
      <c r="K223" t="s">
        <v>2911</v>
      </c>
      <c r="L223">
        <f t="shared" ca="1" si="9"/>
        <v>5</v>
      </c>
      <c r="M223" t="str">
        <f>IFERROR(INDEX('[4]31.03.2024'!$H:$H,MATCH($E223,'[4]31.03.2024'!$B:$B,0)),"Not found")</f>
        <v>Not found</v>
      </c>
      <c r="N223" t="str">
        <f>IFERROR(INDEX([2]Sheet1!$B:$B,MATCH($D223,[2]Sheet1!$A:$A,0)),"Not found")</f>
        <v>Not found</v>
      </c>
      <c r="O223">
        <f t="shared" si="10"/>
        <v>0</v>
      </c>
      <c r="P223">
        <f t="shared" si="11"/>
        <v>0</v>
      </c>
    </row>
    <row r="224" spans="1:16" x14ac:dyDescent="0.25">
      <c r="A224" t="s">
        <v>0</v>
      </c>
      <c r="B224" s="1">
        <v>40360</v>
      </c>
      <c r="C224" s="1">
        <v>42551</v>
      </c>
      <c r="D224" s="4" t="s">
        <v>2616</v>
      </c>
      <c r="E224" t="s">
        <v>2617</v>
      </c>
      <c r="F224">
        <v>16183</v>
      </c>
      <c r="G224">
        <v>23391331</v>
      </c>
      <c r="H224" t="s">
        <v>3</v>
      </c>
      <c r="I224" t="s">
        <v>4</v>
      </c>
      <c r="J224" t="s">
        <v>20</v>
      </c>
      <c r="K224" t="s">
        <v>2911</v>
      </c>
      <c r="L224">
        <f t="shared" ca="1" si="9"/>
        <v>5</v>
      </c>
      <c r="M224" t="str">
        <f>IFERROR(INDEX('[4]31.03.2024'!$H:$H,MATCH($E224,'[4]31.03.2024'!$B:$B,0)),"Not found")</f>
        <v>Not found</v>
      </c>
      <c r="N224" t="str">
        <f>IFERROR(INDEX([2]Sheet1!$B:$B,MATCH($D224,[2]Sheet1!$A:$A,0)),"Not found")</f>
        <v>Not found</v>
      </c>
      <c r="O224">
        <f t="shared" si="10"/>
        <v>0</v>
      </c>
      <c r="P224">
        <f t="shared" si="11"/>
        <v>0</v>
      </c>
    </row>
    <row r="225" spans="1:16" x14ac:dyDescent="0.25">
      <c r="A225" t="s">
        <v>0</v>
      </c>
      <c r="B225" s="1">
        <v>40422</v>
      </c>
      <c r="C225" s="1">
        <v>42551</v>
      </c>
      <c r="D225" s="4" t="s">
        <v>2618</v>
      </c>
      <c r="E225" t="s">
        <v>2619</v>
      </c>
      <c r="F225">
        <v>16184</v>
      </c>
      <c r="G225">
        <v>23394364</v>
      </c>
      <c r="H225" t="s">
        <v>10</v>
      </c>
      <c r="I225" t="s">
        <v>4</v>
      </c>
      <c r="J225" t="s">
        <v>20</v>
      </c>
      <c r="K225" t="s">
        <v>2911</v>
      </c>
      <c r="L225">
        <f t="shared" ca="1" si="9"/>
        <v>5</v>
      </c>
      <c r="M225" t="str">
        <f>IFERROR(INDEX('[4]31.03.2024'!$H:$H,MATCH($E225,'[4]31.03.2024'!$B:$B,0)),"Not found")</f>
        <v>Not found</v>
      </c>
      <c r="N225" t="str">
        <f>IFERROR(INDEX([2]Sheet1!$B:$B,MATCH($D225,[2]Sheet1!$A:$A,0)),"Not found")</f>
        <v>Not found</v>
      </c>
      <c r="O225">
        <f t="shared" si="10"/>
        <v>0</v>
      </c>
      <c r="P225">
        <f t="shared" si="11"/>
        <v>0</v>
      </c>
    </row>
    <row r="226" spans="1:16" x14ac:dyDescent="0.25">
      <c r="A226" t="s">
        <v>0</v>
      </c>
      <c r="B226" s="1">
        <v>40360</v>
      </c>
      <c r="C226" s="1">
        <v>41517</v>
      </c>
      <c r="D226" s="4" t="s">
        <v>2620</v>
      </c>
      <c r="E226" t="s">
        <v>2621</v>
      </c>
      <c r="F226">
        <v>16185</v>
      </c>
      <c r="G226">
        <v>23391366</v>
      </c>
      <c r="H226" t="s">
        <v>10</v>
      </c>
      <c r="I226" t="s">
        <v>4</v>
      </c>
      <c r="J226" t="s">
        <v>20</v>
      </c>
      <c r="K226" t="s">
        <v>2911</v>
      </c>
      <c r="L226">
        <f t="shared" ca="1" si="9"/>
        <v>3</v>
      </c>
      <c r="M226" t="str">
        <f>IFERROR(INDEX('[4]31.03.2024'!$H:$H,MATCH($E226,'[4]31.03.2024'!$B:$B,0)),"Not found")</f>
        <v>Not found</v>
      </c>
      <c r="N226" t="str">
        <f>IFERROR(INDEX([2]Sheet1!$B:$B,MATCH($D226,[2]Sheet1!$A:$A,0)),"Not found")</f>
        <v>Not found</v>
      </c>
      <c r="O226">
        <f t="shared" si="10"/>
        <v>0</v>
      </c>
      <c r="P226">
        <f t="shared" si="11"/>
        <v>0</v>
      </c>
    </row>
    <row r="227" spans="1:16" x14ac:dyDescent="0.25">
      <c r="A227" t="s">
        <v>0</v>
      </c>
      <c r="B227" s="1">
        <v>40360</v>
      </c>
      <c r="C227" s="1">
        <v>41517</v>
      </c>
      <c r="D227" s="4" t="s">
        <v>2622</v>
      </c>
      <c r="E227" t="s">
        <v>2623</v>
      </c>
      <c r="F227">
        <v>16186</v>
      </c>
      <c r="G227">
        <v>23391614</v>
      </c>
      <c r="H227" t="s">
        <v>10</v>
      </c>
      <c r="I227" t="s">
        <v>4</v>
      </c>
      <c r="J227" t="s">
        <v>20</v>
      </c>
      <c r="K227" t="s">
        <v>2911</v>
      </c>
      <c r="L227">
        <f t="shared" ca="1" si="9"/>
        <v>3</v>
      </c>
      <c r="M227" t="str">
        <f>IFERROR(INDEX('[4]31.03.2024'!$H:$H,MATCH($E227,'[4]31.03.2024'!$B:$B,0)),"Not found")</f>
        <v>Not found</v>
      </c>
      <c r="N227" t="str">
        <f>IFERROR(INDEX([2]Sheet1!$B:$B,MATCH($D227,[2]Sheet1!$A:$A,0)),"Not found")</f>
        <v>Not found</v>
      </c>
      <c r="O227">
        <f t="shared" si="10"/>
        <v>0</v>
      </c>
      <c r="P227">
        <f t="shared" si="11"/>
        <v>0</v>
      </c>
    </row>
    <row r="228" spans="1:16" x14ac:dyDescent="0.25">
      <c r="A228" t="s">
        <v>0</v>
      </c>
      <c r="B228" s="1">
        <v>40695</v>
      </c>
      <c r="C228" s="1">
        <v>43769</v>
      </c>
      <c r="D228" s="4" t="s">
        <v>2624</v>
      </c>
      <c r="E228" t="s">
        <v>2625</v>
      </c>
      <c r="F228">
        <v>16279</v>
      </c>
      <c r="G228">
        <v>23549311</v>
      </c>
      <c r="H228" t="s">
        <v>3</v>
      </c>
      <c r="I228" t="s">
        <v>4</v>
      </c>
      <c r="J228" t="s">
        <v>50</v>
      </c>
      <c r="K228" t="s">
        <v>2911</v>
      </c>
      <c r="L228">
        <f t="shared" ca="1" si="9"/>
        <v>8</v>
      </c>
      <c r="M228" t="str">
        <f>IFERROR(INDEX('[4]31.03.2024'!$H:$H,MATCH($E228,'[4]31.03.2024'!$B:$B,0)),"Not found")</f>
        <v>Not found</v>
      </c>
      <c r="N228" t="str">
        <f>IFERROR(INDEX([2]Sheet1!$B:$B,MATCH($D228,[2]Sheet1!$A:$A,0)),"Not found")</f>
        <v>Not found</v>
      </c>
      <c r="O228">
        <f t="shared" si="10"/>
        <v>0</v>
      </c>
      <c r="P228">
        <f t="shared" si="11"/>
        <v>0</v>
      </c>
    </row>
    <row r="229" spans="1:16" x14ac:dyDescent="0.25">
      <c r="A229" t="s">
        <v>0</v>
      </c>
      <c r="B229" s="1">
        <v>40513</v>
      </c>
      <c r="C229" s="1">
        <v>41698</v>
      </c>
      <c r="D229" s="4" t="s">
        <v>2626</v>
      </c>
      <c r="E229" t="s">
        <v>2627</v>
      </c>
      <c r="F229">
        <v>16281</v>
      </c>
      <c r="G229">
        <v>23592416</v>
      </c>
      <c r="H229" t="s">
        <v>3</v>
      </c>
      <c r="I229" t="s">
        <v>4</v>
      </c>
      <c r="J229" t="s">
        <v>5</v>
      </c>
      <c r="K229" t="s">
        <v>2911</v>
      </c>
      <c r="L229">
        <f t="shared" ca="1" si="9"/>
        <v>3</v>
      </c>
      <c r="M229" t="str">
        <f>IFERROR(INDEX('[4]31.03.2024'!$H:$H,MATCH($E229,'[4]31.03.2024'!$B:$B,0)),"Not found")</f>
        <v>Not found</v>
      </c>
      <c r="N229" t="str">
        <f>IFERROR(INDEX([2]Sheet1!$B:$B,MATCH($D229,[2]Sheet1!$A:$A,0)),"Not found")</f>
        <v>Not found</v>
      </c>
      <c r="O229">
        <f t="shared" si="10"/>
        <v>0</v>
      </c>
      <c r="P229">
        <f t="shared" si="11"/>
        <v>0</v>
      </c>
    </row>
    <row r="230" spans="1:16" x14ac:dyDescent="0.25">
      <c r="A230" t="s">
        <v>0</v>
      </c>
      <c r="B230" s="1">
        <v>40391</v>
      </c>
      <c r="C230" s="1">
        <v>42674</v>
      </c>
      <c r="D230" s="4" t="s">
        <v>2628</v>
      </c>
      <c r="E230" t="s">
        <v>2629</v>
      </c>
      <c r="F230">
        <v>16292</v>
      </c>
      <c r="G230">
        <v>23468909</v>
      </c>
      <c r="H230" t="s">
        <v>3</v>
      </c>
      <c r="I230" t="s">
        <v>4</v>
      </c>
      <c r="J230" t="s">
        <v>20</v>
      </c>
      <c r="K230" t="s">
        <v>2910</v>
      </c>
      <c r="L230">
        <f t="shared" ca="1" si="9"/>
        <v>6</v>
      </c>
      <c r="M230" t="str">
        <f>IFERROR(INDEX('[4]31.03.2024'!$H:$H,MATCH($E230,'[4]31.03.2024'!$B:$B,0)),"Not found")</f>
        <v>Not found</v>
      </c>
      <c r="N230" t="str">
        <f>IFERROR(INDEX([2]Sheet1!$B:$B,MATCH($D230,[2]Sheet1!$A:$A,0)),"Not found")</f>
        <v>Not found</v>
      </c>
      <c r="O230">
        <f t="shared" si="10"/>
        <v>0</v>
      </c>
      <c r="P230">
        <f t="shared" si="11"/>
        <v>0</v>
      </c>
    </row>
    <row r="231" spans="1:16" x14ac:dyDescent="0.25">
      <c r="A231" t="s">
        <v>0</v>
      </c>
      <c r="B231" s="1">
        <v>40452</v>
      </c>
      <c r="C231" s="1">
        <v>41759</v>
      </c>
      <c r="D231" s="4" t="s">
        <v>2630</v>
      </c>
      <c r="E231" t="s">
        <v>2631</v>
      </c>
      <c r="F231">
        <v>16335</v>
      </c>
      <c r="G231">
        <v>23604157</v>
      </c>
      <c r="H231" t="s">
        <v>3</v>
      </c>
      <c r="I231" t="s">
        <v>4</v>
      </c>
      <c r="J231" t="s">
        <v>20</v>
      </c>
      <c r="K231" t="s">
        <v>2911</v>
      </c>
      <c r="L231">
        <f t="shared" ca="1" si="9"/>
        <v>3</v>
      </c>
      <c r="M231" t="str">
        <f>IFERROR(INDEX('[4]31.03.2024'!$H:$H,MATCH($E231,'[4]31.03.2024'!$B:$B,0)),"Not found")</f>
        <v>Not found</v>
      </c>
      <c r="N231" t="str">
        <f>IFERROR(INDEX([2]Sheet1!$B:$B,MATCH($D231,[2]Sheet1!$A:$A,0)),"Not found")</f>
        <v>Not found</v>
      </c>
      <c r="O231">
        <f t="shared" si="10"/>
        <v>0</v>
      </c>
      <c r="P231">
        <f t="shared" si="11"/>
        <v>0</v>
      </c>
    </row>
    <row r="232" spans="1:16" x14ac:dyDescent="0.25">
      <c r="A232" t="s">
        <v>0</v>
      </c>
      <c r="B232" s="1">
        <v>40483</v>
      </c>
      <c r="C232" s="1">
        <v>42643</v>
      </c>
      <c r="D232" s="4" t="s">
        <v>2632</v>
      </c>
      <c r="E232" t="s">
        <v>2633</v>
      </c>
      <c r="F232">
        <v>16386</v>
      </c>
      <c r="G232">
        <v>23592387</v>
      </c>
      <c r="H232" t="s">
        <v>10</v>
      </c>
      <c r="I232" t="s">
        <v>4</v>
      </c>
      <c r="J232" t="s">
        <v>50</v>
      </c>
      <c r="K232" t="s">
        <v>2911</v>
      </c>
      <c r="L232">
        <f t="shared" ca="1" si="9"/>
        <v>5</v>
      </c>
      <c r="M232" t="str">
        <f>IFERROR(INDEX('[4]31.03.2024'!$H:$H,MATCH($E232,'[4]31.03.2024'!$B:$B,0)),"Not found")</f>
        <v>Not found</v>
      </c>
      <c r="N232" t="str">
        <f>IFERROR(INDEX([2]Sheet1!$B:$B,MATCH($D232,[2]Sheet1!$A:$A,0)),"Not found")</f>
        <v>Not found</v>
      </c>
      <c r="O232">
        <f t="shared" si="10"/>
        <v>0</v>
      </c>
      <c r="P232">
        <f t="shared" si="11"/>
        <v>0</v>
      </c>
    </row>
    <row r="233" spans="1:16" x14ac:dyDescent="0.25">
      <c r="A233" t="s">
        <v>0</v>
      </c>
      <c r="B233" s="1">
        <v>40422</v>
      </c>
      <c r="C233" s="1">
        <v>42308</v>
      </c>
      <c r="D233" s="4" t="s">
        <v>2634</v>
      </c>
      <c r="E233" t="s">
        <v>2635</v>
      </c>
      <c r="F233">
        <v>16387</v>
      </c>
      <c r="G233">
        <v>23539041</v>
      </c>
      <c r="H233" t="s">
        <v>10</v>
      </c>
      <c r="I233" t="s">
        <v>4</v>
      </c>
      <c r="J233" t="s">
        <v>5</v>
      </c>
      <c r="K233" t="s">
        <v>2911</v>
      </c>
      <c r="L233">
        <f t="shared" ca="1" si="9"/>
        <v>5</v>
      </c>
      <c r="M233" t="str">
        <f>IFERROR(INDEX('[4]31.03.2024'!$H:$H,MATCH($E233,'[4]31.03.2024'!$B:$B,0)),"Not found")</f>
        <v>Not found</v>
      </c>
      <c r="N233" t="str">
        <f>IFERROR(INDEX([2]Sheet1!$B:$B,MATCH($D233,[2]Sheet1!$A:$A,0)),"Not found")</f>
        <v>Not found</v>
      </c>
      <c r="O233">
        <f t="shared" si="10"/>
        <v>0</v>
      </c>
      <c r="P233">
        <f t="shared" si="11"/>
        <v>0</v>
      </c>
    </row>
    <row r="234" spans="1:16" x14ac:dyDescent="0.25">
      <c r="A234" t="s">
        <v>0</v>
      </c>
      <c r="B234" s="1">
        <v>40422</v>
      </c>
      <c r="C234" s="1">
        <v>44012</v>
      </c>
      <c r="D234" s="4" t="s">
        <v>2636</v>
      </c>
      <c r="E234" t="s">
        <v>2637</v>
      </c>
      <c r="F234">
        <v>16388</v>
      </c>
      <c r="G234">
        <v>23538831</v>
      </c>
      <c r="H234" t="s">
        <v>3</v>
      </c>
      <c r="I234" t="s">
        <v>4</v>
      </c>
      <c r="J234" t="s">
        <v>5</v>
      </c>
      <c r="K234" t="s">
        <v>2910</v>
      </c>
      <c r="L234">
        <f t="shared" ca="1" si="9"/>
        <v>9</v>
      </c>
      <c r="M234" t="str">
        <f>IFERROR(INDEX('[4]31.03.2024'!$H:$H,MATCH($E234,'[4]31.03.2024'!$B:$B,0)),"Not found")</f>
        <v>Not found</v>
      </c>
      <c r="N234" t="str">
        <f>IFERROR(INDEX([2]Sheet1!$B:$B,MATCH($D234,[2]Sheet1!$A:$A,0)),"Not found")</f>
        <v>Not found</v>
      </c>
      <c r="O234">
        <f t="shared" si="10"/>
        <v>0</v>
      </c>
      <c r="P234">
        <f t="shared" si="11"/>
        <v>0</v>
      </c>
    </row>
    <row r="235" spans="1:16" x14ac:dyDescent="0.25">
      <c r="A235" t="s">
        <v>0</v>
      </c>
      <c r="B235" s="1">
        <v>40483</v>
      </c>
      <c r="C235" s="1">
        <v>42338</v>
      </c>
      <c r="D235" s="4" t="s">
        <v>2300</v>
      </c>
      <c r="E235" t="s">
        <v>2301</v>
      </c>
      <c r="F235">
        <v>16403</v>
      </c>
      <c r="G235">
        <v>23572458</v>
      </c>
      <c r="H235" t="s">
        <v>3</v>
      </c>
      <c r="I235" t="s">
        <v>4</v>
      </c>
      <c r="J235" t="s">
        <v>20</v>
      </c>
      <c r="K235" t="s">
        <v>2910</v>
      </c>
      <c r="L235">
        <f t="shared" ca="1" si="9"/>
        <v>5</v>
      </c>
      <c r="M235" t="str">
        <f>IFERROR(INDEX('[4]31.03.2024'!$H:$H,MATCH($E235,'[4]31.03.2024'!$B:$B,0)),"Not found")</f>
        <v>Not found</v>
      </c>
      <c r="N235" t="str">
        <f>IFERROR(INDEX([2]Sheet1!$B:$B,MATCH($D235,[2]Sheet1!$A:$A,0)),"Not found")</f>
        <v>Not found</v>
      </c>
      <c r="O235">
        <f t="shared" si="10"/>
        <v>0</v>
      </c>
      <c r="P235">
        <f t="shared" si="11"/>
        <v>0</v>
      </c>
    </row>
    <row r="236" spans="1:16" x14ac:dyDescent="0.25">
      <c r="A236" t="s">
        <v>0</v>
      </c>
      <c r="B236" s="1">
        <v>40483</v>
      </c>
      <c r="C236" s="1">
        <v>41670</v>
      </c>
      <c r="D236" s="4" t="s">
        <v>2638</v>
      </c>
      <c r="E236" t="s">
        <v>2639</v>
      </c>
      <c r="F236">
        <v>16427</v>
      </c>
      <c r="G236">
        <v>23658657</v>
      </c>
      <c r="H236" t="s">
        <v>10</v>
      </c>
      <c r="I236" t="s">
        <v>4</v>
      </c>
      <c r="J236" t="s">
        <v>47</v>
      </c>
      <c r="K236" t="s">
        <v>2911</v>
      </c>
      <c r="L236">
        <f t="shared" ca="1" si="9"/>
        <v>3</v>
      </c>
      <c r="M236" t="str">
        <f>IFERROR(INDEX('[4]31.03.2024'!$H:$H,MATCH($E236,'[4]31.03.2024'!$B:$B,0)),"Not found")</f>
        <v>Not found</v>
      </c>
      <c r="N236" t="str">
        <f>IFERROR(INDEX([2]Sheet1!$B:$B,MATCH($D236,[2]Sheet1!$A:$A,0)),"Not found")</f>
        <v>Not found</v>
      </c>
      <c r="O236">
        <f t="shared" si="10"/>
        <v>0</v>
      </c>
      <c r="P236">
        <f t="shared" si="11"/>
        <v>0</v>
      </c>
    </row>
    <row r="237" spans="1:16" x14ac:dyDescent="0.25">
      <c r="A237" t="s">
        <v>0</v>
      </c>
      <c r="B237" s="1">
        <v>40483</v>
      </c>
      <c r="C237" s="1">
        <v>43465</v>
      </c>
      <c r="D237" s="4" t="s">
        <v>2642</v>
      </c>
      <c r="E237" t="s">
        <v>2643</v>
      </c>
      <c r="F237">
        <v>16434</v>
      </c>
      <c r="G237">
        <v>23634305</v>
      </c>
      <c r="H237" t="s">
        <v>3</v>
      </c>
      <c r="I237" t="s">
        <v>4</v>
      </c>
      <c r="J237" t="s">
        <v>20</v>
      </c>
      <c r="K237" t="s">
        <v>2911</v>
      </c>
      <c r="L237">
        <f t="shared" ca="1" si="9"/>
        <v>8</v>
      </c>
      <c r="M237" t="str">
        <f>IFERROR(INDEX('[4]31.03.2024'!$H:$H,MATCH($E237,'[4]31.03.2024'!$B:$B,0)),"Not found")</f>
        <v>Not found</v>
      </c>
      <c r="N237" t="str">
        <f>IFERROR(INDEX([2]Sheet1!$B:$B,MATCH($D237,[2]Sheet1!$A:$A,0)),"Not found")</f>
        <v>Not found</v>
      </c>
      <c r="O237">
        <f t="shared" si="10"/>
        <v>0</v>
      </c>
      <c r="P237">
        <f t="shared" si="11"/>
        <v>0</v>
      </c>
    </row>
    <row r="238" spans="1:16" x14ac:dyDescent="0.25">
      <c r="A238" t="s">
        <v>0</v>
      </c>
      <c r="B238" s="1">
        <v>40483</v>
      </c>
      <c r="C238" s="1">
        <v>44530</v>
      </c>
      <c r="D238" s="4" t="s">
        <v>2644</v>
      </c>
      <c r="E238" t="s">
        <v>2645</v>
      </c>
      <c r="F238">
        <v>16484</v>
      </c>
      <c r="G238">
        <v>23698720</v>
      </c>
      <c r="H238" t="s">
        <v>3</v>
      </c>
      <c r="I238" t="s">
        <v>4</v>
      </c>
      <c r="J238" t="s">
        <v>50</v>
      </c>
      <c r="K238" t="s">
        <v>2911</v>
      </c>
      <c r="L238">
        <f t="shared" ca="1" si="9"/>
        <v>11</v>
      </c>
      <c r="M238" t="str">
        <f>IFERROR(INDEX('[4]31.03.2024'!$H:$H,MATCH($E238,'[4]31.03.2024'!$B:$B,0)),"Not found")</f>
        <v>Not found</v>
      </c>
      <c r="N238" t="str">
        <f>IFERROR(INDEX([2]Sheet1!$B:$B,MATCH($D238,[2]Sheet1!$A:$A,0)),"Not found")</f>
        <v>Not found</v>
      </c>
      <c r="O238">
        <f t="shared" si="10"/>
        <v>0</v>
      </c>
      <c r="P238">
        <f t="shared" si="11"/>
        <v>0</v>
      </c>
    </row>
    <row r="239" spans="1:16" x14ac:dyDescent="0.25">
      <c r="A239" t="s">
        <v>0</v>
      </c>
      <c r="B239" s="1">
        <v>40544</v>
      </c>
      <c r="C239" s="1">
        <v>41425</v>
      </c>
      <c r="D239" s="4" t="s">
        <v>2646</v>
      </c>
      <c r="E239" t="s">
        <v>2647</v>
      </c>
      <c r="F239">
        <v>16488</v>
      </c>
      <c r="G239">
        <v>23858421</v>
      </c>
      <c r="H239" t="s">
        <v>10</v>
      </c>
      <c r="I239" t="s">
        <v>4</v>
      </c>
      <c r="J239" t="s">
        <v>20</v>
      </c>
      <c r="K239" t="s">
        <v>2911</v>
      </c>
      <c r="L239">
        <f t="shared" ca="1" si="9"/>
        <v>2</v>
      </c>
      <c r="M239" t="str">
        <f>IFERROR(INDEX('[4]31.03.2024'!$H:$H,MATCH($E239,'[4]31.03.2024'!$B:$B,0)),"Not found")</f>
        <v>Not found</v>
      </c>
      <c r="N239" t="str">
        <f>IFERROR(INDEX([2]Sheet1!$B:$B,MATCH($D239,[2]Sheet1!$A:$A,0)),"Not found")</f>
        <v>Not found</v>
      </c>
      <c r="O239">
        <f t="shared" si="10"/>
        <v>0</v>
      </c>
      <c r="P239">
        <f t="shared" si="11"/>
        <v>0</v>
      </c>
    </row>
    <row r="240" spans="1:16" x14ac:dyDescent="0.25">
      <c r="A240" t="s">
        <v>0</v>
      </c>
      <c r="B240" s="1">
        <v>40513</v>
      </c>
      <c r="C240" s="1">
        <v>42521</v>
      </c>
      <c r="D240" s="4" t="s">
        <v>2650</v>
      </c>
      <c r="E240" t="s">
        <v>2651</v>
      </c>
      <c r="F240">
        <v>16491</v>
      </c>
      <c r="G240">
        <v>23733805</v>
      </c>
      <c r="H240" t="s">
        <v>10</v>
      </c>
      <c r="I240" t="s">
        <v>4</v>
      </c>
      <c r="J240" t="s">
        <v>50</v>
      </c>
      <c r="K240" t="s">
        <v>2910</v>
      </c>
      <c r="L240">
        <f t="shared" ca="1" si="9"/>
        <v>5</v>
      </c>
      <c r="M240" t="str">
        <f>IFERROR(INDEX('[4]31.03.2024'!$H:$H,MATCH($E240,'[4]31.03.2024'!$B:$B,0)),"Not found")</f>
        <v>Not found</v>
      </c>
      <c r="N240" t="str">
        <f>IFERROR(INDEX([2]Sheet1!$B:$B,MATCH($D240,[2]Sheet1!$A:$A,0)),"Not found")</f>
        <v>Not found</v>
      </c>
      <c r="O240">
        <f t="shared" si="10"/>
        <v>0</v>
      </c>
      <c r="P240">
        <f t="shared" si="11"/>
        <v>0</v>
      </c>
    </row>
    <row r="241" spans="1:16" x14ac:dyDescent="0.25">
      <c r="A241" t="s">
        <v>0</v>
      </c>
      <c r="B241" s="1">
        <v>40513</v>
      </c>
      <c r="C241" s="1">
        <v>42521</v>
      </c>
      <c r="D241" s="4" t="s">
        <v>2652</v>
      </c>
      <c r="E241" t="s">
        <v>2653</v>
      </c>
      <c r="F241">
        <v>16492</v>
      </c>
      <c r="G241">
        <v>23736838</v>
      </c>
      <c r="H241" t="s">
        <v>10</v>
      </c>
      <c r="I241" t="s">
        <v>4</v>
      </c>
      <c r="J241" t="s">
        <v>50</v>
      </c>
      <c r="K241" t="s">
        <v>2910</v>
      </c>
      <c r="L241">
        <f t="shared" ca="1" si="9"/>
        <v>5</v>
      </c>
      <c r="M241" t="str">
        <f>IFERROR(INDEX('[4]31.03.2024'!$H:$H,MATCH($E241,'[4]31.03.2024'!$B:$B,0)),"Not found")</f>
        <v>Not found</v>
      </c>
      <c r="N241" t="str">
        <f>IFERROR(INDEX([2]Sheet1!$B:$B,MATCH($D241,[2]Sheet1!$A:$A,0)),"Not found")</f>
        <v>Not found</v>
      </c>
      <c r="O241">
        <f t="shared" si="10"/>
        <v>0</v>
      </c>
      <c r="P241">
        <f t="shared" si="11"/>
        <v>0</v>
      </c>
    </row>
    <row r="242" spans="1:16" x14ac:dyDescent="0.25">
      <c r="A242" t="s">
        <v>0</v>
      </c>
      <c r="B242" s="1">
        <v>40513</v>
      </c>
      <c r="C242" s="1">
        <v>41394</v>
      </c>
      <c r="D242" s="4" t="s">
        <v>2654</v>
      </c>
      <c r="E242" t="s">
        <v>2655</v>
      </c>
      <c r="F242">
        <v>16502</v>
      </c>
      <c r="G242">
        <v>23765401</v>
      </c>
      <c r="H242" t="s">
        <v>3</v>
      </c>
      <c r="I242" t="s">
        <v>4</v>
      </c>
      <c r="J242" t="s">
        <v>20</v>
      </c>
      <c r="K242" t="s">
        <v>2911</v>
      </c>
      <c r="L242">
        <f t="shared" ca="1" si="9"/>
        <v>2</v>
      </c>
      <c r="M242" t="str">
        <f>IFERROR(INDEX('[4]31.03.2024'!$H:$H,MATCH($E242,'[4]31.03.2024'!$B:$B,0)),"Not found")</f>
        <v>Not found</v>
      </c>
      <c r="N242" t="str">
        <f>IFERROR(INDEX([2]Sheet1!$B:$B,MATCH($D242,[2]Sheet1!$A:$A,0)),"Not found")</f>
        <v>Not found</v>
      </c>
      <c r="O242">
        <f t="shared" si="10"/>
        <v>0</v>
      </c>
      <c r="P242">
        <f t="shared" si="11"/>
        <v>0</v>
      </c>
    </row>
    <row r="243" spans="1:16" x14ac:dyDescent="0.25">
      <c r="A243" t="s">
        <v>0</v>
      </c>
      <c r="B243" s="1">
        <v>41974</v>
      </c>
      <c r="C243" s="1">
        <v>42643</v>
      </c>
      <c r="D243" s="4" t="s">
        <v>277</v>
      </c>
      <c r="E243" t="s">
        <v>278</v>
      </c>
      <c r="F243">
        <v>16553</v>
      </c>
      <c r="G243">
        <v>22830558</v>
      </c>
      <c r="H243" t="s">
        <v>10</v>
      </c>
      <c r="I243" t="s">
        <v>11</v>
      </c>
      <c r="J243" t="s">
        <v>32</v>
      </c>
      <c r="K243" t="s">
        <v>2910</v>
      </c>
      <c r="L243">
        <f t="shared" ca="1" si="9"/>
        <v>1</v>
      </c>
      <c r="M243" t="str">
        <f>IFERROR(INDEX('[4]31.03.2024'!$H:$H,MATCH($E243,'[4]31.03.2024'!$B:$B,0)),"Not found")</f>
        <v>Not found</v>
      </c>
      <c r="N243" t="str">
        <f>IFERROR(INDEX([2]Sheet1!$B:$B,MATCH($D243,[2]Sheet1!$A:$A,0)),"Not found")</f>
        <v>Not found</v>
      </c>
      <c r="O243">
        <f t="shared" si="10"/>
        <v>0</v>
      </c>
      <c r="P243">
        <f t="shared" si="11"/>
        <v>0</v>
      </c>
    </row>
    <row r="244" spans="1:16" x14ac:dyDescent="0.25">
      <c r="A244" t="s">
        <v>0</v>
      </c>
      <c r="B244" s="1">
        <v>41974</v>
      </c>
      <c r="C244" s="1">
        <v>42735</v>
      </c>
      <c r="D244" s="4" t="s">
        <v>279</v>
      </c>
      <c r="E244" t="s">
        <v>280</v>
      </c>
      <c r="F244">
        <v>16561</v>
      </c>
      <c r="G244">
        <v>21261517</v>
      </c>
      <c r="H244" t="s">
        <v>10</v>
      </c>
      <c r="I244" t="s">
        <v>11</v>
      </c>
      <c r="J244" t="s">
        <v>32</v>
      </c>
      <c r="K244" t="s">
        <v>2910</v>
      </c>
      <c r="L244">
        <f t="shared" ca="1" si="9"/>
        <v>2</v>
      </c>
      <c r="M244" t="str">
        <f>IFERROR(INDEX('[4]31.03.2024'!$H:$H,MATCH($E244,'[4]31.03.2024'!$B:$B,0)),"Not found")</f>
        <v>Not found</v>
      </c>
      <c r="N244" t="str">
        <f>IFERROR(INDEX([2]Sheet1!$B:$B,MATCH($D244,[2]Sheet1!$A:$A,0)),"Not found")</f>
        <v>Not found</v>
      </c>
      <c r="O244">
        <f t="shared" si="10"/>
        <v>0</v>
      </c>
      <c r="P244">
        <f t="shared" si="11"/>
        <v>0</v>
      </c>
    </row>
    <row r="245" spans="1:16" x14ac:dyDescent="0.25">
      <c r="A245" t="s">
        <v>0</v>
      </c>
      <c r="B245" s="1">
        <v>41974</v>
      </c>
      <c r="C245" s="1">
        <v>43465</v>
      </c>
      <c r="D245" s="4" t="s">
        <v>281</v>
      </c>
      <c r="E245" t="s">
        <v>282</v>
      </c>
      <c r="F245">
        <v>16562</v>
      </c>
      <c r="G245">
        <v>20460602</v>
      </c>
      <c r="H245" t="s">
        <v>10</v>
      </c>
      <c r="I245" t="s">
        <v>11</v>
      </c>
      <c r="J245" t="s">
        <v>32</v>
      </c>
      <c r="K245" t="s">
        <v>2910</v>
      </c>
      <c r="L245">
        <f t="shared" ca="1" si="9"/>
        <v>4</v>
      </c>
      <c r="M245" t="str">
        <f>IFERROR(INDEX('[4]31.03.2024'!$H:$H,MATCH($E245,'[4]31.03.2024'!$B:$B,0)),"Not found")</f>
        <v>Not found</v>
      </c>
      <c r="N245" t="str">
        <f>IFERROR(INDEX([2]Sheet1!$B:$B,MATCH($D245,[2]Sheet1!$A:$A,0)),"Not found")</f>
        <v>Not found</v>
      </c>
      <c r="O245">
        <f t="shared" si="10"/>
        <v>0</v>
      </c>
      <c r="P245">
        <f t="shared" si="11"/>
        <v>0</v>
      </c>
    </row>
    <row r="246" spans="1:16" x14ac:dyDescent="0.25">
      <c r="A246" t="s">
        <v>0</v>
      </c>
      <c r="B246" s="1">
        <v>41974</v>
      </c>
      <c r="C246" s="1">
        <v>42277</v>
      </c>
      <c r="D246" s="4" t="s">
        <v>283</v>
      </c>
      <c r="E246" t="s">
        <v>284</v>
      </c>
      <c r="F246">
        <v>16574</v>
      </c>
      <c r="G246">
        <v>20259335</v>
      </c>
      <c r="H246" t="s">
        <v>10</v>
      </c>
      <c r="I246" t="s">
        <v>11</v>
      </c>
      <c r="J246" t="s">
        <v>32</v>
      </c>
      <c r="K246" t="s">
        <v>2910</v>
      </c>
      <c r="L246">
        <f t="shared" ca="1" si="9"/>
        <v>0</v>
      </c>
      <c r="M246" t="str">
        <f>IFERROR(INDEX('[4]31.03.2024'!$H:$H,MATCH($E246,'[4]31.03.2024'!$B:$B,0)),"Not found")</f>
        <v>Not found</v>
      </c>
      <c r="N246" t="str">
        <f>IFERROR(INDEX([2]Sheet1!$B:$B,MATCH($D246,[2]Sheet1!$A:$A,0)),"Not found")</f>
        <v>Not found</v>
      </c>
      <c r="O246">
        <f t="shared" si="10"/>
        <v>0</v>
      </c>
      <c r="P246">
        <f t="shared" si="11"/>
        <v>0</v>
      </c>
    </row>
    <row r="247" spans="1:16" x14ac:dyDescent="0.25">
      <c r="A247" t="s">
        <v>0</v>
      </c>
      <c r="B247" s="1">
        <v>41974</v>
      </c>
      <c r="C247" s="1">
        <v>44104</v>
      </c>
      <c r="D247" s="4" t="s">
        <v>285</v>
      </c>
      <c r="E247" t="s">
        <v>286</v>
      </c>
      <c r="F247">
        <v>16575</v>
      </c>
      <c r="G247">
        <v>21385376</v>
      </c>
      <c r="H247" t="s">
        <v>10</v>
      </c>
      <c r="I247" t="s">
        <v>11</v>
      </c>
      <c r="J247" t="s">
        <v>32</v>
      </c>
      <c r="K247" t="s">
        <v>2910</v>
      </c>
      <c r="L247">
        <f t="shared" ca="1" si="9"/>
        <v>5</v>
      </c>
      <c r="M247" t="str">
        <f>IFERROR(INDEX('[4]31.03.2024'!$H:$H,MATCH($E247,'[4]31.03.2024'!$B:$B,0)),"Not found")</f>
        <v>Not found</v>
      </c>
      <c r="N247" t="str">
        <f>IFERROR(INDEX([2]Sheet1!$B:$B,MATCH($D247,[2]Sheet1!$A:$A,0)),"Not found")</f>
        <v>Not found</v>
      </c>
      <c r="O247">
        <f t="shared" si="10"/>
        <v>0</v>
      </c>
      <c r="P247">
        <f t="shared" si="11"/>
        <v>0</v>
      </c>
    </row>
    <row r="248" spans="1:16" x14ac:dyDescent="0.25">
      <c r="A248" t="s">
        <v>0</v>
      </c>
      <c r="B248" s="1">
        <v>41974</v>
      </c>
      <c r="C248" s="1">
        <v>44561</v>
      </c>
      <c r="D248" s="4" t="s">
        <v>287</v>
      </c>
      <c r="E248" t="s">
        <v>288</v>
      </c>
      <c r="F248">
        <v>16576</v>
      </c>
      <c r="G248">
        <v>21264072</v>
      </c>
      <c r="H248" t="s">
        <v>10</v>
      </c>
      <c r="I248" t="s">
        <v>11</v>
      </c>
      <c r="J248" t="s">
        <v>12</v>
      </c>
      <c r="K248" t="s">
        <v>2910</v>
      </c>
      <c r="L248">
        <f t="shared" ca="1" si="9"/>
        <v>7</v>
      </c>
      <c r="M248" t="str">
        <f>IFERROR(INDEX('[4]31.03.2024'!$H:$H,MATCH($E248,'[4]31.03.2024'!$B:$B,0)),"Not found")</f>
        <v>Not found</v>
      </c>
      <c r="N248" t="str">
        <f>IFERROR(INDEX([2]Sheet1!$B:$B,MATCH($D248,[2]Sheet1!$A:$A,0)),"Not found")</f>
        <v>Not found</v>
      </c>
      <c r="O248">
        <f t="shared" si="10"/>
        <v>0</v>
      </c>
      <c r="P248">
        <f t="shared" si="11"/>
        <v>0</v>
      </c>
    </row>
    <row r="249" spans="1:16" x14ac:dyDescent="0.25">
      <c r="A249" t="s">
        <v>0</v>
      </c>
      <c r="B249" s="1">
        <v>41974</v>
      </c>
      <c r="C249" s="1">
        <v>43921</v>
      </c>
      <c r="D249" s="4" t="s">
        <v>289</v>
      </c>
      <c r="E249" t="s">
        <v>290</v>
      </c>
      <c r="F249">
        <v>16584</v>
      </c>
      <c r="G249">
        <v>17643379</v>
      </c>
      <c r="H249" t="s">
        <v>10</v>
      </c>
      <c r="I249" t="s">
        <v>11</v>
      </c>
      <c r="J249" t="s">
        <v>12</v>
      </c>
      <c r="K249" t="s">
        <v>2910</v>
      </c>
      <c r="L249">
        <f t="shared" ca="1" si="9"/>
        <v>5</v>
      </c>
      <c r="M249" t="str">
        <f>IFERROR(INDEX('[4]31.03.2024'!$H:$H,MATCH($E249,'[4]31.03.2024'!$B:$B,0)),"Not found")</f>
        <v>Not found</v>
      </c>
      <c r="N249" t="str">
        <f>IFERROR(INDEX([2]Sheet1!$B:$B,MATCH($D249,[2]Sheet1!$A:$A,0)),"Not found")</f>
        <v>Not found</v>
      </c>
      <c r="O249">
        <f t="shared" si="10"/>
        <v>0</v>
      </c>
      <c r="P249">
        <f t="shared" si="11"/>
        <v>0</v>
      </c>
    </row>
    <row r="250" spans="1:16" x14ac:dyDescent="0.25">
      <c r="A250" t="s">
        <v>0</v>
      </c>
      <c r="B250" s="1">
        <v>40544</v>
      </c>
      <c r="C250" s="1">
        <v>43921</v>
      </c>
      <c r="D250" s="4" t="s">
        <v>2656</v>
      </c>
      <c r="E250" t="s">
        <v>2657</v>
      </c>
      <c r="F250">
        <v>16590</v>
      </c>
      <c r="G250">
        <v>23798297</v>
      </c>
      <c r="H250" t="s">
        <v>3</v>
      </c>
      <c r="I250" t="s">
        <v>4</v>
      </c>
      <c r="J250" t="s">
        <v>20</v>
      </c>
      <c r="K250" t="s">
        <v>2911</v>
      </c>
      <c r="L250">
        <f t="shared" ca="1" si="9"/>
        <v>9</v>
      </c>
      <c r="M250" t="str">
        <f>IFERROR(INDEX('[4]31.03.2024'!$H:$H,MATCH($E250,'[4]31.03.2024'!$B:$B,0)),"Not found")</f>
        <v>Not found</v>
      </c>
      <c r="N250" t="str">
        <f>IFERROR(INDEX([2]Sheet1!$B:$B,MATCH($D250,[2]Sheet1!$A:$A,0)),"Not found")</f>
        <v>Not found</v>
      </c>
      <c r="O250">
        <f t="shared" si="10"/>
        <v>0</v>
      </c>
      <c r="P250">
        <f t="shared" si="11"/>
        <v>0</v>
      </c>
    </row>
    <row r="251" spans="1:16" x14ac:dyDescent="0.25">
      <c r="A251" t="s">
        <v>0</v>
      </c>
      <c r="B251" s="1">
        <v>41974</v>
      </c>
      <c r="C251" s="1">
        <v>42735</v>
      </c>
      <c r="D251" s="4" t="s">
        <v>291</v>
      </c>
      <c r="E251" t="s">
        <v>292</v>
      </c>
      <c r="F251">
        <v>16599</v>
      </c>
      <c r="G251">
        <v>20603722</v>
      </c>
      <c r="H251" t="s">
        <v>10</v>
      </c>
      <c r="I251" t="s">
        <v>11</v>
      </c>
      <c r="J251" t="s">
        <v>32</v>
      </c>
      <c r="K251" t="s">
        <v>2910</v>
      </c>
      <c r="L251">
        <f t="shared" ca="1" si="9"/>
        <v>2</v>
      </c>
      <c r="M251" t="str">
        <f>IFERROR(INDEX('[4]31.03.2024'!$H:$H,MATCH($E251,'[4]31.03.2024'!$B:$B,0)),"Not found")</f>
        <v>Not found</v>
      </c>
      <c r="N251" t="str">
        <f>IFERROR(INDEX([2]Sheet1!$B:$B,MATCH($D251,[2]Sheet1!$A:$A,0)),"Not found")</f>
        <v>Not found</v>
      </c>
      <c r="O251">
        <f t="shared" si="10"/>
        <v>0</v>
      </c>
      <c r="P251">
        <f t="shared" si="11"/>
        <v>0</v>
      </c>
    </row>
    <row r="252" spans="1:16" x14ac:dyDescent="0.25">
      <c r="A252" t="s">
        <v>0</v>
      </c>
      <c r="B252" s="1">
        <v>41974</v>
      </c>
      <c r="C252" s="1">
        <v>44012</v>
      </c>
      <c r="D252" s="4" t="s">
        <v>297</v>
      </c>
      <c r="E252" t="s">
        <v>298</v>
      </c>
      <c r="F252">
        <v>16617</v>
      </c>
      <c r="G252">
        <v>22257376</v>
      </c>
      <c r="H252" t="s">
        <v>10</v>
      </c>
      <c r="I252" t="s">
        <v>11</v>
      </c>
      <c r="J252" t="s">
        <v>32</v>
      </c>
      <c r="K252" t="s">
        <v>2910</v>
      </c>
      <c r="L252">
        <f t="shared" ca="1" si="9"/>
        <v>5</v>
      </c>
      <c r="M252" t="str">
        <f>IFERROR(INDEX('[4]31.03.2024'!$H:$H,MATCH($E252,'[4]31.03.2024'!$B:$B,0)),"Not found")</f>
        <v>Not found</v>
      </c>
      <c r="N252" t="str">
        <f>IFERROR(INDEX([2]Sheet1!$B:$B,MATCH($D252,[2]Sheet1!$A:$A,0)),"Not found")</f>
        <v>Not found</v>
      </c>
      <c r="O252">
        <f t="shared" si="10"/>
        <v>0</v>
      </c>
      <c r="P252">
        <f t="shared" si="11"/>
        <v>0</v>
      </c>
    </row>
    <row r="253" spans="1:16" x14ac:dyDescent="0.25">
      <c r="A253" t="s">
        <v>0</v>
      </c>
      <c r="B253" s="1">
        <v>41974</v>
      </c>
      <c r="C253" s="1">
        <v>44196</v>
      </c>
      <c r="D253" s="4" t="s">
        <v>299</v>
      </c>
      <c r="E253" t="s">
        <v>300</v>
      </c>
      <c r="F253">
        <v>16626</v>
      </c>
      <c r="G253">
        <v>19544323</v>
      </c>
      <c r="H253" t="s">
        <v>10</v>
      </c>
      <c r="I253" t="s">
        <v>11</v>
      </c>
      <c r="J253" t="s">
        <v>12</v>
      </c>
      <c r="K253" t="s">
        <v>2910</v>
      </c>
      <c r="L253">
        <f t="shared" ca="1" si="9"/>
        <v>6</v>
      </c>
      <c r="M253" t="str">
        <f>IFERROR(INDEX('[4]31.03.2024'!$H:$H,MATCH($E253,'[4]31.03.2024'!$B:$B,0)),"Not found")</f>
        <v>Not found</v>
      </c>
      <c r="N253" t="str">
        <f>IFERROR(INDEX([2]Sheet1!$B:$B,MATCH($D253,[2]Sheet1!$A:$A,0)),"Not found")</f>
        <v>Not found</v>
      </c>
      <c r="O253">
        <f t="shared" si="10"/>
        <v>0</v>
      </c>
      <c r="P253">
        <f t="shared" si="11"/>
        <v>0</v>
      </c>
    </row>
    <row r="254" spans="1:16" x14ac:dyDescent="0.25">
      <c r="A254" t="s">
        <v>0</v>
      </c>
      <c r="B254" s="1">
        <v>40634</v>
      </c>
      <c r="C254" s="1">
        <v>41912</v>
      </c>
      <c r="D254" s="4" t="s">
        <v>2658</v>
      </c>
      <c r="E254" t="s">
        <v>2659</v>
      </c>
      <c r="F254">
        <v>16635</v>
      </c>
      <c r="G254">
        <v>23822680</v>
      </c>
      <c r="H254" t="s">
        <v>10</v>
      </c>
      <c r="I254" t="s">
        <v>4</v>
      </c>
      <c r="J254" t="s">
        <v>20</v>
      </c>
      <c r="K254" t="s">
        <v>2911</v>
      </c>
      <c r="L254">
        <f t="shared" ca="1" si="9"/>
        <v>3</v>
      </c>
      <c r="M254" t="str">
        <f>IFERROR(INDEX('[4]31.03.2024'!$H:$H,MATCH($E254,'[4]31.03.2024'!$B:$B,0)),"Not found")</f>
        <v>Not found</v>
      </c>
      <c r="N254" t="str">
        <f>IFERROR(INDEX([2]Sheet1!$B:$B,MATCH($D254,[2]Sheet1!$A:$A,0)),"Not found")</f>
        <v>Not found</v>
      </c>
      <c r="O254">
        <f t="shared" si="10"/>
        <v>0</v>
      </c>
      <c r="P254">
        <f t="shared" si="11"/>
        <v>0</v>
      </c>
    </row>
    <row r="255" spans="1:16" x14ac:dyDescent="0.25">
      <c r="A255" t="s">
        <v>0</v>
      </c>
      <c r="B255" s="1">
        <v>40634</v>
      </c>
      <c r="C255" s="1">
        <v>43220</v>
      </c>
      <c r="D255" s="4" t="s">
        <v>2660</v>
      </c>
      <c r="E255" t="s">
        <v>2661</v>
      </c>
      <c r="F255">
        <v>16636</v>
      </c>
      <c r="G255">
        <v>23821848</v>
      </c>
      <c r="H255" t="s">
        <v>10</v>
      </c>
      <c r="I255" t="s">
        <v>4</v>
      </c>
      <c r="J255" t="s">
        <v>20</v>
      </c>
      <c r="K255" t="s">
        <v>2911</v>
      </c>
      <c r="L255">
        <f t="shared" ca="1" si="9"/>
        <v>7</v>
      </c>
      <c r="M255" t="str">
        <f>IFERROR(INDEX('[4]31.03.2024'!$H:$H,MATCH($E255,'[4]31.03.2024'!$B:$B,0)),"Not found")</f>
        <v>Not found</v>
      </c>
      <c r="N255" t="str">
        <f>IFERROR(INDEX([2]Sheet1!$B:$B,MATCH($D255,[2]Sheet1!$A:$A,0)),"Not found")</f>
        <v>Not found</v>
      </c>
      <c r="O255">
        <f t="shared" si="10"/>
        <v>0</v>
      </c>
      <c r="P255">
        <f t="shared" si="11"/>
        <v>0</v>
      </c>
    </row>
    <row r="256" spans="1:16" x14ac:dyDescent="0.25">
      <c r="A256" t="s">
        <v>0</v>
      </c>
      <c r="B256" s="1">
        <v>40634</v>
      </c>
      <c r="C256" s="1">
        <v>41425</v>
      </c>
      <c r="D256" s="4" t="s">
        <v>2662</v>
      </c>
      <c r="E256" t="s">
        <v>2663</v>
      </c>
      <c r="F256">
        <v>16637</v>
      </c>
      <c r="G256">
        <v>23821389</v>
      </c>
      <c r="H256" t="s">
        <v>10</v>
      </c>
      <c r="I256" t="s">
        <v>4</v>
      </c>
      <c r="J256" t="s">
        <v>20</v>
      </c>
      <c r="K256" t="s">
        <v>2911</v>
      </c>
      <c r="L256">
        <f t="shared" ca="1" si="9"/>
        <v>2</v>
      </c>
      <c r="M256" t="str">
        <f>IFERROR(INDEX('[4]31.03.2024'!$H:$H,MATCH($E256,'[4]31.03.2024'!$B:$B,0)),"Not found")</f>
        <v>Not found</v>
      </c>
      <c r="N256" t="str">
        <f>IFERROR(INDEX([2]Sheet1!$B:$B,MATCH($D256,[2]Sheet1!$A:$A,0)),"Not found")</f>
        <v>Not found</v>
      </c>
      <c r="O256">
        <f t="shared" si="10"/>
        <v>0</v>
      </c>
      <c r="P256">
        <f t="shared" si="11"/>
        <v>0</v>
      </c>
    </row>
    <row r="257" spans="1:16" x14ac:dyDescent="0.25">
      <c r="A257" t="s">
        <v>0</v>
      </c>
      <c r="B257" s="1">
        <v>40603</v>
      </c>
      <c r="C257" s="1">
        <v>43496</v>
      </c>
      <c r="D257" s="4" t="s">
        <v>2342</v>
      </c>
      <c r="E257" t="s">
        <v>2343</v>
      </c>
      <c r="F257">
        <v>16656</v>
      </c>
      <c r="G257">
        <v>23844476</v>
      </c>
      <c r="H257" t="s">
        <v>3</v>
      </c>
      <c r="I257" t="s">
        <v>4</v>
      </c>
      <c r="J257" t="s">
        <v>20</v>
      </c>
      <c r="K257" t="s">
        <v>2911</v>
      </c>
      <c r="L257">
        <f t="shared" ca="1" si="9"/>
        <v>7</v>
      </c>
      <c r="M257" t="str">
        <f>IFERROR(INDEX('[4]31.03.2024'!$H:$H,MATCH($E257,'[4]31.03.2024'!$B:$B,0)),"Not found")</f>
        <v>Not found</v>
      </c>
      <c r="N257" t="str">
        <f>IFERROR(INDEX([2]Sheet1!$B:$B,MATCH($D257,[2]Sheet1!$A:$A,0)),"Not found")</f>
        <v>Not found</v>
      </c>
      <c r="O257">
        <f t="shared" si="10"/>
        <v>0</v>
      </c>
      <c r="P257">
        <f t="shared" si="11"/>
        <v>0</v>
      </c>
    </row>
    <row r="258" spans="1:16" x14ac:dyDescent="0.25">
      <c r="A258" t="s">
        <v>0</v>
      </c>
      <c r="B258" s="1">
        <v>40664</v>
      </c>
      <c r="C258" s="1">
        <v>42766</v>
      </c>
      <c r="D258" s="4" t="s">
        <v>2664</v>
      </c>
      <c r="E258" t="s">
        <v>2665</v>
      </c>
      <c r="F258">
        <v>16753</v>
      </c>
      <c r="G258">
        <v>24034686</v>
      </c>
      <c r="H258" t="s">
        <v>3</v>
      </c>
      <c r="I258" t="s">
        <v>4</v>
      </c>
      <c r="J258" t="s">
        <v>20</v>
      </c>
      <c r="K258" t="s">
        <v>2911</v>
      </c>
      <c r="L258">
        <f t="shared" ca="1" si="9"/>
        <v>5</v>
      </c>
      <c r="M258" t="str">
        <f>IFERROR(INDEX('[4]31.03.2024'!$H:$H,MATCH($E258,'[4]31.03.2024'!$B:$B,0)),"Not found")</f>
        <v>Not found</v>
      </c>
      <c r="N258" t="str">
        <f>IFERROR(INDEX([2]Sheet1!$B:$B,MATCH($D258,[2]Sheet1!$A:$A,0)),"Not found")</f>
        <v>Not found</v>
      </c>
      <c r="O258">
        <f t="shared" si="10"/>
        <v>0</v>
      </c>
      <c r="P258">
        <f t="shared" si="11"/>
        <v>0</v>
      </c>
    </row>
    <row r="259" spans="1:16" x14ac:dyDescent="0.25">
      <c r="A259" t="s">
        <v>0</v>
      </c>
      <c r="B259" s="1">
        <v>40634</v>
      </c>
      <c r="C259" s="1">
        <v>40908</v>
      </c>
      <c r="D259" s="4" t="s">
        <v>2666</v>
      </c>
      <c r="E259" t="s">
        <v>2667</v>
      </c>
      <c r="F259">
        <v>16754</v>
      </c>
      <c r="G259">
        <v>23972531</v>
      </c>
      <c r="H259" t="s">
        <v>3</v>
      </c>
      <c r="I259" t="s">
        <v>4</v>
      </c>
      <c r="J259" t="s">
        <v>50</v>
      </c>
      <c r="K259" t="s">
        <v>2911</v>
      </c>
      <c r="L259">
        <f t="shared" ref="L259:L322" ca="1" si="12">IF($K259="Continues",DATEDIF($B259,TODAY(),"Y"),DATEDIF($B259,$C259,"Y"))</f>
        <v>0</v>
      </c>
      <c r="M259" t="str">
        <f>IFERROR(INDEX('[4]31.03.2024'!$H:$H,MATCH($E259,'[4]31.03.2024'!$B:$B,0)),"Not found")</f>
        <v>Not found</v>
      </c>
      <c r="N259" t="str">
        <f>IFERROR(INDEX([2]Sheet1!$B:$B,MATCH($D259,[2]Sheet1!$A:$A,0)),"Not found")</f>
        <v>Not found</v>
      </c>
      <c r="O259">
        <f t="shared" ref="O259:O322" si="13">IF($N259="Retail",1,0)</f>
        <v>0</v>
      </c>
      <c r="P259">
        <f t="shared" ref="P259:P322" si="14">IF($N259="Non-Retail",1,0)</f>
        <v>0</v>
      </c>
    </row>
    <row r="260" spans="1:16" x14ac:dyDescent="0.25">
      <c r="A260" t="s">
        <v>0</v>
      </c>
      <c r="B260" s="1">
        <v>40909</v>
      </c>
      <c r="C260" s="1">
        <v>42094</v>
      </c>
      <c r="D260" s="4" t="s">
        <v>2666</v>
      </c>
      <c r="E260" t="s">
        <v>2667</v>
      </c>
      <c r="F260">
        <v>16754</v>
      </c>
      <c r="G260">
        <v>23972531</v>
      </c>
      <c r="H260" t="s">
        <v>3</v>
      </c>
      <c r="I260" t="s">
        <v>4</v>
      </c>
      <c r="J260" t="s">
        <v>50</v>
      </c>
      <c r="K260" t="s">
        <v>2911</v>
      </c>
      <c r="L260">
        <f t="shared" ca="1" si="12"/>
        <v>3</v>
      </c>
      <c r="M260" t="str">
        <f>IFERROR(INDEX('[4]31.03.2024'!$H:$H,MATCH($E260,'[4]31.03.2024'!$B:$B,0)),"Not found")</f>
        <v>Not found</v>
      </c>
      <c r="N260" t="str">
        <f>IFERROR(INDEX([2]Sheet1!$B:$B,MATCH($D260,[2]Sheet1!$A:$A,0)),"Not found")</f>
        <v>Not found</v>
      </c>
      <c r="O260">
        <f t="shared" si="13"/>
        <v>0</v>
      </c>
      <c r="P260">
        <f t="shared" si="14"/>
        <v>0</v>
      </c>
    </row>
    <row r="261" spans="1:16" x14ac:dyDescent="0.25">
      <c r="A261" t="s">
        <v>0</v>
      </c>
      <c r="B261" s="1">
        <v>40787</v>
      </c>
      <c r="C261" s="1">
        <v>42247</v>
      </c>
      <c r="D261" s="4" t="s">
        <v>2668</v>
      </c>
      <c r="E261" t="s">
        <v>2669</v>
      </c>
      <c r="F261">
        <v>16771</v>
      </c>
      <c r="G261">
        <v>24034563</v>
      </c>
      <c r="H261" t="s">
        <v>3</v>
      </c>
      <c r="I261" t="s">
        <v>4</v>
      </c>
      <c r="J261" t="s">
        <v>20</v>
      </c>
      <c r="K261" t="s">
        <v>2910</v>
      </c>
      <c r="L261">
        <f t="shared" ca="1" si="12"/>
        <v>3</v>
      </c>
      <c r="M261" t="str">
        <f>IFERROR(INDEX('[4]31.03.2024'!$H:$H,MATCH($E261,'[4]31.03.2024'!$B:$B,0)),"Not found")</f>
        <v>Not found</v>
      </c>
      <c r="N261" t="str">
        <f>IFERROR(INDEX([2]Sheet1!$B:$B,MATCH($D261,[2]Sheet1!$A:$A,0)),"Not found")</f>
        <v>Not found</v>
      </c>
      <c r="O261">
        <f t="shared" si="13"/>
        <v>0</v>
      </c>
      <c r="P261">
        <f t="shared" si="14"/>
        <v>0</v>
      </c>
    </row>
    <row r="262" spans="1:16" x14ac:dyDescent="0.25">
      <c r="A262" t="s">
        <v>0</v>
      </c>
      <c r="B262" s="1">
        <v>40634</v>
      </c>
      <c r="C262" s="1">
        <v>41790</v>
      </c>
      <c r="D262" s="4" t="s">
        <v>2670</v>
      </c>
      <c r="E262" t="s">
        <v>2671</v>
      </c>
      <c r="F262">
        <v>16811</v>
      </c>
      <c r="G262">
        <v>24032680</v>
      </c>
      <c r="H262" t="s">
        <v>10</v>
      </c>
      <c r="I262" t="s">
        <v>4</v>
      </c>
      <c r="J262" t="s">
        <v>5</v>
      </c>
      <c r="K262" t="s">
        <v>2911</v>
      </c>
      <c r="L262">
        <f t="shared" ca="1" si="12"/>
        <v>3</v>
      </c>
      <c r="M262" t="str">
        <f>IFERROR(INDEX('[4]31.03.2024'!$H:$H,MATCH($E262,'[4]31.03.2024'!$B:$B,0)),"Not found")</f>
        <v>Not found</v>
      </c>
      <c r="N262" t="str">
        <f>IFERROR(INDEX([2]Sheet1!$B:$B,MATCH($D262,[2]Sheet1!$A:$A,0)),"Not found")</f>
        <v>Not found</v>
      </c>
      <c r="O262">
        <f t="shared" si="13"/>
        <v>0</v>
      </c>
      <c r="P262">
        <f t="shared" si="14"/>
        <v>0</v>
      </c>
    </row>
    <row r="263" spans="1:16" x14ac:dyDescent="0.25">
      <c r="A263" t="s">
        <v>0</v>
      </c>
      <c r="B263" s="1">
        <v>40878</v>
      </c>
      <c r="C263" s="1">
        <v>42124</v>
      </c>
      <c r="D263" s="4" t="s">
        <v>2672</v>
      </c>
      <c r="E263" t="s">
        <v>2673</v>
      </c>
      <c r="F263">
        <v>16900</v>
      </c>
      <c r="G263">
        <v>24224973</v>
      </c>
      <c r="H263" t="s">
        <v>10</v>
      </c>
      <c r="I263" t="s">
        <v>4</v>
      </c>
      <c r="J263" t="s">
        <v>47</v>
      </c>
      <c r="K263" t="s">
        <v>2911</v>
      </c>
      <c r="L263">
        <f t="shared" ca="1" si="12"/>
        <v>3</v>
      </c>
      <c r="M263" t="str">
        <f>IFERROR(INDEX('[4]31.03.2024'!$H:$H,MATCH($E263,'[4]31.03.2024'!$B:$B,0)),"Not found")</f>
        <v>Not found</v>
      </c>
      <c r="N263" t="str">
        <f>IFERROR(INDEX([2]Sheet1!$B:$B,MATCH($D263,[2]Sheet1!$A:$A,0)),"Not found")</f>
        <v>Not found</v>
      </c>
      <c r="O263">
        <f t="shared" si="13"/>
        <v>0</v>
      </c>
      <c r="P263">
        <f t="shared" si="14"/>
        <v>0</v>
      </c>
    </row>
    <row r="264" spans="1:16" x14ac:dyDescent="0.25">
      <c r="A264" t="s">
        <v>0</v>
      </c>
      <c r="B264" s="1">
        <v>40756</v>
      </c>
      <c r="C264" s="1">
        <v>43159</v>
      </c>
      <c r="D264" s="4" t="s">
        <v>2674</v>
      </c>
      <c r="E264" t="s">
        <v>2675</v>
      </c>
      <c r="F264">
        <v>17067</v>
      </c>
      <c r="G264">
        <v>24225001</v>
      </c>
      <c r="H264" t="s">
        <v>3</v>
      </c>
      <c r="I264" t="s">
        <v>4</v>
      </c>
      <c r="J264" t="s">
        <v>20</v>
      </c>
      <c r="K264" t="s">
        <v>2910</v>
      </c>
      <c r="L264">
        <f t="shared" ca="1" si="12"/>
        <v>6</v>
      </c>
      <c r="M264" t="str">
        <f>IFERROR(INDEX('[4]31.03.2024'!$H:$H,MATCH($E264,'[4]31.03.2024'!$B:$B,0)),"Not found")</f>
        <v>Not found</v>
      </c>
      <c r="N264" t="str">
        <f>IFERROR(INDEX([2]Sheet1!$B:$B,MATCH($D264,[2]Sheet1!$A:$A,0)),"Not found")</f>
        <v>Not found</v>
      </c>
      <c r="O264">
        <f t="shared" si="13"/>
        <v>0</v>
      </c>
      <c r="P264">
        <f t="shared" si="14"/>
        <v>0</v>
      </c>
    </row>
    <row r="265" spans="1:16" x14ac:dyDescent="0.25">
      <c r="A265" t="s">
        <v>0</v>
      </c>
      <c r="B265" s="1">
        <v>40756</v>
      </c>
      <c r="C265" s="1">
        <v>43159</v>
      </c>
      <c r="D265" s="4" t="s">
        <v>2676</v>
      </c>
      <c r="E265" t="s">
        <v>2677</v>
      </c>
      <c r="F265">
        <v>17068</v>
      </c>
      <c r="G265">
        <v>24225036</v>
      </c>
      <c r="H265" t="s">
        <v>3</v>
      </c>
      <c r="I265" t="s">
        <v>4</v>
      </c>
      <c r="J265" t="s">
        <v>50</v>
      </c>
      <c r="K265" t="s">
        <v>2910</v>
      </c>
      <c r="L265">
        <f t="shared" ca="1" si="12"/>
        <v>6</v>
      </c>
      <c r="M265" t="str">
        <f>IFERROR(INDEX('[4]31.03.2024'!$H:$H,MATCH($E265,'[4]31.03.2024'!$B:$B,0)),"Not found")</f>
        <v>Not found</v>
      </c>
      <c r="N265" t="str">
        <f>IFERROR(INDEX([2]Sheet1!$B:$B,MATCH($D265,[2]Sheet1!$A:$A,0)),"Not found")</f>
        <v>Not found</v>
      </c>
      <c r="O265">
        <f t="shared" si="13"/>
        <v>0</v>
      </c>
      <c r="P265">
        <f t="shared" si="14"/>
        <v>0</v>
      </c>
    </row>
    <row r="266" spans="1:16" x14ac:dyDescent="0.25">
      <c r="A266" t="s">
        <v>0</v>
      </c>
      <c r="B266" s="1">
        <v>41183</v>
      </c>
      <c r="C266" s="1">
        <v>44681</v>
      </c>
      <c r="D266" s="4" t="s">
        <v>2678</v>
      </c>
      <c r="E266" t="s">
        <v>2679</v>
      </c>
      <c r="F266">
        <v>17074</v>
      </c>
      <c r="G266">
        <v>24899540</v>
      </c>
      <c r="H266" t="s">
        <v>10</v>
      </c>
      <c r="I266" t="s">
        <v>4</v>
      </c>
      <c r="J266" t="s">
        <v>50</v>
      </c>
      <c r="K266" t="s">
        <v>2911</v>
      </c>
      <c r="L266">
        <f t="shared" ca="1" si="12"/>
        <v>9</v>
      </c>
      <c r="M266" t="str">
        <f>IFERROR(INDEX('[4]31.03.2024'!$H:$H,MATCH($E266,'[4]31.03.2024'!$B:$B,0)),"Not found")</f>
        <v>Not found</v>
      </c>
      <c r="N266" t="str">
        <f>IFERROR(INDEX([2]Sheet1!$B:$B,MATCH($D266,[2]Sheet1!$A:$A,0)),"Not found")</f>
        <v>Not found</v>
      </c>
      <c r="O266">
        <f t="shared" si="13"/>
        <v>0</v>
      </c>
      <c r="P266">
        <f t="shared" si="14"/>
        <v>0</v>
      </c>
    </row>
    <row r="267" spans="1:16" x14ac:dyDescent="0.25">
      <c r="A267" t="s">
        <v>0</v>
      </c>
      <c r="B267" s="1">
        <v>40878</v>
      </c>
      <c r="C267" s="1">
        <v>41425</v>
      </c>
      <c r="D267" s="4" t="s">
        <v>2680</v>
      </c>
      <c r="E267" t="s">
        <v>2681</v>
      </c>
      <c r="F267">
        <v>17242</v>
      </c>
      <c r="G267">
        <v>24425601</v>
      </c>
      <c r="H267" t="s">
        <v>10</v>
      </c>
      <c r="I267" t="s">
        <v>4</v>
      </c>
      <c r="J267" t="s">
        <v>20</v>
      </c>
      <c r="K267" t="s">
        <v>2911</v>
      </c>
      <c r="L267">
        <f t="shared" ca="1" si="12"/>
        <v>1</v>
      </c>
      <c r="M267" t="str">
        <f>IFERROR(INDEX('[4]31.03.2024'!$H:$H,MATCH($E267,'[4]31.03.2024'!$B:$B,0)),"Not found")</f>
        <v>Not found</v>
      </c>
      <c r="N267" t="str">
        <f>IFERROR(INDEX([2]Sheet1!$B:$B,MATCH($D267,[2]Sheet1!$A:$A,0)),"Not found")</f>
        <v>Not found</v>
      </c>
      <c r="O267">
        <f t="shared" si="13"/>
        <v>0</v>
      </c>
      <c r="P267">
        <f t="shared" si="14"/>
        <v>0</v>
      </c>
    </row>
    <row r="268" spans="1:16" x14ac:dyDescent="0.25">
      <c r="A268" t="s">
        <v>0</v>
      </c>
      <c r="B268" s="1">
        <v>40940</v>
      </c>
      <c r="C268" s="1">
        <v>42916</v>
      </c>
      <c r="D268" s="4" t="s">
        <v>2682</v>
      </c>
      <c r="E268" t="s">
        <v>2683</v>
      </c>
      <c r="F268">
        <v>17244</v>
      </c>
      <c r="G268">
        <v>24457283</v>
      </c>
      <c r="H268" t="s">
        <v>10</v>
      </c>
      <c r="I268" t="s">
        <v>4</v>
      </c>
      <c r="J268" t="s">
        <v>47</v>
      </c>
      <c r="K268" t="s">
        <v>2910</v>
      </c>
      <c r="L268">
        <f t="shared" ca="1" si="12"/>
        <v>5</v>
      </c>
      <c r="M268" t="str">
        <f>IFERROR(INDEX('[4]31.03.2024'!$H:$H,MATCH($E268,'[4]31.03.2024'!$B:$B,0)),"Not found")</f>
        <v>Not found</v>
      </c>
      <c r="N268" t="str">
        <f>IFERROR(INDEX([2]Sheet1!$B:$B,MATCH($D268,[2]Sheet1!$A:$A,0)),"Not found")</f>
        <v>Not found</v>
      </c>
      <c r="O268">
        <f t="shared" si="13"/>
        <v>0</v>
      </c>
      <c r="P268">
        <f t="shared" si="14"/>
        <v>0</v>
      </c>
    </row>
    <row r="269" spans="1:16" x14ac:dyDescent="0.25">
      <c r="A269" t="s">
        <v>0</v>
      </c>
      <c r="B269" s="1">
        <v>41974</v>
      </c>
      <c r="C269" s="1">
        <v>43190</v>
      </c>
      <c r="D269" s="4" t="s">
        <v>301</v>
      </c>
      <c r="E269" t="s">
        <v>302</v>
      </c>
      <c r="F269">
        <v>17298</v>
      </c>
      <c r="G269">
        <v>20694097</v>
      </c>
      <c r="H269" t="s">
        <v>10</v>
      </c>
      <c r="I269" t="s">
        <v>11</v>
      </c>
      <c r="J269" t="s">
        <v>32</v>
      </c>
      <c r="K269" t="s">
        <v>2910</v>
      </c>
      <c r="L269">
        <f t="shared" ca="1" si="12"/>
        <v>3</v>
      </c>
      <c r="M269" t="str">
        <f>IFERROR(INDEX('[4]31.03.2024'!$H:$H,MATCH($E269,'[4]31.03.2024'!$B:$B,0)),"Not found")</f>
        <v>Not found</v>
      </c>
      <c r="N269" t="str">
        <f>IFERROR(INDEX([2]Sheet1!$B:$B,MATCH($D269,[2]Sheet1!$A:$A,0)),"Not found")</f>
        <v>Not found</v>
      </c>
      <c r="O269">
        <f t="shared" si="13"/>
        <v>0</v>
      </c>
      <c r="P269">
        <f t="shared" si="14"/>
        <v>0</v>
      </c>
    </row>
    <row r="270" spans="1:16" x14ac:dyDescent="0.25">
      <c r="A270" t="s">
        <v>0</v>
      </c>
      <c r="B270" s="1">
        <v>41974</v>
      </c>
      <c r="C270" s="1">
        <v>42551</v>
      </c>
      <c r="D270" s="4" t="s">
        <v>305</v>
      </c>
      <c r="E270" t="s">
        <v>306</v>
      </c>
      <c r="F270">
        <v>17354</v>
      </c>
      <c r="G270">
        <v>21254157</v>
      </c>
      <c r="H270" t="s">
        <v>10</v>
      </c>
      <c r="I270" t="s">
        <v>11</v>
      </c>
      <c r="J270" t="s">
        <v>12</v>
      </c>
      <c r="K270" t="s">
        <v>2910</v>
      </c>
      <c r="L270">
        <f t="shared" ca="1" si="12"/>
        <v>1</v>
      </c>
      <c r="M270" t="str">
        <f>IFERROR(INDEX('[4]31.03.2024'!$H:$H,MATCH($E270,'[4]31.03.2024'!$B:$B,0)),"Not found")</f>
        <v>Not found</v>
      </c>
      <c r="N270" t="str">
        <f>IFERROR(INDEX([2]Sheet1!$B:$B,MATCH($D270,[2]Sheet1!$A:$A,0)),"Not found")</f>
        <v>Not found</v>
      </c>
      <c r="O270">
        <f t="shared" si="13"/>
        <v>0</v>
      </c>
      <c r="P270">
        <f t="shared" si="14"/>
        <v>0</v>
      </c>
    </row>
    <row r="271" spans="1:16" x14ac:dyDescent="0.25">
      <c r="A271" t="s">
        <v>0</v>
      </c>
      <c r="B271" s="1">
        <v>41000</v>
      </c>
      <c r="C271" s="1">
        <v>43799</v>
      </c>
      <c r="D271" s="4" t="s">
        <v>2684</v>
      </c>
      <c r="E271" t="s">
        <v>2685</v>
      </c>
      <c r="F271">
        <v>17409</v>
      </c>
      <c r="G271">
        <v>24510056</v>
      </c>
      <c r="H271" t="s">
        <v>3</v>
      </c>
      <c r="I271" t="s">
        <v>4</v>
      </c>
      <c r="J271" t="s">
        <v>20</v>
      </c>
      <c r="K271" t="s">
        <v>2911</v>
      </c>
      <c r="L271">
        <f t="shared" ca="1" si="12"/>
        <v>7</v>
      </c>
      <c r="M271" t="str">
        <f>IFERROR(INDEX('[4]31.03.2024'!$H:$H,MATCH($E271,'[4]31.03.2024'!$B:$B,0)),"Not found")</f>
        <v>Not found</v>
      </c>
      <c r="N271" t="str">
        <f>IFERROR(INDEX([2]Sheet1!$B:$B,MATCH($D271,[2]Sheet1!$A:$A,0)),"Not found")</f>
        <v>Not found</v>
      </c>
      <c r="O271">
        <f t="shared" si="13"/>
        <v>0</v>
      </c>
      <c r="P271">
        <f t="shared" si="14"/>
        <v>0</v>
      </c>
    </row>
    <row r="272" spans="1:16" x14ac:dyDescent="0.25">
      <c r="A272" t="s">
        <v>0</v>
      </c>
      <c r="B272" s="1">
        <v>40969</v>
      </c>
      <c r="C272" s="1">
        <v>42460</v>
      </c>
      <c r="D272" s="4" t="s">
        <v>2686</v>
      </c>
      <c r="E272" t="s">
        <v>2687</v>
      </c>
      <c r="F272">
        <v>17410</v>
      </c>
      <c r="G272">
        <v>24742674</v>
      </c>
      <c r="H272" t="s">
        <v>3</v>
      </c>
      <c r="I272" t="s">
        <v>4</v>
      </c>
      <c r="J272" t="s">
        <v>50</v>
      </c>
      <c r="K272" t="s">
        <v>2911</v>
      </c>
      <c r="L272">
        <f t="shared" ca="1" si="12"/>
        <v>4</v>
      </c>
      <c r="M272" t="str">
        <f>IFERROR(INDEX('[4]31.03.2024'!$H:$H,MATCH($E272,'[4]31.03.2024'!$B:$B,0)),"Not found")</f>
        <v>Not found</v>
      </c>
      <c r="N272" t="str">
        <f>IFERROR(INDEX([2]Sheet1!$B:$B,MATCH($D272,[2]Sheet1!$A:$A,0)),"Not found")</f>
        <v>Not found</v>
      </c>
      <c r="O272">
        <f t="shared" si="13"/>
        <v>0</v>
      </c>
      <c r="P272">
        <f t="shared" si="14"/>
        <v>0</v>
      </c>
    </row>
    <row r="273" spans="1:16" x14ac:dyDescent="0.25">
      <c r="A273" t="s">
        <v>0</v>
      </c>
      <c r="B273" s="1">
        <v>40969</v>
      </c>
      <c r="C273" s="1">
        <v>42094</v>
      </c>
      <c r="D273" s="4" t="s">
        <v>2688</v>
      </c>
      <c r="E273" t="s">
        <v>2689</v>
      </c>
      <c r="F273">
        <v>17411</v>
      </c>
      <c r="G273">
        <v>24606912</v>
      </c>
      <c r="H273" t="s">
        <v>10</v>
      </c>
      <c r="I273" t="s">
        <v>4</v>
      </c>
      <c r="J273" t="s">
        <v>20</v>
      </c>
      <c r="K273" t="s">
        <v>2911</v>
      </c>
      <c r="L273">
        <f t="shared" ca="1" si="12"/>
        <v>3</v>
      </c>
      <c r="M273" t="str">
        <f>IFERROR(INDEX('[4]31.03.2024'!$H:$H,MATCH($E273,'[4]31.03.2024'!$B:$B,0)),"Not found")</f>
        <v>Not found</v>
      </c>
      <c r="N273" t="str">
        <f>IFERROR(INDEX([2]Sheet1!$B:$B,MATCH($D273,[2]Sheet1!$A:$A,0)),"Not found")</f>
        <v>Not found</v>
      </c>
      <c r="O273">
        <f t="shared" si="13"/>
        <v>0</v>
      </c>
      <c r="P273">
        <f t="shared" si="14"/>
        <v>0</v>
      </c>
    </row>
    <row r="274" spans="1:16" x14ac:dyDescent="0.25">
      <c r="A274" t="s">
        <v>0</v>
      </c>
      <c r="B274" s="1">
        <v>40969</v>
      </c>
      <c r="C274" s="1">
        <v>41912</v>
      </c>
      <c r="D274" s="4" t="s">
        <v>2690</v>
      </c>
      <c r="E274" t="s">
        <v>2691</v>
      </c>
      <c r="F274">
        <v>17412</v>
      </c>
      <c r="G274">
        <v>24509944</v>
      </c>
      <c r="H274" t="s">
        <v>3</v>
      </c>
      <c r="I274" t="s">
        <v>4</v>
      </c>
      <c r="J274" t="s">
        <v>5</v>
      </c>
      <c r="K274" t="s">
        <v>2911</v>
      </c>
      <c r="L274">
        <f t="shared" ca="1" si="12"/>
        <v>2</v>
      </c>
      <c r="M274" t="str">
        <f>IFERROR(INDEX('[4]31.03.2024'!$H:$H,MATCH($E274,'[4]31.03.2024'!$B:$B,0)),"Not found")</f>
        <v>Not found</v>
      </c>
      <c r="N274" t="str">
        <f>IFERROR(INDEX([2]Sheet1!$B:$B,MATCH($D274,[2]Sheet1!$A:$A,0)),"Not found")</f>
        <v>Not found</v>
      </c>
      <c r="O274">
        <f t="shared" si="13"/>
        <v>0</v>
      </c>
      <c r="P274">
        <f t="shared" si="14"/>
        <v>0</v>
      </c>
    </row>
    <row r="275" spans="1:16" x14ac:dyDescent="0.25">
      <c r="A275" t="s">
        <v>0</v>
      </c>
      <c r="B275" s="1">
        <v>40969</v>
      </c>
      <c r="C275" s="1">
        <v>43465</v>
      </c>
      <c r="D275" s="4" t="s">
        <v>307</v>
      </c>
      <c r="E275" t="s">
        <v>308</v>
      </c>
      <c r="F275">
        <v>17425</v>
      </c>
      <c r="G275">
        <v>24513425</v>
      </c>
      <c r="H275" t="s">
        <v>3</v>
      </c>
      <c r="I275" t="s">
        <v>4</v>
      </c>
      <c r="J275" t="s">
        <v>50</v>
      </c>
      <c r="K275" t="s">
        <v>2911</v>
      </c>
      <c r="L275">
        <f t="shared" ca="1" si="12"/>
        <v>6</v>
      </c>
      <c r="M275" t="str">
        <f>IFERROR(INDEX('[4]31.03.2024'!$H:$H,MATCH($E275,'[4]31.03.2024'!$B:$B,0)),"Not found")</f>
        <v>Not found</v>
      </c>
      <c r="N275" t="str">
        <f>IFERROR(INDEX([2]Sheet1!$B:$B,MATCH($D275,[2]Sheet1!$A:$A,0)),"Not found")</f>
        <v>Not found</v>
      </c>
      <c r="O275">
        <f t="shared" si="13"/>
        <v>0</v>
      </c>
      <c r="P275">
        <f t="shared" si="14"/>
        <v>0</v>
      </c>
    </row>
    <row r="276" spans="1:16" x14ac:dyDescent="0.25">
      <c r="A276" t="s">
        <v>0</v>
      </c>
      <c r="B276" s="1">
        <v>43466</v>
      </c>
      <c r="C276" s="1">
        <v>43799</v>
      </c>
      <c r="D276" s="4" t="s">
        <v>307</v>
      </c>
      <c r="E276" t="s">
        <v>308</v>
      </c>
      <c r="F276">
        <v>17425</v>
      </c>
      <c r="G276">
        <v>24513425</v>
      </c>
      <c r="H276" t="s">
        <v>3</v>
      </c>
      <c r="I276" t="s">
        <v>4</v>
      </c>
      <c r="J276" t="s">
        <v>50</v>
      </c>
      <c r="K276" t="s">
        <v>2911</v>
      </c>
      <c r="L276">
        <f t="shared" ca="1" si="12"/>
        <v>0</v>
      </c>
      <c r="M276" t="str">
        <f>IFERROR(INDEX('[4]31.03.2024'!$H:$H,MATCH($E276,'[4]31.03.2024'!$B:$B,0)),"Not found")</f>
        <v>Not found</v>
      </c>
      <c r="N276" t="str">
        <f>IFERROR(INDEX([2]Sheet1!$B:$B,MATCH($D276,[2]Sheet1!$A:$A,0)),"Not found")</f>
        <v>Not found</v>
      </c>
      <c r="O276">
        <f t="shared" si="13"/>
        <v>0</v>
      </c>
      <c r="P276">
        <f t="shared" si="14"/>
        <v>0</v>
      </c>
    </row>
    <row r="277" spans="1:16" x14ac:dyDescent="0.25">
      <c r="A277" t="s">
        <v>0</v>
      </c>
      <c r="B277" s="1">
        <v>41030</v>
      </c>
      <c r="C277" s="1">
        <v>42551</v>
      </c>
      <c r="D277" s="4" t="s">
        <v>2692</v>
      </c>
      <c r="E277" t="s">
        <v>2693</v>
      </c>
      <c r="F277">
        <v>17446</v>
      </c>
      <c r="G277">
        <v>24612554</v>
      </c>
      <c r="H277" t="s">
        <v>3</v>
      </c>
      <c r="I277" t="s">
        <v>4</v>
      </c>
      <c r="J277" t="s">
        <v>50</v>
      </c>
      <c r="K277" t="s">
        <v>2911</v>
      </c>
      <c r="L277">
        <f t="shared" ca="1" si="12"/>
        <v>4</v>
      </c>
      <c r="M277" t="str">
        <f>IFERROR(INDEX('[4]31.03.2024'!$H:$H,MATCH($E277,'[4]31.03.2024'!$B:$B,0)),"Not found")</f>
        <v>Not found</v>
      </c>
      <c r="N277" t="str">
        <f>IFERROR(INDEX([2]Sheet1!$B:$B,MATCH($D277,[2]Sheet1!$A:$A,0)),"Not found")</f>
        <v>Not found</v>
      </c>
      <c r="O277">
        <f t="shared" si="13"/>
        <v>0</v>
      </c>
      <c r="P277">
        <f t="shared" si="14"/>
        <v>0</v>
      </c>
    </row>
    <row r="278" spans="1:16" x14ac:dyDescent="0.25">
      <c r="A278" t="s">
        <v>0</v>
      </c>
      <c r="B278" s="1">
        <v>40969</v>
      </c>
      <c r="C278" s="1">
        <v>41790</v>
      </c>
      <c r="D278" s="4" t="s">
        <v>2648</v>
      </c>
      <c r="E278" t="s">
        <v>2649</v>
      </c>
      <c r="F278">
        <v>17447</v>
      </c>
      <c r="G278">
        <v>24616029</v>
      </c>
      <c r="H278" t="s">
        <v>3</v>
      </c>
      <c r="I278" t="s">
        <v>4</v>
      </c>
      <c r="J278" t="s">
        <v>20</v>
      </c>
      <c r="K278" t="s">
        <v>2911</v>
      </c>
      <c r="L278">
        <f t="shared" ca="1" si="12"/>
        <v>2</v>
      </c>
      <c r="M278" t="str">
        <f>IFERROR(INDEX('[4]31.03.2024'!$H:$H,MATCH($E278,'[4]31.03.2024'!$B:$B,0)),"Not found")</f>
        <v>Not found</v>
      </c>
      <c r="N278" t="str">
        <f>IFERROR(INDEX([2]Sheet1!$B:$B,MATCH($D278,[2]Sheet1!$A:$A,0)),"Not found")</f>
        <v>Not found</v>
      </c>
      <c r="O278">
        <f t="shared" si="13"/>
        <v>0</v>
      </c>
      <c r="P278">
        <f t="shared" si="14"/>
        <v>0</v>
      </c>
    </row>
    <row r="279" spans="1:16" x14ac:dyDescent="0.25">
      <c r="A279" t="s">
        <v>0</v>
      </c>
      <c r="B279" s="1">
        <v>39783</v>
      </c>
      <c r="C279" s="1">
        <v>42886</v>
      </c>
      <c r="D279" s="4" t="s">
        <v>2694</v>
      </c>
      <c r="E279" t="s">
        <v>2695</v>
      </c>
      <c r="F279">
        <v>17450</v>
      </c>
      <c r="G279">
        <v>23235427</v>
      </c>
      <c r="H279" t="s">
        <v>3</v>
      </c>
      <c r="I279" t="s">
        <v>4</v>
      </c>
      <c r="J279" t="s">
        <v>5</v>
      </c>
      <c r="K279" t="s">
        <v>2910</v>
      </c>
      <c r="L279">
        <f t="shared" ca="1" si="12"/>
        <v>8</v>
      </c>
      <c r="M279" t="str">
        <f>IFERROR(INDEX('[4]31.03.2024'!$H:$H,MATCH($E279,'[4]31.03.2024'!$B:$B,0)),"Not found")</f>
        <v>Not found</v>
      </c>
      <c r="N279" t="str">
        <f>IFERROR(INDEX([2]Sheet1!$B:$B,MATCH($D279,[2]Sheet1!$A:$A,0)),"Not found")</f>
        <v>Not found</v>
      </c>
      <c r="O279">
        <f t="shared" si="13"/>
        <v>0</v>
      </c>
      <c r="P279">
        <f t="shared" si="14"/>
        <v>0</v>
      </c>
    </row>
    <row r="280" spans="1:16" x14ac:dyDescent="0.25">
      <c r="A280" t="s">
        <v>0</v>
      </c>
      <c r="B280" s="1">
        <v>39783</v>
      </c>
      <c r="C280" s="1">
        <v>42063</v>
      </c>
      <c r="D280" s="4" t="s">
        <v>2696</v>
      </c>
      <c r="E280" t="s">
        <v>2697</v>
      </c>
      <c r="F280">
        <v>17455</v>
      </c>
      <c r="G280">
        <v>23235347</v>
      </c>
      <c r="H280" t="s">
        <v>3</v>
      </c>
      <c r="I280" t="s">
        <v>4</v>
      </c>
      <c r="J280" t="s">
        <v>20</v>
      </c>
      <c r="K280" t="s">
        <v>2911</v>
      </c>
      <c r="L280">
        <f t="shared" ca="1" si="12"/>
        <v>6</v>
      </c>
      <c r="M280" t="str">
        <f>IFERROR(INDEX('[4]31.03.2024'!$H:$H,MATCH($E280,'[4]31.03.2024'!$B:$B,0)),"Not found")</f>
        <v>Not found</v>
      </c>
      <c r="N280" t="str">
        <f>IFERROR(INDEX([2]Sheet1!$B:$B,MATCH($D280,[2]Sheet1!$A:$A,0)),"Not found")</f>
        <v>Not found</v>
      </c>
      <c r="O280">
        <f t="shared" si="13"/>
        <v>0</v>
      </c>
      <c r="P280">
        <f t="shared" si="14"/>
        <v>0</v>
      </c>
    </row>
    <row r="281" spans="1:16" x14ac:dyDescent="0.25">
      <c r="A281" t="s">
        <v>0</v>
      </c>
      <c r="B281" s="1">
        <v>40969</v>
      </c>
      <c r="C281" s="1">
        <v>41547</v>
      </c>
      <c r="D281" s="4" t="s">
        <v>2698</v>
      </c>
      <c r="E281" t="s">
        <v>2699</v>
      </c>
      <c r="F281">
        <v>17482</v>
      </c>
      <c r="G281">
        <v>24510099</v>
      </c>
      <c r="H281" t="s">
        <v>10</v>
      </c>
      <c r="I281" t="s">
        <v>4</v>
      </c>
      <c r="J281" t="s">
        <v>47</v>
      </c>
      <c r="K281" t="s">
        <v>2910</v>
      </c>
      <c r="L281">
        <f t="shared" ca="1" si="12"/>
        <v>1</v>
      </c>
      <c r="M281" t="str">
        <f>IFERROR(INDEX('[4]31.03.2024'!$H:$H,MATCH($E281,'[4]31.03.2024'!$B:$B,0)),"Not found")</f>
        <v>Not found</v>
      </c>
      <c r="N281" t="str">
        <f>IFERROR(INDEX([2]Sheet1!$B:$B,MATCH($D281,[2]Sheet1!$A:$A,0)),"Not found")</f>
        <v>Not found</v>
      </c>
      <c r="O281">
        <f t="shared" si="13"/>
        <v>0</v>
      </c>
      <c r="P281">
        <f t="shared" si="14"/>
        <v>0</v>
      </c>
    </row>
    <row r="282" spans="1:16" x14ac:dyDescent="0.25">
      <c r="A282" t="s">
        <v>0</v>
      </c>
      <c r="B282" s="1">
        <v>41699</v>
      </c>
      <c r="C282" s="1">
        <v>42521</v>
      </c>
      <c r="D282" s="4" t="s">
        <v>309</v>
      </c>
      <c r="E282" t="s">
        <v>310</v>
      </c>
      <c r="F282">
        <v>17575</v>
      </c>
      <c r="G282">
        <v>24834712</v>
      </c>
      <c r="H282" t="s">
        <v>10</v>
      </c>
      <c r="I282" t="s">
        <v>4</v>
      </c>
      <c r="J282" t="s">
        <v>5</v>
      </c>
      <c r="K282" t="s">
        <v>2910</v>
      </c>
      <c r="L282">
        <f t="shared" ca="1" si="12"/>
        <v>2</v>
      </c>
      <c r="M282" t="str">
        <f>IFERROR(INDEX('[4]31.03.2024'!$H:$H,MATCH($E282,'[4]31.03.2024'!$B:$B,0)),"Not found")</f>
        <v>Not found</v>
      </c>
      <c r="N282" t="str">
        <f>IFERROR(INDEX([2]Sheet1!$B:$B,MATCH($D282,[2]Sheet1!$A:$A,0)),"Not found")</f>
        <v>Not found</v>
      </c>
      <c r="O282">
        <f t="shared" si="13"/>
        <v>0</v>
      </c>
      <c r="P282">
        <f t="shared" si="14"/>
        <v>0</v>
      </c>
    </row>
    <row r="283" spans="1:16" x14ac:dyDescent="0.25">
      <c r="A283" t="s">
        <v>0</v>
      </c>
      <c r="B283" s="1">
        <v>41000</v>
      </c>
      <c r="C283" s="1">
        <v>41455</v>
      </c>
      <c r="D283" s="4" t="s">
        <v>2700</v>
      </c>
      <c r="E283" t="s">
        <v>2701</v>
      </c>
      <c r="F283">
        <v>17581</v>
      </c>
      <c r="G283">
        <v>24727247</v>
      </c>
      <c r="H283" t="s">
        <v>10</v>
      </c>
      <c r="I283" t="s">
        <v>4</v>
      </c>
      <c r="J283" t="s">
        <v>47</v>
      </c>
      <c r="K283" t="s">
        <v>2911</v>
      </c>
      <c r="L283">
        <f t="shared" ca="1" si="12"/>
        <v>1</v>
      </c>
      <c r="M283" t="str">
        <f>IFERROR(INDEX('[4]31.03.2024'!$H:$H,MATCH($E283,'[4]31.03.2024'!$B:$B,0)),"Not found")</f>
        <v>Not found</v>
      </c>
      <c r="N283" t="str">
        <f>IFERROR(INDEX([2]Sheet1!$B:$B,MATCH($D283,[2]Sheet1!$A:$A,0)),"Not found")</f>
        <v>Not found</v>
      </c>
      <c r="O283">
        <f t="shared" si="13"/>
        <v>0</v>
      </c>
      <c r="P283">
        <f t="shared" si="14"/>
        <v>0</v>
      </c>
    </row>
    <row r="284" spans="1:16" x14ac:dyDescent="0.25">
      <c r="A284" t="s">
        <v>0</v>
      </c>
      <c r="B284" s="1">
        <v>41061</v>
      </c>
      <c r="C284" s="1">
        <v>44012</v>
      </c>
      <c r="D284" s="4" t="s">
        <v>2702</v>
      </c>
      <c r="E284" t="s">
        <v>2703</v>
      </c>
      <c r="F284">
        <v>17658</v>
      </c>
      <c r="G284">
        <v>24834675</v>
      </c>
      <c r="H284" t="s">
        <v>10</v>
      </c>
      <c r="I284" t="s">
        <v>4</v>
      </c>
      <c r="J284" t="s">
        <v>32</v>
      </c>
      <c r="K284" t="s">
        <v>2911</v>
      </c>
      <c r="L284">
        <f t="shared" ca="1" si="12"/>
        <v>8</v>
      </c>
      <c r="M284" t="str">
        <f>IFERROR(INDEX('[4]31.03.2024'!$H:$H,MATCH($E284,'[4]31.03.2024'!$B:$B,0)),"Not found")</f>
        <v>Not found</v>
      </c>
      <c r="N284" t="str">
        <f>IFERROR(INDEX([2]Sheet1!$B:$B,MATCH($D284,[2]Sheet1!$A:$A,0)),"Not found")</f>
        <v>Not found</v>
      </c>
      <c r="O284">
        <f t="shared" si="13"/>
        <v>0</v>
      </c>
      <c r="P284">
        <f t="shared" si="14"/>
        <v>0</v>
      </c>
    </row>
    <row r="285" spans="1:16" x14ac:dyDescent="0.25">
      <c r="A285" t="s">
        <v>0</v>
      </c>
      <c r="B285" s="1">
        <v>39965</v>
      </c>
      <c r="C285" s="1">
        <v>42094</v>
      </c>
      <c r="D285" s="4" t="s">
        <v>2640</v>
      </c>
      <c r="E285" t="s">
        <v>2641</v>
      </c>
      <c r="F285">
        <v>17667</v>
      </c>
      <c r="G285">
        <v>23121649</v>
      </c>
      <c r="H285" t="s">
        <v>10</v>
      </c>
      <c r="I285" t="s">
        <v>4</v>
      </c>
      <c r="J285" t="s">
        <v>47</v>
      </c>
      <c r="K285" t="s">
        <v>2910</v>
      </c>
      <c r="L285">
        <f t="shared" ca="1" si="12"/>
        <v>5</v>
      </c>
      <c r="M285" t="str">
        <f>IFERROR(INDEX('[4]31.03.2024'!$H:$H,MATCH($E285,'[4]31.03.2024'!$B:$B,0)),"Not found")</f>
        <v>Not found</v>
      </c>
      <c r="N285" t="str">
        <f>IFERROR(INDEX([2]Sheet1!$B:$B,MATCH($D285,[2]Sheet1!$A:$A,0)),"Not found")</f>
        <v>Not found</v>
      </c>
      <c r="O285">
        <f t="shared" si="13"/>
        <v>0</v>
      </c>
      <c r="P285">
        <f t="shared" si="14"/>
        <v>0</v>
      </c>
    </row>
    <row r="286" spans="1:16" x14ac:dyDescent="0.25">
      <c r="A286" t="s">
        <v>0</v>
      </c>
      <c r="B286" s="1">
        <v>41183</v>
      </c>
      <c r="C286" s="1">
        <v>43616</v>
      </c>
      <c r="D286" s="4" t="s">
        <v>2704</v>
      </c>
      <c r="E286" t="s">
        <v>2705</v>
      </c>
      <c r="F286">
        <v>17740</v>
      </c>
      <c r="G286">
        <v>24876840</v>
      </c>
      <c r="H286" t="s">
        <v>10</v>
      </c>
      <c r="I286" t="s">
        <v>4</v>
      </c>
      <c r="J286" t="s">
        <v>47</v>
      </c>
      <c r="K286" t="s">
        <v>2910</v>
      </c>
      <c r="L286">
        <f t="shared" ca="1" si="12"/>
        <v>6</v>
      </c>
      <c r="M286" t="str">
        <f>IFERROR(INDEX('[4]31.03.2024'!$H:$H,MATCH($E286,'[4]31.03.2024'!$B:$B,0)),"Not found")</f>
        <v>Not found</v>
      </c>
      <c r="N286" t="str">
        <f>IFERROR(INDEX([2]Sheet1!$B:$B,MATCH($D286,[2]Sheet1!$A:$A,0)),"Not found")</f>
        <v>Not found</v>
      </c>
      <c r="O286">
        <f t="shared" si="13"/>
        <v>0</v>
      </c>
      <c r="P286">
        <f t="shared" si="14"/>
        <v>0</v>
      </c>
    </row>
    <row r="287" spans="1:16" x14ac:dyDescent="0.25">
      <c r="A287" t="s">
        <v>0</v>
      </c>
      <c r="B287" s="1">
        <v>41153</v>
      </c>
      <c r="C287" s="1">
        <v>42766</v>
      </c>
      <c r="D287" s="4" t="s">
        <v>2706</v>
      </c>
      <c r="E287" t="s">
        <v>2707</v>
      </c>
      <c r="F287">
        <v>17741</v>
      </c>
      <c r="G287">
        <v>24933999</v>
      </c>
      <c r="H287" t="s">
        <v>3</v>
      </c>
      <c r="I287" t="s">
        <v>4</v>
      </c>
      <c r="J287" t="s">
        <v>20</v>
      </c>
      <c r="K287" t="s">
        <v>2911</v>
      </c>
      <c r="L287">
        <f t="shared" ca="1" si="12"/>
        <v>4</v>
      </c>
      <c r="M287" t="str">
        <f>IFERROR(INDEX('[4]31.03.2024'!$H:$H,MATCH($E287,'[4]31.03.2024'!$B:$B,0)),"Not found")</f>
        <v>Not found</v>
      </c>
      <c r="N287" t="str">
        <f>IFERROR(INDEX([2]Sheet1!$B:$B,MATCH($D287,[2]Sheet1!$A:$A,0)),"Not found")</f>
        <v>Not found</v>
      </c>
      <c r="O287">
        <f t="shared" si="13"/>
        <v>0</v>
      </c>
      <c r="P287">
        <f t="shared" si="14"/>
        <v>0</v>
      </c>
    </row>
    <row r="288" spans="1:16" x14ac:dyDescent="0.25">
      <c r="A288" t="s">
        <v>0</v>
      </c>
      <c r="B288" s="1">
        <v>41153</v>
      </c>
      <c r="C288" s="1">
        <v>42247</v>
      </c>
      <c r="D288" s="4" t="s">
        <v>2708</v>
      </c>
      <c r="E288" t="s">
        <v>2709</v>
      </c>
      <c r="F288">
        <v>17794</v>
      </c>
      <c r="G288">
        <v>24928882</v>
      </c>
      <c r="H288" t="s">
        <v>3</v>
      </c>
      <c r="I288" t="s">
        <v>4</v>
      </c>
      <c r="J288" t="s">
        <v>5</v>
      </c>
      <c r="K288" t="s">
        <v>2910</v>
      </c>
      <c r="L288">
        <f t="shared" ca="1" si="12"/>
        <v>2</v>
      </c>
      <c r="M288" t="str">
        <f>IFERROR(INDEX('[4]31.03.2024'!$H:$H,MATCH($E288,'[4]31.03.2024'!$B:$B,0)),"Not found")</f>
        <v>Not found</v>
      </c>
      <c r="N288" t="str">
        <f>IFERROR(INDEX([2]Sheet1!$B:$B,MATCH($D288,[2]Sheet1!$A:$A,0)),"Not found")</f>
        <v>Not found</v>
      </c>
      <c r="O288">
        <f t="shared" si="13"/>
        <v>0</v>
      </c>
      <c r="P288">
        <f t="shared" si="14"/>
        <v>0</v>
      </c>
    </row>
    <row r="289" spans="1:16" x14ac:dyDescent="0.25">
      <c r="A289" t="s">
        <v>0</v>
      </c>
      <c r="B289" s="1">
        <v>41244</v>
      </c>
      <c r="C289" s="1">
        <v>43830</v>
      </c>
      <c r="D289" s="4" t="s">
        <v>2602</v>
      </c>
      <c r="E289" t="s">
        <v>2603</v>
      </c>
      <c r="F289">
        <v>17986</v>
      </c>
      <c r="G289">
        <v>25167114</v>
      </c>
      <c r="H289" t="s">
        <v>3</v>
      </c>
      <c r="I289" t="s">
        <v>4</v>
      </c>
      <c r="J289" t="s">
        <v>20</v>
      </c>
      <c r="K289" t="s">
        <v>2911</v>
      </c>
      <c r="L289">
        <f t="shared" ca="1" si="12"/>
        <v>7</v>
      </c>
      <c r="M289" t="str">
        <f>IFERROR(INDEX('[4]31.03.2024'!$H:$H,MATCH($E289,'[4]31.03.2024'!$B:$B,0)),"Not found")</f>
        <v>Not found</v>
      </c>
      <c r="N289" t="str">
        <f>IFERROR(INDEX([2]Sheet1!$B:$B,MATCH($D289,[2]Sheet1!$A:$A,0)),"Not found")</f>
        <v>Not found</v>
      </c>
      <c r="O289">
        <f t="shared" si="13"/>
        <v>0</v>
      </c>
      <c r="P289">
        <f t="shared" si="14"/>
        <v>0</v>
      </c>
    </row>
    <row r="290" spans="1:16" x14ac:dyDescent="0.25">
      <c r="A290" t="s">
        <v>0</v>
      </c>
      <c r="B290" s="1">
        <v>41244</v>
      </c>
      <c r="C290" s="1">
        <v>43646</v>
      </c>
      <c r="D290" s="4" t="s">
        <v>2710</v>
      </c>
      <c r="E290" t="s">
        <v>2711</v>
      </c>
      <c r="F290">
        <v>17988</v>
      </c>
      <c r="G290">
        <v>25167149</v>
      </c>
      <c r="H290" t="s">
        <v>3</v>
      </c>
      <c r="I290" t="s">
        <v>4</v>
      </c>
      <c r="J290" t="s">
        <v>5</v>
      </c>
      <c r="K290" t="s">
        <v>2910</v>
      </c>
      <c r="L290">
        <f t="shared" ca="1" si="12"/>
        <v>6</v>
      </c>
      <c r="M290" t="str">
        <f>IFERROR(INDEX('[4]31.03.2024'!$H:$H,MATCH($E290,'[4]31.03.2024'!$B:$B,0)),"Not found")</f>
        <v>Not found</v>
      </c>
      <c r="N290" t="str">
        <f>IFERROR(INDEX([2]Sheet1!$B:$B,MATCH($D290,[2]Sheet1!$A:$A,0)),"Not found")</f>
        <v>Not found</v>
      </c>
      <c r="O290">
        <f t="shared" si="13"/>
        <v>0</v>
      </c>
      <c r="P290">
        <f t="shared" si="14"/>
        <v>0</v>
      </c>
    </row>
    <row r="291" spans="1:16" x14ac:dyDescent="0.25">
      <c r="A291" t="s">
        <v>0</v>
      </c>
      <c r="B291" s="1">
        <v>41306</v>
      </c>
      <c r="C291" s="1">
        <v>44439</v>
      </c>
      <c r="D291" s="4" t="s">
        <v>313</v>
      </c>
      <c r="E291" t="s">
        <v>314</v>
      </c>
      <c r="F291">
        <v>18028</v>
      </c>
      <c r="G291">
        <v>25225468</v>
      </c>
      <c r="H291" t="s">
        <v>3</v>
      </c>
      <c r="I291" t="s">
        <v>4</v>
      </c>
      <c r="J291" t="s">
        <v>50</v>
      </c>
      <c r="K291" t="s">
        <v>2911</v>
      </c>
      <c r="L291">
        <f t="shared" ca="1" si="12"/>
        <v>8</v>
      </c>
      <c r="M291" t="str">
        <f>IFERROR(INDEX('[4]31.03.2024'!$H:$H,MATCH($E291,'[4]31.03.2024'!$B:$B,0)),"Not found")</f>
        <v>Not found</v>
      </c>
      <c r="N291" t="str">
        <f>IFERROR(INDEX([2]Sheet1!$B:$B,MATCH($D291,[2]Sheet1!$A:$A,0)),"Not found")</f>
        <v>Not found</v>
      </c>
      <c r="O291">
        <f t="shared" si="13"/>
        <v>0</v>
      </c>
      <c r="P291">
        <f t="shared" si="14"/>
        <v>0</v>
      </c>
    </row>
    <row r="292" spans="1:16" x14ac:dyDescent="0.25">
      <c r="A292" t="s">
        <v>0</v>
      </c>
      <c r="B292" s="1">
        <v>41395</v>
      </c>
      <c r="C292" s="1">
        <v>43496</v>
      </c>
      <c r="D292" s="4" t="s">
        <v>315</v>
      </c>
      <c r="E292" t="s">
        <v>316</v>
      </c>
      <c r="F292">
        <v>18085</v>
      </c>
      <c r="G292">
        <v>25275393</v>
      </c>
      <c r="H292" t="s">
        <v>3</v>
      </c>
      <c r="I292" t="s">
        <v>4</v>
      </c>
      <c r="J292" t="s">
        <v>20</v>
      </c>
      <c r="K292" t="s">
        <v>2911</v>
      </c>
      <c r="L292">
        <f t="shared" ca="1" si="12"/>
        <v>5</v>
      </c>
      <c r="M292" t="str">
        <f>IFERROR(INDEX('[4]31.03.2024'!$H:$H,MATCH($E292,'[4]31.03.2024'!$B:$B,0)),"Not found")</f>
        <v>Not found</v>
      </c>
      <c r="N292" t="str">
        <f>IFERROR(INDEX([2]Sheet1!$B:$B,MATCH($D292,[2]Sheet1!$A:$A,0)),"Not found")</f>
        <v>Not found</v>
      </c>
      <c r="O292">
        <f t="shared" si="13"/>
        <v>0</v>
      </c>
      <c r="P292">
        <f t="shared" si="14"/>
        <v>0</v>
      </c>
    </row>
    <row r="293" spans="1:16" x14ac:dyDescent="0.25">
      <c r="A293" t="s">
        <v>0</v>
      </c>
      <c r="B293" s="1">
        <v>41974</v>
      </c>
      <c r="C293" s="1">
        <v>45107</v>
      </c>
      <c r="D293" s="4" t="s">
        <v>8</v>
      </c>
      <c r="E293" t="s">
        <v>9</v>
      </c>
      <c r="F293">
        <v>18235</v>
      </c>
      <c r="G293">
        <v>23380843</v>
      </c>
      <c r="H293" t="s">
        <v>10</v>
      </c>
      <c r="I293" t="s">
        <v>11</v>
      </c>
      <c r="J293" t="s">
        <v>12</v>
      </c>
      <c r="K293" t="s">
        <v>2910</v>
      </c>
      <c r="L293">
        <f t="shared" ca="1" si="12"/>
        <v>8</v>
      </c>
      <c r="M293" t="str">
        <f>IFERROR(INDEX('[4]31.03.2024'!$H:$H,MATCH($E293,'[4]31.03.2024'!$B:$B,0)),"Not found")</f>
        <v>Not found</v>
      </c>
      <c r="N293" t="str">
        <f>IFERROR(INDEX([2]Sheet1!$B:$B,MATCH($D293,[2]Sheet1!$A:$A,0)),"Not found")</f>
        <v>Not found</v>
      </c>
      <c r="O293">
        <f t="shared" si="13"/>
        <v>0</v>
      </c>
      <c r="P293">
        <f t="shared" si="14"/>
        <v>0</v>
      </c>
    </row>
    <row r="294" spans="1:16" x14ac:dyDescent="0.25">
      <c r="A294" t="s">
        <v>0</v>
      </c>
      <c r="B294" s="1">
        <v>41974</v>
      </c>
      <c r="C294" s="1">
        <v>42643</v>
      </c>
      <c r="D294" s="4" t="s">
        <v>325</v>
      </c>
      <c r="E294" t="s">
        <v>326</v>
      </c>
      <c r="F294">
        <v>18236</v>
      </c>
      <c r="G294">
        <v>22677290</v>
      </c>
      <c r="H294" t="s">
        <v>10</v>
      </c>
      <c r="I294" t="s">
        <v>11</v>
      </c>
      <c r="J294" t="s">
        <v>32</v>
      </c>
      <c r="K294" t="s">
        <v>2910</v>
      </c>
      <c r="L294">
        <f t="shared" ca="1" si="12"/>
        <v>1</v>
      </c>
      <c r="M294" t="str">
        <f>IFERROR(INDEX('[4]31.03.2024'!$H:$H,MATCH($E294,'[4]31.03.2024'!$B:$B,0)),"Not found")</f>
        <v>Not found</v>
      </c>
      <c r="N294" t="str">
        <f>IFERROR(INDEX([2]Sheet1!$B:$B,MATCH($D294,[2]Sheet1!$A:$A,0)),"Not found")</f>
        <v>Not found</v>
      </c>
      <c r="O294">
        <f t="shared" si="13"/>
        <v>0</v>
      </c>
      <c r="P294">
        <f t="shared" si="14"/>
        <v>0</v>
      </c>
    </row>
    <row r="295" spans="1:16" x14ac:dyDescent="0.25">
      <c r="A295" t="s">
        <v>0</v>
      </c>
      <c r="B295" s="1">
        <v>41974</v>
      </c>
      <c r="C295" s="1">
        <v>44834</v>
      </c>
      <c r="D295" s="4" t="s">
        <v>327</v>
      </c>
      <c r="E295" t="s">
        <v>328</v>
      </c>
      <c r="F295">
        <v>18237</v>
      </c>
      <c r="G295">
        <v>22372796</v>
      </c>
      <c r="H295" t="s">
        <v>10</v>
      </c>
      <c r="I295" t="s">
        <v>11</v>
      </c>
      <c r="J295" t="s">
        <v>12</v>
      </c>
      <c r="K295" t="s">
        <v>2910</v>
      </c>
      <c r="L295">
        <f t="shared" ca="1" si="12"/>
        <v>7</v>
      </c>
      <c r="M295" t="str">
        <f>IFERROR(INDEX('[4]31.03.2024'!$H:$H,MATCH($E295,'[4]31.03.2024'!$B:$B,0)),"Not found")</f>
        <v>Not found</v>
      </c>
      <c r="N295" t="str">
        <f>IFERROR(INDEX([2]Sheet1!$B:$B,MATCH($D295,[2]Sheet1!$A:$A,0)),"Not found")</f>
        <v>Not found</v>
      </c>
      <c r="O295">
        <f t="shared" si="13"/>
        <v>0</v>
      </c>
      <c r="P295">
        <f t="shared" si="14"/>
        <v>0</v>
      </c>
    </row>
    <row r="296" spans="1:16" x14ac:dyDescent="0.25">
      <c r="A296" t="s">
        <v>0</v>
      </c>
      <c r="B296" s="1">
        <v>41974</v>
      </c>
      <c r="C296" s="1">
        <v>44196</v>
      </c>
      <c r="D296" s="4" t="s">
        <v>329</v>
      </c>
      <c r="E296" t="s">
        <v>330</v>
      </c>
      <c r="F296">
        <v>18238</v>
      </c>
      <c r="G296">
        <v>21257702</v>
      </c>
      <c r="H296" t="s">
        <v>10</v>
      </c>
      <c r="I296" t="s">
        <v>11</v>
      </c>
      <c r="J296" t="s">
        <v>12</v>
      </c>
      <c r="K296" t="s">
        <v>2910</v>
      </c>
      <c r="L296">
        <f t="shared" ca="1" si="12"/>
        <v>6</v>
      </c>
      <c r="M296" t="str">
        <f>IFERROR(INDEX('[4]31.03.2024'!$H:$H,MATCH($E296,'[4]31.03.2024'!$B:$B,0)),"Not found")</f>
        <v>Not found</v>
      </c>
      <c r="N296" t="str">
        <f>IFERROR(INDEX([2]Sheet1!$B:$B,MATCH($D296,[2]Sheet1!$A:$A,0)),"Not found")</f>
        <v>Not found</v>
      </c>
      <c r="O296">
        <f t="shared" si="13"/>
        <v>0</v>
      </c>
      <c r="P296">
        <f t="shared" si="14"/>
        <v>0</v>
      </c>
    </row>
    <row r="297" spans="1:16" x14ac:dyDescent="0.25">
      <c r="A297" t="s">
        <v>0</v>
      </c>
      <c r="B297" s="1">
        <v>41365</v>
      </c>
      <c r="C297" s="1">
        <v>44592</v>
      </c>
      <c r="D297" s="4" t="s">
        <v>333</v>
      </c>
      <c r="E297" t="s">
        <v>334</v>
      </c>
      <c r="F297">
        <v>18266</v>
      </c>
      <c r="G297">
        <v>25376792</v>
      </c>
      <c r="H297" t="s">
        <v>3</v>
      </c>
      <c r="I297" t="s">
        <v>4</v>
      </c>
      <c r="J297" t="s">
        <v>20</v>
      </c>
      <c r="K297" t="s">
        <v>2911</v>
      </c>
      <c r="L297">
        <f t="shared" ca="1" si="12"/>
        <v>8</v>
      </c>
      <c r="M297" t="str">
        <f>IFERROR(INDEX('[4]31.03.2024'!$H:$H,MATCH($E297,'[4]31.03.2024'!$B:$B,0)),"Not found")</f>
        <v>Not found</v>
      </c>
      <c r="N297" t="str">
        <f>IFERROR(INDEX([2]Sheet1!$B:$B,MATCH($D297,[2]Sheet1!$A:$A,0)),"Not found")</f>
        <v>Not found</v>
      </c>
      <c r="O297">
        <f t="shared" si="13"/>
        <v>0</v>
      </c>
      <c r="P297">
        <f t="shared" si="14"/>
        <v>0</v>
      </c>
    </row>
    <row r="298" spans="1:16" x14ac:dyDescent="0.25">
      <c r="A298" t="s">
        <v>0</v>
      </c>
      <c r="B298" s="1">
        <v>41365</v>
      </c>
      <c r="C298" s="1">
        <v>44592</v>
      </c>
      <c r="D298" s="4" t="s">
        <v>335</v>
      </c>
      <c r="E298" t="s">
        <v>336</v>
      </c>
      <c r="F298">
        <v>18267</v>
      </c>
      <c r="G298">
        <v>25376813</v>
      </c>
      <c r="H298" t="s">
        <v>3</v>
      </c>
      <c r="I298" t="s">
        <v>4</v>
      </c>
      <c r="J298" t="s">
        <v>50</v>
      </c>
      <c r="K298" t="s">
        <v>2911</v>
      </c>
      <c r="L298">
        <f t="shared" ca="1" si="12"/>
        <v>8</v>
      </c>
      <c r="M298" t="str">
        <f>IFERROR(INDEX('[4]31.03.2024'!$H:$H,MATCH($E298,'[4]31.03.2024'!$B:$B,0)),"Not found")</f>
        <v>Not found</v>
      </c>
      <c r="N298" t="str">
        <f>IFERROR(INDEX([2]Sheet1!$B:$B,MATCH($D298,[2]Sheet1!$A:$A,0)),"Not found")</f>
        <v>Not found</v>
      </c>
      <c r="O298">
        <f t="shared" si="13"/>
        <v>0</v>
      </c>
      <c r="P298">
        <f t="shared" si="14"/>
        <v>0</v>
      </c>
    </row>
    <row r="299" spans="1:16" x14ac:dyDescent="0.25">
      <c r="A299" t="s">
        <v>0</v>
      </c>
      <c r="B299" s="1">
        <v>41365</v>
      </c>
      <c r="C299" s="1">
        <v>43738</v>
      </c>
      <c r="D299" s="4" t="s">
        <v>337</v>
      </c>
      <c r="E299" t="s">
        <v>338</v>
      </c>
      <c r="F299">
        <v>18268</v>
      </c>
      <c r="G299">
        <v>25376856</v>
      </c>
      <c r="H299" t="s">
        <v>3</v>
      </c>
      <c r="I299" t="s">
        <v>4</v>
      </c>
      <c r="J299" t="s">
        <v>20</v>
      </c>
      <c r="K299" t="s">
        <v>2911</v>
      </c>
      <c r="L299">
        <f t="shared" ca="1" si="12"/>
        <v>6</v>
      </c>
      <c r="M299" t="str">
        <f>IFERROR(INDEX('[4]31.03.2024'!$H:$H,MATCH($E299,'[4]31.03.2024'!$B:$B,0)),"Not found")</f>
        <v>Not found</v>
      </c>
      <c r="N299" t="str">
        <f>IFERROR(INDEX([2]Sheet1!$B:$B,MATCH($D299,[2]Sheet1!$A:$A,0)),"Not found")</f>
        <v>Not found</v>
      </c>
      <c r="O299">
        <f t="shared" si="13"/>
        <v>0</v>
      </c>
      <c r="P299">
        <f t="shared" si="14"/>
        <v>0</v>
      </c>
    </row>
    <row r="300" spans="1:16" x14ac:dyDescent="0.25">
      <c r="A300" t="s">
        <v>0</v>
      </c>
      <c r="B300" s="1">
        <v>41487</v>
      </c>
      <c r="C300" s="1">
        <v>42551</v>
      </c>
      <c r="D300" s="4" t="s">
        <v>353</v>
      </c>
      <c r="E300" t="s">
        <v>354</v>
      </c>
      <c r="F300">
        <v>19518</v>
      </c>
      <c r="G300">
        <v>25600328</v>
      </c>
      <c r="H300" t="s">
        <v>10</v>
      </c>
      <c r="I300" t="s">
        <v>4</v>
      </c>
      <c r="J300" t="s">
        <v>20</v>
      </c>
      <c r="K300" t="s">
        <v>2911</v>
      </c>
      <c r="L300">
        <f t="shared" ca="1" si="12"/>
        <v>2</v>
      </c>
      <c r="M300" t="str">
        <f>IFERROR(INDEX('[4]31.03.2024'!$H:$H,MATCH($E300,'[4]31.03.2024'!$B:$B,0)),"Not found")</f>
        <v>Not found</v>
      </c>
      <c r="N300" t="str">
        <f>IFERROR(INDEX([2]Sheet1!$B:$B,MATCH($D300,[2]Sheet1!$A:$A,0)),"Not found")</f>
        <v>Not found</v>
      </c>
      <c r="O300">
        <f t="shared" si="13"/>
        <v>0</v>
      </c>
      <c r="P300">
        <f t="shared" si="14"/>
        <v>0</v>
      </c>
    </row>
    <row r="301" spans="1:16" x14ac:dyDescent="0.25">
      <c r="A301" t="s">
        <v>0</v>
      </c>
      <c r="B301" s="1">
        <v>41518</v>
      </c>
      <c r="C301" s="1">
        <v>42674</v>
      </c>
      <c r="D301" s="4" t="s">
        <v>355</v>
      </c>
      <c r="E301" t="s">
        <v>356</v>
      </c>
      <c r="F301">
        <v>19529</v>
      </c>
      <c r="G301">
        <v>25600352</v>
      </c>
      <c r="H301" t="s">
        <v>3</v>
      </c>
      <c r="I301" t="s">
        <v>4</v>
      </c>
      <c r="J301" t="s">
        <v>20</v>
      </c>
      <c r="K301" t="s">
        <v>2910</v>
      </c>
      <c r="L301">
        <f t="shared" ca="1" si="12"/>
        <v>3</v>
      </c>
      <c r="M301" t="str">
        <f>IFERROR(INDEX('[4]31.03.2024'!$H:$H,MATCH($E301,'[4]31.03.2024'!$B:$B,0)),"Not found")</f>
        <v>Not found</v>
      </c>
      <c r="N301" t="str">
        <f>IFERROR(INDEX([2]Sheet1!$B:$B,MATCH($D301,[2]Sheet1!$A:$A,0)),"Not found")</f>
        <v>Not found</v>
      </c>
      <c r="O301">
        <f t="shared" si="13"/>
        <v>0</v>
      </c>
      <c r="P301">
        <f t="shared" si="14"/>
        <v>0</v>
      </c>
    </row>
    <row r="302" spans="1:16" x14ac:dyDescent="0.25">
      <c r="A302" t="s">
        <v>0</v>
      </c>
      <c r="B302" s="1">
        <v>41518</v>
      </c>
      <c r="C302" s="1">
        <v>42674</v>
      </c>
      <c r="D302" s="4" t="s">
        <v>357</v>
      </c>
      <c r="E302" t="s">
        <v>358</v>
      </c>
      <c r="F302">
        <v>19530</v>
      </c>
      <c r="G302">
        <v>25600029</v>
      </c>
      <c r="H302" t="s">
        <v>3</v>
      </c>
      <c r="I302" t="s">
        <v>4</v>
      </c>
      <c r="J302" t="s">
        <v>20</v>
      </c>
      <c r="K302" t="s">
        <v>2910</v>
      </c>
      <c r="L302">
        <f t="shared" ca="1" si="12"/>
        <v>3</v>
      </c>
      <c r="M302" t="str">
        <f>IFERROR(INDEX('[4]31.03.2024'!$H:$H,MATCH($E302,'[4]31.03.2024'!$B:$B,0)),"Not found")</f>
        <v>Not found</v>
      </c>
      <c r="N302" t="str">
        <f>IFERROR(INDEX([2]Sheet1!$B:$B,MATCH($D302,[2]Sheet1!$A:$A,0)),"Not found")</f>
        <v>Not found</v>
      </c>
      <c r="O302">
        <f t="shared" si="13"/>
        <v>0</v>
      </c>
      <c r="P302">
        <f t="shared" si="14"/>
        <v>0</v>
      </c>
    </row>
    <row r="303" spans="1:16" x14ac:dyDescent="0.25">
      <c r="A303" t="s">
        <v>0</v>
      </c>
      <c r="B303" s="1">
        <v>41548</v>
      </c>
      <c r="C303" s="1">
        <v>43069</v>
      </c>
      <c r="D303" s="4" t="s">
        <v>363</v>
      </c>
      <c r="E303" t="s">
        <v>364</v>
      </c>
      <c r="F303">
        <v>22225</v>
      </c>
      <c r="G303">
        <v>25734342</v>
      </c>
      <c r="H303" t="s">
        <v>3</v>
      </c>
      <c r="I303" t="s">
        <v>4</v>
      </c>
      <c r="J303" t="s">
        <v>50</v>
      </c>
      <c r="K303" t="s">
        <v>2910</v>
      </c>
      <c r="L303">
        <f t="shared" ca="1" si="12"/>
        <v>4</v>
      </c>
      <c r="M303" t="str">
        <f>IFERROR(INDEX('[4]31.03.2024'!$H:$H,MATCH($E303,'[4]31.03.2024'!$B:$B,0)),"Not found")</f>
        <v>Not found</v>
      </c>
      <c r="N303" t="str">
        <f>IFERROR(INDEX([2]Sheet1!$B:$B,MATCH($D303,[2]Sheet1!$A:$A,0)),"Not found")</f>
        <v>Not found</v>
      </c>
      <c r="O303">
        <f t="shared" si="13"/>
        <v>0</v>
      </c>
      <c r="P303">
        <f t="shared" si="14"/>
        <v>0</v>
      </c>
    </row>
    <row r="304" spans="1:16" x14ac:dyDescent="0.25">
      <c r="A304" t="s">
        <v>0</v>
      </c>
      <c r="B304" s="1">
        <v>41548</v>
      </c>
      <c r="C304" s="1">
        <v>42794</v>
      </c>
      <c r="D304" s="4" t="s">
        <v>365</v>
      </c>
      <c r="E304" t="s">
        <v>366</v>
      </c>
      <c r="F304">
        <v>22249</v>
      </c>
      <c r="G304">
        <v>25740136</v>
      </c>
      <c r="H304" t="s">
        <v>3</v>
      </c>
      <c r="I304" t="s">
        <v>4</v>
      </c>
      <c r="J304" t="s">
        <v>20</v>
      </c>
      <c r="K304" t="s">
        <v>2910</v>
      </c>
      <c r="L304">
        <f t="shared" ca="1" si="12"/>
        <v>3</v>
      </c>
      <c r="M304" t="str">
        <f>IFERROR(INDEX('[4]31.03.2024'!$H:$H,MATCH($E304,'[4]31.03.2024'!$B:$B,0)),"Not found")</f>
        <v>Not found</v>
      </c>
      <c r="N304" t="str">
        <f>IFERROR(INDEX([2]Sheet1!$B:$B,MATCH($D304,[2]Sheet1!$A:$A,0)),"Not found")</f>
        <v>Not found</v>
      </c>
      <c r="O304">
        <f t="shared" si="13"/>
        <v>0</v>
      </c>
      <c r="P304">
        <f t="shared" si="14"/>
        <v>0</v>
      </c>
    </row>
    <row r="305" spans="1:16" x14ac:dyDescent="0.25">
      <c r="A305" t="s">
        <v>0</v>
      </c>
      <c r="B305" s="1">
        <v>41609</v>
      </c>
      <c r="C305" s="1">
        <v>43982</v>
      </c>
      <c r="D305" s="4" t="s">
        <v>371</v>
      </c>
      <c r="E305" t="s">
        <v>372</v>
      </c>
      <c r="F305">
        <v>22386</v>
      </c>
      <c r="G305">
        <v>25842837</v>
      </c>
      <c r="H305" t="s">
        <v>10</v>
      </c>
      <c r="I305" t="s">
        <v>4</v>
      </c>
      <c r="J305" t="s">
        <v>50</v>
      </c>
      <c r="K305" t="s">
        <v>2911</v>
      </c>
      <c r="L305">
        <f t="shared" ca="1" si="12"/>
        <v>6</v>
      </c>
      <c r="M305" t="str">
        <f>IFERROR(INDEX('[4]31.03.2024'!$H:$H,MATCH($E305,'[4]31.03.2024'!$B:$B,0)),"Not found")</f>
        <v>Not found</v>
      </c>
      <c r="N305" t="str">
        <f>IFERROR(INDEX([2]Sheet1!$B:$B,MATCH($D305,[2]Sheet1!$A:$A,0)),"Not found")</f>
        <v>Not found</v>
      </c>
      <c r="O305">
        <f t="shared" si="13"/>
        <v>0</v>
      </c>
      <c r="P305">
        <f t="shared" si="14"/>
        <v>0</v>
      </c>
    </row>
    <row r="306" spans="1:16" x14ac:dyDescent="0.25">
      <c r="A306" t="s">
        <v>0</v>
      </c>
      <c r="B306" s="1">
        <v>41730</v>
      </c>
      <c r="C306" s="1">
        <v>43069</v>
      </c>
      <c r="D306" s="4" t="s">
        <v>377</v>
      </c>
      <c r="E306" t="s">
        <v>378</v>
      </c>
      <c r="F306">
        <v>22473</v>
      </c>
      <c r="G306">
        <v>25921615</v>
      </c>
      <c r="H306" t="s">
        <v>3</v>
      </c>
      <c r="I306" t="s">
        <v>4</v>
      </c>
      <c r="J306" t="s">
        <v>50</v>
      </c>
      <c r="K306" t="s">
        <v>2910</v>
      </c>
      <c r="L306">
        <f t="shared" ca="1" si="12"/>
        <v>3</v>
      </c>
      <c r="M306" t="str">
        <f>IFERROR(INDEX('[4]31.03.2024'!$H:$H,MATCH($E306,'[4]31.03.2024'!$B:$B,0)),"Not found")</f>
        <v>Not found</v>
      </c>
      <c r="N306" t="str">
        <f>IFERROR(INDEX([2]Sheet1!$B:$B,MATCH($D306,[2]Sheet1!$A:$A,0)),"Not found")</f>
        <v>Not found</v>
      </c>
      <c r="O306">
        <f t="shared" si="13"/>
        <v>0</v>
      </c>
      <c r="P306">
        <f t="shared" si="14"/>
        <v>0</v>
      </c>
    </row>
    <row r="307" spans="1:16" x14ac:dyDescent="0.25">
      <c r="A307" t="s">
        <v>0</v>
      </c>
      <c r="B307" s="1">
        <v>41640</v>
      </c>
      <c r="C307" s="1">
        <v>43496</v>
      </c>
      <c r="D307" s="4" t="s">
        <v>379</v>
      </c>
      <c r="E307" t="s">
        <v>380</v>
      </c>
      <c r="F307">
        <v>22474</v>
      </c>
      <c r="G307">
        <v>25906263</v>
      </c>
      <c r="H307" t="s">
        <v>10</v>
      </c>
      <c r="I307" t="s">
        <v>4</v>
      </c>
      <c r="J307" t="s">
        <v>29</v>
      </c>
      <c r="K307" t="s">
        <v>2910</v>
      </c>
      <c r="L307">
        <f t="shared" ca="1" si="12"/>
        <v>5</v>
      </c>
      <c r="M307" t="str">
        <f>IFERROR(INDEX('[4]31.03.2024'!$H:$H,MATCH($E307,'[4]31.03.2024'!$B:$B,0)),"Not found")</f>
        <v>Not found</v>
      </c>
      <c r="N307" t="str">
        <f>IFERROR(INDEX([2]Sheet1!$B:$B,MATCH($D307,[2]Sheet1!$A:$A,0)),"Not found")</f>
        <v>Not found</v>
      </c>
      <c r="O307">
        <f t="shared" si="13"/>
        <v>0</v>
      </c>
      <c r="P307">
        <f t="shared" si="14"/>
        <v>0</v>
      </c>
    </row>
    <row r="308" spans="1:16" x14ac:dyDescent="0.25">
      <c r="A308" t="s">
        <v>2209</v>
      </c>
      <c r="B308" s="1">
        <v>41640</v>
      </c>
      <c r="C308" s="1">
        <v>43404</v>
      </c>
      <c r="D308" s="4" t="s">
        <v>383</v>
      </c>
      <c r="E308" t="s">
        <v>384</v>
      </c>
      <c r="F308">
        <v>22506</v>
      </c>
      <c r="G308">
        <v>25917149</v>
      </c>
      <c r="H308" t="s">
        <v>10</v>
      </c>
      <c r="I308" t="s">
        <v>4</v>
      </c>
      <c r="J308" t="s">
        <v>20</v>
      </c>
      <c r="K308" t="s">
        <v>2911</v>
      </c>
      <c r="L308">
        <f t="shared" ca="1" si="12"/>
        <v>4</v>
      </c>
      <c r="M308" t="str">
        <f>IFERROR(INDEX('[4]31.03.2024'!$H:$H,MATCH($E308,'[4]31.03.2024'!$B:$B,0)),"Not found")</f>
        <v>Not found</v>
      </c>
      <c r="N308" t="str">
        <f>IFERROR(INDEX([2]Sheet1!$B:$B,MATCH($D308,[2]Sheet1!$A:$A,0)),"Not found")</f>
        <v>Not found</v>
      </c>
      <c r="O308">
        <f t="shared" si="13"/>
        <v>0</v>
      </c>
      <c r="P308">
        <f t="shared" si="14"/>
        <v>0</v>
      </c>
    </row>
    <row r="309" spans="1:16" x14ac:dyDescent="0.25">
      <c r="A309" t="s">
        <v>0</v>
      </c>
      <c r="B309" s="1">
        <v>41974</v>
      </c>
      <c r="C309" s="1">
        <v>42643</v>
      </c>
      <c r="D309" s="4" t="s">
        <v>385</v>
      </c>
      <c r="E309" t="s">
        <v>386</v>
      </c>
      <c r="F309">
        <v>22629</v>
      </c>
      <c r="G309">
        <v>9642042</v>
      </c>
      <c r="H309" t="s">
        <v>10</v>
      </c>
      <c r="I309" t="s">
        <v>11</v>
      </c>
      <c r="J309" t="s">
        <v>12</v>
      </c>
      <c r="K309" t="s">
        <v>2910</v>
      </c>
      <c r="L309">
        <f t="shared" ca="1" si="12"/>
        <v>1</v>
      </c>
      <c r="M309" t="str">
        <f>IFERROR(INDEX('[4]31.03.2024'!$H:$H,MATCH($E309,'[4]31.03.2024'!$B:$B,0)),"Not found")</f>
        <v>Not found</v>
      </c>
      <c r="N309" t="str">
        <f>IFERROR(INDEX([2]Sheet1!$B:$B,MATCH($D309,[2]Sheet1!$A:$A,0)),"Not found")</f>
        <v>Not found</v>
      </c>
      <c r="O309">
        <f t="shared" si="13"/>
        <v>0</v>
      </c>
      <c r="P309">
        <f t="shared" si="14"/>
        <v>0</v>
      </c>
    </row>
    <row r="310" spans="1:16" x14ac:dyDescent="0.25">
      <c r="A310" t="s">
        <v>0</v>
      </c>
      <c r="B310" s="1">
        <v>41974</v>
      </c>
      <c r="C310" s="1">
        <v>42825</v>
      </c>
      <c r="D310" s="4" t="s">
        <v>391</v>
      </c>
      <c r="E310" t="s">
        <v>392</v>
      </c>
      <c r="F310">
        <v>22634</v>
      </c>
      <c r="G310">
        <v>5885143</v>
      </c>
      <c r="H310" t="s">
        <v>10</v>
      </c>
      <c r="I310" t="s">
        <v>11</v>
      </c>
      <c r="J310" t="s">
        <v>12</v>
      </c>
      <c r="K310" t="s">
        <v>2910</v>
      </c>
      <c r="L310">
        <f t="shared" ca="1" si="12"/>
        <v>2</v>
      </c>
      <c r="M310" t="str">
        <f>IFERROR(INDEX('[4]31.03.2024'!$H:$H,MATCH($E310,'[4]31.03.2024'!$B:$B,0)),"Not found")</f>
        <v>Not found</v>
      </c>
      <c r="N310" t="str">
        <f>IFERROR(INDEX([2]Sheet1!$B:$B,MATCH($D310,[2]Sheet1!$A:$A,0)),"Not found")</f>
        <v>Not found</v>
      </c>
      <c r="O310">
        <f t="shared" si="13"/>
        <v>0</v>
      </c>
      <c r="P310">
        <f t="shared" si="14"/>
        <v>0</v>
      </c>
    </row>
    <row r="311" spans="1:16" x14ac:dyDescent="0.25">
      <c r="A311" t="s">
        <v>0</v>
      </c>
      <c r="B311" s="1">
        <v>41974</v>
      </c>
      <c r="C311" s="1">
        <v>44196</v>
      </c>
      <c r="D311" s="4" t="s">
        <v>393</v>
      </c>
      <c r="E311" t="s">
        <v>394</v>
      </c>
      <c r="F311">
        <v>22636</v>
      </c>
      <c r="G311">
        <v>19544366</v>
      </c>
      <c r="H311" t="s">
        <v>10</v>
      </c>
      <c r="I311" t="s">
        <v>11</v>
      </c>
      <c r="J311" t="s">
        <v>29</v>
      </c>
      <c r="K311" t="s">
        <v>2910</v>
      </c>
      <c r="L311">
        <f t="shared" ca="1" si="12"/>
        <v>6</v>
      </c>
      <c r="M311" t="str">
        <f>IFERROR(INDEX('[4]31.03.2024'!$H:$H,MATCH($E311,'[4]31.03.2024'!$B:$B,0)),"Not found")</f>
        <v>Not found</v>
      </c>
      <c r="N311" t="str">
        <f>IFERROR(INDEX([2]Sheet1!$B:$B,MATCH($D311,[2]Sheet1!$A:$A,0)),"Not found")</f>
        <v>Not found</v>
      </c>
      <c r="O311">
        <f t="shared" si="13"/>
        <v>0</v>
      </c>
      <c r="P311">
        <f t="shared" si="14"/>
        <v>0</v>
      </c>
    </row>
    <row r="312" spans="1:16" x14ac:dyDescent="0.25">
      <c r="A312" t="s">
        <v>0</v>
      </c>
      <c r="B312" s="1">
        <v>41974</v>
      </c>
      <c r="C312" s="1">
        <v>42735</v>
      </c>
      <c r="D312" s="4" t="s">
        <v>397</v>
      </c>
      <c r="E312" t="s">
        <v>398</v>
      </c>
      <c r="F312">
        <v>22639</v>
      </c>
      <c r="G312">
        <v>18985522</v>
      </c>
      <c r="H312" t="s">
        <v>10</v>
      </c>
      <c r="I312" t="s">
        <v>11</v>
      </c>
      <c r="J312" t="s">
        <v>12</v>
      </c>
      <c r="K312" t="s">
        <v>2910</v>
      </c>
      <c r="L312">
        <f t="shared" ca="1" si="12"/>
        <v>2</v>
      </c>
      <c r="M312" t="str">
        <f>IFERROR(INDEX('[4]31.03.2024'!$H:$H,MATCH($E312,'[4]31.03.2024'!$B:$B,0)),"Not found")</f>
        <v>Not found</v>
      </c>
      <c r="N312" t="str">
        <f>IFERROR(INDEX([2]Sheet1!$B:$B,MATCH($D312,[2]Sheet1!$A:$A,0)),"Not found")</f>
        <v>Not found</v>
      </c>
      <c r="O312">
        <f t="shared" si="13"/>
        <v>0</v>
      </c>
      <c r="P312">
        <f t="shared" si="14"/>
        <v>0</v>
      </c>
    </row>
    <row r="313" spans="1:16" x14ac:dyDescent="0.25">
      <c r="A313" t="s">
        <v>0</v>
      </c>
      <c r="B313" s="1">
        <v>41974</v>
      </c>
      <c r="C313" s="1">
        <v>43738</v>
      </c>
      <c r="D313" s="4" t="s">
        <v>399</v>
      </c>
      <c r="E313" t="s">
        <v>400</v>
      </c>
      <c r="F313">
        <v>22641</v>
      </c>
      <c r="G313">
        <v>18626810</v>
      </c>
      <c r="H313" t="s">
        <v>10</v>
      </c>
      <c r="I313" t="s">
        <v>11</v>
      </c>
      <c r="J313" t="s">
        <v>80</v>
      </c>
      <c r="K313" t="s">
        <v>2910</v>
      </c>
      <c r="L313">
        <f t="shared" ca="1" si="12"/>
        <v>4</v>
      </c>
      <c r="M313" t="str">
        <f>IFERROR(INDEX('[4]31.03.2024'!$H:$H,MATCH($E313,'[4]31.03.2024'!$B:$B,0)),"Not found")</f>
        <v>Not found</v>
      </c>
      <c r="N313" t="str">
        <f>IFERROR(INDEX([2]Sheet1!$B:$B,MATCH($D313,[2]Sheet1!$A:$A,0)),"Not found")</f>
        <v>Not found</v>
      </c>
      <c r="O313">
        <f t="shared" si="13"/>
        <v>0</v>
      </c>
      <c r="P313">
        <f t="shared" si="14"/>
        <v>0</v>
      </c>
    </row>
    <row r="314" spans="1:16" x14ac:dyDescent="0.25">
      <c r="A314" t="s">
        <v>0</v>
      </c>
      <c r="B314" s="1">
        <v>41974</v>
      </c>
      <c r="C314" s="1">
        <v>44196</v>
      </c>
      <c r="D314" s="4" t="s">
        <v>401</v>
      </c>
      <c r="E314" t="s">
        <v>402</v>
      </c>
      <c r="F314">
        <v>22642</v>
      </c>
      <c r="G314">
        <v>18584833</v>
      </c>
      <c r="H314" t="s">
        <v>10</v>
      </c>
      <c r="I314" t="s">
        <v>11</v>
      </c>
      <c r="J314" t="s">
        <v>80</v>
      </c>
      <c r="K314" t="s">
        <v>2910</v>
      </c>
      <c r="L314">
        <f t="shared" ca="1" si="12"/>
        <v>6</v>
      </c>
      <c r="M314" t="str">
        <f>IFERROR(INDEX('[4]31.03.2024'!$H:$H,MATCH($E314,'[4]31.03.2024'!$B:$B,0)),"Not found")</f>
        <v>Not found</v>
      </c>
      <c r="N314" t="str">
        <f>IFERROR(INDEX([2]Sheet1!$B:$B,MATCH($D314,[2]Sheet1!$A:$A,0)),"Not found")</f>
        <v>Not found</v>
      </c>
      <c r="O314">
        <f t="shared" si="13"/>
        <v>0</v>
      </c>
      <c r="P314">
        <f t="shared" si="14"/>
        <v>0</v>
      </c>
    </row>
    <row r="315" spans="1:16" x14ac:dyDescent="0.25">
      <c r="A315" t="s">
        <v>0</v>
      </c>
      <c r="B315" s="1">
        <v>41974</v>
      </c>
      <c r="C315" s="1">
        <v>42369</v>
      </c>
      <c r="D315" s="4" t="s">
        <v>403</v>
      </c>
      <c r="E315" t="s">
        <v>404</v>
      </c>
      <c r="F315">
        <v>22644</v>
      </c>
      <c r="G315">
        <v>18294254</v>
      </c>
      <c r="H315" t="s">
        <v>10</v>
      </c>
      <c r="I315" t="s">
        <v>11</v>
      </c>
      <c r="J315" t="s">
        <v>12</v>
      </c>
      <c r="K315" t="s">
        <v>2910</v>
      </c>
      <c r="L315">
        <f t="shared" ca="1" si="12"/>
        <v>1</v>
      </c>
      <c r="M315" t="str">
        <f>IFERROR(INDEX('[4]31.03.2024'!$H:$H,MATCH($E315,'[4]31.03.2024'!$B:$B,0)),"Not found")</f>
        <v>Not found</v>
      </c>
      <c r="N315" t="str">
        <f>IFERROR(INDEX([2]Sheet1!$B:$B,MATCH($D315,[2]Sheet1!$A:$A,0)),"Not found")</f>
        <v>Not found</v>
      </c>
      <c r="O315">
        <f t="shared" si="13"/>
        <v>0</v>
      </c>
      <c r="P315">
        <f t="shared" si="14"/>
        <v>0</v>
      </c>
    </row>
    <row r="316" spans="1:16" x14ac:dyDescent="0.25">
      <c r="A316" t="s">
        <v>0</v>
      </c>
      <c r="B316" s="1">
        <v>41974</v>
      </c>
      <c r="C316" s="1">
        <v>42369</v>
      </c>
      <c r="D316" s="4" t="s">
        <v>405</v>
      </c>
      <c r="E316" t="s">
        <v>406</v>
      </c>
      <c r="F316">
        <v>22645</v>
      </c>
      <c r="G316">
        <v>18245241</v>
      </c>
      <c r="H316" t="s">
        <v>10</v>
      </c>
      <c r="I316" t="s">
        <v>11</v>
      </c>
      <c r="J316" t="s">
        <v>12</v>
      </c>
      <c r="K316" t="s">
        <v>2910</v>
      </c>
      <c r="L316">
        <f t="shared" ca="1" si="12"/>
        <v>1</v>
      </c>
      <c r="M316" t="str">
        <f>IFERROR(INDEX('[4]31.03.2024'!$H:$H,MATCH($E316,'[4]31.03.2024'!$B:$B,0)),"Not found")</f>
        <v>Not found</v>
      </c>
      <c r="N316" t="str">
        <f>IFERROR(INDEX([2]Sheet1!$B:$B,MATCH($D316,[2]Sheet1!$A:$A,0)),"Not found")</f>
        <v>Not found</v>
      </c>
      <c r="O316">
        <f t="shared" si="13"/>
        <v>0</v>
      </c>
      <c r="P316">
        <f t="shared" si="14"/>
        <v>0</v>
      </c>
    </row>
    <row r="317" spans="1:16" x14ac:dyDescent="0.25">
      <c r="A317" t="s">
        <v>0</v>
      </c>
      <c r="B317" s="1">
        <v>41974</v>
      </c>
      <c r="C317" s="1">
        <v>42369</v>
      </c>
      <c r="D317" s="4" t="s">
        <v>407</v>
      </c>
      <c r="E317" t="s">
        <v>408</v>
      </c>
      <c r="F317">
        <v>22646</v>
      </c>
      <c r="G317">
        <v>18245225</v>
      </c>
      <c r="H317" t="s">
        <v>10</v>
      </c>
      <c r="I317" t="s">
        <v>11</v>
      </c>
      <c r="J317" t="s">
        <v>12</v>
      </c>
      <c r="K317" t="s">
        <v>2910</v>
      </c>
      <c r="L317">
        <f t="shared" ca="1" si="12"/>
        <v>1</v>
      </c>
      <c r="M317" t="str">
        <f>IFERROR(INDEX('[4]31.03.2024'!$H:$H,MATCH($E317,'[4]31.03.2024'!$B:$B,0)),"Not found")</f>
        <v>Not found</v>
      </c>
      <c r="N317" t="str">
        <f>IFERROR(INDEX([2]Sheet1!$B:$B,MATCH($D317,[2]Sheet1!$A:$A,0)),"Not found")</f>
        <v>Not found</v>
      </c>
      <c r="O317">
        <f t="shared" si="13"/>
        <v>0</v>
      </c>
      <c r="P317">
        <f t="shared" si="14"/>
        <v>0</v>
      </c>
    </row>
    <row r="318" spans="1:16" x14ac:dyDescent="0.25">
      <c r="A318" t="s">
        <v>0</v>
      </c>
      <c r="B318" s="1">
        <v>41974</v>
      </c>
      <c r="C318" s="1">
        <v>42369</v>
      </c>
      <c r="D318" s="4" t="s">
        <v>409</v>
      </c>
      <c r="E318" t="s">
        <v>410</v>
      </c>
      <c r="F318">
        <v>22648</v>
      </c>
      <c r="G318">
        <v>18245161</v>
      </c>
      <c r="H318" t="s">
        <v>10</v>
      </c>
      <c r="I318" t="s">
        <v>11</v>
      </c>
      <c r="J318" t="s">
        <v>12</v>
      </c>
      <c r="K318" t="s">
        <v>2910</v>
      </c>
      <c r="L318">
        <f t="shared" ca="1" si="12"/>
        <v>1</v>
      </c>
      <c r="M318" t="str">
        <f>IFERROR(INDEX('[4]31.03.2024'!$H:$H,MATCH($E318,'[4]31.03.2024'!$B:$B,0)),"Not found")</f>
        <v>Not found</v>
      </c>
      <c r="N318" t="str">
        <f>IFERROR(INDEX([2]Sheet1!$B:$B,MATCH($D318,[2]Sheet1!$A:$A,0)),"Not found")</f>
        <v>Not found</v>
      </c>
      <c r="O318">
        <f t="shared" si="13"/>
        <v>0</v>
      </c>
      <c r="P318">
        <f t="shared" si="14"/>
        <v>0</v>
      </c>
    </row>
    <row r="319" spans="1:16" x14ac:dyDescent="0.25">
      <c r="A319" t="s">
        <v>0</v>
      </c>
      <c r="B319" s="1">
        <v>41974</v>
      </c>
      <c r="C319" s="1">
        <v>43555</v>
      </c>
      <c r="D319" s="4" t="s">
        <v>411</v>
      </c>
      <c r="E319" t="s">
        <v>412</v>
      </c>
      <c r="F319">
        <v>22649</v>
      </c>
      <c r="G319">
        <v>18158527</v>
      </c>
      <c r="H319" t="s">
        <v>10</v>
      </c>
      <c r="I319" t="s">
        <v>11</v>
      </c>
      <c r="J319" t="s">
        <v>80</v>
      </c>
      <c r="K319" t="s">
        <v>2910</v>
      </c>
      <c r="L319">
        <f t="shared" ca="1" si="12"/>
        <v>4</v>
      </c>
      <c r="M319" t="str">
        <f>IFERROR(INDEX('[4]31.03.2024'!$H:$H,MATCH($E319,'[4]31.03.2024'!$B:$B,0)),"Not found")</f>
        <v>Not found</v>
      </c>
      <c r="N319" t="str">
        <f>IFERROR(INDEX([2]Sheet1!$B:$B,MATCH($D319,[2]Sheet1!$A:$A,0)),"Not found")</f>
        <v>Not found</v>
      </c>
      <c r="O319">
        <f t="shared" si="13"/>
        <v>0</v>
      </c>
      <c r="P319">
        <f t="shared" si="14"/>
        <v>0</v>
      </c>
    </row>
    <row r="320" spans="1:16" x14ac:dyDescent="0.25">
      <c r="A320" t="s">
        <v>0</v>
      </c>
      <c r="B320" s="1">
        <v>41974</v>
      </c>
      <c r="C320" s="1">
        <v>42735</v>
      </c>
      <c r="D320" s="4" t="s">
        <v>413</v>
      </c>
      <c r="E320" t="s">
        <v>414</v>
      </c>
      <c r="F320">
        <v>22651</v>
      </c>
      <c r="G320">
        <v>17698820</v>
      </c>
      <c r="H320" t="s">
        <v>10</v>
      </c>
      <c r="I320" t="s">
        <v>11</v>
      </c>
      <c r="J320" t="s">
        <v>12</v>
      </c>
      <c r="K320" t="s">
        <v>2910</v>
      </c>
      <c r="L320">
        <f t="shared" ca="1" si="12"/>
        <v>2</v>
      </c>
      <c r="M320" t="str">
        <f>IFERROR(INDEX('[4]31.03.2024'!$H:$H,MATCH($E320,'[4]31.03.2024'!$B:$B,0)),"Not found")</f>
        <v>Not found</v>
      </c>
      <c r="N320" t="str">
        <f>IFERROR(INDEX([2]Sheet1!$B:$B,MATCH($D320,[2]Sheet1!$A:$A,0)),"Not found")</f>
        <v>Not found</v>
      </c>
      <c r="O320">
        <f t="shared" si="13"/>
        <v>0</v>
      </c>
      <c r="P320">
        <f t="shared" si="14"/>
        <v>0</v>
      </c>
    </row>
    <row r="321" spans="1:16" x14ac:dyDescent="0.25">
      <c r="A321" t="s">
        <v>2209</v>
      </c>
      <c r="B321" s="1">
        <v>41974</v>
      </c>
      <c r="C321" s="1">
        <v>44834</v>
      </c>
      <c r="D321" s="4" t="s">
        <v>419</v>
      </c>
      <c r="E321" t="s">
        <v>420</v>
      </c>
      <c r="F321">
        <v>22656</v>
      </c>
      <c r="G321">
        <v>17456960</v>
      </c>
      <c r="H321" t="s">
        <v>10</v>
      </c>
      <c r="I321" t="s">
        <v>11</v>
      </c>
      <c r="J321" t="s">
        <v>12</v>
      </c>
      <c r="K321" t="s">
        <v>2910</v>
      </c>
      <c r="L321">
        <f t="shared" ca="1" si="12"/>
        <v>7</v>
      </c>
      <c r="M321" t="str">
        <f>IFERROR(INDEX('[4]31.03.2024'!$H:$H,MATCH($E321,'[4]31.03.2024'!$B:$B,0)),"Not found")</f>
        <v>Not found</v>
      </c>
      <c r="N321" t="str">
        <f>IFERROR(INDEX([2]Sheet1!$B:$B,MATCH($D321,[2]Sheet1!$A:$A,0)),"Not found")</f>
        <v>Not found</v>
      </c>
      <c r="O321">
        <f t="shared" si="13"/>
        <v>0</v>
      </c>
      <c r="P321">
        <f t="shared" si="14"/>
        <v>0</v>
      </c>
    </row>
    <row r="322" spans="1:16" x14ac:dyDescent="0.25">
      <c r="A322" t="s">
        <v>0</v>
      </c>
      <c r="B322" s="1">
        <v>41974</v>
      </c>
      <c r="C322" s="1">
        <v>42735</v>
      </c>
      <c r="D322" s="4" t="s">
        <v>421</v>
      </c>
      <c r="E322" t="s">
        <v>422</v>
      </c>
      <c r="F322">
        <v>22661</v>
      </c>
      <c r="G322">
        <v>16351833</v>
      </c>
      <c r="H322" t="s">
        <v>10</v>
      </c>
      <c r="I322" t="s">
        <v>11</v>
      </c>
      <c r="J322" t="s">
        <v>12</v>
      </c>
      <c r="K322" t="s">
        <v>2910</v>
      </c>
      <c r="L322">
        <f t="shared" ca="1" si="12"/>
        <v>2</v>
      </c>
      <c r="M322" t="str">
        <f>IFERROR(INDEX('[4]31.03.2024'!$H:$H,MATCH($E322,'[4]31.03.2024'!$B:$B,0)),"Not found")</f>
        <v>Not found</v>
      </c>
      <c r="N322" t="str">
        <f>IFERROR(INDEX([2]Sheet1!$B:$B,MATCH($D322,[2]Sheet1!$A:$A,0)),"Not found")</f>
        <v>Not found</v>
      </c>
      <c r="O322">
        <f t="shared" si="13"/>
        <v>0</v>
      </c>
      <c r="P322">
        <f t="shared" si="14"/>
        <v>0</v>
      </c>
    </row>
    <row r="323" spans="1:16" x14ac:dyDescent="0.25">
      <c r="A323" t="s">
        <v>2209</v>
      </c>
      <c r="B323" s="1">
        <v>41974</v>
      </c>
      <c r="C323" s="1">
        <v>42735</v>
      </c>
      <c r="D323" s="4" t="s">
        <v>423</v>
      </c>
      <c r="E323" t="s">
        <v>424</v>
      </c>
      <c r="F323">
        <v>22663</v>
      </c>
      <c r="G323">
        <v>16037596</v>
      </c>
      <c r="H323" t="s">
        <v>10</v>
      </c>
      <c r="I323" t="s">
        <v>11</v>
      </c>
      <c r="J323" t="s">
        <v>12</v>
      </c>
      <c r="K323" t="s">
        <v>2910</v>
      </c>
      <c r="L323">
        <f t="shared" ref="L323:L386" ca="1" si="15">IF($K323="Continues",DATEDIF($B323,TODAY(),"Y"),DATEDIF($B323,$C323,"Y"))</f>
        <v>2</v>
      </c>
      <c r="M323" t="str">
        <f>IFERROR(INDEX('[4]31.03.2024'!$H:$H,MATCH($E323,'[4]31.03.2024'!$B:$B,0)),"Not found")</f>
        <v>Not found</v>
      </c>
      <c r="N323" t="str">
        <f>IFERROR(INDEX([2]Sheet1!$B:$B,MATCH($D323,[2]Sheet1!$A:$A,0)),"Not found")</f>
        <v>Not found</v>
      </c>
      <c r="O323">
        <f t="shared" ref="O323:O386" si="16">IF($N323="Retail",1,0)</f>
        <v>0</v>
      </c>
      <c r="P323">
        <f t="shared" ref="P323:P386" si="17">IF($N323="Non-Retail",1,0)</f>
        <v>0</v>
      </c>
    </row>
    <row r="324" spans="1:16" x14ac:dyDescent="0.25">
      <c r="A324" t="s">
        <v>0</v>
      </c>
      <c r="B324" s="1">
        <v>41974</v>
      </c>
      <c r="C324" s="1">
        <v>43465</v>
      </c>
      <c r="D324" s="4" t="s">
        <v>425</v>
      </c>
      <c r="E324" t="s">
        <v>426</v>
      </c>
      <c r="F324">
        <v>22665</v>
      </c>
      <c r="G324">
        <v>15920790</v>
      </c>
      <c r="H324" t="s">
        <v>10</v>
      </c>
      <c r="I324" t="s">
        <v>11</v>
      </c>
      <c r="J324" t="s">
        <v>12</v>
      </c>
      <c r="K324" t="s">
        <v>2910</v>
      </c>
      <c r="L324">
        <f t="shared" ca="1" si="15"/>
        <v>4</v>
      </c>
      <c r="M324" t="str">
        <f>IFERROR(INDEX('[4]31.03.2024'!$H:$H,MATCH($E324,'[4]31.03.2024'!$B:$B,0)),"Not found")</f>
        <v>Not found</v>
      </c>
      <c r="N324" t="str">
        <f>IFERROR(INDEX([2]Sheet1!$B:$B,MATCH($D324,[2]Sheet1!$A:$A,0)),"Not found")</f>
        <v>Not found</v>
      </c>
      <c r="O324">
        <f t="shared" si="16"/>
        <v>0</v>
      </c>
      <c r="P324">
        <f t="shared" si="17"/>
        <v>0</v>
      </c>
    </row>
    <row r="325" spans="1:16" x14ac:dyDescent="0.25">
      <c r="A325" t="s">
        <v>0</v>
      </c>
      <c r="B325" s="1">
        <v>41974</v>
      </c>
      <c r="C325" s="1">
        <v>42735</v>
      </c>
      <c r="D325" s="4" t="s">
        <v>433</v>
      </c>
      <c r="E325" t="s">
        <v>434</v>
      </c>
      <c r="F325">
        <v>22671</v>
      </c>
      <c r="G325">
        <v>21274115</v>
      </c>
      <c r="H325" t="s">
        <v>10</v>
      </c>
      <c r="I325" t="s">
        <v>11</v>
      </c>
      <c r="J325" t="s">
        <v>12</v>
      </c>
      <c r="K325" t="s">
        <v>2910</v>
      </c>
      <c r="L325">
        <f t="shared" ca="1" si="15"/>
        <v>2</v>
      </c>
      <c r="M325" t="str">
        <f>IFERROR(INDEX('[4]31.03.2024'!$H:$H,MATCH($E325,'[4]31.03.2024'!$B:$B,0)),"Not found")</f>
        <v>Not found</v>
      </c>
      <c r="N325" t="str">
        <f>IFERROR(INDEX([2]Sheet1!$B:$B,MATCH($D325,[2]Sheet1!$A:$A,0)),"Not found")</f>
        <v>Not found</v>
      </c>
      <c r="O325">
        <f t="shared" si="16"/>
        <v>0</v>
      </c>
      <c r="P325">
        <f t="shared" si="17"/>
        <v>0</v>
      </c>
    </row>
    <row r="326" spans="1:16" x14ac:dyDescent="0.25">
      <c r="A326" t="s">
        <v>0</v>
      </c>
      <c r="B326" s="1">
        <v>41974</v>
      </c>
      <c r="C326" s="1">
        <v>43281</v>
      </c>
      <c r="D326" s="4" t="s">
        <v>437</v>
      </c>
      <c r="E326" t="s">
        <v>438</v>
      </c>
      <c r="F326">
        <v>22680</v>
      </c>
      <c r="G326">
        <v>21153487</v>
      </c>
      <c r="H326" t="s">
        <v>10</v>
      </c>
      <c r="I326" t="s">
        <v>11</v>
      </c>
      <c r="J326" t="s">
        <v>12</v>
      </c>
      <c r="K326" t="s">
        <v>2910</v>
      </c>
      <c r="L326">
        <f t="shared" ca="1" si="15"/>
        <v>3</v>
      </c>
      <c r="M326" t="str">
        <f>IFERROR(INDEX('[4]31.03.2024'!$H:$H,MATCH($E326,'[4]31.03.2024'!$B:$B,0)),"Not found")</f>
        <v>Not found</v>
      </c>
      <c r="N326" t="str">
        <f>IFERROR(INDEX([2]Sheet1!$B:$B,MATCH($D326,[2]Sheet1!$A:$A,0)),"Not found")</f>
        <v>Not found</v>
      </c>
      <c r="O326">
        <f t="shared" si="16"/>
        <v>0</v>
      </c>
      <c r="P326">
        <f t="shared" si="17"/>
        <v>0</v>
      </c>
    </row>
    <row r="327" spans="1:16" x14ac:dyDescent="0.25">
      <c r="A327" t="s">
        <v>0</v>
      </c>
      <c r="B327" s="1">
        <v>41974</v>
      </c>
      <c r="C327" s="1">
        <v>43100</v>
      </c>
      <c r="D327" s="4" t="s">
        <v>439</v>
      </c>
      <c r="E327" t="s">
        <v>440</v>
      </c>
      <c r="F327">
        <v>22681</v>
      </c>
      <c r="G327">
        <v>21147212</v>
      </c>
      <c r="H327" t="s">
        <v>10</v>
      </c>
      <c r="I327" t="s">
        <v>11</v>
      </c>
      <c r="J327" t="s">
        <v>12</v>
      </c>
      <c r="K327" t="s">
        <v>2910</v>
      </c>
      <c r="L327">
        <f t="shared" ca="1" si="15"/>
        <v>3</v>
      </c>
      <c r="M327" t="str">
        <f>IFERROR(INDEX('[4]31.03.2024'!$H:$H,MATCH($E327,'[4]31.03.2024'!$B:$B,0)),"Not found")</f>
        <v>Not found</v>
      </c>
      <c r="N327" t="str">
        <f>IFERROR(INDEX([2]Sheet1!$B:$B,MATCH($D327,[2]Sheet1!$A:$A,0)),"Not found")</f>
        <v>Not found</v>
      </c>
      <c r="O327">
        <f t="shared" si="16"/>
        <v>0</v>
      </c>
      <c r="P327">
        <f t="shared" si="17"/>
        <v>0</v>
      </c>
    </row>
    <row r="328" spans="1:16" x14ac:dyDescent="0.25">
      <c r="A328" t="s">
        <v>0</v>
      </c>
      <c r="B328" s="1">
        <v>41974</v>
      </c>
      <c r="C328" s="1">
        <v>44196</v>
      </c>
      <c r="D328" s="4" t="s">
        <v>441</v>
      </c>
      <c r="E328" t="s">
        <v>442</v>
      </c>
      <c r="F328">
        <v>22683</v>
      </c>
      <c r="G328">
        <v>20533584</v>
      </c>
      <c r="H328" t="s">
        <v>10</v>
      </c>
      <c r="I328" t="s">
        <v>11</v>
      </c>
      <c r="J328" t="s">
        <v>12</v>
      </c>
      <c r="K328" t="s">
        <v>2910</v>
      </c>
      <c r="L328">
        <f t="shared" ca="1" si="15"/>
        <v>6</v>
      </c>
      <c r="M328" t="str">
        <f>IFERROR(INDEX('[4]31.03.2024'!$H:$H,MATCH($E328,'[4]31.03.2024'!$B:$B,0)),"Not found")</f>
        <v>Not found</v>
      </c>
      <c r="N328" t="str">
        <f>IFERROR(INDEX([2]Sheet1!$B:$B,MATCH($D328,[2]Sheet1!$A:$A,0)),"Not found")</f>
        <v>Not found</v>
      </c>
      <c r="O328">
        <f t="shared" si="16"/>
        <v>0</v>
      </c>
      <c r="P328">
        <f t="shared" si="17"/>
        <v>0</v>
      </c>
    </row>
    <row r="329" spans="1:16" x14ac:dyDescent="0.25">
      <c r="A329" t="s">
        <v>0</v>
      </c>
      <c r="B329" s="1">
        <v>41974</v>
      </c>
      <c r="C329" s="1">
        <v>43738</v>
      </c>
      <c r="D329" s="4" t="s">
        <v>445</v>
      </c>
      <c r="E329" t="s">
        <v>446</v>
      </c>
      <c r="F329">
        <v>22685</v>
      </c>
      <c r="G329">
        <v>20426674</v>
      </c>
      <c r="H329" t="s">
        <v>10</v>
      </c>
      <c r="I329" t="s">
        <v>11</v>
      </c>
      <c r="J329" t="s">
        <v>12</v>
      </c>
      <c r="K329" t="s">
        <v>2910</v>
      </c>
      <c r="L329">
        <f t="shared" ca="1" si="15"/>
        <v>4</v>
      </c>
      <c r="M329" t="str">
        <f>IFERROR(INDEX('[4]31.03.2024'!$H:$H,MATCH($E329,'[4]31.03.2024'!$B:$B,0)),"Not found")</f>
        <v>Not found</v>
      </c>
      <c r="N329" t="str">
        <f>IFERROR(INDEX([2]Sheet1!$B:$B,MATCH($D329,[2]Sheet1!$A:$A,0)),"Not found")</f>
        <v>Not found</v>
      </c>
      <c r="O329">
        <f t="shared" si="16"/>
        <v>0</v>
      </c>
      <c r="P329">
        <f t="shared" si="17"/>
        <v>0</v>
      </c>
    </row>
    <row r="330" spans="1:16" x14ac:dyDescent="0.25">
      <c r="A330" t="s">
        <v>0</v>
      </c>
      <c r="B330" s="1">
        <v>41974</v>
      </c>
      <c r="C330" s="1">
        <v>44561</v>
      </c>
      <c r="D330" s="4" t="s">
        <v>453</v>
      </c>
      <c r="E330" t="s">
        <v>454</v>
      </c>
      <c r="F330">
        <v>22692</v>
      </c>
      <c r="G330">
        <v>19853548</v>
      </c>
      <c r="H330" t="s">
        <v>10</v>
      </c>
      <c r="I330" t="s">
        <v>11</v>
      </c>
      <c r="J330" t="s">
        <v>12</v>
      </c>
      <c r="K330" t="s">
        <v>2910</v>
      </c>
      <c r="L330">
        <f t="shared" ca="1" si="15"/>
        <v>7</v>
      </c>
      <c r="M330" t="str">
        <f>IFERROR(INDEX('[4]31.03.2024'!$H:$H,MATCH($E330,'[4]31.03.2024'!$B:$B,0)),"Not found")</f>
        <v>Not found</v>
      </c>
      <c r="N330" t="str">
        <f>IFERROR(INDEX([2]Sheet1!$B:$B,MATCH($D330,[2]Sheet1!$A:$A,0)),"Not found")</f>
        <v>Not found</v>
      </c>
      <c r="O330">
        <f t="shared" si="16"/>
        <v>0</v>
      </c>
      <c r="P330">
        <f t="shared" si="17"/>
        <v>0</v>
      </c>
    </row>
    <row r="331" spans="1:16" x14ac:dyDescent="0.25">
      <c r="A331" t="s">
        <v>0</v>
      </c>
      <c r="B331" s="1">
        <v>41974</v>
      </c>
      <c r="C331" s="1">
        <v>42735</v>
      </c>
      <c r="D331" s="4" t="s">
        <v>455</v>
      </c>
      <c r="E331" t="s">
        <v>456</v>
      </c>
      <c r="F331">
        <v>22693</v>
      </c>
      <c r="G331">
        <v>19650820</v>
      </c>
      <c r="H331" t="s">
        <v>10</v>
      </c>
      <c r="I331" t="s">
        <v>11</v>
      </c>
      <c r="J331" t="s">
        <v>12</v>
      </c>
      <c r="K331" t="s">
        <v>2910</v>
      </c>
      <c r="L331">
        <f t="shared" ca="1" si="15"/>
        <v>2</v>
      </c>
      <c r="M331" t="str">
        <f>IFERROR(INDEX('[4]31.03.2024'!$H:$H,MATCH($E331,'[4]31.03.2024'!$B:$B,0)),"Not found")</f>
        <v>Not found</v>
      </c>
      <c r="N331" t="str">
        <f>IFERROR(INDEX([2]Sheet1!$B:$B,MATCH($D331,[2]Sheet1!$A:$A,0)),"Not found")</f>
        <v>Not found</v>
      </c>
      <c r="O331">
        <f t="shared" si="16"/>
        <v>0</v>
      </c>
      <c r="P331">
        <f t="shared" si="17"/>
        <v>0</v>
      </c>
    </row>
    <row r="332" spans="1:16" x14ac:dyDescent="0.25">
      <c r="A332" t="s">
        <v>0</v>
      </c>
      <c r="B332" s="1">
        <v>41974</v>
      </c>
      <c r="C332" s="1">
        <v>44104</v>
      </c>
      <c r="D332" s="4" t="s">
        <v>457</v>
      </c>
      <c r="E332" t="s">
        <v>458</v>
      </c>
      <c r="F332">
        <v>22694</v>
      </c>
      <c r="G332">
        <v>19650361</v>
      </c>
      <c r="H332" t="s">
        <v>10</v>
      </c>
      <c r="I332" t="s">
        <v>11</v>
      </c>
      <c r="J332" t="s">
        <v>12</v>
      </c>
      <c r="K332" t="s">
        <v>2910</v>
      </c>
      <c r="L332">
        <f t="shared" ca="1" si="15"/>
        <v>5</v>
      </c>
      <c r="M332" t="str">
        <f>IFERROR(INDEX('[4]31.03.2024'!$H:$H,MATCH($E332,'[4]31.03.2024'!$B:$B,0)),"Not found")</f>
        <v>Not found</v>
      </c>
      <c r="N332" t="str">
        <f>IFERROR(INDEX([2]Sheet1!$B:$B,MATCH($D332,[2]Sheet1!$A:$A,0)),"Not found")</f>
        <v>Not found</v>
      </c>
      <c r="O332">
        <f t="shared" si="16"/>
        <v>0</v>
      </c>
      <c r="P332">
        <f t="shared" si="17"/>
        <v>0</v>
      </c>
    </row>
    <row r="333" spans="1:16" x14ac:dyDescent="0.25">
      <c r="A333" t="s">
        <v>0</v>
      </c>
      <c r="B333" s="1">
        <v>41974</v>
      </c>
      <c r="C333" s="1">
        <v>44926</v>
      </c>
      <c r="D333" s="4" t="s">
        <v>463</v>
      </c>
      <c r="E333" t="s">
        <v>464</v>
      </c>
      <c r="F333">
        <v>22705</v>
      </c>
      <c r="G333">
        <v>22808019</v>
      </c>
      <c r="H333" t="s">
        <v>10</v>
      </c>
      <c r="I333" t="s">
        <v>11</v>
      </c>
      <c r="J333" t="s">
        <v>80</v>
      </c>
      <c r="K333" t="s">
        <v>2910</v>
      </c>
      <c r="L333">
        <f t="shared" ca="1" si="15"/>
        <v>8</v>
      </c>
      <c r="M333" t="str">
        <f>IFERROR(INDEX('[4]31.03.2024'!$H:$H,MATCH($E333,'[4]31.03.2024'!$B:$B,0)),"Not found")</f>
        <v>Not found</v>
      </c>
      <c r="N333" t="str">
        <f>IFERROR(INDEX([2]Sheet1!$B:$B,MATCH($D333,[2]Sheet1!$A:$A,0)),"Not found")</f>
        <v>Not found</v>
      </c>
      <c r="O333">
        <f t="shared" si="16"/>
        <v>0</v>
      </c>
      <c r="P333">
        <f t="shared" si="17"/>
        <v>0</v>
      </c>
    </row>
    <row r="334" spans="1:16" x14ac:dyDescent="0.25">
      <c r="A334" t="s">
        <v>0</v>
      </c>
      <c r="B334" s="1">
        <v>41974</v>
      </c>
      <c r="C334" s="1">
        <v>42643</v>
      </c>
      <c r="D334" s="4" t="s">
        <v>467</v>
      </c>
      <c r="E334" t="s">
        <v>468</v>
      </c>
      <c r="F334">
        <v>22707</v>
      </c>
      <c r="G334">
        <v>22713802</v>
      </c>
      <c r="H334" t="s">
        <v>10</v>
      </c>
      <c r="I334" t="s">
        <v>11</v>
      </c>
      <c r="J334" t="s">
        <v>32</v>
      </c>
      <c r="K334" t="s">
        <v>2910</v>
      </c>
      <c r="L334">
        <f t="shared" ca="1" si="15"/>
        <v>1</v>
      </c>
      <c r="M334" t="str">
        <f>IFERROR(INDEX('[4]31.03.2024'!$H:$H,MATCH($E334,'[4]31.03.2024'!$B:$B,0)),"Not found")</f>
        <v>Not found</v>
      </c>
      <c r="N334" t="str">
        <f>IFERROR(INDEX([2]Sheet1!$B:$B,MATCH($D334,[2]Sheet1!$A:$A,0)),"Not found")</f>
        <v>Not found</v>
      </c>
      <c r="O334">
        <f t="shared" si="16"/>
        <v>0</v>
      </c>
      <c r="P334">
        <f t="shared" si="17"/>
        <v>0</v>
      </c>
    </row>
    <row r="335" spans="1:16" x14ac:dyDescent="0.25">
      <c r="A335" t="s">
        <v>0</v>
      </c>
      <c r="B335" s="1">
        <v>41974</v>
      </c>
      <c r="C335" s="1">
        <v>44834</v>
      </c>
      <c r="D335" s="4" t="s">
        <v>471</v>
      </c>
      <c r="E335" t="s">
        <v>472</v>
      </c>
      <c r="F335">
        <v>22710</v>
      </c>
      <c r="G335">
        <v>22370184</v>
      </c>
      <c r="H335" t="s">
        <v>10</v>
      </c>
      <c r="I335" t="s">
        <v>11</v>
      </c>
      <c r="J335" t="s">
        <v>12</v>
      </c>
      <c r="K335" t="s">
        <v>2910</v>
      </c>
      <c r="L335">
        <f t="shared" ca="1" si="15"/>
        <v>7</v>
      </c>
      <c r="M335" t="str">
        <f>IFERROR(INDEX('[4]31.03.2024'!$H:$H,MATCH($E335,'[4]31.03.2024'!$B:$B,0)),"Not found")</f>
        <v>Not found</v>
      </c>
      <c r="N335" t="str">
        <f>IFERROR(INDEX([2]Sheet1!$B:$B,MATCH($D335,[2]Sheet1!$A:$A,0)),"Not found")</f>
        <v>Not found</v>
      </c>
      <c r="O335">
        <f t="shared" si="16"/>
        <v>0</v>
      </c>
      <c r="P335">
        <f t="shared" si="17"/>
        <v>0</v>
      </c>
    </row>
    <row r="336" spans="1:16" x14ac:dyDescent="0.25">
      <c r="A336" t="s">
        <v>0</v>
      </c>
      <c r="B336" s="1">
        <v>41974</v>
      </c>
      <c r="C336" s="1">
        <v>42369</v>
      </c>
      <c r="D336" s="4" t="s">
        <v>477</v>
      </c>
      <c r="E336" t="s">
        <v>478</v>
      </c>
      <c r="F336">
        <v>22713</v>
      </c>
      <c r="G336">
        <v>22155185</v>
      </c>
      <c r="H336" t="s">
        <v>10</v>
      </c>
      <c r="I336" t="s">
        <v>11</v>
      </c>
      <c r="J336" t="s">
        <v>32</v>
      </c>
      <c r="K336" t="s">
        <v>2910</v>
      </c>
      <c r="L336">
        <f t="shared" ca="1" si="15"/>
        <v>1</v>
      </c>
      <c r="M336" t="str">
        <f>IFERROR(INDEX('[4]31.03.2024'!$H:$H,MATCH($E336,'[4]31.03.2024'!$B:$B,0)),"Not found")</f>
        <v>Not found</v>
      </c>
      <c r="N336" t="str">
        <f>IFERROR(INDEX([2]Sheet1!$B:$B,MATCH($D336,[2]Sheet1!$A:$A,0)),"Not found")</f>
        <v>Not found</v>
      </c>
      <c r="O336">
        <f t="shared" si="16"/>
        <v>0</v>
      </c>
      <c r="P336">
        <f t="shared" si="17"/>
        <v>0</v>
      </c>
    </row>
    <row r="337" spans="1:16" x14ac:dyDescent="0.25">
      <c r="A337" t="s">
        <v>0</v>
      </c>
      <c r="B337" s="1">
        <v>41974</v>
      </c>
      <c r="C337" s="1">
        <v>43465</v>
      </c>
      <c r="D337" s="4" t="s">
        <v>479</v>
      </c>
      <c r="E337" t="s">
        <v>480</v>
      </c>
      <c r="F337">
        <v>22714</v>
      </c>
      <c r="G337">
        <v>22110817</v>
      </c>
      <c r="H337" t="s">
        <v>10</v>
      </c>
      <c r="I337" t="s">
        <v>11</v>
      </c>
      <c r="J337" t="s">
        <v>12</v>
      </c>
      <c r="K337" t="s">
        <v>2910</v>
      </c>
      <c r="L337">
        <f t="shared" ca="1" si="15"/>
        <v>4</v>
      </c>
      <c r="M337" t="str">
        <f>IFERROR(INDEX('[4]31.03.2024'!$H:$H,MATCH($E337,'[4]31.03.2024'!$B:$B,0)),"Not found")</f>
        <v>Not found</v>
      </c>
      <c r="N337" t="str">
        <f>IFERROR(INDEX([2]Sheet1!$B:$B,MATCH($D337,[2]Sheet1!$A:$A,0)),"Not found")</f>
        <v>Not found</v>
      </c>
      <c r="O337">
        <f t="shared" si="16"/>
        <v>0</v>
      </c>
      <c r="P337">
        <f t="shared" si="17"/>
        <v>0</v>
      </c>
    </row>
    <row r="338" spans="1:16" x14ac:dyDescent="0.25">
      <c r="A338" t="s">
        <v>0</v>
      </c>
      <c r="B338" s="1">
        <v>41974</v>
      </c>
      <c r="C338" s="1">
        <v>44926</v>
      </c>
      <c r="D338" s="4" t="s">
        <v>481</v>
      </c>
      <c r="E338" t="s">
        <v>482</v>
      </c>
      <c r="F338">
        <v>22715</v>
      </c>
      <c r="G338">
        <v>22068073</v>
      </c>
      <c r="H338" t="s">
        <v>10</v>
      </c>
      <c r="I338" t="s">
        <v>11</v>
      </c>
      <c r="J338" t="s">
        <v>29</v>
      </c>
      <c r="K338" t="s">
        <v>2910</v>
      </c>
      <c r="L338">
        <f t="shared" ca="1" si="15"/>
        <v>8</v>
      </c>
      <c r="M338" t="str">
        <f>IFERROR(INDEX('[4]31.03.2024'!$H:$H,MATCH($E338,'[4]31.03.2024'!$B:$B,0)),"Not found")</f>
        <v>Not found</v>
      </c>
      <c r="N338" t="str">
        <f>IFERROR(INDEX([2]Sheet1!$B:$B,MATCH($D338,[2]Sheet1!$A:$A,0)),"Not found")</f>
        <v>Not found</v>
      </c>
      <c r="O338">
        <f t="shared" si="16"/>
        <v>0</v>
      </c>
      <c r="P338">
        <f t="shared" si="17"/>
        <v>0</v>
      </c>
    </row>
    <row r="339" spans="1:16" x14ac:dyDescent="0.25">
      <c r="A339" t="s">
        <v>0</v>
      </c>
      <c r="B339" s="1">
        <v>41974</v>
      </c>
      <c r="C339" s="1">
        <v>44926</v>
      </c>
      <c r="D339" s="4" t="s">
        <v>483</v>
      </c>
      <c r="E339" t="s">
        <v>484</v>
      </c>
      <c r="F339">
        <v>22716</v>
      </c>
      <c r="G339">
        <v>22068057</v>
      </c>
      <c r="H339" t="s">
        <v>10</v>
      </c>
      <c r="I339" t="s">
        <v>11</v>
      </c>
      <c r="J339" t="s">
        <v>29</v>
      </c>
      <c r="K339" t="s">
        <v>2910</v>
      </c>
      <c r="L339">
        <f t="shared" ca="1" si="15"/>
        <v>8</v>
      </c>
      <c r="M339" t="str">
        <f>IFERROR(INDEX('[4]31.03.2024'!$H:$H,MATCH($E339,'[4]31.03.2024'!$B:$B,0)),"Not found")</f>
        <v>Not found</v>
      </c>
      <c r="N339" t="str">
        <f>IFERROR(INDEX([2]Sheet1!$B:$B,MATCH($D339,[2]Sheet1!$A:$A,0)),"Not found")</f>
        <v>Not found</v>
      </c>
      <c r="O339">
        <f t="shared" si="16"/>
        <v>0</v>
      </c>
      <c r="P339">
        <f t="shared" si="17"/>
        <v>0</v>
      </c>
    </row>
    <row r="340" spans="1:16" x14ac:dyDescent="0.25">
      <c r="A340" t="s">
        <v>0</v>
      </c>
      <c r="B340" s="1">
        <v>41974</v>
      </c>
      <c r="C340" s="1">
        <v>44196</v>
      </c>
      <c r="D340" s="4" t="s">
        <v>485</v>
      </c>
      <c r="E340" t="s">
        <v>486</v>
      </c>
      <c r="F340">
        <v>22717</v>
      </c>
      <c r="G340">
        <v>22063766</v>
      </c>
      <c r="H340" t="s">
        <v>10</v>
      </c>
      <c r="I340" t="s">
        <v>11</v>
      </c>
      <c r="J340" t="s">
        <v>32</v>
      </c>
      <c r="K340" t="s">
        <v>2910</v>
      </c>
      <c r="L340">
        <f t="shared" ca="1" si="15"/>
        <v>6</v>
      </c>
      <c r="M340" t="str">
        <f>IFERROR(INDEX('[4]31.03.2024'!$H:$H,MATCH($E340,'[4]31.03.2024'!$B:$B,0)),"Not found")</f>
        <v>Not found</v>
      </c>
      <c r="N340" t="str">
        <f>IFERROR(INDEX([2]Sheet1!$B:$B,MATCH($D340,[2]Sheet1!$A:$A,0)),"Not found")</f>
        <v>Not found</v>
      </c>
      <c r="O340">
        <f t="shared" si="16"/>
        <v>0</v>
      </c>
      <c r="P340">
        <f t="shared" si="17"/>
        <v>0</v>
      </c>
    </row>
    <row r="341" spans="1:16" x14ac:dyDescent="0.25">
      <c r="A341" t="s">
        <v>0</v>
      </c>
      <c r="B341" s="1">
        <v>41974</v>
      </c>
      <c r="C341" s="1">
        <v>43830</v>
      </c>
      <c r="D341" s="4" t="s">
        <v>489</v>
      </c>
      <c r="E341" t="s">
        <v>490</v>
      </c>
      <c r="F341">
        <v>22721</v>
      </c>
      <c r="G341">
        <v>21722408</v>
      </c>
      <c r="H341" t="s">
        <v>10</v>
      </c>
      <c r="I341" t="s">
        <v>11</v>
      </c>
      <c r="J341" t="s">
        <v>32</v>
      </c>
      <c r="K341" t="s">
        <v>2910</v>
      </c>
      <c r="L341">
        <f t="shared" ca="1" si="15"/>
        <v>5</v>
      </c>
      <c r="M341" t="str">
        <f>IFERROR(INDEX('[4]31.03.2024'!$H:$H,MATCH($E341,'[4]31.03.2024'!$B:$B,0)),"Not found")</f>
        <v>Not found</v>
      </c>
      <c r="N341" t="str">
        <f>IFERROR(INDEX([2]Sheet1!$B:$B,MATCH($D341,[2]Sheet1!$A:$A,0)),"Not found")</f>
        <v>Not found</v>
      </c>
      <c r="O341">
        <f t="shared" si="16"/>
        <v>0</v>
      </c>
      <c r="P341">
        <f t="shared" si="17"/>
        <v>0</v>
      </c>
    </row>
    <row r="342" spans="1:16" x14ac:dyDescent="0.25">
      <c r="A342" t="s">
        <v>0</v>
      </c>
      <c r="B342" s="1">
        <v>41974</v>
      </c>
      <c r="C342" s="1">
        <v>43100</v>
      </c>
      <c r="D342" s="4" t="s">
        <v>493</v>
      </c>
      <c r="E342" t="s">
        <v>494</v>
      </c>
      <c r="F342">
        <v>22723</v>
      </c>
      <c r="G342">
        <v>21616920</v>
      </c>
      <c r="H342" t="s">
        <v>10</v>
      </c>
      <c r="I342" t="s">
        <v>11</v>
      </c>
      <c r="J342" t="s">
        <v>12</v>
      </c>
      <c r="K342" t="s">
        <v>2910</v>
      </c>
      <c r="L342">
        <f t="shared" ca="1" si="15"/>
        <v>3</v>
      </c>
      <c r="M342" t="str">
        <f>IFERROR(INDEX('[4]31.03.2024'!$H:$H,MATCH($E342,'[4]31.03.2024'!$B:$B,0)),"Not found")</f>
        <v>Not found</v>
      </c>
      <c r="N342" t="str">
        <f>IFERROR(INDEX([2]Sheet1!$B:$B,MATCH($D342,[2]Sheet1!$A:$A,0)),"Not found")</f>
        <v>Not found</v>
      </c>
      <c r="O342">
        <f t="shared" si="16"/>
        <v>0</v>
      </c>
      <c r="P342">
        <f t="shared" si="17"/>
        <v>0</v>
      </c>
    </row>
    <row r="343" spans="1:16" x14ac:dyDescent="0.25">
      <c r="A343" t="s">
        <v>0</v>
      </c>
      <c r="B343" s="1">
        <v>41974</v>
      </c>
      <c r="C343" s="1">
        <v>44196</v>
      </c>
      <c r="D343" s="4" t="s">
        <v>495</v>
      </c>
      <c r="E343" t="s">
        <v>496</v>
      </c>
      <c r="F343">
        <v>22724</v>
      </c>
      <c r="G343">
        <v>21616912</v>
      </c>
      <c r="H343" t="s">
        <v>10</v>
      </c>
      <c r="I343" t="s">
        <v>11</v>
      </c>
      <c r="J343" t="s">
        <v>12</v>
      </c>
      <c r="K343" t="s">
        <v>2910</v>
      </c>
      <c r="L343">
        <f t="shared" ca="1" si="15"/>
        <v>6</v>
      </c>
      <c r="M343" t="str">
        <f>IFERROR(INDEX('[4]31.03.2024'!$H:$H,MATCH($E343,'[4]31.03.2024'!$B:$B,0)),"Not found")</f>
        <v>Not found</v>
      </c>
      <c r="N343" t="str">
        <f>IFERROR(INDEX([2]Sheet1!$B:$B,MATCH($D343,[2]Sheet1!$A:$A,0)),"Not found")</f>
        <v>Not found</v>
      </c>
      <c r="O343">
        <f t="shared" si="16"/>
        <v>0</v>
      </c>
      <c r="P343">
        <f t="shared" si="17"/>
        <v>0</v>
      </c>
    </row>
    <row r="344" spans="1:16" x14ac:dyDescent="0.25">
      <c r="A344" t="s">
        <v>0</v>
      </c>
      <c r="B344" s="1">
        <v>41974</v>
      </c>
      <c r="C344" s="1">
        <v>44196</v>
      </c>
      <c r="D344" s="4" t="s">
        <v>497</v>
      </c>
      <c r="E344" t="s">
        <v>498</v>
      </c>
      <c r="F344">
        <v>22725</v>
      </c>
      <c r="G344">
        <v>21616904</v>
      </c>
      <c r="H344" t="s">
        <v>10</v>
      </c>
      <c r="I344" t="s">
        <v>11</v>
      </c>
      <c r="J344" t="s">
        <v>12</v>
      </c>
      <c r="K344" t="s">
        <v>2910</v>
      </c>
      <c r="L344">
        <f t="shared" ca="1" si="15"/>
        <v>6</v>
      </c>
      <c r="M344" t="str">
        <f>IFERROR(INDEX('[4]31.03.2024'!$H:$H,MATCH($E344,'[4]31.03.2024'!$B:$B,0)),"Not found")</f>
        <v>Not found</v>
      </c>
      <c r="N344" t="str">
        <f>IFERROR(INDEX([2]Sheet1!$B:$B,MATCH($D344,[2]Sheet1!$A:$A,0)),"Not found")</f>
        <v>Not found</v>
      </c>
      <c r="O344">
        <f t="shared" si="16"/>
        <v>0</v>
      </c>
      <c r="P344">
        <f t="shared" si="17"/>
        <v>0</v>
      </c>
    </row>
    <row r="345" spans="1:16" x14ac:dyDescent="0.25">
      <c r="A345" t="s">
        <v>0</v>
      </c>
      <c r="B345" s="1">
        <v>41974</v>
      </c>
      <c r="C345" s="1">
        <v>44196</v>
      </c>
      <c r="D345" s="4" t="s">
        <v>499</v>
      </c>
      <c r="E345" t="s">
        <v>500</v>
      </c>
      <c r="F345">
        <v>22726</v>
      </c>
      <c r="G345">
        <v>21616891</v>
      </c>
      <c r="H345" t="s">
        <v>10</v>
      </c>
      <c r="I345" t="s">
        <v>11</v>
      </c>
      <c r="J345" t="s">
        <v>12</v>
      </c>
      <c r="K345" t="s">
        <v>2910</v>
      </c>
      <c r="L345">
        <f t="shared" ca="1" si="15"/>
        <v>6</v>
      </c>
      <c r="M345" t="str">
        <f>IFERROR(INDEX('[4]31.03.2024'!$H:$H,MATCH($E345,'[4]31.03.2024'!$B:$B,0)),"Not found")</f>
        <v>Not found</v>
      </c>
      <c r="N345" t="str">
        <f>IFERROR(INDEX([2]Sheet1!$B:$B,MATCH($D345,[2]Sheet1!$A:$A,0)),"Not found")</f>
        <v>Not found</v>
      </c>
      <c r="O345">
        <f t="shared" si="16"/>
        <v>0</v>
      </c>
      <c r="P345">
        <f t="shared" si="17"/>
        <v>0</v>
      </c>
    </row>
    <row r="346" spans="1:16" x14ac:dyDescent="0.25">
      <c r="A346" t="s">
        <v>0</v>
      </c>
      <c r="B346" s="1">
        <v>41974</v>
      </c>
      <c r="C346" s="1">
        <v>44196</v>
      </c>
      <c r="D346" s="4" t="s">
        <v>501</v>
      </c>
      <c r="E346" t="s">
        <v>502</v>
      </c>
      <c r="F346">
        <v>22727</v>
      </c>
      <c r="G346">
        <v>21616883</v>
      </c>
      <c r="H346" t="s">
        <v>10</v>
      </c>
      <c r="I346" t="s">
        <v>11</v>
      </c>
      <c r="J346" t="s">
        <v>12</v>
      </c>
      <c r="K346" t="s">
        <v>2910</v>
      </c>
      <c r="L346">
        <f t="shared" ca="1" si="15"/>
        <v>6</v>
      </c>
      <c r="M346" t="str">
        <f>IFERROR(INDEX('[4]31.03.2024'!$H:$H,MATCH($E346,'[4]31.03.2024'!$B:$B,0)),"Not found")</f>
        <v>Not found</v>
      </c>
      <c r="N346" t="str">
        <f>IFERROR(INDEX([2]Sheet1!$B:$B,MATCH($D346,[2]Sheet1!$A:$A,0)),"Not found")</f>
        <v>Not found</v>
      </c>
      <c r="O346">
        <f t="shared" si="16"/>
        <v>0</v>
      </c>
      <c r="P346">
        <f t="shared" si="17"/>
        <v>0</v>
      </c>
    </row>
    <row r="347" spans="1:16" x14ac:dyDescent="0.25">
      <c r="A347" t="s">
        <v>0</v>
      </c>
      <c r="B347" s="1">
        <v>41974</v>
      </c>
      <c r="C347" s="1">
        <v>44196</v>
      </c>
      <c r="D347" s="4" t="s">
        <v>503</v>
      </c>
      <c r="E347" t="s">
        <v>504</v>
      </c>
      <c r="F347">
        <v>22728</v>
      </c>
      <c r="G347">
        <v>21616875</v>
      </c>
      <c r="H347" t="s">
        <v>10</v>
      </c>
      <c r="I347" t="s">
        <v>11</v>
      </c>
      <c r="J347" t="s">
        <v>12</v>
      </c>
      <c r="K347" t="s">
        <v>2910</v>
      </c>
      <c r="L347">
        <f t="shared" ca="1" si="15"/>
        <v>6</v>
      </c>
      <c r="M347" t="str">
        <f>IFERROR(INDEX('[4]31.03.2024'!$H:$H,MATCH($E347,'[4]31.03.2024'!$B:$B,0)),"Not found")</f>
        <v>Not found</v>
      </c>
      <c r="N347" t="str">
        <f>IFERROR(INDEX([2]Sheet1!$B:$B,MATCH($D347,[2]Sheet1!$A:$A,0)),"Not found")</f>
        <v>Not found</v>
      </c>
      <c r="O347">
        <f t="shared" si="16"/>
        <v>0</v>
      </c>
      <c r="P347">
        <f t="shared" si="17"/>
        <v>0</v>
      </c>
    </row>
    <row r="348" spans="1:16" x14ac:dyDescent="0.25">
      <c r="A348" t="s">
        <v>0</v>
      </c>
      <c r="B348" s="1">
        <v>41974</v>
      </c>
      <c r="C348" s="1">
        <v>43465</v>
      </c>
      <c r="D348" s="4" t="s">
        <v>511</v>
      </c>
      <c r="E348" t="s">
        <v>512</v>
      </c>
      <c r="F348">
        <v>22734</v>
      </c>
      <c r="G348">
        <v>24795282</v>
      </c>
      <c r="H348" t="s">
        <v>10</v>
      </c>
      <c r="I348" t="s">
        <v>11</v>
      </c>
      <c r="J348" t="s">
        <v>32</v>
      </c>
      <c r="K348" t="s">
        <v>2910</v>
      </c>
      <c r="L348">
        <f t="shared" ca="1" si="15"/>
        <v>4</v>
      </c>
      <c r="M348" t="str">
        <f>IFERROR(INDEX('[4]31.03.2024'!$H:$H,MATCH($E348,'[4]31.03.2024'!$B:$B,0)),"Not found")</f>
        <v>Not found</v>
      </c>
      <c r="N348" t="str">
        <f>IFERROR(INDEX([2]Sheet1!$B:$B,MATCH($D348,[2]Sheet1!$A:$A,0)),"Not found")</f>
        <v>Not found</v>
      </c>
      <c r="O348">
        <f t="shared" si="16"/>
        <v>0</v>
      </c>
      <c r="P348">
        <f t="shared" si="17"/>
        <v>0</v>
      </c>
    </row>
    <row r="349" spans="1:16" x14ac:dyDescent="0.25">
      <c r="A349" t="s">
        <v>0</v>
      </c>
      <c r="B349" s="1">
        <v>41974</v>
      </c>
      <c r="C349" s="1">
        <v>45016</v>
      </c>
      <c r="D349" s="4" t="s">
        <v>15</v>
      </c>
      <c r="E349" t="s">
        <v>16</v>
      </c>
      <c r="F349">
        <v>22737</v>
      </c>
      <c r="G349">
        <v>24732572</v>
      </c>
      <c r="H349" t="s">
        <v>10</v>
      </c>
      <c r="I349" t="s">
        <v>11</v>
      </c>
      <c r="J349" t="s">
        <v>12</v>
      </c>
      <c r="K349" t="s">
        <v>2910</v>
      </c>
      <c r="L349">
        <f t="shared" ca="1" si="15"/>
        <v>8</v>
      </c>
      <c r="M349" t="str">
        <f>IFERROR(INDEX('[4]31.03.2024'!$H:$H,MATCH($E349,'[4]31.03.2024'!$B:$B,0)),"Not found")</f>
        <v>Not found</v>
      </c>
      <c r="N349" t="str">
        <f>IFERROR(INDEX([2]Sheet1!$B:$B,MATCH($D349,[2]Sheet1!$A:$A,0)),"Not found")</f>
        <v>Not found</v>
      </c>
      <c r="O349">
        <f t="shared" si="16"/>
        <v>0</v>
      </c>
      <c r="P349">
        <f t="shared" si="17"/>
        <v>0</v>
      </c>
    </row>
    <row r="350" spans="1:16" x14ac:dyDescent="0.25">
      <c r="A350" t="s">
        <v>0</v>
      </c>
      <c r="B350" s="1">
        <v>41974</v>
      </c>
      <c r="C350" s="1">
        <v>43830</v>
      </c>
      <c r="D350" s="4" t="s">
        <v>513</v>
      </c>
      <c r="E350" t="s">
        <v>514</v>
      </c>
      <c r="F350">
        <v>22738</v>
      </c>
      <c r="G350">
        <v>24729146</v>
      </c>
      <c r="H350" t="s">
        <v>10</v>
      </c>
      <c r="I350" t="s">
        <v>11</v>
      </c>
      <c r="J350" t="s">
        <v>32</v>
      </c>
      <c r="K350" t="s">
        <v>2910</v>
      </c>
      <c r="L350">
        <f t="shared" ca="1" si="15"/>
        <v>5</v>
      </c>
      <c r="M350" t="str">
        <f>IFERROR(INDEX('[4]31.03.2024'!$H:$H,MATCH($E350,'[4]31.03.2024'!$B:$B,0)),"Not found")</f>
        <v>Not found</v>
      </c>
      <c r="N350" t="str">
        <f>IFERROR(INDEX([2]Sheet1!$B:$B,MATCH($D350,[2]Sheet1!$A:$A,0)),"Not found")</f>
        <v>Not found</v>
      </c>
      <c r="O350">
        <f t="shared" si="16"/>
        <v>0</v>
      </c>
      <c r="P350">
        <f t="shared" si="17"/>
        <v>0</v>
      </c>
    </row>
    <row r="351" spans="1:16" x14ac:dyDescent="0.25">
      <c r="A351" t="s">
        <v>0</v>
      </c>
      <c r="B351" s="1">
        <v>41974</v>
      </c>
      <c r="C351" s="1">
        <v>45107</v>
      </c>
      <c r="D351" s="4" t="s">
        <v>17</v>
      </c>
      <c r="E351" t="s">
        <v>523</v>
      </c>
      <c r="F351">
        <v>22746</v>
      </c>
      <c r="G351">
        <v>24070919</v>
      </c>
      <c r="H351" t="s">
        <v>10</v>
      </c>
      <c r="I351" t="s">
        <v>11</v>
      </c>
      <c r="J351" t="s">
        <v>12</v>
      </c>
      <c r="K351" t="s">
        <v>2910</v>
      </c>
      <c r="L351">
        <f t="shared" ca="1" si="15"/>
        <v>8</v>
      </c>
      <c r="M351" t="str">
        <f>IFERROR(INDEX('[4]31.03.2024'!$H:$H,MATCH($E351,'[4]31.03.2024'!$B:$B,0)),"Not found")</f>
        <v>Not found</v>
      </c>
      <c r="N351" t="str">
        <f>IFERROR(INDEX([2]Sheet1!$B:$B,MATCH($D351,[2]Sheet1!$A:$A,0)),"Not found")</f>
        <v>Not found</v>
      </c>
      <c r="O351">
        <f t="shared" si="16"/>
        <v>0</v>
      </c>
      <c r="P351">
        <f t="shared" si="17"/>
        <v>0</v>
      </c>
    </row>
    <row r="352" spans="1:16" x14ac:dyDescent="0.25">
      <c r="A352" t="s">
        <v>0</v>
      </c>
      <c r="B352" s="1">
        <v>41974</v>
      </c>
      <c r="C352" s="1">
        <v>44926</v>
      </c>
      <c r="D352" s="4" t="s">
        <v>524</v>
      </c>
      <c r="E352" t="s">
        <v>525</v>
      </c>
      <c r="F352">
        <v>22747</v>
      </c>
      <c r="G352">
        <v>24065212</v>
      </c>
      <c r="H352" t="s">
        <v>10</v>
      </c>
      <c r="I352" t="s">
        <v>11</v>
      </c>
      <c r="J352" t="s">
        <v>12</v>
      </c>
      <c r="K352" t="s">
        <v>2910</v>
      </c>
      <c r="L352">
        <f t="shared" ca="1" si="15"/>
        <v>8</v>
      </c>
      <c r="M352" t="str">
        <f>IFERROR(INDEX('[4]31.03.2024'!$H:$H,MATCH($E352,'[4]31.03.2024'!$B:$B,0)),"Not found")</f>
        <v>Not found</v>
      </c>
      <c r="N352" t="str">
        <f>IFERROR(INDEX([2]Sheet1!$B:$B,MATCH($D352,[2]Sheet1!$A:$A,0)),"Not found")</f>
        <v>Not found</v>
      </c>
      <c r="O352">
        <f t="shared" si="16"/>
        <v>0</v>
      </c>
      <c r="P352">
        <f t="shared" si="17"/>
        <v>0</v>
      </c>
    </row>
    <row r="353" spans="1:16" x14ac:dyDescent="0.25">
      <c r="A353" t="s">
        <v>0</v>
      </c>
      <c r="B353" s="1">
        <v>41974</v>
      </c>
      <c r="C353" s="1">
        <v>44926</v>
      </c>
      <c r="D353" s="4" t="s">
        <v>530</v>
      </c>
      <c r="E353" t="s">
        <v>531</v>
      </c>
      <c r="F353">
        <v>22776</v>
      </c>
      <c r="G353">
        <v>21032044</v>
      </c>
      <c r="H353" t="s">
        <v>10</v>
      </c>
      <c r="I353" t="s">
        <v>11</v>
      </c>
      <c r="J353" t="s">
        <v>12</v>
      </c>
      <c r="K353" t="s">
        <v>2910</v>
      </c>
      <c r="L353">
        <f t="shared" ca="1" si="15"/>
        <v>8</v>
      </c>
      <c r="M353" t="str">
        <f>IFERROR(INDEX('[4]31.03.2024'!$H:$H,MATCH($E353,'[4]31.03.2024'!$B:$B,0)),"Not found")</f>
        <v>Not found</v>
      </c>
      <c r="N353" t="str">
        <f>IFERROR(INDEX([2]Sheet1!$B:$B,MATCH($D353,[2]Sheet1!$A:$A,0)),"Not found")</f>
        <v>Not found</v>
      </c>
      <c r="O353">
        <f t="shared" si="16"/>
        <v>0</v>
      </c>
      <c r="P353">
        <f t="shared" si="17"/>
        <v>0</v>
      </c>
    </row>
    <row r="354" spans="1:16" x14ac:dyDescent="0.25">
      <c r="A354" t="s">
        <v>0</v>
      </c>
      <c r="B354" s="1">
        <v>41671</v>
      </c>
      <c r="C354" s="1">
        <v>43799</v>
      </c>
      <c r="D354" s="4" t="s">
        <v>538</v>
      </c>
      <c r="E354" t="s">
        <v>539</v>
      </c>
      <c r="F354">
        <v>22920</v>
      </c>
      <c r="G354">
        <v>26060183</v>
      </c>
      <c r="H354" t="s">
        <v>10</v>
      </c>
      <c r="I354" t="s">
        <v>4</v>
      </c>
      <c r="J354" t="s">
        <v>20</v>
      </c>
      <c r="K354" t="s">
        <v>2911</v>
      </c>
      <c r="L354">
        <f t="shared" ca="1" si="15"/>
        <v>5</v>
      </c>
      <c r="M354" t="str">
        <f>IFERROR(INDEX('[4]31.03.2024'!$H:$H,MATCH($E354,'[4]31.03.2024'!$B:$B,0)),"Not found")</f>
        <v>Not found</v>
      </c>
      <c r="N354" t="str">
        <f>IFERROR(INDEX([2]Sheet1!$B:$B,MATCH($D354,[2]Sheet1!$A:$A,0)),"Not found")</f>
        <v>Not found</v>
      </c>
      <c r="O354">
        <f t="shared" si="16"/>
        <v>0</v>
      </c>
      <c r="P354">
        <f t="shared" si="17"/>
        <v>0</v>
      </c>
    </row>
    <row r="355" spans="1:16" x14ac:dyDescent="0.25">
      <c r="A355" t="s">
        <v>0</v>
      </c>
      <c r="B355" s="1">
        <v>41730</v>
      </c>
      <c r="C355" s="1">
        <v>43524</v>
      </c>
      <c r="D355" s="4" t="s">
        <v>548</v>
      </c>
      <c r="E355" t="s">
        <v>549</v>
      </c>
      <c r="F355">
        <v>23092</v>
      </c>
      <c r="G355">
        <v>26135261</v>
      </c>
      <c r="H355" t="s">
        <v>10</v>
      </c>
      <c r="I355" t="s">
        <v>4</v>
      </c>
      <c r="J355" t="s">
        <v>5</v>
      </c>
      <c r="K355" t="s">
        <v>2911</v>
      </c>
      <c r="L355">
        <f t="shared" ca="1" si="15"/>
        <v>4</v>
      </c>
      <c r="M355" t="str">
        <f>IFERROR(INDEX('[4]31.03.2024'!$H:$H,MATCH($E355,'[4]31.03.2024'!$B:$B,0)),"Not found")</f>
        <v>Not found</v>
      </c>
      <c r="N355" t="str">
        <f>IFERROR(INDEX([2]Sheet1!$B:$B,MATCH($D355,[2]Sheet1!$A:$A,0)),"Not found")</f>
        <v>Not found</v>
      </c>
      <c r="O355">
        <f t="shared" si="16"/>
        <v>0</v>
      </c>
      <c r="P355">
        <f t="shared" si="17"/>
        <v>0</v>
      </c>
    </row>
    <row r="356" spans="1:16" x14ac:dyDescent="0.25">
      <c r="A356" t="s">
        <v>0</v>
      </c>
      <c r="B356" s="1">
        <v>41791</v>
      </c>
      <c r="C356" s="1">
        <v>45382</v>
      </c>
      <c r="D356" s="4" t="s">
        <v>235</v>
      </c>
      <c r="E356" t="s">
        <v>236</v>
      </c>
      <c r="F356">
        <v>23094</v>
      </c>
      <c r="G356">
        <v>26229209</v>
      </c>
      <c r="H356" t="s">
        <v>10</v>
      </c>
      <c r="I356" t="s">
        <v>4</v>
      </c>
      <c r="J356" t="s">
        <v>20</v>
      </c>
      <c r="K356" t="s">
        <v>2911</v>
      </c>
      <c r="L356">
        <f t="shared" ca="1" si="15"/>
        <v>9</v>
      </c>
      <c r="M356" t="str">
        <f>IFERROR(INDEX('[4]31.03.2024'!$H:$H,MATCH($E356,'[4]31.03.2024'!$B:$B,0)),"Not found")</f>
        <v>Not found</v>
      </c>
      <c r="N356" t="str">
        <f>IFERROR(INDEX([2]Sheet1!$B:$B,MATCH($D356,[2]Sheet1!$A:$A,0)),"Not found")</f>
        <v>Retail</v>
      </c>
      <c r="O356">
        <f t="shared" si="16"/>
        <v>1</v>
      </c>
      <c r="P356">
        <f t="shared" si="17"/>
        <v>0</v>
      </c>
    </row>
    <row r="357" spans="1:16" x14ac:dyDescent="0.25">
      <c r="A357" t="s">
        <v>0</v>
      </c>
      <c r="B357" s="1">
        <v>41883</v>
      </c>
      <c r="C357" s="1">
        <v>43708</v>
      </c>
      <c r="D357" s="4" t="s">
        <v>554</v>
      </c>
      <c r="E357" t="s">
        <v>555</v>
      </c>
      <c r="F357">
        <v>23100</v>
      </c>
      <c r="G357">
        <v>26134808</v>
      </c>
      <c r="H357" t="s">
        <v>3</v>
      </c>
      <c r="I357" t="s">
        <v>4</v>
      </c>
      <c r="J357" t="s">
        <v>20</v>
      </c>
      <c r="K357" t="s">
        <v>2911</v>
      </c>
      <c r="L357">
        <f t="shared" ca="1" si="15"/>
        <v>4</v>
      </c>
      <c r="M357" t="str">
        <f>IFERROR(INDEX('[4]31.03.2024'!$H:$H,MATCH($E357,'[4]31.03.2024'!$B:$B,0)),"Not found")</f>
        <v>Not found</v>
      </c>
      <c r="N357" t="str">
        <f>IFERROR(INDEX([2]Sheet1!$B:$B,MATCH($D357,[2]Sheet1!$A:$A,0)),"Not found")</f>
        <v>Not found</v>
      </c>
      <c r="O357">
        <f t="shared" si="16"/>
        <v>0</v>
      </c>
      <c r="P357">
        <f t="shared" si="17"/>
        <v>0</v>
      </c>
    </row>
    <row r="358" spans="1:16" x14ac:dyDescent="0.25">
      <c r="A358" t="s">
        <v>0</v>
      </c>
      <c r="B358" s="1">
        <v>41791</v>
      </c>
      <c r="C358" s="1">
        <v>45291</v>
      </c>
      <c r="D358" s="4" t="s">
        <v>18</v>
      </c>
      <c r="E358" t="s">
        <v>19</v>
      </c>
      <c r="F358">
        <v>23227</v>
      </c>
      <c r="G358">
        <v>26186085</v>
      </c>
      <c r="H358" t="s">
        <v>3</v>
      </c>
      <c r="I358" t="s">
        <v>4</v>
      </c>
      <c r="J358" t="s">
        <v>20</v>
      </c>
      <c r="K358" t="s">
        <v>2911</v>
      </c>
      <c r="L358">
        <f t="shared" ca="1" si="15"/>
        <v>9</v>
      </c>
      <c r="M358" t="str">
        <f>IFERROR(INDEX('[4]31.03.2024'!$H:$H,MATCH($E358,'[4]31.03.2024'!$B:$B,0)),"Not found")</f>
        <v>Not found</v>
      </c>
      <c r="N358" t="str">
        <f>IFERROR(INDEX([2]Sheet1!$B:$B,MATCH($D358,[2]Sheet1!$A:$A,0)),"Not found")</f>
        <v>Not found</v>
      </c>
      <c r="O358">
        <f t="shared" si="16"/>
        <v>0</v>
      </c>
      <c r="P358">
        <f t="shared" si="17"/>
        <v>0</v>
      </c>
    </row>
    <row r="359" spans="1:16" x14ac:dyDescent="0.25">
      <c r="A359" t="s">
        <v>0</v>
      </c>
      <c r="B359" s="1">
        <v>41883</v>
      </c>
      <c r="C359" s="1">
        <v>43799</v>
      </c>
      <c r="D359" s="4" t="s">
        <v>560</v>
      </c>
      <c r="E359" t="s">
        <v>561</v>
      </c>
      <c r="F359">
        <v>23319</v>
      </c>
      <c r="G359">
        <v>24076157</v>
      </c>
      <c r="H359" t="s">
        <v>3</v>
      </c>
      <c r="I359" t="s">
        <v>4</v>
      </c>
      <c r="J359" t="s">
        <v>20</v>
      </c>
      <c r="K359" t="s">
        <v>2911</v>
      </c>
      <c r="L359">
        <f t="shared" ca="1" si="15"/>
        <v>5</v>
      </c>
      <c r="M359" t="str">
        <f>IFERROR(INDEX('[4]31.03.2024'!$H:$H,MATCH($E359,'[4]31.03.2024'!$B:$B,0)),"Not found")</f>
        <v>Not found</v>
      </c>
      <c r="N359" t="str">
        <f>IFERROR(INDEX([2]Sheet1!$B:$B,MATCH($D359,[2]Sheet1!$A:$A,0)),"Not found")</f>
        <v>Not found</v>
      </c>
      <c r="O359">
        <f t="shared" si="16"/>
        <v>0</v>
      </c>
      <c r="P359">
        <f t="shared" si="17"/>
        <v>0</v>
      </c>
    </row>
    <row r="360" spans="1:16" x14ac:dyDescent="0.25">
      <c r="A360" t="s">
        <v>0</v>
      </c>
      <c r="B360" s="1">
        <v>41852</v>
      </c>
      <c r="C360" s="1">
        <v>43404</v>
      </c>
      <c r="D360" s="4" t="s">
        <v>562</v>
      </c>
      <c r="E360" t="s">
        <v>563</v>
      </c>
      <c r="F360">
        <v>23462</v>
      </c>
      <c r="G360">
        <v>26138155</v>
      </c>
      <c r="H360" t="s">
        <v>10</v>
      </c>
      <c r="I360" t="s">
        <v>4</v>
      </c>
      <c r="J360" t="s">
        <v>47</v>
      </c>
      <c r="K360" t="s">
        <v>2910</v>
      </c>
      <c r="L360">
        <f t="shared" ca="1" si="15"/>
        <v>4</v>
      </c>
      <c r="M360" t="str">
        <f>IFERROR(INDEX('[4]31.03.2024'!$H:$H,MATCH($E360,'[4]31.03.2024'!$B:$B,0)),"Not found")</f>
        <v>Not found</v>
      </c>
      <c r="N360" t="str">
        <f>IFERROR(INDEX([2]Sheet1!$B:$B,MATCH($D360,[2]Sheet1!$A:$A,0)),"Not found")</f>
        <v>Not found</v>
      </c>
      <c r="O360">
        <f t="shared" si="16"/>
        <v>0</v>
      </c>
      <c r="P360">
        <f t="shared" si="17"/>
        <v>0</v>
      </c>
    </row>
    <row r="361" spans="1:16" x14ac:dyDescent="0.25">
      <c r="A361" t="s">
        <v>0</v>
      </c>
      <c r="B361" s="1">
        <v>41974</v>
      </c>
      <c r="C361" s="1">
        <v>43830</v>
      </c>
      <c r="D361" s="4" t="s">
        <v>568</v>
      </c>
      <c r="E361" t="s">
        <v>569</v>
      </c>
      <c r="F361">
        <v>23538</v>
      </c>
      <c r="G361">
        <v>25361742</v>
      </c>
      <c r="H361" t="s">
        <v>10</v>
      </c>
      <c r="I361" t="s">
        <v>11</v>
      </c>
      <c r="J361" t="s">
        <v>32</v>
      </c>
      <c r="K361" t="s">
        <v>2910</v>
      </c>
      <c r="L361">
        <f t="shared" ca="1" si="15"/>
        <v>5</v>
      </c>
      <c r="M361" t="str">
        <f>IFERROR(INDEX('[4]31.03.2024'!$H:$H,MATCH($E361,'[4]31.03.2024'!$B:$B,0)),"Not found")</f>
        <v>Not found</v>
      </c>
      <c r="N361" t="str">
        <f>IFERROR(INDEX([2]Sheet1!$B:$B,MATCH($D361,[2]Sheet1!$A:$A,0)),"Not found")</f>
        <v>Not found</v>
      </c>
      <c r="O361">
        <f t="shared" si="16"/>
        <v>0</v>
      </c>
      <c r="P361">
        <f t="shared" si="17"/>
        <v>0</v>
      </c>
    </row>
    <row r="362" spans="1:16" x14ac:dyDescent="0.25">
      <c r="A362" t="s">
        <v>0</v>
      </c>
      <c r="B362" s="1">
        <v>41974</v>
      </c>
      <c r="C362" s="1">
        <v>42521</v>
      </c>
      <c r="D362" s="4" t="s">
        <v>570</v>
      </c>
      <c r="E362" t="s">
        <v>571</v>
      </c>
      <c r="F362">
        <v>23540</v>
      </c>
      <c r="G362">
        <v>25934387</v>
      </c>
      <c r="H362" t="s">
        <v>10</v>
      </c>
      <c r="I362" t="s">
        <v>11</v>
      </c>
      <c r="J362" t="s">
        <v>47</v>
      </c>
      <c r="K362" t="s">
        <v>2910</v>
      </c>
      <c r="L362">
        <f t="shared" ca="1" si="15"/>
        <v>1</v>
      </c>
      <c r="M362" t="str">
        <f>IFERROR(INDEX('[4]31.03.2024'!$H:$H,MATCH($E362,'[4]31.03.2024'!$B:$B,0)),"Not found")</f>
        <v>Not found</v>
      </c>
      <c r="N362" t="str">
        <f>IFERROR(INDEX([2]Sheet1!$B:$B,MATCH($D362,[2]Sheet1!$A:$A,0)),"Not found")</f>
        <v>Not found</v>
      </c>
      <c r="O362">
        <f t="shared" si="16"/>
        <v>0</v>
      </c>
      <c r="P362">
        <f t="shared" si="17"/>
        <v>0</v>
      </c>
    </row>
    <row r="363" spans="1:16" x14ac:dyDescent="0.25">
      <c r="A363" t="s">
        <v>0</v>
      </c>
      <c r="B363" s="1">
        <v>41883</v>
      </c>
      <c r="C363" s="1">
        <v>43465</v>
      </c>
      <c r="D363" s="4" t="s">
        <v>574</v>
      </c>
      <c r="E363" t="s">
        <v>575</v>
      </c>
      <c r="F363">
        <v>23647</v>
      </c>
      <c r="G363">
        <v>26373956</v>
      </c>
      <c r="H363" t="s">
        <v>3</v>
      </c>
      <c r="I363" t="s">
        <v>4</v>
      </c>
      <c r="J363" t="s">
        <v>50</v>
      </c>
      <c r="K363" t="s">
        <v>2911</v>
      </c>
      <c r="L363">
        <f t="shared" ca="1" si="15"/>
        <v>4</v>
      </c>
      <c r="M363" t="str">
        <f>IFERROR(INDEX('[4]31.03.2024'!$H:$H,MATCH($E363,'[4]31.03.2024'!$B:$B,0)),"Not found")</f>
        <v>Not found</v>
      </c>
      <c r="N363" t="str">
        <f>IFERROR(INDEX([2]Sheet1!$B:$B,MATCH($D363,[2]Sheet1!$A:$A,0)),"Not found")</f>
        <v>Not found</v>
      </c>
      <c r="O363">
        <f t="shared" si="16"/>
        <v>0</v>
      </c>
      <c r="P363">
        <f t="shared" si="17"/>
        <v>0</v>
      </c>
    </row>
    <row r="364" spans="1:16" x14ac:dyDescent="0.25">
      <c r="A364" t="s">
        <v>0</v>
      </c>
      <c r="B364" s="1">
        <v>41883</v>
      </c>
      <c r="C364" s="1">
        <v>43465</v>
      </c>
      <c r="D364" s="4" t="s">
        <v>576</v>
      </c>
      <c r="E364" t="s">
        <v>577</v>
      </c>
      <c r="F364">
        <v>23648</v>
      </c>
      <c r="G364">
        <v>26370034</v>
      </c>
      <c r="H364" t="s">
        <v>3</v>
      </c>
      <c r="I364" t="s">
        <v>4</v>
      </c>
      <c r="J364" t="s">
        <v>20</v>
      </c>
      <c r="K364" t="s">
        <v>2911</v>
      </c>
      <c r="L364">
        <f t="shared" ca="1" si="15"/>
        <v>4</v>
      </c>
      <c r="M364" t="str">
        <f>IFERROR(INDEX('[4]31.03.2024'!$H:$H,MATCH($E364,'[4]31.03.2024'!$B:$B,0)),"Not found")</f>
        <v>Not found</v>
      </c>
      <c r="N364" t="str">
        <f>IFERROR(INDEX([2]Sheet1!$B:$B,MATCH($D364,[2]Sheet1!$A:$A,0)),"Not found")</f>
        <v>Not found</v>
      </c>
      <c r="O364">
        <f t="shared" si="16"/>
        <v>0</v>
      </c>
      <c r="P364">
        <f t="shared" si="17"/>
        <v>0</v>
      </c>
    </row>
    <row r="365" spans="1:16" x14ac:dyDescent="0.25">
      <c r="A365" t="s">
        <v>0</v>
      </c>
      <c r="B365" s="1">
        <v>42005</v>
      </c>
      <c r="C365" s="1">
        <v>44255</v>
      </c>
      <c r="D365" s="4" t="s">
        <v>580</v>
      </c>
      <c r="E365" t="s">
        <v>581</v>
      </c>
      <c r="F365">
        <v>23741</v>
      </c>
      <c r="G365">
        <v>26328864</v>
      </c>
      <c r="H365" t="s">
        <v>3</v>
      </c>
      <c r="I365" t="s">
        <v>4</v>
      </c>
      <c r="J365" t="s">
        <v>20</v>
      </c>
      <c r="K365" t="s">
        <v>2911</v>
      </c>
      <c r="L365">
        <f t="shared" ca="1" si="15"/>
        <v>6</v>
      </c>
      <c r="M365" t="str">
        <f>IFERROR(INDEX('[4]31.03.2024'!$H:$H,MATCH($E365,'[4]31.03.2024'!$B:$B,0)),"Not found")</f>
        <v>Not found</v>
      </c>
      <c r="N365" t="str">
        <f>IFERROR(INDEX([2]Sheet1!$B:$B,MATCH($D365,[2]Sheet1!$A:$A,0)),"Not found")</f>
        <v>Not found</v>
      </c>
      <c r="O365">
        <f t="shared" si="16"/>
        <v>0</v>
      </c>
      <c r="P365">
        <f t="shared" si="17"/>
        <v>0</v>
      </c>
    </row>
    <row r="366" spans="1:16" x14ac:dyDescent="0.25">
      <c r="A366" t="s">
        <v>0</v>
      </c>
      <c r="B366" s="1">
        <v>41974</v>
      </c>
      <c r="C366" s="1">
        <v>43434</v>
      </c>
      <c r="D366" s="4" t="s">
        <v>584</v>
      </c>
      <c r="E366" t="s">
        <v>585</v>
      </c>
      <c r="F366">
        <v>23762</v>
      </c>
      <c r="G366">
        <v>26613534</v>
      </c>
      <c r="H366" t="s">
        <v>3</v>
      </c>
      <c r="I366" t="s">
        <v>4</v>
      </c>
      <c r="J366" t="s">
        <v>20</v>
      </c>
      <c r="K366" t="s">
        <v>2911</v>
      </c>
      <c r="L366">
        <f t="shared" ca="1" si="15"/>
        <v>3</v>
      </c>
      <c r="M366" t="str">
        <f>IFERROR(INDEX('[4]31.03.2024'!$H:$H,MATCH($E366,'[4]31.03.2024'!$B:$B,0)),"Not found")</f>
        <v>Not found</v>
      </c>
      <c r="N366" t="str">
        <f>IFERROR(INDEX([2]Sheet1!$B:$B,MATCH($D366,[2]Sheet1!$A:$A,0)),"Not found")</f>
        <v>Not found</v>
      </c>
      <c r="O366">
        <f t="shared" si="16"/>
        <v>0</v>
      </c>
      <c r="P366">
        <f t="shared" si="17"/>
        <v>0</v>
      </c>
    </row>
    <row r="367" spans="1:16" x14ac:dyDescent="0.25">
      <c r="A367" t="s">
        <v>0</v>
      </c>
      <c r="B367" s="1">
        <v>42064</v>
      </c>
      <c r="C367" s="1">
        <v>43465</v>
      </c>
      <c r="D367" s="4" t="s">
        <v>586</v>
      </c>
      <c r="E367" t="s">
        <v>587</v>
      </c>
      <c r="F367">
        <v>23764</v>
      </c>
      <c r="G367">
        <v>26729297</v>
      </c>
      <c r="H367" t="s">
        <v>3</v>
      </c>
      <c r="I367" t="s">
        <v>4</v>
      </c>
      <c r="J367" t="s">
        <v>20</v>
      </c>
      <c r="K367" t="s">
        <v>2911</v>
      </c>
      <c r="L367">
        <f t="shared" ca="1" si="15"/>
        <v>3</v>
      </c>
      <c r="M367" t="str">
        <f>IFERROR(INDEX('[4]31.03.2024'!$H:$H,MATCH($E367,'[4]31.03.2024'!$B:$B,0)),"Not found")</f>
        <v>Not found</v>
      </c>
      <c r="N367" t="str">
        <f>IFERROR(INDEX([2]Sheet1!$B:$B,MATCH($D367,[2]Sheet1!$A:$A,0)),"Not found")</f>
        <v>Not found</v>
      </c>
      <c r="O367">
        <f t="shared" si="16"/>
        <v>0</v>
      </c>
      <c r="P367">
        <f t="shared" si="17"/>
        <v>0</v>
      </c>
    </row>
    <row r="368" spans="1:16" x14ac:dyDescent="0.25">
      <c r="A368" t="s">
        <v>0</v>
      </c>
      <c r="B368" s="1">
        <v>41974</v>
      </c>
      <c r="C368" s="1">
        <v>43190</v>
      </c>
      <c r="D368" s="4" t="s">
        <v>588</v>
      </c>
      <c r="E368" t="s">
        <v>589</v>
      </c>
      <c r="F368">
        <v>23766</v>
      </c>
      <c r="G368">
        <v>17392207</v>
      </c>
      <c r="H368" t="s">
        <v>10</v>
      </c>
      <c r="I368" t="s">
        <v>11</v>
      </c>
      <c r="J368" t="s">
        <v>80</v>
      </c>
      <c r="K368" t="s">
        <v>2910</v>
      </c>
      <c r="L368">
        <f t="shared" ca="1" si="15"/>
        <v>3</v>
      </c>
      <c r="M368" t="str">
        <f>IFERROR(INDEX('[4]31.03.2024'!$H:$H,MATCH($E368,'[4]31.03.2024'!$B:$B,0)),"Not found")</f>
        <v>Not found</v>
      </c>
      <c r="N368" t="str">
        <f>IFERROR(INDEX([2]Sheet1!$B:$B,MATCH($D368,[2]Sheet1!$A:$A,0)),"Not found")</f>
        <v>Not found</v>
      </c>
      <c r="O368">
        <f t="shared" si="16"/>
        <v>0</v>
      </c>
      <c r="P368">
        <f t="shared" si="17"/>
        <v>0</v>
      </c>
    </row>
    <row r="369" spans="1:16" x14ac:dyDescent="0.25">
      <c r="A369" t="s">
        <v>0</v>
      </c>
      <c r="B369" s="1">
        <v>41883</v>
      </c>
      <c r="C369" s="1">
        <v>44439</v>
      </c>
      <c r="D369" s="4" t="s">
        <v>598</v>
      </c>
      <c r="E369" t="s">
        <v>599</v>
      </c>
      <c r="F369">
        <v>23874</v>
      </c>
      <c r="G369">
        <v>26313582</v>
      </c>
      <c r="H369" t="s">
        <v>10</v>
      </c>
      <c r="I369" t="s">
        <v>4</v>
      </c>
      <c r="J369" t="s">
        <v>5</v>
      </c>
      <c r="K369" t="s">
        <v>2911</v>
      </c>
      <c r="L369">
        <f t="shared" ca="1" si="15"/>
        <v>6</v>
      </c>
      <c r="M369" t="str">
        <f>IFERROR(INDEX('[4]31.03.2024'!$H:$H,MATCH($E369,'[4]31.03.2024'!$B:$B,0)),"Not found")</f>
        <v>Not found</v>
      </c>
      <c r="N369" t="str">
        <f>IFERROR(INDEX([2]Sheet1!$B:$B,MATCH($D369,[2]Sheet1!$A:$A,0)),"Not found")</f>
        <v>Not found</v>
      </c>
      <c r="O369">
        <f t="shared" si="16"/>
        <v>0</v>
      </c>
      <c r="P369">
        <f t="shared" si="17"/>
        <v>0</v>
      </c>
    </row>
    <row r="370" spans="1:16" x14ac:dyDescent="0.25">
      <c r="A370" t="s">
        <v>0</v>
      </c>
      <c r="B370" s="1">
        <v>41944</v>
      </c>
      <c r="C370" s="1">
        <v>44530</v>
      </c>
      <c r="D370" s="4" t="s">
        <v>604</v>
      </c>
      <c r="E370" t="s">
        <v>605</v>
      </c>
      <c r="F370">
        <v>24015</v>
      </c>
      <c r="G370">
        <v>26515395</v>
      </c>
      <c r="H370" t="s">
        <v>3</v>
      </c>
      <c r="I370" t="s">
        <v>4</v>
      </c>
      <c r="J370" t="s">
        <v>20</v>
      </c>
      <c r="K370" t="s">
        <v>2911</v>
      </c>
      <c r="L370">
        <f t="shared" ca="1" si="15"/>
        <v>7</v>
      </c>
      <c r="M370" t="str">
        <f>IFERROR(INDEX('[4]31.03.2024'!$H:$H,MATCH($E370,'[4]31.03.2024'!$B:$B,0)),"Not found")</f>
        <v>Not found</v>
      </c>
      <c r="N370" t="str">
        <f>IFERROR(INDEX([2]Sheet1!$B:$B,MATCH($D370,[2]Sheet1!$A:$A,0)),"Not found")</f>
        <v>Not found</v>
      </c>
      <c r="O370">
        <f t="shared" si="16"/>
        <v>0</v>
      </c>
      <c r="P370">
        <f t="shared" si="17"/>
        <v>0</v>
      </c>
    </row>
    <row r="371" spans="1:16" x14ac:dyDescent="0.25">
      <c r="A371" t="s">
        <v>0</v>
      </c>
      <c r="B371" s="1">
        <v>41974</v>
      </c>
      <c r="C371" s="1">
        <v>45016</v>
      </c>
      <c r="D371" s="4" t="s">
        <v>21</v>
      </c>
      <c r="E371" t="s">
        <v>22</v>
      </c>
      <c r="F371">
        <v>24061</v>
      </c>
      <c r="G371">
        <v>25729201</v>
      </c>
      <c r="H371" t="s">
        <v>10</v>
      </c>
      <c r="I371" t="s">
        <v>11</v>
      </c>
      <c r="J371" t="s">
        <v>12</v>
      </c>
      <c r="K371" t="s">
        <v>2910</v>
      </c>
      <c r="L371">
        <f t="shared" ca="1" si="15"/>
        <v>8</v>
      </c>
      <c r="M371" t="str">
        <f>IFERROR(INDEX('[4]31.03.2024'!$H:$H,MATCH($E371,'[4]31.03.2024'!$B:$B,0)),"Not found")</f>
        <v>Not found</v>
      </c>
      <c r="N371" t="str">
        <f>IFERROR(INDEX([2]Sheet1!$B:$B,MATCH($D371,[2]Sheet1!$A:$A,0)),"Not found")</f>
        <v>Not found</v>
      </c>
      <c r="O371">
        <f t="shared" si="16"/>
        <v>0</v>
      </c>
      <c r="P371">
        <f t="shared" si="17"/>
        <v>0</v>
      </c>
    </row>
    <row r="372" spans="1:16" x14ac:dyDescent="0.25">
      <c r="A372" t="s">
        <v>0</v>
      </c>
      <c r="B372" s="1">
        <v>41974</v>
      </c>
      <c r="C372" s="1">
        <v>45016</v>
      </c>
      <c r="D372" s="4" t="s">
        <v>23</v>
      </c>
      <c r="E372" t="s">
        <v>24</v>
      </c>
      <c r="F372">
        <v>24062</v>
      </c>
      <c r="G372">
        <v>26075588</v>
      </c>
      <c r="H372" t="s">
        <v>10</v>
      </c>
      <c r="I372" t="s">
        <v>11</v>
      </c>
      <c r="J372" t="s">
        <v>12</v>
      </c>
      <c r="K372" t="s">
        <v>2910</v>
      </c>
      <c r="L372">
        <f t="shared" ca="1" si="15"/>
        <v>8</v>
      </c>
      <c r="M372" t="str">
        <f>IFERROR(INDEX('[4]31.03.2024'!$H:$H,MATCH($E372,'[4]31.03.2024'!$B:$B,0)),"Not found")</f>
        <v>Not found</v>
      </c>
      <c r="N372" t="str">
        <f>IFERROR(INDEX([2]Sheet1!$B:$B,MATCH($D372,[2]Sheet1!$A:$A,0)),"Not found")</f>
        <v>Not found</v>
      </c>
      <c r="O372">
        <f t="shared" si="16"/>
        <v>0</v>
      </c>
      <c r="P372">
        <f t="shared" si="17"/>
        <v>0</v>
      </c>
    </row>
    <row r="373" spans="1:16" x14ac:dyDescent="0.25">
      <c r="A373" t="s">
        <v>0</v>
      </c>
      <c r="B373" s="1">
        <v>41974</v>
      </c>
      <c r="C373" s="1">
        <v>45016</v>
      </c>
      <c r="D373" s="4" t="s">
        <v>25</v>
      </c>
      <c r="E373" t="s">
        <v>26</v>
      </c>
      <c r="F373">
        <v>24064</v>
      </c>
      <c r="G373">
        <v>26311712</v>
      </c>
      <c r="H373" t="s">
        <v>10</v>
      </c>
      <c r="I373" t="s">
        <v>11</v>
      </c>
      <c r="J373" t="s">
        <v>12</v>
      </c>
      <c r="K373" t="s">
        <v>2910</v>
      </c>
      <c r="L373">
        <f t="shared" ca="1" si="15"/>
        <v>8</v>
      </c>
      <c r="M373" t="str">
        <f>IFERROR(INDEX('[4]31.03.2024'!$H:$H,MATCH($E373,'[4]31.03.2024'!$B:$B,0)),"Not found")</f>
        <v>Not found</v>
      </c>
      <c r="N373" t="str">
        <f>IFERROR(INDEX([2]Sheet1!$B:$B,MATCH($D373,[2]Sheet1!$A:$A,0)),"Not found")</f>
        <v>Not found</v>
      </c>
      <c r="O373">
        <f t="shared" si="16"/>
        <v>0</v>
      </c>
      <c r="P373">
        <f t="shared" si="17"/>
        <v>0</v>
      </c>
    </row>
    <row r="374" spans="1:16" x14ac:dyDescent="0.25">
      <c r="A374" t="s">
        <v>0</v>
      </c>
      <c r="B374" s="1">
        <v>41944</v>
      </c>
      <c r="C374" s="1">
        <v>43039</v>
      </c>
      <c r="D374" s="4" t="s">
        <v>614</v>
      </c>
      <c r="E374" t="s">
        <v>615</v>
      </c>
      <c r="F374">
        <v>24144</v>
      </c>
      <c r="G374">
        <v>26499073</v>
      </c>
      <c r="H374" t="s">
        <v>10</v>
      </c>
      <c r="I374" t="s">
        <v>4</v>
      </c>
      <c r="J374" t="s">
        <v>29</v>
      </c>
      <c r="K374" t="s">
        <v>2910</v>
      </c>
      <c r="L374">
        <f t="shared" ca="1" si="15"/>
        <v>2</v>
      </c>
      <c r="M374" t="str">
        <f>IFERROR(INDEX('[4]31.03.2024'!$H:$H,MATCH($E374,'[4]31.03.2024'!$B:$B,0)),"Not found")</f>
        <v>Not found</v>
      </c>
      <c r="N374" t="str">
        <f>IFERROR(INDEX([2]Sheet1!$B:$B,MATCH($D374,[2]Sheet1!$A:$A,0)),"Not found")</f>
        <v>Not found</v>
      </c>
      <c r="O374">
        <f t="shared" si="16"/>
        <v>0</v>
      </c>
      <c r="P374">
        <f t="shared" si="17"/>
        <v>0</v>
      </c>
    </row>
    <row r="375" spans="1:16" x14ac:dyDescent="0.25">
      <c r="A375" t="s">
        <v>0</v>
      </c>
      <c r="B375" s="1">
        <v>41974</v>
      </c>
      <c r="C375" s="1">
        <v>43738</v>
      </c>
      <c r="D375" s="4" t="s">
        <v>624</v>
      </c>
      <c r="E375" t="s">
        <v>625</v>
      </c>
      <c r="F375">
        <v>24219</v>
      </c>
      <c r="G375">
        <v>24333694</v>
      </c>
      <c r="H375" t="s">
        <v>10</v>
      </c>
      <c r="I375" t="s">
        <v>11</v>
      </c>
      <c r="J375" t="s">
        <v>80</v>
      </c>
      <c r="K375" t="s">
        <v>2910</v>
      </c>
      <c r="L375">
        <f t="shared" ca="1" si="15"/>
        <v>4</v>
      </c>
      <c r="M375" t="str">
        <f>IFERROR(INDEX('[4]31.03.2024'!$H:$H,MATCH($E375,'[4]31.03.2024'!$B:$B,0)),"Not found")</f>
        <v>Not found</v>
      </c>
      <c r="N375" t="str">
        <f>IFERROR(INDEX([2]Sheet1!$B:$B,MATCH($D375,[2]Sheet1!$A:$A,0)),"Not found")</f>
        <v>Not found</v>
      </c>
      <c r="O375">
        <f t="shared" si="16"/>
        <v>0</v>
      </c>
      <c r="P375">
        <f t="shared" si="17"/>
        <v>0</v>
      </c>
    </row>
    <row r="376" spans="1:16" x14ac:dyDescent="0.25">
      <c r="A376" t="s">
        <v>0</v>
      </c>
      <c r="B376" s="1">
        <v>41974</v>
      </c>
      <c r="C376" s="1">
        <v>43738</v>
      </c>
      <c r="D376" s="4" t="s">
        <v>626</v>
      </c>
      <c r="E376" t="s">
        <v>627</v>
      </c>
      <c r="F376">
        <v>24220</v>
      </c>
      <c r="G376">
        <v>25938476</v>
      </c>
      <c r="H376" t="s">
        <v>10</v>
      </c>
      <c r="I376" t="s">
        <v>11</v>
      </c>
      <c r="J376" t="s">
        <v>80</v>
      </c>
      <c r="K376" t="s">
        <v>2910</v>
      </c>
      <c r="L376">
        <f t="shared" ca="1" si="15"/>
        <v>4</v>
      </c>
      <c r="M376" t="str">
        <f>IFERROR(INDEX('[4]31.03.2024'!$H:$H,MATCH($E376,'[4]31.03.2024'!$B:$B,0)),"Not found")</f>
        <v>Not found</v>
      </c>
      <c r="N376" t="str">
        <f>IFERROR(INDEX([2]Sheet1!$B:$B,MATCH($D376,[2]Sheet1!$A:$A,0)),"Not found")</f>
        <v>Not found</v>
      </c>
      <c r="O376">
        <f t="shared" si="16"/>
        <v>0</v>
      </c>
      <c r="P376">
        <f t="shared" si="17"/>
        <v>0</v>
      </c>
    </row>
    <row r="377" spans="1:16" x14ac:dyDescent="0.25">
      <c r="A377" t="s">
        <v>0</v>
      </c>
      <c r="B377" s="1">
        <v>41974</v>
      </c>
      <c r="C377" s="1">
        <v>43890</v>
      </c>
      <c r="D377" s="4" t="s">
        <v>628</v>
      </c>
      <c r="E377" t="s">
        <v>629</v>
      </c>
      <c r="F377">
        <v>24221</v>
      </c>
      <c r="G377">
        <v>24701100</v>
      </c>
      <c r="H377" t="s">
        <v>10</v>
      </c>
      <c r="I377" t="s">
        <v>11</v>
      </c>
      <c r="J377" t="s">
        <v>80</v>
      </c>
      <c r="K377" t="s">
        <v>2910</v>
      </c>
      <c r="L377">
        <f t="shared" ca="1" si="15"/>
        <v>5</v>
      </c>
      <c r="M377" t="str">
        <f>IFERROR(INDEX('[4]31.03.2024'!$H:$H,MATCH($E377,'[4]31.03.2024'!$B:$B,0)),"Not found")</f>
        <v>Not found</v>
      </c>
      <c r="N377" t="str">
        <f>IFERROR(INDEX([2]Sheet1!$B:$B,MATCH($D377,[2]Sheet1!$A:$A,0)),"Not found")</f>
        <v>Not found</v>
      </c>
      <c r="O377">
        <f t="shared" si="16"/>
        <v>0</v>
      </c>
      <c r="P377">
        <f t="shared" si="17"/>
        <v>0</v>
      </c>
    </row>
    <row r="378" spans="1:16" x14ac:dyDescent="0.25">
      <c r="A378" t="s">
        <v>7</v>
      </c>
      <c r="B378" s="1">
        <v>41974</v>
      </c>
      <c r="C378" s="1">
        <v>45107</v>
      </c>
      <c r="D378" s="4" t="s">
        <v>27</v>
      </c>
      <c r="E378" t="s">
        <v>28</v>
      </c>
      <c r="F378">
        <v>24222</v>
      </c>
      <c r="G378">
        <v>26531758</v>
      </c>
      <c r="H378" t="s">
        <v>10</v>
      </c>
      <c r="I378" t="s">
        <v>11</v>
      </c>
      <c r="J378" t="s">
        <v>29</v>
      </c>
      <c r="K378" t="s">
        <v>2910</v>
      </c>
      <c r="L378">
        <f t="shared" ca="1" si="15"/>
        <v>8</v>
      </c>
      <c r="M378" t="str">
        <f>IFERROR(INDEX('[4]31.03.2024'!$H:$H,MATCH($E378,'[4]31.03.2024'!$B:$B,0)),"Not found")</f>
        <v>Not found</v>
      </c>
      <c r="N378" t="str">
        <f>IFERROR(INDEX([2]Sheet1!$B:$B,MATCH($D378,[2]Sheet1!$A:$A,0)),"Not found")</f>
        <v>Not found</v>
      </c>
      <c r="O378">
        <f t="shared" si="16"/>
        <v>0</v>
      </c>
      <c r="P378">
        <f t="shared" si="17"/>
        <v>0</v>
      </c>
    </row>
    <row r="379" spans="1:16" x14ac:dyDescent="0.25">
      <c r="A379" t="s">
        <v>7</v>
      </c>
      <c r="B379" s="1">
        <v>42005</v>
      </c>
      <c r="C379" s="1">
        <v>44773</v>
      </c>
      <c r="D379" s="4" t="s">
        <v>634</v>
      </c>
      <c r="E379" t="s">
        <v>635</v>
      </c>
      <c r="F379">
        <v>24229</v>
      </c>
      <c r="G379">
        <v>26595727</v>
      </c>
      <c r="H379" t="s">
        <v>10</v>
      </c>
      <c r="I379" t="s">
        <v>4</v>
      </c>
      <c r="J379" t="s">
        <v>20</v>
      </c>
      <c r="K379" t="s">
        <v>2911</v>
      </c>
      <c r="L379">
        <f t="shared" ca="1" si="15"/>
        <v>7</v>
      </c>
      <c r="M379" t="str">
        <f>IFERROR(INDEX('[4]31.03.2024'!$H:$H,MATCH($E379,'[4]31.03.2024'!$B:$B,0)),"Not found")</f>
        <v>Not found</v>
      </c>
      <c r="N379" t="str">
        <f>IFERROR(INDEX([2]Sheet1!$B:$B,MATCH($D379,[2]Sheet1!$A:$A,0)),"Not found")</f>
        <v>Not found</v>
      </c>
      <c r="O379">
        <f t="shared" si="16"/>
        <v>0</v>
      </c>
      <c r="P379">
        <f t="shared" si="17"/>
        <v>0</v>
      </c>
    </row>
    <row r="380" spans="1:16" x14ac:dyDescent="0.25">
      <c r="A380" t="s">
        <v>7</v>
      </c>
      <c r="B380" s="1">
        <v>41974</v>
      </c>
      <c r="C380" s="1">
        <v>43830</v>
      </c>
      <c r="D380" s="4" t="s">
        <v>640</v>
      </c>
      <c r="E380" t="s">
        <v>641</v>
      </c>
      <c r="F380">
        <v>24233</v>
      </c>
      <c r="G380">
        <v>26690142</v>
      </c>
      <c r="H380" t="s">
        <v>10</v>
      </c>
      <c r="I380" t="s">
        <v>11</v>
      </c>
      <c r="J380" t="s">
        <v>32</v>
      </c>
      <c r="K380" t="s">
        <v>2910</v>
      </c>
      <c r="L380">
        <f t="shared" ca="1" si="15"/>
        <v>5</v>
      </c>
      <c r="M380" t="str">
        <f>IFERROR(INDEX('[4]31.03.2024'!$H:$H,MATCH($E380,'[4]31.03.2024'!$B:$B,0)),"Not found")</f>
        <v>Not found</v>
      </c>
      <c r="N380" t="str">
        <f>IFERROR(INDEX([2]Sheet1!$B:$B,MATCH($D380,[2]Sheet1!$A:$A,0)),"Not found")</f>
        <v>Not found</v>
      </c>
      <c r="O380">
        <f t="shared" si="16"/>
        <v>0</v>
      </c>
      <c r="P380">
        <f t="shared" si="17"/>
        <v>0</v>
      </c>
    </row>
    <row r="381" spans="1:16" x14ac:dyDescent="0.25">
      <c r="A381" t="s">
        <v>7</v>
      </c>
      <c r="B381" s="1">
        <v>41974</v>
      </c>
      <c r="C381" s="1">
        <v>42916</v>
      </c>
      <c r="D381" s="4" t="s">
        <v>642</v>
      </c>
      <c r="E381" t="s">
        <v>643</v>
      </c>
      <c r="F381">
        <v>24289</v>
      </c>
      <c r="G381">
        <v>25585551</v>
      </c>
      <c r="H381" t="s">
        <v>10</v>
      </c>
      <c r="I381" t="s">
        <v>11</v>
      </c>
      <c r="J381" t="s">
        <v>32</v>
      </c>
      <c r="K381" t="s">
        <v>2910</v>
      </c>
      <c r="L381">
        <f t="shared" ca="1" si="15"/>
        <v>2</v>
      </c>
      <c r="M381" t="str">
        <f>IFERROR(INDEX('[4]31.03.2024'!$H:$H,MATCH($E381,'[4]31.03.2024'!$B:$B,0)),"Not found")</f>
        <v>Not found</v>
      </c>
      <c r="N381" t="str">
        <f>IFERROR(INDEX([2]Sheet1!$B:$B,MATCH($D381,[2]Sheet1!$A:$A,0)),"Not found")</f>
        <v>Not found</v>
      </c>
      <c r="O381">
        <f t="shared" si="16"/>
        <v>0</v>
      </c>
      <c r="P381">
        <f t="shared" si="17"/>
        <v>0</v>
      </c>
    </row>
    <row r="382" spans="1:16" x14ac:dyDescent="0.25">
      <c r="A382" t="s">
        <v>7</v>
      </c>
      <c r="B382" s="1">
        <v>41974</v>
      </c>
      <c r="C382" s="1">
        <v>42916</v>
      </c>
      <c r="D382" s="4" t="s">
        <v>644</v>
      </c>
      <c r="E382" t="s">
        <v>645</v>
      </c>
      <c r="F382">
        <v>24290</v>
      </c>
      <c r="G382">
        <v>25965212</v>
      </c>
      <c r="H382" t="s">
        <v>10</v>
      </c>
      <c r="I382" t="s">
        <v>11</v>
      </c>
      <c r="J382" t="s">
        <v>32</v>
      </c>
      <c r="K382" t="s">
        <v>2910</v>
      </c>
      <c r="L382">
        <f t="shared" ca="1" si="15"/>
        <v>2</v>
      </c>
      <c r="M382" t="str">
        <f>IFERROR(INDEX('[4]31.03.2024'!$H:$H,MATCH($E382,'[4]31.03.2024'!$B:$B,0)),"Not found")</f>
        <v>Not found</v>
      </c>
      <c r="N382" t="str">
        <f>IFERROR(INDEX([2]Sheet1!$B:$B,MATCH($D382,[2]Sheet1!$A:$A,0)),"Not found")</f>
        <v>Not found</v>
      </c>
      <c r="O382">
        <f t="shared" si="16"/>
        <v>0</v>
      </c>
      <c r="P382">
        <f t="shared" si="17"/>
        <v>0</v>
      </c>
    </row>
    <row r="383" spans="1:16" x14ac:dyDescent="0.25">
      <c r="A383" t="s">
        <v>7</v>
      </c>
      <c r="B383" s="1">
        <v>41974</v>
      </c>
      <c r="C383" s="1">
        <v>42916</v>
      </c>
      <c r="D383" s="4" t="s">
        <v>646</v>
      </c>
      <c r="E383" t="s">
        <v>647</v>
      </c>
      <c r="F383">
        <v>24291</v>
      </c>
      <c r="G383">
        <v>26301178</v>
      </c>
      <c r="H383" t="s">
        <v>10</v>
      </c>
      <c r="I383" t="s">
        <v>11</v>
      </c>
      <c r="J383" t="s">
        <v>32</v>
      </c>
      <c r="K383" t="s">
        <v>2910</v>
      </c>
      <c r="L383">
        <f t="shared" ca="1" si="15"/>
        <v>2</v>
      </c>
      <c r="M383" t="str">
        <f>IFERROR(INDEX('[4]31.03.2024'!$H:$H,MATCH($E383,'[4]31.03.2024'!$B:$B,0)),"Not found")</f>
        <v>Not found</v>
      </c>
      <c r="N383" t="str">
        <f>IFERROR(INDEX([2]Sheet1!$B:$B,MATCH($D383,[2]Sheet1!$A:$A,0)),"Not found")</f>
        <v>Not found</v>
      </c>
      <c r="O383">
        <f t="shared" si="16"/>
        <v>0</v>
      </c>
      <c r="P383">
        <f t="shared" si="17"/>
        <v>0</v>
      </c>
    </row>
    <row r="384" spans="1:16" x14ac:dyDescent="0.25">
      <c r="A384" t="s">
        <v>7</v>
      </c>
      <c r="B384" s="1">
        <v>41974</v>
      </c>
      <c r="C384" s="1">
        <v>43251</v>
      </c>
      <c r="D384" s="4" t="s">
        <v>674</v>
      </c>
      <c r="E384" t="s">
        <v>675</v>
      </c>
      <c r="F384">
        <v>24436</v>
      </c>
      <c r="G384">
        <v>25483547</v>
      </c>
      <c r="H384" t="s">
        <v>10</v>
      </c>
      <c r="I384" t="s">
        <v>11</v>
      </c>
      <c r="J384" t="s">
        <v>32</v>
      </c>
      <c r="K384" t="s">
        <v>2911</v>
      </c>
      <c r="L384">
        <f t="shared" ca="1" si="15"/>
        <v>3</v>
      </c>
      <c r="M384" t="str">
        <f>IFERROR(INDEX('[4]31.03.2024'!$H:$H,MATCH($E384,'[4]31.03.2024'!$B:$B,0)),"Not found")</f>
        <v>Not found</v>
      </c>
      <c r="N384" t="str">
        <f>IFERROR(INDEX([2]Sheet1!$B:$B,MATCH($D384,[2]Sheet1!$A:$A,0)),"Not found")</f>
        <v>Not found</v>
      </c>
      <c r="O384">
        <f t="shared" si="16"/>
        <v>0</v>
      </c>
      <c r="P384">
        <f t="shared" si="17"/>
        <v>0</v>
      </c>
    </row>
    <row r="385" spans="1:16" x14ac:dyDescent="0.25">
      <c r="A385" t="s">
        <v>7</v>
      </c>
      <c r="B385" s="1">
        <v>41974</v>
      </c>
      <c r="C385" s="1">
        <v>44651</v>
      </c>
      <c r="D385" s="4" t="s">
        <v>676</v>
      </c>
      <c r="E385" t="s">
        <v>677</v>
      </c>
      <c r="F385">
        <v>24439</v>
      </c>
      <c r="G385">
        <v>24510689</v>
      </c>
      <c r="H385" t="s">
        <v>10</v>
      </c>
      <c r="I385" t="s">
        <v>11</v>
      </c>
      <c r="J385" t="s">
        <v>32</v>
      </c>
      <c r="K385" t="s">
        <v>2911</v>
      </c>
      <c r="L385">
        <f t="shared" ca="1" si="15"/>
        <v>7</v>
      </c>
      <c r="M385" t="str">
        <f>IFERROR(INDEX('[4]31.03.2024'!$H:$H,MATCH($E385,'[4]31.03.2024'!$B:$B,0)),"Not found")</f>
        <v>Not found</v>
      </c>
      <c r="N385" t="str">
        <f>IFERROR(INDEX([2]Sheet1!$B:$B,MATCH($D385,[2]Sheet1!$A:$A,0)),"Not found")</f>
        <v>Not found</v>
      </c>
      <c r="O385">
        <f t="shared" si="16"/>
        <v>0</v>
      </c>
      <c r="P385">
        <f t="shared" si="17"/>
        <v>0</v>
      </c>
    </row>
    <row r="386" spans="1:16" x14ac:dyDescent="0.25">
      <c r="A386" t="s">
        <v>7</v>
      </c>
      <c r="B386" s="1">
        <v>41974</v>
      </c>
      <c r="C386" s="1">
        <v>42551</v>
      </c>
      <c r="D386" s="4" t="s">
        <v>680</v>
      </c>
      <c r="E386" t="s">
        <v>681</v>
      </c>
      <c r="F386">
        <v>24443</v>
      </c>
      <c r="G386">
        <v>23203943</v>
      </c>
      <c r="H386" t="s">
        <v>10</v>
      </c>
      <c r="I386" t="s">
        <v>11</v>
      </c>
      <c r="J386" t="s">
        <v>80</v>
      </c>
      <c r="K386" t="s">
        <v>2910</v>
      </c>
      <c r="L386">
        <f t="shared" ca="1" si="15"/>
        <v>1</v>
      </c>
      <c r="M386" t="str">
        <f>IFERROR(INDEX('[4]31.03.2024'!$H:$H,MATCH($E386,'[4]31.03.2024'!$B:$B,0)),"Not found")</f>
        <v>Not found</v>
      </c>
      <c r="N386" t="str">
        <f>IFERROR(INDEX([2]Sheet1!$B:$B,MATCH($D386,[2]Sheet1!$A:$A,0)),"Not found")</f>
        <v>Not found</v>
      </c>
      <c r="O386">
        <f t="shared" si="16"/>
        <v>0</v>
      </c>
      <c r="P386">
        <f t="shared" si="17"/>
        <v>0</v>
      </c>
    </row>
    <row r="387" spans="1:16" x14ac:dyDescent="0.25">
      <c r="A387" t="s">
        <v>0</v>
      </c>
      <c r="B387" s="1">
        <v>41974</v>
      </c>
      <c r="C387" s="1">
        <v>42369</v>
      </c>
      <c r="D387" s="4" t="s">
        <v>682</v>
      </c>
      <c r="E387" t="s">
        <v>683</v>
      </c>
      <c r="F387">
        <v>24444</v>
      </c>
      <c r="G387">
        <v>22919528</v>
      </c>
      <c r="H387" t="s">
        <v>10</v>
      </c>
      <c r="I387" t="s">
        <v>11</v>
      </c>
      <c r="J387" t="s">
        <v>80</v>
      </c>
      <c r="K387" t="s">
        <v>2910</v>
      </c>
      <c r="L387">
        <f t="shared" ref="L387:L450" ca="1" si="18">IF($K387="Continues",DATEDIF($B387,TODAY(),"Y"),DATEDIF($B387,$C387,"Y"))</f>
        <v>1</v>
      </c>
      <c r="M387" t="str">
        <f>IFERROR(INDEX('[4]31.03.2024'!$H:$H,MATCH($E387,'[4]31.03.2024'!$B:$B,0)),"Not found")</f>
        <v>Not found</v>
      </c>
      <c r="N387" t="str">
        <f>IFERROR(INDEX([2]Sheet1!$B:$B,MATCH($D387,[2]Sheet1!$A:$A,0)),"Not found")</f>
        <v>Not found</v>
      </c>
      <c r="O387">
        <f t="shared" ref="O387:O450" si="19">IF($N387="Retail",1,0)</f>
        <v>0</v>
      </c>
      <c r="P387">
        <f t="shared" ref="P387:P450" si="20">IF($N387="Non-Retail",1,0)</f>
        <v>0</v>
      </c>
    </row>
    <row r="388" spans="1:16" x14ac:dyDescent="0.25">
      <c r="A388" t="s">
        <v>0</v>
      </c>
      <c r="B388" s="1">
        <v>41974</v>
      </c>
      <c r="C388" s="1">
        <v>43190</v>
      </c>
      <c r="D388" s="4" t="s">
        <v>684</v>
      </c>
      <c r="E388" t="s">
        <v>685</v>
      </c>
      <c r="F388">
        <v>24445</v>
      </c>
      <c r="G388">
        <v>23189344</v>
      </c>
      <c r="H388" t="s">
        <v>10</v>
      </c>
      <c r="I388" t="s">
        <v>11</v>
      </c>
      <c r="J388" t="s">
        <v>80</v>
      </c>
      <c r="K388" t="s">
        <v>2910</v>
      </c>
      <c r="L388">
        <f t="shared" ca="1" si="18"/>
        <v>3</v>
      </c>
      <c r="M388" t="str">
        <f>IFERROR(INDEX('[4]31.03.2024'!$H:$H,MATCH($E388,'[4]31.03.2024'!$B:$B,0)),"Not found")</f>
        <v>Not found</v>
      </c>
      <c r="N388" t="str">
        <f>IFERROR(INDEX([2]Sheet1!$B:$B,MATCH($D388,[2]Sheet1!$A:$A,0)),"Not found")</f>
        <v>Not found</v>
      </c>
      <c r="O388">
        <f t="shared" si="19"/>
        <v>0</v>
      </c>
      <c r="P388">
        <f t="shared" si="20"/>
        <v>0</v>
      </c>
    </row>
    <row r="389" spans="1:16" x14ac:dyDescent="0.25">
      <c r="A389" t="s">
        <v>0</v>
      </c>
      <c r="B389" s="1">
        <v>41974</v>
      </c>
      <c r="C389" s="1">
        <v>44561</v>
      </c>
      <c r="D389" s="4" t="s">
        <v>690</v>
      </c>
      <c r="E389" t="s">
        <v>691</v>
      </c>
      <c r="F389">
        <v>24448</v>
      </c>
      <c r="G389">
        <v>23857752</v>
      </c>
      <c r="H389" t="s">
        <v>10</v>
      </c>
      <c r="I389" t="s">
        <v>11</v>
      </c>
      <c r="J389" t="s">
        <v>29</v>
      </c>
      <c r="K389" t="s">
        <v>2910</v>
      </c>
      <c r="L389">
        <f t="shared" ca="1" si="18"/>
        <v>7</v>
      </c>
      <c r="M389" t="str">
        <f>IFERROR(INDEX('[4]31.03.2024'!$H:$H,MATCH($E389,'[4]31.03.2024'!$B:$B,0)),"Not found")</f>
        <v>Not found</v>
      </c>
      <c r="N389" t="str">
        <f>IFERROR(INDEX([2]Sheet1!$B:$B,MATCH($D389,[2]Sheet1!$A:$A,0)),"Not found")</f>
        <v>Not found</v>
      </c>
      <c r="O389">
        <f t="shared" si="19"/>
        <v>0</v>
      </c>
      <c r="P389">
        <f t="shared" si="20"/>
        <v>0</v>
      </c>
    </row>
    <row r="390" spans="1:16" x14ac:dyDescent="0.25">
      <c r="A390" t="s">
        <v>0</v>
      </c>
      <c r="B390" s="1">
        <v>41974</v>
      </c>
      <c r="C390" s="1">
        <v>44561</v>
      </c>
      <c r="D390" s="4" t="s">
        <v>694</v>
      </c>
      <c r="E390" t="s">
        <v>695</v>
      </c>
      <c r="F390">
        <v>24450</v>
      </c>
      <c r="G390">
        <v>24854799</v>
      </c>
      <c r="H390" t="s">
        <v>10</v>
      </c>
      <c r="I390" t="s">
        <v>11</v>
      </c>
      <c r="J390" t="s">
        <v>32</v>
      </c>
      <c r="K390" t="s">
        <v>2910</v>
      </c>
      <c r="L390">
        <f t="shared" ca="1" si="18"/>
        <v>7</v>
      </c>
      <c r="M390" t="str">
        <f>IFERROR(INDEX('[4]31.03.2024'!$H:$H,MATCH($E390,'[4]31.03.2024'!$B:$B,0)),"Not found")</f>
        <v>Not found</v>
      </c>
      <c r="N390" t="str">
        <f>IFERROR(INDEX([2]Sheet1!$B:$B,MATCH($D390,[2]Sheet1!$A:$A,0)),"Not found")</f>
        <v>Not found</v>
      </c>
      <c r="O390">
        <f t="shared" si="19"/>
        <v>0</v>
      </c>
      <c r="P390">
        <f t="shared" si="20"/>
        <v>0</v>
      </c>
    </row>
    <row r="391" spans="1:16" x14ac:dyDescent="0.25">
      <c r="A391" t="s">
        <v>0</v>
      </c>
      <c r="B391" s="1">
        <v>41974</v>
      </c>
      <c r="C391" s="1">
        <v>44561</v>
      </c>
      <c r="D391" s="4" t="s">
        <v>696</v>
      </c>
      <c r="E391" t="s">
        <v>697</v>
      </c>
      <c r="F391">
        <v>24451</v>
      </c>
      <c r="G391">
        <v>23953381</v>
      </c>
      <c r="H391" t="s">
        <v>10</v>
      </c>
      <c r="I391" t="s">
        <v>11</v>
      </c>
      <c r="J391" t="s">
        <v>29</v>
      </c>
      <c r="K391" t="s">
        <v>2910</v>
      </c>
      <c r="L391">
        <f t="shared" ca="1" si="18"/>
        <v>7</v>
      </c>
      <c r="M391" t="str">
        <f>IFERROR(INDEX('[4]31.03.2024'!$H:$H,MATCH($E391,'[4]31.03.2024'!$B:$B,0)),"Not found")</f>
        <v>Not found</v>
      </c>
      <c r="N391" t="str">
        <f>IFERROR(INDEX([2]Sheet1!$B:$B,MATCH($D391,[2]Sheet1!$A:$A,0)),"Not found")</f>
        <v>Not found</v>
      </c>
      <c r="O391">
        <f t="shared" si="19"/>
        <v>0</v>
      </c>
      <c r="P391">
        <f t="shared" si="20"/>
        <v>0</v>
      </c>
    </row>
    <row r="392" spans="1:16" x14ac:dyDescent="0.25">
      <c r="A392" t="s">
        <v>0</v>
      </c>
      <c r="B392" s="1">
        <v>41974</v>
      </c>
      <c r="C392" s="1">
        <v>43890</v>
      </c>
      <c r="D392" s="4" t="s">
        <v>698</v>
      </c>
      <c r="E392" t="s">
        <v>699</v>
      </c>
      <c r="F392">
        <v>24452</v>
      </c>
      <c r="G392">
        <v>24670260</v>
      </c>
      <c r="H392" t="s">
        <v>10</v>
      </c>
      <c r="I392" t="s">
        <v>11</v>
      </c>
      <c r="J392" t="s">
        <v>80</v>
      </c>
      <c r="K392" t="s">
        <v>2910</v>
      </c>
      <c r="L392">
        <f t="shared" ca="1" si="18"/>
        <v>5</v>
      </c>
      <c r="M392" t="str">
        <f>IFERROR(INDEX('[4]31.03.2024'!$H:$H,MATCH($E392,'[4]31.03.2024'!$B:$B,0)),"Not found")</f>
        <v>Not found</v>
      </c>
      <c r="N392" t="str">
        <f>IFERROR(INDEX([2]Sheet1!$B:$B,MATCH($D392,[2]Sheet1!$A:$A,0)),"Not found")</f>
        <v>Not found</v>
      </c>
      <c r="O392">
        <f t="shared" si="19"/>
        <v>0</v>
      </c>
      <c r="P392">
        <f t="shared" si="20"/>
        <v>0</v>
      </c>
    </row>
    <row r="393" spans="1:16" x14ac:dyDescent="0.25">
      <c r="A393" t="s">
        <v>7</v>
      </c>
      <c r="B393" s="1">
        <v>41974</v>
      </c>
      <c r="C393" s="1">
        <v>43100</v>
      </c>
      <c r="D393" s="4" t="s">
        <v>702</v>
      </c>
      <c r="E393" t="s">
        <v>703</v>
      </c>
      <c r="F393">
        <v>24454</v>
      </c>
      <c r="G393">
        <v>25164191</v>
      </c>
      <c r="H393" t="s">
        <v>10</v>
      </c>
      <c r="I393" t="s">
        <v>11</v>
      </c>
      <c r="J393" t="s">
        <v>29</v>
      </c>
      <c r="K393" t="s">
        <v>2910</v>
      </c>
      <c r="L393">
        <f t="shared" ca="1" si="18"/>
        <v>3</v>
      </c>
      <c r="M393" t="str">
        <f>IFERROR(INDEX('[4]31.03.2024'!$H:$H,MATCH($E393,'[4]31.03.2024'!$B:$B,0)),"Not found")</f>
        <v>Not found</v>
      </c>
      <c r="N393" t="str">
        <f>IFERROR(INDEX([2]Sheet1!$B:$B,MATCH($D393,[2]Sheet1!$A:$A,0)),"Not found")</f>
        <v>Not found</v>
      </c>
      <c r="O393">
        <f t="shared" si="19"/>
        <v>0</v>
      </c>
      <c r="P393">
        <f t="shared" si="20"/>
        <v>0</v>
      </c>
    </row>
    <row r="394" spans="1:16" x14ac:dyDescent="0.25">
      <c r="A394" t="s">
        <v>7</v>
      </c>
      <c r="B394" s="1">
        <v>41974</v>
      </c>
      <c r="C394" s="1">
        <v>44834</v>
      </c>
      <c r="D394" s="4" t="s">
        <v>706</v>
      </c>
      <c r="E394" t="s">
        <v>707</v>
      </c>
      <c r="F394">
        <v>24456</v>
      </c>
      <c r="G394">
        <v>24213510</v>
      </c>
      <c r="H394" t="s">
        <v>10</v>
      </c>
      <c r="I394" t="s">
        <v>11</v>
      </c>
      <c r="J394" t="s">
        <v>32</v>
      </c>
      <c r="K394" t="s">
        <v>2910</v>
      </c>
      <c r="L394">
        <f t="shared" ca="1" si="18"/>
        <v>7</v>
      </c>
      <c r="M394" t="str">
        <f>IFERROR(INDEX('[4]31.03.2024'!$H:$H,MATCH($E394,'[4]31.03.2024'!$B:$B,0)),"Not found")</f>
        <v>Not found</v>
      </c>
      <c r="N394" t="str">
        <f>IFERROR(INDEX([2]Sheet1!$B:$B,MATCH($D394,[2]Sheet1!$A:$A,0)),"Not found")</f>
        <v>Not found</v>
      </c>
      <c r="O394">
        <f t="shared" si="19"/>
        <v>0</v>
      </c>
      <c r="P394">
        <f t="shared" si="20"/>
        <v>0</v>
      </c>
    </row>
    <row r="395" spans="1:16" x14ac:dyDescent="0.25">
      <c r="A395" t="s">
        <v>7</v>
      </c>
      <c r="B395" s="1">
        <v>41974</v>
      </c>
      <c r="C395" s="1">
        <v>44469</v>
      </c>
      <c r="D395" s="4" t="s">
        <v>710</v>
      </c>
      <c r="E395" t="s">
        <v>711</v>
      </c>
      <c r="F395">
        <v>24458</v>
      </c>
      <c r="G395">
        <v>24904354</v>
      </c>
      <c r="H395" t="s">
        <v>10</v>
      </c>
      <c r="I395" t="s">
        <v>11</v>
      </c>
      <c r="J395" t="s">
        <v>32</v>
      </c>
      <c r="K395" t="s">
        <v>2910</v>
      </c>
      <c r="L395">
        <f t="shared" ca="1" si="18"/>
        <v>6</v>
      </c>
      <c r="M395" t="str">
        <f>IFERROR(INDEX('[4]31.03.2024'!$H:$H,MATCH($E395,'[4]31.03.2024'!$B:$B,0)),"Not found")</f>
        <v>Not found</v>
      </c>
      <c r="N395" t="str">
        <f>IFERROR(INDEX([2]Sheet1!$B:$B,MATCH($D395,[2]Sheet1!$A:$A,0)),"Not found")</f>
        <v>Not found</v>
      </c>
      <c r="O395">
        <f t="shared" si="19"/>
        <v>0</v>
      </c>
      <c r="P395">
        <f t="shared" si="20"/>
        <v>0</v>
      </c>
    </row>
    <row r="396" spans="1:16" x14ac:dyDescent="0.25">
      <c r="A396" t="s">
        <v>7</v>
      </c>
      <c r="B396" s="1">
        <v>41974</v>
      </c>
      <c r="C396" s="1">
        <v>43100</v>
      </c>
      <c r="D396" s="4" t="s">
        <v>712</v>
      </c>
      <c r="E396" t="s">
        <v>713</v>
      </c>
      <c r="F396">
        <v>24459</v>
      </c>
      <c r="G396">
        <v>25131971</v>
      </c>
      <c r="H396" t="s">
        <v>10</v>
      </c>
      <c r="I396" t="s">
        <v>11</v>
      </c>
      <c r="J396" t="s">
        <v>29</v>
      </c>
      <c r="K396" t="s">
        <v>2910</v>
      </c>
      <c r="L396">
        <f t="shared" ca="1" si="18"/>
        <v>3</v>
      </c>
      <c r="M396" t="str">
        <f>IFERROR(INDEX('[4]31.03.2024'!$H:$H,MATCH($E396,'[4]31.03.2024'!$B:$B,0)),"Not found")</f>
        <v>Not found</v>
      </c>
      <c r="N396" t="str">
        <f>IFERROR(INDEX([2]Sheet1!$B:$B,MATCH($D396,[2]Sheet1!$A:$A,0)),"Not found")</f>
        <v>Not found</v>
      </c>
      <c r="O396">
        <f t="shared" si="19"/>
        <v>0</v>
      </c>
      <c r="P396">
        <f t="shared" si="20"/>
        <v>0</v>
      </c>
    </row>
    <row r="397" spans="1:16" x14ac:dyDescent="0.25">
      <c r="A397" t="s">
        <v>0</v>
      </c>
      <c r="B397" s="1">
        <v>41974</v>
      </c>
      <c r="C397" s="1">
        <v>43830</v>
      </c>
      <c r="D397" s="4" t="s">
        <v>714</v>
      </c>
      <c r="E397" t="s">
        <v>715</v>
      </c>
      <c r="F397">
        <v>24460</v>
      </c>
      <c r="G397">
        <v>23676740</v>
      </c>
      <c r="H397" t="s">
        <v>10</v>
      </c>
      <c r="I397" t="s">
        <v>11</v>
      </c>
      <c r="J397" t="s">
        <v>32</v>
      </c>
      <c r="K397" t="s">
        <v>2910</v>
      </c>
      <c r="L397">
        <f t="shared" ca="1" si="18"/>
        <v>5</v>
      </c>
      <c r="M397" t="str">
        <f>IFERROR(INDEX('[4]31.03.2024'!$H:$H,MATCH($E397,'[4]31.03.2024'!$B:$B,0)),"Not found")</f>
        <v>Not found</v>
      </c>
      <c r="N397" t="str">
        <f>IFERROR(INDEX([2]Sheet1!$B:$B,MATCH($D397,[2]Sheet1!$A:$A,0)),"Not found")</f>
        <v>Not found</v>
      </c>
      <c r="O397">
        <f t="shared" si="19"/>
        <v>0</v>
      </c>
      <c r="P397">
        <f t="shared" si="20"/>
        <v>0</v>
      </c>
    </row>
    <row r="398" spans="1:16" x14ac:dyDescent="0.25">
      <c r="A398" t="s">
        <v>0</v>
      </c>
      <c r="B398" s="1">
        <v>41974</v>
      </c>
      <c r="C398" s="1">
        <v>44561</v>
      </c>
      <c r="D398" s="4" t="s">
        <v>718</v>
      </c>
      <c r="E398" t="s">
        <v>719</v>
      </c>
      <c r="F398">
        <v>24462</v>
      </c>
      <c r="G398">
        <v>26278596</v>
      </c>
      <c r="H398" t="s">
        <v>10</v>
      </c>
      <c r="I398" t="s">
        <v>11</v>
      </c>
      <c r="J398" t="s">
        <v>12</v>
      </c>
      <c r="K398" t="s">
        <v>2910</v>
      </c>
      <c r="L398">
        <f t="shared" ca="1" si="18"/>
        <v>7</v>
      </c>
      <c r="M398" t="str">
        <f>IFERROR(INDEX('[4]31.03.2024'!$H:$H,MATCH($E398,'[4]31.03.2024'!$B:$B,0)),"Not found")</f>
        <v>Not found</v>
      </c>
      <c r="N398" t="str">
        <f>IFERROR(INDEX([2]Sheet1!$B:$B,MATCH($D398,[2]Sheet1!$A:$A,0)),"Not found")</f>
        <v>Not found</v>
      </c>
      <c r="O398">
        <f t="shared" si="19"/>
        <v>0</v>
      </c>
      <c r="P398">
        <f t="shared" si="20"/>
        <v>0</v>
      </c>
    </row>
    <row r="399" spans="1:16" x14ac:dyDescent="0.25">
      <c r="A399" t="s">
        <v>0</v>
      </c>
      <c r="B399" s="1">
        <v>41974</v>
      </c>
      <c r="C399" s="1">
        <v>44834</v>
      </c>
      <c r="D399" s="4" t="s">
        <v>726</v>
      </c>
      <c r="E399" t="s">
        <v>727</v>
      </c>
      <c r="F399">
        <v>24466</v>
      </c>
      <c r="G399">
        <v>25416731</v>
      </c>
      <c r="H399" t="s">
        <v>10</v>
      </c>
      <c r="I399" t="s">
        <v>11</v>
      </c>
      <c r="J399" t="s">
        <v>32</v>
      </c>
      <c r="K399" t="s">
        <v>2910</v>
      </c>
      <c r="L399">
        <f t="shared" ca="1" si="18"/>
        <v>7</v>
      </c>
      <c r="M399" t="str">
        <f>IFERROR(INDEX('[4]31.03.2024'!$H:$H,MATCH($E399,'[4]31.03.2024'!$B:$B,0)),"Not found")</f>
        <v>Not found</v>
      </c>
      <c r="N399" t="str">
        <f>IFERROR(INDEX([2]Sheet1!$B:$B,MATCH($D399,[2]Sheet1!$A:$A,0)),"Not found")</f>
        <v>Not found</v>
      </c>
      <c r="O399">
        <f t="shared" si="19"/>
        <v>0</v>
      </c>
      <c r="P399">
        <f t="shared" si="20"/>
        <v>0</v>
      </c>
    </row>
    <row r="400" spans="1:16" x14ac:dyDescent="0.25">
      <c r="A400" t="s">
        <v>0</v>
      </c>
      <c r="B400" s="1">
        <v>41974</v>
      </c>
      <c r="C400" s="1">
        <v>43830</v>
      </c>
      <c r="D400" s="4" t="s">
        <v>732</v>
      </c>
      <c r="E400" t="s">
        <v>733</v>
      </c>
      <c r="F400">
        <v>24469</v>
      </c>
      <c r="G400">
        <v>25504301</v>
      </c>
      <c r="H400" t="s">
        <v>10</v>
      </c>
      <c r="I400" t="s">
        <v>11</v>
      </c>
      <c r="J400" t="s">
        <v>32</v>
      </c>
      <c r="K400" t="s">
        <v>2910</v>
      </c>
      <c r="L400">
        <f t="shared" ca="1" si="18"/>
        <v>5</v>
      </c>
      <c r="M400" t="str">
        <f>IFERROR(INDEX('[4]31.03.2024'!$H:$H,MATCH($E400,'[4]31.03.2024'!$B:$B,0)),"Not found")</f>
        <v>Not found</v>
      </c>
      <c r="N400" t="str">
        <f>IFERROR(INDEX([2]Sheet1!$B:$B,MATCH($D400,[2]Sheet1!$A:$A,0)),"Not found")</f>
        <v>Not found</v>
      </c>
      <c r="O400">
        <f t="shared" si="19"/>
        <v>0</v>
      </c>
      <c r="P400">
        <f t="shared" si="20"/>
        <v>0</v>
      </c>
    </row>
    <row r="401" spans="1:16" x14ac:dyDescent="0.25">
      <c r="A401" t="s">
        <v>0</v>
      </c>
      <c r="B401" s="1">
        <v>41974</v>
      </c>
      <c r="C401" s="1">
        <v>42369</v>
      </c>
      <c r="D401" s="4" t="s">
        <v>734</v>
      </c>
      <c r="E401" t="s">
        <v>735</v>
      </c>
      <c r="F401">
        <v>24470</v>
      </c>
      <c r="G401">
        <v>25776964</v>
      </c>
      <c r="H401" t="s">
        <v>10</v>
      </c>
      <c r="I401" t="s">
        <v>11</v>
      </c>
      <c r="J401" t="s">
        <v>32</v>
      </c>
      <c r="K401" t="s">
        <v>2910</v>
      </c>
      <c r="L401">
        <f t="shared" ca="1" si="18"/>
        <v>1</v>
      </c>
      <c r="M401" t="str">
        <f>IFERROR(INDEX('[4]31.03.2024'!$H:$H,MATCH($E401,'[4]31.03.2024'!$B:$B,0)),"Not found")</f>
        <v>Not found</v>
      </c>
      <c r="N401" t="str">
        <f>IFERROR(INDEX([2]Sheet1!$B:$B,MATCH($D401,[2]Sheet1!$A:$A,0)),"Not found")</f>
        <v>Not found</v>
      </c>
      <c r="O401">
        <f t="shared" si="19"/>
        <v>0</v>
      </c>
      <c r="P401">
        <f t="shared" si="20"/>
        <v>0</v>
      </c>
    </row>
    <row r="402" spans="1:16" x14ac:dyDescent="0.25">
      <c r="A402" t="s">
        <v>2209</v>
      </c>
      <c r="B402" s="1">
        <v>41974</v>
      </c>
      <c r="C402" s="1">
        <v>43646</v>
      </c>
      <c r="D402" s="4" t="s">
        <v>736</v>
      </c>
      <c r="E402" t="s">
        <v>737</v>
      </c>
      <c r="F402">
        <v>24471</v>
      </c>
      <c r="G402">
        <v>26351888</v>
      </c>
      <c r="H402" t="s">
        <v>10</v>
      </c>
      <c r="I402" t="s">
        <v>11</v>
      </c>
      <c r="J402" t="s">
        <v>32</v>
      </c>
      <c r="K402" t="s">
        <v>2910</v>
      </c>
      <c r="L402">
        <f t="shared" ca="1" si="18"/>
        <v>4</v>
      </c>
      <c r="M402" t="str">
        <f>IFERROR(INDEX('[4]31.03.2024'!$H:$H,MATCH($E402,'[4]31.03.2024'!$B:$B,0)),"Not found")</f>
        <v>Not found</v>
      </c>
      <c r="N402" t="str">
        <f>IFERROR(INDEX([2]Sheet1!$B:$B,MATCH($D402,[2]Sheet1!$A:$A,0)),"Not found")</f>
        <v>Not found</v>
      </c>
      <c r="O402">
        <f t="shared" si="19"/>
        <v>0</v>
      </c>
      <c r="P402">
        <f t="shared" si="20"/>
        <v>0</v>
      </c>
    </row>
    <row r="403" spans="1:16" x14ac:dyDescent="0.25">
      <c r="A403" t="s">
        <v>0</v>
      </c>
      <c r="B403" s="1">
        <v>41974</v>
      </c>
      <c r="C403" s="1">
        <v>44196</v>
      </c>
      <c r="D403" s="4" t="s">
        <v>738</v>
      </c>
      <c r="E403" t="s">
        <v>739</v>
      </c>
      <c r="F403">
        <v>24472</v>
      </c>
      <c r="G403">
        <v>23753072</v>
      </c>
      <c r="H403" t="s">
        <v>10</v>
      </c>
      <c r="I403" t="s">
        <v>11</v>
      </c>
      <c r="J403" t="s">
        <v>32</v>
      </c>
      <c r="K403" t="s">
        <v>2910</v>
      </c>
      <c r="L403">
        <f t="shared" ca="1" si="18"/>
        <v>6</v>
      </c>
      <c r="M403" t="str">
        <f>IFERROR(INDEX('[4]31.03.2024'!$H:$H,MATCH($E403,'[4]31.03.2024'!$B:$B,0)),"Not found")</f>
        <v>Not found</v>
      </c>
      <c r="N403" t="str">
        <f>IFERROR(INDEX([2]Sheet1!$B:$B,MATCH($D403,[2]Sheet1!$A:$A,0)),"Not found")</f>
        <v>Not found</v>
      </c>
      <c r="O403">
        <f t="shared" si="19"/>
        <v>0</v>
      </c>
      <c r="P403">
        <f t="shared" si="20"/>
        <v>0</v>
      </c>
    </row>
    <row r="404" spans="1:16" x14ac:dyDescent="0.25">
      <c r="A404" t="s">
        <v>0</v>
      </c>
      <c r="B404" s="1">
        <v>41974</v>
      </c>
      <c r="C404" s="1">
        <v>44286</v>
      </c>
      <c r="D404" s="4" t="s">
        <v>742</v>
      </c>
      <c r="E404" t="s">
        <v>743</v>
      </c>
      <c r="F404">
        <v>24474</v>
      </c>
      <c r="G404">
        <v>25383335</v>
      </c>
      <c r="H404" t="s">
        <v>10</v>
      </c>
      <c r="I404" t="s">
        <v>11</v>
      </c>
      <c r="J404" t="s">
        <v>32</v>
      </c>
      <c r="K404" t="s">
        <v>2910</v>
      </c>
      <c r="L404">
        <f t="shared" ca="1" si="18"/>
        <v>6</v>
      </c>
      <c r="M404" t="str">
        <f>IFERROR(INDEX('[4]31.03.2024'!$H:$H,MATCH($E404,'[4]31.03.2024'!$B:$B,0)),"Not found")</f>
        <v>Not found</v>
      </c>
      <c r="N404" t="str">
        <f>IFERROR(INDEX([2]Sheet1!$B:$B,MATCH($D404,[2]Sheet1!$A:$A,0)),"Not found")</f>
        <v>Not found</v>
      </c>
      <c r="O404">
        <f t="shared" si="19"/>
        <v>0</v>
      </c>
      <c r="P404">
        <f t="shared" si="20"/>
        <v>0</v>
      </c>
    </row>
    <row r="405" spans="1:16" x14ac:dyDescent="0.25">
      <c r="A405" t="s">
        <v>0</v>
      </c>
      <c r="B405" s="1">
        <v>41974</v>
      </c>
      <c r="C405" s="1">
        <v>43100</v>
      </c>
      <c r="D405" s="4" t="s">
        <v>754</v>
      </c>
      <c r="E405" t="s">
        <v>755</v>
      </c>
      <c r="F405">
        <v>24480</v>
      </c>
      <c r="G405">
        <v>25616784</v>
      </c>
      <c r="H405" t="s">
        <v>10</v>
      </c>
      <c r="I405" t="s">
        <v>11</v>
      </c>
      <c r="J405" t="s">
        <v>32</v>
      </c>
      <c r="K405" t="s">
        <v>2910</v>
      </c>
      <c r="L405">
        <f t="shared" ca="1" si="18"/>
        <v>3</v>
      </c>
      <c r="M405" t="str">
        <f>IFERROR(INDEX('[4]31.03.2024'!$H:$H,MATCH($E405,'[4]31.03.2024'!$B:$B,0)),"Not found")</f>
        <v>Not found</v>
      </c>
      <c r="N405" t="str">
        <f>IFERROR(INDEX([2]Sheet1!$B:$B,MATCH($D405,[2]Sheet1!$A:$A,0)),"Not found")</f>
        <v>Not found</v>
      </c>
      <c r="O405">
        <f t="shared" si="19"/>
        <v>0</v>
      </c>
      <c r="P405">
        <f t="shared" si="20"/>
        <v>0</v>
      </c>
    </row>
    <row r="406" spans="1:16" x14ac:dyDescent="0.25">
      <c r="A406" t="s">
        <v>0</v>
      </c>
      <c r="B406" s="1">
        <v>41974</v>
      </c>
      <c r="C406" s="1">
        <v>43100</v>
      </c>
      <c r="D406" s="4" t="s">
        <v>758</v>
      </c>
      <c r="E406" t="s">
        <v>759</v>
      </c>
      <c r="F406">
        <v>24482</v>
      </c>
      <c r="G406">
        <v>24510101</v>
      </c>
      <c r="H406" t="s">
        <v>10</v>
      </c>
      <c r="I406" t="s">
        <v>11</v>
      </c>
      <c r="J406" t="s">
        <v>32</v>
      </c>
      <c r="K406" t="s">
        <v>2910</v>
      </c>
      <c r="L406">
        <f t="shared" ca="1" si="18"/>
        <v>3</v>
      </c>
      <c r="M406" t="str">
        <f>IFERROR(INDEX('[4]31.03.2024'!$H:$H,MATCH($E406,'[4]31.03.2024'!$B:$B,0)),"Not found")</f>
        <v>Not found</v>
      </c>
      <c r="N406" t="str">
        <f>IFERROR(INDEX([2]Sheet1!$B:$B,MATCH($D406,[2]Sheet1!$A:$A,0)),"Not found")</f>
        <v>Not found</v>
      </c>
      <c r="O406">
        <f t="shared" si="19"/>
        <v>0</v>
      </c>
      <c r="P406">
        <f t="shared" si="20"/>
        <v>0</v>
      </c>
    </row>
    <row r="407" spans="1:16" x14ac:dyDescent="0.25">
      <c r="A407" t="s">
        <v>0</v>
      </c>
      <c r="B407" s="1">
        <v>41974</v>
      </c>
      <c r="C407" s="1">
        <v>42277</v>
      </c>
      <c r="D407" s="4" t="s">
        <v>760</v>
      </c>
      <c r="E407" t="s">
        <v>761</v>
      </c>
      <c r="F407">
        <v>24483</v>
      </c>
      <c r="G407">
        <v>26185592</v>
      </c>
      <c r="H407" t="s">
        <v>10</v>
      </c>
      <c r="I407" t="s">
        <v>11</v>
      </c>
      <c r="J407" t="s">
        <v>32</v>
      </c>
      <c r="K407" t="s">
        <v>2910</v>
      </c>
      <c r="L407">
        <f t="shared" ca="1" si="18"/>
        <v>0</v>
      </c>
      <c r="M407" t="str">
        <f>IFERROR(INDEX('[4]31.03.2024'!$H:$H,MATCH($E407,'[4]31.03.2024'!$B:$B,0)),"Not found")</f>
        <v>Not found</v>
      </c>
      <c r="N407" t="str">
        <f>IFERROR(INDEX([2]Sheet1!$B:$B,MATCH($D407,[2]Sheet1!$A:$A,0)),"Not found")</f>
        <v>Not found</v>
      </c>
      <c r="O407">
        <f t="shared" si="19"/>
        <v>0</v>
      </c>
      <c r="P407">
        <f t="shared" si="20"/>
        <v>0</v>
      </c>
    </row>
    <row r="408" spans="1:16" x14ac:dyDescent="0.25">
      <c r="A408" t="s">
        <v>0</v>
      </c>
      <c r="B408" s="1">
        <v>41974</v>
      </c>
      <c r="C408" s="1">
        <v>42277</v>
      </c>
      <c r="D408" s="4" t="s">
        <v>762</v>
      </c>
      <c r="E408" t="s">
        <v>763</v>
      </c>
      <c r="F408">
        <v>24484</v>
      </c>
      <c r="G408">
        <v>26186819</v>
      </c>
      <c r="H408" t="s">
        <v>10</v>
      </c>
      <c r="I408" t="s">
        <v>11</v>
      </c>
      <c r="J408" t="s">
        <v>32</v>
      </c>
      <c r="K408" t="s">
        <v>2910</v>
      </c>
      <c r="L408">
        <f t="shared" ca="1" si="18"/>
        <v>0</v>
      </c>
      <c r="M408" t="str">
        <f>IFERROR(INDEX('[4]31.03.2024'!$H:$H,MATCH($E408,'[4]31.03.2024'!$B:$B,0)),"Not found")</f>
        <v>Not found</v>
      </c>
      <c r="N408" t="str">
        <f>IFERROR(INDEX([2]Sheet1!$B:$B,MATCH($D408,[2]Sheet1!$A:$A,0)),"Not found")</f>
        <v>Not found</v>
      </c>
      <c r="O408">
        <f t="shared" si="19"/>
        <v>0</v>
      </c>
      <c r="P408">
        <f t="shared" si="20"/>
        <v>0</v>
      </c>
    </row>
    <row r="409" spans="1:16" x14ac:dyDescent="0.25">
      <c r="A409" t="s">
        <v>0</v>
      </c>
      <c r="B409" s="1">
        <v>41974</v>
      </c>
      <c r="C409" s="1">
        <v>42277</v>
      </c>
      <c r="D409" s="4" t="s">
        <v>764</v>
      </c>
      <c r="E409" t="s">
        <v>765</v>
      </c>
      <c r="F409">
        <v>24485</v>
      </c>
      <c r="G409">
        <v>24690368</v>
      </c>
      <c r="H409" t="s">
        <v>10</v>
      </c>
      <c r="I409" t="s">
        <v>11</v>
      </c>
      <c r="J409" t="s">
        <v>32</v>
      </c>
      <c r="K409" t="s">
        <v>2910</v>
      </c>
      <c r="L409">
        <f t="shared" ca="1" si="18"/>
        <v>0</v>
      </c>
      <c r="M409" t="str">
        <f>IFERROR(INDEX('[4]31.03.2024'!$H:$H,MATCH($E409,'[4]31.03.2024'!$B:$B,0)),"Not found")</f>
        <v>Not found</v>
      </c>
      <c r="N409" t="str">
        <f>IFERROR(INDEX([2]Sheet1!$B:$B,MATCH($D409,[2]Sheet1!$A:$A,0)),"Not found")</f>
        <v>Not found</v>
      </c>
      <c r="O409">
        <f t="shared" si="19"/>
        <v>0</v>
      </c>
      <c r="P409">
        <f t="shared" si="20"/>
        <v>0</v>
      </c>
    </row>
    <row r="410" spans="1:16" x14ac:dyDescent="0.25">
      <c r="A410" t="s">
        <v>0</v>
      </c>
      <c r="B410" s="1">
        <v>41974</v>
      </c>
      <c r="C410" s="1">
        <v>42277</v>
      </c>
      <c r="D410" s="4" t="s">
        <v>766</v>
      </c>
      <c r="E410" t="s">
        <v>767</v>
      </c>
      <c r="F410">
        <v>24486</v>
      </c>
      <c r="G410">
        <v>26549747</v>
      </c>
      <c r="H410" t="s">
        <v>10</v>
      </c>
      <c r="I410" t="s">
        <v>11</v>
      </c>
      <c r="J410" t="s">
        <v>32</v>
      </c>
      <c r="K410" t="s">
        <v>2910</v>
      </c>
      <c r="L410">
        <f t="shared" ca="1" si="18"/>
        <v>0</v>
      </c>
      <c r="M410" t="str">
        <f>IFERROR(INDEX('[4]31.03.2024'!$H:$H,MATCH($E410,'[4]31.03.2024'!$B:$B,0)),"Not found")</f>
        <v>Not found</v>
      </c>
      <c r="N410" t="str">
        <f>IFERROR(INDEX([2]Sheet1!$B:$B,MATCH($D410,[2]Sheet1!$A:$A,0)),"Not found")</f>
        <v>Not found</v>
      </c>
      <c r="O410">
        <f t="shared" si="19"/>
        <v>0</v>
      </c>
      <c r="P410">
        <f t="shared" si="20"/>
        <v>0</v>
      </c>
    </row>
    <row r="411" spans="1:16" x14ac:dyDescent="0.25">
      <c r="A411" t="s">
        <v>0</v>
      </c>
      <c r="B411" s="1">
        <v>41974</v>
      </c>
      <c r="C411" s="1">
        <v>42277</v>
      </c>
      <c r="D411" s="4" t="s">
        <v>768</v>
      </c>
      <c r="E411" t="s">
        <v>769</v>
      </c>
      <c r="F411">
        <v>24487</v>
      </c>
      <c r="G411">
        <v>25775865</v>
      </c>
      <c r="H411" t="s">
        <v>10</v>
      </c>
      <c r="I411" t="s">
        <v>11</v>
      </c>
      <c r="J411" t="s">
        <v>32</v>
      </c>
      <c r="K411" t="s">
        <v>2910</v>
      </c>
      <c r="L411">
        <f t="shared" ca="1" si="18"/>
        <v>0</v>
      </c>
      <c r="M411" t="str">
        <f>IFERROR(INDEX('[4]31.03.2024'!$H:$H,MATCH($E411,'[4]31.03.2024'!$B:$B,0)),"Not found")</f>
        <v>Not found</v>
      </c>
      <c r="N411" t="str">
        <f>IFERROR(INDEX([2]Sheet1!$B:$B,MATCH($D411,[2]Sheet1!$A:$A,0)),"Not found")</f>
        <v>Not found</v>
      </c>
      <c r="O411">
        <f t="shared" si="19"/>
        <v>0</v>
      </c>
      <c r="P411">
        <f t="shared" si="20"/>
        <v>0</v>
      </c>
    </row>
    <row r="412" spans="1:16" x14ac:dyDescent="0.25">
      <c r="A412" t="s">
        <v>0</v>
      </c>
      <c r="B412" s="1">
        <v>41974</v>
      </c>
      <c r="C412" s="1">
        <v>42277</v>
      </c>
      <c r="D412" s="4" t="s">
        <v>770</v>
      </c>
      <c r="E412" t="s">
        <v>771</v>
      </c>
      <c r="F412">
        <v>24488</v>
      </c>
      <c r="G412">
        <v>25384813</v>
      </c>
      <c r="H412" t="s">
        <v>10</v>
      </c>
      <c r="I412" t="s">
        <v>11</v>
      </c>
      <c r="J412" t="s">
        <v>32</v>
      </c>
      <c r="K412" t="s">
        <v>2910</v>
      </c>
      <c r="L412">
        <f t="shared" ca="1" si="18"/>
        <v>0</v>
      </c>
      <c r="M412" t="str">
        <f>IFERROR(INDEX('[4]31.03.2024'!$H:$H,MATCH($E412,'[4]31.03.2024'!$B:$B,0)),"Not found")</f>
        <v>Not found</v>
      </c>
      <c r="N412" t="str">
        <f>IFERROR(INDEX([2]Sheet1!$B:$B,MATCH($D412,[2]Sheet1!$A:$A,0)),"Not found")</f>
        <v>Not found</v>
      </c>
      <c r="O412">
        <f t="shared" si="19"/>
        <v>0</v>
      </c>
      <c r="P412">
        <f t="shared" si="20"/>
        <v>0</v>
      </c>
    </row>
    <row r="413" spans="1:16" x14ac:dyDescent="0.25">
      <c r="A413" t="s">
        <v>0</v>
      </c>
      <c r="B413" s="1">
        <v>41974</v>
      </c>
      <c r="C413" s="1">
        <v>42277</v>
      </c>
      <c r="D413" s="4" t="s">
        <v>772</v>
      </c>
      <c r="E413" t="s">
        <v>773</v>
      </c>
      <c r="F413">
        <v>24489</v>
      </c>
      <c r="G413">
        <v>26549704</v>
      </c>
      <c r="H413" t="s">
        <v>10</v>
      </c>
      <c r="I413" t="s">
        <v>11</v>
      </c>
      <c r="J413" t="s">
        <v>32</v>
      </c>
      <c r="K413" t="s">
        <v>2910</v>
      </c>
      <c r="L413">
        <f t="shared" ca="1" si="18"/>
        <v>0</v>
      </c>
      <c r="M413" t="str">
        <f>IFERROR(INDEX('[4]31.03.2024'!$H:$H,MATCH($E413,'[4]31.03.2024'!$B:$B,0)),"Not found")</f>
        <v>Not found</v>
      </c>
      <c r="N413" t="str">
        <f>IFERROR(INDEX([2]Sheet1!$B:$B,MATCH($D413,[2]Sheet1!$A:$A,0)),"Not found")</f>
        <v>Not found</v>
      </c>
      <c r="O413">
        <f t="shared" si="19"/>
        <v>0</v>
      </c>
      <c r="P413">
        <f t="shared" si="20"/>
        <v>0</v>
      </c>
    </row>
    <row r="414" spans="1:16" x14ac:dyDescent="0.25">
      <c r="A414" t="s">
        <v>7</v>
      </c>
      <c r="B414" s="1">
        <v>41974</v>
      </c>
      <c r="C414" s="1">
        <v>43830</v>
      </c>
      <c r="D414" s="4" t="s">
        <v>776</v>
      </c>
      <c r="E414" t="s">
        <v>777</v>
      </c>
      <c r="F414">
        <v>24491</v>
      </c>
      <c r="G414">
        <v>25757018</v>
      </c>
      <c r="H414" t="s">
        <v>10</v>
      </c>
      <c r="I414" t="s">
        <v>11</v>
      </c>
      <c r="J414" t="s">
        <v>32</v>
      </c>
      <c r="K414" t="s">
        <v>2910</v>
      </c>
      <c r="L414">
        <f t="shared" ca="1" si="18"/>
        <v>5</v>
      </c>
      <c r="M414" t="str">
        <f>IFERROR(INDEX('[4]31.03.2024'!$H:$H,MATCH($E414,'[4]31.03.2024'!$B:$B,0)),"Not found")</f>
        <v>Not found</v>
      </c>
      <c r="N414" t="str">
        <f>IFERROR(INDEX([2]Sheet1!$B:$B,MATCH($D414,[2]Sheet1!$A:$A,0)),"Not found")</f>
        <v>Not found</v>
      </c>
      <c r="O414">
        <f t="shared" si="19"/>
        <v>0</v>
      </c>
      <c r="P414">
        <f t="shared" si="20"/>
        <v>0</v>
      </c>
    </row>
    <row r="415" spans="1:16" x14ac:dyDescent="0.25">
      <c r="A415" t="s">
        <v>7</v>
      </c>
      <c r="B415" s="1">
        <v>41974</v>
      </c>
      <c r="C415" s="1">
        <v>43830</v>
      </c>
      <c r="D415" s="4" t="s">
        <v>782</v>
      </c>
      <c r="E415" t="s">
        <v>783</v>
      </c>
      <c r="F415">
        <v>24494</v>
      </c>
      <c r="G415">
        <v>25757341</v>
      </c>
      <c r="H415" t="s">
        <v>10</v>
      </c>
      <c r="I415" t="s">
        <v>11</v>
      </c>
      <c r="J415" t="s">
        <v>32</v>
      </c>
      <c r="K415" t="s">
        <v>2910</v>
      </c>
      <c r="L415">
        <f t="shared" ca="1" si="18"/>
        <v>5</v>
      </c>
      <c r="M415" t="str">
        <f>IFERROR(INDEX('[4]31.03.2024'!$H:$H,MATCH($E415,'[4]31.03.2024'!$B:$B,0)),"Not found")</f>
        <v>Not found</v>
      </c>
      <c r="N415" t="str">
        <f>IFERROR(INDEX([2]Sheet1!$B:$B,MATCH($D415,[2]Sheet1!$A:$A,0)),"Not found")</f>
        <v>Not found</v>
      </c>
      <c r="O415">
        <f t="shared" si="19"/>
        <v>0</v>
      </c>
      <c r="P415">
        <f t="shared" si="20"/>
        <v>0</v>
      </c>
    </row>
    <row r="416" spans="1:16" x14ac:dyDescent="0.25">
      <c r="A416" t="s">
        <v>0</v>
      </c>
      <c r="B416" s="1">
        <v>41974</v>
      </c>
      <c r="C416" s="1">
        <v>43830</v>
      </c>
      <c r="D416" s="4" t="s">
        <v>784</v>
      </c>
      <c r="E416" t="s">
        <v>785</v>
      </c>
      <c r="F416">
        <v>24495</v>
      </c>
      <c r="G416">
        <v>25565868</v>
      </c>
      <c r="H416" t="s">
        <v>10</v>
      </c>
      <c r="I416" t="s">
        <v>11</v>
      </c>
      <c r="J416" t="s">
        <v>32</v>
      </c>
      <c r="K416" t="s">
        <v>2910</v>
      </c>
      <c r="L416">
        <f t="shared" ca="1" si="18"/>
        <v>5</v>
      </c>
      <c r="M416" t="str">
        <f>IFERROR(INDEX('[4]31.03.2024'!$H:$H,MATCH($E416,'[4]31.03.2024'!$B:$B,0)),"Not found")</f>
        <v>Not found</v>
      </c>
      <c r="N416" t="str">
        <f>IFERROR(INDEX([2]Sheet1!$B:$B,MATCH($D416,[2]Sheet1!$A:$A,0)),"Not found")</f>
        <v>Not found</v>
      </c>
      <c r="O416">
        <f t="shared" si="19"/>
        <v>0</v>
      </c>
      <c r="P416">
        <f t="shared" si="20"/>
        <v>0</v>
      </c>
    </row>
    <row r="417" spans="1:16" x14ac:dyDescent="0.25">
      <c r="A417" t="s">
        <v>0</v>
      </c>
      <c r="B417" s="1">
        <v>41974</v>
      </c>
      <c r="C417" s="1">
        <v>43921</v>
      </c>
      <c r="D417" s="4" t="s">
        <v>788</v>
      </c>
      <c r="E417" t="s">
        <v>789</v>
      </c>
      <c r="F417">
        <v>24497</v>
      </c>
      <c r="G417">
        <v>26186448</v>
      </c>
      <c r="H417" t="s">
        <v>10</v>
      </c>
      <c r="I417" t="s">
        <v>11</v>
      </c>
      <c r="J417" t="s">
        <v>32</v>
      </c>
      <c r="K417" t="s">
        <v>2910</v>
      </c>
      <c r="L417">
        <f t="shared" ca="1" si="18"/>
        <v>5</v>
      </c>
      <c r="M417" t="str">
        <f>IFERROR(INDEX('[4]31.03.2024'!$H:$H,MATCH($E417,'[4]31.03.2024'!$B:$B,0)),"Not found")</f>
        <v>Not found</v>
      </c>
      <c r="N417" t="str">
        <f>IFERROR(INDEX([2]Sheet1!$B:$B,MATCH($D417,[2]Sheet1!$A:$A,0)),"Not found")</f>
        <v>Not found</v>
      </c>
      <c r="O417">
        <f t="shared" si="19"/>
        <v>0</v>
      </c>
      <c r="P417">
        <f t="shared" si="20"/>
        <v>0</v>
      </c>
    </row>
    <row r="418" spans="1:16" x14ac:dyDescent="0.25">
      <c r="A418" t="s">
        <v>0</v>
      </c>
      <c r="B418" s="1">
        <v>41974</v>
      </c>
      <c r="C418" s="1">
        <v>43921</v>
      </c>
      <c r="D418" s="4" t="s">
        <v>790</v>
      </c>
      <c r="E418" t="s">
        <v>791</v>
      </c>
      <c r="F418">
        <v>24498</v>
      </c>
      <c r="G418">
        <v>24800862</v>
      </c>
      <c r="H418" t="s">
        <v>10</v>
      </c>
      <c r="I418" t="s">
        <v>11</v>
      </c>
      <c r="J418" t="s">
        <v>32</v>
      </c>
      <c r="K418" t="s">
        <v>2910</v>
      </c>
      <c r="L418">
        <f t="shared" ca="1" si="18"/>
        <v>5</v>
      </c>
      <c r="M418" t="str">
        <f>IFERROR(INDEX('[4]31.03.2024'!$H:$H,MATCH($E418,'[4]31.03.2024'!$B:$B,0)),"Not found")</f>
        <v>Not found</v>
      </c>
      <c r="N418" t="str">
        <f>IFERROR(INDEX([2]Sheet1!$B:$B,MATCH($D418,[2]Sheet1!$A:$A,0)),"Not found")</f>
        <v>Not found</v>
      </c>
      <c r="O418">
        <f t="shared" si="19"/>
        <v>0</v>
      </c>
      <c r="P418">
        <f t="shared" si="20"/>
        <v>0</v>
      </c>
    </row>
    <row r="419" spans="1:16" x14ac:dyDescent="0.25">
      <c r="A419" t="s">
        <v>0</v>
      </c>
      <c r="B419" s="1">
        <v>41974</v>
      </c>
      <c r="C419" s="1">
        <v>43921</v>
      </c>
      <c r="D419" s="4" t="s">
        <v>792</v>
      </c>
      <c r="E419" t="s">
        <v>793</v>
      </c>
      <c r="F419">
        <v>24499</v>
      </c>
      <c r="G419">
        <v>19417623</v>
      </c>
      <c r="H419" t="s">
        <v>10</v>
      </c>
      <c r="I419" t="s">
        <v>11</v>
      </c>
      <c r="J419" t="s">
        <v>32</v>
      </c>
      <c r="K419" t="s">
        <v>2910</v>
      </c>
      <c r="L419">
        <f t="shared" ca="1" si="18"/>
        <v>5</v>
      </c>
      <c r="M419" t="str">
        <f>IFERROR(INDEX('[4]31.03.2024'!$H:$H,MATCH($E419,'[4]31.03.2024'!$B:$B,0)),"Not found")</f>
        <v>Not found</v>
      </c>
      <c r="N419" t="str">
        <f>IFERROR(INDEX([2]Sheet1!$B:$B,MATCH($D419,[2]Sheet1!$A:$A,0)),"Not found")</f>
        <v>Not found</v>
      </c>
      <c r="O419">
        <f t="shared" si="19"/>
        <v>0</v>
      </c>
      <c r="P419">
        <f t="shared" si="20"/>
        <v>0</v>
      </c>
    </row>
    <row r="420" spans="1:16" x14ac:dyDescent="0.25">
      <c r="A420" t="s">
        <v>0</v>
      </c>
      <c r="B420" s="1">
        <v>41974</v>
      </c>
      <c r="C420" s="1">
        <v>43465</v>
      </c>
      <c r="D420" s="4" t="s">
        <v>794</v>
      </c>
      <c r="E420" t="s">
        <v>795</v>
      </c>
      <c r="F420">
        <v>24500</v>
      </c>
      <c r="G420">
        <v>24862983</v>
      </c>
      <c r="H420" t="s">
        <v>10</v>
      </c>
      <c r="I420" t="s">
        <v>11</v>
      </c>
      <c r="J420" t="s">
        <v>32</v>
      </c>
      <c r="K420" t="s">
        <v>2910</v>
      </c>
      <c r="L420">
        <f t="shared" ca="1" si="18"/>
        <v>4</v>
      </c>
      <c r="M420" t="str">
        <f>IFERROR(INDEX('[4]31.03.2024'!$H:$H,MATCH($E420,'[4]31.03.2024'!$B:$B,0)),"Not found")</f>
        <v>Not found</v>
      </c>
      <c r="N420" t="str">
        <f>IFERROR(INDEX([2]Sheet1!$B:$B,MATCH($D420,[2]Sheet1!$A:$A,0)),"Not found")</f>
        <v>Not found</v>
      </c>
      <c r="O420">
        <f t="shared" si="19"/>
        <v>0</v>
      </c>
      <c r="P420">
        <f t="shared" si="20"/>
        <v>0</v>
      </c>
    </row>
    <row r="421" spans="1:16" x14ac:dyDescent="0.25">
      <c r="A421" t="s">
        <v>0</v>
      </c>
      <c r="B421" s="1">
        <v>41974</v>
      </c>
      <c r="C421" s="1">
        <v>42735</v>
      </c>
      <c r="D421" s="4" t="s">
        <v>796</v>
      </c>
      <c r="E421" t="s">
        <v>797</v>
      </c>
      <c r="F421">
        <v>24501</v>
      </c>
      <c r="G421">
        <v>21274158</v>
      </c>
      <c r="H421" t="s">
        <v>10</v>
      </c>
      <c r="I421" t="s">
        <v>11</v>
      </c>
      <c r="J421" t="s">
        <v>12</v>
      </c>
      <c r="K421" t="s">
        <v>2910</v>
      </c>
      <c r="L421">
        <f t="shared" ca="1" si="18"/>
        <v>2</v>
      </c>
      <c r="M421" t="str">
        <f>IFERROR(INDEX('[4]31.03.2024'!$H:$H,MATCH($E421,'[4]31.03.2024'!$B:$B,0)),"Not found")</f>
        <v>Not found</v>
      </c>
      <c r="N421" t="str">
        <f>IFERROR(INDEX([2]Sheet1!$B:$B,MATCH($D421,[2]Sheet1!$A:$A,0)),"Not found")</f>
        <v>Not found</v>
      </c>
      <c r="O421">
        <f t="shared" si="19"/>
        <v>0</v>
      </c>
      <c r="P421">
        <f t="shared" si="20"/>
        <v>0</v>
      </c>
    </row>
    <row r="422" spans="1:16" x14ac:dyDescent="0.25">
      <c r="A422" t="s">
        <v>0</v>
      </c>
      <c r="B422" s="1">
        <v>41974</v>
      </c>
      <c r="C422" s="1">
        <v>42369</v>
      </c>
      <c r="D422" s="4" t="s">
        <v>798</v>
      </c>
      <c r="E422" t="s">
        <v>799</v>
      </c>
      <c r="F422">
        <v>24502</v>
      </c>
      <c r="G422">
        <v>25571942</v>
      </c>
      <c r="H422" t="s">
        <v>10</v>
      </c>
      <c r="I422" t="s">
        <v>11</v>
      </c>
      <c r="J422" t="s">
        <v>32</v>
      </c>
      <c r="K422" t="s">
        <v>2910</v>
      </c>
      <c r="L422">
        <f t="shared" ca="1" si="18"/>
        <v>1</v>
      </c>
      <c r="M422" t="str">
        <f>IFERROR(INDEX('[4]31.03.2024'!$H:$H,MATCH($E422,'[4]31.03.2024'!$B:$B,0)),"Not found")</f>
        <v>Not found</v>
      </c>
      <c r="N422" t="str">
        <f>IFERROR(INDEX([2]Sheet1!$B:$B,MATCH($D422,[2]Sheet1!$A:$A,0)),"Not found")</f>
        <v>Not found</v>
      </c>
      <c r="O422">
        <f t="shared" si="19"/>
        <v>0</v>
      </c>
      <c r="P422">
        <f t="shared" si="20"/>
        <v>0</v>
      </c>
    </row>
    <row r="423" spans="1:16" x14ac:dyDescent="0.25">
      <c r="A423" t="s">
        <v>2209</v>
      </c>
      <c r="B423" s="1">
        <v>41974</v>
      </c>
      <c r="C423" s="1">
        <v>45291</v>
      </c>
      <c r="D423" s="4" t="s">
        <v>30</v>
      </c>
      <c r="E423" t="s">
        <v>31</v>
      </c>
      <c r="F423">
        <v>24503</v>
      </c>
      <c r="G423">
        <v>25572371</v>
      </c>
      <c r="H423" t="s">
        <v>10</v>
      </c>
      <c r="I423" t="s">
        <v>11</v>
      </c>
      <c r="J423" t="s">
        <v>32</v>
      </c>
      <c r="K423" t="s">
        <v>2910</v>
      </c>
      <c r="L423">
        <f t="shared" ca="1" si="18"/>
        <v>9</v>
      </c>
      <c r="M423" t="str">
        <f>IFERROR(INDEX('[4]31.03.2024'!$H:$H,MATCH($E423,'[4]31.03.2024'!$B:$B,0)),"Not found")</f>
        <v>Not found</v>
      </c>
      <c r="N423" t="str">
        <f>IFERROR(INDEX([2]Sheet1!$B:$B,MATCH($D423,[2]Sheet1!$A:$A,0)),"Not found")</f>
        <v>Not found</v>
      </c>
      <c r="O423">
        <f t="shared" si="19"/>
        <v>0</v>
      </c>
      <c r="P423">
        <f t="shared" si="20"/>
        <v>0</v>
      </c>
    </row>
    <row r="424" spans="1:16" x14ac:dyDescent="0.25">
      <c r="A424" t="s">
        <v>0</v>
      </c>
      <c r="B424" s="1">
        <v>41974</v>
      </c>
      <c r="C424" s="1">
        <v>42369</v>
      </c>
      <c r="D424" s="4" t="s">
        <v>802</v>
      </c>
      <c r="E424" t="s">
        <v>803</v>
      </c>
      <c r="F424">
        <v>24505</v>
      </c>
      <c r="G424">
        <v>24956031</v>
      </c>
      <c r="H424" t="s">
        <v>10</v>
      </c>
      <c r="I424" t="s">
        <v>11</v>
      </c>
      <c r="J424" t="s">
        <v>32</v>
      </c>
      <c r="K424" t="s">
        <v>2910</v>
      </c>
      <c r="L424">
        <f t="shared" ca="1" si="18"/>
        <v>1</v>
      </c>
      <c r="M424" t="str">
        <f>IFERROR(INDEX('[4]31.03.2024'!$H:$H,MATCH($E424,'[4]31.03.2024'!$B:$B,0)),"Not found")</f>
        <v>Not found</v>
      </c>
      <c r="N424" t="str">
        <f>IFERROR(INDEX([2]Sheet1!$B:$B,MATCH($D424,[2]Sheet1!$A:$A,0)),"Not found")</f>
        <v>Not found</v>
      </c>
      <c r="O424">
        <f t="shared" si="19"/>
        <v>0</v>
      </c>
      <c r="P424">
        <f t="shared" si="20"/>
        <v>0</v>
      </c>
    </row>
    <row r="425" spans="1:16" x14ac:dyDescent="0.25">
      <c r="A425" t="s">
        <v>0</v>
      </c>
      <c r="B425" s="1">
        <v>41974</v>
      </c>
      <c r="C425" s="1">
        <v>42460</v>
      </c>
      <c r="D425" s="4" t="s">
        <v>804</v>
      </c>
      <c r="E425" t="s">
        <v>805</v>
      </c>
      <c r="F425">
        <v>24506</v>
      </c>
      <c r="G425">
        <v>19488085</v>
      </c>
      <c r="H425" t="s">
        <v>10</v>
      </c>
      <c r="I425" t="s">
        <v>11</v>
      </c>
      <c r="J425" t="s">
        <v>32</v>
      </c>
      <c r="K425" t="s">
        <v>2910</v>
      </c>
      <c r="L425">
        <f t="shared" ca="1" si="18"/>
        <v>1</v>
      </c>
      <c r="M425" t="str">
        <f>IFERROR(INDEX('[4]31.03.2024'!$H:$H,MATCH($E425,'[4]31.03.2024'!$B:$B,0)),"Not found")</f>
        <v>Not found</v>
      </c>
      <c r="N425" t="str">
        <f>IFERROR(INDEX([2]Sheet1!$B:$B,MATCH($D425,[2]Sheet1!$A:$A,0)),"Not found")</f>
        <v>Not found</v>
      </c>
      <c r="O425">
        <f t="shared" si="19"/>
        <v>0</v>
      </c>
      <c r="P425">
        <f t="shared" si="20"/>
        <v>0</v>
      </c>
    </row>
    <row r="426" spans="1:16" x14ac:dyDescent="0.25">
      <c r="A426" t="s">
        <v>0</v>
      </c>
      <c r="B426" s="1">
        <v>41974</v>
      </c>
      <c r="C426" s="1">
        <v>43100</v>
      </c>
      <c r="D426" s="4" t="s">
        <v>806</v>
      </c>
      <c r="E426" t="s">
        <v>807</v>
      </c>
      <c r="F426">
        <v>24507</v>
      </c>
      <c r="G426" t="s">
        <v>14</v>
      </c>
      <c r="H426" t="s">
        <v>10</v>
      </c>
      <c r="I426" t="s">
        <v>11</v>
      </c>
      <c r="J426" t="s">
        <v>47</v>
      </c>
      <c r="K426" t="s">
        <v>2910</v>
      </c>
      <c r="L426">
        <f t="shared" ca="1" si="18"/>
        <v>3</v>
      </c>
      <c r="M426" t="str">
        <f>IFERROR(INDEX('[4]31.03.2024'!$H:$H,MATCH($E426,'[4]31.03.2024'!$B:$B,0)),"Not found")</f>
        <v>Not found</v>
      </c>
      <c r="N426" t="str">
        <f>IFERROR(INDEX([2]Sheet1!$B:$B,MATCH($D426,[2]Sheet1!$A:$A,0)),"Not found")</f>
        <v>Not found</v>
      </c>
      <c r="O426">
        <f t="shared" si="19"/>
        <v>0</v>
      </c>
      <c r="P426">
        <f t="shared" si="20"/>
        <v>0</v>
      </c>
    </row>
    <row r="427" spans="1:16" x14ac:dyDescent="0.25">
      <c r="A427" t="s">
        <v>0</v>
      </c>
      <c r="B427" s="1">
        <v>41974</v>
      </c>
      <c r="C427" s="1">
        <v>43373</v>
      </c>
      <c r="D427" s="4" t="s">
        <v>808</v>
      </c>
      <c r="E427" t="s">
        <v>809</v>
      </c>
      <c r="F427">
        <v>24508</v>
      </c>
      <c r="G427">
        <v>18634351</v>
      </c>
      <c r="H427" t="s">
        <v>10</v>
      </c>
      <c r="I427" t="s">
        <v>11</v>
      </c>
      <c r="J427" t="s">
        <v>12</v>
      </c>
      <c r="K427" t="s">
        <v>2910</v>
      </c>
      <c r="L427">
        <f t="shared" ca="1" si="18"/>
        <v>3</v>
      </c>
      <c r="M427" t="str">
        <f>IFERROR(INDEX('[4]31.03.2024'!$H:$H,MATCH($E427,'[4]31.03.2024'!$B:$B,0)),"Not found")</f>
        <v>Not found</v>
      </c>
      <c r="N427" t="str">
        <f>IFERROR(INDEX([2]Sheet1!$B:$B,MATCH($D427,[2]Sheet1!$A:$A,0)),"Not found")</f>
        <v>Not found</v>
      </c>
      <c r="O427">
        <f t="shared" si="19"/>
        <v>0</v>
      </c>
      <c r="P427">
        <f t="shared" si="20"/>
        <v>0</v>
      </c>
    </row>
    <row r="428" spans="1:16" x14ac:dyDescent="0.25">
      <c r="A428" t="s">
        <v>0</v>
      </c>
      <c r="B428" s="1">
        <v>41974</v>
      </c>
      <c r="C428" s="1">
        <v>43646</v>
      </c>
      <c r="D428" s="4" t="s">
        <v>814</v>
      </c>
      <c r="E428" t="s">
        <v>815</v>
      </c>
      <c r="F428">
        <v>24511</v>
      </c>
      <c r="G428">
        <v>20748876</v>
      </c>
      <c r="H428" t="s">
        <v>10</v>
      </c>
      <c r="I428" t="s">
        <v>11</v>
      </c>
      <c r="J428" t="s">
        <v>80</v>
      </c>
      <c r="K428" t="s">
        <v>2910</v>
      </c>
      <c r="L428">
        <f t="shared" ca="1" si="18"/>
        <v>4</v>
      </c>
      <c r="M428" t="str">
        <f>IFERROR(INDEX('[4]31.03.2024'!$H:$H,MATCH($E428,'[4]31.03.2024'!$B:$B,0)),"Not found")</f>
        <v>Not found</v>
      </c>
      <c r="N428" t="str">
        <f>IFERROR(INDEX([2]Sheet1!$B:$B,MATCH($D428,[2]Sheet1!$A:$A,0)),"Not found")</f>
        <v>Not found</v>
      </c>
      <c r="O428">
        <f t="shared" si="19"/>
        <v>0</v>
      </c>
      <c r="P428">
        <f t="shared" si="20"/>
        <v>0</v>
      </c>
    </row>
    <row r="429" spans="1:16" x14ac:dyDescent="0.25">
      <c r="A429" t="s">
        <v>0</v>
      </c>
      <c r="B429" s="1">
        <v>41974</v>
      </c>
      <c r="C429" s="1">
        <v>42735</v>
      </c>
      <c r="D429" s="4" t="s">
        <v>818</v>
      </c>
      <c r="E429" t="s">
        <v>819</v>
      </c>
      <c r="F429">
        <v>24513</v>
      </c>
      <c r="G429">
        <v>24297267</v>
      </c>
      <c r="H429" t="s">
        <v>10</v>
      </c>
      <c r="I429" t="s">
        <v>11</v>
      </c>
      <c r="J429" t="s">
        <v>80</v>
      </c>
      <c r="K429" t="s">
        <v>2910</v>
      </c>
      <c r="L429">
        <f t="shared" ca="1" si="18"/>
        <v>2</v>
      </c>
      <c r="M429" t="str">
        <f>IFERROR(INDEX('[4]31.03.2024'!$H:$H,MATCH($E429,'[4]31.03.2024'!$B:$B,0)),"Not found")</f>
        <v>Not found</v>
      </c>
      <c r="N429" t="str">
        <f>IFERROR(INDEX([2]Sheet1!$B:$B,MATCH($D429,[2]Sheet1!$A:$A,0)),"Not found")</f>
        <v>Not found</v>
      </c>
      <c r="O429">
        <f t="shared" si="19"/>
        <v>0</v>
      </c>
      <c r="P429">
        <f t="shared" si="20"/>
        <v>0</v>
      </c>
    </row>
    <row r="430" spans="1:16" x14ac:dyDescent="0.25">
      <c r="A430" t="s">
        <v>0</v>
      </c>
      <c r="B430" s="1">
        <v>41974</v>
      </c>
      <c r="C430" s="1">
        <v>42369</v>
      </c>
      <c r="D430" s="4" t="s">
        <v>822</v>
      </c>
      <c r="E430" t="s">
        <v>823</v>
      </c>
      <c r="F430">
        <v>24515</v>
      </c>
      <c r="G430">
        <v>23591261</v>
      </c>
      <c r="H430" t="s">
        <v>10</v>
      </c>
      <c r="I430" t="s">
        <v>11</v>
      </c>
      <c r="J430" t="s">
        <v>80</v>
      </c>
      <c r="K430" t="s">
        <v>2910</v>
      </c>
      <c r="L430">
        <f t="shared" ca="1" si="18"/>
        <v>1</v>
      </c>
      <c r="M430" t="str">
        <f>IFERROR(INDEX('[4]31.03.2024'!$H:$H,MATCH($E430,'[4]31.03.2024'!$B:$B,0)),"Not found")</f>
        <v>Not found</v>
      </c>
      <c r="N430" t="str">
        <f>IFERROR(INDEX([2]Sheet1!$B:$B,MATCH($D430,[2]Sheet1!$A:$A,0)),"Not found")</f>
        <v>Not found</v>
      </c>
      <c r="O430">
        <f t="shared" si="19"/>
        <v>0</v>
      </c>
      <c r="P430">
        <f t="shared" si="20"/>
        <v>0</v>
      </c>
    </row>
    <row r="431" spans="1:16" x14ac:dyDescent="0.25">
      <c r="A431" t="s">
        <v>0</v>
      </c>
      <c r="B431" s="1">
        <v>41974</v>
      </c>
      <c r="C431" s="1">
        <v>43100</v>
      </c>
      <c r="D431" s="4" t="s">
        <v>824</v>
      </c>
      <c r="E431" t="s">
        <v>825</v>
      </c>
      <c r="F431">
        <v>24516</v>
      </c>
      <c r="G431">
        <v>25429196</v>
      </c>
      <c r="H431" t="s">
        <v>10</v>
      </c>
      <c r="I431" t="s">
        <v>11</v>
      </c>
      <c r="J431" t="s">
        <v>80</v>
      </c>
      <c r="K431" t="s">
        <v>2910</v>
      </c>
      <c r="L431">
        <f t="shared" ca="1" si="18"/>
        <v>3</v>
      </c>
      <c r="M431" t="str">
        <f>IFERROR(INDEX('[4]31.03.2024'!$H:$H,MATCH($E431,'[4]31.03.2024'!$B:$B,0)),"Not found")</f>
        <v>Not found</v>
      </c>
      <c r="N431" t="str">
        <f>IFERROR(INDEX([2]Sheet1!$B:$B,MATCH($D431,[2]Sheet1!$A:$A,0)),"Not found")</f>
        <v>Not found</v>
      </c>
      <c r="O431">
        <f t="shared" si="19"/>
        <v>0</v>
      </c>
      <c r="P431">
        <f t="shared" si="20"/>
        <v>0</v>
      </c>
    </row>
    <row r="432" spans="1:16" x14ac:dyDescent="0.25">
      <c r="A432" t="s">
        <v>0</v>
      </c>
      <c r="B432" s="1">
        <v>41974</v>
      </c>
      <c r="C432" s="1">
        <v>44742</v>
      </c>
      <c r="D432" s="4" t="s">
        <v>826</v>
      </c>
      <c r="E432" t="s">
        <v>827</v>
      </c>
      <c r="F432">
        <v>24517</v>
      </c>
      <c r="G432">
        <v>25510867</v>
      </c>
      <c r="H432" t="s">
        <v>10</v>
      </c>
      <c r="I432" t="s">
        <v>11</v>
      </c>
      <c r="J432" t="s">
        <v>12</v>
      </c>
      <c r="K432" t="s">
        <v>2910</v>
      </c>
      <c r="L432">
        <f t="shared" ca="1" si="18"/>
        <v>7</v>
      </c>
      <c r="M432" t="str">
        <f>IFERROR(INDEX('[4]31.03.2024'!$H:$H,MATCH($E432,'[4]31.03.2024'!$B:$B,0)),"Not found")</f>
        <v>Not found</v>
      </c>
      <c r="N432" t="str">
        <f>IFERROR(INDEX([2]Sheet1!$B:$B,MATCH($D432,[2]Sheet1!$A:$A,0)),"Not found")</f>
        <v>Not found</v>
      </c>
      <c r="O432">
        <f t="shared" si="19"/>
        <v>0</v>
      </c>
      <c r="P432">
        <f t="shared" si="20"/>
        <v>0</v>
      </c>
    </row>
    <row r="433" spans="1:16" x14ac:dyDescent="0.25">
      <c r="A433" t="s">
        <v>0</v>
      </c>
      <c r="B433" s="1">
        <v>41974</v>
      </c>
      <c r="C433" s="1">
        <v>43008</v>
      </c>
      <c r="D433" s="4" t="s">
        <v>828</v>
      </c>
      <c r="E433" t="s">
        <v>829</v>
      </c>
      <c r="F433">
        <v>24518</v>
      </c>
      <c r="G433">
        <v>20487880</v>
      </c>
      <c r="H433" t="s">
        <v>10</v>
      </c>
      <c r="I433" t="s">
        <v>11</v>
      </c>
      <c r="J433" t="s">
        <v>80</v>
      </c>
      <c r="K433" t="s">
        <v>2910</v>
      </c>
      <c r="L433">
        <f t="shared" ca="1" si="18"/>
        <v>2</v>
      </c>
      <c r="M433" t="str">
        <f>IFERROR(INDEX('[4]31.03.2024'!$H:$H,MATCH($E433,'[4]31.03.2024'!$B:$B,0)),"Not found")</f>
        <v>Not found</v>
      </c>
      <c r="N433" t="str">
        <f>IFERROR(INDEX([2]Sheet1!$B:$B,MATCH($D433,[2]Sheet1!$A:$A,0)),"Not found")</f>
        <v>Not found</v>
      </c>
      <c r="O433">
        <f t="shared" si="19"/>
        <v>0</v>
      </c>
      <c r="P433">
        <f t="shared" si="20"/>
        <v>0</v>
      </c>
    </row>
    <row r="434" spans="1:16" x14ac:dyDescent="0.25">
      <c r="A434" t="s">
        <v>0</v>
      </c>
      <c r="B434" s="1">
        <v>41974</v>
      </c>
      <c r="C434" s="1">
        <v>42369</v>
      </c>
      <c r="D434" s="4" t="s">
        <v>830</v>
      </c>
      <c r="E434" t="s">
        <v>831</v>
      </c>
      <c r="F434">
        <v>24519</v>
      </c>
      <c r="G434">
        <v>24006669</v>
      </c>
      <c r="H434" t="s">
        <v>10</v>
      </c>
      <c r="I434" t="s">
        <v>11</v>
      </c>
      <c r="J434" t="s">
        <v>80</v>
      </c>
      <c r="K434" t="s">
        <v>2910</v>
      </c>
      <c r="L434">
        <f t="shared" ca="1" si="18"/>
        <v>1</v>
      </c>
      <c r="M434" t="str">
        <f>IFERROR(INDEX('[4]31.03.2024'!$H:$H,MATCH($E434,'[4]31.03.2024'!$B:$B,0)),"Not found")</f>
        <v>Not found</v>
      </c>
      <c r="N434" t="str">
        <f>IFERROR(INDEX([2]Sheet1!$B:$B,MATCH($D434,[2]Sheet1!$A:$A,0)),"Not found")</f>
        <v>Not found</v>
      </c>
      <c r="O434">
        <f t="shared" si="19"/>
        <v>0</v>
      </c>
      <c r="P434">
        <f t="shared" si="20"/>
        <v>0</v>
      </c>
    </row>
    <row r="435" spans="1:16" x14ac:dyDescent="0.25">
      <c r="A435" t="s">
        <v>0</v>
      </c>
      <c r="B435" s="1">
        <v>41974</v>
      </c>
      <c r="C435" s="1">
        <v>42735</v>
      </c>
      <c r="D435" s="4" t="s">
        <v>832</v>
      </c>
      <c r="E435" t="s">
        <v>833</v>
      </c>
      <c r="F435">
        <v>24520</v>
      </c>
      <c r="G435">
        <v>24636791</v>
      </c>
      <c r="H435" t="s">
        <v>10</v>
      </c>
      <c r="I435" t="s">
        <v>11</v>
      </c>
      <c r="J435" t="s">
        <v>80</v>
      </c>
      <c r="K435" t="s">
        <v>2910</v>
      </c>
      <c r="L435">
        <f t="shared" ca="1" si="18"/>
        <v>2</v>
      </c>
      <c r="M435" t="str">
        <f>IFERROR(INDEX('[4]31.03.2024'!$H:$H,MATCH($E435,'[4]31.03.2024'!$B:$B,0)),"Not found")</f>
        <v>Not found</v>
      </c>
      <c r="N435" t="str">
        <f>IFERROR(INDEX([2]Sheet1!$B:$B,MATCH($D435,[2]Sheet1!$A:$A,0)),"Not found")</f>
        <v>Not found</v>
      </c>
      <c r="O435">
        <f t="shared" si="19"/>
        <v>0</v>
      </c>
      <c r="P435">
        <f t="shared" si="20"/>
        <v>0</v>
      </c>
    </row>
    <row r="436" spans="1:16" x14ac:dyDescent="0.25">
      <c r="A436" t="s">
        <v>0</v>
      </c>
      <c r="B436" s="1">
        <v>41974</v>
      </c>
      <c r="C436" s="1">
        <v>42369</v>
      </c>
      <c r="D436" s="4" t="s">
        <v>834</v>
      </c>
      <c r="E436" t="s">
        <v>835</v>
      </c>
      <c r="F436">
        <v>24521</v>
      </c>
      <c r="G436">
        <v>25153847</v>
      </c>
      <c r="H436" t="s">
        <v>10</v>
      </c>
      <c r="I436" t="s">
        <v>11</v>
      </c>
      <c r="J436" t="s">
        <v>80</v>
      </c>
      <c r="K436" t="s">
        <v>2910</v>
      </c>
      <c r="L436">
        <f t="shared" ca="1" si="18"/>
        <v>1</v>
      </c>
      <c r="M436" t="str">
        <f>IFERROR(INDEX('[4]31.03.2024'!$H:$H,MATCH($E436,'[4]31.03.2024'!$B:$B,0)),"Not found")</f>
        <v>Not found</v>
      </c>
      <c r="N436" t="str">
        <f>IFERROR(INDEX([2]Sheet1!$B:$B,MATCH($D436,[2]Sheet1!$A:$A,0)),"Not found")</f>
        <v>Not found</v>
      </c>
      <c r="O436">
        <f t="shared" si="19"/>
        <v>0</v>
      </c>
      <c r="P436">
        <f t="shared" si="20"/>
        <v>0</v>
      </c>
    </row>
    <row r="437" spans="1:16" x14ac:dyDescent="0.25">
      <c r="A437" t="s">
        <v>0</v>
      </c>
      <c r="B437" s="1">
        <v>41974</v>
      </c>
      <c r="C437" s="1">
        <v>42369</v>
      </c>
      <c r="D437" s="4" t="s">
        <v>836</v>
      </c>
      <c r="E437" t="s">
        <v>837</v>
      </c>
      <c r="F437">
        <v>24522</v>
      </c>
      <c r="G437">
        <v>23236024</v>
      </c>
      <c r="H437" t="s">
        <v>10</v>
      </c>
      <c r="I437" t="s">
        <v>11</v>
      </c>
      <c r="J437" t="s">
        <v>80</v>
      </c>
      <c r="K437" t="s">
        <v>2910</v>
      </c>
      <c r="L437">
        <f t="shared" ca="1" si="18"/>
        <v>1</v>
      </c>
      <c r="M437" t="str">
        <f>IFERROR(INDEX('[4]31.03.2024'!$H:$H,MATCH($E437,'[4]31.03.2024'!$B:$B,0)),"Not found")</f>
        <v>Not found</v>
      </c>
      <c r="N437" t="str">
        <f>IFERROR(INDEX([2]Sheet1!$B:$B,MATCH($D437,[2]Sheet1!$A:$A,0)),"Not found")</f>
        <v>Not found</v>
      </c>
      <c r="O437">
        <f t="shared" si="19"/>
        <v>0</v>
      </c>
      <c r="P437">
        <f t="shared" si="20"/>
        <v>0</v>
      </c>
    </row>
    <row r="438" spans="1:16" x14ac:dyDescent="0.25">
      <c r="A438" t="s">
        <v>0</v>
      </c>
      <c r="B438" s="1">
        <v>41974</v>
      </c>
      <c r="C438" s="1">
        <v>42369</v>
      </c>
      <c r="D438" s="4" t="s">
        <v>838</v>
      </c>
      <c r="E438" t="s">
        <v>839</v>
      </c>
      <c r="F438">
        <v>24523</v>
      </c>
      <c r="G438">
        <v>23236067</v>
      </c>
      <c r="H438" t="s">
        <v>10</v>
      </c>
      <c r="I438" t="s">
        <v>11</v>
      </c>
      <c r="J438" t="s">
        <v>80</v>
      </c>
      <c r="K438" t="s">
        <v>2910</v>
      </c>
      <c r="L438">
        <f t="shared" ca="1" si="18"/>
        <v>1</v>
      </c>
      <c r="M438" t="str">
        <f>IFERROR(INDEX('[4]31.03.2024'!$H:$H,MATCH($E438,'[4]31.03.2024'!$B:$B,0)),"Not found")</f>
        <v>Not found</v>
      </c>
      <c r="N438" t="str">
        <f>IFERROR(INDEX([2]Sheet1!$B:$B,MATCH($D438,[2]Sheet1!$A:$A,0)),"Not found")</f>
        <v>Not found</v>
      </c>
      <c r="O438">
        <f t="shared" si="19"/>
        <v>0</v>
      </c>
      <c r="P438">
        <f t="shared" si="20"/>
        <v>0</v>
      </c>
    </row>
    <row r="439" spans="1:16" x14ac:dyDescent="0.25">
      <c r="A439" t="s">
        <v>0</v>
      </c>
      <c r="B439" s="1">
        <v>41974</v>
      </c>
      <c r="C439" s="1">
        <v>43190</v>
      </c>
      <c r="D439" s="4" t="s">
        <v>840</v>
      </c>
      <c r="E439" t="s">
        <v>841</v>
      </c>
      <c r="F439">
        <v>24525</v>
      </c>
      <c r="G439">
        <v>25902705</v>
      </c>
      <c r="H439" t="s">
        <v>10</v>
      </c>
      <c r="I439" t="s">
        <v>11</v>
      </c>
      <c r="J439" t="s">
        <v>32</v>
      </c>
      <c r="K439" t="s">
        <v>2910</v>
      </c>
      <c r="L439">
        <f t="shared" ca="1" si="18"/>
        <v>3</v>
      </c>
      <c r="M439" t="str">
        <f>IFERROR(INDEX('[4]31.03.2024'!$H:$H,MATCH($E439,'[4]31.03.2024'!$B:$B,0)),"Not found")</f>
        <v>Not found</v>
      </c>
      <c r="N439" t="str">
        <f>IFERROR(INDEX([2]Sheet1!$B:$B,MATCH($D439,[2]Sheet1!$A:$A,0)),"Not found")</f>
        <v>Not found</v>
      </c>
      <c r="O439">
        <f t="shared" si="19"/>
        <v>0</v>
      </c>
      <c r="P439">
        <f t="shared" si="20"/>
        <v>0</v>
      </c>
    </row>
    <row r="440" spans="1:16" x14ac:dyDescent="0.25">
      <c r="A440" t="s">
        <v>0</v>
      </c>
      <c r="B440" s="1">
        <v>41974</v>
      </c>
      <c r="C440" s="1">
        <v>43190</v>
      </c>
      <c r="D440" s="4" t="s">
        <v>842</v>
      </c>
      <c r="E440" t="s">
        <v>843</v>
      </c>
      <c r="F440">
        <v>24526</v>
      </c>
      <c r="G440">
        <v>25989214</v>
      </c>
      <c r="H440" t="s">
        <v>10</v>
      </c>
      <c r="I440" t="s">
        <v>11</v>
      </c>
      <c r="J440" t="s">
        <v>29</v>
      </c>
      <c r="K440" t="s">
        <v>2910</v>
      </c>
      <c r="L440">
        <f t="shared" ca="1" si="18"/>
        <v>3</v>
      </c>
      <c r="M440" t="str">
        <f>IFERROR(INDEX('[4]31.03.2024'!$H:$H,MATCH($E440,'[4]31.03.2024'!$B:$B,0)),"Not found")</f>
        <v>Not found</v>
      </c>
      <c r="N440" t="str">
        <f>IFERROR(INDEX([2]Sheet1!$B:$B,MATCH($D440,[2]Sheet1!$A:$A,0)),"Not found")</f>
        <v>Not found</v>
      </c>
      <c r="O440">
        <f t="shared" si="19"/>
        <v>0</v>
      </c>
      <c r="P440">
        <f t="shared" si="20"/>
        <v>0</v>
      </c>
    </row>
    <row r="441" spans="1:16" x14ac:dyDescent="0.25">
      <c r="A441" t="s">
        <v>0</v>
      </c>
      <c r="B441" s="1">
        <v>41974</v>
      </c>
      <c r="C441" s="1">
        <v>44012</v>
      </c>
      <c r="D441" s="4" t="s">
        <v>844</v>
      </c>
      <c r="E441" t="s">
        <v>845</v>
      </c>
      <c r="F441">
        <v>24527</v>
      </c>
      <c r="G441">
        <v>25612337</v>
      </c>
      <c r="H441" t="s">
        <v>10</v>
      </c>
      <c r="I441" t="s">
        <v>11</v>
      </c>
      <c r="J441" t="s">
        <v>29</v>
      </c>
      <c r="K441" t="s">
        <v>2910</v>
      </c>
      <c r="L441">
        <f t="shared" ca="1" si="18"/>
        <v>5</v>
      </c>
      <c r="M441" t="str">
        <f>IFERROR(INDEX('[4]31.03.2024'!$H:$H,MATCH($E441,'[4]31.03.2024'!$B:$B,0)),"Not found")</f>
        <v>Not found</v>
      </c>
      <c r="N441" t="str">
        <f>IFERROR(INDEX([2]Sheet1!$B:$B,MATCH($D441,[2]Sheet1!$A:$A,0)),"Not found")</f>
        <v>Not found</v>
      </c>
      <c r="O441">
        <f t="shared" si="19"/>
        <v>0</v>
      </c>
      <c r="P441">
        <f t="shared" si="20"/>
        <v>0</v>
      </c>
    </row>
    <row r="442" spans="1:16" x14ac:dyDescent="0.25">
      <c r="A442" t="s">
        <v>0</v>
      </c>
      <c r="B442" s="1">
        <v>41974</v>
      </c>
      <c r="C442" s="1">
        <v>43738</v>
      </c>
      <c r="D442" s="4" t="s">
        <v>850</v>
      </c>
      <c r="E442" t="s">
        <v>851</v>
      </c>
      <c r="F442">
        <v>24531</v>
      </c>
      <c r="G442">
        <v>25793262</v>
      </c>
      <c r="H442" t="s">
        <v>10</v>
      </c>
      <c r="I442" t="s">
        <v>11</v>
      </c>
      <c r="J442" t="s">
        <v>32</v>
      </c>
      <c r="K442" t="s">
        <v>2910</v>
      </c>
      <c r="L442">
        <f t="shared" ca="1" si="18"/>
        <v>4</v>
      </c>
      <c r="M442" t="str">
        <f>IFERROR(INDEX('[4]31.03.2024'!$H:$H,MATCH($E442,'[4]31.03.2024'!$B:$B,0)),"Not found")</f>
        <v>Not found</v>
      </c>
      <c r="N442" t="str">
        <f>IFERROR(INDEX([2]Sheet1!$B:$B,MATCH($D442,[2]Sheet1!$A:$A,0)),"Not found")</f>
        <v>Not found</v>
      </c>
      <c r="O442">
        <f t="shared" si="19"/>
        <v>0</v>
      </c>
      <c r="P442">
        <f t="shared" si="20"/>
        <v>0</v>
      </c>
    </row>
    <row r="443" spans="1:16" x14ac:dyDescent="0.25">
      <c r="A443" t="s">
        <v>0</v>
      </c>
      <c r="B443" s="1">
        <v>41974</v>
      </c>
      <c r="C443" s="1">
        <v>44651</v>
      </c>
      <c r="D443" s="4" t="s">
        <v>854</v>
      </c>
      <c r="E443" t="s">
        <v>855</v>
      </c>
      <c r="F443">
        <v>24534</v>
      </c>
      <c r="G443">
        <v>24450567</v>
      </c>
      <c r="H443" t="s">
        <v>10</v>
      </c>
      <c r="I443" t="s">
        <v>11</v>
      </c>
      <c r="J443" t="s">
        <v>12</v>
      </c>
      <c r="K443" t="s">
        <v>2910</v>
      </c>
      <c r="L443">
        <f t="shared" ca="1" si="18"/>
        <v>7</v>
      </c>
      <c r="M443" t="str">
        <f>IFERROR(INDEX('[4]31.03.2024'!$H:$H,MATCH($E443,'[4]31.03.2024'!$B:$B,0)),"Not found")</f>
        <v>Not found</v>
      </c>
      <c r="N443" t="str">
        <f>IFERROR(INDEX([2]Sheet1!$B:$B,MATCH($D443,[2]Sheet1!$A:$A,0)),"Not found")</f>
        <v>Not found</v>
      </c>
      <c r="O443">
        <f t="shared" si="19"/>
        <v>0</v>
      </c>
      <c r="P443">
        <f t="shared" si="20"/>
        <v>0</v>
      </c>
    </row>
    <row r="444" spans="1:16" x14ac:dyDescent="0.25">
      <c r="A444" t="s">
        <v>0</v>
      </c>
      <c r="B444" s="1">
        <v>41974</v>
      </c>
      <c r="C444" s="1">
        <v>42460</v>
      </c>
      <c r="D444" s="4" t="s">
        <v>858</v>
      </c>
      <c r="E444" t="s">
        <v>859</v>
      </c>
      <c r="F444">
        <v>24543</v>
      </c>
      <c r="G444">
        <v>26042532</v>
      </c>
      <c r="H444" t="s">
        <v>10</v>
      </c>
      <c r="I444" t="s">
        <v>11</v>
      </c>
      <c r="J444" t="s">
        <v>32</v>
      </c>
      <c r="K444" t="s">
        <v>2910</v>
      </c>
      <c r="L444">
        <f t="shared" ca="1" si="18"/>
        <v>1</v>
      </c>
      <c r="M444" t="str">
        <f>IFERROR(INDEX('[4]31.03.2024'!$H:$H,MATCH($E444,'[4]31.03.2024'!$B:$B,0)),"Not found")</f>
        <v>Not found</v>
      </c>
      <c r="N444" t="str">
        <f>IFERROR(INDEX([2]Sheet1!$B:$B,MATCH($D444,[2]Sheet1!$A:$A,0)),"Not found")</f>
        <v>Not found</v>
      </c>
      <c r="O444">
        <f t="shared" si="19"/>
        <v>0</v>
      </c>
      <c r="P444">
        <f t="shared" si="20"/>
        <v>0</v>
      </c>
    </row>
    <row r="445" spans="1:16" x14ac:dyDescent="0.25">
      <c r="A445" t="s">
        <v>0</v>
      </c>
      <c r="B445" s="1">
        <v>42064</v>
      </c>
      <c r="C445" s="1">
        <v>44012</v>
      </c>
      <c r="D445" s="4" t="s">
        <v>864</v>
      </c>
      <c r="E445" t="s">
        <v>865</v>
      </c>
      <c r="F445">
        <v>24830</v>
      </c>
      <c r="G445">
        <v>26607599</v>
      </c>
      <c r="H445" t="s">
        <v>3</v>
      </c>
      <c r="I445" t="s">
        <v>4</v>
      </c>
      <c r="J445" t="s">
        <v>50</v>
      </c>
      <c r="K445" t="s">
        <v>2910</v>
      </c>
      <c r="L445">
        <f t="shared" ca="1" si="18"/>
        <v>5</v>
      </c>
      <c r="M445" t="str">
        <f>IFERROR(INDEX('[4]31.03.2024'!$H:$H,MATCH($E445,'[4]31.03.2024'!$B:$B,0)),"Not found")</f>
        <v>Not found</v>
      </c>
      <c r="N445" t="str">
        <f>IFERROR(INDEX([2]Sheet1!$B:$B,MATCH($D445,[2]Sheet1!$A:$A,0)),"Not found")</f>
        <v>Not found</v>
      </c>
      <c r="O445">
        <f t="shared" si="19"/>
        <v>0</v>
      </c>
      <c r="P445">
        <f t="shared" si="20"/>
        <v>0</v>
      </c>
    </row>
    <row r="446" spans="1:16" x14ac:dyDescent="0.25">
      <c r="A446" t="s">
        <v>0</v>
      </c>
      <c r="B446" s="1">
        <v>41974</v>
      </c>
      <c r="C446" s="1">
        <v>44286</v>
      </c>
      <c r="D446" s="4" t="s">
        <v>866</v>
      </c>
      <c r="E446" t="s">
        <v>867</v>
      </c>
      <c r="F446">
        <v>24888</v>
      </c>
      <c r="G446">
        <v>25383095</v>
      </c>
      <c r="H446" t="s">
        <v>10</v>
      </c>
      <c r="I446" t="s">
        <v>11</v>
      </c>
      <c r="J446" t="s">
        <v>32</v>
      </c>
      <c r="K446" t="s">
        <v>2910</v>
      </c>
      <c r="L446">
        <f t="shared" ca="1" si="18"/>
        <v>6</v>
      </c>
      <c r="M446" t="str">
        <f>IFERROR(INDEX('[4]31.03.2024'!$H:$H,MATCH($E446,'[4]31.03.2024'!$B:$B,0)),"Not found")</f>
        <v>Not found</v>
      </c>
      <c r="N446" t="str">
        <f>IFERROR(INDEX([2]Sheet1!$B:$B,MATCH($D446,[2]Sheet1!$A:$A,0)),"Not found")</f>
        <v>Not found</v>
      </c>
      <c r="O446">
        <f t="shared" si="19"/>
        <v>0</v>
      </c>
      <c r="P446">
        <f t="shared" si="20"/>
        <v>0</v>
      </c>
    </row>
    <row r="447" spans="1:16" x14ac:dyDescent="0.25">
      <c r="A447" t="s">
        <v>0</v>
      </c>
      <c r="B447" s="1">
        <v>41974</v>
      </c>
      <c r="C447" s="1">
        <v>44286</v>
      </c>
      <c r="D447" s="4" t="s">
        <v>868</v>
      </c>
      <c r="E447" t="s">
        <v>869</v>
      </c>
      <c r="F447">
        <v>24889</v>
      </c>
      <c r="G447">
        <v>25529808</v>
      </c>
      <c r="H447" t="s">
        <v>10</v>
      </c>
      <c r="I447" t="s">
        <v>11</v>
      </c>
      <c r="J447" t="s">
        <v>32</v>
      </c>
      <c r="K447" t="s">
        <v>2910</v>
      </c>
      <c r="L447">
        <f t="shared" ca="1" si="18"/>
        <v>6</v>
      </c>
      <c r="M447" t="str">
        <f>IFERROR(INDEX('[4]31.03.2024'!$H:$H,MATCH($E447,'[4]31.03.2024'!$B:$B,0)),"Not found")</f>
        <v>Not found</v>
      </c>
      <c r="N447" t="str">
        <f>IFERROR(INDEX([2]Sheet1!$B:$B,MATCH($D447,[2]Sheet1!$A:$A,0)),"Not found")</f>
        <v>Not found</v>
      </c>
      <c r="O447">
        <f t="shared" si="19"/>
        <v>0</v>
      </c>
      <c r="P447">
        <f t="shared" si="20"/>
        <v>0</v>
      </c>
    </row>
    <row r="448" spans="1:16" x14ac:dyDescent="0.25">
      <c r="A448" t="s">
        <v>0</v>
      </c>
      <c r="B448" s="1">
        <v>41974</v>
      </c>
      <c r="C448" s="1">
        <v>44286</v>
      </c>
      <c r="D448" s="4" t="s">
        <v>870</v>
      </c>
      <c r="E448" t="s">
        <v>871</v>
      </c>
      <c r="F448">
        <v>24890</v>
      </c>
      <c r="G448">
        <v>26056037</v>
      </c>
      <c r="H448" t="s">
        <v>10</v>
      </c>
      <c r="I448" t="s">
        <v>11</v>
      </c>
      <c r="J448" t="s">
        <v>32</v>
      </c>
      <c r="K448" t="s">
        <v>2910</v>
      </c>
      <c r="L448">
        <f t="shared" ca="1" si="18"/>
        <v>6</v>
      </c>
      <c r="M448" t="str">
        <f>IFERROR(INDEX('[4]31.03.2024'!$H:$H,MATCH($E448,'[4]31.03.2024'!$B:$B,0)),"Not found")</f>
        <v>Not found</v>
      </c>
      <c r="N448" t="str">
        <f>IFERROR(INDEX([2]Sheet1!$B:$B,MATCH($D448,[2]Sheet1!$A:$A,0)),"Not found")</f>
        <v>Not found</v>
      </c>
      <c r="O448">
        <f t="shared" si="19"/>
        <v>0</v>
      </c>
      <c r="P448">
        <f t="shared" si="20"/>
        <v>0</v>
      </c>
    </row>
    <row r="449" spans="1:16" x14ac:dyDescent="0.25">
      <c r="A449" t="s">
        <v>0</v>
      </c>
      <c r="B449" s="1">
        <v>41974</v>
      </c>
      <c r="C449" s="1">
        <v>44286</v>
      </c>
      <c r="D449" s="4" t="s">
        <v>872</v>
      </c>
      <c r="E449" t="s">
        <v>873</v>
      </c>
      <c r="F449">
        <v>24891</v>
      </c>
      <c r="G449">
        <v>26187248</v>
      </c>
      <c r="H449" t="s">
        <v>10</v>
      </c>
      <c r="I449" t="s">
        <v>11</v>
      </c>
      <c r="J449" t="s">
        <v>32</v>
      </c>
      <c r="K449" t="s">
        <v>2910</v>
      </c>
      <c r="L449">
        <f t="shared" ca="1" si="18"/>
        <v>6</v>
      </c>
      <c r="M449" t="str">
        <f>IFERROR(INDEX('[4]31.03.2024'!$H:$H,MATCH($E449,'[4]31.03.2024'!$B:$B,0)),"Not found")</f>
        <v>Not found</v>
      </c>
      <c r="N449" t="str">
        <f>IFERROR(INDEX([2]Sheet1!$B:$B,MATCH($D449,[2]Sheet1!$A:$A,0)),"Not found")</f>
        <v>Not found</v>
      </c>
      <c r="O449">
        <f t="shared" si="19"/>
        <v>0</v>
      </c>
      <c r="P449">
        <f t="shared" si="20"/>
        <v>0</v>
      </c>
    </row>
    <row r="450" spans="1:16" x14ac:dyDescent="0.25">
      <c r="A450" t="s">
        <v>0</v>
      </c>
      <c r="B450" s="1">
        <v>42095</v>
      </c>
      <c r="C450" s="1">
        <v>55153</v>
      </c>
      <c r="D450" s="4" t="s">
        <v>33</v>
      </c>
      <c r="E450" t="s">
        <v>880</v>
      </c>
      <c r="F450">
        <v>24907</v>
      </c>
      <c r="G450">
        <v>26850708</v>
      </c>
      <c r="H450" t="s">
        <v>3</v>
      </c>
      <c r="I450" t="s">
        <v>4</v>
      </c>
      <c r="J450" t="s">
        <v>5</v>
      </c>
      <c r="K450" t="s">
        <v>2910</v>
      </c>
      <c r="L450">
        <f t="shared" ca="1" si="18"/>
        <v>35</v>
      </c>
      <c r="M450" t="str">
        <f>IFERROR(INDEX('[4]31.03.2024'!$H:$H,MATCH($E450,'[4]31.03.2024'!$B:$B,0)),"Not found")</f>
        <v>Not found</v>
      </c>
      <c r="N450" t="str">
        <f>IFERROR(INDEX([2]Sheet1!$B:$B,MATCH($D450,[2]Sheet1!$A:$A,0)),"Not found")</f>
        <v>Retail</v>
      </c>
      <c r="O450">
        <f t="shared" si="19"/>
        <v>1</v>
      </c>
      <c r="P450">
        <f t="shared" si="20"/>
        <v>0</v>
      </c>
    </row>
    <row r="451" spans="1:16" x14ac:dyDescent="0.25">
      <c r="A451" t="s">
        <v>0</v>
      </c>
      <c r="B451" s="1">
        <v>41974</v>
      </c>
      <c r="C451" s="1">
        <v>43373</v>
      </c>
      <c r="D451" s="4" t="s">
        <v>881</v>
      </c>
      <c r="E451" t="s">
        <v>882</v>
      </c>
      <c r="F451">
        <v>25188</v>
      </c>
      <c r="G451">
        <v>25599996</v>
      </c>
      <c r="H451" t="s">
        <v>10</v>
      </c>
      <c r="I451" t="s">
        <v>11</v>
      </c>
      <c r="J451" t="s">
        <v>80</v>
      </c>
      <c r="K451" t="s">
        <v>2910</v>
      </c>
      <c r="L451">
        <f t="shared" ref="L451:L514" ca="1" si="21">IF($K451="Continues",DATEDIF($B451,TODAY(),"Y"),DATEDIF($B451,$C451,"Y"))</f>
        <v>3</v>
      </c>
      <c r="M451" t="str">
        <f>IFERROR(INDEX('[4]31.03.2024'!$H:$H,MATCH($E451,'[4]31.03.2024'!$B:$B,0)),"Not found")</f>
        <v>Not found</v>
      </c>
      <c r="N451" t="str">
        <f>IFERROR(INDEX([2]Sheet1!$B:$B,MATCH($D451,[2]Sheet1!$A:$A,0)),"Not found")</f>
        <v>Not found</v>
      </c>
      <c r="O451">
        <f t="shared" ref="O451:O514" si="22">IF($N451="Retail",1,0)</f>
        <v>0</v>
      </c>
      <c r="P451">
        <f t="shared" ref="P451:P514" si="23">IF($N451="Non-Retail",1,0)</f>
        <v>0</v>
      </c>
    </row>
    <row r="452" spans="1:16" x14ac:dyDescent="0.25">
      <c r="A452" t="s">
        <v>7</v>
      </c>
      <c r="B452" s="1">
        <v>41974</v>
      </c>
      <c r="C452" s="1">
        <v>43373</v>
      </c>
      <c r="D452" s="4" t="s">
        <v>883</v>
      </c>
      <c r="E452" t="s">
        <v>884</v>
      </c>
      <c r="F452">
        <v>25189</v>
      </c>
      <c r="G452">
        <v>26259723</v>
      </c>
      <c r="H452" t="s">
        <v>10</v>
      </c>
      <c r="I452" t="s">
        <v>11</v>
      </c>
      <c r="J452" t="s">
        <v>80</v>
      </c>
      <c r="K452" t="s">
        <v>2910</v>
      </c>
      <c r="L452">
        <f t="shared" ca="1" si="21"/>
        <v>3</v>
      </c>
      <c r="M452" t="str">
        <f>IFERROR(INDEX('[4]31.03.2024'!$H:$H,MATCH($E452,'[4]31.03.2024'!$B:$B,0)),"Not found")</f>
        <v>Not found</v>
      </c>
      <c r="N452" t="str">
        <f>IFERROR(INDEX([2]Sheet1!$B:$B,MATCH($D452,[2]Sheet1!$A:$A,0)),"Not found")</f>
        <v>Not found</v>
      </c>
      <c r="O452">
        <f t="shared" si="22"/>
        <v>0</v>
      </c>
      <c r="P452">
        <f t="shared" si="23"/>
        <v>0</v>
      </c>
    </row>
    <row r="453" spans="1:16" x14ac:dyDescent="0.25">
      <c r="A453" t="s">
        <v>7</v>
      </c>
      <c r="B453" s="1">
        <v>42095</v>
      </c>
      <c r="C453" s="1">
        <v>44377</v>
      </c>
      <c r="D453" s="4" t="s">
        <v>895</v>
      </c>
      <c r="E453" t="s">
        <v>896</v>
      </c>
      <c r="F453">
        <v>25228</v>
      </c>
      <c r="G453">
        <v>26941116</v>
      </c>
      <c r="H453" t="s">
        <v>10</v>
      </c>
      <c r="I453" t="s">
        <v>11</v>
      </c>
      <c r="J453" t="s">
        <v>32</v>
      </c>
      <c r="K453" t="s">
        <v>2910</v>
      </c>
      <c r="L453">
        <f t="shared" ca="1" si="21"/>
        <v>6</v>
      </c>
      <c r="M453" t="str">
        <f>IFERROR(INDEX('[4]31.03.2024'!$H:$H,MATCH($E453,'[4]31.03.2024'!$B:$B,0)),"Not found")</f>
        <v>Not found</v>
      </c>
      <c r="N453" t="str">
        <f>IFERROR(INDEX([2]Sheet1!$B:$B,MATCH($D453,[2]Sheet1!$A:$A,0)),"Not found")</f>
        <v>Not found</v>
      </c>
      <c r="O453">
        <f t="shared" si="22"/>
        <v>0</v>
      </c>
      <c r="P453">
        <f t="shared" si="23"/>
        <v>0</v>
      </c>
    </row>
    <row r="454" spans="1:16" x14ac:dyDescent="0.25">
      <c r="A454" t="s">
        <v>7</v>
      </c>
      <c r="B454" s="1">
        <v>42095</v>
      </c>
      <c r="C454" s="1">
        <v>44377</v>
      </c>
      <c r="D454" s="4" t="s">
        <v>897</v>
      </c>
      <c r="E454" t="s">
        <v>898</v>
      </c>
      <c r="F454">
        <v>25229</v>
      </c>
      <c r="G454">
        <v>26941087</v>
      </c>
      <c r="H454" t="s">
        <v>10</v>
      </c>
      <c r="I454" t="s">
        <v>11</v>
      </c>
      <c r="J454" t="s">
        <v>32</v>
      </c>
      <c r="K454" t="s">
        <v>2910</v>
      </c>
      <c r="L454">
        <f t="shared" ca="1" si="21"/>
        <v>6</v>
      </c>
      <c r="M454" t="str">
        <f>IFERROR(INDEX('[4]31.03.2024'!$H:$H,MATCH($E454,'[4]31.03.2024'!$B:$B,0)),"Not found")</f>
        <v>Not found</v>
      </c>
      <c r="N454" t="str">
        <f>IFERROR(INDEX([2]Sheet1!$B:$B,MATCH($D454,[2]Sheet1!$A:$A,0)),"Not found")</f>
        <v>Not found</v>
      </c>
      <c r="O454">
        <f t="shared" si="22"/>
        <v>0</v>
      </c>
      <c r="P454">
        <f t="shared" si="23"/>
        <v>0</v>
      </c>
    </row>
    <row r="455" spans="1:16" x14ac:dyDescent="0.25">
      <c r="A455" t="s">
        <v>7</v>
      </c>
      <c r="B455" s="1">
        <v>42795</v>
      </c>
      <c r="C455" s="1">
        <v>43465</v>
      </c>
      <c r="D455" s="4" t="s">
        <v>899</v>
      </c>
      <c r="E455" t="s">
        <v>900</v>
      </c>
      <c r="F455">
        <v>25230</v>
      </c>
      <c r="G455">
        <v>26855947</v>
      </c>
      <c r="H455" t="s">
        <v>10</v>
      </c>
      <c r="I455" t="s">
        <v>11</v>
      </c>
      <c r="J455" t="s">
        <v>32</v>
      </c>
      <c r="K455" t="s">
        <v>2910</v>
      </c>
      <c r="L455">
        <f t="shared" ca="1" si="21"/>
        <v>1</v>
      </c>
      <c r="M455" t="str">
        <f>IFERROR(INDEX('[4]31.03.2024'!$H:$H,MATCH($E455,'[4]31.03.2024'!$B:$B,0)),"Not found")</f>
        <v>Not found</v>
      </c>
      <c r="N455" t="str">
        <f>IFERROR(INDEX([2]Sheet1!$B:$B,MATCH($D455,[2]Sheet1!$A:$A,0)),"Not found")</f>
        <v>Not found</v>
      </c>
      <c r="O455">
        <f t="shared" si="22"/>
        <v>0</v>
      </c>
      <c r="P455">
        <f t="shared" si="23"/>
        <v>0</v>
      </c>
    </row>
    <row r="456" spans="1:16" x14ac:dyDescent="0.25">
      <c r="A456" t="s">
        <v>7</v>
      </c>
      <c r="B456" s="1">
        <v>42156</v>
      </c>
      <c r="C456" s="1">
        <v>44104</v>
      </c>
      <c r="D456" s="4" t="s">
        <v>917</v>
      </c>
      <c r="E456" t="s">
        <v>918</v>
      </c>
      <c r="F456">
        <v>25268</v>
      </c>
      <c r="G456">
        <v>26841297</v>
      </c>
      <c r="H456" t="s">
        <v>10</v>
      </c>
      <c r="I456" t="s">
        <v>11</v>
      </c>
      <c r="J456" t="s">
        <v>29</v>
      </c>
      <c r="K456" t="s">
        <v>2910</v>
      </c>
      <c r="L456">
        <f t="shared" ca="1" si="21"/>
        <v>5</v>
      </c>
      <c r="M456" t="str">
        <f>IFERROR(INDEX('[4]31.03.2024'!$H:$H,MATCH($E456,'[4]31.03.2024'!$B:$B,0)),"Not found")</f>
        <v>Not found</v>
      </c>
      <c r="N456" t="str">
        <f>IFERROR(INDEX([2]Sheet1!$B:$B,MATCH($D456,[2]Sheet1!$A:$A,0)),"Not found")</f>
        <v>Not found</v>
      </c>
      <c r="O456">
        <f t="shared" si="22"/>
        <v>0</v>
      </c>
      <c r="P456">
        <f t="shared" si="23"/>
        <v>0</v>
      </c>
    </row>
    <row r="457" spans="1:16" x14ac:dyDescent="0.25">
      <c r="A457" t="s">
        <v>0</v>
      </c>
      <c r="B457" s="1">
        <v>42156</v>
      </c>
      <c r="C457" s="1">
        <v>45382</v>
      </c>
      <c r="D457" s="4" t="s">
        <v>237</v>
      </c>
      <c r="E457" t="s">
        <v>238</v>
      </c>
      <c r="F457">
        <v>25327</v>
      </c>
      <c r="G457">
        <v>26886436</v>
      </c>
      <c r="H457" t="s">
        <v>10</v>
      </c>
      <c r="I457" t="s">
        <v>11</v>
      </c>
      <c r="J457" t="s">
        <v>29</v>
      </c>
      <c r="K457" t="s">
        <v>2910</v>
      </c>
      <c r="L457">
        <f t="shared" ca="1" si="21"/>
        <v>8</v>
      </c>
      <c r="M457" t="str">
        <f>IFERROR(INDEX('[4]31.03.2024'!$H:$H,MATCH($E457,'[4]31.03.2024'!$B:$B,0)),"Not found")</f>
        <v>Not found</v>
      </c>
      <c r="N457" t="str">
        <f>IFERROR(INDEX([2]Sheet1!$B:$B,MATCH($D457,[2]Sheet1!$A:$A,0)),"Not found")</f>
        <v>Non-Retail</v>
      </c>
      <c r="O457">
        <f t="shared" si="22"/>
        <v>0</v>
      </c>
      <c r="P457">
        <f t="shared" si="23"/>
        <v>1</v>
      </c>
    </row>
    <row r="458" spans="1:16" x14ac:dyDescent="0.25">
      <c r="A458" t="s">
        <v>0</v>
      </c>
      <c r="B458" s="1">
        <v>42186</v>
      </c>
      <c r="C458" s="1">
        <v>42551</v>
      </c>
      <c r="D458" s="4" t="s">
        <v>935</v>
      </c>
      <c r="E458" t="s">
        <v>936</v>
      </c>
      <c r="F458">
        <v>25525</v>
      </c>
      <c r="G458">
        <v>26783525</v>
      </c>
      <c r="H458" t="s">
        <v>10</v>
      </c>
      <c r="I458" t="s">
        <v>11</v>
      </c>
      <c r="J458" t="s">
        <v>80</v>
      </c>
      <c r="K458" t="s">
        <v>2910</v>
      </c>
      <c r="L458">
        <f t="shared" ca="1" si="21"/>
        <v>0</v>
      </c>
      <c r="M458" t="str">
        <f>IFERROR(INDEX('[4]31.03.2024'!$H:$H,MATCH($E458,'[4]31.03.2024'!$B:$B,0)),"Not found")</f>
        <v>Not found</v>
      </c>
      <c r="N458" t="str">
        <f>IFERROR(INDEX([2]Sheet1!$B:$B,MATCH($D458,[2]Sheet1!$A:$A,0)),"Not found")</f>
        <v>Not found</v>
      </c>
      <c r="O458">
        <f t="shared" si="22"/>
        <v>0</v>
      </c>
      <c r="P458">
        <f t="shared" si="23"/>
        <v>0</v>
      </c>
    </row>
    <row r="459" spans="1:16" x14ac:dyDescent="0.25">
      <c r="A459" t="s">
        <v>0</v>
      </c>
      <c r="B459" s="1">
        <v>42186</v>
      </c>
      <c r="C459" s="1">
        <v>42521</v>
      </c>
      <c r="D459" s="4" t="s">
        <v>937</v>
      </c>
      <c r="E459" t="s">
        <v>938</v>
      </c>
      <c r="F459">
        <v>25527</v>
      </c>
      <c r="G459" t="s">
        <v>14</v>
      </c>
      <c r="H459" t="s">
        <v>10</v>
      </c>
      <c r="I459" t="s">
        <v>11</v>
      </c>
      <c r="J459" t="s">
        <v>80</v>
      </c>
      <c r="K459" t="s">
        <v>2910</v>
      </c>
      <c r="L459">
        <f t="shared" ca="1" si="21"/>
        <v>0</v>
      </c>
      <c r="M459" t="str">
        <f>IFERROR(INDEX('[4]31.03.2024'!$H:$H,MATCH($E459,'[4]31.03.2024'!$B:$B,0)),"Not found")</f>
        <v>Not found</v>
      </c>
      <c r="N459" t="str">
        <f>IFERROR(INDEX([2]Sheet1!$B:$B,MATCH($D459,[2]Sheet1!$A:$A,0)),"Not found")</f>
        <v>Not found</v>
      </c>
      <c r="O459">
        <f t="shared" si="22"/>
        <v>0</v>
      </c>
      <c r="P459">
        <f t="shared" si="23"/>
        <v>0</v>
      </c>
    </row>
    <row r="460" spans="1:16" x14ac:dyDescent="0.25">
      <c r="A460" t="s">
        <v>0</v>
      </c>
      <c r="B460" s="1">
        <v>42248</v>
      </c>
      <c r="C460" s="1">
        <v>43434</v>
      </c>
      <c r="D460" s="4" t="s">
        <v>951</v>
      </c>
      <c r="E460" t="s">
        <v>952</v>
      </c>
      <c r="F460">
        <v>25598</v>
      </c>
      <c r="G460">
        <v>27068806</v>
      </c>
      <c r="H460" t="s">
        <v>3</v>
      </c>
      <c r="I460" t="s">
        <v>4</v>
      </c>
      <c r="J460" t="s">
        <v>50</v>
      </c>
      <c r="K460" t="s">
        <v>2911</v>
      </c>
      <c r="L460">
        <f t="shared" ca="1" si="21"/>
        <v>3</v>
      </c>
      <c r="M460" t="str">
        <f>IFERROR(INDEX('[4]31.03.2024'!$H:$H,MATCH($E460,'[4]31.03.2024'!$B:$B,0)),"Not found")</f>
        <v>Not found</v>
      </c>
      <c r="N460" t="str">
        <f>IFERROR(INDEX([2]Sheet1!$B:$B,MATCH($D460,[2]Sheet1!$A:$A,0)),"Not found")</f>
        <v>Not found</v>
      </c>
      <c r="O460">
        <f t="shared" si="22"/>
        <v>0</v>
      </c>
      <c r="P460">
        <f t="shared" si="23"/>
        <v>0</v>
      </c>
    </row>
    <row r="461" spans="1:16" x14ac:dyDescent="0.25">
      <c r="A461" t="s">
        <v>0</v>
      </c>
      <c r="B461" s="1">
        <v>42309</v>
      </c>
      <c r="C461" s="1">
        <v>43404</v>
      </c>
      <c r="D461" s="4" t="s">
        <v>953</v>
      </c>
      <c r="E461" t="s">
        <v>954</v>
      </c>
      <c r="F461">
        <v>25599</v>
      </c>
      <c r="G461">
        <v>27068865</v>
      </c>
      <c r="H461" t="s">
        <v>3</v>
      </c>
      <c r="I461" t="s">
        <v>4</v>
      </c>
      <c r="J461" t="s">
        <v>50</v>
      </c>
      <c r="K461" t="s">
        <v>2911</v>
      </c>
      <c r="L461">
        <f t="shared" ca="1" si="21"/>
        <v>2</v>
      </c>
      <c r="M461" t="str">
        <f>IFERROR(INDEX('[4]31.03.2024'!$H:$H,MATCH($E461,'[4]31.03.2024'!$B:$B,0)),"Not found")</f>
        <v>Not found</v>
      </c>
      <c r="N461" t="str">
        <f>IFERROR(INDEX([2]Sheet1!$B:$B,MATCH($D461,[2]Sheet1!$A:$A,0)),"Not found")</f>
        <v>Not found</v>
      </c>
      <c r="O461">
        <f t="shared" si="22"/>
        <v>0</v>
      </c>
      <c r="P461">
        <f t="shared" si="23"/>
        <v>0</v>
      </c>
    </row>
    <row r="462" spans="1:16" x14ac:dyDescent="0.25">
      <c r="A462" t="s">
        <v>0</v>
      </c>
      <c r="B462" s="1">
        <v>42248</v>
      </c>
      <c r="C462" s="1">
        <v>44742</v>
      </c>
      <c r="D462" s="4" t="s">
        <v>967</v>
      </c>
      <c r="E462" t="s">
        <v>968</v>
      </c>
      <c r="F462">
        <v>25685</v>
      </c>
      <c r="G462">
        <v>27117241</v>
      </c>
      <c r="H462" t="s">
        <v>10</v>
      </c>
      <c r="I462" t="s">
        <v>11</v>
      </c>
      <c r="J462" t="s">
        <v>12</v>
      </c>
      <c r="K462" t="s">
        <v>2910</v>
      </c>
      <c r="L462">
        <f t="shared" ca="1" si="21"/>
        <v>6</v>
      </c>
      <c r="M462" t="str">
        <f>IFERROR(INDEX('[4]31.03.2024'!$H:$H,MATCH($E462,'[4]31.03.2024'!$B:$B,0)),"Not found")</f>
        <v>Not found</v>
      </c>
      <c r="N462" t="str">
        <f>IFERROR(INDEX([2]Sheet1!$B:$B,MATCH($D462,[2]Sheet1!$A:$A,0)),"Not found")</f>
        <v>Not found</v>
      </c>
      <c r="O462">
        <f t="shared" si="22"/>
        <v>0</v>
      </c>
      <c r="P462">
        <f t="shared" si="23"/>
        <v>0</v>
      </c>
    </row>
    <row r="463" spans="1:16" x14ac:dyDescent="0.25">
      <c r="A463" t="s">
        <v>0</v>
      </c>
      <c r="B463" s="1">
        <v>42278</v>
      </c>
      <c r="C463" s="1">
        <v>43830</v>
      </c>
      <c r="D463" s="4" t="s">
        <v>981</v>
      </c>
      <c r="E463" t="s">
        <v>982</v>
      </c>
      <c r="F463">
        <v>25941</v>
      </c>
      <c r="G463">
        <v>26570757</v>
      </c>
      <c r="H463" t="s">
        <v>10</v>
      </c>
      <c r="I463" t="s">
        <v>11</v>
      </c>
      <c r="J463" t="s">
        <v>32</v>
      </c>
      <c r="K463" t="s">
        <v>2910</v>
      </c>
      <c r="L463">
        <f t="shared" ca="1" si="21"/>
        <v>4</v>
      </c>
      <c r="M463" t="str">
        <f>IFERROR(INDEX('[4]31.03.2024'!$H:$H,MATCH($E463,'[4]31.03.2024'!$B:$B,0)),"Not found")</f>
        <v>Not found</v>
      </c>
      <c r="N463" t="str">
        <f>IFERROR(INDEX([2]Sheet1!$B:$B,MATCH($D463,[2]Sheet1!$A:$A,0)),"Not found")</f>
        <v>Not found</v>
      </c>
      <c r="O463">
        <f t="shared" si="22"/>
        <v>0</v>
      </c>
      <c r="P463">
        <f t="shared" si="23"/>
        <v>0</v>
      </c>
    </row>
    <row r="464" spans="1:16" x14ac:dyDescent="0.25">
      <c r="A464" t="s">
        <v>0</v>
      </c>
      <c r="B464" s="1">
        <v>42278</v>
      </c>
      <c r="C464" s="1">
        <v>44742</v>
      </c>
      <c r="D464" s="4" t="s">
        <v>983</v>
      </c>
      <c r="E464" t="s">
        <v>984</v>
      </c>
      <c r="F464">
        <v>25953</v>
      </c>
      <c r="G464" t="s">
        <v>14</v>
      </c>
      <c r="H464" t="s">
        <v>10</v>
      </c>
      <c r="I464" t="s">
        <v>11</v>
      </c>
      <c r="J464" t="s">
        <v>12</v>
      </c>
      <c r="K464" t="s">
        <v>2910</v>
      </c>
      <c r="L464">
        <f t="shared" ca="1" si="21"/>
        <v>6</v>
      </c>
      <c r="M464" t="str">
        <f>IFERROR(INDEX('[4]31.03.2024'!$H:$H,MATCH($E464,'[4]31.03.2024'!$B:$B,0)),"Not found")</f>
        <v>Not found</v>
      </c>
      <c r="N464" t="str">
        <f>IFERROR(INDEX([2]Sheet1!$B:$B,MATCH($D464,[2]Sheet1!$A:$A,0)),"Not found")</f>
        <v>Not found</v>
      </c>
      <c r="O464">
        <f t="shared" si="22"/>
        <v>0</v>
      </c>
      <c r="P464">
        <f t="shared" si="23"/>
        <v>0</v>
      </c>
    </row>
    <row r="465" spans="1:16" x14ac:dyDescent="0.25">
      <c r="A465" t="s">
        <v>0</v>
      </c>
      <c r="B465" s="1">
        <v>42064</v>
      </c>
      <c r="C465" s="1">
        <v>43465</v>
      </c>
      <c r="D465" s="4" t="s">
        <v>991</v>
      </c>
      <c r="E465" t="s">
        <v>992</v>
      </c>
      <c r="F465">
        <v>26014</v>
      </c>
      <c r="G465">
        <v>25878223</v>
      </c>
      <c r="H465" t="s">
        <v>10</v>
      </c>
      <c r="I465" t="s">
        <v>11</v>
      </c>
      <c r="J465" t="s">
        <v>32</v>
      </c>
      <c r="K465" t="s">
        <v>2910</v>
      </c>
      <c r="L465">
        <f t="shared" ca="1" si="21"/>
        <v>3</v>
      </c>
      <c r="M465" t="str">
        <f>IFERROR(INDEX('[4]31.03.2024'!$H:$H,MATCH($E465,'[4]31.03.2024'!$B:$B,0)),"Not found")</f>
        <v>Not found</v>
      </c>
      <c r="N465" t="str">
        <f>IFERROR(INDEX([2]Sheet1!$B:$B,MATCH($D465,[2]Sheet1!$A:$A,0)),"Not found")</f>
        <v>Not found</v>
      </c>
      <c r="O465">
        <f t="shared" si="22"/>
        <v>0</v>
      </c>
      <c r="P465">
        <f t="shared" si="23"/>
        <v>0</v>
      </c>
    </row>
    <row r="466" spans="1:16" x14ac:dyDescent="0.25">
      <c r="A466" t="s">
        <v>0</v>
      </c>
      <c r="B466" s="1">
        <v>42795</v>
      </c>
      <c r="C466" s="1">
        <v>43465</v>
      </c>
      <c r="D466" s="4" t="s">
        <v>993</v>
      </c>
      <c r="E466" t="s">
        <v>994</v>
      </c>
      <c r="F466">
        <v>26015</v>
      </c>
      <c r="G466">
        <v>26066745</v>
      </c>
      <c r="H466" t="s">
        <v>10</v>
      </c>
      <c r="I466" t="s">
        <v>11</v>
      </c>
      <c r="J466" t="s">
        <v>32</v>
      </c>
      <c r="K466" t="s">
        <v>2910</v>
      </c>
      <c r="L466">
        <f t="shared" ca="1" si="21"/>
        <v>1</v>
      </c>
      <c r="M466" t="str">
        <f>IFERROR(INDEX('[4]31.03.2024'!$H:$H,MATCH($E466,'[4]31.03.2024'!$B:$B,0)),"Not found")</f>
        <v>Not found</v>
      </c>
      <c r="N466" t="str">
        <f>IFERROR(INDEX([2]Sheet1!$B:$B,MATCH($D466,[2]Sheet1!$A:$A,0)),"Not found")</f>
        <v>Not found</v>
      </c>
      <c r="O466">
        <f t="shared" si="22"/>
        <v>0</v>
      </c>
      <c r="P466">
        <f t="shared" si="23"/>
        <v>0</v>
      </c>
    </row>
    <row r="467" spans="1:16" x14ac:dyDescent="0.25">
      <c r="A467" t="s">
        <v>0</v>
      </c>
      <c r="B467" s="1">
        <v>42339</v>
      </c>
      <c r="C467" s="1">
        <v>44074</v>
      </c>
      <c r="D467" s="4" t="s">
        <v>995</v>
      </c>
      <c r="E467" t="s">
        <v>996</v>
      </c>
      <c r="F467">
        <v>26029</v>
      </c>
      <c r="G467">
        <v>27155141</v>
      </c>
      <c r="H467" t="s">
        <v>10</v>
      </c>
      <c r="I467" t="s">
        <v>4</v>
      </c>
      <c r="J467" t="s">
        <v>5</v>
      </c>
      <c r="K467" t="s">
        <v>2911</v>
      </c>
      <c r="L467">
        <f t="shared" ca="1" si="21"/>
        <v>4</v>
      </c>
      <c r="M467" t="str">
        <f>IFERROR(INDEX('[4]31.03.2024'!$H:$H,MATCH($E467,'[4]31.03.2024'!$B:$B,0)),"Not found")</f>
        <v>Not found</v>
      </c>
      <c r="N467" t="str">
        <f>IFERROR(INDEX([2]Sheet1!$B:$B,MATCH($D467,[2]Sheet1!$A:$A,0)),"Not found")</f>
        <v>Not found</v>
      </c>
      <c r="O467">
        <f t="shared" si="22"/>
        <v>0</v>
      </c>
      <c r="P467">
        <f t="shared" si="23"/>
        <v>0</v>
      </c>
    </row>
    <row r="468" spans="1:16" x14ac:dyDescent="0.25">
      <c r="A468" t="s">
        <v>0</v>
      </c>
      <c r="B468" s="1">
        <v>42339</v>
      </c>
      <c r="C468" s="1">
        <v>44074</v>
      </c>
      <c r="D468" s="4" t="s">
        <v>997</v>
      </c>
      <c r="E468" t="s">
        <v>998</v>
      </c>
      <c r="F468">
        <v>26030</v>
      </c>
      <c r="G468">
        <v>27155678</v>
      </c>
      <c r="H468" t="s">
        <v>10</v>
      </c>
      <c r="I468" t="s">
        <v>4</v>
      </c>
      <c r="J468" t="s">
        <v>5</v>
      </c>
      <c r="K468" t="s">
        <v>2911</v>
      </c>
      <c r="L468">
        <f t="shared" ca="1" si="21"/>
        <v>4</v>
      </c>
      <c r="M468" t="str">
        <f>IFERROR(INDEX('[4]31.03.2024'!$H:$H,MATCH($E468,'[4]31.03.2024'!$B:$B,0)),"Not found")</f>
        <v>Not found</v>
      </c>
      <c r="N468" t="str">
        <f>IFERROR(INDEX([2]Sheet1!$B:$B,MATCH($D468,[2]Sheet1!$A:$A,0)),"Not found")</f>
        <v>Not found</v>
      </c>
      <c r="O468">
        <f t="shared" si="22"/>
        <v>0</v>
      </c>
      <c r="P468">
        <f t="shared" si="23"/>
        <v>0</v>
      </c>
    </row>
    <row r="469" spans="1:16" x14ac:dyDescent="0.25">
      <c r="A469" t="s">
        <v>0</v>
      </c>
      <c r="B469" s="1">
        <v>42339</v>
      </c>
      <c r="C469" s="1">
        <v>43830</v>
      </c>
      <c r="D469" s="4" t="s">
        <v>1007</v>
      </c>
      <c r="E469" t="s">
        <v>1008</v>
      </c>
      <c r="F469">
        <v>26149</v>
      </c>
      <c r="G469">
        <v>26836914</v>
      </c>
      <c r="H469" t="s">
        <v>10</v>
      </c>
      <c r="I469" t="s">
        <v>11</v>
      </c>
      <c r="J469" t="s">
        <v>32</v>
      </c>
      <c r="K469" t="s">
        <v>2910</v>
      </c>
      <c r="L469">
        <f t="shared" ca="1" si="21"/>
        <v>4</v>
      </c>
      <c r="M469" t="str">
        <f>IFERROR(INDEX('[4]31.03.2024'!$H:$H,MATCH($E469,'[4]31.03.2024'!$B:$B,0)),"Not found")</f>
        <v>Not found</v>
      </c>
      <c r="N469" t="str">
        <f>IFERROR(INDEX([2]Sheet1!$B:$B,MATCH($D469,[2]Sheet1!$A:$A,0)),"Not found")</f>
        <v>Not found</v>
      </c>
      <c r="O469">
        <f t="shared" si="22"/>
        <v>0</v>
      </c>
      <c r="P469">
        <f t="shared" si="23"/>
        <v>0</v>
      </c>
    </row>
    <row r="470" spans="1:16" x14ac:dyDescent="0.25">
      <c r="A470" t="s">
        <v>0</v>
      </c>
      <c r="B470" s="1">
        <v>42430</v>
      </c>
      <c r="C470" s="1">
        <v>45199</v>
      </c>
      <c r="D470" s="4" t="s">
        <v>34</v>
      </c>
      <c r="E470" t="s">
        <v>35</v>
      </c>
      <c r="F470">
        <v>26201</v>
      </c>
      <c r="G470">
        <v>25573606</v>
      </c>
      <c r="H470" t="s">
        <v>10</v>
      </c>
      <c r="I470" t="s">
        <v>11</v>
      </c>
      <c r="J470" t="s">
        <v>32</v>
      </c>
      <c r="K470" t="s">
        <v>2910</v>
      </c>
      <c r="L470">
        <f t="shared" ca="1" si="21"/>
        <v>7</v>
      </c>
      <c r="M470" t="str">
        <f>IFERROR(INDEX('[4]31.03.2024'!$H:$H,MATCH($E470,'[4]31.03.2024'!$B:$B,0)),"Not found")</f>
        <v>Not found</v>
      </c>
      <c r="N470" t="str">
        <f>IFERROR(INDEX([2]Sheet1!$B:$B,MATCH($D470,[2]Sheet1!$A:$A,0)),"Not found")</f>
        <v>Not found</v>
      </c>
      <c r="O470">
        <f t="shared" si="22"/>
        <v>0</v>
      </c>
      <c r="P470">
        <f t="shared" si="23"/>
        <v>0</v>
      </c>
    </row>
    <row r="471" spans="1:16" x14ac:dyDescent="0.25">
      <c r="A471" t="s">
        <v>0</v>
      </c>
      <c r="B471" s="1">
        <v>42430</v>
      </c>
      <c r="C471" s="1">
        <v>43251</v>
      </c>
      <c r="D471" s="4" t="s">
        <v>1025</v>
      </c>
      <c r="E471" t="s">
        <v>1026</v>
      </c>
      <c r="F471">
        <v>26243</v>
      </c>
      <c r="G471">
        <v>27499104</v>
      </c>
      <c r="H471" t="s">
        <v>10</v>
      </c>
      <c r="I471" t="s">
        <v>11</v>
      </c>
      <c r="J471" t="s">
        <v>12</v>
      </c>
      <c r="K471" t="s">
        <v>2910</v>
      </c>
      <c r="L471">
        <f t="shared" ca="1" si="21"/>
        <v>2</v>
      </c>
      <c r="M471" t="str">
        <f>IFERROR(INDEX('[4]31.03.2024'!$H:$H,MATCH($E471,'[4]31.03.2024'!$B:$B,0)),"Not found")</f>
        <v>Not found</v>
      </c>
      <c r="N471" t="str">
        <f>IFERROR(INDEX([2]Sheet1!$B:$B,MATCH($D471,[2]Sheet1!$A:$A,0)),"Not found")</f>
        <v>Not found</v>
      </c>
      <c r="O471">
        <f t="shared" si="22"/>
        <v>0</v>
      </c>
      <c r="P471">
        <f t="shared" si="23"/>
        <v>0</v>
      </c>
    </row>
    <row r="472" spans="1:16" x14ac:dyDescent="0.25">
      <c r="A472" t="s">
        <v>0</v>
      </c>
      <c r="B472" s="1">
        <v>42401</v>
      </c>
      <c r="C472" s="1">
        <v>45230</v>
      </c>
      <c r="D472" s="4" t="s">
        <v>36</v>
      </c>
      <c r="E472" t="s">
        <v>1027</v>
      </c>
      <c r="F472">
        <v>26244</v>
      </c>
      <c r="G472">
        <v>27352778</v>
      </c>
      <c r="H472" t="s">
        <v>10</v>
      </c>
      <c r="I472" t="s">
        <v>4</v>
      </c>
      <c r="J472" t="s">
        <v>29</v>
      </c>
      <c r="K472" t="s">
        <v>2911</v>
      </c>
      <c r="L472">
        <f t="shared" ca="1" si="21"/>
        <v>7</v>
      </c>
      <c r="M472" t="str">
        <f>IFERROR(INDEX('[4]31.03.2024'!$H:$H,MATCH($E472,'[4]31.03.2024'!$B:$B,0)),"Not found")</f>
        <v>Not found</v>
      </c>
      <c r="N472" t="str">
        <f>IFERROR(INDEX([2]Sheet1!$B:$B,MATCH($D472,[2]Sheet1!$A:$A,0)),"Not found")</f>
        <v>Not found</v>
      </c>
      <c r="O472">
        <f t="shared" si="22"/>
        <v>0</v>
      </c>
      <c r="P472">
        <f t="shared" si="23"/>
        <v>0</v>
      </c>
    </row>
    <row r="473" spans="1:16" x14ac:dyDescent="0.25">
      <c r="A473" t="s">
        <v>7</v>
      </c>
      <c r="B473" s="1">
        <v>42522</v>
      </c>
      <c r="C473" s="1">
        <v>43677</v>
      </c>
      <c r="D473" s="4" t="s">
        <v>1030</v>
      </c>
      <c r="E473" t="s">
        <v>1031</v>
      </c>
      <c r="F473">
        <v>26263</v>
      </c>
      <c r="G473">
        <v>27572877</v>
      </c>
      <c r="H473" t="s">
        <v>3</v>
      </c>
      <c r="I473" t="s">
        <v>4</v>
      </c>
      <c r="J473" t="s">
        <v>20</v>
      </c>
      <c r="K473" t="s">
        <v>2910</v>
      </c>
      <c r="L473">
        <f t="shared" ca="1" si="21"/>
        <v>3</v>
      </c>
      <c r="M473" t="str">
        <f>IFERROR(INDEX('[4]31.03.2024'!$H:$H,MATCH($E473,'[4]31.03.2024'!$B:$B,0)),"Not found")</f>
        <v>Not found</v>
      </c>
      <c r="N473" t="str">
        <f>IFERROR(INDEX([2]Sheet1!$B:$B,MATCH($D473,[2]Sheet1!$A:$A,0)),"Not found")</f>
        <v>Not found</v>
      </c>
      <c r="O473">
        <f t="shared" si="22"/>
        <v>0</v>
      </c>
      <c r="P473">
        <f t="shared" si="23"/>
        <v>0</v>
      </c>
    </row>
    <row r="474" spans="1:16" x14ac:dyDescent="0.25">
      <c r="A474" t="s">
        <v>7</v>
      </c>
      <c r="B474" s="1">
        <v>42491</v>
      </c>
      <c r="C474" s="1">
        <v>43404</v>
      </c>
      <c r="D474" s="4" t="s">
        <v>1032</v>
      </c>
      <c r="E474" t="s">
        <v>1033</v>
      </c>
      <c r="F474">
        <v>26322</v>
      </c>
      <c r="G474">
        <v>27534651</v>
      </c>
      <c r="H474" t="s">
        <v>3</v>
      </c>
      <c r="I474" t="s">
        <v>4</v>
      </c>
      <c r="J474" t="s">
        <v>20</v>
      </c>
      <c r="K474" t="s">
        <v>2910</v>
      </c>
      <c r="L474">
        <f t="shared" ca="1" si="21"/>
        <v>2</v>
      </c>
      <c r="M474" t="str">
        <f>IFERROR(INDEX('[4]31.03.2024'!$H:$H,MATCH($E474,'[4]31.03.2024'!$B:$B,0)),"Not found")</f>
        <v>Not found</v>
      </c>
      <c r="N474" t="str">
        <f>IFERROR(INDEX([2]Sheet1!$B:$B,MATCH($D474,[2]Sheet1!$A:$A,0)),"Not found")</f>
        <v>Not found</v>
      </c>
      <c r="O474">
        <f t="shared" si="22"/>
        <v>0</v>
      </c>
      <c r="P474">
        <f t="shared" si="23"/>
        <v>0</v>
      </c>
    </row>
    <row r="475" spans="1:16" x14ac:dyDescent="0.25">
      <c r="A475" t="s">
        <v>7</v>
      </c>
      <c r="B475" s="1">
        <v>42491</v>
      </c>
      <c r="C475" s="1">
        <v>43404</v>
      </c>
      <c r="D475" s="4" t="s">
        <v>1034</v>
      </c>
      <c r="E475" t="s">
        <v>1035</v>
      </c>
      <c r="F475">
        <v>26323</v>
      </c>
      <c r="G475">
        <v>27534643</v>
      </c>
      <c r="H475" t="s">
        <v>3</v>
      </c>
      <c r="I475" t="s">
        <v>4</v>
      </c>
      <c r="J475" t="s">
        <v>50</v>
      </c>
      <c r="K475" t="s">
        <v>2910</v>
      </c>
      <c r="L475">
        <f t="shared" ca="1" si="21"/>
        <v>2</v>
      </c>
      <c r="M475" t="str">
        <f>IFERROR(INDEX('[4]31.03.2024'!$H:$H,MATCH($E475,'[4]31.03.2024'!$B:$B,0)),"Not found")</f>
        <v>Not found</v>
      </c>
      <c r="N475" t="str">
        <f>IFERROR(INDEX([2]Sheet1!$B:$B,MATCH($D475,[2]Sheet1!$A:$A,0)),"Not found")</f>
        <v>Not found</v>
      </c>
      <c r="O475">
        <f t="shared" si="22"/>
        <v>0</v>
      </c>
      <c r="P475">
        <f t="shared" si="23"/>
        <v>0</v>
      </c>
    </row>
    <row r="476" spans="1:16" x14ac:dyDescent="0.25">
      <c r="A476" t="s">
        <v>7</v>
      </c>
      <c r="B476" s="1">
        <v>42461</v>
      </c>
      <c r="C476" s="1">
        <v>43465</v>
      </c>
      <c r="D476" s="4" t="s">
        <v>1046</v>
      </c>
      <c r="E476" t="s">
        <v>1047</v>
      </c>
      <c r="F476">
        <v>26375</v>
      </c>
      <c r="G476">
        <v>27524541</v>
      </c>
      <c r="H476" t="s">
        <v>10</v>
      </c>
      <c r="I476" t="s">
        <v>4</v>
      </c>
      <c r="J476" t="s">
        <v>29</v>
      </c>
      <c r="K476" t="s">
        <v>2911</v>
      </c>
      <c r="L476">
        <f t="shared" ca="1" si="21"/>
        <v>2</v>
      </c>
      <c r="M476" t="str">
        <f>IFERROR(INDEX('[4]31.03.2024'!$H:$H,MATCH($E476,'[4]31.03.2024'!$B:$B,0)),"Not found")</f>
        <v>Not found</v>
      </c>
      <c r="N476" t="str">
        <f>IFERROR(INDEX([2]Sheet1!$B:$B,MATCH($D476,[2]Sheet1!$A:$A,0)),"Not found")</f>
        <v>Not found</v>
      </c>
      <c r="O476">
        <f t="shared" si="22"/>
        <v>0</v>
      </c>
      <c r="P476">
        <f t="shared" si="23"/>
        <v>0</v>
      </c>
    </row>
    <row r="477" spans="1:16" x14ac:dyDescent="0.25">
      <c r="A477" t="s">
        <v>7</v>
      </c>
      <c r="B477" s="1">
        <v>42705</v>
      </c>
      <c r="C477" s="1">
        <v>43100</v>
      </c>
      <c r="D477" s="4" t="s">
        <v>1066</v>
      </c>
      <c r="E477" t="s">
        <v>1067</v>
      </c>
      <c r="F477">
        <v>26631</v>
      </c>
      <c r="G477">
        <v>27946998</v>
      </c>
      <c r="H477" t="s">
        <v>10</v>
      </c>
      <c r="I477" t="s">
        <v>11</v>
      </c>
      <c r="J477" t="s">
        <v>80</v>
      </c>
      <c r="K477" t="s">
        <v>2910</v>
      </c>
      <c r="L477">
        <f t="shared" ca="1" si="21"/>
        <v>1</v>
      </c>
      <c r="M477" t="str">
        <f>IFERROR(INDEX('[4]31.03.2024'!$H:$H,MATCH($E477,'[4]31.03.2024'!$B:$B,0)),"Not found")</f>
        <v>Not found</v>
      </c>
      <c r="N477" t="str">
        <f>IFERROR(INDEX([2]Sheet1!$B:$B,MATCH($D477,[2]Sheet1!$A:$A,0)),"Not found")</f>
        <v>Not found</v>
      </c>
      <c r="O477">
        <f t="shared" si="22"/>
        <v>0</v>
      </c>
      <c r="P477">
        <f t="shared" si="23"/>
        <v>0</v>
      </c>
    </row>
    <row r="478" spans="1:16" x14ac:dyDescent="0.25">
      <c r="A478" t="s">
        <v>7</v>
      </c>
      <c r="B478" s="1">
        <v>42583</v>
      </c>
      <c r="C478" s="1">
        <v>43190</v>
      </c>
      <c r="D478" s="4" t="s">
        <v>1068</v>
      </c>
      <c r="E478" t="s">
        <v>1069</v>
      </c>
      <c r="F478">
        <v>26743</v>
      </c>
      <c r="G478">
        <v>27670792</v>
      </c>
      <c r="H478" t="s">
        <v>10</v>
      </c>
      <c r="I478" t="s">
        <v>4</v>
      </c>
      <c r="J478" t="s">
        <v>29</v>
      </c>
      <c r="K478" t="s">
        <v>2910</v>
      </c>
      <c r="L478">
        <f t="shared" ca="1" si="21"/>
        <v>1</v>
      </c>
      <c r="M478" t="str">
        <f>IFERROR(INDEX('[4]31.03.2024'!$H:$H,MATCH($E478,'[4]31.03.2024'!$B:$B,0)),"Not found")</f>
        <v>Not found</v>
      </c>
      <c r="N478" t="str">
        <f>IFERROR(INDEX([2]Sheet1!$B:$B,MATCH($D478,[2]Sheet1!$A:$A,0)),"Not found")</f>
        <v>Not found</v>
      </c>
      <c r="O478">
        <f t="shared" si="22"/>
        <v>0</v>
      </c>
      <c r="P478">
        <f t="shared" si="23"/>
        <v>0</v>
      </c>
    </row>
    <row r="479" spans="1:16" x14ac:dyDescent="0.25">
      <c r="A479" t="s">
        <v>7</v>
      </c>
      <c r="B479" s="1">
        <v>42552</v>
      </c>
      <c r="C479" s="1">
        <v>43190</v>
      </c>
      <c r="D479" s="4" t="s">
        <v>1070</v>
      </c>
      <c r="E479" t="s">
        <v>1071</v>
      </c>
      <c r="F479">
        <v>26744</v>
      </c>
      <c r="G479">
        <v>27616112</v>
      </c>
      <c r="H479" t="s">
        <v>10</v>
      </c>
      <c r="I479" t="s">
        <v>4</v>
      </c>
      <c r="J479" t="s">
        <v>5</v>
      </c>
      <c r="K479" t="s">
        <v>2910</v>
      </c>
      <c r="L479">
        <f t="shared" ca="1" si="21"/>
        <v>1</v>
      </c>
      <c r="M479" t="str">
        <f>IFERROR(INDEX('[4]31.03.2024'!$H:$H,MATCH($E479,'[4]31.03.2024'!$B:$B,0)),"Not found")</f>
        <v>Not found</v>
      </c>
      <c r="N479" t="str">
        <f>IFERROR(INDEX([2]Sheet1!$B:$B,MATCH($D479,[2]Sheet1!$A:$A,0)),"Not found")</f>
        <v>Not found</v>
      </c>
      <c r="O479">
        <f t="shared" si="22"/>
        <v>0</v>
      </c>
      <c r="P479">
        <f t="shared" si="23"/>
        <v>0</v>
      </c>
    </row>
    <row r="480" spans="1:16" x14ac:dyDescent="0.25">
      <c r="A480" t="s">
        <v>7</v>
      </c>
      <c r="B480" s="1">
        <v>42552</v>
      </c>
      <c r="C480" s="1">
        <v>45199</v>
      </c>
      <c r="D480" s="4" t="s">
        <v>37</v>
      </c>
      <c r="E480" t="s">
        <v>38</v>
      </c>
      <c r="F480">
        <v>26906</v>
      </c>
      <c r="G480">
        <v>27697354</v>
      </c>
      <c r="H480" t="s">
        <v>10</v>
      </c>
      <c r="I480" t="s">
        <v>11</v>
      </c>
      <c r="J480" t="s">
        <v>32</v>
      </c>
      <c r="K480" t="s">
        <v>2910</v>
      </c>
      <c r="L480">
        <f t="shared" ca="1" si="21"/>
        <v>7</v>
      </c>
      <c r="M480" t="str">
        <f>IFERROR(INDEX('[4]31.03.2024'!$H:$H,MATCH($E480,'[4]31.03.2024'!$B:$B,0)),"Not found")</f>
        <v>Not found</v>
      </c>
      <c r="N480" t="str">
        <f>IFERROR(INDEX([2]Sheet1!$B:$B,MATCH($D480,[2]Sheet1!$A:$A,0)),"Not found")</f>
        <v>Not found</v>
      </c>
      <c r="O480">
        <f t="shared" si="22"/>
        <v>0</v>
      </c>
      <c r="P480">
        <f t="shared" si="23"/>
        <v>0</v>
      </c>
    </row>
    <row r="481" spans="1:16" x14ac:dyDescent="0.25">
      <c r="A481" t="s">
        <v>7</v>
      </c>
      <c r="B481" s="1">
        <v>42705</v>
      </c>
      <c r="C481" s="1">
        <v>43343</v>
      </c>
      <c r="D481" s="4" t="s">
        <v>1086</v>
      </c>
      <c r="E481" t="s">
        <v>1087</v>
      </c>
      <c r="F481">
        <v>26908</v>
      </c>
      <c r="G481">
        <v>27586291</v>
      </c>
      <c r="H481" t="s">
        <v>10</v>
      </c>
      <c r="I481" t="s">
        <v>11</v>
      </c>
      <c r="J481" t="s">
        <v>32</v>
      </c>
      <c r="K481" t="s">
        <v>2910</v>
      </c>
      <c r="L481">
        <f t="shared" ca="1" si="21"/>
        <v>1</v>
      </c>
      <c r="M481" t="str">
        <f>IFERROR(INDEX('[4]31.03.2024'!$H:$H,MATCH($E481,'[4]31.03.2024'!$B:$B,0)),"Not found")</f>
        <v>Not found</v>
      </c>
      <c r="N481" t="str">
        <f>IFERROR(INDEX([2]Sheet1!$B:$B,MATCH($D481,[2]Sheet1!$A:$A,0)),"Not found")</f>
        <v>Not found</v>
      </c>
      <c r="O481">
        <f t="shared" si="22"/>
        <v>0</v>
      </c>
      <c r="P481">
        <f t="shared" si="23"/>
        <v>0</v>
      </c>
    </row>
    <row r="482" spans="1:16" x14ac:dyDescent="0.25">
      <c r="A482" t="s">
        <v>7</v>
      </c>
      <c r="B482" s="1">
        <v>42614</v>
      </c>
      <c r="C482" s="1">
        <v>43830</v>
      </c>
      <c r="D482" s="4" t="s">
        <v>1104</v>
      </c>
      <c r="E482" t="s">
        <v>1105</v>
      </c>
      <c r="F482">
        <v>27029</v>
      </c>
      <c r="G482">
        <v>27810214</v>
      </c>
      <c r="H482" t="s">
        <v>10</v>
      </c>
      <c r="I482" t="s">
        <v>11</v>
      </c>
      <c r="J482" t="s">
        <v>12</v>
      </c>
      <c r="K482" t="s">
        <v>2910</v>
      </c>
      <c r="L482">
        <f t="shared" ca="1" si="21"/>
        <v>3</v>
      </c>
      <c r="M482" t="str">
        <f>IFERROR(INDEX('[4]31.03.2024'!$H:$H,MATCH($E482,'[4]31.03.2024'!$B:$B,0)),"Not found")</f>
        <v>Not found</v>
      </c>
      <c r="N482" t="str">
        <f>IFERROR(INDEX([2]Sheet1!$B:$B,MATCH($D482,[2]Sheet1!$A:$A,0)),"Not found")</f>
        <v>Not found</v>
      </c>
      <c r="O482">
        <f t="shared" si="22"/>
        <v>0</v>
      </c>
      <c r="P482">
        <f t="shared" si="23"/>
        <v>0</v>
      </c>
    </row>
    <row r="483" spans="1:16" x14ac:dyDescent="0.25">
      <c r="A483" t="s">
        <v>7</v>
      </c>
      <c r="B483" s="1">
        <v>43191</v>
      </c>
      <c r="C483" s="1">
        <v>43708</v>
      </c>
      <c r="D483" s="4" t="s">
        <v>1110</v>
      </c>
      <c r="E483" t="s">
        <v>1111</v>
      </c>
      <c r="F483">
        <v>27248</v>
      </c>
      <c r="G483">
        <v>27752368</v>
      </c>
      <c r="H483" t="s">
        <v>10</v>
      </c>
      <c r="I483" t="s">
        <v>4</v>
      </c>
      <c r="J483" t="s">
        <v>47</v>
      </c>
      <c r="K483" t="s">
        <v>2910</v>
      </c>
      <c r="L483">
        <f t="shared" ca="1" si="21"/>
        <v>1</v>
      </c>
      <c r="M483" t="str">
        <f>IFERROR(INDEX('[4]31.03.2024'!$H:$H,MATCH($E483,'[4]31.03.2024'!$B:$B,0)),"Not found")</f>
        <v>Not found</v>
      </c>
      <c r="N483" t="str">
        <f>IFERROR(INDEX([2]Sheet1!$B:$B,MATCH($D483,[2]Sheet1!$A:$A,0)),"Not found")</f>
        <v>Not found</v>
      </c>
      <c r="O483">
        <f t="shared" si="22"/>
        <v>0</v>
      </c>
      <c r="P483">
        <f t="shared" si="23"/>
        <v>0</v>
      </c>
    </row>
    <row r="484" spans="1:16" x14ac:dyDescent="0.25">
      <c r="A484" t="s">
        <v>7</v>
      </c>
      <c r="B484" s="1">
        <v>42705</v>
      </c>
      <c r="C484" s="1">
        <v>43100</v>
      </c>
      <c r="D484" s="4" t="s">
        <v>1114</v>
      </c>
      <c r="E484" t="s">
        <v>1115</v>
      </c>
      <c r="F484">
        <v>27267</v>
      </c>
      <c r="G484">
        <v>27946955</v>
      </c>
      <c r="H484" t="s">
        <v>10</v>
      </c>
      <c r="I484" t="s">
        <v>11</v>
      </c>
      <c r="J484" t="s">
        <v>80</v>
      </c>
      <c r="K484" t="s">
        <v>2910</v>
      </c>
      <c r="L484">
        <f t="shared" ca="1" si="21"/>
        <v>1</v>
      </c>
      <c r="M484" t="str">
        <f>IFERROR(INDEX('[4]31.03.2024'!$H:$H,MATCH($E484,'[4]31.03.2024'!$B:$B,0)),"Not found")</f>
        <v>Not found</v>
      </c>
      <c r="N484" t="str">
        <f>IFERROR(INDEX([2]Sheet1!$B:$B,MATCH($D484,[2]Sheet1!$A:$A,0)),"Not found")</f>
        <v>Not found</v>
      </c>
      <c r="O484">
        <f t="shared" si="22"/>
        <v>0</v>
      </c>
      <c r="P484">
        <f t="shared" si="23"/>
        <v>0</v>
      </c>
    </row>
    <row r="485" spans="1:16" x14ac:dyDescent="0.25">
      <c r="A485" t="s">
        <v>7</v>
      </c>
      <c r="B485" s="1">
        <v>42705</v>
      </c>
      <c r="C485" s="1">
        <v>43921</v>
      </c>
      <c r="D485" s="4" t="s">
        <v>1130</v>
      </c>
      <c r="E485" t="s">
        <v>1131</v>
      </c>
      <c r="F485">
        <v>27369</v>
      </c>
      <c r="G485">
        <v>27076048</v>
      </c>
      <c r="H485" t="s">
        <v>10</v>
      </c>
      <c r="I485" t="s">
        <v>11</v>
      </c>
      <c r="J485" t="s">
        <v>80</v>
      </c>
      <c r="K485" t="s">
        <v>2910</v>
      </c>
      <c r="L485">
        <f t="shared" ca="1" si="21"/>
        <v>3</v>
      </c>
      <c r="M485" t="str">
        <f>IFERROR(INDEX('[4]31.03.2024'!$H:$H,MATCH($E485,'[4]31.03.2024'!$B:$B,0)),"Not found")</f>
        <v>Not found</v>
      </c>
      <c r="N485" t="str">
        <f>IFERROR(INDEX([2]Sheet1!$B:$B,MATCH($D485,[2]Sheet1!$A:$A,0)),"Not found")</f>
        <v>Not found</v>
      </c>
      <c r="O485">
        <f t="shared" si="22"/>
        <v>0</v>
      </c>
      <c r="P485">
        <f t="shared" si="23"/>
        <v>0</v>
      </c>
    </row>
    <row r="486" spans="1:16" x14ac:dyDescent="0.25">
      <c r="A486" t="s">
        <v>7</v>
      </c>
      <c r="B486" s="1">
        <v>42705</v>
      </c>
      <c r="C486" s="1">
        <v>43921</v>
      </c>
      <c r="D486" s="4" t="s">
        <v>1132</v>
      </c>
      <c r="E486" t="s">
        <v>1133</v>
      </c>
      <c r="F486">
        <v>27370</v>
      </c>
      <c r="G486">
        <v>27673168</v>
      </c>
      <c r="H486" t="s">
        <v>10</v>
      </c>
      <c r="I486" t="s">
        <v>11</v>
      </c>
      <c r="J486" t="s">
        <v>32</v>
      </c>
      <c r="K486" t="s">
        <v>2910</v>
      </c>
      <c r="L486">
        <f t="shared" ca="1" si="21"/>
        <v>3</v>
      </c>
      <c r="M486" t="str">
        <f>IFERROR(INDEX('[4]31.03.2024'!$H:$H,MATCH($E486,'[4]31.03.2024'!$B:$B,0)),"Not found")</f>
        <v>Not found</v>
      </c>
      <c r="N486" t="str">
        <f>IFERROR(INDEX([2]Sheet1!$B:$B,MATCH($D486,[2]Sheet1!$A:$A,0)),"Not found")</f>
        <v>Not found</v>
      </c>
      <c r="O486">
        <f t="shared" si="22"/>
        <v>0</v>
      </c>
      <c r="P486">
        <f t="shared" si="23"/>
        <v>0</v>
      </c>
    </row>
    <row r="487" spans="1:16" x14ac:dyDescent="0.25">
      <c r="A487" t="s">
        <v>7</v>
      </c>
      <c r="B487" s="1">
        <v>42705</v>
      </c>
      <c r="C487" s="1">
        <v>44926</v>
      </c>
      <c r="D487" s="4" t="s">
        <v>1134</v>
      </c>
      <c r="E487" t="s">
        <v>1135</v>
      </c>
      <c r="F487">
        <v>27374</v>
      </c>
      <c r="G487">
        <v>27780414</v>
      </c>
      <c r="H487" t="s">
        <v>10</v>
      </c>
      <c r="I487" t="s">
        <v>11</v>
      </c>
      <c r="J487" t="s">
        <v>32</v>
      </c>
      <c r="K487" t="s">
        <v>2910</v>
      </c>
      <c r="L487">
        <f t="shared" ca="1" si="21"/>
        <v>6</v>
      </c>
      <c r="M487" t="str">
        <f>IFERROR(INDEX('[4]31.03.2024'!$H:$H,MATCH($E487,'[4]31.03.2024'!$B:$B,0)),"Not found")</f>
        <v>Not found</v>
      </c>
      <c r="N487" t="str">
        <f>IFERROR(INDEX([2]Sheet1!$B:$B,MATCH($D487,[2]Sheet1!$A:$A,0)),"Not found")</f>
        <v>Not found</v>
      </c>
      <c r="O487">
        <f t="shared" si="22"/>
        <v>0</v>
      </c>
      <c r="P487">
        <f t="shared" si="23"/>
        <v>0</v>
      </c>
    </row>
    <row r="488" spans="1:16" x14ac:dyDescent="0.25">
      <c r="A488" t="s">
        <v>7</v>
      </c>
      <c r="B488" s="1">
        <v>42826</v>
      </c>
      <c r="C488" s="1">
        <v>42827</v>
      </c>
      <c r="D488" s="4" t="s">
        <v>1136</v>
      </c>
      <c r="E488" t="s">
        <v>1137</v>
      </c>
      <c r="F488">
        <v>27375</v>
      </c>
      <c r="G488" t="s">
        <v>14</v>
      </c>
      <c r="H488" t="s">
        <v>10</v>
      </c>
      <c r="I488" t="s">
        <v>11</v>
      </c>
      <c r="J488" t="s">
        <v>80</v>
      </c>
      <c r="K488" t="s">
        <v>2910</v>
      </c>
      <c r="L488">
        <f t="shared" ca="1" si="21"/>
        <v>0</v>
      </c>
      <c r="M488" t="str">
        <f>IFERROR(INDEX('[4]31.03.2024'!$H:$H,MATCH($E488,'[4]31.03.2024'!$B:$B,0)),"Not found")</f>
        <v>Not found</v>
      </c>
      <c r="N488" t="str">
        <f>IFERROR(INDEX([2]Sheet1!$B:$B,MATCH($D488,[2]Sheet1!$A:$A,0)),"Not found")</f>
        <v>Not found</v>
      </c>
      <c r="O488">
        <f t="shared" si="22"/>
        <v>0</v>
      </c>
      <c r="P488">
        <f t="shared" si="23"/>
        <v>0</v>
      </c>
    </row>
    <row r="489" spans="1:16" x14ac:dyDescent="0.25">
      <c r="A489" t="s">
        <v>7</v>
      </c>
      <c r="B489" s="1">
        <v>42552</v>
      </c>
      <c r="C489" s="1">
        <v>44469</v>
      </c>
      <c r="D489" s="4" t="s">
        <v>1148</v>
      </c>
      <c r="E489" t="s">
        <v>1149</v>
      </c>
      <c r="F489">
        <v>27479</v>
      </c>
      <c r="G489">
        <v>27321576</v>
      </c>
      <c r="H489" t="s">
        <v>10</v>
      </c>
      <c r="I489" t="s">
        <v>11</v>
      </c>
      <c r="J489" t="s">
        <v>12</v>
      </c>
      <c r="K489" t="s">
        <v>2910</v>
      </c>
      <c r="L489">
        <f t="shared" ca="1" si="21"/>
        <v>5</v>
      </c>
      <c r="M489" t="str">
        <f>IFERROR(INDEX('[4]31.03.2024'!$H:$H,MATCH($E489,'[4]31.03.2024'!$B:$B,0)),"Not found")</f>
        <v>Not found</v>
      </c>
      <c r="N489" t="str">
        <f>IFERROR(INDEX([2]Sheet1!$B:$B,MATCH($D489,[2]Sheet1!$A:$A,0)),"Not found")</f>
        <v>Not found</v>
      </c>
      <c r="O489">
        <f t="shared" si="22"/>
        <v>0</v>
      </c>
      <c r="P489">
        <f t="shared" si="23"/>
        <v>0</v>
      </c>
    </row>
    <row r="490" spans="1:16" x14ac:dyDescent="0.25">
      <c r="A490" t="s">
        <v>7</v>
      </c>
      <c r="B490" s="1">
        <v>42644</v>
      </c>
      <c r="C490" s="1">
        <v>45199</v>
      </c>
      <c r="D490" s="4" t="s">
        <v>39</v>
      </c>
      <c r="E490" t="s">
        <v>40</v>
      </c>
      <c r="F490">
        <v>27497</v>
      </c>
      <c r="G490">
        <v>28702725</v>
      </c>
      <c r="H490" t="s">
        <v>10</v>
      </c>
      <c r="I490" t="s">
        <v>11</v>
      </c>
      <c r="J490" t="s">
        <v>29</v>
      </c>
      <c r="K490" t="s">
        <v>2910</v>
      </c>
      <c r="L490">
        <f t="shared" ca="1" si="21"/>
        <v>6</v>
      </c>
      <c r="M490" t="str">
        <f>IFERROR(INDEX('[4]31.03.2024'!$H:$H,MATCH($E490,'[4]31.03.2024'!$B:$B,0)),"Not found")</f>
        <v>Not found</v>
      </c>
      <c r="N490" t="str">
        <f>IFERROR(INDEX([2]Sheet1!$B:$B,MATCH($D490,[2]Sheet1!$A:$A,0)),"Not found")</f>
        <v>Not found</v>
      </c>
      <c r="O490">
        <f t="shared" si="22"/>
        <v>0</v>
      </c>
      <c r="P490">
        <f t="shared" si="23"/>
        <v>0</v>
      </c>
    </row>
    <row r="491" spans="1:16" x14ac:dyDescent="0.25">
      <c r="A491" t="s">
        <v>7</v>
      </c>
      <c r="B491" s="1">
        <v>42705</v>
      </c>
      <c r="C491" s="1">
        <v>43830</v>
      </c>
      <c r="D491" s="4" t="s">
        <v>1158</v>
      </c>
      <c r="E491" t="s">
        <v>1159</v>
      </c>
      <c r="F491">
        <v>27535</v>
      </c>
      <c r="G491">
        <v>27943543</v>
      </c>
      <c r="H491" t="s">
        <v>3</v>
      </c>
      <c r="I491" t="s">
        <v>4</v>
      </c>
      <c r="J491" t="s">
        <v>20</v>
      </c>
      <c r="K491" t="s">
        <v>2911</v>
      </c>
      <c r="L491">
        <f t="shared" ca="1" si="21"/>
        <v>3</v>
      </c>
      <c r="M491" t="str">
        <f>IFERROR(INDEX('[4]31.03.2024'!$H:$H,MATCH($E491,'[4]31.03.2024'!$B:$B,0)),"Not found")</f>
        <v>Not found</v>
      </c>
      <c r="N491" t="str">
        <f>IFERROR(INDEX([2]Sheet1!$B:$B,MATCH($D491,[2]Sheet1!$A:$A,0)),"Not found")</f>
        <v>Not found</v>
      </c>
      <c r="O491">
        <f t="shared" si="22"/>
        <v>0</v>
      </c>
      <c r="P491">
        <f t="shared" si="23"/>
        <v>0</v>
      </c>
    </row>
    <row r="492" spans="1:16" x14ac:dyDescent="0.25">
      <c r="A492" t="s">
        <v>7</v>
      </c>
      <c r="B492" s="1">
        <v>42795</v>
      </c>
      <c r="C492" s="1">
        <v>44255</v>
      </c>
      <c r="D492" s="4" t="s">
        <v>1164</v>
      </c>
      <c r="E492" t="s">
        <v>1165</v>
      </c>
      <c r="F492">
        <v>27548</v>
      </c>
      <c r="G492">
        <v>27943332</v>
      </c>
      <c r="H492" t="s">
        <v>3</v>
      </c>
      <c r="I492" t="s">
        <v>4</v>
      </c>
      <c r="J492" t="s">
        <v>20</v>
      </c>
      <c r="K492" t="s">
        <v>2911</v>
      </c>
      <c r="L492">
        <f t="shared" ca="1" si="21"/>
        <v>3</v>
      </c>
      <c r="M492" t="str">
        <f>IFERROR(INDEX('[4]31.03.2024'!$H:$H,MATCH($E492,'[4]31.03.2024'!$B:$B,0)),"Not found")</f>
        <v>Not found</v>
      </c>
      <c r="N492" t="str">
        <f>IFERROR(INDEX([2]Sheet1!$B:$B,MATCH($D492,[2]Sheet1!$A:$A,0)),"Not found")</f>
        <v>Not found</v>
      </c>
      <c r="O492">
        <f t="shared" si="22"/>
        <v>0</v>
      </c>
      <c r="P492">
        <f t="shared" si="23"/>
        <v>0</v>
      </c>
    </row>
    <row r="493" spans="1:16" x14ac:dyDescent="0.25">
      <c r="A493" t="s">
        <v>7</v>
      </c>
      <c r="B493" s="1">
        <v>42795</v>
      </c>
      <c r="C493" s="1">
        <v>43404</v>
      </c>
      <c r="D493" s="4" t="s">
        <v>1194</v>
      </c>
      <c r="E493" t="s">
        <v>1195</v>
      </c>
      <c r="F493">
        <v>27645</v>
      </c>
      <c r="G493">
        <v>27938867</v>
      </c>
      <c r="H493" t="s">
        <v>10</v>
      </c>
      <c r="I493" t="s">
        <v>4</v>
      </c>
      <c r="J493" t="s">
        <v>47</v>
      </c>
      <c r="K493" t="s">
        <v>2910</v>
      </c>
      <c r="L493">
        <f t="shared" ca="1" si="21"/>
        <v>1</v>
      </c>
      <c r="M493" t="str">
        <f>IFERROR(INDEX('[4]31.03.2024'!$H:$H,MATCH($E493,'[4]31.03.2024'!$B:$B,0)),"Not found")</f>
        <v>Not found</v>
      </c>
      <c r="N493" t="str">
        <f>IFERROR(INDEX([2]Sheet1!$B:$B,MATCH($D493,[2]Sheet1!$A:$A,0)),"Not found")</f>
        <v>Not found</v>
      </c>
      <c r="O493">
        <f t="shared" si="22"/>
        <v>0</v>
      </c>
      <c r="P493">
        <f t="shared" si="23"/>
        <v>0</v>
      </c>
    </row>
    <row r="494" spans="1:16" x14ac:dyDescent="0.25">
      <c r="A494" t="s">
        <v>7</v>
      </c>
      <c r="B494" s="1">
        <v>42767</v>
      </c>
      <c r="C494" s="1">
        <v>43830</v>
      </c>
      <c r="D494" s="4" t="s">
        <v>1196</v>
      </c>
      <c r="E494" t="s">
        <v>1197</v>
      </c>
      <c r="F494">
        <v>27648</v>
      </c>
      <c r="G494">
        <v>28023749</v>
      </c>
      <c r="H494" t="s">
        <v>10</v>
      </c>
      <c r="I494" t="s">
        <v>4</v>
      </c>
      <c r="J494" t="s">
        <v>20</v>
      </c>
      <c r="K494" t="s">
        <v>2911</v>
      </c>
      <c r="L494">
        <f t="shared" ca="1" si="21"/>
        <v>2</v>
      </c>
      <c r="M494" t="str">
        <f>IFERROR(INDEX('[4]31.03.2024'!$H:$H,MATCH($E494,'[4]31.03.2024'!$B:$B,0)),"Not found")</f>
        <v>Not found</v>
      </c>
      <c r="N494" t="str">
        <f>IFERROR(INDEX([2]Sheet1!$B:$B,MATCH($D494,[2]Sheet1!$A:$A,0)),"Not found")</f>
        <v>Not found</v>
      </c>
      <c r="O494">
        <f t="shared" si="22"/>
        <v>0</v>
      </c>
      <c r="P494">
        <f t="shared" si="23"/>
        <v>0</v>
      </c>
    </row>
    <row r="495" spans="1:16" x14ac:dyDescent="0.25">
      <c r="A495" t="s">
        <v>7</v>
      </c>
      <c r="B495" s="1">
        <v>42795</v>
      </c>
      <c r="C495" s="1">
        <v>44926</v>
      </c>
      <c r="D495" s="4" t="s">
        <v>1210</v>
      </c>
      <c r="E495" t="s">
        <v>1211</v>
      </c>
      <c r="F495">
        <v>27777</v>
      </c>
      <c r="G495">
        <v>28031431</v>
      </c>
      <c r="H495" t="s">
        <v>10</v>
      </c>
      <c r="I495" t="s">
        <v>11</v>
      </c>
      <c r="J495" t="s">
        <v>32</v>
      </c>
      <c r="K495" t="s">
        <v>2910</v>
      </c>
      <c r="L495">
        <f t="shared" ca="1" si="21"/>
        <v>5</v>
      </c>
      <c r="M495" t="str">
        <f>IFERROR(INDEX('[4]31.03.2024'!$H:$H,MATCH($E495,'[4]31.03.2024'!$B:$B,0)),"Not found")</f>
        <v>Not found</v>
      </c>
      <c r="N495" t="str">
        <f>IFERROR(INDEX([2]Sheet1!$B:$B,MATCH($D495,[2]Sheet1!$A:$A,0)),"Not found")</f>
        <v>Not found</v>
      </c>
      <c r="O495">
        <f t="shared" si="22"/>
        <v>0</v>
      </c>
      <c r="P495">
        <f t="shared" si="23"/>
        <v>0</v>
      </c>
    </row>
    <row r="496" spans="1:16" x14ac:dyDescent="0.25">
      <c r="A496" t="s">
        <v>7</v>
      </c>
      <c r="B496" s="1">
        <v>42795</v>
      </c>
      <c r="C496" s="1">
        <v>43434</v>
      </c>
      <c r="D496" s="4" t="s">
        <v>1226</v>
      </c>
      <c r="E496" t="s">
        <v>1227</v>
      </c>
      <c r="F496">
        <v>27958</v>
      </c>
      <c r="G496">
        <v>28216989</v>
      </c>
      <c r="H496" t="s">
        <v>3</v>
      </c>
      <c r="I496" t="s">
        <v>4</v>
      </c>
      <c r="J496" t="s">
        <v>50</v>
      </c>
      <c r="K496" t="s">
        <v>2911</v>
      </c>
      <c r="L496">
        <f t="shared" ca="1" si="21"/>
        <v>1</v>
      </c>
      <c r="M496" t="str">
        <f>IFERROR(INDEX('[4]31.03.2024'!$H:$H,MATCH($E496,'[4]31.03.2024'!$B:$B,0)),"Not found")</f>
        <v>Not found</v>
      </c>
      <c r="N496" t="str">
        <f>IFERROR(INDEX([2]Sheet1!$B:$B,MATCH($D496,[2]Sheet1!$A:$A,0)),"Not found")</f>
        <v>Not found</v>
      </c>
      <c r="O496">
        <f t="shared" si="22"/>
        <v>0</v>
      </c>
      <c r="P496">
        <f t="shared" si="23"/>
        <v>0</v>
      </c>
    </row>
    <row r="497" spans="1:16" x14ac:dyDescent="0.25">
      <c r="A497" t="s">
        <v>7</v>
      </c>
      <c r="B497" s="1">
        <v>42795</v>
      </c>
      <c r="C497" s="1">
        <v>43830</v>
      </c>
      <c r="D497" s="4" t="s">
        <v>1228</v>
      </c>
      <c r="E497" t="s">
        <v>1229</v>
      </c>
      <c r="F497">
        <v>27976</v>
      </c>
      <c r="G497">
        <v>28125569</v>
      </c>
      <c r="H497" t="s">
        <v>10</v>
      </c>
      <c r="I497" t="s">
        <v>4</v>
      </c>
      <c r="J497" t="s">
        <v>32</v>
      </c>
      <c r="K497" t="s">
        <v>2911</v>
      </c>
      <c r="L497">
        <f t="shared" ca="1" si="21"/>
        <v>2</v>
      </c>
      <c r="M497" t="str">
        <f>IFERROR(INDEX('[4]31.03.2024'!$H:$H,MATCH($E497,'[4]31.03.2024'!$B:$B,0)),"Not found")</f>
        <v>Not found</v>
      </c>
      <c r="N497" t="str">
        <f>IFERROR(INDEX([2]Sheet1!$B:$B,MATCH($D497,[2]Sheet1!$A:$A,0)),"Not found")</f>
        <v>Not found</v>
      </c>
      <c r="O497">
        <f t="shared" si="22"/>
        <v>0</v>
      </c>
      <c r="P497">
        <f t="shared" si="23"/>
        <v>0</v>
      </c>
    </row>
    <row r="498" spans="1:16" x14ac:dyDescent="0.25">
      <c r="A498" t="s">
        <v>7</v>
      </c>
      <c r="B498" s="1">
        <v>42887</v>
      </c>
      <c r="C498" s="1">
        <v>43465</v>
      </c>
      <c r="D498" s="4" t="s">
        <v>1244</v>
      </c>
      <c r="E498" t="s">
        <v>1245</v>
      </c>
      <c r="F498">
        <v>28064</v>
      </c>
      <c r="G498">
        <v>28291444</v>
      </c>
      <c r="H498" t="s">
        <v>3</v>
      </c>
      <c r="I498" t="s">
        <v>4</v>
      </c>
      <c r="J498" t="s">
        <v>20</v>
      </c>
      <c r="K498" t="s">
        <v>2911</v>
      </c>
      <c r="L498">
        <f t="shared" ca="1" si="21"/>
        <v>1</v>
      </c>
      <c r="M498" t="str">
        <f>IFERROR(INDEX('[4]31.03.2024'!$H:$H,MATCH($E498,'[4]31.03.2024'!$B:$B,0)),"Not found")</f>
        <v>Not found</v>
      </c>
      <c r="N498" t="str">
        <f>IFERROR(INDEX([2]Sheet1!$B:$B,MATCH($D498,[2]Sheet1!$A:$A,0)),"Not found")</f>
        <v>Not found</v>
      </c>
      <c r="O498">
        <f t="shared" si="22"/>
        <v>0</v>
      </c>
      <c r="P498">
        <f t="shared" si="23"/>
        <v>0</v>
      </c>
    </row>
    <row r="499" spans="1:16" x14ac:dyDescent="0.25">
      <c r="A499" t="s">
        <v>7</v>
      </c>
      <c r="B499" s="1">
        <v>43221</v>
      </c>
      <c r="C499" s="1">
        <v>44377</v>
      </c>
      <c r="D499" s="4" t="s">
        <v>1250</v>
      </c>
      <c r="E499" t="s">
        <v>1251</v>
      </c>
      <c r="F499">
        <v>28096</v>
      </c>
      <c r="G499">
        <v>28456229</v>
      </c>
      <c r="H499" t="s">
        <v>3</v>
      </c>
      <c r="I499" t="s">
        <v>4</v>
      </c>
      <c r="J499" t="s">
        <v>20</v>
      </c>
      <c r="K499" t="s">
        <v>2911</v>
      </c>
      <c r="L499">
        <f t="shared" ca="1" si="21"/>
        <v>3</v>
      </c>
      <c r="M499" t="str">
        <f>IFERROR(INDEX('[4]31.03.2024'!$H:$H,MATCH($E499,'[4]31.03.2024'!$B:$B,0)),"Not found")</f>
        <v>Not found</v>
      </c>
      <c r="N499" t="str">
        <f>IFERROR(INDEX([2]Sheet1!$B:$B,MATCH($D499,[2]Sheet1!$A:$A,0)),"Not found")</f>
        <v>Not found</v>
      </c>
      <c r="O499">
        <f t="shared" si="22"/>
        <v>0</v>
      </c>
      <c r="P499">
        <f t="shared" si="23"/>
        <v>0</v>
      </c>
    </row>
    <row r="500" spans="1:16" x14ac:dyDescent="0.25">
      <c r="A500" t="s">
        <v>7</v>
      </c>
      <c r="B500" s="1">
        <v>42979</v>
      </c>
      <c r="C500" s="1">
        <v>43281</v>
      </c>
      <c r="D500" s="4" t="s">
        <v>1264</v>
      </c>
      <c r="E500" t="s">
        <v>1265</v>
      </c>
      <c r="F500">
        <v>28121</v>
      </c>
      <c r="G500">
        <v>28403979</v>
      </c>
      <c r="H500" t="s">
        <v>10</v>
      </c>
      <c r="I500" t="s">
        <v>11</v>
      </c>
      <c r="J500" t="s">
        <v>80</v>
      </c>
      <c r="K500" t="s">
        <v>2910</v>
      </c>
      <c r="L500">
        <f t="shared" ca="1" si="21"/>
        <v>0</v>
      </c>
      <c r="M500" t="str">
        <f>IFERROR(INDEX('[4]31.03.2024'!$H:$H,MATCH($E500,'[4]31.03.2024'!$B:$B,0)),"Not found")</f>
        <v>Not found</v>
      </c>
      <c r="N500" t="str">
        <f>IFERROR(INDEX([2]Sheet1!$B:$B,MATCH($D500,[2]Sheet1!$A:$A,0)),"Not found")</f>
        <v>Not found</v>
      </c>
      <c r="O500">
        <f t="shared" si="22"/>
        <v>0</v>
      </c>
      <c r="P500">
        <f t="shared" si="23"/>
        <v>0</v>
      </c>
    </row>
    <row r="501" spans="1:16" x14ac:dyDescent="0.25">
      <c r="A501" t="s">
        <v>7</v>
      </c>
      <c r="B501" s="1">
        <v>43009</v>
      </c>
      <c r="C501" s="1">
        <v>43496</v>
      </c>
      <c r="D501" s="4" t="s">
        <v>1282</v>
      </c>
      <c r="E501" t="s">
        <v>1283</v>
      </c>
      <c r="F501">
        <v>28169</v>
      </c>
      <c r="G501">
        <v>28474152</v>
      </c>
      <c r="H501" t="s">
        <v>10</v>
      </c>
      <c r="I501" t="s">
        <v>4</v>
      </c>
      <c r="J501" t="s">
        <v>47</v>
      </c>
      <c r="K501" t="s">
        <v>2910</v>
      </c>
      <c r="L501">
        <f t="shared" ca="1" si="21"/>
        <v>1</v>
      </c>
      <c r="M501" t="str">
        <f>IFERROR(INDEX('[4]31.03.2024'!$H:$H,MATCH($E501,'[4]31.03.2024'!$B:$B,0)),"Not found")</f>
        <v>Not found</v>
      </c>
      <c r="N501" t="str">
        <f>IFERROR(INDEX([2]Sheet1!$B:$B,MATCH($D501,[2]Sheet1!$A:$A,0)),"Not found")</f>
        <v>Not found</v>
      </c>
      <c r="O501">
        <f t="shared" si="22"/>
        <v>0</v>
      </c>
      <c r="P501">
        <f t="shared" si="23"/>
        <v>0</v>
      </c>
    </row>
    <row r="502" spans="1:16" x14ac:dyDescent="0.25">
      <c r="A502" t="s">
        <v>7</v>
      </c>
      <c r="B502" s="1">
        <v>43070</v>
      </c>
      <c r="C502" s="1">
        <v>43465</v>
      </c>
      <c r="D502" s="4" t="s">
        <v>1292</v>
      </c>
      <c r="E502" t="s">
        <v>1293</v>
      </c>
      <c r="F502">
        <v>28182</v>
      </c>
      <c r="G502">
        <v>28441385</v>
      </c>
      <c r="H502" t="s">
        <v>10</v>
      </c>
      <c r="I502" t="s">
        <v>4</v>
      </c>
      <c r="J502" t="s">
        <v>5</v>
      </c>
      <c r="K502" t="s">
        <v>2910</v>
      </c>
      <c r="L502">
        <f t="shared" ca="1" si="21"/>
        <v>1</v>
      </c>
      <c r="M502" t="str">
        <f>IFERROR(INDEX('[4]31.03.2024'!$H:$H,MATCH($E502,'[4]31.03.2024'!$B:$B,0)),"Not found")</f>
        <v>Not found</v>
      </c>
      <c r="N502" t="str">
        <f>IFERROR(INDEX([2]Sheet1!$B:$B,MATCH($D502,[2]Sheet1!$A:$A,0)),"Not found")</f>
        <v>Not found</v>
      </c>
      <c r="O502">
        <f t="shared" si="22"/>
        <v>0</v>
      </c>
      <c r="P502">
        <f t="shared" si="23"/>
        <v>0</v>
      </c>
    </row>
    <row r="503" spans="1:16" x14ac:dyDescent="0.25">
      <c r="A503" t="s">
        <v>7</v>
      </c>
      <c r="B503" s="1">
        <v>43617</v>
      </c>
      <c r="C503" s="1">
        <v>45199</v>
      </c>
      <c r="D503" s="4" t="s">
        <v>41</v>
      </c>
      <c r="E503" t="s">
        <v>42</v>
      </c>
      <c r="F503">
        <v>28184</v>
      </c>
      <c r="G503">
        <v>28412744</v>
      </c>
      <c r="H503" t="s">
        <v>10</v>
      </c>
      <c r="I503" t="s">
        <v>11</v>
      </c>
      <c r="J503" t="s">
        <v>29</v>
      </c>
      <c r="K503" t="s">
        <v>2910</v>
      </c>
      <c r="L503">
        <f t="shared" ca="1" si="21"/>
        <v>4</v>
      </c>
      <c r="M503" t="str">
        <f>IFERROR(INDEX('[4]31.03.2024'!$H:$H,MATCH($E503,'[4]31.03.2024'!$B:$B,0)),"Not found")</f>
        <v>Not found</v>
      </c>
      <c r="N503" t="str">
        <f>IFERROR(INDEX([2]Sheet1!$B:$B,MATCH($D503,[2]Sheet1!$A:$A,0)),"Not found")</f>
        <v>Not found</v>
      </c>
      <c r="O503">
        <f t="shared" si="22"/>
        <v>0</v>
      </c>
      <c r="P503">
        <f t="shared" si="23"/>
        <v>0</v>
      </c>
    </row>
    <row r="504" spans="1:16" x14ac:dyDescent="0.25">
      <c r="A504" t="s">
        <v>7</v>
      </c>
      <c r="B504" s="1">
        <v>42979</v>
      </c>
      <c r="C504" s="1">
        <v>44439</v>
      </c>
      <c r="D504" s="4" t="s">
        <v>1300</v>
      </c>
      <c r="E504" t="s">
        <v>1301</v>
      </c>
      <c r="F504">
        <v>28286</v>
      </c>
      <c r="G504">
        <v>28455234</v>
      </c>
      <c r="H504" t="s">
        <v>3</v>
      </c>
      <c r="I504" t="s">
        <v>4</v>
      </c>
      <c r="J504" t="s">
        <v>50</v>
      </c>
      <c r="K504" t="s">
        <v>2911</v>
      </c>
      <c r="L504">
        <f t="shared" ca="1" si="21"/>
        <v>3</v>
      </c>
      <c r="M504" t="str">
        <f>IFERROR(INDEX('[4]31.03.2024'!$H:$H,MATCH($E504,'[4]31.03.2024'!$B:$B,0)),"Not found")</f>
        <v>Not found</v>
      </c>
      <c r="N504" t="str">
        <f>IFERROR(INDEX([2]Sheet1!$B:$B,MATCH($D504,[2]Sheet1!$A:$A,0)),"Not found")</f>
        <v>Not found</v>
      </c>
      <c r="O504">
        <f t="shared" si="22"/>
        <v>0</v>
      </c>
      <c r="P504">
        <f t="shared" si="23"/>
        <v>0</v>
      </c>
    </row>
    <row r="505" spans="1:16" x14ac:dyDescent="0.25">
      <c r="A505" t="s">
        <v>7</v>
      </c>
      <c r="B505" s="1">
        <v>43009</v>
      </c>
      <c r="C505" s="1">
        <v>43616</v>
      </c>
      <c r="D505" s="4" t="s">
        <v>1320</v>
      </c>
      <c r="E505" t="s">
        <v>1321</v>
      </c>
      <c r="F505">
        <v>28413</v>
      </c>
      <c r="G505">
        <v>28578357</v>
      </c>
      <c r="H505" t="s">
        <v>3</v>
      </c>
      <c r="I505" t="s">
        <v>4</v>
      </c>
      <c r="J505" t="s">
        <v>5</v>
      </c>
      <c r="K505" t="s">
        <v>2910</v>
      </c>
      <c r="L505">
        <f t="shared" ca="1" si="21"/>
        <v>1</v>
      </c>
      <c r="M505" t="str">
        <f>IFERROR(INDEX('[4]31.03.2024'!$H:$H,MATCH($E505,'[4]31.03.2024'!$B:$B,0)),"Not found")</f>
        <v>Not found</v>
      </c>
      <c r="N505" t="str">
        <f>IFERROR(INDEX([2]Sheet1!$B:$B,MATCH($D505,[2]Sheet1!$A:$A,0)),"Not found")</f>
        <v>Not found</v>
      </c>
      <c r="O505">
        <f t="shared" si="22"/>
        <v>0</v>
      </c>
      <c r="P505">
        <f t="shared" si="23"/>
        <v>0</v>
      </c>
    </row>
    <row r="506" spans="1:16" x14ac:dyDescent="0.25">
      <c r="A506" t="s">
        <v>7</v>
      </c>
      <c r="B506" s="1">
        <v>43040</v>
      </c>
      <c r="C506" s="1">
        <v>44530</v>
      </c>
      <c r="D506" s="4" t="s">
        <v>1322</v>
      </c>
      <c r="E506" t="s">
        <v>1323</v>
      </c>
      <c r="F506">
        <v>28415</v>
      </c>
      <c r="G506">
        <v>28578402</v>
      </c>
      <c r="H506" t="s">
        <v>10</v>
      </c>
      <c r="I506" t="s">
        <v>4</v>
      </c>
      <c r="J506" t="s">
        <v>47</v>
      </c>
      <c r="K506" t="s">
        <v>2910</v>
      </c>
      <c r="L506">
        <f t="shared" ca="1" si="21"/>
        <v>4</v>
      </c>
      <c r="M506" t="str">
        <f>IFERROR(INDEX('[4]31.03.2024'!$H:$H,MATCH($E506,'[4]31.03.2024'!$B:$B,0)),"Not found")</f>
        <v>Not found</v>
      </c>
      <c r="N506" t="str">
        <f>IFERROR(INDEX([2]Sheet1!$B:$B,MATCH($D506,[2]Sheet1!$A:$A,0)),"Not found")</f>
        <v>Not found</v>
      </c>
      <c r="O506">
        <f t="shared" si="22"/>
        <v>0</v>
      </c>
      <c r="P506">
        <f t="shared" si="23"/>
        <v>0</v>
      </c>
    </row>
    <row r="507" spans="1:16" x14ac:dyDescent="0.25">
      <c r="A507" t="s">
        <v>7</v>
      </c>
      <c r="B507" s="1">
        <v>43040</v>
      </c>
      <c r="C507" s="1">
        <v>44712</v>
      </c>
      <c r="D507" s="4" t="s">
        <v>1332</v>
      </c>
      <c r="E507" t="s">
        <v>1333</v>
      </c>
      <c r="F507">
        <v>28520</v>
      </c>
      <c r="G507">
        <v>28575316</v>
      </c>
      <c r="H507" t="s">
        <v>10</v>
      </c>
      <c r="I507" t="s">
        <v>4</v>
      </c>
      <c r="J507" t="s">
        <v>5</v>
      </c>
      <c r="K507" t="s">
        <v>2910</v>
      </c>
      <c r="L507">
        <f t="shared" ca="1" si="21"/>
        <v>4</v>
      </c>
      <c r="M507" t="str">
        <f>IFERROR(INDEX('[4]31.03.2024'!$H:$H,MATCH($E507,'[4]31.03.2024'!$B:$B,0)),"Not found")</f>
        <v>Not found</v>
      </c>
      <c r="N507" t="str">
        <f>IFERROR(INDEX([2]Sheet1!$B:$B,MATCH($D507,[2]Sheet1!$A:$A,0)),"Not found")</f>
        <v>Not found</v>
      </c>
      <c r="O507">
        <f t="shared" si="22"/>
        <v>0</v>
      </c>
      <c r="P507">
        <f t="shared" si="23"/>
        <v>0</v>
      </c>
    </row>
    <row r="508" spans="1:16" x14ac:dyDescent="0.25">
      <c r="A508" t="s">
        <v>7</v>
      </c>
      <c r="B508" s="1">
        <v>43009</v>
      </c>
      <c r="C508" s="1">
        <v>43496</v>
      </c>
      <c r="D508" s="4" t="s">
        <v>1334</v>
      </c>
      <c r="E508" t="s">
        <v>1335</v>
      </c>
      <c r="F508">
        <v>28532</v>
      </c>
      <c r="G508">
        <v>28552843</v>
      </c>
      <c r="H508" t="s">
        <v>10</v>
      </c>
      <c r="I508" t="s">
        <v>4</v>
      </c>
      <c r="J508" t="s">
        <v>29</v>
      </c>
      <c r="K508" t="s">
        <v>2910</v>
      </c>
      <c r="L508">
        <f t="shared" ca="1" si="21"/>
        <v>1</v>
      </c>
      <c r="M508" t="str">
        <f>IFERROR(INDEX('[4]31.03.2024'!$H:$H,MATCH($E508,'[4]31.03.2024'!$B:$B,0)),"Not found")</f>
        <v>Not found</v>
      </c>
      <c r="N508" t="str">
        <f>IFERROR(INDEX([2]Sheet1!$B:$B,MATCH($D508,[2]Sheet1!$A:$A,0)),"Not found")</f>
        <v>Not found</v>
      </c>
      <c r="O508">
        <f t="shared" si="22"/>
        <v>0</v>
      </c>
      <c r="P508">
        <f t="shared" si="23"/>
        <v>0</v>
      </c>
    </row>
    <row r="509" spans="1:16" x14ac:dyDescent="0.25">
      <c r="A509" t="s">
        <v>7</v>
      </c>
      <c r="B509" s="1">
        <v>43070</v>
      </c>
      <c r="C509" s="1">
        <v>44196</v>
      </c>
      <c r="D509" s="4" t="s">
        <v>1336</v>
      </c>
      <c r="E509" t="s">
        <v>1337</v>
      </c>
      <c r="F509">
        <v>28536</v>
      </c>
      <c r="G509">
        <v>28641889</v>
      </c>
      <c r="H509" t="s">
        <v>3</v>
      </c>
      <c r="I509" t="s">
        <v>4</v>
      </c>
      <c r="J509" t="s">
        <v>50</v>
      </c>
      <c r="K509" t="s">
        <v>2910</v>
      </c>
      <c r="L509">
        <f t="shared" ca="1" si="21"/>
        <v>3</v>
      </c>
      <c r="M509" t="str">
        <f>IFERROR(INDEX('[4]31.03.2024'!$H:$H,MATCH($E509,'[4]31.03.2024'!$B:$B,0)),"Not found")</f>
        <v>Not found</v>
      </c>
      <c r="N509" t="str">
        <f>IFERROR(INDEX([2]Sheet1!$B:$B,MATCH($D509,[2]Sheet1!$A:$A,0)),"Not found")</f>
        <v>Not found</v>
      </c>
      <c r="O509">
        <f t="shared" si="22"/>
        <v>0</v>
      </c>
      <c r="P509">
        <f t="shared" si="23"/>
        <v>0</v>
      </c>
    </row>
    <row r="510" spans="1:16" x14ac:dyDescent="0.25">
      <c r="A510" t="s">
        <v>7</v>
      </c>
      <c r="B510" s="1">
        <v>43160</v>
      </c>
      <c r="C510" s="1">
        <v>44196</v>
      </c>
      <c r="D510" s="4" t="s">
        <v>1346</v>
      </c>
      <c r="E510" t="s">
        <v>1347</v>
      </c>
      <c r="F510">
        <v>28541</v>
      </c>
      <c r="G510">
        <v>28765099</v>
      </c>
      <c r="H510" t="s">
        <v>3</v>
      </c>
      <c r="I510" t="s">
        <v>4</v>
      </c>
      <c r="J510" t="s">
        <v>50</v>
      </c>
      <c r="K510" t="s">
        <v>2910</v>
      </c>
      <c r="L510">
        <f t="shared" ca="1" si="21"/>
        <v>2</v>
      </c>
      <c r="M510" t="str">
        <f>IFERROR(INDEX('[4]31.03.2024'!$H:$H,MATCH($E510,'[4]31.03.2024'!$B:$B,0)),"Not found")</f>
        <v>Not found</v>
      </c>
      <c r="N510" t="str">
        <f>IFERROR(INDEX([2]Sheet1!$B:$B,MATCH($D510,[2]Sheet1!$A:$A,0)),"Not found")</f>
        <v>Not found</v>
      </c>
      <c r="O510">
        <f t="shared" si="22"/>
        <v>0</v>
      </c>
      <c r="P510">
        <f t="shared" si="23"/>
        <v>0</v>
      </c>
    </row>
    <row r="511" spans="1:16" x14ac:dyDescent="0.25">
      <c r="A511" t="s">
        <v>7</v>
      </c>
      <c r="B511" s="1">
        <v>43160</v>
      </c>
      <c r="C511" s="1">
        <v>45382</v>
      </c>
      <c r="D511" s="4" t="s">
        <v>239</v>
      </c>
      <c r="E511" t="s">
        <v>240</v>
      </c>
      <c r="F511">
        <v>28542</v>
      </c>
      <c r="G511">
        <v>28764985</v>
      </c>
      <c r="H511" t="s">
        <v>3</v>
      </c>
      <c r="I511" t="s">
        <v>4</v>
      </c>
      <c r="J511" t="s">
        <v>50</v>
      </c>
      <c r="K511" t="s">
        <v>2910</v>
      </c>
      <c r="L511">
        <f t="shared" ca="1" si="21"/>
        <v>6</v>
      </c>
      <c r="M511" t="str">
        <f>IFERROR(INDEX('[4]31.03.2024'!$H:$H,MATCH($E511,'[4]31.03.2024'!$B:$B,0)),"Not found")</f>
        <v>Nordea Funds Oy</v>
      </c>
      <c r="N511" t="str">
        <f>IFERROR(INDEX([2]Sheet1!$B:$B,MATCH($D511,[2]Sheet1!$A:$A,0)),"Not found")</f>
        <v>Retail</v>
      </c>
      <c r="O511">
        <f t="shared" si="22"/>
        <v>1</v>
      </c>
      <c r="P511">
        <f t="shared" si="23"/>
        <v>0</v>
      </c>
    </row>
    <row r="512" spans="1:16" x14ac:dyDescent="0.25">
      <c r="A512" t="s">
        <v>7</v>
      </c>
      <c r="B512" s="1">
        <v>43191</v>
      </c>
      <c r="C512" s="1">
        <v>44196</v>
      </c>
      <c r="D512" s="4" t="s">
        <v>1354</v>
      </c>
      <c r="E512" t="s">
        <v>1355</v>
      </c>
      <c r="F512">
        <v>28546</v>
      </c>
      <c r="G512">
        <v>28765291</v>
      </c>
      <c r="H512" t="s">
        <v>3</v>
      </c>
      <c r="I512" t="s">
        <v>4</v>
      </c>
      <c r="J512" t="s">
        <v>50</v>
      </c>
      <c r="K512" t="s">
        <v>2910</v>
      </c>
      <c r="L512">
        <f t="shared" ca="1" si="21"/>
        <v>2</v>
      </c>
      <c r="M512" t="str">
        <f>IFERROR(INDEX('[4]31.03.2024'!$H:$H,MATCH($E512,'[4]31.03.2024'!$B:$B,0)),"Not found")</f>
        <v>Not found</v>
      </c>
      <c r="N512" t="str">
        <f>IFERROR(INDEX([2]Sheet1!$B:$B,MATCH($D512,[2]Sheet1!$A:$A,0)),"Not found")</f>
        <v>Not found</v>
      </c>
      <c r="O512">
        <f t="shared" si="22"/>
        <v>0</v>
      </c>
      <c r="P512">
        <f t="shared" si="23"/>
        <v>0</v>
      </c>
    </row>
    <row r="513" spans="1:16" x14ac:dyDescent="0.25">
      <c r="A513" t="s">
        <v>7</v>
      </c>
      <c r="B513" s="1">
        <v>43191</v>
      </c>
      <c r="C513" s="1">
        <v>45382</v>
      </c>
      <c r="D513" s="4" t="s">
        <v>241</v>
      </c>
      <c r="E513" t="s">
        <v>242</v>
      </c>
      <c r="F513">
        <v>28547</v>
      </c>
      <c r="G513">
        <v>28765275</v>
      </c>
      <c r="H513" t="s">
        <v>3</v>
      </c>
      <c r="I513" t="s">
        <v>4</v>
      </c>
      <c r="J513" t="s">
        <v>50</v>
      </c>
      <c r="K513" t="s">
        <v>2910</v>
      </c>
      <c r="L513">
        <f t="shared" ca="1" si="21"/>
        <v>5</v>
      </c>
      <c r="M513" t="str">
        <f>IFERROR(INDEX('[4]31.03.2024'!$H:$H,MATCH($E513,'[4]31.03.2024'!$B:$B,0)),"Not found")</f>
        <v>Nordea Funds Oy</v>
      </c>
      <c r="N513" t="str">
        <f>IFERROR(INDEX([2]Sheet1!$B:$B,MATCH($D513,[2]Sheet1!$A:$A,0)),"Not found")</f>
        <v>Retail</v>
      </c>
      <c r="O513">
        <f t="shared" si="22"/>
        <v>1</v>
      </c>
      <c r="P513">
        <f t="shared" si="23"/>
        <v>0</v>
      </c>
    </row>
    <row r="514" spans="1:16" x14ac:dyDescent="0.25">
      <c r="A514" t="s">
        <v>7</v>
      </c>
      <c r="B514" s="1">
        <v>43191</v>
      </c>
      <c r="C514" s="1">
        <v>43646</v>
      </c>
      <c r="D514" s="4" t="s">
        <v>1360</v>
      </c>
      <c r="E514" t="s">
        <v>1361</v>
      </c>
      <c r="F514">
        <v>28550</v>
      </c>
      <c r="G514">
        <v>28765128</v>
      </c>
      <c r="H514" t="s">
        <v>3</v>
      </c>
      <c r="I514" t="s">
        <v>4</v>
      </c>
      <c r="J514" t="s">
        <v>20</v>
      </c>
      <c r="K514" t="s">
        <v>2910</v>
      </c>
      <c r="L514">
        <f t="shared" ca="1" si="21"/>
        <v>1</v>
      </c>
      <c r="M514" t="str">
        <f>IFERROR(INDEX('[4]31.03.2024'!$H:$H,MATCH($E514,'[4]31.03.2024'!$B:$B,0)),"Not found")</f>
        <v>Not found</v>
      </c>
      <c r="N514" t="str">
        <f>IFERROR(INDEX([2]Sheet1!$B:$B,MATCH($D514,[2]Sheet1!$A:$A,0)),"Not found")</f>
        <v>Not found</v>
      </c>
      <c r="O514">
        <f t="shared" si="22"/>
        <v>0</v>
      </c>
      <c r="P514">
        <f t="shared" si="23"/>
        <v>0</v>
      </c>
    </row>
    <row r="515" spans="1:16" x14ac:dyDescent="0.25">
      <c r="A515" t="s">
        <v>7</v>
      </c>
      <c r="B515" s="1">
        <v>43070</v>
      </c>
      <c r="C515" s="1">
        <v>44196</v>
      </c>
      <c r="D515" s="4" t="s">
        <v>1362</v>
      </c>
      <c r="E515" t="s">
        <v>1363</v>
      </c>
      <c r="F515">
        <v>28551</v>
      </c>
      <c r="G515">
        <v>28641731</v>
      </c>
      <c r="H515" t="s">
        <v>3</v>
      </c>
      <c r="I515" t="s">
        <v>4</v>
      </c>
      <c r="J515" t="s">
        <v>50</v>
      </c>
      <c r="K515" t="s">
        <v>2910</v>
      </c>
      <c r="L515">
        <f t="shared" ref="L515:L578" ca="1" si="24">IF($K515="Continues",DATEDIF($B515,TODAY(),"Y"),DATEDIF($B515,$C515,"Y"))</f>
        <v>3</v>
      </c>
      <c r="M515" t="str">
        <f>IFERROR(INDEX('[4]31.03.2024'!$H:$H,MATCH($E515,'[4]31.03.2024'!$B:$B,0)),"Not found")</f>
        <v>Not found</v>
      </c>
      <c r="N515" t="str">
        <f>IFERROR(INDEX([2]Sheet1!$B:$B,MATCH($D515,[2]Sheet1!$A:$A,0)),"Not found")</f>
        <v>Not found</v>
      </c>
      <c r="O515">
        <f t="shared" ref="O515:O578" si="25">IF($N515="Retail",1,0)</f>
        <v>0</v>
      </c>
      <c r="P515">
        <f t="shared" ref="P515:P578" si="26">IF($N515="Non-Retail",1,0)</f>
        <v>0</v>
      </c>
    </row>
    <row r="516" spans="1:16" x14ac:dyDescent="0.25">
      <c r="A516" t="s">
        <v>7</v>
      </c>
      <c r="B516" s="1">
        <v>43160</v>
      </c>
      <c r="C516" s="1">
        <v>43830</v>
      </c>
      <c r="D516" s="4" t="s">
        <v>1400</v>
      </c>
      <c r="E516" t="s">
        <v>1401</v>
      </c>
      <c r="F516">
        <v>28757</v>
      </c>
      <c r="G516">
        <v>28571841</v>
      </c>
      <c r="H516" t="s">
        <v>10</v>
      </c>
      <c r="I516" t="s">
        <v>11</v>
      </c>
      <c r="J516" t="s">
        <v>32</v>
      </c>
      <c r="K516" t="s">
        <v>2910</v>
      </c>
      <c r="L516">
        <f t="shared" ca="1" si="24"/>
        <v>1</v>
      </c>
      <c r="M516" t="str">
        <f>IFERROR(INDEX('[4]31.03.2024'!$H:$H,MATCH($E516,'[4]31.03.2024'!$B:$B,0)),"Not found")</f>
        <v>Not found</v>
      </c>
      <c r="N516" t="str">
        <f>IFERROR(INDEX([2]Sheet1!$B:$B,MATCH($D516,[2]Sheet1!$A:$A,0)),"Not found")</f>
        <v>Not found</v>
      </c>
      <c r="O516">
        <f t="shared" si="25"/>
        <v>0</v>
      </c>
      <c r="P516">
        <f t="shared" si="26"/>
        <v>0</v>
      </c>
    </row>
    <row r="517" spans="1:16" x14ac:dyDescent="0.25">
      <c r="A517" t="s">
        <v>7</v>
      </c>
      <c r="B517" s="1">
        <v>43160</v>
      </c>
      <c r="C517" s="1">
        <v>43830</v>
      </c>
      <c r="D517" s="4" t="s">
        <v>1402</v>
      </c>
      <c r="E517" t="s">
        <v>1403</v>
      </c>
      <c r="F517">
        <v>28758</v>
      </c>
      <c r="G517">
        <v>28519779</v>
      </c>
      <c r="H517" t="s">
        <v>10</v>
      </c>
      <c r="I517" t="s">
        <v>11</v>
      </c>
      <c r="J517" t="s">
        <v>32</v>
      </c>
      <c r="K517" t="s">
        <v>2910</v>
      </c>
      <c r="L517">
        <f t="shared" ca="1" si="24"/>
        <v>1</v>
      </c>
      <c r="M517" t="str">
        <f>IFERROR(INDEX('[4]31.03.2024'!$H:$H,MATCH($E517,'[4]31.03.2024'!$B:$B,0)),"Not found")</f>
        <v>Not found</v>
      </c>
      <c r="N517" t="str">
        <f>IFERROR(INDEX([2]Sheet1!$B:$B,MATCH($D517,[2]Sheet1!$A:$A,0)),"Not found")</f>
        <v>Not found</v>
      </c>
      <c r="O517">
        <f t="shared" si="25"/>
        <v>0</v>
      </c>
      <c r="P517">
        <f t="shared" si="26"/>
        <v>0</v>
      </c>
    </row>
    <row r="518" spans="1:16" x14ac:dyDescent="0.25">
      <c r="A518" t="s">
        <v>7</v>
      </c>
      <c r="B518" s="1">
        <v>43160</v>
      </c>
      <c r="C518" s="1">
        <v>43921</v>
      </c>
      <c r="D518" s="4" t="s">
        <v>1424</v>
      </c>
      <c r="E518" t="s">
        <v>1425</v>
      </c>
      <c r="F518">
        <v>28921</v>
      </c>
      <c r="G518">
        <v>29024508</v>
      </c>
      <c r="H518" t="s">
        <v>10</v>
      </c>
      <c r="I518" t="s">
        <v>4</v>
      </c>
      <c r="J518" t="s">
        <v>20</v>
      </c>
      <c r="K518" t="s">
        <v>2910</v>
      </c>
      <c r="L518">
        <f t="shared" ca="1" si="24"/>
        <v>2</v>
      </c>
      <c r="M518" t="str">
        <f>IFERROR(INDEX('[4]31.03.2024'!$H:$H,MATCH($E518,'[4]31.03.2024'!$B:$B,0)),"Not found")</f>
        <v>Not found</v>
      </c>
      <c r="N518" t="str">
        <f>IFERROR(INDEX([2]Sheet1!$B:$B,MATCH($D518,[2]Sheet1!$A:$A,0)),"Not found")</f>
        <v>Not found</v>
      </c>
      <c r="O518">
        <f t="shared" si="25"/>
        <v>0</v>
      </c>
      <c r="P518">
        <f t="shared" si="26"/>
        <v>0</v>
      </c>
    </row>
    <row r="519" spans="1:16" x14ac:dyDescent="0.25">
      <c r="A519" t="s">
        <v>7</v>
      </c>
      <c r="B519" s="1">
        <v>43191</v>
      </c>
      <c r="C519" s="1">
        <v>43404</v>
      </c>
      <c r="D519" s="4" t="s">
        <v>1428</v>
      </c>
      <c r="E519" t="s">
        <v>1429</v>
      </c>
      <c r="F519">
        <v>28935</v>
      </c>
      <c r="G519">
        <v>29012929</v>
      </c>
      <c r="H519" t="s">
        <v>10</v>
      </c>
      <c r="I519" t="s">
        <v>11</v>
      </c>
      <c r="J519" t="s">
        <v>47</v>
      </c>
      <c r="K519" t="s">
        <v>2910</v>
      </c>
      <c r="L519">
        <f t="shared" ca="1" si="24"/>
        <v>0</v>
      </c>
      <c r="M519" t="str">
        <f>IFERROR(INDEX('[4]31.03.2024'!$H:$H,MATCH($E519,'[4]31.03.2024'!$B:$B,0)),"Not found")</f>
        <v>Not found</v>
      </c>
      <c r="N519" t="str">
        <f>IFERROR(INDEX([2]Sheet1!$B:$B,MATCH($D519,[2]Sheet1!$A:$A,0)),"Not found")</f>
        <v>Not found</v>
      </c>
      <c r="O519">
        <f t="shared" si="25"/>
        <v>0</v>
      </c>
      <c r="P519">
        <f t="shared" si="26"/>
        <v>0</v>
      </c>
    </row>
    <row r="520" spans="1:16" x14ac:dyDescent="0.25">
      <c r="A520" t="s">
        <v>7</v>
      </c>
      <c r="B520" s="1">
        <v>43221</v>
      </c>
      <c r="C520" s="1">
        <v>45107</v>
      </c>
      <c r="D520" s="4" t="s">
        <v>43</v>
      </c>
      <c r="E520" t="s">
        <v>44</v>
      </c>
      <c r="F520">
        <v>28953</v>
      </c>
      <c r="G520">
        <v>29051186</v>
      </c>
      <c r="H520" t="s">
        <v>3</v>
      </c>
      <c r="I520" t="s">
        <v>4</v>
      </c>
      <c r="J520" t="s">
        <v>5</v>
      </c>
      <c r="K520" t="s">
        <v>2910</v>
      </c>
      <c r="L520">
        <f t="shared" ca="1" si="24"/>
        <v>5</v>
      </c>
      <c r="M520" t="str">
        <f>IFERROR(INDEX('[4]31.03.2024'!$H:$H,MATCH($E520,'[4]31.03.2024'!$B:$B,0)),"Not found")</f>
        <v>Not found</v>
      </c>
      <c r="N520" t="str">
        <f>IFERROR(INDEX([2]Sheet1!$B:$B,MATCH($D520,[2]Sheet1!$A:$A,0)),"Not found")</f>
        <v>Not found</v>
      </c>
      <c r="O520">
        <f t="shared" si="25"/>
        <v>0</v>
      </c>
      <c r="P520">
        <f t="shared" si="26"/>
        <v>0</v>
      </c>
    </row>
    <row r="521" spans="1:16" x14ac:dyDescent="0.25">
      <c r="A521" t="s">
        <v>7</v>
      </c>
      <c r="B521" s="1">
        <v>43252</v>
      </c>
      <c r="C521" s="1">
        <v>43738</v>
      </c>
      <c r="D521" s="4" t="s">
        <v>1438</v>
      </c>
      <c r="E521" t="s">
        <v>1439</v>
      </c>
      <c r="F521">
        <v>28959</v>
      </c>
      <c r="G521">
        <v>28752968</v>
      </c>
      <c r="H521" t="s">
        <v>10</v>
      </c>
      <c r="I521" t="s">
        <v>11</v>
      </c>
      <c r="J521" t="s">
        <v>80</v>
      </c>
      <c r="K521" t="s">
        <v>2910</v>
      </c>
      <c r="L521">
        <f t="shared" ca="1" si="24"/>
        <v>1</v>
      </c>
      <c r="M521" t="str">
        <f>IFERROR(INDEX('[4]31.03.2024'!$H:$H,MATCH($E521,'[4]31.03.2024'!$B:$B,0)),"Not found")</f>
        <v>Not found</v>
      </c>
      <c r="N521" t="str">
        <f>IFERROR(INDEX([2]Sheet1!$B:$B,MATCH($D521,[2]Sheet1!$A:$A,0)),"Not found")</f>
        <v>Not found</v>
      </c>
      <c r="O521">
        <f t="shared" si="25"/>
        <v>0</v>
      </c>
      <c r="P521">
        <f t="shared" si="26"/>
        <v>0</v>
      </c>
    </row>
    <row r="522" spans="1:16" x14ac:dyDescent="0.25">
      <c r="A522" t="s">
        <v>7</v>
      </c>
      <c r="B522" s="1">
        <v>43252</v>
      </c>
      <c r="C522" s="1">
        <v>43738</v>
      </c>
      <c r="D522" s="4" t="s">
        <v>1440</v>
      </c>
      <c r="E522" t="s">
        <v>1441</v>
      </c>
      <c r="F522">
        <v>28965</v>
      </c>
      <c r="G522">
        <v>28753039</v>
      </c>
      <c r="H522" t="s">
        <v>10</v>
      </c>
      <c r="I522" t="s">
        <v>11</v>
      </c>
      <c r="J522" t="s">
        <v>80</v>
      </c>
      <c r="K522" t="s">
        <v>2910</v>
      </c>
      <c r="L522">
        <f t="shared" ca="1" si="24"/>
        <v>1</v>
      </c>
      <c r="M522" t="str">
        <f>IFERROR(INDEX('[4]31.03.2024'!$H:$H,MATCH($E522,'[4]31.03.2024'!$B:$B,0)),"Not found")</f>
        <v>Not found</v>
      </c>
      <c r="N522" t="str">
        <f>IFERROR(INDEX([2]Sheet1!$B:$B,MATCH($D522,[2]Sheet1!$A:$A,0)),"Not found")</f>
        <v>Not found</v>
      </c>
      <c r="O522">
        <f t="shared" si="25"/>
        <v>0</v>
      </c>
      <c r="P522">
        <f t="shared" si="26"/>
        <v>0</v>
      </c>
    </row>
    <row r="523" spans="1:16" x14ac:dyDescent="0.25">
      <c r="A523" t="s">
        <v>7</v>
      </c>
      <c r="B523" s="1">
        <v>43252</v>
      </c>
      <c r="C523" s="1">
        <v>43738</v>
      </c>
      <c r="D523" s="4" t="s">
        <v>1442</v>
      </c>
      <c r="E523" t="s">
        <v>1443</v>
      </c>
      <c r="F523">
        <v>28966</v>
      </c>
      <c r="G523">
        <v>28753047</v>
      </c>
      <c r="H523" t="s">
        <v>10</v>
      </c>
      <c r="I523" t="s">
        <v>11</v>
      </c>
      <c r="J523" t="s">
        <v>80</v>
      </c>
      <c r="K523" t="s">
        <v>2910</v>
      </c>
      <c r="L523">
        <f t="shared" ca="1" si="24"/>
        <v>1</v>
      </c>
      <c r="M523" t="str">
        <f>IFERROR(INDEX('[4]31.03.2024'!$H:$H,MATCH($E523,'[4]31.03.2024'!$B:$B,0)),"Not found")</f>
        <v>Not found</v>
      </c>
      <c r="N523" t="str">
        <f>IFERROR(INDEX([2]Sheet1!$B:$B,MATCH($D523,[2]Sheet1!$A:$A,0)),"Not found")</f>
        <v>Not found</v>
      </c>
      <c r="O523">
        <f t="shared" si="25"/>
        <v>0</v>
      </c>
      <c r="P523">
        <f t="shared" si="26"/>
        <v>0</v>
      </c>
    </row>
    <row r="524" spans="1:16" x14ac:dyDescent="0.25">
      <c r="A524" t="s">
        <v>7</v>
      </c>
      <c r="B524" s="1">
        <v>43252</v>
      </c>
      <c r="C524" s="1">
        <v>43738</v>
      </c>
      <c r="D524" s="4" t="s">
        <v>1444</v>
      </c>
      <c r="E524" t="s">
        <v>1445</v>
      </c>
      <c r="F524">
        <v>28967</v>
      </c>
      <c r="G524">
        <v>28753004</v>
      </c>
      <c r="H524" t="s">
        <v>10</v>
      </c>
      <c r="I524" t="s">
        <v>11</v>
      </c>
      <c r="J524" t="s">
        <v>80</v>
      </c>
      <c r="K524" t="s">
        <v>2910</v>
      </c>
      <c r="L524">
        <f t="shared" ca="1" si="24"/>
        <v>1</v>
      </c>
      <c r="M524" t="str">
        <f>IFERROR(INDEX('[4]31.03.2024'!$H:$H,MATCH($E524,'[4]31.03.2024'!$B:$B,0)),"Not found")</f>
        <v>Not found</v>
      </c>
      <c r="N524" t="str">
        <f>IFERROR(INDEX([2]Sheet1!$B:$B,MATCH($D524,[2]Sheet1!$A:$A,0)),"Not found")</f>
        <v>Not found</v>
      </c>
      <c r="O524">
        <f t="shared" si="25"/>
        <v>0</v>
      </c>
      <c r="P524">
        <f t="shared" si="26"/>
        <v>0</v>
      </c>
    </row>
    <row r="525" spans="1:16" x14ac:dyDescent="0.25">
      <c r="A525" t="s">
        <v>7</v>
      </c>
      <c r="B525" s="1">
        <v>43221</v>
      </c>
      <c r="C525" s="1">
        <v>44926</v>
      </c>
      <c r="D525" s="4" t="s">
        <v>1446</v>
      </c>
      <c r="E525" t="s">
        <v>1447</v>
      </c>
      <c r="F525">
        <v>28994</v>
      </c>
      <c r="G525">
        <v>29029296</v>
      </c>
      <c r="H525" t="s">
        <v>10</v>
      </c>
      <c r="I525" t="s">
        <v>4</v>
      </c>
      <c r="J525" t="s">
        <v>20</v>
      </c>
      <c r="K525" t="s">
        <v>2911</v>
      </c>
      <c r="L525">
        <f t="shared" ca="1" si="24"/>
        <v>4</v>
      </c>
      <c r="M525" t="str">
        <f>IFERROR(INDEX('[4]31.03.2024'!$H:$H,MATCH($E525,'[4]31.03.2024'!$B:$B,0)),"Not found")</f>
        <v>Not found</v>
      </c>
      <c r="N525" t="str">
        <f>IFERROR(INDEX([2]Sheet1!$B:$B,MATCH($D525,[2]Sheet1!$A:$A,0)),"Not found")</f>
        <v>Not found</v>
      </c>
      <c r="O525">
        <f t="shared" si="25"/>
        <v>0</v>
      </c>
      <c r="P525">
        <f t="shared" si="26"/>
        <v>0</v>
      </c>
    </row>
    <row r="526" spans="1:16" x14ac:dyDescent="0.25">
      <c r="A526" t="s">
        <v>7</v>
      </c>
      <c r="B526" s="1">
        <v>43252</v>
      </c>
      <c r="C526" s="1">
        <v>44530</v>
      </c>
      <c r="D526" s="4" t="s">
        <v>1448</v>
      </c>
      <c r="E526" t="s">
        <v>1449</v>
      </c>
      <c r="F526">
        <v>29004</v>
      </c>
      <c r="G526">
        <v>29120006</v>
      </c>
      <c r="H526" t="s">
        <v>10</v>
      </c>
      <c r="I526" t="s">
        <v>4</v>
      </c>
      <c r="J526" t="s">
        <v>20</v>
      </c>
      <c r="K526" t="s">
        <v>2911</v>
      </c>
      <c r="L526">
        <f t="shared" ca="1" si="24"/>
        <v>3</v>
      </c>
      <c r="M526" t="str">
        <f>IFERROR(INDEX('[4]31.03.2024'!$H:$H,MATCH($E526,'[4]31.03.2024'!$B:$B,0)),"Not found")</f>
        <v>Not found</v>
      </c>
      <c r="N526" t="str">
        <f>IFERROR(INDEX([2]Sheet1!$B:$B,MATCH($D526,[2]Sheet1!$A:$A,0)),"Not found")</f>
        <v>Not found</v>
      </c>
      <c r="O526">
        <f t="shared" si="25"/>
        <v>0</v>
      </c>
      <c r="P526">
        <f t="shared" si="26"/>
        <v>0</v>
      </c>
    </row>
    <row r="527" spans="1:16" x14ac:dyDescent="0.25">
      <c r="A527" t="s">
        <v>7</v>
      </c>
      <c r="B527" s="1">
        <v>43221</v>
      </c>
      <c r="C527" s="1">
        <v>43738</v>
      </c>
      <c r="D527" s="4" t="s">
        <v>1450</v>
      </c>
      <c r="E527" t="s">
        <v>1451</v>
      </c>
      <c r="F527">
        <v>29005</v>
      </c>
      <c r="G527">
        <v>29063865</v>
      </c>
      <c r="H527" t="s">
        <v>10</v>
      </c>
      <c r="I527" t="s">
        <v>4</v>
      </c>
      <c r="J527" t="s">
        <v>47</v>
      </c>
      <c r="K527" t="s">
        <v>2910</v>
      </c>
      <c r="L527">
        <f t="shared" ca="1" si="24"/>
        <v>1</v>
      </c>
      <c r="M527" t="str">
        <f>IFERROR(INDEX('[4]31.03.2024'!$H:$H,MATCH($E527,'[4]31.03.2024'!$B:$B,0)),"Not found")</f>
        <v>Not found</v>
      </c>
      <c r="N527" t="str">
        <f>IFERROR(INDEX([2]Sheet1!$B:$B,MATCH($D527,[2]Sheet1!$A:$A,0)),"Not found")</f>
        <v>Not found</v>
      </c>
      <c r="O527">
        <f t="shared" si="25"/>
        <v>0</v>
      </c>
      <c r="P527">
        <f t="shared" si="26"/>
        <v>0</v>
      </c>
    </row>
    <row r="528" spans="1:16" x14ac:dyDescent="0.25">
      <c r="A528" t="s">
        <v>7</v>
      </c>
      <c r="B528" s="1">
        <v>43344</v>
      </c>
      <c r="C528" s="1">
        <v>43799</v>
      </c>
      <c r="D528" s="4" t="s">
        <v>1454</v>
      </c>
      <c r="E528" t="s">
        <v>1455</v>
      </c>
      <c r="F528">
        <v>29027</v>
      </c>
      <c r="G528">
        <v>29202298</v>
      </c>
      <c r="H528" t="s">
        <v>3</v>
      </c>
      <c r="I528" t="s">
        <v>4</v>
      </c>
      <c r="J528" t="s">
        <v>20</v>
      </c>
      <c r="K528" t="s">
        <v>2911</v>
      </c>
      <c r="L528">
        <f t="shared" ca="1" si="24"/>
        <v>1</v>
      </c>
      <c r="M528" t="str">
        <f>IFERROR(INDEX('[4]31.03.2024'!$H:$H,MATCH($E528,'[4]31.03.2024'!$B:$B,0)),"Not found")</f>
        <v>Not found</v>
      </c>
      <c r="N528" t="str">
        <f>IFERROR(INDEX([2]Sheet1!$B:$B,MATCH($D528,[2]Sheet1!$A:$A,0)),"Not found")</f>
        <v>Not found</v>
      </c>
      <c r="O528">
        <f t="shared" si="25"/>
        <v>0</v>
      </c>
      <c r="P528">
        <f t="shared" si="26"/>
        <v>0</v>
      </c>
    </row>
    <row r="529" spans="1:16" x14ac:dyDescent="0.25">
      <c r="A529" t="s">
        <v>7</v>
      </c>
      <c r="B529" s="1">
        <v>43344</v>
      </c>
      <c r="C529" s="1">
        <v>43799</v>
      </c>
      <c r="D529" s="4" t="s">
        <v>1456</v>
      </c>
      <c r="E529" t="s">
        <v>1457</v>
      </c>
      <c r="F529">
        <v>29028</v>
      </c>
      <c r="G529">
        <v>29202327</v>
      </c>
      <c r="H529" t="s">
        <v>3</v>
      </c>
      <c r="I529" t="s">
        <v>4</v>
      </c>
      <c r="J529" t="s">
        <v>20</v>
      </c>
      <c r="K529" t="s">
        <v>2911</v>
      </c>
      <c r="L529">
        <f t="shared" ca="1" si="24"/>
        <v>1</v>
      </c>
      <c r="M529" t="str">
        <f>IFERROR(INDEX('[4]31.03.2024'!$H:$H,MATCH($E529,'[4]31.03.2024'!$B:$B,0)),"Not found")</f>
        <v>Not found</v>
      </c>
      <c r="N529" t="str">
        <f>IFERROR(INDEX([2]Sheet1!$B:$B,MATCH($D529,[2]Sheet1!$A:$A,0)),"Not found")</f>
        <v>Not found</v>
      </c>
      <c r="O529">
        <f t="shared" si="25"/>
        <v>0</v>
      </c>
      <c r="P529">
        <f t="shared" si="26"/>
        <v>0</v>
      </c>
    </row>
    <row r="530" spans="1:16" x14ac:dyDescent="0.25">
      <c r="A530" t="s">
        <v>0</v>
      </c>
      <c r="B530" s="1">
        <v>43466</v>
      </c>
      <c r="C530" s="1">
        <v>43982</v>
      </c>
      <c r="D530" s="4" t="s">
        <v>1466</v>
      </c>
      <c r="E530" t="s">
        <v>1467</v>
      </c>
      <c r="F530">
        <v>29047</v>
      </c>
      <c r="G530">
        <v>29211805</v>
      </c>
      <c r="H530" t="s">
        <v>3</v>
      </c>
      <c r="I530" t="s">
        <v>4</v>
      </c>
      <c r="J530" t="s">
        <v>20</v>
      </c>
      <c r="K530" t="s">
        <v>2911</v>
      </c>
      <c r="L530">
        <f t="shared" ca="1" si="24"/>
        <v>1</v>
      </c>
      <c r="M530" t="str">
        <f>IFERROR(INDEX('[4]31.03.2024'!$H:$H,MATCH($E530,'[4]31.03.2024'!$B:$B,0)),"Not found")</f>
        <v>Not found</v>
      </c>
      <c r="N530" t="str">
        <f>IFERROR(INDEX([2]Sheet1!$B:$B,MATCH($D530,[2]Sheet1!$A:$A,0)),"Not found")</f>
        <v>Not found</v>
      </c>
      <c r="O530">
        <f t="shared" si="25"/>
        <v>0</v>
      </c>
      <c r="P530">
        <f t="shared" si="26"/>
        <v>0</v>
      </c>
    </row>
    <row r="531" spans="1:16" x14ac:dyDescent="0.25">
      <c r="A531" t="s">
        <v>0</v>
      </c>
      <c r="B531" s="1">
        <v>43497</v>
      </c>
      <c r="C531" s="1">
        <v>44985</v>
      </c>
      <c r="D531" s="4" t="s">
        <v>45</v>
      </c>
      <c r="E531" t="s">
        <v>46</v>
      </c>
      <c r="F531">
        <v>29061</v>
      </c>
      <c r="G531">
        <v>29147612</v>
      </c>
      <c r="H531" t="s">
        <v>10</v>
      </c>
      <c r="I531" t="s">
        <v>4</v>
      </c>
      <c r="J531" t="s">
        <v>47</v>
      </c>
      <c r="K531" t="s">
        <v>2911</v>
      </c>
      <c r="L531">
        <f t="shared" ca="1" si="24"/>
        <v>4</v>
      </c>
      <c r="M531" t="str">
        <f>IFERROR(INDEX('[4]31.03.2024'!$H:$H,MATCH($E531,'[4]31.03.2024'!$B:$B,0)),"Not found")</f>
        <v>Not found</v>
      </c>
      <c r="N531" t="str">
        <f>IFERROR(INDEX([2]Sheet1!$B:$B,MATCH($D531,[2]Sheet1!$A:$A,0)),"Not found")</f>
        <v>Not found</v>
      </c>
      <c r="O531">
        <f t="shared" si="25"/>
        <v>0</v>
      </c>
      <c r="P531">
        <f t="shared" si="26"/>
        <v>0</v>
      </c>
    </row>
    <row r="532" spans="1:16" x14ac:dyDescent="0.25">
      <c r="A532" t="s">
        <v>0</v>
      </c>
      <c r="B532" s="1">
        <v>43525</v>
      </c>
      <c r="C532" s="1">
        <v>44592</v>
      </c>
      <c r="D532" s="4" t="s">
        <v>1474</v>
      </c>
      <c r="E532" t="s">
        <v>1475</v>
      </c>
      <c r="F532">
        <v>29082</v>
      </c>
      <c r="G532">
        <v>29224403</v>
      </c>
      <c r="H532" t="s">
        <v>3</v>
      </c>
      <c r="I532" t="s">
        <v>4</v>
      </c>
      <c r="J532" t="s">
        <v>20</v>
      </c>
      <c r="K532" t="s">
        <v>2911</v>
      </c>
      <c r="L532">
        <f t="shared" ca="1" si="24"/>
        <v>2</v>
      </c>
      <c r="M532" t="str">
        <f>IFERROR(INDEX('[4]31.03.2024'!$H:$H,MATCH($E532,'[4]31.03.2024'!$B:$B,0)),"Not found")</f>
        <v>Not found</v>
      </c>
      <c r="N532" t="str">
        <f>IFERROR(INDEX([2]Sheet1!$B:$B,MATCH($D532,[2]Sheet1!$A:$A,0)),"Not found")</f>
        <v>Not found</v>
      </c>
      <c r="O532">
        <f t="shared" si="25"/>
        <v>0</v>
      </c>
      <c r="P532">
        <f t="shared" si="26"/>
        <v>0</v>
      </c>
    </row>
    <row r="533" spans="1:16" x14ac:dyDescent="0.25">
      <c r="A533" t="s">
        <v>0</v>
      </c>
      <c r="B533" s="1">
        <v>43435</v>
      </c>
      <c r="C533" s="1">
        <v>44561</v>
      </c>
      <c r="D533" s="4" t="s">
        <v>1508</v>
      </c>
      <c r="E533" t="s">
        <v>1509</v>
      </c>
      <c r="F533">
        <v>29275</v>
      </c>
      <c r="G533">
        <v>29404754</v>
      </c>
      <c r="H533" t="s">
        <v>10</v>
      </c>
      <c r="I533" t="s">
        <v>11</v>
      </c>
      <c r="J533" t="s">
        <v>29</v>
      </c>
      <c r="K533" t="s">
        <v>2910</v>
      </c>
      <c r="L533">
        <f t="shared" ca="1" si="24"/>
        <v>3</v>
      </c>
      <c r="M533" t="str">
        <f>IFERROR(INDEX('[4]31.03.2024'!$H:$H,MATCH($E533,'[4]31.03.2024'!$B:$B,0)),"Not found")</f>
        <v>Not found</v>
      </c>
      <c r="N533" t="str">
        <f>IFERROR(INDEX([2]Sheet1!$B:$B,MATCH($D533,[2]Sheet1!$A:$A,0)),"Not found")</f>
        <v>Not found</v>
      </c>
      <c r="O533">
        <f t="shared" si="25"/>
        <v>0</v>
      </c>
      <c r="P533">
        <f t="shared" si="26"/>
        <v>0</v>
      </c>
    </row>
    <row r="534" spans="1:16" x14ac:dyDescent="0.25">
      <c r="A534" t="s">
        <v>0</v>
      </c>
      <c r="B534" s="1">
        <v>43435</v>
      </c>
      <c r="C534" s="1">
        <v>44561</v>
      </c>
      <c r="D534" s="4" t="s">
        <v>1510</v>
      </c>
      <c r="E534" t="s">
        <v>1511</v>
      </c>
      <c r="F534">
        <v>29276</v>
      </c>
      <c r="G534">
        <v>29407592</v>
      </c>
      <c r="H534" t="s">
        <v>10</v>
      </c>
      <c r="I534" t="s">
        <v>4</v>
      </c>
      <c r="J534" t="s">
        <v>29</v>
      </c>
      <c r="K534" t="s">
        <v>2910</v>
      </c>
      <c r="L534">
        <f t="shared" ca="1" si="24"/>
        <v>3</v>
      </c>
      <c r="M534" t="str">
        <f>IFERROR(INDEX('[4]31.03.2024'!$H:$H,MATCH($E534,'[4]31.03.2024'!$B:$B,0)),"Not found")</f>
        <v>Not found</v>
      </c>
      <c r="N534" t="str">
        <f>IFERROR(INDEX([2]Sheet1!$B:$B,MATCH($D534,[2]Sheet1!$A:$A,0)),"Not found")</f>
        <v>Not found</v>
      </c>
      <c r="O534">
        <f t="shared" si="25"/>
        <v>0</v>
      </c>
      <c r="P534">
        <f t="shared" si="26"/>
        <v>0</v>
      </c>
    </row>
    <row r="535" spans="1:16" x14ac:dyDescent="0.25">
      <c r="A535" t="s">
        <v>0</v>
      </c>
      <c r="B535" s="1">
        <v>43586</v>
      </c>
      <c r="C535" s="1">
        <v>45291</v>
      </c>
      <c r="D535" s="4" t="s">
        <v>48</v>
      </c>
      <c r="E535" t="s">
        <v>49</v>
      </c>
      <c r="F535">
        <v>29320</v>
      </c>
      <c r="G535">
        <v>29618357</v>
      </c>
      <c r="H535" t="s">
        <v>3</v>
      </c>
      <c r="I535" t="s">
        <v>4</v>
      </c>
      <c r="J535" t="s">
        <v>50</v>
      </c>
      <c r="K535" t="s">
        <v>2911</v>
      </c>
      <c r="L535">
        <f t="shared" ca="1" si="24"/>
        <v>4</v>
      </c>
      <c r="M535" t="str">
        <f>IFERROR(INDEX('[4]31.03.2024'!$H:$H,MATCH($E535,'[4]31.03.2024'!$B:$B,0)),"Not found")</f>
        <v>Not found</v>
      </c>
      <c r="N535" t="str">
        <f>IFERROR(INDEX([2]Sheet1!$B:$B,MATCH($D535,[2]Sheet1!$A:$A,0)),"Not found")</f>
        <v>Not found</v>
      </c>
      <c r="O535">
        <f t="shared" si="25"/>
        <v>0</v>
      </c>
      <c r="P535">
        <f t="shared" si="26"/>
        <v>0</v>
      </c>
    </row>
    <row r="536" spans="1:16" x14ac:dyDescent="0.25">
      <c r="A536" t="s">
        <v>0</v>
      </c>
      <c r="B536" s="1">
        <v>43405</v>
      </c>
      <c r="C536" s="1">
        <v>44012</v>
      </c>
      <c r="D536" s="4" t="s">
        <v>1528</v>
      </c>
      <c r="E536" t="s">
        <v>1529</v>
      </c>
      <c r="F536">
        <v>29364</v>
      </c>
      <c r="G536">
        <v>29492387</v>
      </c>
      <c r="H536" t="s">
        <v>10</v>
      </c>
      <c r="I536" t="s">
        <v>4</v>
      </c>
      <c r="J536" t="s">
        <v>50</v>
      </c>
      <c r="K536" t="s">
        <v>2910</v>
      </c>
      <c r="L536">
        <f t="shared" ca="1" si="24"/>
        <v>1</v>
      </c>
      <c r="M536" t="str">
        <f>IFERROR(INDEX('[4]31.03.2024'!$H:$H,MATCH($E536,'[4]31.03.2024'!$B:$B,0)),"Not found")</f>
        <v>Not found</v>
      </c>
      <c r="N536" t="str">
        <f>IFERROR(INDEX([2]Sheet1!$B:$B,MATCH($D536,[2]Sheet1!$A:$A,0)),"Not found")</f>
        <v>Not found</v>
      </c>
      <c r="O536">
        <f t="shared" si="25"/>
        <v>0</v>
      </c>
      <c r="P536">
        <f t="shared" si="26"/>
        <v>0</v>
      </c>
    </row>
    <row r="537" spans="1:16" x14ac:dyDescent="0.25">
      <c r="A537" t="s">
        <v>7</v>
      </c>
      <c r="B537" s="1">
        <v>43405</v>
      </c>
      <c r="C537" s="1">
        <v>44012</v>
      </c>
      <c r="D537" s="4" t="s">
        <v>1536</v>
      </c>
      <c r="E537" t="s">
        <v>1537</v>
      </c>
      <c r="F537">
        <v>29376</v>
      </c>
      <c r="G537">
        <v>29492424</v>
      </c>
      <c r="H537" t="s">
        <v>3</v>
      </c>
      <c r="I537" t="s">
        <v>4</v>
      </c>
      <c r="J537" t="s">
        <v>20</v>
      </c>
      <c r="K537" t="s">
        <v>2910</v>
      </c>
      <c r="L537">
        <f t="shared" ca="1" si="24"/>
        <v>1</v>
      </c>
      <c r="M537" t="str">
        <f>IFERROR(INDEX('[4]31.03.2024'!$H:$H,MATCH($E537,'[4]31.03.2024'!$B:$B,0)),"Not found")</f>
        <v>Not found</v>
      </c>
      <c r="N537" t="str">
        <f>IFERROR(INDEX([2]Sheet1!$B:$B,MATCH($D537,[2]Sheet1!$A:$A,0)),"Not found")</f>
        <v>Not found</v>
      </c>
      <c r="O537">
        <f t="shared" si="25"/>
        <v>0</v>
      </c>
      <c r="P537">
        <f t="shared" si="26"/>
        <v>0</v>
      </c>
    </row>
    <row r="538" spans="1:16" x14ac:dyDescent="0.25">
      <c r="A538" t="s">
        <v>7</v>
      </c>
      <c r="B538" s="1">
        <v>43405</v>
      </c>
      <c r="C538" s="1">
        <v>44012</v>
      </c>
      <c r="D538" s="4" t="s">
        <v>1538</v>
      </c>
      <c r="E538" t="s">
        <v>1539</v>
      </c>
      <c r="F538">
        <v>29377</v>
      </c>
      <c r="G538">
        <v>29492352</v>
      </c>
      <c r="H538" t="s">
        <v>3</v>
      </c>
      <c r="I538" t="s">
        <v>4</v>
      </c>
      <c r="J538" t="s">
        <v>20</v>
      </c>
      <c r="K538" t="s">
        <v>2910</v>
      </c>
      <c r="L538">
        <f t="shared" ca="1" si="24"/>
        <v>1</v>
      </c>
      <c r="M538" t="str">
        <f>IFERROR(INDEX('[4]31.03.2024'!$H:$H,MATCH($E538,'[4]31.03.2024'!$B:$B,0)),"Not found")</f>
        <v>Not found</v>
      </c>
      <c r="N538" t="str">
        <f>IFERROR(INDEX([2]Sheet1!$B:$B,MATCH($D538,[2]Sheet1!$A:$A,0)),"Not found")</f>
        <v>Not found</v>
      </c>
      <c r="O538">
        <f t="shared" si="25"/>
        <v>0</v>
      </c>
      <c r="P538">
        <f t="shared" si="26"/>
        <v>0</v>
      </c>
    </row>
    <row r="539" spans="1:16" x14ac:dyDescent="0.25">
      <c r="A539" t="s">
        <v>0</v>
      </c>
      <c r="B539" s="1">
        <v>43435</v>
      </c>
      <c r="C539" s="1">
        <v>43830</v>
      </c>
      <c r="D539" s="4" t="s">
        <v>1548</v>
      </c>
      <c r="E539" t="s">
        <v>1549</v>
      </c>
      <c r="F539">
        <v>29530</v>
      </c>
      <c r="G539">
        <v>29521838</v>
      </c>
      <c r="H539" t="s">
        <v>3</v>
      </c>
      <c r="I539" t="s">
        <v>4</v>
      </c>
      <c r="J539" t="s">
        <v>20</v>
      </c>
      <c r="K539" t="s">
        <v>2911</v>
      </c>
      <c r="L539">
        <f t="shared" ca="1" si="24"/>
        <v>1</v>
      </c>
      <c r="M539" t="str">
        <f>IFERROR(INDEX('[4]31.03.2024'!$H:$H,MATCH($E539,'[4]31.03.2024'!$B:$B,0)),"Not found")</f>
        <v>Not found</v>
      </c>
      <c r="N539" t="str">
        <f>IFERROR(INDEX([2]Sheet1!$B:$B,MATCH($D539,[2]Sheet1!$A:$A,0)),"Not found")</f>
        <v>Not found</v>
      </c>
      <c r="O539">
        <f t="shared" si="25"/>
        <v>0</v>
      </c>
      <c r="P539">
        <f t="shared" si="26"/>
        <v>0</v>
      </c>
    </row>
    <row r="540" spans="1:16" x14ac:dyDescent="0.25">
      <c r="A540" t="s">
        <v>0</v>
      </c>
      <c r="B540" s="1">
        <v>43435</v>
      </c>
      <c r="C540" s="1">
        <v>44561</v>
      </c>
      <c r="D540" s="4" t="s">
        <v>1568</v>
      </c>
      <c r="E540" t="s">
        <v>1569</v>
      </c>
      <c r="F540">
        <v>29597</v>
      </c>
      <c r="G540">
        <v>29555595</v>
      </c>
      <c r="H540" t="s">
        <v>10</v>
      </c>
      <c r="I540" t="s">
        <v>11</v>
      </c>
      <c r="J540" t="s">
        <v>32</v>
      </c>
      <c r="K540" t="s">
        <v>2910</v>
      </c>
      <c r="L540">
        <f t="shared" ca="1" si="24"/>
        <v>3</v>
      </c>
      <c r="M540" t="str">
        <f>IFERROR(INDEX('[4]31.03.2024'!$H:$H,MATCH($E540,'[4]31.03.2024'!$B:$B,0)),"Not found")</f>
        <v>Not found</v>
      </c>
      <c r="N540" t="str">
        <f>IFERROR(INDEX([2]Sheet1!$B:$B,MATCH($D540,[2]Sheet1!$A:$A,0)),"Not found")</f>
        <v>Not found</v>
      </c>
      <c r="O540">
        <f t="shared" si="25"/>
        <v>0</v>
      </c>
      <c r="P540">
        <f t="shared" si="26"/>
        <v>0</v>
      </c>
    </row>
    <row r="541" spans="1:16" x14ac:dyDescent="0.25">
      <c r="A541" t="s">
        <v>0</v>
      </c>
      <c r="B541" s="1">
        <v>43525</v>
      </c>
      <c r="C541" s="1">
        <v>44104</v>
      </c>
      <c r="D541" s="4" t="s">
        <v>1582</v>
      </c>
      <c r="E541" t="s">
        <v>1583</v>
      </c>
      <c r="F541">
        <v>29701</v>
      </c>
      <c r="G541">
        <v>29579925</v>
      </c>
      <c r="H541" t="s">
        <v>10</v>
      </c>
      <c r="I541" t="s">
        <v>11</v>
      </c>
      <c r="J541" t="s">
        <v>32</v>
      </c>
      <c r="K541" t="s">
        <v>2910</v>
      </c>
      <c r="L541">
        <f t="shared" ca="1" si="24"/>
        <v>1</v>
      </c>
      <c r="M541" t="str">
        <f>IFERROR(INDEX('[4]31.03.2024'!$H:$H,MATCH($E541,'[4]31.03.2024'!$B:$B,0)),"Not found")</f>
        <v>Not found</v>
      </c>
      <c r="N541" t="str">
        <f>IFERROR(INDEX([2]Sheet1!$B:$B,MATCH($D541,[2]Sheet1!$A:$A,0)),"Not found")</f>
        <v>Not found</v>
      </c>
      <c r="O541">
        <f t="shared" si="25"/>
        <v>0</v>
      </c>
      <c r="P541">
        <f t="shared" si="26"/>
        <v>0</v>
      </c>
    </row>
    <row r="542" spans="1:16" x14ac:dyDescent="0.25">
      <c r="A542" t="s">
        <v>0</v>
      </c>
      <c r="B542" s="1">
        <v>43525</v>
      </c>
      <c r="C542" s="1">
        <v>44439</v>
      </c>
      <c r="D542" s="4" t="s">
        <v>1586</v>
      </c>
      <c r="E542" t="s">
        <v>1587</v>
      </c>
      <c r="F542">
        <v>29718</v>
      </c>
      <c r="G542">
        <v>29772805</v>
      </c>
      <c r="H542" t="s">
        <v>10</v>
      </c>
      <c r="I542" t="s">
        <v>4</v>
      </c>
      <c r="J542" t="s">
        <v>50</v>
      </c>
      <c r="K542" t="s">
        <v>2911</v>
      </c>
      <c r="L542">
        <f t="shared" ca="1" si="24"/>
        <v>2</v>
      </c>
      <c r="M542" t="str">
        <f>IFERROR(INDEX('[4]31.03.2024'!$H:$H,MATCH($E542,'[4]31.03.2024'!$B:$B,0)),"Not found")</f>
        <v>Not found</v>
      </c>
      <c r="N542" t="str">
        <f>IFERROR(INDEX([2]Sheet1!$B:$B,MATCH($D542,[2]Sheet1!$A:$A,0)),"Not found")</f>
        <v>Not found</v>
      </c>
      <c r="O542">
        <f t="shared" si="25"/>
        <v>0</v>
      </c>
      <c r="P542">
        <f t="shared" si="26"/>
        <v>0</v>
      </c>
    </row>
    <row r="543" spans="1:16" x14ac:dyDescent="0.25">
      <c r="A543" t="s">
        <v>0</v>
      </c>
      <c r="B543" s="1">
        <v>43617</v>
      </c>
      <c r="C543" s="1">
        <v>44377</v>
      </c>
      <c r="D543" s="4" t="s">
        <v>1654</v>
      </c>
      <c r="E543" t="s">
        <v>1655</v>
      </c>
      <c r="F543">
        <v>30082</v>
      </c>
      <c r="G543">
        <v>26272303</v>
      </c>
      <c r="H543" t="s">
        <v>10</v>
      </c>
      <c r="I543" t="s">
        <v>11</v>
      </c>
      <c r="J543" t="s">
        <v>29</v>
      </c>
      <c r="K543" t="s">
        <v>2910</v>
      </c>
      <c r="L543">
        <f t="shared" ca="1" si="24"/>
        <v>2</v>
      </c>
      <c r="M543" t="str">
        <f>IFERROR(INDEX('[4]31.03.2024'!$H:$H,MATCH($E543,'[4]31.03.2024'!$B:$B,0)),"Not found")</f>
        <v>Not found</v>
      </c>
      <c r="N543" t="str">
        <f>IFERROR(INDEX([2]Sheet1!$B:$B,MATCH($D543,[2]Sheet1!$A:$A,0)),"Not found")</f>
        <v>Not found</v>
      </c>
      <c r="O543">
        <f t="shared" si="25"/>
        <v>0</v>
      </c>
      <c r="P543">
        <f t="shared" si="26"/>
        <v>0</v>
      </c>
    </row>
    <row r="544" spans="1:16" x14ac:dyDescent="0.25">
      <c r="A544" t="s">
        <v>0</v>
      </c>
      <c r="B544" s="1">
        <v>43617</v>
      </c>
      <c r="C544" s="1">
        <v>44834</v>
      </c>
      <c r="D544" s="4" t="s">
        <v>1662</v>
      </c>
      <c r="E544" t="s">
        <v>1663</v>
      </c>
      <c r="F544">
        <v>30151</v>
      </c>
      <c r="G544">
        <v>29949703</v>
      </c>
      <c r="H544" t="s">
        <v>10</v>
      </c>
      <c r="I544" t="s">
        <v>11</v>
      </c>
      <c r="J544" t="s">
        <v>32</v>
      </c>
      <c r="K544" t="s">
        <v>2910</v>
      </c>
      <c r="L544">
        <f t="shared" ca="1" si="24"/>
        <v>3</v>
      </c>
      <c r="M544" t="str">
        <f>IFERROR(INDEX('[4]31.03.2024'!$H:$H,MATCH($E544,'[4]31.03.2024'!$B:$B,0)),"Not found")</f>
        <v>Not found</v>
      </c>
      <c r="N544" t="str">
        <f>IFERROR(INDEX([2]Sheet1!$B:$B,MATCH($D544,[2]Sheet1!$A:$A,0)),"Not found")</f>
        <v>Not found</v>
      </c>
      <c r="O544">
        <f t="shared" si="25"/>
        <v>0</v>
      </c>
      <c r="P544">
        <f t="shared" si="26"/>
        <v>0</v>
      </c>
    </row>
    <row r="545" spans="1:16" x14ac:dyDescent="0.25">
      <c r="A545" t="s">
        <v>0</v>
      </c>
      <c r="B545" s="1">
        <v>43617</v>
      </c>
      <c r="C545" s="1">
        <v>44834</v>
      </c>
      <c r="D545" s="4" t="s">
        <v>1664</v>
      </c>
      <c r="E545" t="s">
        <v>1665</v>
      </c>
      <c r="F545">
        <v>30152</v>
      </c>
      <c r="G545">
        <v>29949746</v>
      </c>
      <c r="H545" t="s">
        <v>10</v>
      </c>
      <c r="I545" t="s">
        <v>11</v>
      </c>
      <c r="J545" t="s">
        <v>32</v>
      </c>
      <c r="K545" t="s">
        <v>2910</v>
      </c>
      <c r="L545">
        <f t="shared" ca="1" si="24"/>
        <v>3</v>
      </c>
      <c r="M545" t="str">
        <f>IFERROR(INDEX('[4]31.03.2024'!$H:$H,MATCH($E545,'[4]31.03.2024'!$B:$B,0)),"Not found")</f>
        <v>Not found</v>
      </c>
      <c r="N545" t="str">
        <f>IFERROR(INDEX([2]Sheet1!$B:$B,MATCH($D545,[2]Sheet1!$A:$A,0)),"Not found")</f>
        <v>Not found</v>
      </c>
      <c r="O545">
        <f t="shared" si="25"/>
        <v>0</v>
      </c>
      <c r="P545">
        <f t="shared" si="26"/>
        <v>0</v>
      </c>
    </row>
    <row r="546" spans="1:16" x14ac:dyDescent="0.25">
      <c r="A546" t="s">
        <v>0</v>
      </c>
      <c r="B546" s="1">
        <v>43617</v>
      </c>
      <c r="C546" s="1">
        <v>44834</v>
      </c>
      <c r="D546" s="4" t="s">
        <v>1666</v>
      </c>
      <c r="E546" t="s">
        <v>1667</v>
      </c>
      <c r="F546">
        <v>30153</v>
      </c>
      <c r="G546">
        <v>29949826</v>
      </c>
      <c r="H546" t="s">
        <v>10</v>
      </c>
      <c r="I546" t="s">
        <v>11</v>
      </c>
      <c r="J546" t="s">
        <v>32</v>
      </c>
      <c r="K546" t="s">
        <v>2910</v>
      </c>
      <c r="L546">
        <f t="shared" ca="1" si="24"/>
        <v>3</v>
      </c>
      <c r="M546" t="str">
        <f>IFERROR(INDEX('[4]31.03.2024'!$H:$H,MATCH($E546,'[4]31.03.2024'!$B:$B,0)),"Not found")</f>
        <v>Not found</v>
      </c>
      <c r="N546" t="str">
        <f>IFERROR(INDEX([2]Sheet1!$B:$B,MATCH($D546,[2]Sheet1!$A:$A,0)),"Not found")</f>
        <v>Not found</v>
      </c>
      <c r="O546">
        <f t="shared" si="25"/>
        <v>0</v>
      </c>
      <c r="P546">
        <f t="shared" si="26"/>
        <v>0</v>
      </c>
    </row>
    <row r="547" spans="1:16" x14ac:dyDescent="0.25">
      <c r="A547" t="s">
        <v>0</v>
      </c>
      <c r="B547" s="1">
        <v>43617</v>
      </c>
      <c r="C547" s="1">
        <v>44834</v>
      </c>
      <c r="D547" s="4" t="s">
        <v>1668</v>
      </c>
      <c r="E547" t="s">
        <v>1669</v>
      </c>
      <c r="F547">
        <v>30154</v>
      </c>
      <c r="G547">
        <v>29949797</v>
      </c>
      <c r="H547" t="s">
        <v>10</v>
      </c>
      <c r="I547" t="s">
        <v>11</v>
      </c>
      <c r="J547" t="s">
        <v>32</v>
      </c>
      <c r="K547" t="s">
        <v>2910</v>
      </c>
      <c r="L547">
        <f t="shared" ca="1" si="24"/>
        <v>3</v>
      </c>
      <c r="M547" t="str">
        <f>IFERROR(INDEX('[4]31.03.2024'!$H:$H,MATCH($E547,'[4]31.03.2024'!$B:$B,0)),"Not found")</f>
        <v>Not found</v>
      </c>
      <c r="N547" t="str">
        <f>IFERROR(INDEX([2]Sheet1!$B:$B,MATCH($D547,[2]Sheet1!$A:$A,0)),"Not found")</f>
        <v>Not found</v>
      </c>
      <c r="O547">
        <f t="shared" si="25"/>
        <v>0</v>
      </c>
      <c r="P547">
        <f t="shared" si="26"/>
        <v>0</v>
      </c>
    </row>
    <row r="548" spans="1:16" x14ac:dyDescent="0.25">
      <c r="A548" t="s">
        <v>0</v>
      </c>
      <c r="B548" s="1">
        <v>43617</v>
      </c>
      <c r="C548" s="1">
        <v>44834</v>
      </c>
      <c r="D548" s="4" t="s">
        <v>1670</v>
      </c>
      <c r="E548" t="s">
        <v>1671</v>
      </c>
      <c r="F548">
        <v>30155</v>
      </c>
      <c r="G548">
        <v>29949762</v>
      </c>
      <c r="H548" t="s">
        <v>10</v>
      </c>
      <c r="I548" t="s">
        <v>11</v>
      </c>
      <c r="J548" t="s">
        <v>32</v>
      </c>
      <c r="K548" t="s">
        <v>2910</v>
      </c>
      <c r="L548">
        <f t="shared" ca="1" si="24"/>
        <v>3</v>
      </c>
      <c r="M548" t="str">
        <f>IFERROR(INDEX('[4]31.03.2024'!$H:$H,MATCH($E548,'[4]31.03.2024'!$B:$B,0)),"Not found")</f>
        <v>Not found</v>
      </c>
      <c r="N548" t="str">
        <f>IFERROR(INDEX([2]Sheet1!$B:$B,MATCH($D548,[2]Sheet1!$A:$A,0)),"Not found")</f>
        <v>Not found</v>
      </c>
      <c r="O548">
        <f t="shared" si="25"/>
        <v>0</v>
      </c>
      <c r="P548">
        <f t="shared" si="26"/>
        <v>0</v>
      </c>
    </row>
    <row r="549" spans="1:16" x14ac:dyDescent="0.25">
      <c r="A549" t="s">
        <v>0</v>
      </c>
      <c r="B549" s="1">
        <v>43800</v>
      </c>
      <c r="C549" s="1">
        <v>44561</v>
      </c>
      <c r="D549" s="4" t="s">
        <v>1730</v>
      </c>
      <c r="E549" t="s">
        <v>1731</v>
      </c>
      <c r="F549">
        <v>30511</v>
      </c>
      <c r="G549">
        <v>29815844</v>
      </c>
      <c r="H549" t="s">
        <v>10</v>
      </c>
      <c r="I549" t="s">
        <v>11</v>
      </c>
      <c r="J549" t="s">
        <v>29</v>
      </c>
      <c r="K549" t="s">
        <v>2910</v>
      </c>
      <c r="L549">
        <f t="shared" ca="1" si="24"/>
        <v>2</v>
      </c>
      <c r="M549" t="str">
        <f>IFERROR(INDEX('[4]31.03.2024'!$H:$H,MATCH($E549,'[4]31.03.2024'!$B:$B,0)),"Not found")</f>
        <v>Not found</v>
      </c>
      <c r="N549" t="str">
        <f>IFERROR(INDEX([2]Sheet1!$B:$B,MATCH($D549,[2]Sheet1!$A:$A,0)),"Not found")</f>
        <v>Not found</v>
      </c>
      <c r="O549">
        <f t="shared" si="25"/>
        <v>0</v>
      </c>
      <c r="P549">
        <f t="shared" si="26"/>
        <v>0</v>
      </c>
    </row>
    <row r="550" spans="1:16" x14ac:dyDescent="0.25">
      <c r="A550" t="s">
        <v>7</v>
      </c>
      <c r="B550" s="1">
        <v>43862</v>
      </c>
      <c r="C550" s="1">
        <v>44012</v>
      </c>
      <c r="D550" s="4" t="s">
        <v>1790</v>
      </c>
      <c r="E550" t="s">
        <v>1791</v>
      </c>
      <c r="F550">
        <v>30751</v>
      </c>
      <c r="G550">
        <v>31144971</v>
      </c>
      <c r="H550" t="s">
        <v>3</v>
      </c>
      <c r="I550" t="s">
        <v>4</v>
      </c>
      <c r="J550" t="s">
        <v>20</v>
      </c>
      <c r="K550" t="s">
        <v>2910</v>
      </c>
      <c r="L550">
        <f t="shared" ca="1" si="24"/>
        <v>0</v>
      </c>
      <c r="M550" t="str">
        <f>IFERROR(INDEX('[4]31.03.2024'!$H:$H,MATCH($E550,'[4]31.03.2024'!$B:$B,0)),"Not found")</f>
        <v>Not found</v>
      </c>
      <c r="N550" t="str">
        <f>IFERROR(INDEX([2]Sheet1!$B:$B,MATCH($D550,[2]Sheet1!$A:$A,0)),"Not found")</f>
        <v>Not found</v>
      </c>
      <c r="O550">
        <f t="shared" si="25"/>
        <v>0</v>
      </c>
      <c r="P550">
        <f t="shared" si="26"/>
        <v>0</v>
      </c>
    </row>
    <row r="551" spans="1:16" x14ac:dyDescent="0.25">
      <c r="A551" t="s">
        <v>0</v>
      </c>
      <c r="B551" s="1">
        <v>44075</v>
      </c>
      <c r="C551" s="1">
        <v>45107</v>
      </c>
      <c r="D551" s="4" t="s">
        <v>51</v>
      </c>
      <c r="E551" t="s">
        <v>52</v>
      </c>
      <c r="F551">
        <v>30963</v>
      </c>
      <c r="G551">
        <v>31542742</v>
      </c>
      <c r="H551" t="s">
        <v>10</v>
      </c>
      <c r="I551" t="s">
        <v>11</v>
      </c>
      <c r="J551" t="s">
        <v>32</v>
      </c>
      <c r="K551" t="s">
        <v>2910</v>
      </c>
      <c r="L551">
        <f t="shared" ca="1" si="24"/>
        <v>2</v>
      </c>
      <c r="M551" t="str">
        <f>IFERROR(INDEX('[4]31.03.2024'!$H:$H,MATCH($E551,'[4]31.03.2024'!$B:$B,0)),"Not found")</f>
        <v>Not found</v>
      </c>
      <c r="N551" t="str">
        <f>IFERROR(INDEX([2]Sheet1!$B:$B,MATCH($D551,[2]Sheet1!$A:$A,0)),"Not found")</f>
        <v>Not found</v>
      </c>
      <c r="O551">
        <f t="shared" si="25"/>
        <v>0</v>
      </c>
      <c r="P551">
        <f t="shared" si="26"/>
        <v>0</v>
      </c>
    </row>
    <row r="552" spans="1:16" x14ac:dyDescent="0.25">
      <c r="A552" t="s">
        <v>0</v>
      </c>
      <c r="B552" s="1">
        <v>43983</v>
      </c>
      <c r="C552" s="1">
        <v>45291</v>
      </c>
      <c r="D552" s="4" t="s">
        <v>53</v>
      </c>
      <c r="E552" t="s">
        <v>54</v>
      </c>
      <c r="F552">
        <v>31287</v>
      </c>
      <c r="G552">
        <v>31342951</v>
      </c>
      <c r="H552" t="s">
        <v>3</v>
      </c>
      <c r="I552" t="s">
        <v>4</v>
      </c>
      <c r="J552" t="s">
        <v>20</v>
      </c>
      <c r="K552" t="s">
        <v>2911</v>
      </c>
      <c r="L552">
        <f t="shared" ca="1" si="24"/>
        <v>3</v>
      </c>
      <c r="M552" t="str">
        <f>IFERROR(INDEX('[4]31.03.2024'!$H:$H,MATCH($E552,'[4]31.03.2024'!$B:$B,0)),"Not found")</f>
        <v>Not found</v>
      </c>
      <c r="N552" t="str">
        <f>IFERROR(INDEX([2]Sheet1!$B:$B,MATCH($D552,[2]Sheet1!$A:$A,0)),"Not found")</f>
        <v>Not found</v>
      </c>
      <c r="O552">
        <f t="shared" si="25"/>
        <v>0</v>
      </c>
      <c r="P552">
        <f t="shared" si="26"/>
        <v>0</v>
      </c>
    </row>
    <row r="553" spans="1:16" x14ac:dyDescent="0.25">
      <c r="A553" t="s">
        <v>0</v>
      </c>
      <c r="B553" s="1">
        <v>43983</v>
      </c>
      <c r="C553" s="1">
        <v>45291</v>
      </c>
      <c r="D553" s="4" t="s">
        <v>55</v>
      </c>
      <c r="E553" t="s">
        <v>56</v>
      </c>
      <c r="F553">
        <v>31288</v>
      </c>
      <c r="G553">
        <v>31342943</v>
      </c>
      <c r="H553" t="s">
        <v>3</v>
      </c>
      <c r="I553" t="s">
        <v>4</v>
      </c>
      <c r="J553" t="s">
        <v>20</v>
      </c>
      <c r="K553" t="s">
        <v>2911</v>
      </c>
      <c r="L553">
        <f t="shared" ca="1" si="24"/>
        <v>3</v>
      </c>
      <c r="M553" t="str">
        <f>IFERROR(INDEX('[4]31.03.2024'!$H:$H,MATCH($E553,'[4]31.03.2024'!$B:$B,0)),"Not found")</f>
        <v>Not found</v>
      </c>
      <c r="N553" t="str">
        <f>IFERROR(INDEX([2]Sheet1!$B:$B,MATCH($D553,[2]Sheet1!$A:$A,0)),"Not found")</f>
        <v>Not found</v>
      </c>
      <c r="O553">
        <f t="shared" si="25"/>
        <v>0</v>
      </c>
      <c r="P553">
        <f t="shared" si="26"/>
        <v>0</v>
      </c>
    </row>
    <row r="554" spans="1:16" x14ac:dyDescent="0.25">
      <c r="A554" t="s">
        <v>7</v>
      </c>
      <c r="B554" s="1">
        <v>44044</v>
      </c>
      <c r="C554" s="1">
        <v>45291</v>
      </c>
      <c r="D554" s="4" t="s">
        <v>57</v>
      </c>
      <c r="E554" t="s">
        <v>58</v>
      </c>
      <c r="F554">
        <v>31289</v>
      </c>
      <c r="G554">
        <v>31342724</v>
      </c>
      <c r="H554" t="s">
        <v>3</v>
      </c>
      <c r="I554" t="s">
        <v>4</v>
      </c>
      <c r="J554" t="s">
        <v>20</v>
      </c>
      <c r="K554" t="s">
        <v>2911</v>
      </c>
      <c r="L554">
        <f t="shared" ca="1" si="24"/>
        <v>3</v>
      </c>
      <c r="M554" t="str">
        <f>IFERROR(INDEX('[4]31.03.2024'!$H:$H,MATCH($E554,'[4]31.03.2024'!$B:$B,0)),"Not found")</f>
        <v>Not found</v>
      </c>
      <c r="N554" t="str">
        <f>IFERROR(INDEX([2]Sheet1!$B:$B,MATCH($D554,[2]Sheet1!$A:$A,0)),"Not found")</f>
        <v>Not found</v>
      </c>
      <c r="O554">
        <f t="shared" si="25"/>
        <v>0</v>
      </c>
      <c r="P554">
        <f t="shared" si="26"/>
        <v>0</v>
      </c>
    </row>
    <row r="555" spans="1:16" x14ac:dyDescent="0.25">
      <c r="A555" t="s">
        <v>7</v>
      </c>
      <c r="B555" s="1">
        <v>44044</v>
      </c>
      <c r="C555" s="1">
        <v>45291</v>
      </c>
      <c r="D555" s="4" t="s">
        <v>59</v>
      </c>
      <c r="E555" t="s">
        <v>60</v>
      </c>
      <c r="F555">
        <v>31290</v>
      </c>
      <c r="G555">
        <v>31342732</v>
      </c>
      <c r="H555" t="s">
        <v>3</v>
      </c>
      <c r="I555" t="s">
        <v>4</v>
      </c>
      <c r="J555" t="s">
        <v>20</v>
      </c>
      <c r="K555" t="s">
        <v>2911</v>
      </c>
      <c r="L555">
        <f t="shared" ca="1" si="24"/>
        <v>3</v>
      </c>
      <c r="M555" t="str">
        <f>IFERROR(INDEX('[4]31.03.2024'!$H:$H,MATCH($E555,'[4]31.03.2024'!$B:$B,0)),"Not found")</f>
        <v>Not found</v>
      </c>
      <c r="N555" t="str">
        <f>IFERROR(INDEX([2]Sheet1!$B:$B,MATCH($D555,[2]Sheet1!$A:$A,0)),"Not found")</f>
        <v>Not found</v>
      </c>
      <c r="O555">
        <f t="shared" si="25"/>
        <v>0</v>
      </c>
      <c r="P555">
        <f t="shared" si="26"/>
        <v>0</v>
      </c>
    </row>
    <row r="556" spans="1:16" x14ac:dyDescent="0.25">
      <c r="A556" t="s">
        <v>7</v>
      </c>
      <c r="B556" s="1">
        <v>44287</v>
      </c>
      <c r="C556" s="1">
        <v>44926</v>
      </c>
      <c r="D556" s="4" t="s">
        <v>1862</v>
      </c>
      <c r="E556" t="s">
        <v>1863</v>
      </c>
      <c r="F556">
        <v>31302</v>
      </c>
      <c r="G556">
        <v>31429408</v>
      </c>
      <c r="H556" t="s">
        <v>3</v>
      </c>
      <c r="I556" t="s">
        <v>4</v>
      </c>
      <c r="J556" t="s">
        <v>20</v>
      </c>
      <c r="K556" t="s">
        <v>2911</v>
      </c>
      <c r="L556">
        <f t="shared" ca="1" si="24"/>
        <v>1</v>
      </c>
      <c r="M556" t="str">
        <f>IFERROR(INDEX('[4]31.03.2024'!$H:$H,MATCH($E556,'[4]31.03.2024'!$B:$B,0)),"Not found")</f>
        <v>Not found</v>
      </c>
      <c r="N556" t="str">
        <f>IFERROR(INDEX([2]Sheet1!$B:$B,MATCH($D556,[2]Sheet1!$A:$A,0)),"Not found")</f>
        <v>Not found</v>
      </c>
      <c r="O556">
        <f t="shared" si="25"/>
        <v>0</v>
      </c>
      <c r="P556">
        <f t="shared" si="26"/>
        <v>0</v>
      </c>
    </row>
    <row r="557" spans="1:16" x14ac:dyDescent="0.25">
      <c r="A557" t="s">
        <v>0</v>
      </c>
      <c r="B557" s="1">
        <v>44105</v>
      </c>
      <c r="C557" s="1">
        <v>44926</v>
      </c>
      <c r="D557" s="4" t="s">
        <v>1864</v>
      </c>
      <c r="E557" t="s">
        <v>1865</v>
      </c>
      <c r="F557">
        <v>31303</v>
      </c>
      <c r="G557">
        <v>31429416</v>
      </c>
      <c r="H557" t="s">
        <v>3</v>
      </c>
      <c r="I557" t="s">
        <v>4</v>
      </c>
      <c r="J557" t="s">
        <v>20</v>
      </c>
      <c r="K557" t="s">
        <v>2911</v>
      </c>
      <c r="L557">
        <f t="shared" ca="1" si="24"/>
        <v>2</v>
      </c>
      <c r="M557" t="str">
        <f>IFERROR(INDEX('[4]31.03.2024'!$H:$H,MATCH($E557,'[4]31.03.2024'!$B:$B,0)),"Not found")</f>
        <v>Not found</v>
      </c>
      <c r="N557" t="str">
        <f>IFERROR(INDEX([2]Sheet1!$B:$B,MATCH($D557,[2]Sheet1!$A:$A,0)),"Not found")</f>
        <v>Not found</v>
      </c>
      <c r="O557">
        <f t="shared" si="25"/>
        <v>0</v>
      </c>
      <c r="P557">
        <f t="shared" si="26"/>
        <v>0</v>
      </c>
    </row>
    <row r="558" spans="1:16" x14ac:dyDescent="0.25">
      <c r="A558" t="s">
        <v>7</v>
      </c>
      <c r="B558" s="1">
        <v>42339</v>
      </c>
      <c r="C558" s="1">
        <v>44196</v>
      </c>
      <c r="D558" s="4" t="s">
        <v>1882</v>
      </c>
      <c r="E558" t="s">
        <v>1883</v>
      </c>
      <c r="F558">
        <v>31454</v>
      </c>
      <c r="G558">
        <v>27221911</v>
      </c>
      <c r="H558" t="s">
        <v>10</v>
      </c>
      <c r="I558" t="s">
        <v>11</v>
      </c>
      <c r="J558" t="s">
        <v>32</v>
      </c>
      <c r="K558" t="s">
        <v>2910</v>
      </c>
      <c r="L558">
        <f t="shared" ca="1" si="24"/>
        <v>5</v>
      </c>
      <c r="M558" t="str">
        <f>IFERROR(INDEX('[4]31.03.2024'!$H:$H,MATCH($E558,'[4]31.03.2024'!$B:$B,0)),"Not found")</f>
        <v>Not found</v>
      </c>
      <c r="N558" t="str">
        <f>IFERROR(INDEX([2]Sheet1!$B:$B,MATCH($D558,[2]Sheet1!$A:$A,0)),"Not found")</f>
        <v>Not found</v>
      </c>
      <c r="O558">
        <f t="shared" si="25"/>
        <v>0</v>
      </c>
      <c r="P558">
        <f t="shared" si="26"/>
        <v>0</v>
      </c>
    </row>
    <row r="559" spans="1:16" x14ac:dyDescent="0.25">
      <c r="A559" t="s">
        <v>7</v>
      </c>
      <c r="B559" s="1">
        <v>44075</v>
      </c>
      <c r="C559" s="1">
        <v>44712</v>
      </c>
      <c r="D559" s="4" t="s">
        <v>1884</v>
      </c>
      <c r="E559" t="s">
        <v>1885</v>
      </c>
      <c r="F559">
        <v>31459</v>
      </c>
      <c r="G559">
        <v>31403427</v>
      </c>
      <c r="H559" t="s">
        <v>10</v>
      </c>
      <c r="I559" t="s">
        <v>4</v>
      </c>
      <c r="J559" t="s">
        <v>50</v>
      </c>
      <c r="K559" t="s">
        <v>2910</v>
      </c>
      <c r="L559">
        <f t="shared" ca="1" si="24"/>
        <v>1</v>
      </c>
      <c r="M559" t="str">
        <f>IFERROR(INDEX('[4]31.03.2024'!$H:$H,MATCH($E559,'[4]31.03.2024'!$B:$B,0)),"Not found")</f>
        <v>Not found</v>
      </c>
      <c r="N559" t="str">
        <f>IFERROR(INDEX([2]Sheet1!$B:$B,MATCH($D559,[2]Sheet1!$A:$A,0)),"Not found")</f>
        <v>Not found</v>
      </c>
      <c r="O559">
        <f t="shared" si="25"/>
        <v>0</v>
      </c>
      <c r="P559">
        <f t="shared" si="26"/>
        <v>0</v>
      </c>
    </row>
    <row r="560" spans="1:16" x14ac:dyDescent="0.25">
      <c r="A560" t="s">
        <v>7</v>
      </c>
      <c r="B560" s="1">
        <v>44075</v>
      </c>
      <c r="C560" s="1">
        <v>44712</v>
      </c>
      <c r="D560" s="4" t="s">
        <v>1886</v>
      </c>
      <c r="E560" t="s">
        <v>1887</v>
      </c>
      <c r="F560">
        <v>31463</v>
      </c>
      <c r="G560">
        <v>31403494</v>
      </c>
      <c r="H560" t="s">
        <v>10</v>
      </c>
      <c r="I560" t="s">
        <v>4</v>
      </c>
      <c r="J560" t="s">
        <v>50</v>
      </c>
      <c r="K560" t="s">
        <v>2910</v>
      </c>
      <c r="L560">
        <f t="shared" ca="1" si="24"/>
        <v>1</v>
      </c>
      <c r="M560" t="str">
        <f>IFERROR(INDEX('[4]31.03.2024'!$H:$H,MATCH($E560,'[4]31.03.2024'!$B:$B,0)),"Not found")</f>
        <v>Not found</v>
      </c>
      <c r="N560" t="str">
        <f>IFERROR(INDEX([2]Sheet1!$B:$B,MATCH($D560,[2]Sheet1!$A:$A,0)),"Not found")</f>
        <v>Not found</v>
      </c>
      <c r="O560">
        <f t="shared" si="25"/>
        <v>0</v>
      </c>
      <c r="P560">
        <f t="shared" si="26"/>
        <v>0</v>
      </c>
    </row>
    <row r="561" spans="1:16" x14ac:dyDescent="0.25">
      <c r="A561" t="s">
        <v>7</v>
      </c>
      <c r="B561" s="1">
        <v>44075</v>
      </c>
      <c r="C561" s="1">
        <v>44712</v>
      </c>
      <c r="D561" s="4" t="s">
        <v>1894</v>
      </c>
      <c r="E561" t="s">
        <v>1895</v>
      </c>
      <c r="F561">
        <v>31468</v>
      </c>
      <c r="G561">
        <v>31403515</v>
      </c>
      <c r="H561" t="s">
        <v>10</v>
      </c>
      <c r="I561" t="s">
        <v>4</v>
      </c>
      <c r="J561" t="s">
        <v>20</v>
      </c>
      <c r="K561" t="s">
        <v>2910</v>
      </c>
      <c r="L561">
        <f t="shared" ca="1" si="24"/>
        <v>1</v>
      </c>
      <c r="M561" t="str">
        <f>IFERROR(INDEX('[4]31.03.2024'!$H:$H,MATCH($E561,'[4]31.03.2024'!$B:$B,0)),"Not found")</f>
        <v>Not found</v>
      </c>
      <c r="N561" t="str">
        <f>IFERROR(INDEX([2]Sheet1!$B:$B,MATCH($D561,[2]Sheet1!$A:$A,0)),"Not found")</f>
        <v>Not found</v>
      </c>
      <c r="O561">
        <f t="shared" si="25"/>
        <v>0</v>
      </c>
      <c r="P561">
        <f t="shared" si="26"/>
        <v>0</v>
      </c>
    </row>
    <row r="562" spans="1:16" x14ac:dyDescent="0.25">
      <c r="A562" t="s">
        <v>0</v>
      </c>
      <c r="B562" s="1">
        <v>44896</v>
      </c>
      <c r="C562" s="1">
        <v>44926</v>
      </c>
      <c r="D562" s="4" t="s">
        <v>1896</v>
      </c>
      <c r="E562" t="s">
        <v>1897</v>
      </c>
      <c r="F562">
        <v>31477</v>
      </c>
      <c r="G562" t="s">
        <v>14</v>
      </c>
      <c r="H562" t="s">
        <v>10</v>
      </c>
      <c r="I562" t="s">
        <v>11</v>
      </c>
      <c r="J562" t="s">
        <v>12</v>
      </c>
      <c r="K562" t="s">
        <v>2910</v>
      </c>
      <c r="L562">
        <f t="shared" ca="1" si="24"/>
        <v>0</v>
      </c>
      <c r="M562" t="str">
        <f>IFERROR(INDEX('[4]31.03.2024'!$H:$H,MATCH($E562,'[4]31.03.2024'!$B:$B,0)),"Not found")</f>
        <v>Not found</v>
      </c>
      <c r="N562" t="str">
        <f>IFERROR(INDEX([2]Sheet1!$B:$B,MATCH($D562,[2]Sheet1!$A:$A,0)),"Not found")</f>
        <v>Not found</v>
      </c>
      <c r="O562">
        <f t="shared" si="25"/>
        <v>0</v>
      </c>
      <c r="P562">
        <f t="shared" si="26"/>
        <v>0</v>
      </c>
    </row>
    <row r="563" spans="1:16" x14ac:dyDescent="0.25">
      <c r="A563" t="s">
        <v>0</v>
      </c>
      <c r="B563" s="1">
        <v>44896</v>
      </c>
      <c r="C563" s="1">
        <v>44926</v>
      </c>
      <c r="D563" s="4" t="s">
        <v>1898</v>
      </c>
      <c r="E563" t="s">
        <v>1899</v>
      </c>
      <c r="F563">
        <v>31478</v>
      </c>
      <c r="G563" t="s">
        <v>14</v>
      </c>
      <c r="H563" t="s">
        <v>10</v>
      </c>
      <c r="I563" t="s">
        <v>11</v>
      </c>
      <c r="J563" t="s">
        <v>12</v>
      </c>
      <c r="K563" t="s">
        <v>2910</v>
      </c>
      <c r="L563">
        <f t="shared" ca="1" si="24"/>
        <v>0</v>
      </c>
      <c r="M563" t="str">
        <f>IFERROR(INDEX('[4]31.03.2024'!$H:$H,MATCH($E563,'[4]31.03.2024'!$B:$B,0)),"Not found")</f>
        <v>Not found</v>
      </c>
      <c r="N563" t="str">
        <f>IFERROR(INDEX([2]Sheet1!$B:$B,MATCH($D563,[2]Sheet1!$A:$A,0)),"Not found")</f>
        <v>Not found</v>
      </c>
      <c r="O563">
        <f t="shared" si="25"/>
        <v>0</v>
      </c>
      <c r="P563">
        <f t="shared" si="26"/>
        <v>0</v>
      </c>
    </row>
    <row r="564" spans="1:16" x14ac:dyDescent="0.25">
      <c r="A564" t="s">
        <v>0</v>
      </c>
      <c r="B564" s="1">
        <v>44197</v>
      </c>
      <c r="C564" s="1">
        <v>44804</v>
      </c>
      <c r="D564" s="4" t="s">
        <v>1924</v>
      </c>
      <c r="E564" t="s">
        <v>1925</v>
      </c>
      <c r="F564">
        <v>31562</v>
      </c>
      <c r="G564">
        <v>31725725</v>
      </c>
      <c r="H564" t="s">
        <v>10</v>
      </c>
      <c r="I564" t="s">
        <v>4</v>
      </c>
      <c r="J564" t="s">
        <v>47</v>
      </c>
      <c r="K564" t="s">
        <v>2910</v>
      </c>
      <c r="L564">
        <f t="shared" ca="1" si="24"/>
        <v>1</v>
      </c>
      <c r="M564" t="str">
        <f>IFERROR(INDEX('[4]31.03.2024'!$H:$H,MATCH($E564,'[4]31.03.2024'!$B:$B,0)),"Not found")</f>
        <v>Not found</v>
      </c>
      <c r="N564" t="str">
        <f>IFERROR(INDEX([2]Sheet1!$B:$B,MATCH($D564,[2]Sheet1!$A:$A,0)),"Not found")</f>
        <v>Not found</v>
      </c>
      <c r="O564">
        <f t="shared" si="25"/>
        <v>0</v>
      </c>
      <c r="P564">
        <f t="shared" si="26"/>
        <v>0</v>
      </c>
    </row>
    <row r="565" spans="1:16" x14ac:dyDescent="0.25">
      <c r="A565" t="s">
        <v>7</v>
      </c>
      <c r="B565" s="1">
        <v>44256</v>
      </c>
      <c r="C565" s="1">
        <v>44530</v>
      </c>
      <c r="D565" s="4" t="s">
        <v>1948</v>
      </c>
      <c r="E565" t="s">
        <v>1949</v>
      </c>
      <c r="F565">
        <v>31744</v>
      </c>
      <c r="G565">
        <v>31793453</v>
      </c>
      <c r="H565" t="s">
        <v>10</v>
      </c>
      <c r="I565" t="s">
        <v>4</v>
      </c>
      <c r="J565" t="s">
        <v>20</v>
      </c>
      <c r="K565" t="s">
        <v>2911</v>
      </c>
      <c r="L565">
        <f t="shared" ca="1" si="24"/>
        <v>0</v>
      </c>
      <c r="M565" t="str">
        <f>IFERROR(INDEX('[4]31.03.2024'!$H:$H,MATCH($E565,'[4]31.03.2024'!$B:$B,0)),"Not found")</f>
        <v>Not found</v>
      </c>
      <c r="N565" t="str">
        <f>IFERROR(INDEX([2]Sheet1!$B:$B,MATCH($D565,[2]Sheet1!$A:$A,0)),"Not found")</f>
        <v>Not found</v>
      </c>
      <c r="O565">
        <f t="shared" si="25"/>
        <v>0</v>
      </c>
      <c r="P565">
        <f t="shared" si="26"/>
        <v>0</v>
      </c>
    </row>
    <row r="566" spans="1:16" x14ac:dyDescent="0.25">
      <c r="A566" t="s">
        <v>7</v>
      </c>
      <c r="B566" s="1">
        <v>44348</v>
      </c>
      <c r="C566" s="1">
        <v>45199</v>
      </c>
      <c r="D566" s="4" t="s">
        <v>61</v>
      </c>
      <c r="E566" t="s">
        <v>1952</v>
      </c>
      <c r="F566">
        <v>35904</v>
      </c>
      <c r="G566">
        <v>32073968</v>
      </c>
      <c r="H566" t="s">
        <v>10</v>
      </c>
      <c r="I566" t="s">
        <v>11</v>
      </c>
      <c r="J566" t="s">
        <v>29</v>
      </c>
      <c r="K566" t="s">
        <v>2910</v>
      </c>
      <c r="L566">
        <f t="shared" ca="1" si="24"/>
        <v>2</v>
      </c>
      <c r="M566" t="str">
        <f>IFERROR(INDEX('[4]31.03.2024'!$H:$H,MATCH($E566,'[4]31.03.2024'!$B:$B,0)),"Not found")</f>
        <v>Not found</v>
      </c>
      <c r="N566" t="str">
        <f>IFERROR(INDEX([2]Sheet1!$B:$B,MATCH($D566,[2]Sheet1!$A:$A,0)),"Not found")</f>
        <v>Not found</v>
      </c>
      <c r="O566">
        <f t="shared" si="25"/>
        <v>0</v>
      </c>
      <c r="P566">
        <f t="shared" si="26"/>
        <v>0</v>
      </c>
    </row>
    <row r="567" spans="1:16" x14ac:dyDescent="0.25">
      <c r="A567" t="s">
        <v>7</v>
      </c>
      <c r="B567" s="1">
        <v>44378</v>
      </c>
      <c r="C567" s="1">
        <v>44926</v>
      </c>
      <c r="D567" s="4" t="s">
        <v>2043</v>
      </c>
      <c r="E567" t="s">
        <v>2044</v>
      </c>
      <c r="F567">
        <v>41574</v>
      </c>
      <c r="G567">
        <v>32103645</v>
      </c>
      <c r="H567" t="s">
        <v>10</v>
      </c>
      <c r="I567" t="s">
        <v>4</v>
      </c>
      <c r="J567" t="s">
        <v>20</v>
      </c>
      <c r="K567" t="s">
        <v>2911</v>
      </c>
      <c r="L567">
        <f t="shared" ca="1" si="24"/>
        <v>1</v>
      </c>
      <c r="M567" t="str">
        <f>IFERROR(INDEX('[4]31.03.2024'!$H:$H,MATCH($E567,'[4]31.03.2024'!$B:$B,0)),"Not found")</f>
        <v>Not found</v>
      </c>
      <c r="N567" t="str">
        <f>IFERROR(INDEX([2]Sheet1!$B:$B,MATCH($D567,[2]Sheet1!$A:$A,0)),"Not found")</f>
        <v>Not found</v>
      </c>
      <c r="O567">
        <f t="shared" si="25"/>
        <v>0</v>
      </c>
      <c r="P567">
        <f t="shared" si="26"/>
        <v>0</v>
      </c>
    </row>
    <row r="568" spans="1:16" x14ac:dyDescent="0.25">
      <c r="A568" t="s">
        <v>7</v>
      </c>
      <c r="B568" s="1">
        <v>44562</v>
      </c>
      <c r="C568" s="1">
        <v>45230</v>
      </c>
      <c r="D568" s="4" t="s">
        <v>62</v>
      </c>
      <c r="E568" t="s">
        <v>63</v>
      </c>
      <c r="F568">
        <v>42154</v>
      </c>
      <c r="G568">
        <v>32550808</v>
      </c>
      <c r="H568" t="s">
        <v>10</v>
      </c>
      <c r="I568" t="s">
        <v>4</v>
      </c>
      <c r="J568" t="s">
        <v>20</v>
      </c>
      <c r="K568" t="s">
        <v>2910</v>
      </c>
      <c r="L568">
        <f t="shared" ca="1" si="24"/>
        <v>1</v>
      </c>
      <c r="M568" t="str">
        <f>IFERROR(INDEX('[4]31.03.2024'!$H:$H,MATCH($E568,'[4]31.03.2024'!$B:$B,0)),"Not found")</f>
        <v>Not found</v>
      </c>
      <c r="N568" t="str">
        <f>IFERROR(INDEX([2]Sheet1!$B:$B,MATCH($D568,[2]Sheet1!$A:$A,0)),"Not found")</f>
        <v>Not found</v>
      </c>
      <c r="O568">
        <f t="shared" si="25"/>
        <v>0</v>
      </c>
      <c r="P568">
        <f t="shared" si="26"/>
        <v>0</v>
      </c>
    </row>
    <row r="569" spans="1:16" x14ac:dyDescent="0.25">
      <c r="A569" t="s">
        <v>7</v>
      </c>
      <c r="B569" s="1">
        <v>44652</v>
      </c>
      <c r="C569" s="1">
        <v>45291</v>
      </c>
      <c r="D569" s="4" t="s">
        <v>64</v>
      </c>
      <c r="E569" t="s">
        <v>65</v>
      </c>
      <c r="F569">
        <v>42389</v>
      </c>
      <c r="G569">
        <v>32655773</v>
      </c>
      <c r="H569" t="s">
        <v>10</v>
      </c>
      <c r="I569" t="s">
        <v>4</v>
      </c>
      <c r="J569" t="s">
        <v>47</v>
      </c>
      <c r="K569" t="s">
        <v>2910</v>
      </c>
      <c r="L569">
        <f t="shared" ca="1" si="24"/>
        <v>1</v>
      </c>
      <c r="M569" t="str">
        <f>IFERROR(INDEX('[4]31.03.2024'!$H:$H,MATCH($E569,'[4]31.03.2024'!$B:$B,0)),"Not found")</f>
        <v>Not found</v>
      </c>
      <c r="N569" t="str">
        <f>IFERROR(INDEX([2]Sheet1!$B:$B,MATCH($D569,[2]Sheet1!$A:$A,0)),"Not found")</f>
        <v>Not found</v>
      </c>
      <c r="O569">
        <f t="shared" si="25"/>
        <v>0</v>
      </c>
      <c r="P569">
        <f t="shared" si="26"/>
        <v>0</v>
      </c>
    </row>
    <row r="570" spans="1:16" x14ac:dyDescent="0.25">
      <c r="A570" t="s">
        <v>0</v>
      </c>
      <c r="B570" s="1">
        <v>39783</v>
      </c>
      <c r="C570" s="1">
        <v>45443</v>
      </c>
      <c r="D570" t="s">
        <v>3052</v>
      </c>
      <c r="E570" t="s">
        <v>3053</v>
      </c>
      <c r="F570">
        <v>13096</v>
      </c>
      <c r="G570">
        <v>17963321</v>
      </c>
      <c r="H570" t="s">
        <v>3</v>
      </c>
      <c r="I570" t="s">
        <v>4</v>
      </c>
      <c r="J570" t="s">
        <v>20</v>
      </c>
      <c r="K570" t="s">
        <v>2911</v>
      </c>
      <c r="L570">
        <f t="shared" ca="1" si="24"/>
        <v>15</v>
      </c>
      <c r="M570" t="str">
        <f>IFERROR(INDEX('[4]31.03.2024'!$H:$H,MATCH($E570,'[4]31.03.2024'!$B:$B,0)),"Not found")</f>
        <v>Seligson &amp; Co Rahastoyhtiö Oyj</v>
      </c>
      <c r="N570" t="str">
        <f>IFERROR(INDEX([2]Sheet1!$B:$B,MATCH($D570,[2]Sheet1!$A:$A,0)),"Not found")</f>
        <v>Retail</v>
      </c>
      <c r="O570">
        <f t="shared" si="25"/>
        <v>1</v>
      </c>
      <c r="P570">
        <f t="shared" si="26"/>
        <v>0</v>
      </c>
    </row>
    <row r="571" spans="1:16" x14ac:dyDescent="0.25">
      <c r="A571" t="s">
        <v>0</v>
      </c>
      <c r="B571" s="1">
        <v>39783</v>
      </c>
      <c r="C571" s="1">
        <v>45443</v>
      </c>
      <c r="D571" t="s">
        <v>3052</v>
      </c>
      <c r="E571" t="s">
        <v>3053</v>
      </c>
      <c r="F571">
        <v>13096</v>
      </c>
      <c r="G571">
        <v>17963321</v>
      </c>
      <c r="H571" t="s">
        <v>3</v>
      </c>
      <c r="I571" t="s">
        <v>4</v>
      </c>
      <c r="J571" t="s">
        <v>20</v>
      </c>
      <c r="K571" t="s">
        <v>2911</v>
      </c>
      <c r="L571">
        <f t="shared" ca="1" si="24"/>
        <v>15</v>
      </c>
      <c r="M571" t="str">
        <f>IFERROR(INDEX('[4]31.03.2024'!$H:$H,MATCH($E571,'[4]31.03.2024'!$B:$B,0)),"Not found")</f>
        <v>Seligson &amp; Co Rahastoyhtiö Oyj</v>
      </c>
      <c r="N571" t="str">
        <f>IFERROR(INDEX([2]Sheet1!$B:$B,MATCH($D571,[2]Sheet1!$A:$A,0)),"Not found")</f>
        <v>Retail</v>
      </c>
      <c r="O571">
        <f t="shared" si="25"/>
        <v>1</v>
      </c>
      <c r="P571">
        <f t="shared" si="26"/>
        <v>0</v>
      </c>
    </row>
    <row r="572" spans="1:16" x14ac:dyDescent="0.25">
      <c r="A572" t="s">
        <v>0</v>
      </c>
      <c r="B572" s="1">
        <v>39783</v>
      </c>
      <c r="C572" s="1">
        <v>45443</v>
      </c>
      <c r="D572" t="s">
        <v>3052</v>
      </c>
      <c r="E572" t="s">
        <v>3053</v>
      </c>
      <c r="F572">
        <v>13096</v>
      </c>
      <c r="G572">
        <v>17963321</v>
      </c>
      <c r="H572" t="s">
        <v>3</v>
      </c>
      <c r="I572" t="s">
        <v>4</v>
      </c>
      <c r="J572" t="s">
        <v>20</v>
      </c>
      <c r="K572" t="s">
        <v>2911</v>
      </c>
      <c r="L572">
        <f t="shared" ca="1" si="24"/>
        <v>15</v>
      </c>
      <c r="M572" t="str">
        <f>IFERROR(INDEX('[4]31.03.2024'!$H:$H,MATCH($E572,'[4]31.03.2024'!$B:$B,0)),"Not found")</f>
        <v>Seligson &amp; Co Rahastoyhtiö Oyj</v>
      </c>
      <c r="N572" t="str">
        <f>IFERROR(INDEX([2]Sheet1!$B:$B,MATCH($D572,[2]Sheet1!$A:$A,0)),"Not found")</f>
        <v>Retail</v>
      </c>
      <c r="O572">
        <f t="shared" si="25"/>
        <v>1</v>
      </c>
      <c r="P572">
        <f t="shared" si="26"/>
        <v>0</v>
      </c>
    </row>
    <row r="573" spans="1:16" x14ac:dyDescent="0.25">
      <c r="A573" t="s">
        <v>0</v>
      </c>
      <c r="B573" s="1">
        <v>39783</v>
      </c>
      <c r="C573" s="1">
        <v>45473</v>
      </c>
      <c r="D573" t="s">
        <v>3054</v>
      </c>
      <c r="E573" t="s">
        <v>3055</v>
      </c>
      <c r="F573">
        <v>13160</v>
      </c>
      <c r="G573">
        <v>18641949</v>
      </c>
      <c r="H573" t="s">
        <v>3</v>
      </c>
      <c r="I573" t="s">
        <v>4</v>
      </c>
      <c r="J573" t="s">
        <v>20</v>
      </c>
      <c r="K573" t="s">
        <v>2910</v>
      </c>
      <c r="L573">
        <f t="shared" ca="1" si="24"/>
        <v>15</v>
      </c>
      <c r="M573" t="str">
        <f>IFERROR(INDEX('[4]31.03.2024'!$H:$H,MATCH($E573,'[4]31.03.2024'!$B:$B,0)),"Not found")</f>
        <v>Nordea Funds Oy</v>
      </c>
      <c r="N573" t="str">
        <f>IFERROR(INDEX([2]Sheet1!$B:$B,MATCH($D573,[2]Sheet1!$A:$A,0)),"Not found")</f>
        <v>Retail</v>
      </c>
      <c r="O573">
        <f t="shared" si="25"/>
        <v>1</v>
      </c>
      <c r="P573">
        <f t="shared" si="26"/>
        <v>0</v>
      </c>
    </row>
    <row r="574" spans="1:16" x14ac:dyDescent="0.25">
      <c r="A574" t="s">
        <v>0</v>
      </c>
      <c r="B574" s="1">
        <v>40940</v>
      </c>
      <c r="C574" s="1">
        <v>45443</v>
      </c>
      <c r="D574" t="s">
        <v>3056</v>
      </c>
      <c r="E574" t="s">
        <v>3057</v>
      </c>
      <c r="F574">
        <v>17273</v>
      </c>
      <c r="G574">
        <v>24499918</v>
      </c>
      <c r="H574" t="s">
        <v>10</v>
      </c>
      <c r="I574" t="s">
        <v>4</v>
      </c>
      <c r="J574" t="s">
        <v>50</v>
      </c>
      <c r="K574" t="s">
        <v>2911</v>
      </c>
      <c r="L574">
        <f t="shared" ca="1" si="24"/>
        <v>12</v>
      </c>
      <c r="M574" t="str">
        <f>IFERROR(INDEX('[4]31.03.2024'!$H:$H,MATCH($E574,'[4]31.03.2024'!$B:$B,0)),"Not found")</f>
        <v>Aktia Rahastoyhtiö Oy</v>
      </c>
      <c r="N574" t="str">
        <f>IFERROR(INDEX([2]Sheet1!$B:$B,MATCH($D574,[2]Sheet1!$A:$A,0)),"Not found")</f>
        <v>Retail</v>
      </c>
      <c r="O574">
        <f t="shared" si="25"/>
        <v>1</v>
      </c>
      <c r="P574">
        <f t="shared" si="26"/>
        <v>0</v>
      </c>
    </row>
    <row r="575" spans="1:16" x14ac:dyDescent="0.25">
      <c r="A575" t="s">
        <v>0</v>
      </c>
      <c r="B575" s="1">
        <v>40940</v>
      </c>
      <c r="C575" s="1">
        <v>45443</v>
      </c>
      <c r="D575" t="s">
        <v>3056</v>
      </c>
      <c r="E575" t="s">
        <v>3057</v>
      </c>
      <c r="F575">
        <v>17273</v>
      </c>
      <c r="G575">
        <v>24499918</v>
      </c>
      <c r="H575" t="s">
        <v>10</v>
      </c>
      <c r="I575" t="s">
        <v>4</v>
      </c>
      <c r="J575" t="s">
        <v>50</v>
      </c>
      <c r="K575" t="s">
        <v>2911</v>
      </c>
      <c r="L575">
        <f t="shared" ca="1" si="24"/>
        <v>12</v>
      </c>
      <c r="M575" t="str">
        <f>IFERROR(INDEX('[4]31.03.2024'!$H:$H,MATCH($E575,'[4]31.03.2024'!$B:$B,0)),"Not found")</f>
        <v>Aktia Rahastoyhtiö Oy</v>
      </c>
      <c r="N575" t="str">
        <f>IFERROR(INDEX([2]Sheet1!$B:$B,MATCH($D575,[2]Sheet1!$A:$A,0)),"Not found")</f>
        <v>Retail</v>
      </c>
      <c r="O575">
        <f t="shared" si="25"/>
        <v>1</v>
      </c>
      <c r="P575">
        <f t="shared" si="26"/>
        <v>0</v>
      </c>
    </row>
    <row r="576" spans="1:16" x14ac:dyDescent="0.25">
      <c r="A576" t="s">
        <v>0</v>
      </c>
      <c r="B576" s="1">
        <v>41214</v>
      </c>
      <c r="C576" s="1">
        <v>45443</v>
      </c>
      <c r="D576" t="s">
        <v>3058</v>
      </c>
      <c r="E576" t="s">
        <v>3059</v>
      </c>
      <c r="F576">
        <v>17952</v>
      </c>
      <c r="G576">
        <v>25102142</v>
      </c>
      <c r="H576" t="s">
        <v>3</v>
      </c>
      <c r="I576" t="s">
        <v>4</v>
      </c>
      <c r="J576" t="s">
        <v>50</v>
      </c>
      <c r="K576" t="s">
        <v>2911</v>
      </c>
      <c r="L576">
        <f t="shared" ca="1" si="24"/>
        <v>11</v>
      </c>
      <c r="M576" t="str">
        <f>IFERROR(INDEX('[4]31.03.2024'!$H:$H,MATCH($E576,'[4]31.03.2024'!$B:$B,0)),"Not found")</f>
        <v>Nordea Funds Oy</v>
      </c>
      <c r="N576" t="str">
        <f>IFERROR(INDEX([2]Sheet1!$B:$B,MATCH($D576,[2]Sheet1!$A:$A,0)),"Not found")</f>
        <v>Retail</v>
      </c>
      <c r="O576">
        <f t="shared" si="25"/>
        <v>1</v>
      </c>
      <c r="P576">
        <f t="shared" si="26"/>
        <v>0</v>
      </c>
    </row>
    <row r="577" spans="1:16" x14ac:dyDescent="0.25">
      <c r="A577" t="s">
        <v>0</v>
      </c>
      <c r="B577" s="1">
        <v>41214</v>
      </c>
      <c r="C577" s="1">
        <v>45443</v>
      </c>
      <c r="D577" t="s">
        <v>3060</v>
      </c>
      <c r="E577" t="s">
        <v>3061</v>
      </c>
      <c r="F577">
        <v>17954</v>
      </c>
      <c r="G577">
        <v>25102185</v>
      </c>
      <c r="H577" t="s">
        <v>3</v>
      </c>
      <c r="I577" t="s">
        <v>4</v>
      </c>
      <c r="J577" t="s">
        <v>50</v>
      </c>
      <c r="K577" t="s">
        <v>2911</v>
      </c>
      <c r="L577">
        <f t="shared" ca="1" si="24"/>
        <v>11</v>
      </c>
      <c r="M577" t="str">
        <f>IFERROR(INDEX('[4]31.03.2024'!$H:$H,MATCH($E577,'[4]31.03.2024'!$B:$B,0)),"Not found")</f>
        <v>Nordea Funds Oy</v>
      </c>
      <c r="N577" t="str">
        <f>IFERROR(INDEX([2]Sheet1!$B:$B,MATCH($D577,[2]Sheet1!$A:$A,0)),"Not found")</f>
        <v>Retail</v>
      </c>
      <c r="O577">
        <f t="shared" si="25"/>
        <v>1</v>
      </c>
      <c r="P577">
        <f t="shared" si="26"/>
        <v>0</v>
      </c>
    </row>
    <row r="578" spans="1:16" x14ac:dyDescent="0.25">
      <c r="A578" t="s">
        <v>0</v>
      </c>
      <c r="B578" s="1">
        <v>41244</v>
      </c>
      <c r="C578" s="1">
        <v>45412</v>
      </c>
      <c r="D578" t="s">
        <v>3062</v>
      </c>
      <c r="E578" t="s">
        <v>3063</v>
      </c>
      <c r="F578">
        <v>17987</v>
      </c>
      <c r="G578">
        <v>25167077</v>
      </c>
      <c r="H578" t="s">
        <v>3</v>
      </c>
      <c r="I578" t="s">
        <v>4</v>
      </c>
      <c r="J578" t="s">
        <v>50</v>
      </c>
      <c r="K578" t="s">
        <v>2911</v>
      </c>
      <c r="L578">
        <f t="shared" ca="1" si="24"/>
        <v>11</v>
      </c>
      <c r="M578" t="str">
        <f>IFERROR(INDEX('[4]31.03.2024'!$H:$H,MATCH($E578,'[4]31.03.2024'!$B:$B,0)),"Not found")</f>
        <v>Evli-Rahastoyhtiö Oy</v>
      </c>
      <c r="N578" t="str">
        <f>IFERROR(INDEX([2]Sheet1!$B:$B,MATCH($D578,[2]Sheet1!$A:$A,0)),"Not found")</f>
        <v>Retail</v>
      </c>
      <c r="O578">
        <f t="shared" si="25"/>
        <v>1</v>
      </c>
      <c r="P578">
        <f t="shared" si="26"/>
        <v>0</v>
      </c>
    </row>
    <row r="579" spans="1:16" x14ac:dyDescent="0.25">
      <c r="A579" t="s">
        <v>0</v>
      </c>
      <c r="B579" s="1">
        <v>42186</v>
      </c>
      <c r="C579" s="1">
        <v>45443</v>
      </c>
      <c r="D579" t="s">
        <v>943</v>
      </c>
      <c r="E579" t="s">
        <v>3064</v>
      </c>
      <c r="F579">
        <v>25530</v>
      </c>
      <c r="G579">
        <v>26980107</v>
      </c>
      <c r="H579" t="s">
        <v>10</v>
      </c>
      <c r="I579" t="s">
        <v>4</v>
      </c>
      <c r="J579" t="s">
        <v>20</v>
      </c>
      <c r="K579" t="s">
        <v>2910</v>
      </c>
      <c r="L579">
        <f t="shared" ref="L579:L591" ca="1" si="27">IF($K579="Continues",DATEDIF($B579,TODAY(),"Y"),DATEDIF($B579,$C579,"Y"))</f>
        <v>8</v>
      </c>
      <c r="M579" t="str">
        <f>IFERROR(INDEX('[4]31.03.2024'!$H:$H,MATCH($E579,'[4]31.03.2024'!$B:$B,0)),"Not found")</f>
        <v>Aktia Rahastoyhtiö Oy</v>
      </c>
      <c r="N579" t="str">
        <f>IFERROR(INDEX([2]Sheet1!$B:$B,MATCH($D579,[2]Sheet1!$A:$A,0)),"Not found")</f>
        <v>Non-Retail</v>
      </c>
      <c r="O579">
        <f t="shared" ref="O579:O591" si="28">IF($N579="Retail",1,0)</f>
        <v>0</v>
      </c>
      <c r="P579">
        <f t="shared" ref="P579:P591" si="29">IF($N579="Non-Retail",1,0)</f>
        <v>1</v>
      </c>
    </row>
    <row r="580" spans="1:16" x14ac:dyDescent="0.25">
      <c r="A580" t="s">
        <v>7</v>
      </c>
      <c r="B580" s="1">
        <v>42614</v>
      </c>
      <c r="C580" s="1">
        <v>45473</v>
      </c>
      <c r="D580" t="s">
        <v>1142</v>
      </c>
      <c r="E580" t="s">
        <v>1143</v>
      </c>
      <c r="F580">
        <v>27378</v>
      </c>
      <c r="G580">
        <v>27771358</v>
      </c>
      <c r="H580" t="s">
        <v>10</v>
      </c>
      <c r="I580" t="s">
        <v>11</v>
      </c>
      <c r="J580" t="s">
        <v>29</v>
      </c>
      <c r="K580" t="s">
        <v>2910</v>
      </c>
      <c r="L580">
        <f t="shared" ca="1" si="27"/>
        <v>7</v>
      </c>
      <c r="M580" t="str">
        <f>IFERROR(INDEX('[4]31.03.2024'!$H:$H,MATCH($E580,'[4]31.03.2024'!$B:$B,0)),"Not found")</f>
        <v>S-Pankki Rahastoyhtiö Oy</v>
      </c>
      <c r="N580" t="str">
        <f>IFERROR(INDEX([2]Sheet1!$B:$B,MATCH($D580,[2]Sheet1!$A:$A,0)),"Not found")</f>
        <v>Non-Retail</v>
      </c>
      <c r="O580">
        <f t="shared" si="28"/>
        <v>0</v>
      </c>
      <c r="P580">
        <f t="shared" si="29"/>
        <v>1</v>
      </c>
    </row>
    <row r="581" spans="1:16" x14ac:dyDescent="0.25">
      <c r="A581" t="s">
        <v>7</v>
      </c>
      <c r="B581" s="1">
        <v>43800</v>
      </c>
      <c r="C581" s="1">
        <v>45473</v>
      </c>
      <c r="D581" t="s">
        <v>1776</v>
      </c>
      <c r="E581" t="s">
        <v>1777</v>
      </c>
      <c r="F581">
        <v>30717</v>
      </c>
      <c r="G581">
        <v>28760634</v>
      </c>
      <c r="H581" t="s">
        <v>10</v>
      </c>
      <c r="I581" t="s">
        <v>11</v>
      </c>
      <c r="J581" t="s">
        <v>29</v>
      </c>
      <c r="K581" t="s">
        <v>2910</v>
      </c>
      <c r="L581">
        <f t="shared" ca="1" si="27"/>
        <v>4</v>
      </c>
      <c r="M581" t="str">
        <f>IFERROR(INDEX('[4]31.03.2024'!$H:$H,MATCH($E581,'[4]31.03.2024'!$B:$B,0)),"Not found")</f>
        <v>S-Pankki Rahastoyhtiö Oy</v>
      </c>
      <c r="N581" t="str">
        <f>IFERROR(INDEX([2]Sheet1!$B:$B,MATCH($D581,[2]Sheet1!$A:$A,0)),"Not found")</f>
        <v>Non-Retail</v>
      </c>
      <c r="O581">
        <f t="shared" si="28"/>
        <v>0</v>
      </c>
      <c r="P581">
        <f t="shared" si="29"/>
        <v>1</v>
      </c>
    </row>
    <row r="582" spans="1:16" x14ac:dyDescent="0.25">
      <c r="A582" t="s">
        <v>0</v>
      </c>
      <c r="B582" s="1">
        <v>44378</v>
      </c>
      <c r="C582" s="1">
        <v>45412</v>
      </c>
      <c r="D582" t="s">
        <v>2019</v>
      </c>
      <c r="E582" t="s">
        <v>2020</v>
      </c>
      <c r="F582">
        <v>41430</v>
      </c>
      <c r="G582">
        <v>32114555</v>
      </c>
      <c r="H582" t="s">
        <v>10</v>
      </c>
      <c r="I582" t="s">
        <v>4</v>
      </c>
      <c r="J582" t="s">
        <v>20</v>
      </c>
      <c r="K582" t="s">
        <v>2910</v>
      </c>
      <c r="L582">
        <f t="shared" ca="1" si="27"/>
        <v>2</v>
      </c>
      <c r="M582" t="str">
        <f>IFERROR(INDEX('[4]31.03.2024'!$H:$H,MATCH($E582,'[4]31.03.2024'!$B:$B,0)),"Not found")</f>
        <v>GRIT Rahastoyhtiö Oy</v>
      </c>
      <c r="N582" t="str">
        <f>IFERROR(INDEX([2]Sheet1!$B:$B,MATCH($D582,[2]Sheet1!$A:$A,0)),"Not found")</f>
        <v>Non-Retail</v>
      </c>
      <c r="O582">
        <f t="shared" si="28"/>
        <v>0</v>
      </c>
      <c r="P582">
        <f t="shared" si="29"/>
        <v>1</v>
      </c>
    </row>
    <row r="583" spans="1:16" x14ac:dyDescent="0.25">
      <c r="A583" t="s">
        <v>0</v>
      </c>
      <c r="B583" s="1">
        <v>39783</v>
      </c>
      <c r="C583" s="1">
        <v>45565</v>
      </c>
      <c r="D583" t="s">
        <v>3123</v>
      </c>
      <c r="E583" t="s">
        <v>3124</v>
      </c>
      <c r="F583">
        <v>13387</v>
      </c>
      <c r="G583">
        <v>20609614</v>
      </c>
      <c r="H583" t="s">
        <v>3</v>
      </c>
      <c r="I583" t="s">
        <v>4</v>
      </c>
      <c r="J583" t="s">
        <v>50</v>
      </c>
      <c r="K583" t="s">
        <v>2911</v>
      </c>
      <c r="L583">
        <f t="shared" ca="1" si="27"/>
        <v>15</v>
      </c>
      <c r="M583" t="str">
        <f>IFERROR(INDEX('[4]31.03.2024'!$H:$H,MATCH($E583,'[4]31.03.2024'!$B:$B,0)),"Not found")</f>
        <v>OP-Rahastoyhtiö Oy</v>
      </c>
      <c r="N583" t="str">
        <f>IFERROR(INDEX([2]Sheet1!$B:$B,MATCH($D583,[2]Sheet1!$A:$A,0)),"Not found")</f>
        <v>Retail</v>
      </c>
      <c r="O583">
        <f t="shared" si="28"/>
        <v>1</v>
      </c>
      <c r="P583">
        <f t="shared" si="29"/>
        <v>0</v>
      </c>
    </row>
    <row r="584" spans="1:16" x14ac:dyDescent="0.25">
      <c r="A584" t="s">
        <v>0</v>
      </c>
      <c r="B584" s="1">
        <v>40179</v>
      </c>
      <c r="C584" s="1">
        <v>45565</v>
      </c>
      <c r="D584" t="s">
        <v>3125</v>
      </c>
      <c r="E584" t="s">
        <v>3126</v>
      </c>
      <c r="F584">
        <v>15833</v>
      </c>
      <c r="G584">
        <v>23070589</v>
      </c>
      <c r="H584" t="s">
        <v>10</v>
      </c>
      <c r="I584" t="s">
        <v>4</v>
      </c>
      <c r="J584" t="s">
        <v>50</v>
      </c>
      <c r="K584" t="s">
        <v>2911</v>
      </c>
      <c r="L584">
        <f t="shared" ca="1" si="27"/>
        <v>14</v>
      </c>
      <c r="M584" t="str">
        <f>IFERROR(INDEX('[4]31.03.2024'!$H:$H,MATCH($E584,'[4]31.03.2024'!$B:$B,0)),"Not found")</f>
        <v>OP-Rahastoyhtiö Oy</v>
      </c>
      <c r="N584" t="str">
        <f>IFERROR(INDEX([2]Sheet1!$B:$B,MATCH($D584,[2]Sheet1!$A:$A,0)),"Not found")</f>
        <v>Retail</v>
      </c>
      <c r="O584">
        <f t="shared" si="28"/>
        <v>1</v>
      </c>
      <c r="P584">
        <f t="shared" si="29"/>
        <v>0</v>
      </c>
    </row>
    <row r="585" spans="1:16" x14ac:dyDescent="0.25">
      <c r="A585" t="s">
        <v>0</v>
      </c>
      <c r="B585" s="1">
        <v>41000</v>
      </c>
      <c r="C585" s="1">
        <v>45565</v>
      </c>
      <c r="D585" t="s">
        <v>3127</v>
      </c>
      <c r="E585" t="s">
        <v>3128</v>
      </c>
      <c r="F585">
        <v>17408</v>
      </c>
      <c r="G585">
        <v>24510240</v>
      </c>
      <c r="H585" t="s">
        <v>3</v>
      </c>
      <c r="I585" t="s">
        <v>4</v>
      </c>
      <c r="J585" t="s">
        <v>50</v>
      </c>
      <c r="K585" t="s">
        <v>2911</v>
      </c>
      <c r="L585">
        <f t="shared" ca="1" si="27"/>
        <v>12</v>
      </c>
      <c r="M585" t="str">
        <f>IFERROR(INDEX('[4]31.03.2024'!$H:$H,MATCH($E585,'[4]31.03.2024'!$B:$B,0)),"Not found")</f>
        <v>OP-Rahastoyhtiö Oy</v>
      </c>
      <c r="N585" t="str">
        <f>IFERROR(INDEX([2]Sheet1!$B:$B,MATCH($D585,[2]Sheet1!$A:$A,0)),"Not found")</f>
        <v>Retail</v>
      </c>
      <c r="O585">
        <f t="shared" si="28"/>
        <v>1</v>
      </c>
      <c r="P585">
        <f t="shared" si="29"/>
        <v>0</v>
      </c>
    </row>
    <row r="586" spans="1:16" x14ac:dyDescent="0.25">
      <c r="A586" t="s">
        <v>0</v>
      </c>
      <c r="B586" s="1">
        <v>41214</v>
      </c>
      <c r="C586" s="1">
        <v>45565</v>
      </c>
      <c r="D586" t="s">
        <v>3129</v>
      </c>
      <c r="E586" t="s">
        <v>3130</v>
      </c>
      <c r="F586">
        <v>17953</v>
      </c>
      <c r="G586">
        <v>25102177</v>
      </c>
      <c r="H586" t="s">
        <v>3</v>
      </c>
      <c r="I586" t="s">
        <v>4</v>
      </c>
      <c r="J586" t="s">
        <v>50</v>
      </c>
      <c r="K586" t="s">
        <v>2911</v>
      </c>
      <c r="L586">
        <f t="shared" ca="1" si="27"/>
        <v>11</v>
      </c>
      <c r="M586" t="str">
        <f>IFERROR(INDEX('[4]31.03.2024'!$H:$H,MATCH($E586,'[4]31.03.2024'!$B:$B,0)),"Not found")</f>
        <v>Nordea Funds Oy</v>
      </c>
      <c r="N586" t="str">
        <f>IFERROR(INDEX([2]Sheet1!$B:$B,MATCH($D586,[2]Sheet1!$A:$A,0)),"Not found")</f>
        <v>Retail</v>
      </c>
      <c r="O586">
        <f t="shared" si="28"/>
        <v>1</v>
      </c>
      <c r="P586">
        <f t="shared" si="29"/>
        <v>0</v>
      </c>
    </row>
    <row r="587" spans="1:16" x14ac:dyDescent="0.25">
      <c r="A587" t="s">
        <v>0</v>
      </c>
      <c r="B587" s="1">
        <v>41365</v>
      </c>
      <c r="C587" s="1">
        <v>45535</v>
      </c>
      <c r="D587" t="s">
        <v>339</v>
      </c>
      <c r="E587" t="s">
        <v>3131</v>
      </c>
      <c r="F587">
        <v>18269</v>
      </c>
      <c r="G587">
        <v>25385891</v>
      </c>
      <c r="H587" t="s">
        <v>3</v>
      </c>
      <c r="I587" t="s">
        <v>4</v>
      </c>
      <c r="J587" t="s">
        <v>20</v>
      </c>
      <c r="K587" t="s">
        <v>2911</v>
      </c>
      <c r="L587">
        <f t="shared" ca="1" si="27"/>
        <v>11</v>
      </c>
      <c r="M587" t="str">
        <f>IFERROR(INDEX('[4]31.03.2024'!$H:$H,MATCH($E587,'[4]31.03.2024'!$B:$B,0)),"Not found")</f>
        <v>Fourton Oy</v>
      </c>
      <c r="N587" t="str">
        <f>IFERROR(INDEX([2]Sheet1!$B:$B,MATCH($D587,[2]Sheet1!$A:$A,0)),"Not found")</f>
        <v>Retail</v>
      </c>
      <c r="O587">
        <f t="shared" si="28"/>
        <v>1</v>
      </c>
      <c r="P587">
        <f t="shared" si="29"/>
        <v>0</v>
      </c>
    </row>
    <row r="588" spans="1:16" x14ac:dyDescent="0.25">
      <c r="A588" t="s">
        <v>0</v>
      </c>
      <c r="B588" s="1">
        <v>42705</v>
      </c>
      <c r="C588" s="1">
        <v>45565</v>
      </c>
      <c r="D588" t="s">
        <v>1162</v>
      </c>
      <c r="E588" t="s">
        <v>1163</v>
      </c>
      <c r="F588">
        <v>27547</v>
      </c>
      <c r="G588">
        <v>27889313</v>
      </c>
      <c r="H588" t="s">
        <v>3</v>
      </c>
      <c r="I588" t="s">
        <v>4</v>
      </c>
      <c r="J588" t="s">
        <v>20</v>
      </c>
      <c r="K588" t="s">
        <v>2911</v>
      </c>
      <c r="L588">
        <f t="shared" ca="1" si="27"/>
        <v>7</v>
      </c>
      <c r="M588" t="str">
        <f>IFERROR(INDEX('[4]31.03.2024'!$H:$H,MATCH($E588,'[4]31.03.2024'!$B:$B,0)),"Not found")</f>
        <v>OP-Rahastoyhtiö Oy</v>
      </c>
      <c r="N588" t="str">
        <f>IFERROR(INDEX([2]Sheet1!$B:$B,MATCH($D588,[2]Sheet1!$A:$A,0)),"Not found")</f>
        <v>Retail</v>
      </c>
      <c r="O588">
        <f t="shared" si="28"/>
        <v>1</v>
      </c>
      <c r="P588">
        <f t="shared" si="29"/>
        <v>0</v>
      </c>
    </row>
    <row r="589" spans="1:16" x14ac:dyDescent="0.25">
      <c r="A589" t="s">
        <v>0</v>
      </c>
      <c r="B589" s="1">
        <v>43101</v>
      </c>
      <c r="C589" s="1">
        <v>45565</v>
      </c>
      <c r="D589" t="s">
        <v>1380</v>
      </c>
      <c r="E589" t="s">
        <v>1381</v>
      </c>
      <c r="F589">
        <v>28622</v>
      </c>
      <c r="G589">
        <v>28680108</v>
      </c>
      <c r="H589" t="s">
        <v>3</v>
      </c>
      <c r="I589" t="s">
        <v>4</v>
      </c>
      <c r="J589" t="s">
        <v>50</v>
      </c>
      <c r="K589" t="s">
        <v>2911</v>
      </c>
      <c r="L589">
        <f t="shared" ca="1" si="27"/>
        <v>6</v>
      </c>
      <c r="M589" t="str">
        <f>IFERROR(INDEX('[4]31.03.2024'!$H:$H,MATCH($E589,'[4]31.03.2024'!$B:$B,0)),"Not found")</f>
        <v>OP-Rahastoyhtiö Oy</v>
      </c>
      <c r="N589" t="str">
        <f>IFERROR(INDEX([2]Sheet1!$B:$B,MATCH($D589,[2]Sheet1!$A:$A,0)),"Not found")</f>
        <v>Retail</v>
      </c>
      <c r="O589">
        <f t="shared" si="28"/>
        <v>1</v>
      </c>
      <c r="P589">
        <f t="shared" si="29"/>
        <v>0</v>
      </c>
    </row>
    <row r="590" spans="1:16" x14ac:dyDescent="0.25">
      <c r="A590" t="s">
        <v>0</v>
      </c>
      <c r="B590" s="1">
        <v>39783</v>
      </c>
      <c r="C590" s="1">
        <v>45626</v>
      </c>
      <c r="D590" t="s">
        <v>3168</v>
      </c>
      <c r="E590" t="s">
        <v>3169</v>
      </c>
      <c r="F590">
        <v>13232</v>
      </c>
      <c r="G590">
        <v>20408361</v>
      </c>
      <c r="H590" t="s">
        <v>3</v>
      </c>
      <c r="I590" t="s">
        <v>4</v>
      </c>
      <c r="J590" t="s">
        <v>20</v>
      </c>
      <c r="K590" t="s">
        <v>2911</v>
      </c>
      <c r="L590">
        <f t="shared" ca="1" si="27"/>
        <v>15</v>
      </c>
      <c r="M590" t="str">
        <f>IFERROR(INDEX('[4]31.03.2024'!$H:$H,MATCH($E590,'[4]31.03.2024'!$B:$B,0)),"Not found")</f>
        <v>Danske Invest Rahastoyhtiö Oy</v>
      </c>
      <c r="N590" t="str">
        <f>IFERROR(INDEX([2]Sheet1!$B:$B,MATCH($D590,[2]Sheet1!$A:$A,0)),"Not found")</f>
        <v>Retail</v>
      </c>
      <c r="O590">
        <f t="shared" si="28"/>
        <v>1</v>
      </c>
      <c r="P590">
        <f t="shared" si="29"/>
        <v>0</v>
      </c>
    </row>
    <row r="591" spans="1:16" x14ac:dyDescent="0.25">
      <c r="A591" t="s">
        <v>0</v>
      </c>
      <c r="B591" s="1">
        <v>39783</v>
      </c>
      <c r="C591" s="1">
        <v>45626</v>
      </c>
      <c r="D591" t="s">
        <v>3170</v>
      </c>
      <c r="E591" t="s">
        <v>3171</v>
      </c>
      <c r="F591">
        <v>13374</v>
      </c>
      <c r="G591">
        <v>20594133</v>
      </c>
      <c r="H591" t="s">
        <v>3</v>
      </c>
      <c r="I591" t="s">
        <v>4</v>
      </c>
      <c r="J591" t="s">
        <v>20</v>
      </c>
      <c r="K591" t="s">
        <v>2911</v>
      </c>
      <c r="L591">
        <f t="shared" ca="1" si="27"/>
        <v>15</v>
      </c>
      <c r="M591" t="str">
        <f>IFERROR(INDEX('[4]31.03.2024'!$H:$H,MATCH($E591,'[4]31.03.2024'!$B:$B,0)),"Not found")</f>
        <v>Danske Invest Rahastoyhtiö Oy</v>
      </c>
      <c r="N591" t="str">
        <f>IFERROR(INDEX([2]Sheet1!$B:$B,MATCH($D591,[2]Sheet1!$A:$A,0)),"Not found")</f>
        <v>Retail</v>
      </c>
      <c r="O591">
        <f t="shared" si="28"/>
        <v>1</v>
      </c>
      <c r="P591">
        <f t="shared" si="29"/>
        <v>0</v>
      </c>
    </row>
  </sheetData>
  <autoFilter ref="A1:P569" xr:uid="{C9F6D5B0-45CA-4C4B-9B5A-1B973457FDD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5D0-34C8-47FC-A635-71A90CCE2A56}">
  <dimension ref="A1:AH1108"/>
  <sheetViews>
    <sheetView topLeftCell="B1" workbookViewId="0">
      <selection activeCell="T1111" sqref="T1110:T1111"/>
    </sheetView>
  </sheetViews>
  <sheetFormatPr defaultRowHeight="15" x14ac:dyDescent="0.25"/>
  <cols>
    <col min="1" max="1" width="81.28515625" bestFit="1" customWidth="1"/>
    <col min="2" max="2" width="21.7109375" bestFit="1" customWidth="1"/>
    <col min="15" max="15" width="11.42578125" bestFit="1" customWidth="1"/>
    <col min="17" max="17" width="49.5703125" bestFit="1" customWidth="1"/>
    <col min="33" max="33" width="8.140625" style="22" customWidth="1"/>
    <col min="34" max="34" width="11.28515625" style="22" customWidth="1"/>
  </cols>
  <sheetData>
    <row r="1" spans="1:31" x14ac:dyDescent="0.25">
      <c r="A1" s="9" t="s">
        <v>69</v>
      </c>
      <c r="B1" s="7" t="s">
        <v>2714</v>
      </c>
      <c r="C1" s="8" t="s">
        <v>2715</v>
      </c>
      <c r="D1" s="8" t="s">
        <v>2716</v>
      </c>
      <c r="E1" s="27" t="s">
        <v>2896</v>
      </c>
      <c r="F1" s="27" t="s">
        <v>2897</v>
      </c>
      <c r="G1" s="8" t="s">
        <v>80</v>
      </c>
      <c r="H1" s="8" t="s">
        <v>20</v>
      </c>
      <c r="I1" s="8" t="s">
        <v>29</v>
      </c>
      <c r="J1" s="8" t="s">
        <v>50</v>
      </c>
      <c r="K1" s="8" t="s">
        <v>32</v>
      </c>
      <c r="L1" s="8" t="s">
        <v>47</v>
      </c>
      <c r="M1" s="8" t="s">
        <v>12</v>
      </c>
      <c r="N1" s="8" t="s">
        <v>5</v>
      </c>
      <c r="O1" s="10" t="s">
        <v>2713</v>
      </c>
      <c r="AA1" s="8" t="s">
        <v>2717</v>
      </c>
      <c r="AB1" s="8" t="s">
        <v>6</v>
      </c>
      <c r="AC1" s="8" t="s">
        <v>13</v>
      </c>
      <c r="AD1" s="18" t="s">
        <v>68</v>
      </c>
      <c r="AE1" s="18" t="s">
        <v>67</v>
      </c>
    </row>
    <row r="2" spans="1:31" ht="18.75" x14ac:dyDescent="0.3">
      <c r="A2" s="12" t="s">
        <v>243</v>
      </c>
      <c r="B2" s="11">
        <v>0</v>
      </c>
      <c r="C2" s="13">
        <v>0</v>
      </c>
      <c r="D2" s="13">
        <v>0</v>
      </c>
      <c r="E2" s="28">
        <v>0</v>
      </c>
      <c r="F2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1</v>
      </c>
      <c r="N2" s="13">
        <v>0</v>
      </c>
      <c r="O2">
        <v>34</v>
      </c>
      <c r="Q2" s="26" t="s">
        <v>2743</v>
      </c>
      <c r="AA2">
        <v>0</v>
      </c>
      <c r="AB2">
        <v>0</v>
      </c>
      <c r="AC2">
        <v>1</v>
      </c>
      <c r="AD2" s="19">
        <v>43100</v>
      </c>
      <c r="AE2" s="19">
        <v>41974</v>
      </c>
    </row>
    <row r="3" spans="1:31" ht="15.75" thickBot="1" x14ac:dyDescent="0.3">
      <c r="A3" s="15" t="s">
        <v>245</v>
      </c>
      <c r="B3" s="14">
        <v>0</v>
      </c>
      <c r="C3" s="16">
        <v>0</v>
      </c>
      <c r="D3" s="16">
        <v>0</v>
      </c>
      <c r="E3">
        <v>0</v>
      </c>
      <c r="F3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1</v>
      </c>
      <c r="N3" s="16">
        <v>0</v>
      </c>
      <c r="O3">
        <v>24</v>
      </c>
      <c r="AA3">
        <v>0</v>
      </c>
      <c r="AB3">
        <v>0</v>
      </c>
      <c r="AC3">
        <v>1</v>
      </c>
      <c r="AD3" s="20">
        <v>42735</v>
      </c>
      <c r="AE3" s="20">
        <v>41974</v>
      </c>
    </row>
    <row r="4" spans="1:31" x14ac:dyDescent="0.25">
      <c r="A4" s="12" t="s">
        <v>247</v>
      </c>
      <c r="B4" s="11">
        <v>0</v>
      </c>
      <c r="C4" s="13">
        <v>0</v>
      </c>
      <c r="D4" s="13">
        <v>0</v>
      </c>
      <c r="E4" s="28">
        <v>0</v>
      </c>
      <c r="F4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1</v>
      </c>
      <c r="N4" s="13">
        <v>0</v>
      </c>
      <c r="O4">
        <v>12</v>
      </c>
      <c r="Q4" s="25" t="s">
        <v>2718</v>
      </c>
      <c r="R4" s="25"/>
      <c r="AA4">
        <v>0</v>
      </c>
      <c r="AB4">
        <v>0</v>
      </c>
      <c r="AC4">
        <v>1</v>
      </c>
      <c r="AD4" s="19">
        <v>42369</v>
      </c>
      <c r="AE4" s="19">
        <v>41974</v>
      </c>
    </row>
    <row r="5" spans="1:31" x14ac:dyDescent="0.25">
      <c r="A5" s="15" t="s">
        <v>249</v>
      </c>
      <c r="B5" s="14">
        <v>0</v>
      </c>
      <c r="C5" s="16">
        <v>0</v>
      </c>
      <c r="D5" s="16">
        <v>0</v>
      </c>
      <c r="E5">
        <v>0</v>
      </c>
      <c r="F5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1</v>
      </c>
      <c r="N5" s="16">
        <v>0</v>
      </c>
      <c r="O5">
        <v>55</v>
      </c>
      <c r="Q5" t="s">
        <v>2719</v>
      </c>
      <c r="R5">
        <v>0.35843581601544777</v>
      </c>
      <c r="AA5">
        <v>0</v>
      </c>
      <c r="AB5">
        <v>0</v>
      </c>
      <c r="AC5">
        <v>1</v>
      </c>
      <c r="AD5" s="20">
        <v>43738</v>
      </c>
      <c r="AE5" s="20">
        <v>41974</v>
      </c>
    </row>
    <row r="6" spans="1:31" x14ac:dyDescent="0.25">
      <c r="A6" s="12" t="s">
        <v>251</v>
      </c>
      <c r="B6" s="11">
        <v>0</v>
      </c>
      <c r="C6" s="13">
        <v>0</v>
      </c>
      <c r="D6" s="13">
        <v>0</v>
      </c>
      <c r="E6" s="28">
        <v>0</v>
      </c>
      <c r="F6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1</v>
      </c>
      <c r="N6" s="13">
        <v>0</v>
      </c>
      <c r="O6">
        <v>11</v>
      </c>
      <c r="Q6" t="s">
        <v>2720</v>
      </c>
      <c r="R6">
        <v>0.12847623420265991</v>
      </c>
      <c r="AA6">
        <v>0</v>
      </c>
      <c r="AB6">
        <v>0</v>
      </c>
      <c r="AC6">
        <v>1</v>
      </c>
      <c r="AD6" s="19">
        <v>42369</v>
      </c>
      <c r="AE6" s="19">
        <v>41974</v>
      </c>
    </row>
    <row r="7" spans="1:31" x14ac:dyDescent="0.25">
      <c r="A7" s="15" t="s">
        <v>253</v>
      </c>
      <c r="B7" s="14">
        <v>0</v>
      </c>
      <c r="C7" s="16">
        <v>0</v>
      </c>
      <c r="D7" s="16">
        <v>0</v>
      </c>
      <c r="E7">
        <v>0</v>
      </c>
      <c r="F7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1</v>
      </c>
      <c r="N7" s="16">
        <v>0</v>
      </c>
      <c r="O7">
        <v>55</v>
      </c>
      <c r="Q7" t="s">
        <v>2721</v>
      </c>
      <c r="R7">
        <v>0.12364784768854722</v>
      </c>
      <c r="AA7">
        <v>0</v>
      </c>
      <c r="AB7">
        <v>0</v>
      </c>
      <c r="AC7">
        <v>1</v>
      </c>
      <c r="AD7" s="20">
        <v>43738</v>
      </c>
      <c r="AE7" s="20">
        <v>41974</v>
      </c>
    </row>
    <row r="8" spans="1:31" x14ac:dyDescent="0.25">
      <c r="A8" s="12" t="s">
        <v>255</v>
      </c>
      <c r="B8" s="11">
        <v>0</v>
      </c>
      <c r="C8" s="13">
        <v>0</v>
      </c>
      <c r="D8" s="13">
        <v>0</v>
      </c>
      <c r="E8" s="28">
        <v>0</v>
      </c>
      <c r="F8">
        <v>0</v>
      </c>
      <c r="G8" s="13">
        <v>0</v>
      </c>
      <c r="H8" s="13">
        <v>0</v>
      </c>
      <c r="I8" s="13">
        <v>0</v>
      </c>
      <c r="J8" s="13">
        <v>0</v>
      </c>
      <c r="K8" s="13">
        <v>1</v>
      </c>
      <c r="L8" s="13">
        <v>0</v>
      </c>
      <c r="M8" s="13">
        <v>0</v>
      </c>
      <c r="N8" s="13">
        <v>0</v>
      </c>
      <c r="O8">
        <v>72</v>
      </c>
      <c r="Q8" t="s">
        <v>2722</v>
      </c>
      <c r="R8">
        <v>32.523922260845964</v>
      </c>
      <c r="AA8">
        <v>0</v>
      </c>
      <c r="AB8">
        <v>0</v>
      </c>
      <c r="AC8">
        <v>1</v>
      </c>
      <c r="AD8" s="19">
        <v>44196</v>
      </c>
      <c r="AE8" s="19">
        <v>41974</v>
      </c>
    </row>
    <row r="9" spans="1:31" ht="15.75" thickBot="1" x14ac:dyDescent="0.3">
      <c r="A9" s="15" t="s">
        <v>257</v>
      </c>
      <c r="B9" s="14">
        <v>1</v>
      </c>
      <c r="C9" s="16">
        <v>1</v>
      </c>
      <c r="D9" s="16">
        <v>1</v>
      </c>
      <c r="E9">
        <v>1</v>
      </c>
      <c r="F9">
        <v>0</v>
      </c>
      <c r="G9" s="16">
        <v>0</v>
      </c>
      <c r="H9" s="16">
        <v>0</v>
      </c>
      <c r="I9" s="16">
        <v>0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>
        <v>120</v>
      </c>
      <c r="Q9" s="23" t="s">
        <v>2723</v>
      </c>
      <c r="R9" s="23">
        <v>1090</v>
      </c>
      <c r="AA9">
        <v>0</v>
      </c>
      <c r="AB9">
        <v>0</v>
      </c>
      <c r="AC9">
        <v>1</v>
      </c>
      <c r="AD9" s="20">
        <v>55153</v>
      </c>
      <c r="AE9" s="20">
        <v>43466</v>
      </c>
    </row>
    <row r="10" spans="1:31" x14ac:dyDescent="0.25">
      <c r="A10" s="12" t="s">
        <v>259</v>
      </c>
      <c r="B10" s="11">
        <v>1</v>
      </c>
      <c r="C10" s="13">
        <v>1</v>
      </c>
      <c r="D10" s="13">
        <v>1</v>
      </c>
      <c r="E10" s="28">
        <v>1</v>
      </c>
      <c r="F10">
        <v>0</v>
      </c>
      <c r="G10" s="13">
        <v>0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>
        <v>76</v>
      </c>
      <c r="AA10">
        <v>0</v>
      </c>
      <c r="AB10">
        <v>0</v>
      </c>
      <c r="AC10">
        <v>1</v>
      </c>
      <c r="AD10" s="19">
        <v>55153</v>
      </c>
      <c r="AE10" s="19">
        <v>43466</v>
      </c>
    </row>
    <row r="11" spans="1:31" ht="15.75" thickBot="1" x14ac:dyDescent="0.3">
      <c r="A11" s="15" t="s">
        <v>261</v>
      </c>
      <c r="B11" s="14">
        <v>0</v>
      </c>
      <c r="C11" s="16">
        <v>0</v>
      </c>
      <c r="D11" s="16">
        <v>0</v>
      </c>
      <c r="E11">
        <v>0</v>
      </c>
      <c r="F11">
        <v>0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>
        <v>81</v>
      </c>
      <c r="Q11" t="s">
        <v>2724</v>
      </c>
      <c r="AA11">
        <v>0</v>
      </c>
      <c r="AB11">
        <v>0</v>
      </c>
      <c r="AC11">
        <v>1</v>
      </c>
      <c r="AD11" s="20">
        <v>44469</v>
      </c>
      <c r="AE11" s="20">
        <v>41974</v>
      </c>
    </row>
    <row r="12" spans="1:31" x14ac:dyDescent="0.25">
      <c r="A12" s="12" t="s">
        <v>263</v>
      </c>
      <c r="B12" s="11">
        <v>0</v>
      </c>
      <c r="C12" s="13">
        <v>0</v>
      </c>
      <c r="D12" s="13">
        <v>0</v>
      </c>
      <c r="E12" s="28">
        <v>0</v>
      </c>
      <c r="F12">
        <v>0</v>
      </c>
      <c r="G12" s="13">
        <v>1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>
        <v>34</v>
      </c>
      <c r="Q12" s="24"/>
      <c r="R12" s="24" t="s">
        <v>2729</v>
      </c>
      <c r="S12" s="24" t="s">
        <v>2730</v>
      </c>
      <c r="T12" s="24" t="s">
        <v>2731</v>
      </c>
      <c r="U12" s="24" t="s">
        <v>2732</v>
      </c>
      <c r="V12" s="24" t="s">
        <v>2733</v>
      </c>
      <c r="AA12">
        <v>0</v>
      </c>
      <c r="AB12">
        <v>0</v>
      </c>
      <c r="AC12">
        <v>1</v>
      </c>
      <c r="AD12" s="19">
        <v>43100</v>
      </c>
      <c r="AE12" s="19">
        <v>41974</v>
      </c>
    </row>
    <row r="13" spans="1:31" x14ac:dyDescent="0.25">
      <c r="A13" s="15" t="s">
        <v>265</v>
      </c>
      <c r="B13" s="14">
        <v>1</v>
      </c>
      <c r="C13" s="16">
        <v>1</v>
      </c>
      <c r="D13" s="16">
        <v>1</v>
      </c>
      <c r="E13">
        <v>1</v>
      </c>
      <c r="F13">
        <v>0</v>
      </c>
      <c r="G13" s="16">
        <v>0</v>
      </c>
      <c r="H13" s="16">
        <v>0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>
        <v>120</v>
      </c>
      <c r="Q13" t="s">
        <v>2725</v>
      </c>
      <c r="R13">
        <v>6</v>
      </c>
      <c r="S13">
        <v>168879.85570191289</v>
      </c>
      <c r="T13">
        <v>28146.642616985482</v>
      </c>
      <c r="U13">
        <v>26.608523121987464</v>
      </c>
      <c r="V13">
        <v>1.1436155290823169E-29</v>
      </c>
      <c r="AA13">
        <v>0</v>
      </c>
      <c r="AB13">
        <v>0</v>
      </c>
      <c r="AC13">
        <v>1</v>
      </c>
      <c r="AD13" s="20">
        <v>55153</v>
      </c>
      <c r="AE13" s="20">
        <v>43466</v>
      </c>
    </row>
    <row r="14" spans="1:31" x14ac:dyDescent="0.25">
      <c r="A14" s="12" t="s">
        <v>267</v>
      </c>
      <c r="B14" s="11">
        <v>1</v>
      </c>
      <c r="C14" s="13">
        <v>1</v>
      </c>
      <c r="D14" s="13">
        <v>1</v>
      </c>
      <c r="E14" s="28">
        <v>0</v>
      </c>
      <c r="F14">
        <v>0</v>
      </c>
      <c r="G14" s="13">
        <v>0</v>
      </c>
      <c r="H14" s="13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>
        <v>100</v>
      </c>
      <c r="Q14" t="s">
        <v>2726</v>
      </c>
      <c r="R14">
        <v>1083</v>
      </c>
      <c r="S14">
        <v>1145603.3773256044</v>
      </c>
      <c r="T14">
        <v>1057.8055192295517</v>
      </c>
      <c r="AA14">
        <v>0</v>
      </c>
      <c r="AB14">
        <v>1</v>
      </c>
      <c r="AC14">
        <v>0</v>
      </c>
      <c r="AD14" s="19">
        <v>44165</v>
      </c>
      <c r="AE14" s="19">
        <v>42856</v>
      </c>
    </row>
    <row r="15" spans="1:31" ht="15.75" thickBot="1" x14ac:dyDescent="0.3">
      <c r="A15" s="15" t="s">
        <v>269</v>
      </c>
      <c r="B15" s="14">
        <v>1</v>
      </c>
      <c r="C15" s="16">
        <v>1</v>
      </c>
      <c r="D15" s="16">
        <v>1</v>
      </c>
      <c r="E15">
        <v>1</v>
      </c>
      <c r="F15">
        <v>0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>
        <v>118</v>
      </c>
      <c r="Q15" s="23" t="s">
        <v>2727</v>
      </c>
      <c r="R15" s="23">
        <v>1089</v>
      </c>
      <c r="S15" s="23">
        <v>1314483.2330275173</v>
      </c>
      <c r="T15" s="23"/>
      <c r="U15" s="23"/>
      <c r="V15" s="23"/>
      <c r="AA15">
        <v>0</v>
      </c>
      <c r="AB15">
        <v>0</v>
      </c>
      <c r="AC15">
        <v>1</v>
      </c>
      <c r="AD15" s="20">
        <v>55153</v>
      </c>
      <c r="AE15" s="20">
        <v>43466</v>
      </c>
    </row>
    <row r="16" spans="1:31" ht="15.75" thickBot="1" x14ac:dyDescent="0.3">
      <c r="A16" s="12" t="s">
        <v>271</v>
      </c>
      <c r="B16" s="11">
        <v>1</v>
      </c>
      <c r="C16" s="13">
        <v>1</v>
      </c>
      <c r="D16" s="13">
        <v>1</v>
      </c>
      <c r="E16" s="28">
        <v>1</v>
      </c>
      <c r="F16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0</v>
      </c>
      <c r="M16" s="13">
        <v>0</v>
      </c>
      <c r="N16" s="13">
        <v>0</v>
      </c>
      <c r="O16">
        <v>115</v>
      </c>
      <c r="AA16">
        <v>0</v>
      </c>
      <c r="AB16">
        <v>0</v>
      </c>
      <c r="AC16">
        <v>1</v>
      </c>
      <c r="AD16" s="19">
        <v>55153</v>
      </c>
      <c r="AE16" s="19">
        <v>43466</v>
      </c>
    </row>
    <row r="17" spans="1:31" x14ac:dyDescent="0.25">
      <c r="A17" s="15" t="s">
        <v>273</v>
      </c>
      <c r="B17" s="14">
        <v>0</v>
      </c>
      <c r="C17" s="16">
        <v>0</v>
      </c>
      <c r="D17" s="16">
        <v>0</v>
      </c>
      <c r="E17">
        <v>0</v>
      </c>
      <c r="F17">
        <v>1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0</v>
      </c>
      <c r="M17" s="16">
        <v>0</v>
      </c>
      <c r="N17" s="16">
        <v>0</v>
      </c>
      <c r="O17">
        <v>113</v>
      </c>
      <c r="Q17" s="24"/>
      <c r="R17" s="24" t="s">
        <v>2734</v>
      </c>
      <c r="S17" s="24" t="s">
        <v>2722</v>
      </c>
      <c r="T17" s="24" t="s">
        <v>2735</v>
      </c>
      <c r="U17" s="24" t="s">
        <v>2736</v>
      </c>
      <c r="V17" s="24" t="s">
        <v>2737</v>
      </c>
      <c r="W17" s="24" t="s">
        <v>2738</v>
      </c>
      <c r="X17" s="24" t="s">
        <v>2739</v>
      </c>
      <c r="Y17" s="24" t="s">
        <v>2740</v>
      </c>
      <c r="AA17">
        <v>1</v>
      </c>
      <c r="AB17">
        <v>0</v>
      </c>
      <c r="AC17">
        <v>0</v>
      </c>
      <c r="AD17" s="20">
        <v>55153</v>
      </c>
      <c r="AE17" s="20">
        <v>41974</v>
      </c>
    </row>
    <row r="18" spans="1:31" x14ac:dyDescent="0.25">
      <c r="A18" s="12" t="s">
        <v>275</v>
      </c>
      <c r="B18" s="11">
        <v>0</v>
      </c>
      <c r="C18" s="13">
        <v>0</v>
      </c>
      <c r="D18" s="13">
        <v>0</v>
      </c>
      <c r="E18" s="28">
        <v>0</v>
      </c>
      <c r="F18">
        <v>1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1</v>
      </c>
      <c r="N18" s="13">
        <v>0</v>
      </c>
      <c r="O18">
        <v>113</v>
      </c>
      <c r="Q18" t="s">
        <v>2728</v>
      </c>
      <c r="R18">
        <v>41.241963952848366</v>
      </c>
      <c r="S18">
        <v>2.1762372406795598</v>
      </c>
      <c r="T18">
        <v>18.951042276976199</v>
      </c>
      <c r="U18">
        <v>2.1560598871829223E-69</v>
      </c>
      <c r="V18">
        <v>36.971845131158773</v>
      </c>
      <c r="W18">
        <v>45.512082774537959</v>
      </c>
      <c r="X18">
        <v>36.971845131158773</v>
      </c>
      <c r="Y18">
        <v>45.512082774537959</v>
      </c>
      <c r="AA18">
        <v>1</v>
      </c>
      <c r="AB18">
        <v>0</v>
      </c>
      <c r="AC18">
        <v>0</v>
      </c>
      <c r="AD18" s="19">
        <v>55153</v>
      </c>
      <c r="AE18" s="19">
        <v>41974</v>
      </c>
    </row>
    <row r="19" spans="1:31" x14ac:dyDescent="0.25">
      <c r="A19" s="15" t="s">
        <v>277</v>
      </c>
      <c r="B19" s="14">
        <v>0</v>
      </c>
      <c r="C19" s="16">
        <v>0</v>
      </c>
      <c r="D19" s="16">
        <v>0</v>
      </c>
      <c r="E19">
        <v>0</v>
      </c>
      <c r="F19">
        <v>0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>
        <v>18</v>
      </c>
      <c r="Q19" t="s">
        <v>2714</v>
      </c>
      <c r="R19">
        <v>-27.325328561315537</v>
      </c>
      <c r="S19">
        <v>4.9218418717889243</v>
      </c>
      <c r="T19">
        <v>-5.5518501555158046</v>
      </c>
      <c r="U19">
        <v>3.5543334830503235E-8</v>
      </c>
      <c r="V19">
        <v>-36.982754333306744</v>
      </c>
      <c r="W19">
        <v>-17.66790278932433</v>
      </c>
      <c r="X19">
        <v>-36.982754333306744</v>
      </c>
      <c r="Y19">
        <v>-17.66790278932433</v>
      </c>
      <c r="AA19">
        <v>0</v>
      </c>
      <c r="AB19">
        <v>0</v>
      </c>
      <c r="AC19">
        <v>1</v>
      </c>
      <c r="AD19" s="20">
        <v>42643</v>
      </c>
      <c r="AE19" s="20">
        <v>41974</v>
      </c>
    </row>
    <row r="20" spans="1:31" x14ac:dyDescent="0.25">
      <c r="A20" s="12" t="s">
        <v>279</v>
      </c>
      <c r="B20" s="11">
        <v>0</v>
      </c>
      <c r="C20" s="13">
        <v>0</v>
      </c>
      <c r="D20" s="13">
        <v>0</v>
      </c>
      <c r="E20" s="28">
        <v>0</v>
      </c>
      <c r="F20">
        <v>0</v>
      </c>
      <c r="G20" s="13">
        <v>0</v>
      </c>
      <c r="H20" s="13">
        <v>0</v>
      </c>
      <c r="I20" s="13">
        <v>0</v>
      </c>
      <c r="J20" s="13">
        <v>0</v>
      </c>
      <c r="K20" s="13">
        <v>1</v>
      </c>
      <c r="L20" s="13">
        <v>0</v>
      </c>
      <c r="M20" s="13">
        <v>0</v>
      </c>
      <c r="N20" s="13">
        <v>0</v>
      </c>
      <c r="O20">
        <v>22</v>
      </c>
      <c r="Q20" t="s">
        <v>2715</v>
      </c>
      <c r="R20">
        <v>10.799394247514877</v>
      </c>
      <c r="S20">
        <v>3.507311883773903</v>
      </c>
      <c r="T20">
        <v>3.0791086180492795</v>
      </c>
      <c r="U20">
        <v>2.128485943268582E-3</v>
      </c>
      <c r="V20">
        <v>3.9174981892699332</v>
      </c>
      <c r="W20">
        <v>17.681290305759823</v>
      </c>
      <c r="X20">
        <v>3.9174981892699332</v>
      </c>
      <c r="Y20">
        <v>17.681290305759823</v>
      </c>
      <c r="AA20">
        <v>0</v>
      </c>
      <c r="AB20">
        <v>0</v>
      </c>
      <c r="AC20">
        <v>1</v>
      </c>
      <c r="AD20" s="19">
        <v>42735</v>
      </c>
      <c r="AE20" s="19">
        <v>41974</v>
      </c>
    </row>
    <row r="21" spans="1:31" x14ac:dyDescent="0.25">
      <c r="A21" s="15" t="s">
        <v>281</v>
      </c>
      <c r="B21" s="14">
        <v>0</v>
      </c>
      <c r="C21" s="16">
        <v>0</v>
      </c>
      <c r="D21" s="16">
        <v>0</v>
      </c>
      <c r="E21">
        <v>0</v>
      </c>
      <c r="F21">
        <v>0</v>
      </c>
      <c r="G21" s="16">
        <v>0</v>
      </c>
      <c r="H21" s="16">
        <v>0</v>
      </c>
      <c r="I21" s="16">
        <v>0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>
        <v>48</v>
      </c>
      <c r="Q21" t="s">
        <v>2716</v>
      </c>
      <c r="R21">
        <v>33.395843315344514</v>
      </c>
      <c r="S21">
        <v>5.7164233448861141</v>
      </c>
      <c r="T21">
        <v>5.8420871409428203</v>
      </c>
      <c r="U21">
        <v>6.8120073979792597E-9</v>
      </c>
      <c r="V21">
        <v>22.179324058408326</v>
      </c>
      <c r="W21">
        <v>44.612362572280702</v>
      </c>
      <c r="X21">
        <v>22.179324058408326</v>
      </c>
      <c r="Y21">
        <v>44.612362572280702</v>
      </c>
      <c r="AA21">
        <v>0</v>
      </c>
      <c r="AB21">
        <v>0</v>
      </c>
      <c r="AC21">
        <v>1</v>
      </c>
      <c r="AD21" s="20">
        <v>43465</v>
      </c>
      <c r="AE21" s="20">
        <v>41974</v>
      </c>
    </row>
    <row r="22" spans="1:31" x14ac:dyDescent="0.25">
      <c r="A22" s="12" t="s">
        <v>283</v>
      </c>
      <c r="B22" s="11">
        <v>0</v>
      </c>
      <c r="C22" s="13">
        <v>0</v>
      </c>
      <c r="D22" s="13">
        <v>0</v>
      </c>
      <c r="E22" s="28">
        <v>0</v>
      </c>
      <c r="F2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1</v>
      </c>
      <c r="L22" s="13">
        <v>0</v>
      </c>
      <c r="M22" s="13">
        <v>0</v>
      </c>
      <c r="N22" s="13">
        <v>0</v>
      </c>
      <c r="O22">
        <v>9</v>
      </c>
      <c r="Q22" t="s">
        <v>2896</v>
      </c>
      <c r="R22">
        <v>11.717610992344012</v>
      </c>
      <c r="S22">
        <v>2.4848622007128647</v>
      </c>
      <c r="T22">
        <v>4.715597906790336</v>
      </c>
      <c r="U22">
        <v>2.7243639765148092E-6</v>
      </c>
      <c r="V22">
        <v>6.8419215894479848</v>
      </c>
      <c r="W22">
        <v>16.593300395240039</v>
      </c>
      <c r="X22">
        <v>6.8419215894479848</v>
      </c>
      <c r="Y22">
        <v>16.593300395240039</v>
      </c>
      <c r="AA22">
        <v>0</v>
      </c>
      <c r="AB22">
        <v>0</v>
      </c>
      <c r="AC22">
        <v>1</v>
      </c>
      <c r="AD22" s="19">
        <v>42277</v>
      </c>
      <c r="AE22" s="19">
        <v>41974</v>
      </c>
    </row>
    <row r="23" spans="1:31" x14ac:dyDescent="0.25">
      <c r="A23" s="15" t="s">
        <v>285</v>
      </c>
      <c r="B23" s="14">
        <v>0</v>
      </c>
      <c r="C23" s="16">
        <v>0</v>
      </c>
      <c r="D23" s="16">
        <v>0</v>
      </c>
      <c r="E23">
        <v>0</v>
      </c>
      <c r="F23">
        <v>0</v>
      </c>
      <c r="G23" s="16">
        <v>0</v>
      </c>
      <c r="H23" s="16">
        <v>0</v>
      </c>
      <c r="I23" s="16">
        <v>0</v>
      </c>
      <c r="J23" s="16">
        <v>0</v>
      </c>
      <c r="K23" s="16">
        <v>1</v>
      </c>
      <c r="L23" s="16">
        <v>0</v>
      </c>
      <c r="M23" s="16">
        <v>0</v>
      </c>
      <c r="N23" s="16">
        <v>0</v>
      </c>
      <c r="O23">
        <v>63</v>
      </c>
      <c r="Q23" t="s">
        <v>2897</v>
      </c>
      <c r="R23">
        <v>32.277788045999891</v>
      </c>
      <c r="S23">
        <v>2.755469144271105</v>
      </c>
      <c r="T23">
        <v>11.714080744873746</v>
      </c>
      <c r="U23">
        <v>6.3248438513026875E-30</v>
      </c>
      <c r="V23">
        <v>26.871125373568642</v>
      </c>
      <c r="W23">
        <v>37.684450718431137</v>
      </c>
      <c r="X23">
        <v>26.871125373568642</v>
      </c>
      <c r="Y23">
        <v>37.684450718431137</v>
      </c>
      <c r="AA23">
        <v>0</v>
      </c>
      <c r="AB23">
        <v>0</v>
      </c>
      <c r="AC23">
        <v>1</v>
      </c>
      <c r="AD23" s="20">
        <v>44104</v>
      </c>
      <c r="AE23" s="20">
        <v>41974</v>
      </c>
    </row>
    <row r="24" spans="1:31" ht="15.75" thickBot="1" x14ac:dyDescent="0.3">
      <c r="A24" s="12" t="s">
        <v>287</v>
      </c>
      <c r="B24" s="11">
        <v>0</v>
      </c>
      <c r="C24" s="13">
        <v>0</v>
      </c>
      <c r="D24" s="13">
        <v>0</v>
      </c>
      <c r="E24" s="28">
        <v>0</v>
      </c>
      <c r="F24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1</v>
      </c>
      <c r="N24" s="13">
        <v>0</v>
      </c>
      <c r="O24">
        <v>84</v>
      </c>
      <c r="Q24" s="23" t="s">
        <v>12</v>
      </c>
      <c r="R24" s="23">
        <v>4.3310758087874541</v>
      </c>
      <c r="S24" s="23">
        <v>2.8530503451077855</v>
      </c>
      <c r="T24" s="23">
        <v>1.5180509577106078</v>
      </c>
      <c r="U24" s="23">
        <v>0.12929339912826346</v>
      </c>
      <c r="V24" s="23">
        <v>-1.2670564858646083</v>
      </c>
      <c r="W24" s="23">
        <v>9.9292081034395174</v>
      </c>
      <c r="X24" s="23">
        <v>-1.2670564858646083</v>
      </c>
      <c r="Y24" s="23">
        <v>9.9292081034395174</v>
      </c>
      <c r="AA24">
        <v>0</v>
      </c>
      <c r="AB24">
        <v>0</v>
      </c>
      <c r="AC24">
        <v>1</v>
      </c>
      <c r="AD24" s="19">
        <v>44561</v>
      </c>
      <c r="AE24" s="19">
        <v>41974</v>
      </c>
    </row>
    <row r="25" spans="1:31" x14ac:dyDescent="0.25">
      <c r="A25" s="15" t="s">
        <v>289</v>
      </c>
      <c r="B25" s="14">
        <v>0</v>
      </c>
      <c r="C25" s="16">
        <v>0</v>
      </c>
      <c r="D25" s="16">
        <v>0</v>
      </c>
      <c r="E25">
        <v>0</v>
      </c>
      <c r="F25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1</v>
      </c>
      <c r="N25" s="16">
        <v>0</v>
      </c>
      <c r="O25">
        <v>63</v>
      </c>
      <c r="AA25">
        <v>0</v>
      </c>
      <c r="AB25">
        <v>0</v>
      </c>
      <c r="AC25">
        <v>1</v>
      </c>
      <c r="AD25" s="20">
        <v>43921</v>
      </c>
      <c r="AE25" s="20">
        <v>41974</v>
      </c>
    </row>
    <row r="26" spans="1:31" ht="18.75" x14ac:dyDescent="0.3">
      <c r="A26" s="12" t="s">
        <v>291</v>
      </c>
      <c r="B26" s="11">
        <v>0</v>
      </c>
      <c r="C26" s="13">
        <v>0</v>
      </c>
      <c r="D26" s="13">
        <v>0</v>
      </c>
      <c r="E26" s="28">
        <v>0</v>
      </c>
      <c r="F26">
        <v>0</v>
      </c>
      <c r="G26" s="13">
        <v>0</v>
      </c>
      <c r="H26" s="13">
        <v>0</v>
      </c>
      <c r="I26" s="13">
        <v>0</v>
      </c>
      <c r="J26" s="13">
        <v>0</v>
      </c>
      <c r="K26" s="13">
        <v>1</v>
      </c>
      <c r="L26" s="13">
        <v>0</v>
      </c>
      <c r="M26" s="13">
        <v>0</v>
      </c>
      <c r="N26" s="13">
        <v>0</v>
      </c>
      <c r="O26">
        <v>24</v>
      </c>
      <c r="Q26" s="26" t="s">
        <v>2742</v>
      </c>
      <c r="AA26">
        <v>0</v>
      </c>
      <c r="AB26">
        <v>0</v>
      </c>
      <c r="AC26">
        <v>1</v>
      </c>
      <c r="AD26" s="19">
        <v>42735</v>
      </c>
      <c r="AE26" s="19">
        <v>41974</v>
      </c>
    </row>
    <row r="27" spans="1:31" ht="15.75" thickBot="1" x14ac:dyDescent="0.3">
      <c r="A27" s="15" t="s">
        <v>293</v>
      </c>
      <c r="B27" s="14">
        <v>0</v>
      </c>
      <c r="C27" s="16">
        <v>0</v>
      </c>
      <c r="D27" s="16">
        <v>0</v>
      </c>
      <c r="E27">
        <v>0</v>
      </c>
      <c r="F27">
        <v>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1</v>
      </c>
      <c r="N27" s="16">
        <v>0</v>
      </c>
      <c r="O27">
        <v>113</v>
      </c>
      <c r="AA27">
        <v>1</v>
      </c>
      <c r="AB27">
        <v>0</v>
      </c>
      <c r="AC27">
        <v>0</v>
      </c>
      <c r="AD27" s="20">
        <v>55153</v>
      </c>
      <c r="AE27" s="20">
        <v>41974</v>
      </c>
    </row>
    <row r="28" spans="1:31" x14ac:dyDescent="0.25">
      <c r="A28" s="12" t="s">
        <v>295</v>
      </c>
      <c r="B28" s="11">
        <v>0</v>
      </c>
      <c r="C28" s="13">
        <v>0</v>
      </c>
      <c r="D28" s="13">
        <v>0</v>
      </c>
      <c r="E28" s="28">
        <v>0</v>
      </c>
      <c r="F28">
        <v>1</v>
      </c>
      <c r="G28" s="13">
        <v>0</v>
      </c>
      <c r="H28" s="13">
        <v>0</v>
      </c>
      <c r="I28" s="13">
        <v>0</v>
      </c>
      <c r="J28" s="13">
        <v>0</v>
      </c>
      <c r="K28" s="13">
        <v>1</v>
      </c>
      <c r="L28" s="13">
        <v>0</v>
      </c>
      <c r="M28" s="13">
        <v>0</v>
      </c>
      <c r="N28" s="13">
        <v>0</v>
      </c>
      <c r="O28">
        <v>113</v>
      </c>
      <c r="Q28" s="25" t="s">
        <v>2718</v>
      </c>
      <c r="R28" s="25"/>
      <c r="AA28">
        <v>1</v>
      </c>
      <c r="AB28">
        <v>0</v>
      </c>
      <c r="AC28">
        <v>0</v>
      </c>
      <c r="AD28" s="19">
        <v>55153</v>
      </c>
      <c r="AE28" s="19">
        <v>41974</v>
      </c>
    </row>
    <row r="29" spans="1:31" x14ac:dyDescent="0.25">
      <c r="A29" s="15" t="s">
        <v>297</v>
      </c>
      <c r="B29" s="14">
        <v>0</v>
      </c>
      <c r="C29" s="16">
        <v>0</v>
      </c>
      <c r="D29" s="16">
        <v>0</v>
      </c>
      <c r="E29">
        <v>0</v>
      </c>
      <c r="F29">
        <v>0</v>
      </c>
      <c r="G29" s="16">
        <v>0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>
        <v>64</v>
      </c>
      <c r="Q29" t="s">
        <v>2719</v>
      </c>
      <c r="R29">
        <v>0.36186494520975959</v>
      </c>
      <c r="AA29">
        <v>0</v>
      </c>
      <c r="AB29">
        <v>0</v>
      </c>
      <c r="AC29">
        <v>1</v>
      </c>
      <c r="AD29" s="20">
        <v>44012</v>
      </c>
      <c r="AE29" s="20">
        <v>41974</v>
      </c>
    </row>
    <row r="30" spans="1:31" x14ac:dyDescent="0.25">
      <c r="A30" s="12" t="s">
        <v>299</v>
      </c>
      <c r="B30" s="11">
        <v>0</v>
      </c>
      <c r="C30" s="13">
        <v>0</v>
      </c>
      <c r="D30" s="13">
        <v>0</v>
      </c>
      <c r="E30" s="28">
        <v>0</v>
      </c>
      <c r="F30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</v>
      </c>
      <c r="N30" s="13">
        <v>0</v>
      </c>
      <c r="O30">
        <v>72</v>
      </c>
      <c r="Q30" t="s">
        <v>2720</v>
      </c>
      <c r="R30">
        <v>0.13094623857166229</v>
      </c>
      <c r="AA30">
        <v>0</v>
      </c>
      <c r="AB30">
        <v>0</v>
      </c>
      <c r="AC30">
        <v>1</v>
      </c>
      <c r="AD30" s="19">
        <v>44196</v>
      </c>
      <c r="AE30" s="19">
        <v>41974</v>
      </c>
    </row>
    <row r="31" spans="1:31" x14ac:dyDescent="0.25">
      <c r="A31" s="15" t="s">
        <v>301</v>
      </c>
      <c r="B31" s="14">
        <v>0</v>
      </c>
      <c r="C31" s="16">
        <v>0</v>
      </c>
      <c r="D31" s="16">
        <v>0</v>
      </c>
      <c r="E31">
        <v>0</v>
      </c>
      <c r="F31">
        <v>0</v>
      </c>
      <c r="G31" s="16">
        <v>0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>
        <v>36</v>
      </c>
      <c r="Q31" t="s">
        <v>2721</v>
      </c>
      <c r="R31">
        <v>0.12613153629228094</v>
      </c>
      <c r="AA31">
        <v>0</v>
      </c>
      <c r="AB31">
        <v>0</v>
      </c>
      <c r="AC31">
        <v>1</v>
      </c>
      <c r="AD31" s="20">
        <v>43190</v>
      </c>
      <c r="AE31" s="20">
        <v>41974</v>
      </c>
    </row>
    <row r="32" spans="1:31" x14ac:dyDescent="0.25">
      <c r="A32" s="12" t="s">
        <v>303</v>
      </c>
      <c r="B32" s="11">
        <v>0</v>
      </c>
      <c r="C32" s="13">
        <v>0</v>
      </c>
      <c r="D32" s="13">
        <v>0</v>
      </c>
      <c r="E32" s="28">
        <v>0</v>
      </c>
      <c r="F32">
        <v>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1</v>
      </c>
      <c r="N32" s="13">
        <v>0</v>
      </c>
      <c r="O32">
        <v>113</v>
      </c>
      <c r="Q32" t="s">
        <v>2722</v>
      </c>
      <c r="R32">
        <v>32.477801183439595</v>
      </c>
      <c r="AA32">
        <v>1</v>
      </c>
      <c r="AB32">
        <v>0</v>
      </c>
      <c r="AC32">
        <v>0</v>
      </c>
      <c r="AD32" s="19">
        <v>55153</v>
      </c>
      <c r="AE32" s="19">
        <v>41974</v>
      </c>
    </row>
    <row r="33" spans="1:31" ht="15.75" thickBot="1" x14ac:dyDescent="0.3">
      <c r="A33" s="15" t="s">
        <v>305</v>
      </c>
      <c r="B33" s="14">
        <v>0</v>
      </c>
      <c r="C33" s="16">
        <v>0</v>
      </c>
      <c r="D33" s="16">
        <v>0</v>
      </c>
      <c r="E33">
        <v>0</v>
      </c>
      <c r="F33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1</v>
      </c>
      <c r="N33" s="16">
        <v>0</v>
      </c>
      <c r="O33">
        <v>18</v>
      </c>
      <c r="Q33" s="23" t="s">
        <v>2723</v>
      </c>
      <c r="R33" s="23">
        <v>1090</v>
      </c>
      <c r="AA33">
        <v>0</v>
      </c>
      <c r="AB33">
        <v>0</v>
      </c>
      <c r="AC33">
        <v>1</v>
      </c>
      <c r="AD33" s="20">
        <v>42551</v>
      </c>
      <c r="AE33" s="20">
        <v>41974</v>
      </c>
    </row>
    <row r="34" spans="1:31" x14ac:dyDescent="0.25">
      <c r="A34" s="12" t="s">
        <v>307</v>
      </c>
      <c r="B34" s="11">
        <v>1</v>
      </c>
      <c r="C34" s="13">
        <v>1</v>
      </c>
      <c r="D34" s="13">
        <v>1</v>
      </c>
      <c r="E34" s="28">
        <v>0</v>
      </c>
      <c r="F34">
        <v>0</v>
      </c>
      <c r="G34" s="13">
        <v>0</v>
      </c>
      <c r="H34" s="13">
        <v>0</v>
      </c>
      <c r="I34" s="13">
        <v>0</v>
      </c>
      <c r="J34" s="13">
        <v>1</v>
      </c>
      <c r="K34" s="13">
        <v>0</v>
      </c>
      <c r="L34" s="13">
        <v>0</v>
      </c>
      <c r="M34" s="13">
        <v>0</v>
      </c>
      <c r="N34" s="13">
        <v>0</v>
      </c>
      <c r="O34">
        <v>81</v>
      </c>
      <c r="AA34">
        <v>0</v>
      </c>
      <c r="AB34">
        <v>1</v>
      </c>
      <c r="AC34">
        <v>0</v>
      </c>
      <c r="AD34" s="19">
        <v>43799</v>
      </c>
      <c r="AE34" s="19">
        <v>43466</v>
      </c>
    </row>
    <row r="35" spans="1:31" ht="15.75" thickBot="1" x14ac:dyDescent="0.3">
      <c r="A35" s="15" t="s">
        <v>309</v>
      </c>
      <c r="B35" s="14">
        <v>1</v>
      </c>
      <c r="C35" s="16">
        <v>0</v>
      </c>
      <c r="D35" s="16">
        <v>1</v>
      </c>
      <c r="E35">
        <v>0</v>
      </c>
      <c r="F35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1</v>
      </c>
      <c r="O35">
        <v>26</v>
      </c>
      <c r="Q35" t="s">
        <v>2724</v>
      </c>
      <c r="AA35">
        <v>0</v>
      </c>
      <c r="AB35">
        <v>0</v>
      </c>
      <c r="AC35">
        <v>1</v>
      </c>
      <c r="AD35" s="20">
        <v>42521</v>
      </c>
      <c r="AE35" s="20">
        <v>41699</v>
      </c>
    </row>
    <row r="36" spans="1:31" x14ac:dyDescent="0.25">
      <c r="A36" s="12" t="s">
        <v>311</v>
      </c>
      <c r="B36" s="11">
        <v>1</v>
      </c>
      <c r="C36" s="13">
        <v>0</v>
      </c>
      <c r="D36" s="13">
        <v>1</v>
      </c>
      <c r="E36" s="28">
        <v>1</v>
      </c>
      <c r="F36">
        <v>0</v>
      </c>
      <c r="G36" s="13">
        <v>0</v>
      </c>
      <c r="H36" s="13">
        <v>0</v>
      </c>
      <c r="I36" s="13">
        <v>0</v>
      </c>
      <c r="J36" s="13">
        <v>0</v>
      </c>
      <c r="K36" s="13">
        <v>1</v>
      </c>
      <c r="L36" s="13">
        <v>0</v>
      </c>
      <c r="M36" s="13">
        <v>0</v>
      </c>
      <c r="N36" s="13">
        <v>0</v>
      </c>
      <c r="O36">
        <v>136</v>
      </c>
      <c r="Q36" s="24"/>
      <c r="R36" s="24" t="s">
        <v>2729</v>
      </c>
      <c r="S36" s="24" t="s">
        <v>2730</v>
      </c>
      <c r="T36" s="24" t="s">
        <v>2731</v>
      </c>
      <c r="U36" s="24" t="s">
        <v>2732</v>
      </c>
      <c r="V36" s="24" t="s">
        <v>2733</v>
      </c>
      <c r="AA36">
        <v>1</v>
      </c>
      <c r="AB36">
        <v>0</v>
      </c>
      <c r="AC36">
        <v>0</v>
      </c>
      <c r="AD36" s="19">
        <v>55153</v>
      </c>
      <c r="AE36" s="19">
        <v>41275</v>
      </c>
    </row>
    <row r="37" spans="1:31" x14ac:dyDescent="0.25">
      <c r="A37" s="15" t="s">
        <v>313</v>
      </c>
      <c r="B37" s="14">
        <v>1</v>
      </c>
      <c r="C37" s="16">
        <v>1</v>
      </c>
      <c r="D37" s="16">
        <v>1</v>
      </c>
      <c r="E37">
        <v>0</v>
      </c>
      <c r="F37">
        <v>0</v>
      </c>
      <c r="G37" s="16">
        <v>0</v>
      </c>
      <c r="H37" s="16">
        <v>0</v>
      </c>
      <c r="I37" s="16">
        <v>0</v>
      </c>
      <c r="J37" s="16">
        <v>1</v>
      </c>
      <c r="K37" s="16">
        <v>0</v>
      </c>
      <c r="L37" s="16">
        <v>0</v>
      </c>
      <c r="M37" s="16">
        <v>0</v>
      </c>
      <c r="N37" s="16">
        <v>0</v>
      </c>
      <c r="O37">
        <v>102</v>
      </c>
      <c r="Q37" t="s">
        <v>2725</v>
      </c>
      <c r="R37">
        <v>6</v>
      </c>
      <c r="S37">
        <v>172126.63503047125</v>
      </c>
      <c r="T37">
        <v>28687.772505078541</v>
      </c>
      <c r="U37">
        <v>27.197162144880789</v>
      </c>
      <c r="V37">
        <v>2.5535099557081028E-30</v>
      </c>
      <c r="AA37">
        <v>0</v>
      </c>
      <c r="AB37">
        <v>1</v>
      </c>
      <c r="AC37">
        <v>0</v>
      </c>
      <c r="AD37" s="20">
        <v>44439</v>
      </c>
      <c r="AE37" s="20">
        <v>41306</v>
      </c>
    </row>
    <row r="38" spans="1:31" x14ac:dyDescent="0.25">
      <c r="A38" s="12" t="s">
        <v>315</v>
      </c>
      <c r="B38" s="11">
        <v>1</v>
      </c>
      <c r="C38" s="13">
        <v>1</v>
      </c>
      <c r="D38" s="13">
        <v>1</v>
      </c>
      <c r="E38" s="28">
        <v>0</v>
      </c>
      <c r="F38">
        <v>0</v>
      </c>
      <c r="G38" s="13">
        <v>0</v>
      </c>
      <c r="H38" s="13">
        <v>1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>
        <v>68</v>
      </c>
      <c r="Q38" t="s">
        <v>2726</v>
      </c>
      <c r="R38">
        <v>1083</v>
      </c>
      <c r="S38">
        <v>1142356.5979970461</v>
      </c>
      <c r="T38">
        <v>1054.8075697110305</v>
      </c>
      <c r="AA38">
        <v>0</v>
      </c>
      <c r="AB38">
        <v>1</v>
      </c>
      <c r="AC38">
        <v>0</v>
      </c>
      <c r="AD38" s="19">
        <v>43496</v>
      </c>
      <c r="AE38" s="19">
        <v>41395</v>
      </c>
    </row>
    <row r="39" spans="1:31" ht="15.75" thickBot="1" x14ac:dyDescent="0.3">
      <c r="A39" s="15" t="s">
        <v>317</v>
      </c>
      <c r="B39" s="14">
        <v>1</v>
      </c>
      <c r="C39" s="16">
        <v>1</v>
      </c>
      <c r="D39" s="16">
        <v>1</v>
      </c>
      <c r="E39">
        <v>1</v>
      </c>
      <c r="F39">
        <v>0</v>
      </c>
      <c r="G39" s="16">
        <v>0</v>
      </c>
      <c r="H39" s="16">
        <v>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>
        <v>132</v>
      </c>
      <c r="Q39" s="23" t="s">
        <v>2727</v>
      </c>
      <c r="R39" s="23">
        <v>1089</v>
      </c>
      <c r="S39" s="23">
        <v>1314483.2330275173</v>
      </c>
      <c r="T39" s="23"/>
      <c r="U39" s="23"/>
      <c r="V39" s="23"/>
      <c r="AA39">
        <v>1</v>
      </c>
      <c r="AB39">
        <v>0</v>
      </c>
      <c r="AC39">
        <v>0</v>
      </c>
      <c r="AD39" s="20">
        <v>55153</v>
      </c>
      <c r="AE39" s="20">
        <v>41395</v>
      </c>
    </row>
    <row r="40" spans="1:31" ht="15.75" thickBot="1" x14ac:dyDescent="0.3">
      <c r="A40" s="12" t="s">
        <v>319</v>
      </c>
      <c r="B40" s="11">
        <v>0</v>
      </c>
      <c r="C40" s="13">
        <v>0</v>
      </c>
      <c r="D40" s="13">
        <v>0</v>
      </c>
      <c r="E40" s="28">
        <v>0</v>
      </c>
      <c r="F40">
        <v>1</v>
      </c>
      <c r="G40" s="13">
        <v>0</v>
      </c>
      <c r="H40" s="13">
        <v>0</v>
      </c>
      <c r="I40" s="13">
        <v>0</v>
      </c>
      <c r="J40" s="13">
        <v>0</v>
      </c>
      <c r="K40" s="13">
        <v>1</v>
      </c>
      <c r="L40" s="13">
        <v>0</v>
      </c>
      <c r="M40" s="13">
        <v>0</v>
      </c>
      <c r="N40" s="13">
        <v>0</v>
      </c>
      <c r="O40">
        <v>113</v>
      </c>
      <c r="AA40">
        <v>1</v>
      </c>
      <c r="AB40">
        <v>0</v>
      </c>
      <c r="AC40">
        <v>0</v>
      </c>
      <c r="AD40" s="19">
        <v>55153</v>
      </c>
      <c r="AE40" s="19">
        <v>41974</v>
      </c>
    </row>
    <row r="41" spans="1:31" x14ac:dyDescent="0.25">
      <c r="A41" s="15" t="s">
        <v>321</v>
      </c>
      <c r="B41" s="14">
        <v>1</v>
      </c>
      <c r="C41" s="16">
        <v>1</v>
      </c>
      <c r="D41" s="16">
        <v>1</v>
      </c>
      <c r="E41">
        <v>1</v>
      </c>
      <c r="F41">
        <v>0</v>
      </c>
      <c r="G41" s="16">
        <v>0</v>
      </c>
      <c r="H41" s="16">
        <v>1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>
        <v>134</v>
      </c>
      <c r="Q41" s="24"/>
      <c r="R41" s="24" t="s">
        <v>2734</v>
      </c>
      <c r="S41" s="24" t="s">
        <v>2722</v>
      </c>
      <c r="T41" s="24" t="s">
        <v>2735</v>
      </c>
      <c r="U41" s="24" t="s">
        <v>2736</v>
      </c>
      <c r="V41" s="24" t="s">
        <v>2737</v>
      </c>
      <c r="W41" s="24" t="s">
        <v>2738</v>
      </c>
      <c r="X41" s="24" t="s">
        <v>2739</v>
      </c>
      <c r="Y41" s="24" t="s">
        <v>2740</v>
      </c>
      <c r="AA41">
        <v>1</v>
      </c>
      <c r="AB41">
        <v>0</v>
      </c>
      <c r="AC41">
        <v>0</v>
      </c>
      <c r="AD41" s="20">
        <v>55153</v>
      </c>
      <c r="AE41" s="20">
        <v>41334</v>
      </c>
    </row>
    <row r="42" spans="1:31" x14ac:dyDescent="0.25">
      <c r="A42" s="12" t="s">
        <v>323</v>
      </c>
      <c r="B42" s="11">
        <v>1</v>
      </c>
      <c r="C42" s="13">
        <v>1</v>
      </c>
      <c r="D42" s="13">
        <v>1</v>
      </c>
      <c r="E42" s="28">
        <v>1</v>
      </c>
      <c r="F42">
        <v>0</v>
      </c>
      <c r="G42" s="13">
        <v>0</v>
      </c>
      <c r="H42" s="13">
        <v>0</v>
      </c>
      <c r="I42" s="13">
        <v>0</v>
      </c>
      <c r="J42" s="13">
        <v>1</v>
      </c>
      <c r="K42" s="13">
        <v>0</v>
      </c>
      <c r="L42" s="13">
        <v>0</v>
      </c>
      <c r="M42" s="13">
        <v>0</v>
      </c>
      <c r="N42" s="13">
        <v>0</v>
      </c>
      <c r="O42">
        <v>134</v>
      </c>
      <c r="Q42" t="s">
        <v>2728</v>
      </c>
      <c r="R42">
        <v>42.891460763066661</v>
      </c>
      <c r="S42">
        <v>2.0169631085778006</v>
      </c>
      <c r="T42">
        <v>21.265367016707735</v>
      </c>
      <c r="U42">
        <v>3.8863413709759423E-84</v>
      </c>
      <c r="V42">
        <v>38.933862771635276</v>
      </c>
      <c r="W42">
        <v>46.849058754498046</v>
      </c>
      <c r="X42">
        <v>38.933862771635276</v>
      </c>
      <c r="Y42">
        <v>46.849058754498046</v>
      </c>
      <c r="AA42">
        <v>1</v>
      </c>
      <c r="AB42">
        <v>0</v>
      </c>
      <c r="AC42">
        <v>0</v>
      </c>
      <c r="AD42" s="19">
        <v>55153</v>
      </c>
      <c r="AE42" s="19">
        <v>41334</v>
      </c>
    </row>
    <row r="43" spans="1:31" x14ac:dyDescent="0.25">
      <c r="A43" s="15" t="s">
        <v>8</v>
      </c>
      <c r="B43" s="14">
        <v>0</v>
      </c>
      <c r="C43" s="16">
        <v>0</v>
      </c>
      <c r="D43" s="16">
        <v>0</v>
      </c>
      <c r="E43">
        <v>0</v>
      </c>
      <c r="F43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</v>
      </c>
      <c r="N43" s="16">
        <v>0</v>
      </c>
      <c r="O43">
        <v>101</v>
      </c>
      <c r="Q43" t="s">
        <v>2714</v>
      </c>
      <c r="R43">
        <v>-28.187342982002107</v>
      </c>
      <c r="S43">
        <v>4.8650354794744768</v>
      </c>
      <c r="T43">
        <v>-5.7938617510446022</v>
      </c>
      <c r="U43">
        <v>9.0102777010811847E-9</v>
      </c>
      <c r="V43">
        <v>-37.733305701859138</v>
      </c>
      <c r="W43">
        <v>-18.641380262145081</v>
      </c>
      <c r="X43">
        <v>-37.733305701859138</v>
      </c>
      <c r="Y43">
        <v>-18.641380262145081</v>
      </c>
      <c r="AA43">
        <v>0</v>
      </c>
      <c r="AB43">
        <v>0</v>
      </c>
      <c r="AC43">
        <v>1</v>
      </c>
      <c r="AD43" s="20">
        <v>45107</v>
      </c>
      <c r="AE43" s="20">
        <v>41974</v>
      </c>
    </row>
    <row r="44" spans="1:31" x14ac:dyDescent="0.25">
      <c r="A44" s="12" t="s">
        <v>325</v>
      </c>
      <c r="B44" s="11">
        <v>0</v>
      </c>
      <c r="C44" s="13">
        <v>0</v>
      </c>
      <c r="D44" s="13">
        <v>0</v>
      </c>
      <c r="E44" s="28">
        <v>0</v>
      </c>
      <c r="F44">
        <v>0</v>
      </c>
      <c r="G44" s="13">
        <v>0</v>
      </c>
      <c r="H44" s="13">
        <v>0</v>
      </c>
      <c r="I44" s="13">
        <v>0</v>
      </c>
      <c r="J44" s="13">
        <v>0</v>
      </c>
      <c r="K44" s="13">
        <v>1</v>
      </c>
      <c r="L44" s="13">
        <v>0</v>
      </c>
      <c r="M44" s="13">
        <v>0</v>
      </c>
      <c r="N44" s="13">
        <v>0</v>
      </c>
      <c r="O44">
        <v>18</v>
      </c>
      <c r="Q44" t="s">
        <v>2715</v>
      </c>
      <c r="R44">
        <v>8.9593013116856106</v>
      </c>
      <c r="S44">
        <v>3.59241530437026</v>
      </c>
      <c r="T44">
        <v>2.4939492103784335</v>
      </c>
      <c r="U44">
        <v>1.2781319446851824E-2</v>
      </c>
      <c r="V44">
        <v>1.910418993263816</v>
      </c>
      <c r="W44">
        <v>16.008183630107403</v>
      </c>
      <c r="X44">
        <v>1.910418993263816</v>
      </c>
      <c r="Y44">
        <v>16.008183630107403</v>
      </c>
      <c r="AA44">
        <v>0</v>
      </c>
      <c r="AB44">
        <v>0</v>
      </c>
      <c r="AC44">
        <v>1</v>
      </c>
      <c r="AD44" s="19">
        <v>42643</v>
      </c>
      <c r="AE44" s="19">
        <v>41974</v>
      </c>
    </row>
    <row r="45" spans="1:31" x14ac:dyDescent="0.25">
      <c r="A45" s="15" t="s">
        <v>327</v>
      </c>
      <c r="B45" s="14">
        <v>0</v>
      </c>
      <c r="C45" s="16">
        <v>0</v>
      </c>
      <c r="D45" s="16">
        <v>0</v>
      </c>
      <c r="E45">
        <v>0</v>
      </c>
      <c r="F45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1</v>
      </c>
      <c r="N45" s="16">
        <v>0</v>
      </c>
      <c r="O45">
        <v>93</v>
      </c>
      <c r="Q45" t="s">
        <v>2716</v>
      </c>
      <c r="R45">
        <v>35.217330706393234</v>
      </c>
      <c r="S45">
        <v>5.7635298997400977</v>
      </c>
      <c r="T45">
        <v>6.11037529413725</v>
      </c>
      <c r="U45">
        <v>1.384443292514152E-9</v>
      </c>
      <c r="V45">
        <v>23.908380999896252</v>
      </c>
      <c r="W45">
        <v>46.526280412890216</v>
      </c>
      <c r="X45">
        <v>23.908380999896252</v>
      </c>
      <c r="Y45">
        <v>46.526280412890216</v>
      </c>
      <c r="AA45">
        <v>0</v>
      </c>
      <c r="AB45">
        <v>0</v>
      </c>
      <c r="AC45">
        <v>1</v>
      </c>
      <c r="AD45" s="20">
        <v>44834</v>
      </c>
      <c r="AE45" s="20">
        <v>41974</v>
      </c>
    </row>
    <row r="46" spans="1:31" x14ac:dyDescent="0.25">
      <c r="A46" s="12" t="s">
        <v>329</v>
      </c>
      <c r="B46" s="11">
        <v>0</v>
      </c>
      <c r="C46" s="13">
        <v>0</v>
      </c>
      <c r="D46" s="13">
        <v>0</v>
      </c>
      <c r="E46" s="28">
        <v>0</v>
      </c>
      <c r="F46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1</v>
      </c>
      <c r="N46" s="13">
        <v>0</v>
      </c>
      <c r="O46">
        <v>72</v>
      </c>
      <c r="Q46" t="s">
        <v>2896</v>
      </c>
      <c r="R46">
        <v>10.657940981949714</v>
      </c>
      <c r="S46">
        <v>2.5011044242468019</v>
      </c>
      <c r="T46">
        <v>4.261293882265357</v>
      </c>
      <c r="U46">
        <v>2.2093131231715365E-5</v>
      </c>
      <c r="V46">
        <v>5.7503817887928159</v>
      </c>
      <c r="W46">
        <v>15.565500175106614</v>
      </c>
      <c r="X46">
        <v>5.7503817887928159</v>
      </c>
      <c r="Y46">
        <v>15.565500175106614</v>
      </c>
      <c r="AA46">
        <v>0</v>
      </c>
      <c r="AB46">
        <v>0</v>
      </c>
      <c r="AC46">
        <v>1</v>
      </c>
      <c r="AD46" s="19">
        <v>44196</v>
      </c>
      <c r="AE46" s="19">
        <v>41974</v>
      </c>
    </row>
    <row r="47" spans="1:31" x14ac:dyDescent="0.25">
      <c r="A47" s="15" t="s">
        <v>331</v>
      </c>
      <c r="B47" s="14">
        <v>0</v>
      </c>
      <c r="C47" s="16">
        <v>0</v>
      </c>
      <c r="D47" s="16">
        <v>0</v>
      </c>
      <c r="E47">
        <v>0</v>
      </c>
      <c r="F47">
        <v>1</v>
      </c>
      <c r="G47" s="16">
        <v>0</v>
      </c>
      <c r="H47" s="16">
        <v>0</v>
      </c>
      <c r="I47" s="16">
        <v>0</v>
      </c>
      <c r="J47" s="16">
        <v>0</v>
      </c>
      <c r="K47" s="16">
        <v>1</v>
      </c>
      <c r="L47" s="16">
        <v>0</v>
      </c>
      <c r="M47" s="16">
        <v>0</v>
      </c>
      <c r="N47" s="16">
        <v>0</v>
      </c>
      <c r="O47">
        <v>113</v>
      </c>
      <c r="Q47" t="s">
        <v>2897</v>
      </c>
      <c r="R47">
        <v>31.909304780332121</v>
      </c>
      <c r="S47">
        <v>2.7507899458161824</v>
      </c>
      <c r="T47">
        <v>11.600051406638526</v>
      </c>
      <c r="U47">
        <v>2.0782106292388219E-29</v>
      </c>
      <c r="V47">
        <v>26.51182342922894</v>
      </c>
      <c r="W47">
        <v>37.306786131435302</v>
      </c>
      <c r="X47">
        <v>26.51182342922894</v>
      </c>
      <c r="Y47">
        <v>37.306786131435302</v>
      </c>
      <c r="AA47">
        <v>1</v>
      </c>
      <c r="AB47">
        <v>0</v>
      </c>
      <c r="AC47">
        <v>0</v>
      </c>
      <c r="AD47" s="20">
        <v>55153</v>
      </c>
      <c r="AE47" s="20">
        <v>41974</v>
      </c>
    </row>
    <row r="48" spans="1:31" ht="15.75" thickBot="1" x14ac:dyDescent="0.3">
      <c r="A48" s="12" t="s">
        <v>333</v>
      </c>
      <c r="B48" s="11">
        <v>1</v>
      </c>
      <c r="C48" s="13">
        <v>1</v>
      </c>
      <c r="D48" s="13">
        <v>1</v>
      </c>
      <c r="E48" s="28">
        <v>0</v>
      </c>
      <c r="F48">
        <v>0</v>
      </c>
      <c r="G48" s="13">
        <v>0</v>
      </c>
      <c r="H48" s="13">
        <v>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>
        <v>105</v>
      </c>
      <c r="Q48" s="23" t="s">
        <v>47</v>
      </c>
      <c r="R48" s="23">
        <v>-18.266454381457333</v>
      </c>
      <c r="S48" s="23">
        <v>7.8685715873494404</v>
      </c>
      <c r="T48" s="23">
        <v>-2.3214447728765548</v>
      </c>
      <c r="U48" s="23">
        <v>2.0447708808947765E-2</v>
      </c>
      <c r="V48" s="23">
        <v>-33.705826067083301</v>
      </c>
      <c r="W48" s="23">
        <v>-2.8270826958313648</v>
      </c>
      <c r="X48" s="23">
        <v>-33.705826067083301</v>
      </c>
      <c r="Y48" s="23">
        <v>-2.8270826958313648</v>
      </c>
      <c r="AA48">
        <v>0</v>
      </c>
      <c r="AB48">
        <v>1</v>
      </c>
      <c r="AC48">
        <v>0</v>
      </c>
      <c r="AD48" s="19">
        <v>44592</v>
      </c>
      <c r="AE48" s="19">
        <v>41365</v>
      </c>
    </row>
    <row r="49" spans="1:31" x14ac:dyDescent="0.25">
      <c r="A49" s="15" t="s">
        <v>335</v>
      </c>
      <c r="B49" s="14">
        <v>1</v>
      </c>
      <c r="C49" s="16">
        <v>1</v>
      </c>
      <c r="D49" s="16">
        <v>1</v>
      </c>
      <c r="E49">
        <v>0</v>
      </c>
      <c r="F49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>
        <v>105</v>
      </c>
      <c r="AA49">
        <v>0</v>
      </c>
      <c r="AB49">
        <v>1</v>
      </c>
      <c r="AC49">
        <v>0</v>
      </c>
      <c r="AD49" s="20">
        <v>44592</v>
      </c>
      <c r="AE49" s="20">
        <v>41365</v>
      </c>
    </row>
    <row r="50" spans="1:31" ht="18.75" x14ac:dyDescent="0.3">
      <c r="A50" s="12" t="s">
        <v>337</v>
      </c>
      <c r="B50" s="11">
        <v>1</v>
      </c>
      <c r="C50" s="13">
        <v>1</v>
      </c>
      <c r="D50" s="13">
        <v>1</v>
      </c>
      <c r="E50" s="28">
        <v>0</v>
      </c>
      <c r="F50">
        <v>0</v>
      </c>
      <c r="G50" s="13">
        <v>0</v>
      </c>
      <c r="H50" s="13">
        <v>1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>
        <v>77</v>
      </c>
      <c r="Q50" s="26" t="s">
        <v>2741</v>
      </c>
      <c r="AA50">
        <v>0</v>
      </c>
      <c r="AB50">
        <v>1</v>
      </c>
      <c r="AC50">
        <v>0</v>
      </c>
      <c r="AD50" s="19">
        <v>43738</v>
      </c>
      <c r="AE50" s="19">
        <v>41365</v>
      </c>
    </row>
    <row r="51" spans="1:31" ht="15.75" thickBot="1" x14ac:dyDescent="0.3">
      <c r="A51" s="15" t="s">
        <v>339</v>
      </c>
      <c r="B51" s="14">
        <v>1</v>
      </c>
      <c r="C51" s="16">
        <v>1</v>
      </c>
      <c r="D51" s="16">
        <v>1</v>
      </c>
      <c r="E51">
        <v>1</v>
      </c>
      <c r="F51">
        <v>0</v>
      </c>
      <c r="G51" s="16">
        <v>0</v>
      </c>
      <c r="H51" s="16">
        <v>1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>
        <v>133</v>
      </c>
      <c r="AA51">
        <v>1</v>
      </c>
      <c r="AB51">
        <v>0</v>
      </c>
      <c r="AC51">
        <v>0</v>
      </c>
      <c r="AD51" s="20">
        <v>55153</v>
      </c>
      <c r="AE51" s="20">
        <v>41365</v>
      </c>
    </row>
    <row r="52" spans="1:31" x14ac:dyDescent="0.25">
      <c r="A52" s="12" t="s">
        <v>341</v>
      </c>
      <c r="B52" s="11">
        <v>1</v>
      </c>
      <c r="C52" s="13">
        <v>0</v>
      </c>
      <c r="D52" s="13">
        <v>1</v>
      </c>
      <c r="E52" s="28">
        <v>1</v>
      </c>
      <c r="F52">
        <v>0</v>
      </c>
      <c r="G52" s="13">
        <v>0</v>
      </c>
      <c r="H52" s="13">
        <v>0</v>
      </c>
      <c r="I52" s="13">
        <v>0</v>
      </c>
      <c r="J52" s="13">
        <v>0</v>
      </c>
      <c r="K52" s="13">
        <v>1</v>
      </c>
      <c r="L52" s="13">
        <v>0</v>
      </c>
      <c r="M52" s="13">
        <v>0</v>
      </c>
      <c r="N52" s="13">
        <v>0</v>
      </c>
      <c r="O52">
        <v>131</v>
      </c>
      <c r="Q52" s="25" t="s">
        <v>2718</v>
      </c>
      <c r="R52" s="25"/>
      <c r="AA52">
        <v>1</v>
      </c>
      <c r="AB52">
        <v>0</v>
      </c>
      <c r="AC52">
        <v>0</v>
      </c>
      <c r="AD52" s="19">
        <v>55153</v>
      </c>
      <c r="AE52" s="19">
        <v>41426</v>
      </c>
    </row>
    <row r="53" spans="1:31" x14ac:dyDescent="0.25">
      <c r="A53" s="15" t="s">
        <v>343</v>
      </c>
      <c r="B53" s="14">
        <v>1</v>
      </c>
      <c r="C53" s="16">
        <v>0</v>
      </c>
      <c r="D53" s="16">
        <v>1</v>
      </c>
      <c r="E53">
        <v>1</v>
      </c>
      <c r="F53">
        <v>0</v>
      </c>
      <c r="G53" s="16">
        <v>0</v>
      </c>
      <c r="H53" s="16">
        <v>0</v>
      </c>
      <c r="I53" s="16">
        <v>0</v>
      </c>
      <c r="J53" s="16">
        <v>0</v>
      </c>
      <c r="K53" s="16">
        <v>1</v>
      </c>
      <c r="L53" s="16">
        <v>0</v>
      </c>
      <c r="M53" s="16">
        <v>0</v>
      </c>
      <c r="N53" s="16">
        <v>0</v>
      </c>
      <c r="O53">
        <v>131</v>
      </c>
      <c r="Q53" t="s">
        <v>2719</v>
      </c>
      <c r="R53">
        <v>0.38378121940406429</v>
      </c>
      <c r="AA53">
        <v>1</v>
      </c>
      <c r="AB53">
        <v>0</v>
      </c>
      <c r="AC53">
        <v>0</v>
      </c>
      <c r="AD53" s="20">
        <v>55153</v>
      </c>
      <c r="AE53" s="20">
        <v>41426</v>
      </c>
    </row>
    <row r="54" spans="1:31" x14ac:dyDescent="0.25">
      <c r="A54" s="12" t="s">
        <v>345</v>
      </c>
      <c r="B54" s="11">
        <v>1</v>
      </c>
      <c r="C54" s="13">
        <v>1</v>
      </c>
      <c r="D54" s="13">
        <v>1</v>
      </c>
      <c r="E54" s="28">
        <v>1</v>
      </c>
      <c r="F54">
        <v>0</v>
      </c>
      <c r="G54" s="13">
        <v>0</v>
      </c>
      <c r="H54" s="13">
        <v>1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>
        <v>128</v>
      </c>
      <c r="Q54" t="s">
        <v>2720</v>
      </c>
      <c r="R54">
        <v>0.14728802436727054</v>
      </c>
      <c r="AA54">
        <v>1</v>
      </c>
      <c r="AB54">
        <v>0</v>
      </c>
      <c r="AC54">
        <v>0</v>
      </c>
      <c r="AD54" s="19">
        <v>55153</v>
      </c>
      <c r="AE54" s="19">
        <v>41518</v>
      </c>
    </row>
    <row r="55" spans="1:31" x14ac:dyDescent="0.25">
      <c r="A55" s="15" t="s">
        <v>347</v>
      </c>
      <c r="B55" s="14">
        <v>1</v>
      </c>
      <c r="C55" s="16">
        <v>1</v>
      </c>
      <c r="D55" s="16">
        <v>1</v>
      </c>
      <c r="E55">
        <v>1</v>
      </c>
      <c r="F55">
        <v>0</v>
      </c>
      <c r="G55" s="16">
        <v>0</v>
      </c>
      <c r="H55" s="16">
        <v>1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>
        <v>130</v>
      </c>
      <c r="Q55" t="s">
        <v>2721</v>
      </c>
      <c r="R55">
        <v>0.1425638582972831</v>
      </c>
      <c r="AA55">
        <v>1</v>
      </c>
      <c r="AB55">
        <v>0</v>
      </c>
      <c r="AC55">
        <v>0</v>
      </c>
      <c r="AD55" s="20">
        <v>55153</v>
      </c>
      <c r="AE55" s="20">
        <v>41456</v>
      </c>
    </row>
    <row r="56" spans="1:31" x14ac:dyDescent="0.25">
      <c r="A56" s="12" t="s">
        <v>349</v>
      </c>
      <c r="B56" s="11">
        <v>1</v>
      </c>
      <c r="C56" s="13">
        <v>1</v>
      </c>
      <c r="D56" s="13">
        <v>1</v>
      </c>
      <c r="E56" s="28">
        <v>1</v>
      </c>
      <c r="F56">
        <v>0</v>
      </c>
      <c r="G56" s="13">
        <v>0</v>
      </c>
      <c r="H56" s="13">
        <v>0</v>
      </c>
      <c r="I56" s="13">
        <v>0</v>
      </c>
      <c r="J56" s="13">
        <v>1</v>
      </c>
      <c r="K56" s="13">
        <v>0</v>
      </c>
      <c r="L56" s="13">
        <v>0</v>
      </c>
      <c r="M56" s="13">
        <v>0</v>
      </c>
      <c r="N56" s="13">
        <v>0</v>
      </c>
      <c r="O56">
        <v>127</v>
      </c>
      <c r="Q56" t="s">
        <v>2722</v>
      </c>
      <c r="R56">
        <v>32.170993894697453</v>
      </c>
      <c r="AA56">
        <v>1</v>
      </c>
      <c r="AB56">
        <v>0</v>
      </c>
      <c r="AC56">
        <v>0</v>
      </c>
      <c r="AD56" s="19">
        <v>55153</v>
      </c>
      <c r="AE56" s="19">
        <v>41548</v>
      </c>
    </row>
    <row r="57" spans="1:31" ht="15.75" thickBot="1" x14ac:dyDescent="0.3">
      <c r="A57" s="15" t="s">
        <v>351</v>
      </c>
      <c r="B57" s="14">
        <v>1</v>
      </c>
      <c r="C57" s="16">
        <v>1</v>
      </c>
      <c r="D57" s="16">
        <v>1</v>
      </c>
      <c r="E57">
        <v>1</v>
      </c>
      <c r="F57">
        <v>0</v>
      </c>
      <c r="G57" s="16">
        <v>0</v>
      </c>
      <c r="H57" s="16">
        <v>1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>
        <v>127</v>
      </c>
      <c r="Q57" s="23" t="s">
        <v>2723</v>
      </c>
      <c r="R57" s="23">
        <v>1090</v>
      </c>
      <c r="AA57">
        <v>1</v>
      </c>
      <c r="AB57">
        <v>0</v>
      </c>
      <c r="AC57">
        <v>0</v>
      </c>
      <c r="AD57" s="20">
        <v>55153</v>
      </c>
      <c r="AE57" s="20">
        <v>41548</v>
      </c>
    </row>
    <row r="58" spans="1:31" x14ac:dyDescent="0.25">
      <c r="A58" s="12" t="s">
        <v>353</v>
      </c>
      <c r="B58" s="11">
        <v>1</v>
      </c>
      <c r="C58" s="13">
        <v>0</v>
      </c>
      <c r="D58" s="13">
        <v>1</v>
      </c>
      <c r="E58" s="28">
        <v>0</v>
      </c>
      <c r="F58">
        <v>0</v>
      </c>
      <c r="G58" s="13">
        <v>0</v>
      </c>
      <c r="H58" s="13">
        <v>1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>
        <v>34</v>
      </c>
      <c r="AA58">
        <v>0</v>
      </c>
      <c r="AB58">
        <v>1</v>
      </c>
      <c r="AC58">
        <v>0</v>
      </c>
      <c r="AD58" s="19">
        <v>42551</v>
      </c>
      <c r="AE58" s="19">
        <v>41487</v>
      </c>
    </row>
    <row r="59" spans="1:31" ht="15.75" thickBot="1" x14ac:dyDescent="0.3">
      <c r="A59" s="15" t="s">
        <v>355</v>
      </c>
      <c r="B59" s="14">
        <v>1</v>
      </c>
      <c r="C59" s="16">
        <v>1</v>
      </c>
      <c r="D59" s="16">
        <v>1</v>
      </c>
      <c r="E59">
        <v>0</v>
      </c>
      <c r="F59">
        <v>0</v>
      </c>
      <c r="G59" s="16">
        <v>0</v>
      </c>
      <c r="H59" s="16">
        <v>1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>
        <v>37</v>
      </c>
      <c r="Q59" t="s">
        <v>2724</v>
      </c>
      <c r="AA59">
        <v>0</v>
      </c>
      <c r="AB59">
        <v>0</v>
      </c>
      <c r="AC59">
        <v>1</v>
      </c>
      <c r="AD59" s="20">
        <v>42674</v>
      </c>
      <c r="AE59" s="20">
        <v>41518</v>
      </c>
    </row>
    <row r="60" spans="1:31" x14ac:dyDescent="0.25">
      <c r="A60" s="12" t="s">
        <v>357</v>
      </c>
      <c r="B60" s="11">
        <v>1</v>
      </c>
      <c r="C60" s="13">
        <v>1</v>
      </c>
      <c r="D60" s="13">
        <v>1</v>
      </c>
      <c r="E60" s="28">
        <v>0</v>
      </c>
      <c r="F60">
        <v>0</v>
      </c>
      <c r="G60" s="13">
        <v>0</v>
      </c>
      <c r="H60" s="13">
        <v>1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>
        <v>37</v>
      </c>
      <c r="Q60" s="24"/>
      <c r="R60" s="24" t="s">
        <v>2729</v>
      </c>
      <c r="S60" s="24" t="s">
        <v>2730</v>
      </c>
      <c r="T60" s="24" t="s">
        <v>2731</v>
      </c>
      <c r="U60" s="24" t="s">
        <v>2732</v>
      </c>
      <c r="V60" s="24" t="s">
        <v>2733</v>
      </c>
      <c r="AA60">
        <v>0</v>
      </c>
      <c r="AB60">
        <v>0</v>
      </c>
      <c r="AC60">
        <v>1</v>
      </c>
      <c r="AD60" s="19">
        <v>42674</v>
      </c>
      <c r="AE60" s="19">
        <v>41518</v>
      </c>
    </row>
    <row r="61" spans="1:31" x14ac:dyDescent="0.25">
      <c r="A61" s="15" t="s">
        <v>359</v>
      </c>
      <c r="B61" s="14">
        <v>1</v>
      </c>
      <c r="C61" s="16">
        <v>1</v>
      </c>
      <c r="D61" s="16">
        <v>1</v>
      </c>
      <c r="E61">
        <v>1</v>
      </c>
      <c r="F61">
        <v>0</v>
      </c>
      <c r="G61" s="16">
        <v>0</v>
      </c>
      <c r="H61" s="16">
        <v>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>
        <v>127</v>
      </c>
      <c r="Q61" t="s">
        <v>2725</v>
      </c>
      <c r="R61">
        <v>6</v>
      </c>
      <c r="S61">
        <v>193607.63845652551</v>
      </c>
      <c r="T61">
        <v>32267.939742754254</v>
      </c>
      <c r="U61">
        <v>31.177571276122123</v>
      </c>
      <c r="V61">
        <v>1.1057370339947949E-34</v>
      </c>
      <c r="AA61">
        <v>1</v>
      </c>
      <c r="AB61">
        <v>0</v>
      </c>
      <c r="AC61">
        <v>0</v>
      </c>
      <c r="AD61" s="20">
        <v>55153</v>
      </c>
      <c r="AE61" s="20">
        <v>41548</v>
      </c>
    </row>
    <row r="62" spans="1:31" x14ac:dyDescent="0.25">
      <c r="A62" s="12" t="s">
        <v>361</v>
      </c>
      <c r="B62" s="11">
        <v>1</v>
      </c>
      <c r="C62" s="13">
        <v>1</v>
      </c>
      <c r="D62" s="13">
        <v>1</v>
      </c>
      <c r="E62" s="28">
        <v>1</v>
      </c>
      <c r="F62">
        <v>0</v>
      </c>
      <c r="G62" s="13">
        <v>0</v>
      </c>
      <c r="H62" s="13">
        <v>0</v>
      </c>
      <c r="I62" s="13">
        <v>0</v>
      </c>
      <c r="J62" s="13">
        <v>1</v>
      </c>
      <c r="K62" s="13">
        <v>0</v>
      </c>
      <c r="L62" s="13">
        <v>0</v>
      </c>
      <c r="M62" s="13">
        <v>0</v>
      </c>
      <c r="N62" s="13">
        <v>0</v>
      </c>
      <c r="O62">
        <v>127</v>
      </c>
      <c r="Q62" t="s">
        <v>2726</v>
      </c>
      <c r="R62">
        <v>1083</v>
      </c>
      <c r="S62">
        <v>1120875.5945709918</v>
      </c>
      <c r="T62">
        <v>1034.9728481726609</v>
      </c>
      <c r="AA62">
        <v>1</v>
      </c>
      <c r="AB62">
        <v>0</v>
      </c>
      <c r="AC62">
        <v>0</v>
      </c>
      <c r="AD62" s="19">
        <v>55153</v>
      </c>
      <c r="AE62" s="19">
        <v>41548</v>
      </c>
    </row>
    <row r="63" spans="1:31" ht="15.75" thickBot="1" x14ac:dyDescent="0.3">
      <c r="A63" s="15" t="s">
        <v>363</v>
      </c>
      <c r="B63" s="14">
        <v>1</v>
      </c>
      <c r="C63" s="16">
        <v>1</v>
      </c>
      <c r="D63" s="16">
        <v>1</v>
      </c>
      <c r="E63">
        <v>0</v>
      </c>
      <c r="F63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>
        <v>49</v>
      </c>
      <c r="Q63" s="23" t="s">
        <v>2727</v>
      </c>
      <c r="R63" s="23">
        <v>1089</v>
      </c>
      <c r="S63" s="23">
        <v>1314483.2330275173</v>
      </c>
      <c r="T63" s="23"/>
      <c r="U63" s="23"/>
      <c r="V63" s="23"/>
      <c r="AA63">
        <v>0</v>
      </c>
      <c r="AB63">
        <v>0</v>
      </c>
      <c r="AC63">
        <v>1</v>
      </c>
      <c r="AD63" s="20">
        <v>43069</v>
      </c>
      <c r="AE63" s="20">
        <v>41548</v>
      </c>
    </row>
    <row r="64" spans="1:31" ht="15.75" thickBot="1" x14ac:dyDescent="0.3">
      <c r="A64" s="12" t="s">
        <v>365</v>
      </c>
      <c r="B64" s="11">
        <v>1</v>
      </c>
      <c r="C64" s="13">
        <v>1</v>
      </c>
      <c r="D64" s="13">
        <v>1</v>
      </c>
      <c r="E64" s="28">
        <v>0</v>
      </c>
      <c r="F64">
        <v>0</v>
      </c>
      <c r="G64" s="13">
        <v>0</v>
      </c>
      <c r="H64" s="13">
        <v>1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>
        <v>40</v>
      </c>
      <c r="AA64">
        <v>0</v>
      </c>
      <c r="AB64">
        <v>0</v>
      </c>
      <c r="AC64">
        <v>1</v>
      </c>
      <c r="AD64" s="19">
        <v>42794</v>
      </c>
      <c r="AE64" s="19">
        <v>41548</v>
      </c>
    </row>
    <row r="65" spans="1:31" x14ac:dyDescent="0.25">
      <c r="A65" s="15" t="s">
        <v>367</v>
      </c>
      <c r="B65" s="14">
        <v>1</v>
      </c>
      <c r="C65" s="16">
        <v>1</v>
      </c>
      <c r="D65" s="16">
        <v>1</v>
      </c>
      <c r="E65">
        <v>0</v>
      </c>
      <c r="F65">
        <v>0</v>
      </c>
      <c r="G65" s="16">
        <v>0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M65" s="16">
        <v>0</v>
      </c>
      <c r="N65" s="16">
        <v>0</v>
      </c>
      <c r="O65">
        <v>126</v>
      </c>
      <c r="Q65" s="24"/>
      <c r="R65" s="24" t="s">
        <v>2734</v>
      </c>
      <c r="S65" s="24" t="s">
        <v>2722</v>
      </c>
      <c r="T65" s="24" t="s">
        <v>2735</v>
      </c>
      <c r="U65" s="24" t="s">
        <v>2736</v>
      </c>
      <c r="V65" s="24" t="s">
        <v>2737</v>
      </c>
      <c r="W65" s="24" t="s">
        <v>2738</v>
      </c>
      <c r="X65" s="24" t="s">
        <v>2739</v>
      </c>
      <c r="Y65" s="24" t="s">
        <v>2740</v>
      </c>
      <c r="AA65">
        <v>1</v>
      </c>
      <c r="AB65">
        <v>0</v>
      </c>
      <c r="AC65">
        <v>0</v>
      </c>
      <c r="AD65" s="20">
        <v>55153</v>
      </c>
      <c r="AE65" s="20">
        <v>41579</v>
      </c>
    </row>
    <row r="66" spans="1:31" x14ac:dyDescent="0.25">
      <c r="A66" s="12" t="s">
        <v>369</v>
      </c>
      <c r="B66" s="11">
        <v>1</v>
      </c>
      <c r="C66" s="13">
        <v>0</v>
      </c>
      <c r="D66" s="13">
        <v>1</v>
      </c>
      <c r="E66" s="28">
        <v>1</v>
      </c>
      <c r="F66">
        <v>0</v>
      </c>
      <c r="G66" s="13">
        <v>0</v>
      </c>
      <c r="H66" s="13">
        <v>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>
        <v>125</v>
      </c>
      <c r="Q66" t="s">
        <v>2728</v>
      </c>
      <c r="R66">
        <v>38.012132215528325</v>
      </c>
      <c r="S66">
        <v>2.1749308358943833</v>
      </c>
      <c r="T66">
        <v>17.477398172019033</v>
      </c>
      <c r="U66">
        <v>1.9120060130360882E-60</v>
      </c>
      <c r="V66">
        <v>33.744576764944448</v>
      </c>
      <c r="W66">
        <v>42.279687666112203</v>
      </c>
      <c r="X66">
        <v>33.744576764944448</v>
      </c>
      <c r="Y66">
        <v>42.279687666112203</v>
      </c>
      <c r="AA66">
        <v>1</v>
      </c>
      <c r="AB66">
        <v>0</v>
      </c>
      <c r="AC66">
        <v>0</v>
      </c>
      <c r="AD66" s="19">
        <v>55153</v>
      </c>
      <c r="AE66" s="19">
        <v>41609</v>
      </c>
    </row>
    <row r="67" spans="1:31" x14ac:dyDescent="0.25">
      <c r="A67" s="15" t="s">
        <v>371</v>
      </c>
      <c r="B67" s="14">
        <v>1</v>
      </c>
      <c r="C67" s="16">
        <v>0</v>
      </c>
      <c r="D67" s="16">
        <v>1</v>
      </c>
      <c r="E67">
        <v>0</v>
      </c>
      <c r="F67">
        <v>0</v>
      </c>
      <c r="G67" s="16">
        <v>0</v>
      </c>
      <c r="H67" s="16">
        <v>0</v>
      </c>
      <c r="I67" s="16">
        <v>0</v>
      </c>
      <c r="J67" s="16">
        <v>1</v>
      </c>
      <c r="K67" s="16">
        <v>0</v>
      </c>
      <c r="L67" s="16">
        <v>0</v>
      </c>
      <c r="M67" s="16">
        <v>0</v>
      </c>
      <c r="N67" s="16">
        <v>0</v>
      </c>
      <c r="O67">
        <v>77</v>
      </c>
      <c r="Q67" t="s">
        <v>2714</v>
      </c>
      <c r="R67">
        <v>-26.264534440667052</v>
      </c>
      <c r="S67">
        <v>4.8361760984556712</v>
      </c>
      <c r="T67">
        <v>-5.4308474104270248</v>
      </c>
      <c r="U67">
        <v>6.9227243596820708E-8</v>
      </c>
      <c r="V67">
        <v>-35.753870528203315</v>
      </c>
      <c r="W67">
        <v>-16.77519835313079</v>
      </c>
      <c r="X67">
        <v>-35.753870528203315</v>
      </c>
      <c r="Y67">
        <v>-16.77519835313079</v>
      </c>
      <c r="AA67">
        <v>0</v>
      </c>
      <c r="AB67">
        <v>1</v>
      </c>
      <c r="AC67">
        <v>0</v>
      </c>
      <c r="AD67" s="20">
        <v>43982</v>
      </c>
      <c r="AE67" s="20">
        <v>41609</v>
      </c>
    </row>
    <row r="68" spans="1:31" x14ac:dyDescent="0.25">
      <c r="A68" s="12" t="s">
        <v>373</v>
      </c>
      <c r="B68" s="11">
        <v>1</v>
      </c>
      <c r="C68" s="13">
        <v>0</v>
      </c>
      <c r="D68" s="13">
        <v>1</v>
      </c>
      <c r="E68" s="28">
        <v>1</v>
      </c>
      <c r="F68">
        <v>0</v>
      </c>
      <c r="G68" s="13">
        <v>0</v>
      </c>
      <c r="H68" s="13">
        <v>0</v>
      </c>
      <c r="I68" s="13">
        <v>0</v>
      </c>
      <c r="J68" s="13">
        <v>0</v>
      </c>
      <c r="K68" s="13">
        <v>1</v>
      </c>
      <c r="L68" s="13">
        <v>0</v>
      </c>
      <c r="M68" s="13">
        <v>0</v>
      </c>
      <c r="N68" s="13">
        <v>0</v>
      </c>
      <c r="O68">
        <v>125</v>
      </c>
      <c r="Q68" t="s">
        <v>2715</v>
      </c>
      <c r="R68">
        <v>13.310159040646804</v>
      </c>
      <c r="S68">
        <v>3.5032489028853093</v>
      </c>
      <c r="T68">
        <v>3.7993757822016101</v>
      </c>
      <c r="U68">
        <v>1.5313301372024622E-4</v>
      </c>
      <c r="V68">
        <v>6.4362351882074789</v>
      </c>
      <c r="W68">
        <v>20.184082893086128</v>
      </c>
      <c r="X68">
        <v>6.4362351882074789</v>
      </c>
      <c r="Y68">
        <v>20.184082893086128</v>
      </c>
      <c r="AA68">
        <v>1</v>
      </c>
      <c r="AB68">
        <v>0</v>
      </c>
      <c r="AC68">
        <v>0</v>
      </c>
      <c r="AD68" s="19">
        <v>55153</v>
      </c>
      <c r="AE68" s="19">
        <v>41609</v>
      </c>
    </row>
    <row r="69" spans="1:31" x14ac:dyDescent="0.25">
      <c r="A69" s="15" t="s">
        <v>375</v>
      </c>
      <c r="B69" s="14">
        <v>1</v>
      </c>
      <c r="C69" s="16">
        <v>1</v>
      </c>
      <c r="D69" s="16">
        <v>1</v>
      </c>
      <c r="E69">
        <v>1</v>
      </c>
      <c r="F69">
        <v>0</v>
      </c>
      <c r="G69" s="16">
        <v>0</v>
      </c>
      <c r="H69" s="16">
        <v>1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>
        <v>123</v>
      </c>
      <c r="Q69" t="s">
        <v>2716</v>
      </c>
      <c r="R69">
        <v>33.093595388052343</v>
      </c>
      <c r="S69">
        <v>5.654622244765231</v>
      </c>
      <c r="T69">
        <v>5.8524856224814581</v>
      </c>
      <c r="U69">
        <v>6.411621094920588E-9</v>
      </c>
      <c r="V69">
        <v>21.998339583415543</v>
      </c>
      <c r="W69">
        <v>44.188851192689143</v>
      </c>
      <c r="X69">
        <v>21.998339583415543</v>
      </c>
      <c r="Y69">
        <v>44.188851192689143</v>
      </c>
      <c r="AA69">
        <v>1</v>
      </c>
      <c r="AB69">
        <v>0</v>
      </c>
      <c r="AC69">
        <v>0</v>
      </c>
      <c r="AD69" s="20">
        <v>55153</v>
      </c>
      <c r="AE69" s="20">
        <v>41671</v>
      </c>
    </row>
    <row r="70" spans="1:31" x14ac:dyDescent="0.25">
      <c r="A70" s="12" t="s">
        <v>377</v>
      </c>
      <c r="B70" s="11">
        <v>1</v>
      </c>
      <c r="C70" s="13">
        <v>1</v>
      </c>
      <c r="D70" s="13">
        <v>1</v>
      </c>
      <c r="E70" s="28">
        <v>0</v>
      </c>
      <c r="F70">
        <v>0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0</v>
      </c>
      <c r="M70" s="13">
        <v>0</v>
      </c>
      <c r="N70" s="13">
        <v>0</v>
      </c>
      <c r="O70">
        <v>43</v>
      </c>
      <c r="Q70" t="s">
        <v>2896</v>
      </c>
      <c r="R70">
        <v>11.505247436113557</v>
      </c>
      <c r="S70">
        <v>2.4528223281234185</v>
      </c>
      <c r="T70">
        <v>4.6906159097613402</v>
      </c>
      <c r="U70">
        <v>3.0715575423577243E-6</v>
      </c>
      <c r="V70">
        <v>6.6924252888785016</v>
      </c>
      <c r="W70">
        <v>16.31806958334861</v>
      </c>
      <c r="X70">
        <v>6.6924252888785016</v>
      </c>
      <c r="Y70">
        <v>16.31806958334861</v>
      </c>
      <c r="AA70">
        <v>0</v>
      </c>
      <c r="AB70">
        <v>0</v>
      </c>
      <c r="AC70">
        <v>1</v>
      </c>
      <c r="AD70" s="19">
        <v>43069</v>
      </c>
      <c r="AE70" s="19">
        <v>41730</v>
      </c>
    </row>
    <row r="71" spans="1:31" x14ac:dyDescent="0.25">
      <c r="A71" s="15" t="s">
        <v>379</v>
      </c>
      <c r="B71" s="14">
        <v>1</v>
      </c>
      <c r="C71" s="16">
        <v>0</v>
      </c>
      <c r="D71" s="16">
        <v>1</v>
      </c>
      <c r="E71">
        <v>0</v>
      </c>
      <c r="F71">
        <v>0</v>
      </c>
      <c r="G71" s="16">
        <v>0</v>
      </c>
      <c r="H71" s="16">
        <v>0</v>
      </c>
      <c r="I71" s="16">
        <v>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>
        <v>60</v>
      </c>
      <c r="Q71" t="s">
        <v>2897</v>
      </c>
      <c r="R71">
        <v>33.187531011673606</v>
      </c>
      <c r="S71">
        <v>2.7315073092650199</v>
      </c>
      <c r="T71">
        <v>12.149896468921966</v>
      </c>
      <c r="U71">
        <v>6.1845696576481143E-32</v>
      </c>
      <c r="V71">
        <v>27.827885218077569</v>
      </c>
      <c r="W71">
        <v>38.547176805269643</v>
      </c>
      <c r="X71">
        <v>27.827885218077569</v>
      </c>
      <c r="Y71">
        <v>38.547176805269643</v>
      </c>
      <c r="AA71">
        <v>0</v>
      </c>
      <c r="AB71">
        <v>0</v>
      </c>
      <c r="AC71">
        <v>1</v>
      </c>
      <c r="AD71" s="20">
        <v>43496</v>
      </c>
      <c r="AE71" s="20">
        <v>41640</v>
      </c>
    </row>
    <row r="72" spans="1:31" ht="15.75" thickBot="1" x14ac:dyDescent="0.3">
      <c r="A72" s="12" t="s">
        <v>381</v>
      </c>
      <c r="B72" s="11">
        <v>1</v>
      </c>
      <c r="C72" s="13">
        <v>1</v>
      </c>
      <c r="D72" s="13">
        <v>1</v>
      </c>
      <c r="E72" s="28">
        <v>1</v>
      </c>
      <c r="F72">
        <v>0</v>
      </c>
      <c r="G72" s="13">
        <v>0</v>
      </c>
      <c r="H72" s="13">
        <v>0</v>
      </c>
      <c r="I72" s="13">
        <v>0</v>
      </c>
      <c r="J72" s="13">
        <v>1</v>
      </c>
      <c r="K72" s="13">
        <v>0</v>
      </c>
      <c r="L72" s="13">
        <v>0</v>
      </c>
      <c r="M72" s="13">
        <v>0</v>
      </c>
      <c r="N72" s="13">
        <v>0</v>
      </c>
      <c r="O72">
        <v>124</v>
      </c>
      <c r="Q72" s="23" t="s">
        <v>32</v>
      </c>
      <c r="R72" s="23">
        <v>12.320338100390103</v>
      </c>
      <c r="S72" s="23">
        <v>2.4047972593146971</v>
      </c>
      <c r="T72" s="23">
        <v>5.1232335918001963</v>
      </c>
      <c r="U72" s="23">
        <v>3.5539203791970068E-7</v>
      </c>
      <c r="V72" s="23">
        <v>7.601748671169295</v>
      </c>
      <c r="W72" s="23">
        <v>17.038927529610909</v>
      </c>
      <c r="X72" s="23">
        <v>7.601748671169295</v>
      </c>
      <c r="Y72" s="23">
        <v>17.038927529610909</v>
      </c>
      <c r="AA72">
        <v>1</v>
      </c>
      <c r="AB72">
        <v>0</v>
      </c>
      <c r="AC72">
        <v>0</v>
      </c>
      <c r="AD72" s="19">
        <v>55153</v>
      </c>
      <c r="AE72" s="19">
        <v>41640</v>
      </c>
    </row>
    <row r="73" spans="1:31" x14ac:dyDescent="0.25">
      <c r="A73" s="15" t="s">
        <v>383</v>
      </c>
      <c r="B73" s="14">
        <v>1</v>
      </c>
      <c r="C73" s="16">
        <v>0</v>
      </c>
      <c r="D73" s="16">
        <v>1</v>
      </c>
      <c r="E73">
        <v>0</v>
      </c>
      <c r="F73">
        <v>0</v>
      </c>
      <c r="G73" s="16">
        <v>0</v>
      </c>
      <c r="H73" s="16">
        <v>1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>
        <v>57</v>
      </c>
      <c r="AA73">
        <v>0</v>
      </c>
      <c r="AB73">
        <v>1</v>
      </c>
      <c r="AC73">
        <v>0</v>
      </c>
      <c r="AD73" s="20">
        <v>43404</v>
      </c>
      <c r="AE73" s="20">
        <v>41640</v>
      </c>
    </row>
    <row r="74" spans="1:31" ht="18.75" x14ac:dyDescent="0.3">
      <c r="A74" s="12" t="s">
        <v>385</v>
      </c>
      <c r="B74" s="11">
        <v>0</v>
      </c>
      <c r="C74" s="13">
        <v>0</v>
      </c>
      <c r="D74" s="13">
        <v>0</v>
      </c>
      <c r="E74" s="28">
        <v>0</v>
      </c>
      <c r="F74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1</v>
      </c>
      <c r="N74" s="13">
        <v>0</v>
      </c>
      <c r="O74">
        <v>18</v>
      </c>
      <c r="Q74" s="26" t="s">
        <v>2744</v>
      </c>
      <c r="AA74">
        <v>0</v>
      </c>
      <c r="AB74">
        <v>0</v>
      </c>
      <c r="AC74">
        <v>1</v>
      </c>
      <c r="AD74" s="19">
        <v>42643</v>
      </c>
      <c r="AE74" s="19">
        <v>41974</v>
      </c>
    </row>
    <row r="75" spans="1:31" ht="15.75" thickBot="1" x14ac:dyDescent="0.3">
      <c r="A75" s="15" t="s">
        <v>387</v>
      </c>
      <c r="B75" s="14">
        <v>0</v>
      </c>
      <c r="C75" s="16">
        <v>0</v>
      </c>
      <c r="D75" s="16">
        <v>0</v>
      </c>
      <c r="E75">
        <v>0</v>
      </c>
      <c r="F75">
        <v>1</v>
      </c>
      <c r="G75" s="16">
        <v>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>
        <v>113</v>
      </c>
      <c r="AA75">
        <v>1</v>
      </c>
      <c r="AB75">
        <v>0</v>
      </c>
      <c r="AC75">
        <v>0</v>
      </c>
      <c r="AD75" s="20">
        <v>55153</v>
      </c>
      <c r="AE75" s="20">
        <v>41974</v>
      </c>
    </row>
    <row r="76" spans="1:31" x14ac:dyDescent="0.25">
      <c r="A76" s="12" t="s">
        <v>389</v>
      </c>
      <c r="B76" s="11">
        <v>0</v>
      </c>
      <c r="C76" s="13">
        <v>0</v>
      </c>
      <c r="D76" s="13">
        <v>0</v>
      </c>
      <c r="E76" s="28">
        <v>0</v>
      </c>
      <c r="F76">
        <v>1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1</v>
      </c>
      <c r="N76" s="13">
        <v>0</v>
      </c>
      <c r="O76">
        <v>113</v>
      </c>
      <c r="Q76" s="25" t="s">
        <v>2718</v>
      </c>
      <c r="R76" s="25"/>
      <c r="AA76">
        <v>1</v>
      </c>
      <c r="AB76">
        <v>0</v>
      </c>
      <c r="AC76">
        <v>0</v>
      </c>
      <c r="AD76" s="19">
        <v>55153</v>
      </c>
      <c r="AE76" s="19">
        <v>41974</v>
      </c>
    </row>
    <row r="77" spans="1:31" x14ac:dyDescent="0.25">
      <c r="A77" s="15" t="s">
        <v>391</v>
      </c>
      <c r="B77" s="14">
        <v>0</v>
      </c>
      <c r="C77" s="16">
        <v>0</v>
      </c>
      <c r="D77" s="16">
        <v>0</v>
      </c>
      <c r="E77">
        <v>0</v>
      </c>
      <c r="F77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>
        <v>17</v>
      </c>
      <c r="Q77" t="s">
        <v>2719</v>
      </c>
      <c r="R77">
        <v>0.36004166030195378</v>
      </c>
      <c r="AA77">
        <v>0</v>
      </c>
      <c r="AB77">
        <v>0</v>
      </c>
      <c r="AC77">
        <v>1</v>
      </c>
      <c r="AD77" s="20">
        <v>42825</v>
      </c>
      <c r="AE77" s="20">
        <v>41974</v>
      </c>
    </row>
    <row r="78" spans="1:31" x14ac:dyDescent="0.25">
      <c r="A78" s="12" t="s">
        <v>393</v>
      </c>
      <c r="B78" s="11">
        <v>0</v>
      </c>
      <c r="C78" s="13">
        <v>0</v>
      </c>
      <c r="D78" s="13">
        <v>0</v>
      </c>
      <c r="E78" s="28">
        <v>0</v>
      </c>
      <c r="F78">
        <v>0</v>
      </c>
      <c r="G78" s="13">
        <v>0</v>
      </c>
      <c r="H78" s="13">
        <v>0</v>
      </c>
      <c r="I78" s="13">
        <v>1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>
        <v>72</v>
      </c>
      <c r="Q78" t="s">
        <v>2720</v>
      </c>
      <c r="R78">
        <v>0.12962999715298748</v>
      </c>
      <c r="AA78">
        <v>0</v>
      </c>
      <c r="AB78">
        <v>0</v>
      </c>
      <c r="AC78">
        <v>1</v>
      </c>
      <c r="AD78" s="19">
        <v>44196</v>
      </c>
      <c r="AE78" s="19">
        <v>41974</v>
      </c>
    </row>
    <row r="79" spans="1:31" x14ac:dyDescent="0.25">
      <c r="A79" s="15" t="s">
        <v>395</v>
      </c>
      <c r="B79" s="14">
        <v>0</v>
      </c>
      <c r="C79" s="16">
        <v>0</v>
      </c>
      <c r="D79" s="16">
        <v>0</v>
      </c>
      <c r="E79">
        <v>0</v>
      </c>
      <c r="F79">
        <v>1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1</v>
      </c>
      <c r="N79" s="16">
        <v>0</v>
      </c>
      <c r="O79">
        <v>113</v>
      </c>
      <c r="Q79" t="s">
        <v>2721</v>
      </c>
      <c r="R79">
        <v>0.12480800267738075</v>
      </c>
      <c r="AA79">
        <v>1</v>
      </c>
      <c r="AB79">
        <v>0</v>
      </c>
      <c r="AC79">
        <v>0</v>
      </c>
      <c r="AD79" s="20">
        <v>55153</v>
      </c>
      <c r="AE79" s="20">
        <v>41974</v>
      </c>
    </row>
    <row r="80" spans="1:31" x14ac:dyDescent="0.25">
      <c r="A80" s="12" t="s">
        <v>397</v>
      </c>
      <c r="B80" s="11">
        <v>0</v>
      </c>
      <c r="C80" s="13">
        <v>0</v>
      </c>
      <c r="D80" s="13">
        <v>0</v>
      </c>
      <c r="E80" s="28">
        <v>0</v>
      </c>
      <c r="F80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>
        <v>0</v>
      </c>
      <c r="O80">
        <v>24</v>
      </c>
      <c r="Q80" t="s">
        <v>2722</v>
      </c>
      <c r="R80">
        <v>32.502386804500851</v>
      </c>
      <c r="AA80">
        <v>0</v>
      </c>
      <c r="AB80">
        <v>0</v>
      </c>
      <c r="AC80">
        <v>1</v>
      </c>
      <c r="AD80" s="19">
        <v>42735</v>
      </c>
      <c r="AE80" s="19">
        <v>41974</v>
      </c>
    </row>
    <row r="81" spans="1:31" ht="15.75" thickBot="1" x14ac:dyDescent="0.3">
      <c r="A81" s="15" t="s">
        <v>399</v>
      </c>
      <c r="B81" s="14">
        <v>0</v>
      </c>
      <c r="C81" s="16">
        <v>0</v>
      </c>
      <c r="D81" s="16">
        <v>0</v>
      </c>
      <c r="E81">
        <v>0</v>
      </c>
      <c r="F81">
        <v>0</v>
      </c>
      <c r="G81" s="16">
        <v>1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>
        <v>56</v>
      </c>
      <c r="Q81" s="23" t="s">
        <v>2723</v>
      </c>
      <c r="R81" s="23">
        <v>1090</v>
      </c>
      <c r="AA81">
        <v>0</v>
      </c>
      <c r="AB81">
        <v>0</v>
      </c>
      <c r="AC81">
        <v>1</v>
      </c>
      <c r="AD81" s="20">
        <v>43738</v>
      </c>
      <c r="AE81" s="20">
        <v>41974</v>
      </c>
    </row>
    <row r="82" spans="1:31" x14ac:dyDescent="0.25">
      <c r="A82" s="12" t="s">
        <v>401</v>
      </c>
      <c r="B82" s="11">
        <v>0</v>
      </c>
      <c r="C82" s="13">
        <v>0</v>
      </c>
      <c r="D82" s="13">
        <v>0</v>
      </c>
      <c r="E82" s="28">
        <v>0</v>
      </c>
      <c r="F82">
        <v>0</v>
      </c>
      <c r="G82" s="13">
        <v>1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>
        <v>72</v>
      </c>
      <c r="AA82">
        <v>0</v>
      </c>
      <c r="AB82">
        <v>0</v>
      </c>
      <c r="AC82">
        <v>1</v>
      </c>
      <c r="AD82" s="19">
        <v>44196</v>
      </c>
      <c r="AE82" s="19">
        <v>41974</v>
      </c>
    </row>
    <row r="83" spans="1:31" ht="15.75" thickBot="1" x14ac:dyDescent="0.3">
      <c r="A83" s="15" t="s">
        <v>403</v>
      </c>
      <c r="B83" s="14">
        <v>0</v>
      </c>
      <c r="C83" s="16">
        <v>0</v>
      </c>
      <c r="D83" s="16">
        <v>0</v>
      </c>
      <c r="E83">
        <v>0</v>
      </c>
      <c r="F83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1</v>
      </c>
      <c r="N83" s="16">
        <v>0</v>
      </c>
      <c r="O83">
        <v>12</v>
      </c>
      <c r="Q83" t="s">
        <v>2724</v>
      </c>
      <c r="AA83">
        <v>0</v>
      </c>
      <c r="AB83">
        <v>0</v>
      </c>
      <c r="AC83">
        <v>1</v>
      </c>
      <c r="AD83" s="20">
        <v>42369</v>
      </c>
      <c r="AE83" s="20">
        <v>41974</v>
      </c>
    </row>
    <row r="84" spans="1:31" x14ac:dyDescent="0.25">
      <c r="A84" s="12" t="s">
        <v>405</v>
      </c>
      <c r="B84" s="11">
        <v>0</v>
      </c>
      <c r="C84" s="13">
        <v>0</v>
      </c>
      <c r="D84" s="13">
        <v>0</v>
      </c>
      <c r="E84" s="28">
        <v>0</v>
      </c>
      <c r="F84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1</v>
      </c>
      <c r="N84" s="13">
        <v>0</v>
      </c>
      <c r="O84">
        <v>12</v>
      </c>
      <c r="Q84" s="24"/>
      <c r="R84" s="24" t="s">
        <v>2729</v>
      </c>
      <c r="S84" s="24" t="s">
        <v>2730</v>
      </c>
      <c r="T84" s="24" t="s">
        <v>2731</v>
      </c>
      <c r="U84" s="24" t="s">
        <v>2732</v>
      </c>
      <c r="V84" s="24" t="s">
        <v>2733</v>
      </c>
      <c r="AA84">
        <v>0</v>
      </c>
      <c r="AB84">
        <v>0</v>
      </c>
      <c r="AC84">
        <v>1</v>
      </c>
      <c r="AD84" s="19">
        <v>42369</v>
      </c>
      <c r="AE84" s="19">
        <v>41974</v>
      </c>
    </row>
    <row r="85" spans="1:31" x14ac:dyDescent="0.25">
      <c r="A85" s="15" t="s">
        <v>407</v>
      </c>
      <c r="B85" s="14">
        <v>0</v>
      </c>
      <c r="C85" s="16">
        <v>0</v>
      </c>
      <c r="D85" s="16">
        <v>0</v>
      </c>
      <c r="E85">
        <v>0</v>
      </c>
      <c r="F85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1</v>
      </c>
      <c r="N85" s="16">
        <v>0</v>
      </c>
      <c r="O85">
        <v>12</v>
      </c>
      <c r="Q85" t="s">
        <v>2725</v>
      </c>
      <c r="R85">
        <v>6</v>
      </c>
      <c r="S85">
        <v>170396.45775500685</v>
      </c>
      <c r="T85">
        <v>28399.409625834476</v>
      </c>
      <c r="U85">
        <v>26.883066293160166</v>
      </c>
      <c r="V85">
        <v>5.6806618506154352E-30</v>
      </c>
      <c r="AA85">
        <v>0</v>
      </c>
      <c r="AB85">
        <v>0</v>
      </c>
      <c r="AC85">
        <v>1</v>
      </c>
      <c r="AD85" s="20">
        <v>42369</v>
      </c>
      <c r="AE85" s="20">
        <v>41974</v>
      </c>
    </row>
    <row r="86" spans="1:31" x14ac:dyDescent="0.25">
      <c r="A86" s="12" t="s">
        <v>409</v>
      </c>
      <c r="B86" s="11">
        <v>0</v>
      </c>
      <c r="C86" s="13">
        <v>0</v>
      </c>
      <c r="D86" s="13">
        <v>0</v>
      </c>
      <c r="E86" s="28">
        <v>0</v>
      </c>
      <c r="F86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1</v>
      </c>
      <c r="N86" s="13">
        <v>0</v>
      </c>
      <c r="O86">
        <v>12</v>
      </c>
      <c r="Q86" t="s">
        <v>2726</v>
      </c>
      <c r="R86">
        <v>1083</v>
      </c>
      <c r="S86">
        <v>1144086.7752725105</v>
      </c>
      <c r="T86">
        <v>1056.405147989391</v>
      </c>
      <c r="AA86">
        <v>0</v>
      </c>
      <c r="AB86">
        <v>0</v>
      </c>
      <c r="AC86">
        <v>1</v>
      </c>
      <c r="AD86" s="19">
        <v>42369</v>
      </c>
      <c r="AE86" s="19">
        <v>41974</v>
      </c>
    </row>
    <row r="87" spans="1:31" ht="15.75" thickBot="1" x14ac:dyDescent="0.3">
      <c r="A87" s="15" t="s">
        <v>411</v>
      </c>
      <c r="B87" s="14">
        <v>0</v>
      </c>
      <c r="C87" s="16">
        <v>0</v>
      </c>
      <c r="D87" s="16">
        <v>0</v>
      </c>
      <c r="E87">
        <v>0</v>
      </c>
      <c r="F87">
        <v>0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>
        <v>51</v>
      </c>
      <c r="Q87" s="23" t="s">
        <v>2727</v>
      </c>
      <c r="R87" s="23">
        <v>1089</v>
      </c>
      <c r="S87" s="23">
        <v>1314483.2330275173</v>
      </c>
      <c r="T87" s="23"/>
      <c r="U87" s="23"/>
      <c r="V87" s="23"/>
      <c r="AA87">
        <v>0</v>
      </c>
      <c r="AB87">
        <v>0</v>
      </c>
      <c r="AC87">
        <v>1</v>
      </c>
      <c r="AD87" s="20">
        <v>43555</v>
      </c>
      <c r="AE87" s="20">
        <v>41974</v>
      </c>
    </row>
    <row r="88" spans="1:31" ht="15.75" thickBot="1" x14ac:dyDescent="0.3">
      <c r="A88" s="12" t="s">
        <v>413</v>
      </c>
      <c r="B88" s="11">
        <v>0</v>
      </c>
      <c r="C88" s="13">
        <v>0</v>
      </c>
      <c r="D88" s="13">
        <v>0</v>
      </c>
      <c r="E88" s="28">
        <v>0</v>
      </c>
      <c r="F88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1</v>
      </c>
      <c r="N88" s="13">
        <v>0</v>
      </c>
      <c r="O88">
        <v>24</v>
      </c>
      <c r="AA88">
        <v>0</v>
      </c>
      <c r="AB88">
        <v>0</v>
      </c>
      <c r="AC88">
        <v>1</v>
      </c>
      <c r="AD88" s="19">
        <v>42735</v>
      </c>
      <c r="AE88" s="19">
        <v>41974</v>
      </c>
    </row>
    <row r="89" spans="1:31" x14ac:dyDescent="0.25">
      <c r="A89" s="15" t="s">
        <v>415</v>
      </c>
      <c r="B89" s="14">
        <v>0</v>
      </c>
      <c r="C89" s="16">
        <v>0</v>
      </c>
      <c r="D89" s="16">
        <v>0</v>
      </c>
      <c r="E89">
        <v>0</v>
      </c>
      <c r="F89">
        <v>1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1</v>
      </c>
      <c r="N89" s="16">
        <v>0</v>
      </c>
      <c r="O89">
        <v>113</v>
      </c>
      <c r="Q89" s="24"/>
      <c r="R89" s="24" t="s">
        <v>2734</v>
      </c>
      <c r="S89" s="24" t="s">
        <v>2722</v>
      </c>
      <c r="T89" s="24" t="s">
        <v>2735</v>
      </c>
      <c r="U89" s="24" t="s">
        <v>2736</v>
      </c>
      <c r="V89" s="24" t="s">
        <v>2737</v>
      </c>
      <c r="W89" s="24" t="s">
        <v>2738</v>
      </c>
      <c r="X89" s="24" t="s">
        <v>2739</v>
      </c>
      <c r="Y89" s="24" t="s">
        <v>2740</v>
      </c>
      <c r="AA89">
        <v>1</v>
      </c>
      <c r="AB89">
        <v>0</v>
      </c>
      <c r="AC89">
        <v>0</v>
      </c>
      <c r="AD89" s="20">
        <v>55153</v>
      </c>
      <c r="AE89" s="20">
        <v>41974</v>
      </c>
    </row>
    <row r="90" spans="1:31" x14ac:dyDescent="0.25">
      <c r="A90" s="12" t="s">
        <v>417</v>
      </c>
      <c r="B90" s="11">
        <v>0</v>
      </c>
      <c r="C90" s="13">
        <v>0</v>
      </c>
      <c r="D90" s="13">
        <v>0</v>
      </c>
      <c r="E90" s="28">
        <v>0</v>
      </c>
      <c r="F90">
        <v>1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1</v>
      </c>
      <c r="N90" s="13">
        <v>0</v>
      </c>
      <c r="O90">
        <v>113</v>
      </c>
      <c r="Q90" t="s">
        <v>2728</v>
      </c>
      <c r="R90">
        <v>42.429564220237985</v>
      </c>
      <c r="S90">
        <v>2.0116808722436841</v>
      </c>
      <c r="T90">
        <v>21.091597979412661</v>
      </c>
      <c r="U90">
        <v>5.2752246737545866E-83</v>
      </c>
      <c r="V90">
        <v>38.482330805043645</v>
      </c>
      <c r="W90">
        <v>46.376797635432325</v>
      </c>
      <c r="X90">
        <v>38.482330805043645</v>
      </c>
      <c r="Y90">
        <v>46.376797635432325</v>
      </c>
      <c r="AA90">
        <v>1</v>
      </c>
      <c r="AB90">
        <v>0</v>
      </c>
      <c r="AC90">
        <v>0</v>
      </c>
      <c r="AD90" s="19">
        <v>55153</v>
      </c>
      <c r="AE90" s="19">
        <v>41974</v>
      </c>
    </row>
    <row r="91" spans="1:31" x14ac:dyDescent="0.25">
      <c r="A91" s="15" t="s">
        <v>419</v>
      </c>
      <c r="B91" s="14">
        <v>0</v>
      </c>
      <c r="C91" s="16">
        <v>0</v>
      </c>
      <c r="D91" s="16">
        <v>0</v>
      </c>
      <c r="E91">
        <v>0</v>
      </c>
      <c r="F91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1</v>
      </c>
      <c r="N91" s="16">
        <v>0</v>
      </c>
      <c r="O91">
        <v>93</v>
      </c>
      <c r="Q91" t="s">
        <v>2714</v>
      </c>
      <c r="R91">
        <v>-28.56958181880664</v>
      </c>
      <c r="S91">
        <v>4.8687273930039794</v>
      </c>
      <c r="T91">
        <v>-5.8679772993368102</v>
      </c>
      <c r="U91">
        <v>5.8573105815481297E-9</v>
      </c>
      <c r="V91">
        <v>-38.122788652106678</v>
      </c>
      <c r="W91">
        <v>-19.016374985506605</v>
      </c>
      <c r="X91">
        <v>-38.122788652106678</v>
      </c>
      <c r="Y91">
        <v>-19.016374985506605</v>
      </c>
      <c r="AA91">
        <v>0</v>
      </c>
      <c r="AB91">
        <v>0</v>
      </c>
      <c r="AC91">
        <v>1</v>
      </c>
      <c r="AD91" s="20">
        <v>44834</v>
      </c>
      <c r="AE91" s="20">
        <v>41974</v>
      </c>
    </row>
    <row r="92" spans="1:31" x14ac:dyDescent="0.25">
      <c r="A92" s="12" t="s">
        <v>421</v>
      </c>
      <c r="B92" s="11">
        <v>0</v>
      </c>
      <c r="C92" s="13">
        <v>0</v>
      </c>
      <c r="D92" s="13">
        <v>0</v>
      </c>
      <c r="E92" s="28">
        <v>0</v>
      </c>
      <c r="F92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1</v>
      </c>
      <c r="N92" s="13">
        <v>0</v>
      </c>
      <c r="O92">
        <v>24</v>
      </c>
      <c r="Q92" t="s">
        <v>2715</v>
      </c>
      <c r="R92">
        <v>9.3288708468463639</v>
      </c>
      <c r="S92">
        <v>3.5881874787706693</v>
      </c>
      <c r="T92">
        <v>2.5998838973827758</v>
      </c>
      <c r="U92">
        <v>9.4524337502515307E-3</v>
      </c>
      <c r="V92">
        <v>2.2882841854100162</v>
      </c>
      <c r="W92">
        <v>16.369457508282711</v>
      </c>
      <c r="X92">
        <v>2.2882841854100162</v>
      </c>
      <c r="Y92">
        <v>16.369457508282711</v>
      </c>
      <c r="AA92">
        <v>0</v>
      </c>
      <c r="AB92">
        <v>0</v>
      </c>
      <c r="AC92">
        <v>1</v>
      </c>
      <c r="AD92" s="19">
        <v>42735</v>
      </c>
      <c r="AE92" s="19">
        <v>41974</v>
      </c>
    </row>
    <row r="93" spans="1:31" x14ac:dyDescent="0.25">
      <c r="A93" s="15" t="s">
        <v>423</v>
      </c>
      <c r="B93" s="14">
        <v>0</v>
      </c>
      <c r="C93" s="16">
        <v>0</v>
      </c>
      <c r="D93" s="16">
        <v>0</v>
      </c>
      <c r="E93">
        <v>0</v>
      </c>
      <c r="F93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1</v>
      </c>
      <c r="N93" s="16">
        <v>0</v>
      </c>
      <c r="O93">
        <v>24</v>
      </c>
      <c r="Q93" t="s">
        <v>2716</v>
      </c>
      <c r="R93">
        <v>32.607167282172938</v>
      </c>
      <c r="S93">
        <v>5.7261788612322304</v>
      </c>
      <c r="T93">
        <v>5.6944025103603071</v>
      </c>
      <c r="U93">
        <v>1.5937373087315666E-8</v>
      </c>
      <c r="V93">
        <v>21.371506171956156</v>
      </c>
      <c r="W93">
        <v>43.84282839238972</v>
      </c>
      <c r="X93">
        <v>21.371506171956156</v>
      </c>
      <c r="Y93">
        <v>43.84282839238972</v>
      </c>
      <c r="AA93">
        <v>0</v>
      </c>
      <c r="AB93">
        <v>0</v>
      </c>
      <c r="AC93">
        <v>1</v>
      </c>
      <c r="AD93" s="20">
        <v>42735</v>
      </c>
      <c r="AE93" s="20">
        <v>41974</v>
      </c>
    </row>
    <row r="94" spans="1:31" x14ac:dyDescent="0.25">
      <c r="A94" s="12" t="s">
        <v>425</v>
      </c>
      <c r="B94" s="11">
        <v>0</v>
      </c>
      <c r="C94" s="13">
        <v>0</v>
      </c>
      <c r="D94" s="13">
        <v>0</v>
      </c>
      <c r="E94" s="28">
        <v>0</v>
      </c>
      <c r="F94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1</v>
      </c>
      <c r="N94" s="13">
        <v>0</v>
      </c>
      <c r="O94">
        <v>48</v>
      </c>
      <c r="Q94" t="s">
        <v>2896</v>
      </c>
      <c r="R94">
        <v>11.622108466526358</v>
      </c>
      <c r="S94">
        <v>2.4792456326836501</v>
      </c>
      <c r="T94">
        <v>4.6877599836471431</v>
      </c>
      <c r="U94">
        <v>3.11385476057438E-6</v>
      </c>
      <c r="V94">
        <v>6.7574396510950328</v>
      </c>
      <c r="W94">
        <v>16.486777281957682</v>
      </c>
      <c r="X94">
        <v>6.7574396510950328</v>
      </c>
      <c r="Y94">
        <v>16.486777281957682</v>
      </c>
      <c r="AA94">
        <v>0</v>
      </c>
      <c r="AB94">
        <v>0</v>
      </c>
      <c r="AC94">
        <v>1</v>
      </c>
      <c r="AD94" s="19">
        <v>43465</v>
      </c>
      <c r="AE94" s="19">
        <v>41974</v>
      </c>
    </row>
    <row r="95" spans="1:31" x14ac:dyDescent="0.25">
      <c r="A95" s="15" t="s">
        <v>427</v>
      </c>
      <c r="B95" s="14">
        <v>0</v>
      </c>
      <c r="C95" s="16">
        <v>0</v>
      </c>
      <c r="D95" s="16">
        <v>0</v>
      </c>
      <c r="E95">
        <v>0</v>
      </c>
      <c r="F95">
        <v>1</v>
      </c>
      <c r="G95" s="16">
        <v>1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>
        <v>113</v>
      </c>
      <c r="Q95" t="s">
        <v>2897</v>
      </c>
      <c r="R95">
        <v>32.180756813865578</v>
      </c>
      <c r="S95">
        <v>2.7517125021701543</v>
      </c>
      <c r="T95">
        <v>11.694810700058976</v>
      </c>
      <c r="U95">
        <v>7.7379921186548536E-30</v>
      </c>
      <c r="V95">
        <v>26.781465262487572</v>
      </c>
      <c r="W95">
        <v>37.580048365243584</v>
      </c>
      <c r="X95">
        <v>26.781465262487572</v>
      </c>
      <c r="Y95">
        <v>37.580048365243584</v>
      </c>
      <c r="AA95">
        <v>1</v>
      </c>
      <c r="AB95">
        <v>0</v>
      </c>
      <c r="AC95">
        <v>0</v>
      </c>
      <c r="AD95" s="20">
        <v>55153</v>
      </c>
      <c r="AE95" s="20">
        <v>41974</v>
      </c>
    </row>
    <row r="96" spans="1:31" ht="15.75" thickBot="1" x14ac:dyDescent="0.3">
      <c r="A96" s="12" t="s">
        <v>429</v>
      </c>
      <c r="B96" s="11">
        <v>0</v>
      </c>
      <c r="C96" s="13">
        <v>0</v>
      </c>
      <c r="D96" s="13">
        <v>0</v>
      </c>
      <c r="E96" s="28">
        <v>0</v>
      </c>
      <c r="F96">
        <v>1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1</v>
      </c>
      <c r="N96" s="13">
        <v>0</v>
      </c>
      <c r="O96">
        <v>113</v>
      </c>
      <c r="Q96" s="23" t="s">
        <v>50</v>
      </c>
      <c r="R96" s="23">
        <v>8.1397883361108807</v>
      </c>
      <c r="S96" s="23">
        <v>4.2072079542279717</v>
      </c>
      <c r="T96" s="23">
        <v>1.9347245072426049</v>
      </c>
      <c r="U96" s="23">
        <v>5.3284279125954251E-2</v>
      </c>
      <c r="V96" s="23">
        <v>-0.11541359513679694</v>
      </c>
      <c r="W96" s="23">
        <v>16.394990267358558</v>
      </c>
      <c r="X96" s="23">
        <v>-0.11541359513679694</v>
      </c>
      <c r="Y96" s="23">
        <v>16.394990267358558</v>
      </c>
      <c r="AA96">
        <v>1</v>
      </c>
      <c r="AB96">
        <v>0</v>
      </c>
      <c r="AC96">
        <v>0</v>
      </c>
      <c r="AD96" s="19">
        <v>55153</v>
      </c>
      <c r="AE96" s="19">
        <v>41974</v>
      </c>
    </row>
    <row r="97" spans="1:31" x14ac:dyDescent="0.25">
      <c r="A97" s="15" t="s">
        <v>431</v>
      </c>
      <c r="B97" s="14">
        <v>0</v>
      </c>
      <c r="C97" s="16">
        <v>0</v>
      </c>
      <c r="D97" s="16">
        <v>0</v>
      </c>
      <c r="E97">
        <v>0</v>
      </c>
      <c r="F97">
        <v>1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1</v>
      </c>
      <c r="N97" s="16">
        <v>0</v>
      </c>
      <c r="O97">
        <v>113</v>
      </c>
      <c r="AA97">
        <v>1</v>
      </c>
      <c r="AB97">
        <v>0</v>
      </c>
      <c r="AC97">
        <v>0</v>
      </c>
      <c r="AD97" s="20">
        <v>55153</v>
      </c>
      <c r="AE97" s="20">
        <v>41974</v>
      </c>
    </row>
    <row r="98" spans="1:31" ht="18.75" x14ac:dyDescent="0.3">
      <c r="A98" s="12" t="s">
        <v>433</v>
      </c>
      <c r="B98" s="11">
        <v>0</v>
      </c>
      <c r="C98" s="13">
        <v>0</v>
      </c>
      <c r="D98" s="13">
        <v>0</v>
      </c>
      <c r="E98" s="28">
        <v>0</v>
      </c>
      <c r="F98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1</v>
      </c>
      <c r="N98" s="13">
        <v>0</v>
      </c>
      <c r="O98">
        <v>24</v>
      </c>
      <c r="Q98" s="26" t="s">
        <v>2745</v>
      </c>
      <c r="AA98">
        <v>0</v>
      </c>
      <c r="AB98">
        <v>0</v>
      </c>
      <c r="AC98">
        <v>1</v>
      </c>
      <c r="AD98" s="19">
        <v>42735</v>
      </c>
      <c r="AE98" s="19">
        <v>41974</v>
      </c>
    </row>
    <row r="99" spans="1:31" ht="15.75" thickBot="1" x14ac:dyDescent="0.3">
      <c r="A99" s="15" t="s">
        <v>435</v>
      </c>
      <c r="B99" s="14">
        <v>0</v>
      </c>
      <c r="C99" s="16">
        <v>0</v>
      </c>
      <c r="D99" s="16">
        <v>0</v>
      </c>
      <c r="E99">
        <v>0</v>
      </c>
      <c r="F99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1</v>
      </c>
      <c r="N99" s="16">
        <v>0</v>
      </c>
      <c r="O99">
        <v>113</v>
      </c>
      <c r="AA99">
        <v>1</v>
      </c>
      <c r="AB99">
        <v>0</v>
      </c>
      <c r="AC99">
        <v>0</v>
      </c>
      <c r="AD99" s="20">
        <v>55153</v>
      </c>
      <c r="AE99" s="20">
        <v>41974</v>
      </c>
    </row>
    <row r="100" spans="1:31" x14ac:dyDescent="0.25">
      <c r="A100" s="12" t="s">
        <v>437</v>
      </c>
      <c r="B100" s="11">
        <v>0</v>
      </c>
      <c r="C100" s="13">
        <v>0</v>
      </c>
      <c r="D100" s="13">
        <v>0</v>
      </c>
      <c r="E100" s="28">
        <v>0</v>
      </c>
      <c r="F100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1</v>
      </c>
      <c r="N100" s="13">
        <v>0</v>
      </c>
      <c r="O100">
        <v>40</v>
      </c>
      <c r="Q100" s="25" t="s">
        <v>2718</v>
      </c>
      <c r="R100" s="25"/>
      <c r="AA100">
        <v>0</v>
      </c>
      <c r="AB100">
        <v>0</v>
      </c>
      <c r="AC100">
        <v>1</v>
      </c>
      <c r="AD100" s="19">
        <v>43281</v>
      </c>
      <c r="AE100" s="19">
        <v>41974</v>
      </c>
    </row>
    <row r="101" spans="1:31" x14ac:dyDescent="0.25">
      <c r="A101" s="15" t="s">
        <v>439</v>
      </c>
      <c r="B101" s="14">
        <v>0</v>
      </c>
      <c r="C101" s="16">
        <v>0</v>
      </c>
      <c r="D101" s="16">
        <v>0</v>
      </c>
      <c r="E101">
        <v>0</v>
      </c>
      <c r="F101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1</v>
      </c>
      <c r="N101" s="16">
        <v>0</v>
      </c>
      <c r="O101">
        <v>35</v>
      </c>
      <c r="Q101" t="s">
        <v>2719</v>
      </c>
      <c r="R101">
        <v>0.36806955222754489</v>
      </c>
      <c r="AA101">
        <v>0</v>
      </c>
      <c r="AB101">
        <v>0</v>
      </c>
      <c r="AC101">
        <v>1</v>
      </c>
      <c r="AD101" s="20">
        <v>43100</v>
      </c>
      <c r="AE101" s="20">
        <v>41974</v>
      </c>
    </row>
    <row r="102" spans="1:31" x14ac:dyDescent="0.25">
      <c r="A102" s="12" t="s">
        <v>441</v>
      </c>
      <c r="B102" s="11">
        <v>0</v>
      </c>
      <c r="C102" s="13">
        <v>0</v>
      </c>
      <c r="D102" s="13">
        <v>0</v>
      </c>
      <c r="E102" s="28">
        <v>0</v>
      </c>
      <c r="F102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1</v>
      </c>
      <c r="N102" s="13">
        <v>0</v>
      </c>
      <c r="O102">
        <v>72</v>
      </c>
      <c r="Q102" t="s">
        <v>2720</v>
      </c>
      <c r="R102">
        <v>0.1354751952769854</v>
      </c>
      <c r="AA102">
        <v>0</v>
      </c>
      <c r="AB102">
        <v>0</v>
      </c>
      <c r="AC102">
        <v>1</v>
      </c>
      <c r="AD102" s="19">
        <v>44196</v>
      </c>
      <c r="AE102" s="19">
        <v>41974</v>
      </c>
    </row>
    <row r="103" spans="1:31" x14ac:dyDescent="0.25">
      <c r="A103" s="15" t="s">
        <v>443</v>
      </c>
      <c r="B103" s="14">
        <v>0</v>
      </c>
      <c r="C103" s="16">
        <v>0</v>
      </c>
      <c r="D103" s="16">
        <v>0</v>
      </c>
      <c r="E103">
        <v>0</v>
      </c>
      <c r="F103">
        <v>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1</v>
      </c>
      <c r="N103" s="16">
        <v>0</v>
      </c>
      <c r="O103">
        <v>113</v>
      </c>
      <c r="Q103" t="s">
        <v>2721</v>
      </c>
      <c r="R103">
        <v>0.1306855841704867</v>
      </c>
      <c r="AA103">
        <v>1</v>
      </c>
      <c r="AB103">
        <v>0</v>
      </c>
      <c r="AC103">
        <v>0</v>
      </c>
      <c r="AD103" s="20">
        <v>55153</v>
      </c>
      <c r="AE103" s="20">
        <v>41974</v>
      </c>
    </row>
    <row r="104" spans="1:31" x14ac:dyDescent="0.25">
      <c r="A104" s="12" t="s">
        <v>445</v>
      </c>
      <c r="B104" s="11">
        <v>0</v>
      </c>
      <c r="C104" s="13">
        <v>0</v>
      </c>
      <c r="D104" s="13">
        <v>0</v>
      </c>
      <c r="E104" s="28">
        <v>0</v>
      </c>
      <c r="F104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1</v>
      </c>
      <c r="N104" s="13">
        <v>0</v>
      </c>
      <c r="O104">
        <v>57</v>
      </c>
      <c r="Q104" t="s">
        <v>2722</v>
      </c>
      <c r="R104">
        <v>32.393063795137046</v>
      </c>
      <c r="AA104">
        <v>0</v>
      </c>
      <c r="AB104">
        <v>0</v>
      </c>
      <c r="AC104">
        <v>1</v>
      </c>
      <c r="AD104" s="19">
        <v>43738</v>
      </c>
      <c r="AE104" s="19">
        <v>41974</v>
      </c>
    </row>
    <row r="105" spans="1:31" ht="15.75" thickBot="1" x14ac:dyDescent="0.3">
      <c r="A105" s="15" t="s">
        <v>447</v>
      </c>
      <c r="B105" s="14">
        <v>0</v>
      </c>
      <c r="C105" s="16">
        <v>0</v>
      </c>
      <c r="D105" s="16">
        <v>0</v>
      </c>
      <c r="E105">
        <v>0</v>
      </c>
      <c r="F105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1</v>
      </c>
      <c r="N105" s="16">
        <v>0</v>
      </c>
      <c r="O105">
        <v>113</v>
      </c>
      <c r="Q105" s="23" t="s">
        <v>2723</v>
      </c>
      <c r="R105" s="23">
        <v>1090</v>
      </c>
      <c r="AA105">
        <v>1</v>
      </c>
      <c r="AB105">
        <v>0</v>
      </c>
      <c r="AC105">
        <v>0</v>
      </c>
      <c r="AD105" s="20">
        <v>55153</v>
      </c>
      <c r="AE105" s="20">
        <v>41974</v>
      </c>
    </row>
    <row r="106" spans="1:31" x14ac:dyDescent="0.25">
      <c r="A106" s="12" t="s">
        <v>449</v>
      </c>
      <c r="B106" s="11">
        <v>0</v>
      </c>
      <c r="C106" s="13">
        <v>0</v>
      </c>
      <c r="D106" s="13">
        <v>0</v>
      </c>
      <c r="E106" s="28">
        <v>0</v>
      </c>
      <c r="F106">
        <v>1</v>
      </c>
      <c r="G106" s="13">
        <v>1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>
        <v>113</v>
      </c>
      <c r="AA106">
        <v>1</v>
      </c>
      <c r="AB106">
        <v>0</v>
      </c>
      <c r="AC106">
        <v>0</v>
      </c>
      <c r="AD106" s="19">
        <v>55153</v>
      </c>
      <c r="AE106" s="19">
        <v>41974</v>
      </c>
    </row>
    <row r="107" spans="1:31" ht="15.75" thickBot="1" x14ac:dyDescent="0.3">
      <c r="A107" s="15" t="s">
        <v>451</v>
      </c>
      <c r="B107" s="14">
        <v>0</v>
      </c>
      <c r="C107" s="16">
        <v>0</v>
      </c>
      <c r="D107" s="16">
        <v>0</v>
      </c>
      <c r="E107">
        <v>0</v>
      </c>
      <c r="F107">
        <v>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1</v>
      </c>
      <c r="N107" s="16">
        <v>0</v>
      </c>
      <c r="O107">
        <v>113</v>
      </c>
      <c r="Q107" t="s">
        <v>2724</v>
      </c>
      <c r="AA107">
        <v>1</v>
      </c>
      <c r="AB107">
        <v>0</v>
      </c>
      <c r="AC107">
        <v>0</v>
      </c>
      <c r="AD107" s="20">
        <v>55153</v>
      </c>
      <c r="AE107" s="20">
        <v>41974</v>
      </c>
    </row>
    <row r="108" spans="1:31" x14ac:dyDescent="0.25">
      <c r="A108" s="12" t="s">
        <v>453</v>
      </c>
      <c r="B108" s="11">
        <v>0</v>
      </c>
      <c r="C108" s="13">
        <v>0</v>
      </c>
      <c r="D108" s="13">
        <v>0</v>
      </c>
      <c r="E108" s="28">
        <v>0</v>
      </c>
      <c r="F108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1</v>
      </c>
      <c r="N108" s="13">
        <v>0</v>
      </c>
      <c r="O108">
        <v>84</v>
      </c>
      <c r="Q108" s="24"/>
      <c r="R108" s="24" t="s">
        <v>2729</v>
      </c>
      <c r="S108" s="24" t="s">
        <v>2730</v>
      </c>
      <c r="T108" s="24" t="s">
        <v>2731</v>
      </c>
      <c r="U108" s="24" t="s">
        <v>2732</v>
      </c>
      <c r="V108" s="24" t="s">
        <v>2733</v>
      </c>
      <c r="AA108">
        <v>0</v>
      </c>
      <c r="AB108">
        <v>0</v>
      </c>
      <c r="AC108">
        <v>1</v>
      </c>
      <c r="AD108" s="19">
        <v>44561</v>
      </c>
      <c r="AE108" s="19">
        <v>41974</v>
      </c>
    </row>
    <row r="109" spans="1:31" x14ac:dyDescent="0.25">
      <c r="A109" s="15" t="s">
        <v>455</v>
      </c>
      <c r="B109" s="14">
        <v>0</v>
      </c>
      <c r="C109" s="16">
        <v>0</v>
      </c>
      <c r="D109" s="16">
        <v>0</v>
      </c>
      <c r="E109">
        <v>0</v>
      </c>
      <c r="F109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</v>
      </c>
      <c r="N109" s="16">
        <v>0</v>
      </c>
      <c r="O109">
        <v>24</v>
      </c>
      <c r="Q109" t="s">
        <v>2725</v>
      </c>
      <c r="R109">
        <v>6</v>
      </c>
      <c r="S109">
        <v>178079.87268272601</v>
      </c>
      <c r="T109">
        <v>29679.978780454334</v>
      </c>
      <c r="U109">
        <v>28.285218207626158</v>
      </c>
      <c r="V109">
        <v>1.6124961471022992E-31</v>
      </c>
      <c r="AA109">
        <v>0</v>
      </c>
      <c r="AB109">
        <v>0</v>
      </c>
      <c r="AC109">
        <v>1</v>
      </c>
      <c r="AD109" s="20">
        <v>42735</v>
      </c>
      <c r="AE109" s="20">
        <v>41974</v>
      </c>
    </row>
    <row r="110" spans="1:31" x14ac:dyDescent="0.25">
      <c r="A110" s="12" t="s">
        <v>457</v>
      </c>
      <c r="B110" s="11">
        <v>0</v>
      </c>
      <c r="C110" s="13">
        <v>0</v>
      </c>
      <c r="D110" s="13">
        <v>0</v>
      </c>
      <c r="E110" s="28">
        <v>0</v>
      </c>
      <c r="F110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1</v>
      </c>
      <c r="N110" s="13">
        <v>0</v>
      </c>
      <c r="O110">
        <v>69</v>
      </c>
      <c r="Q110" t="s">
        <v>2726</v>
      </c>
      <c r="R110">
        <v>1083</v>
      </c>
      <c r="S110">
        <v>1136403.3603447913</v>
      </c>
      <c r="T110">
        <v>1049.3105820358185</v>
      </c>
      <c r="AA110">
        <v>0</v>
      </c>
      <c r="AB110">
        <v>0</v>
      </c>
      <c r="AC110">
        <v>1</v>
      </c>
      <c r="AD110" s="19">
        <v>44104</v>
      </c>
      <c r="AE110" s="19">
        <v>41974</v>
      </c>
    </row>
    <row r="111" spans="1:31" ht="15.75" thickBot="1" x14ac:dyDescent="0.3">
      <c r="A111" s="15" t="s">
        <v>459</v>
      </c>
      <c r="B111" s="14">
        <v>0</v>
      </c>
      <c r="C111" s="16">
        <v>0</v>
      </c>
      <c r="D111" s="16">
        <v>0</v>
      </c>
      <c r="E111">
        <v>0</v>
      </c>
      <c r="F111">
        <v>1</v>
      </c>
      <c r="G111" s="16">
        <v>1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>
        <v>113</v>
      </c>
      <c r="Q111" s="23" t="s">
        <v>2727</v>
      </c>
      <c r="R111" s="23">
        <v>1089</v>
      </c>
      <c r="S111" s="23">
        <v>1314483.2330275173</v>
      </c>
      <c r="T111" s="23"/>
      <c r="U111" s="23"/>
      <c r="V111" s="23"/>
      <c r="AA111">
        <v>1</v>
      </c>
      <c r="AB111">
        <v>0</v>
      </c>
      <c r="AC111">
        <v>0</v>
      </c>
      <c r="AD111" s="20">
        <v>55153</v>
      </c>
      <c r="AE111" s="20">
        <v>41974</v>
      </c>
    </row>
    <row r="112" spans="1:31" ht="15.75" thickBot="1" x14ac:dyDescent="0.3">
      <c r="A112" s="12" t="s">
        <v>461</v>
      </c>
      <c r="B112" s="11">
        <v>0</v>
      </c>
      <c r="C112" s="13">
        <v>0</v>
      </c>
      <c r="D112" s="13">
        <v>0</v>
      </c>
      <c r="E112" s="28">
        <v>0</v>
      </c>
      <c r="F112">
        <v>1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1</v>
      </c>
      <c r="N112" s="13">
        <v>0</v>
      </c>
      <c r="O112">
        <v>113</v>
      </c>
      <c r="AA112">
        <v>1</v>
      </c>
      <c r="AB112">
        <v>0</v>
      </c>
      <c r="AC112">
        <v>0</v>
      </c>
      <c r="AD112" s="19">
        <v>55153</v>
      </c>
      <c r="AE112" s="19">
        <v>41974</v>
      </c>
    </row>
    <row r="113" spans="1:31" x14ac:dyDescent="0.25">
      <c r="A113" s="15" t="s">
        <v>463</v>
      </c>
      <c r="B113" s="14">
        <v>0</v>
      </c>
      <c r="C113" s="16">
        <v>0</v>
      </c>
      <c r="D113" s="16">
        <v>0</v>
      </c>
      <c r="E113">
        <v>0</v>
      </c>
      <c r="F113">
        <v>0</v>
      </c>
      <c r="G113" s="16">
        <v>1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>
        <v>96</v>
      </c>
      <c r="Q113" s="24"/>
      <c r="R113" s="24" t="s">
        <v>2734</v>
      </c>
      <c r="S113" s="24" t="s">
        <v>2722</v>
      </c>
      <c r="T113" s="24" t="s">
        <v>2735</v>
      </c>
      <c r="U113" s="24" t="s">
        <v>2736</v>
      </c>
      <c r="V113" s="24" t="s">
        <v>2737</v>
      </c>
      <c r="W113" s="24" t="s">
        <v>2738</v>
      </c>
      <c r="X113" s="24" t="s">
        <v>2739</v>
      </c>
      <c r="Y113" s="24" t="s">
        <v>2740</v>
      </c>
      <c r="AA113">
        <v>0</v>
      </c>
      <c r="AB113">
        <v>0</v>
      </c>
      <c r="AC113">
        <v>1</v>
      </c>
      <c r="AD113" s="20">
        <v>44926</v>
      </c>
      <c r="AE113" s="20">
        <v>41974</v>
      </c>
    </row>
    <row r="114" spans="1:31" x14ac:dyDescent="0.25">
      <c r="A114" s="12" t="s">
        <v>465</v>
      </c>
      <c r="B114" s="11">
        <v>0</v>
      </c>
      <c r="C114" s="13">
        <v>0</v>
      </c>
      <c r="D114" s="13">
        <v>0</v>
      </c>
      <c r="E114" s="28">
        <v>0</v>
      </c>
      <c r="F114">
        <v>1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1</v>
      </c>
      <c r="N114" s="13">
        <v>0</v>
      </c>
      <c r="O114">
        <v>113</v>
      </c>
      <c r="Q114" t="s">
        <v>2728</v>
      </c>
      <c r="R114">
        <v>43.765141462314453</v>
      </c>
      <c r="S114">
        <v>2.0403676467781309</v>
      </c>
      <c r="T114">
        <v>21.449635084844818</v>
      </c>
      <c r="U114">
        <v>2.4226360912322355E-85</v>
      </c>
      <c r="V114">
        <v>39.76162009579599</v>
      </c>
      <c r="W114">
        <v>47.768662828832916</v>
      </c>
      <c r="X114">
        <v>39.76162009579599</v>
      </c>
      <c r="Y114">
        <v>47.768662828832916</v>
      </c>
      <c r="AA114">
        <v>1</v>
      </c>
      <c r="AB114">
        <v>0</v>
      </c>
      <c r="AC114">
        <v>0</v>
      </c>
      <c r="AD114" s="19">
        <v>55153</v>
      </c>
      <c r="AE114" s="19">
        <v>41974</v>
      </c>
    </row>
    <row r="115" spans="1:31" x14ac:dyDescent="0.25">
      <c r="A115" s="15" t="s">
        <v>467</v>
      </c>
      <c r="B115" s="14">
        <v>0</v>
      </c>
      <c r="C115" s="16">
        <v>0</v>
      </c>
      <c r="D115" s="16">
        <v>0</v>
      </c>
      <c r="E115">
        <v>0</v>
      </c>
      <c r="F115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</v>
      </c>
      <c r="L115" s="16">
        <v>0</v>
      </c>
      <c r="M115" s="16">
        <v>0</v>
      </c>
      <c r="N115" s="16">
        <v>0</v>
      </c>
      <c r="O115">
        <v>18</v>
      </c>
      <c r="Q115" t="s">
        <v>2714</v>
      </c>
      <c r="R115">
        <v>-28.737883740638676</v>
      </c>
      <c r="S115">
        <v>4.8526109069899546</v>
      </c>
      <c r="T115">
        <v>-5.9221487754650024</v>
      </c>
      <c r="U115">
        <v>4.2624172770802035E-9</v>
      </c>
      <c r="V115">
        <v>-38.259467500414573</v>
      </c>
      <c r="W115">
        <v>-19.216299980862782</v>
      </c>
      <c r="X115">
        <v>-38.259467500414573</v>
      </c>
      <c r="Y115">
        <v>-19.216299980862782</v>
      </c>
      <c r="AA115">
        <v>0</v>
      </c>
      <c r="AB115">
        <v>0</v>
      </c>
      <c r="AC115">
        <v>1</v>
      </c>
      <c r="AD115" s="20">
        <v>42643</v>
      </c>
      <c r="AE115" s="20">
        <v>41974</v>
      </c>
    </row>
    <row r="116" spans="1:31" x14ac:dyDescent="0.25">
      <c r="A116" s="12" t="s">
        <v>469</v>
      </c>
      <c r="B116" s="11">
        <v>0</v>
      </c>
      <c r="C116" s="13">
        <v>0</v>
      </c>
      <c r="D116" s="13">
        <v>0</v>
      </c>
      <c r="E116" s="28">
        <v>0</v>
      </c>
      <c r="F116">
        <v>1</v>
      </c>
      <c r="G116" s="13">
        <v>1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>
        <v>113</v>
      </c>
      <c r="Q116" t="s">
        <v>2715</v>
      </c>
      <c r="R116">
        <v>9.4412132344156543</v>
      </c>
      <c r="S116">
        <v>3.5174670878397754</v>
      </c>
      <c r="T116">
        <v>2.6840942640387011</v>
      </c>
      <c r="U116">
        <v>7.3836149030569939E-3</v>
      </c>
      <c r="V116">
        <v>2.5393910728906111</v>
      </c>
      <c r="W116">
        <v>16.343035395940696</v>
      </c>
      <c r="X116">
        <v>2.5393910728906111</v>
      </c>
      <c r="Y116">
        <v>16.343035395940696</v>
      </c>
      <c r="AA116">
        <v>1</v>
      </c>
      <c r="AB116">
        <v>0</v>
      </c>
      <c r="AC116">
        <v>0</v>
      </c>
      <c r="AD116" s="19">
        <v>55153</v>
      </c>
      <c r="AE116" s="19">
        <v>41974</v>
      </c>
    </row>
    <row r="117" spans="1:31" x14ac:dyDescent="0.25">
      <c r="A117" s="15" t="s">
        <v>471</v>
      </c>
      <c r="B117" s="14">
        <v>0</v>
      </c>
      <c r="C117" s="16">
        <v>0</v>
      </c>
      <c r="D117" s="16">
        <v>0</v>
      </c>
      <c r="E117">
        <v>0</v>
      </c>
      <c r="F117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1</v>
      </c>
      <c r="N117" s="16">
        <v>0</v>
      </c>
      <c r="O117">
        <v>93</v>
      </c>
      <c r="Q117" t="s">
        <v>2716</v>
      </c>
      <c r="R117">
        <v>33.022614111341362</v>
      </c>
      <c r="S117">
        <v>5.6943489080810981</v>
      </c>
      <c r="T117">
        <v>5.7991905034968152</v>
      </c>
      <c r="U117">
        <v>8.7369694440076854E-9</v>
      </c>
      <c r="V117">
        <v>21.849408361920496</v>
      </c>
      <c r="W117">
        <v>44.195819860762228</v>
      </c>
      <c r="X117">
        <v>21.849408361920496</v>
      </c>
      <c r="Y117">
        <v>44.195819860762228</v>
      </c>
      <c r="AA117">
        <v>0</v>
      </c>
      <c r="AB117">
        <v>0</v>
      </c>
      <c r="AC117">
        <v>1</v>
      </c>
      <c r="AD117" s="20">
        <v>44834</v>
      </c>
      <c r="AE117" s="20">
        <v>41974</v>
      </c>
    </row>
    <row r="118" spans="1:31" x14ac:dyDescent="0.25">
      <c r="A118" s="12" t="s">
        <v>473</v>
      </c>
      <c r="B118" s="11">
        <v>0</v>
      </c>
      <c r="C118" s="13">
        <v>0</v>
      </c>
      <c r="D118" s="13">
        <v>0</v>
      </c>
      <c r="E118" s="28">
        <v>0</v>
      </c>
      <c r="F118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1</v>
      </c>
      <c r="L118" s="13">
        <v>0</v>
      </c>
      <c r="M118" s="13">
        <v>0</v>
      </c>
      <c r="N118" s="13">
        <v>0</v>
      </c>
      <c r="O118">
        <v>113</v>
      </c>
      <c r="Q118" t="s">
        <v>2896</v>
      </c>
      <c r="R118">
        <v>12.573184041679118</v>
      </c>
      <c r="S118">
        <v>2.4916578095307162</v>
      </c>
      <c r="T118">
        <v>5.0461118672018515</v>
      </c>
      <c r="U118">
        <v>5.2849719715817154E-7</v>
      </c>
      <c r="V118">
        <v>7.6841605883516753</v>
      </c>
      <c r="W118">
        <v>17.46220749500656</v>
      </c>
      <c r="X118">
        <v>7.6841605883516753</v>
      </c>
      <c r="Y118">
        <v>17.46220749500656</v>
      </c>
      <c r="AA118">
        <v>1</v>
      </c>
      <c r="AB118">
        <v>0</v>
      </c>
      <c r="AC118">
        <v>0</v>
      </c>
      <c r="AD118" s="19">
        <v>55153</v>
      </c>
      <c r="AE118" s="19">
        <v>41974</v>
      </c>
    </row>
    <row r="119" spans="1:31" x14ac:dyDescent="0.25">
      <c r="A119" s="15" t="s">
        <v>475</v>
      </c>
      <c r="B119" s="14">
        <v>0</v>
      </c>
      <c r="C119" s="16">
        <v>0</v>
      </c>
      <c r="D119" s="16">
        <v>0</v>
      </c>
      <c r="E119">
        <v>0</v>
      </c>
      <c r="F119">
        <v>1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</v>
      </c>
      <c r="N119" s="16">
        <v>0</v>
      </c>
      <c r="O119">
        <v>113</v>
      </c>
      <c r="Q119" t="s">
        <v>2897</v>
      </c>
      <c r="R119">
        <v>32.72045091481521</v>
      </c>
      <c r="S119">
        <v>2.7483064576243659</v>
      </c>
      <c r="T119">
        <v>11.905677703460604</v>
      </c>
      <c r="U119">
        <v>8.4010421780872908E-31</v>
      </c>
      <c r="V119">
        <v>27.327842557093948</v>
      </c>
      <c r="W119">
        <v>38.113059272536468</v>
      </c>
      <c r="X119">
        <v>27.327842557093948</v>
      </c>
      <c r="Y119">
        <v>38.113059272536468</v>
      </c>
      <c r="AA119">
        <v>1</v>
      </c>
      <c r="AB119">
        <v>0</v>
      </c>
      <c r="AC119">
        <v>0</v>
      </c>
      <c r="AD119" s="20">
        <v>55153</v>
      </c>
      <c r="AE119" s="20">
        <v>41974</v>
      </c>
    </row>
    <row r="120" spans="1:31" ht="15.75" thickBot="1" x14ac:dyDescent="0.3">
      <c r="A120" s="12" t="s">
        <v>477</v>
      </c>
      <c r="B120" s="11">
        <v>0</v>
      </c>
      <c r="C120" s="13">
        <v>0</v>
      </c>
      <c r="D120" s="13">
        <v>0</v>
      </c>
      <c r="E120" s="28">
        <v>0</v>
      </c>
      <c r="F120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1</v>
      </c>
      <c r="L120" s="13">
        <v>0</v>
      </c>
      <c r="M120" s="13">
        <v>0</v>
      </c>
      <c r="N120" s="13">
        <v>0</v>
      </c>
      <c r="O120">
        <v>12</v>
      </c>
      <c r="Q120" s="23" t="s">
        <v>29</v>
      </c>
      <c r="R120" s="23">
        <v>-9.5781167465737518</v>
      </c>
      <c r="S120" s="23">
        <v>2.87606328455565</v>
      </c>
      <c r="T120" s="23">
        <v>-3.3302872012614859</v>
      </c>
      <c r="U120" s="23">
        <v>8.9682077473921516E-4</v>
      </c>
      <c r="V120" s="23">
        <v>-15.221404038136004</v>
      </c>
      <c r="W120" s="23">
        <v>-3.9348294550114984</v>
      </c>
      <c r="X120" s="23">
        <v>-15.221404038136004</v>
      </c>
      <c r="Y120" s="23">
        <v>-3.9348294550114984</v>
      </c>
      <c r="AA120">
        <v>0</v>
      </c>
      <c r="AB120">
        <v>0</v>
      </c>
      <c r="AC120">
        <v>1</v>
      </c>
      <c r="AD120" s="19">
        <v>42369</v>
      </c>
      <c r="AE120" s="19">
        <v>41974</v>
      </c>
    </row>
    <row r="121" spans="1:31" x14ac:dyDescent="0.25">
      <c r="A121" s="15" t="s">
        <v>479</v>
      </c>
      <c r="B121" s="14">
        <v>0</v>
      </c>
      <c r="C121" s="16">
        <v>0</v>
      </c>
      <c r="D121" s="16">
        <v>0</v>
      </c>
      <c r="E121">
        <v>0</v>
      </c>
      <c r="F121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1</v>
      </c>
      <c r="N121" s="16">
        <v>0</v>
      </c>
      <c r="O121">
        <v>47</v>
      </c>
      <c r="AA121">
        <v>0</v>
      </c>
      <c r="AB121">
        <v>0</v>
      </c>
      <c r="AC121">
        <v>1</v>
      </c>
      <c r="AD121" s="20">
        <v>43465</v>
      </c>
      <c r="AE121" s="20">
        <v>41974</v>
      </c>
    </row>
    <row r="122" spans="1:31" ht="18.75" x14ac:dyDescent="0.3">
      <c r="A122" s="12" t="s">
        <v>481</v>
      </c>
      <c r="B122" s="11">
        <v>0</v>
      </c>
      <c r="C122" s="13">
        <v>0</v>
      </c>
      <c r="D122" s="13">
        <v>0</v>
      </c>
      <c r="E122" s="28">
        <v>0</v>
      </c>
      <c r="F122">
        <v>0</v>
      </c>
      <c r="G122" s="13">
        <v>0</v>
      </c>
      <c r="H122" s="13">
        <v>0</v>
      </c>
      <c r="I122" s="13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>
        <v>96</v>
      </c>
      <c r="Q122" s="26" t="s">
        <v>2747</v>
      </c>
      <c r="AA122">
        <v>0</v>
      </c>
      <c r="AB122">
        <v>0</v>
      </c>
      <c r="AC122">
        <v>1</v>
      </c>
      <c r="AD122" s="19">
        <v>44926</v>
      </c>
      <c r="AE122" s="19">
        <v>41974</v>
      </c>
    </row>
    <row r="123" spans="1:31" ht="15.75" thickBot="1" x14ac:dyDescent="0.3">
      <c r="A123" s="15" t="s">
        <v>483</v>
      </c>
      <c r="B123" s="14">
        <v>0</v>
      </c>
      <c r="C123" s="16">
        <v>0</v>
      </c>
      <c r="D123" s="16">
        <v>0</v>
      </c>
      <c r="E123">
        <v>0</v>
      </c>
      <c r="F123">
        <v>0</v>
      </c>
      <c r="G123" s="16">
        <v>0</v>
      </c>
      <c r="H123" s="16">
        <v>0</v>
      </c>
      <c r="I123" s="16">
        <v>1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>
        <v>96</v>
      </c>
      <c r="AA123">
        <v>0</v>
      </c>
      <c r="AB123">
        <v>0</v>
      </c>
      <c r="AC123">
        <v>1</v>
      </c>
      <c r="AD123" s="20">
        <v>44926</v>
      </c>
      <c r="AE123" s="20">
        <v>41974</v>
      </c>
    </row>
    <row r="124" spans="1:31" x14ac:dyDescent="0.25">
      <c r="A124" s="12" t="s">
        <v>485</v>
      </c>
      <c r="B124" s="11">
        <v>0</v>
      </c>
      <c r="C124" s="13">
        <v>0</v>
      </c>
      <c r="D124" s="13">
        <v>0</v>
      </c>
      <c r="E124" s="28">
        <v>0</v>
      </c>
      <c r="F124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1</v>
      </c>
      <c r="L124" s="13">
        <v>0</v>
      </c>
      <c r="M124" s="13">
        <v>0</v>
      </c>
      <c r="N124" s="13">
        <v>0</v>
      </c>
      <c r="O124">
        <v>72</v>
      </c>
      <c r="Q124" s="25" t="s">
        <v>2718</v>
      </c>
      <c r="R124" s="25"/>
      <c r="AA124">
        <v>0</v>
      </c>
      <c r="AB124">
        <v>0</v>
      </c>
      <c r="AC124">
        <v>1</v>
      </c>
      <c r="AD124" s="19">
        <v>44196</v>
      </c>
      <c r="AE124" s="19">
        <v>41974</v>
      </c>
    </row>
    <row r="125" spans="1:31" x14ac:dyDescent="0.25">
      <c r="A125" s="15" t="s">
        <v>487</v>
      </c>
      <c r="B125" s="14">
        <v>0</v>
      </c>
      <c r="C125" s="16">
        <v>0</v>
      </c>
      <c r="D125" s="16">
        <v>0</v>
      </c>
      <c r="E125">
        <v>0</v>
      </c>
      <c r="F125">
        <v>1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1</v>
      </c>
      <c r="N125" s="16">
        <v>0</v>
      </c>
      <c r="O125">
        <v>113</v>
      </c>
      <c r="Q125" t="s">
        <v>2719</v>
      </c>
      <c r="R125">
        <v>0.35935477688209866</v>
      </c>
      <c r="AA125">
        <v>1</v>
      </c>
      <c r="AB125">
        <v>0</v>
      </c>
      <c r="AC125">
        <v>0</v>
      </c>
      <c r="AD125" s="20">
        <v>55153</v>
      </c>
      <c r="AE125" s="20">
        <v>41974</v>
      </c>
    </row>
    <row r="126" spans="1:31" x14ac:dyDescent="0.25">
      <c r="A126" s="12" t="s">
        <v>489</v>
      </c>
      <c r="B126" s="11">
        <v>0</v>
      </c>
      <c r="C126" s="13">
        <v>0</v>
      </c>
      <c r="D126" s="13">
        <v>0</v>
      </c>
      <c r="E126" s="28">
        <v>0</v>
      </c>
      <c r="F126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1</v>
      </c>
      <c r="L126" s="13">
        <v>0</v>
      </c>
      <c r="M126" s="13">
        <v>0</v>
      </c>
      <c r="N126" s="13">
        <v>0</v>
      </c>
      <c r="O126">
        <v>60</v>
      </c>
      <c r="Q126" t="s">
        <v>2720</v>
      </c>
      <c r="R126">
        <v>0.12913585566798291</v>
      </c>
      <c r="AA126">
        <v>0</v>
      </c>
      <c r="AB126">
        <v>0</v>
      </c>
      <c r="AC126">
        <v>1</v>
      </c>
      <c r="AD126" s="19">
        <v>43830</v>
      </c>
      <c r="AE126" s="19">
        <v>41974</v>
      </c>
    </row>
    <row r="127" spans="1:31" x14ac:dyDescent="0.25">
      <c r="A127" s="15" t="s">
        <v>491</v>
      </c>
      <c r="B127" s="14">
        <v>0</v>
      </c>
      <c r="C127" s="16">
        <v>0</v>
      </c>
      <c r="D127" s="16">
        <v>0</v>
      </c>
      <c r="E127">
        <v>0</v>
      </c>
      <c r="F127">
        <v>1</v>
      </c>
      <c r="G127" s="16">
        <v>1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>
        <v>113</v>
      </c>
      <c r="Q127" t="s">
        <v>2721</v>
      </c>
      <c r="R127">
        <v>0.12431112356642049</v>
      </c>
      <c r="AA127">
        <v>1</v>
      </c>
      <c r="AB127">
        <v>0</v>
      </c>
      <c r="AC127">
        <v>0</v>
      </c>
      <c r="AD127" s="20">
        <v>55153</v>
      </c>
      <c r="AE127" s="20">
        <v>41974</v>
      </c>
    </row>
    <row r="128" spans="1:31" x14ac:dyDescent="0.25">
      <c r="A128" s="12" t="s">
        <v>493</v>
      </c>
      <c r="B128" s="11">
        <v>0</v>
      </c>
      <c r="C128" s="13">
        <v>0</v>
      </c>
      <c r="D128" s="13">
        <v>0</v>
      </c>
      <c r="E128" s="28">
        <v>0</v>
      </c>
      <c r="F128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1</v>
      </c>
      <c r="N128" s="13">
        <v>0</v>
      </c>
      <c r="O128">
        <v>34</v>
      </c>
      <c r="Q128" t="s">
        <v>2722</v>
      </c>
      <c r="R128">
        <v>32.511611903424651</v>
      </c>
      <c r="AA128">
        <v>0</v>
      </c>
      <c r="AB128">
        <v>0</v>
      </c>
      <c r="AC128">
        <v>1</v>
      </c>
      <c r="AD128" s="19">
        <v>43100</v>
      </c>
      <c r="AE128" s="19">
        <v>41974</v>
      </c>
    </row>
    <row r="129" spans="1:31" ht="15.75" thickBot="1" x14ac:dyDescent="0.3">
      <c r="A129" s="15" t="s">
        <v>495</v>
      </c>
      <c r="B129" s="14">
        <v>0</v>
      </c>
      <c r="C129" s="16">
        <v>0</v>
      </c>
      <c r="D129" s="16">
        <v>0</v>
      </c>
      <c r="E129">
        <v>0</v>
      </c>
      <c r="F129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1</v>
      </c>
      <c r="N129" s="16">
        <v>0</v>
      </c>
      <c r="O129">
        <v>72</v>
      </c>
      <c r="Q129" s="23" t="s">
        <v>2723</v>
      </c>
      <c r="R129" s="23">
        <v>1090</v>
      </c>
      <c r="AA129">
        <v>0</v>
      </c>
      <c r="AB129">
        <v>0</v>
      </c>
      <c r="AC129">
        <v>1</v>
      </c>
      <c r="AD129" s="20">
        <v>44196</v>
      </c>
      <c r="AE129" s="20">
        <v>41974</v>
      </c>
    </row>
    <row r="130" spans="1:31" x14ac:dyDescent="0.25">
      <c r="A130" s="12" t="s">
        <v>497</v>
      </c>
      <c r="B130" s="11">
        <v>0</v>
      </c>
      <c r="C130" s="13">
        <v>0</v>
      </c>
      <c r="D130" s="13">
        <v>0</v>
      </c>
      <c r="E130" s="28">
        <v>0</v>
      </c>
      <c r="F130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1</v>
      </c>
      <c r="N130" s="13">
        <v>0</v>
      </c>
      <c r="O130">
        <v>72</v>
      </c>
      <c r="AA130">
        <v>0</v>
      </c>
      <c r="AB130">
        <v>0</v>
      </c>
      <c r="AC130">
        <v>1</v>
      </c>
      <c r="AD130" s="19">
        <v>44196</v>
      </c>
      <c r="AE130" s="19">
        <v>41974</v>
      </c>
    </row>
    <row r="131" spans="1:31" ht="15.75" thickBot="1" x14ac:dyDescent="0.3">
      <c r="A131" s="15" t="s">
        <v>499</v>
      </c>
      <c r="B131" s="14">
        <v>0</v>
      </c>
      <c r="C131" s="16">
        <v>0</v>
      </c>
      <c r="D131" s="16">
        <v>0</v>
      </c>
      <c r="E131">
        <v>0</v>
      </c>
      <c r="F131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1</v>
      </c>
      <c r="N131" s="16">
        <v>0</v>
      </c>
      <c r="O131">
        <v>72</v>
      </c>
      <c r="Q131" t="s">
        <v>2724</v>
      </c>
      <c r="AA131">
        <v>0</v>
      </c>
      <c r="AB131">
        <v>0</v>
      </c>
      <c r="AC131">
        <v>1</v>
      </c>
      <c r="AD131" s="20">
        <v>44196</v>
      </c>
      <c r="AE131" s="20">
        <v>41974</v>
      </c>
    </row>
    <row r="132" spans="1:31" x14ac:dyDescent="0.25">
      <c r="A132" s="12" t="s">
        <v>501</v>
      </c>
      <c r="B132" s="11">
        <v>0</v>
      </c>
      <c r="C132" s="13">
        <v>0</v>
      </c>
      <c r="D132" s="13">
        <v>0</v>
      </c>
      <c r="E132" s="28">
        <v>0</v>
      </c>
      <c r="F132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1</v>
      </c>
      <c r="N132" s="13">
        <v>0</v>
      </c>
      <c r="O132">
        <v>72</v>
      </c>
      <c r="Q132" s="24"/>
      <c r="R132" s="24" t="s">
        <v>2729</v>
      </c>
      <c r="S132" s="24" t="s">
        <v>2730</v>
      </c>
      <c r="T132" s="24" t="s">
        <v>2731</v>
      </c>
      <c r="U132" s="24" t="s">
        <v>2732</v>
      </c>
      <c r="V132" s="24" t="s">
        <v>2733</v>
      </c>
      <c r="AA132">
        <v>0</v>
      </c>
      <c r="AB132">
        <v>0</v>
      </c>
      <c r="AC132">
        <v>1</v>
      </c>
      <c r="AD132" s="19">
        <v>44196</v>
      </c>
      <c r="AE132" s="19">
        <v>41974</v>
      </c>
    </row>
    <row r="133" spans="1:31" x14ac:dyDescent="0.25">
      <c r="A133" s="15" t="s">
        <v>503</v>
      </c>
      <c r="B133" s="14">
        <v>0</v>
      </c>
      <c r="C133" s="16">
        <v>0</v>
      </c>
      <c r="D133" s="16">
        <v>0</v>
      </c>
      <c r="E133">
        <v>0</v>
      </c>
      <c r="F133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1</v>
      </c>
      <c r="N133" s="16">
        <v>0</v>
      </c>
      <c r="O133">
        <v>72</v>
      </c>
      <c r="Q133" t="s">
        <v>2725</v>
      </c>
      <c r="R133">
        <v>6</v>
      </c>
      <c r="S133">
        <v>169746.91705822502</v>
      </c>
      <c r="T133">
        <v>28291.152843037504</v>
      </c>
      <c r="U133">
        <v>26.765394005226547</v>
      </c>
      <c r="V133">
        <v>7.6666563800515925E-30</v>
      </c>
      <c r="AA133">
        <v>0</v>
      </c>
      <c r="AB133">
        <v>0</v>
      </c>
      <c r="AC133">
        <v>1</v>
      </c>
      <c r="AD133" s="20">
        <v>44196</v>
      </c>
      <c r="AE133" s="20">
        <v>41974</v>
      </c>
    </row>
    <row r="134" spans="1:31" x14ac:dyDescent="0.25">
      <c r="A134" s="12" t="s">
        <v>505</v>
      </c>
      <c r="B134" s="11">
        <v>0</v>
      </c>
      <c r="C134" s="13">
        <v>0</v>
      </c>
      <c r="D134" s="13">
        <v>0</v>
      </c>
      <c r="E134" s="28">
        <v>0</v>
      </c>
      <c r="F134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1</v>
      </c>
      <c r="N134" s="13">
        <v>0</v>
      </c>
      <c r="O134">
        <v>113</v>
      </c>
      <c r="Q134" t="s">
        <v>2726</v>
      </c>
      <c r="R134">
        <v>1083</v>
      </c>
      <c r="S134">
        <v>1144736.3159692923</v>
      </c>
      <c r="T134">
        <v>1057.0049085589033</v>
      </c>
      <c r="AA134">
        <v>1</v>
      </c>
      <c r="AB134">
        <v>0</v>
      </c>
      <c r="AC134">
        <v>0</v>
      </c>
      <c r="AD134" s="19">
        <v>55153</v>
      </c>
      <c r="AE134" s="19">
        <v>41974</v>
      </c>
    </row>
    <row r="135" spans="1:31" ht="15.75" thickBot="1" x14ac:dyDescent="0.3">
      <c r="A135" s="15" t="s">
        <v>507</v>
      </c>
      <c r="B135" s="14">
        <v>0</v>
      </c>
      <c r="C135" s="16">
        <v>0</v>
      </c>
      <c r="D135" s="16">
        <v>0</v>
      </c>
      <c r="E135">
        <v>0</v>
      </c>
      <c r="F135">
        <v>1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</v>
      </c>
      <c r="N135" s="16">
        <v>0</v>
      </c>
      <c r="O135">
        <v>113</v>
      </c>
      <c r="Q135" s="23" t="s">
        <v>2727</v>
      </c>
      <c r="R135" s="23">
        <v>1089</v>
      </c>
      <c r="S135" s="23">
        <v>1314483.2330275173</v>
      </c>
      <c r="T135" s="23"/>
      <c r="U135" s="23"/>
      <c r="V135" s="23"/>
      <c r="AA135">
        <v>1</v>
      </c>
      <c r="AB135">
        <v>0</v>
      </c>
      <c r="AC135">
        <v>0</v>
      </c>
      <c r="AD135" s="20">
        <v>55153</v>
      </c>
      <c r="AE135" s="20">
        <v>41974</v>
      </c>
    </row>
    <row r="136" spans="1:31" ht="15.75" thickBot="1" x14ac:dyDescent="0.3">
      <c r="A136" s="12" t="s">
        <v>509</v>
      </c>
      <c r="B136" s="11">
        <v>0</v>
      </c>
      <c r="C136" s="13">
        <v>0</v>
      </c>
      <c r="D136" s="13">
        <v>0</v>
      </c>
      <c r="E136" s="28">
        <v>0</v>
      </c>
      <c r="F136">
        <v>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1</v>
      </c>
      <c r="N136" s="13">
        <v>0</v>
      </c>
      <c r="O136">
        <v>113</v>
      </c>
      <c r="AA136">
        <v>1</v>
      </c>
      <c r="AB136">
        <v>0</v>
      </c>
      <c r="AC136">
        <v>0</v>
      </c>
      <c r="AD136" s="19">
        <v>55153</v>
      </c>
      <c r="AE136" s="19">
        <v>41974</v>
      </c>
    </row>
    <row r="137" spans="1:31" x14ac:dyDescent="0.25">
      <c r="A137" s="15" t="s">
        <v>511</v>
      </c>
      <c r="B137" s="14">
        <v>0</v>
      </c>
      <c r="C137" s="16">
        <v>0</v>
      </c>
      <c r="D137" s="16">
        <v>0</v>
      </c>
      <c r="E137">
        <v>0</v>
      </c>
      <c r="F137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1</v>
      </c>
      <c r="L137" s="16">
        <v>0</v>
      </c>
      <c r="M137" s="16">
        <v>0</v>
      </c>
      <c r="N137" s="16">
        <v>0</v>
      </c>
      <c r="O137">
        <v>48</v>
      </c>
      <c r="Q137" s="24"/>
      <c r="R137" s="24" t="s">
        <v>2734</v>
      </c>
      <c r="S137" s="24" t="s">
        <v>2722</v>
      </c>
      <c r="T137" s="24" t="s">
        <v>2735</v>
      </c>
      <c r="U137" s="24" t="s">
        <v>2736</v>
      </c>
      <c r="V137" s="24" t="s">
        <v>2737</v>
      </c>
      <c r="W137" s="24" t="s">
        <v>2738</v>
      </c>
      <c r="X137" s="24" t="s">
        <v>2739</v>
      </c>
      <c r="Y137" s="24" t="s">
        <v>2740</v>
      </c>
      <c r="AA137">
        <v>0</v>
      </c>
      <c r="AB137">
        <v>0</v>
      </c>
      <c r="AC137">
        <v>1</v>
      </c>
      <c r="AD137" s="20">
        <v>43465</v>
      </c>
      <c r="AE137" s="20">
        <v>41974</v>
      </c>
    </row>
    <row r="138" spans="1:31" x14ac:dyDescent="0.25">
      <c r="A138" s="12" t="s">
        <v>15</v>
      </c>
      <c r="B138" s="11">
        <v>0</v>
      </c>
      <c r="C138" s="13">
        <v>0</v>
      </c>
      <c r="D138" s="13">
        <v>0</v>
      </c>
      <c r="E138" s="28">
        <v>0</v>
      </c>
      <c r="F138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1</v>
      </c>
      <c r="N138" s="13">
        <v>0</v>
      </c>
      <c r="O138">
        <v>97</v>
      </c>
      <c r="Q138" t="s">
        <v>2728</v>
      </c>
      <c r="R138">
        <v>42.508629138929813</v>
      </c>
      <c r="S138">
        <v>2.0119451712096197</v>
      </c>
      <c r="T138">
        <v>21.128125034030035</v>
      </c>
      <c r="U138">
        <v>3.0511182472930208E-83</v>
      </c>
      <c r="V138">
        <v>38.560877127707478</v>
      </c>
      <c r="W138">
        <v>46.456381150152147</v>
      </c>
      <c r="X138">
        <v>38.560877127707478</v>
      </c>
      <c r="Y138">
        <v>46.456381150152147</v>
      </c>
      <c r="AA138">
        <v>0</v>
      </c>
      <c r="AB138">
        <v>0</v>
      </c>
      <c r="AC138">
        <v>1</v>
      </c>
      <c r="AD138" s="19">
        <v>45016</v>
      </c>
      <c r="AE138" s="19">
        <v>41974</v>
      </c>
    </row>
    <row r="139" spans="1:31" x14ac:dyDescent="0.25">
      <c r="A139" s="15" t="s">
        <v>513</v>
      </c>
      <c r="B139" s="14">
        <v>0</v>
      </c>
      <c r="C139" s="16">
        <v>0</v>
      </c>
      <c r="D139" s="16">
        <v>0</v>
      </c>
      <c r="E139">
        <v>0</v>
      </c>
      <c r="F139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1</v>
      </c>
      <c r="L139" s="16">
        <v>0</v>
      </c>
      <c r="M139" s="16">
        <v>0</v>
      </c>
      <c r="N139" s="16">
        <v>0</v>
      </c>
      <c r="O139">
        <v>60</v>
      </c>
      <c r="Q139" t="s">
        <v>2714</v>
      </c>
      <c r="R139">
        <v>-24.357138925216582</v>
      </c>
      <c r="S139">
        <v>5.3782235845425586</v>
      </c>
      <c r="T139">
        <v>-4.5288446161332772</v>
      </c>
      <c r="U139">
        <v>6.5880666707176657E-6</v>
      </c>
      <c r="V139">
        <v>-34.910057203758079</v>
      </c>
      <c r="W139">
        <v>-13.804220646675086</v>
      </c>
      <c r="X139">
        <v>-34.910057203758079</v>
      </c>
      <c r="Y139">
        <v>-13.804220646675086</v>
      </c>
      <c r="AA139">
        <v>0</v>
      </c>
      <c r="AB139">
        <v>0</v>
      </c>
      <c r="AC139">
        <v>1</v>
      </c>
      <c r="AD139" s="20">
        <v>43830</v>
      </c>
      <c r="AE139" s="20">
        <v>41974</v>
      </c>
    </row>
    <row r="140" spans="1:31" x14ac:dyDescent="0.25">
      <c r="A140" s="12" t="s">
        <v>515</v>
      </c>
      <c r="B140" s="11">
        <v>0</v>
      </c>
      <c r="C140" s="13">
        <v>0</v>
      </c>
      <c r="D140" s="13">
        <v>0</v>
      </c>
      <c r="E140" s="28">
        <v>0</v>
      </c>
      <c r="F140">
        <v>1</v>
      </c>
      <c r="G140" s="13">
        <v>1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>
        <v>113</v>
      </c>
      <c r="Q140" t="s">
        <v>2715</v>
      </c>
      <c r="R140">
        <v>12.574360137338456</v>
      </c>
      <c r="S140">
        <v>3.6443846536124771</v>
      </c>
      <c r="T140">
        <v>3.4503383513247394</v>
      </c>
      <c r="U140">
        <v>5.8145850489961938E-4</v>
      </c>
      <c r="V140">
        <v>5.4235058040085553</v>
      </c>
      <c r="W140">
        <v>19.725214470668355</v>
      </c>
      <c r="X140">
        <v>5.4235058040085553</v>
      </c>
      <c r="Y140">
        <v>19.725214470668355</v>
      </c>
      <c r="AA140">
        <v>1</v>
      </c>
      <c r="AB140">
        <v>0</v>
      </c>
      <c r="AC140">
        <v>0</v>
      </c>
      <c r="AD140" s="19">
        <v>55153</v>
      </c>
      <c r="AE140" s="19">
        <v>41974</v>
      </c>
    </row>
    <row r="141" spans="1:31" x14ac:dyDescent="0.25">
      <c r="A141" s="15" t="s">
        <v>517</v>
      </c>
      <c r="B141" s="14">
        <v>0</v>
      </c>
      <c r="C141" s="16">
        <v>0</v>
      </c>
      <c r="D141" s="16">
        <v>0</v>
      </c>
      <c r="E141">
        <v>0</v>
      </c>
      <c r="F141">
        <v>1</v>
      </c>
      <c r="G141" s="16">
        <v>1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>
        <v>113</v>
      </c>
      <c r="Q141" t="s">
        <v>2716</v>
      </c>
      <c r="R141">
        <v>31.109050179139384</v>
      </c>
      <c r="S141">
        <v>5.8554689827628961</v>
      </c>
      <c r="T141">
        <v>5.3128195658993338</v>
      </c>
      <c r="U141">
        <v>1.3098157585534811E-7</v>
      </c>
      <c r="V141">
        <v>19.61970157057144</v>
      </c>
      <c r="W141">
        <v>42.598398787707325</v>
      </c>
      <c r="X141">
        <v>19.61970157057144</v>
      </c>
      <c r="Y141">
        <v>42.598398787707325</v>
      </c>
      <c r="AA141">
        <v>1</v>
      </c>
      <c r="AB141">
        <v>0</v>
      </c>
      <c r="AC141">
        <v>0</v>
      </c>
      <c r="AD141" s="20">
        <v>55153</v>
      </c>
      <c r="AE141" s="20">
        <v>41974</v>
      </c>
    </row>
    <row r="142" spans="1:31" x14ac:dyDescent="0.25">
      <c r="A142" s="12" t="s">
        <v>519</v>
      </c>
      <c r="B142" s="11">
        <v>0</v>
      </c>
      <c r="C142" s="13">
        <v>0</v>
      </c>
      <c r="D142" s="13">
        <v>0</v>
      </c>
      <c r="E142" s="28">
        <v>0</v>
      </c>
      <c r="F142">
        <v>1</v>
      </c>
      <c r="G142" s="13">
        <v>1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>
        <v>113</v>
      </c>
      <c r="Q142" t="s">
        <v>2896</v>
      </c>
      <c r="R142">
        <v>11.445487458594053</v>
      </c>
      <c r="S142">
        <v>2.4788418032923061</v>
      </c>
      <c r="T142">
        <v>4.6172722452044255</v>
      </c>
      <c r="U142">
        <v>4.353938209160561E-6</v>
      </c>
      <c r="V142">
        <v>6.5816110197715352</v>
      </c>
      <c r="W142">
        <v>16.309363897416571</v>
      </c>
      <c r="X142">
        <v>6.5816110197715352</v>
      </c>
      <c r="Y142">
        <v>16.309363897416571</v>
      </c>
      <c r="AA142">
        <v>1</v>
      </c>
      <c r="AB142">
        <v>0</v>
      </c>
      <c r="AC142">
        <v>0</v>
      </c>
      <c r="AD142" s="19">
        <v>55153</v>
      </c>
      <c r="AE142" s="19">
        <v>41974</v>
      </c>
    </row>
    <row r="143" spans="1:31" x14ac:dyDescent="0.25">
      <c r="A143" s="15" t="s">
        <v>521</v>
      </c>
      <c r="B143" s="14">
        <v>0</v>
      </c>
      <c r="C143" s="16">
        <v>0</v>
      </c>
      <c r="D143" s="16">
        <v>0</v>
      </c>
      <c r="E143">
        <v>0</v>
      </c>
      <c r="F143">
        <v>1</v>
      </c>
      <c r="G143" s="16">
        <v>1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>
        <v>113</v>
      </c>
      <c r="Q143" t="s">
        <v>2897</v>
      </c>
      <c r="R143">
        <v>32.115784436658508</v>
      </c>
      <c r="S143">
        <v>2.7522654414781611</v>
      </c>
      <c r="T143">
        <v>11.668854301861982</v>
      </c>
      <c r="U143">
        <v>1.0148952935090694E-29</v>
      </c>
      <c r="V143">
        <v>26.715407931626444</v>
      </c>
      <c r="W143">
        <v>37.516160941690572</v>
      </c>
      <c r="X143">
        <v>26.715407931626444</v>
      </c>
      <c r="Y143">
        <v>37.516160941690572</v>
      </c>
      <c r="AA143">
        <v>1</v>
      </c>
      <c r="AB143">
        <v>0</v>
      </c>
      <c r="AC143">
        <v>0</v>
      </c>
      <c r="AD143" s="20">
        <v>55153</v>
      </c>
      <c r="AE143" s="20">
        <v>41974</v>
      </c>
    </row>
    <row r="144" spans="1:31" ht="15.75" thickBot="1" x14ac:dyDescent="0.3">
      <c r="A144" s="12" t="s">
        <v>17</v>
      </c>
      <c r="B144" s="11">
        <v>0</v>
      </c>
      <c r="C144" s="13">
        <v>0</v>
      </c>
      <c r="D144" s="13">
        <v>0</v>
      </c>
      <c r="E144" s="28">
        <v>0</v>
      </c>
      <c r="F144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1</v>
      </c>
      <c r="N144" s="13">
        <v>0</v>
      </c>
      <c r="O144">
        <v>102</v>
      </c>
      <c r="Q144" s="23" t="s">
        <v>20</v>
      </c>
      <c r="R144" s="23">
        <v>-5.9685012404074662</v>
      </c>
      <c r="S144" s="23">
        <v>3.3754709611159841</v>
      </c>
      <c r="T144" s="23">
        <v>-1.7681980704802702</v>
      </c>
      <c r="U144" s="23">
        <v>7.7309290746069917E-2</v>
      </c>
      <c r="V144" s="23">
        <v>-12.591704728381577</v>
      </c>
      <c r="W144" s="23">
        <v>0.65470224756664486</v>
      </c>
      <c r="X144" s="23">
        <v>-12.591704728381577</v>
      </c>
      <c r="Y144" s="23">
        <v>0.65470224756664486</v>
      </c>
      <c r="AA144">
        <v>0</v>
      </c>
      <c r="AB144">
        <v>0</v>
      </c>
      <c r="AC144">
        <v>1</v>
      </c>
      <c r="AD144" s="19">
        <v>45107</v>
      </c>
      <c r="AE144" s="19">
        <v>41974</v>
      </c>
    </row>
    <row r="145" spans="1:31" x14ac:dyDescent="0.25">
      <c r="A145" s="15" t="s">
        <v>524</v>
      </c>
      <c r="B145" s="14">
        <v>0</v>
      </c>
      <c r="C145" s="16">
        <v>0</v>
      </c>
      <c r="D145" s="16">
        <v>0</v>
      </c>
      <c r="E145">
        <v>0</v>
      </c>
      <c r="F145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1</v>
      </c>
      <c r="N145" s="16">
        <v>0</v>
      </c>
      <c r="O145">
        <v>96</v>
      </c>
      <c r="AA145">
        <v>0</v>
      </c>
      <c r="AB145">
        <v>0</v>
      </c>
      <c r="AC145">
        <v>1</v>
      </c>
      <c r="AD145" s="20">
        <v>44926</v>
      </c>
      <c r="AE145" s="20">
        <v>41974</v>
      </c>
    </row>
    <row r="146" spans="1:31" ht="18.75" x14ac:dyDescent="0.3">
      <c r="A146" s="12" t="s">
        <v>526</v>
      </c>
      <c r="B146" s="11">
        <v>0</v>
      </c>
      <c r="C146" s="13">
        <v>0</v>
      </c>
      <c r="D146" s="13">
        <v>0</v>
      </c>
      <c r="E146" s="28">
        <v>0</v>
      </c>
      <c r="F146">
        <v>1</v>
      </c>
      <c r="G146" s="13">
        <v>0</v>
      </c>
      <c r="H146" s="13">
        <v>0</v>
      </c>
      <c r="I146" s="13">
        <v>0</v>
      </c>
      <c r="J146" s="13">
        <v>0</v>
      </c>
      <c r="K146" s="13">
        <v>1</v>
      </c>
      <c r="L146" s="13">
        <v>0</v>
      </c>
      <c r="M146" s="13">
        <v>0</v>
      </c>
      <c r="N146" s="13">
        <v>0</v>
      </c>
      <c r="O146">
        <v>113</v>
      </c>
      <c r="Q146" s="26" t="s">
        <v>2746</v>
      </c>
      <c r="AA146">
        <v>1</v>
      </c>
      <c r="AB146">
        <v>0</v>
      </c>
      <c r="AC146">
        <v>0</v>
      </c>
      <c r="AD146" s="19">
        <v>55153</v>
      </c>
      <c r="AE146" s="19">
        <v>41974</v>
      </c>
    </row>
    <row r="147" spans="1:31" ht="15.75" thickBot="1" x14ac:dyDescent="0.3">
      <c r="A147" s="15" t="s">
        <v>528</v>
      </c>
      <c r="B147" s="14">
        <v>0</v>
      </c>
      <c r="C147" s="16">
        <v>0</v>
      </c>
      <c r="D147" s="16">
        <v>0</v>
      </c>
      <c r="E147">
        <v>0</v>
      </c>
      <c r="F147">
        <v>1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1</v>
      </c>
      <c r="N147" s="16">
        <v>0</v>
      </c>
      <c r="O147">
        <v>113</v>
      </c>
      <c r="AA147">
        <v>1</v>
      </c>
      <c r="AB147">
        <v>0</v>
      </c>
      <c r="AC147">
        <v>0</v>
      </c>
      <c r="AD147" s="20">
        <v>55153</v>
      </c>
      <c r="AE147" s="20">
        <v>41974</v>
      </c>
    </row>
    <row r="148" spans="1:31" x14ac:dyDescent="0.25">
      <c r="A148" s="12" t="s">
        <v>530</v>
      </c>
      <c r="B148" s="11">
        <v>0</v>
      </c>
      <c r="C148" s="13">
        <v>0</v>
      </c>
      <c r="D148" s="13">
        <v>0</v>
      </c>
      <c r="E148" s="28">
        <v>0</v>
      </c>
      <c r="F148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1</v>
      </c>
      <c r="N148" s="13">
        <v>0</v>
      </c>
      <c r="O148">
        <v>96</v>
      </c>
      <c r="Q148" s="25" t="s">
        <v>2718</v>
      </c>
      <c r="R148" s="25"/>
      <c r="AA148">
        <v>0</v>
      </c>
      <c r="AB148">
        <v>0</v>
      </c>
      <c r="AC148">
        <v>1</v>
      </c>
      <c r="AD148" s="19">
        <v>44926</v>
      </c>
      <c r="AE148" s="19">
        <v>41974</v>
      </c>
    </row>
    <row r="149" spans="1:31" x14ac:dyDescent="0.25">
      <c r="A149" s="15" t="s">
        <v>532</v>
      </c>
      <c r="B149" s="14">
        <v>0</v>
      </c>
      <c r="C149" s="16">
        <v>0</v>
      </c>
      <c r="D149" s="16">
        <v>0</v>
      </c>
      <c r="E149">
        <v>0</v>
      </c>
      <c r="F149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1</v>
      </c>
      <c r="N149" s="16">
        <v>0</v>
      </c>
      <c r="O149">
        <v>113</v>
      </c>
      <c r="Q149" t="s">
        <v>2719</v>
      </c>
      <c r="R149">
        <v>0.36664606728939553</v>
      </c>
      <c r="AA149">
        <v>1</v>
      </c>
      <c r="AB149">
        <v>0</v>
      </c>
      <c r="AC149">
        <v>0</v>
      </c>
      <c r="AD149" s="20">
        <v>55153</v>
      </c>
      <c r="AE149" s="20">
        <v>41974</v>
      </c>
    </row>
    <row r="150" spans="1:31" x14ac:dyDescent="0.25">
      <c r="A150" s="12" t="s">
        <v>534</v>
      </c>
      <c r="B150" s="11">
        <v>0</v>
      </c>
      <c r="C150" s="13">
        <v>0</v>
      </c>
      <c r="D150" s="13">
        <v>0</v>
      </c>
      <c r="E150" s="28">
        <v>0</v>
      </c>
      <c r="F150">
        <v>1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1</v>
      </c>
      <c r="N150" s="13">
        <v>0</v>
      </c>
      <c r="O150">
        <v>113</v>
      </c>
      <c r="Q150" t="s">
        <v>2720</v>
      </c>
      <c r="R150">
        <v>0.13442933865877996</v>
      </c>
      <c r="AA150">
        <v>1</v>
      </c>
      <c r="AB150">
        <v>0</v>
      </c>
      <c r="AC150">
        <v>0</v>
      </c>
      <c r="AD150" s="19">
        <v>55153</v>
      </c>
      <c r="AE150" s="19">
        <v>41974</v>
      </c>
    </row>
    <row r="151" spans="1:31" x14ac:dyDescent="0.25">
      <c r="A151" s="15" t="s">
        <v>536</v>
      </c>
      <c r="B151" s="14">
        <v>0</v>
      </c>
      <c r="C151" s="16">
        <v>0</v>
      </c>
      <c r="D151" s="16">
        <v>0</v>
      </c>
      <c r="E151">
        <v>0</v>
      </c>
      <c r="F151">
        <v>1</v>
      </c>
      <c r="G151" s="16">
        <v>0</v>
      </c>
      <c r="H151" s="16">
        <v>0</v>
      </c>
      <c r="I151" s="16">
        <v>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>
        <v>113</v>
      </c>
      <c r="Q151" t="s">
        <v>2721</v>
      </c>
      <c r="R151">
        <v>0.12963393333278983</v>
      </c>
      <c r="AA151">
        <v>1</v>
      </c>
      <c r="AB151">
        <v>0</v>
      </c>
      <c r="AC151">
        <v>0</v>
      </c>
      <c r="AD151" s="20">
        <v>55153</v>
      </c>
      <c r="AE151" s="20">
        <v>41974</v>
      </c>
    </row>
    <row r="152" spans="1:31" x14ac:dyDescent="0.25">
      <c r="A152" s="12" t="s">
        <v>538</v>
      </c>
      <c r="B152" s="11">
        <v>1</v>
      </c>
      <c r="C152" s="13">
        <v>0</v>
      </c>
      <c r="D152" s="13">
        <v>1</v>
      </c>
      <c r="E152" s="28">
        <v>0</v>
      </c>
      <c r="F152">
        <v>0</v>
      </c>
      <c r="G152" s="13">
        <v>0</v>
      </c>
      <c r="H152" s="13">
        <v>1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>
        <v>69</v>
      </c>
      <c r="Q152" t="s">
        <v>2722</v>
      </c>
      <c r="R152">
        <v>32.412651584900438</v>
      </c>
      <c r="AA152">
        <v>0</v>
      </c>
      <c r="AB152">
        <v>1</v>
      </c>
      <c r="AC152">
        <v>0</v>
      </c>
      <c r="AD152" s="19">
        <v>43799</v>
      </c>
      <c r="AE152" s="19">
        <v>41671</v>
      </c>
    </row>
    <row r="153" spans="1:31" ht="15.75" thickBot="1" x14ac:dyDescent="0.3">
      <c r="A153" s="15" t="s">
        <v>540</v>
      </c>
      <c r="B153" s="14">
        <v>1</v>
      </c>
      <c r="C153" s="16">
        <v>1</v>
      </c>
      <c r="D153" s="16">
        <v>1</v>
      </c>
      <c r="E153">
        <v>1</v>
      </c>
      <c r="F153">
        <v>0</v>
      </c>
      <c r="G153" s="16">
        <v>0</v>
      </c>
      <c r="H153" s="16">
        <v>1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>
        <v>121</v>
      </c>
      <c r="Q153" s="23" t="s">
        <v>2723</v>
      </c>
      <c r="R153" s="23">
        <v>1090</v>
      </c>
      <c r="AA153">
        <v>1</v>
      </c>
      <c r="AB153">
        <v>0</v>
      </c>
      <c r="AC153">
        <v>0</v>
      </c>
      <c r="AD153" s="20">
        <v>55153</v>
      </c>
      <c r="AE153" s="20">
        <v>41730</v>
      </c>
    </row>
    <row r="154" spans="1:31" x14ac:dyDescent="0.25">
      <c r="A154" s="12" t="s">
        <v>542</v>
      </c>
      <c r="B154" s="11">
        <v>1</v>
      </c>
      <c r="C154" s="13">
        <v>0</v>
      </c>
      <c r="D154" s="13">
        <v>1</v>
      </c>
      <c r="E154" s="28">
        <v>1</v>
      </c>
      <c r="F154">
        <v>0</v>
      </c>
      <c r="G154" s="13">
        <v>0</v>
      </c>
      <c r="H154" s="13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>
        <v>118</v>
      </c>
      <c r="AA154">
        <v>1</v>
      </c>
      <c r="AB154">
        <v>0</v>
      </c>
      <c r="AC154">
        <v>0</v>
      </c>
      <c r="AD154" s="19">
        <v>55153</v>
      </c>
      <c r="AE154" s="19">
        <v>41821</v>
      </c>
    </row>
    <row r="155" spans="1:31" ht="15.75" thickBot="1" x14ac:dyDescent="0.3">
      <c r="A155" s="15" t="s">
        <v>544</v>
      </c>
      <c r="B155" s="14">
        <v>1</v>
      </c>
      <c r="C155" s="16">
        <v>1</v>
      </c>
      <c r="D155" s="16">
        <v>1</v>
      </c>
      <c r="E155">
        <v>1</v>
      </c>
      <c r="F155">
        <v>0</v>
      </c>
      <c r="G155" s="16">
        <v>0</v>
      </c>
      <c r="H155" s="16">
        <v>0</v>
      </c>
      <c r="I155" s="16">
        <v>0</v>
      </c>
      <c r="J155" s="16">
        <v>1</v>
      </c>
      <c r="K155" s="16">
        <v>0</v>
      </c>
      <c r="L155" s="16">
        <v>0</v>
      </c>
      <c r="M155" s="16">
        <v>0</v>
      </c>
      <c r="N155" s="16">
        <v>0</v>
      </c>
      <c r="O155">
        <v>121</v>
      </c>
      <c r="Q155" t="s">
        <v>2724</v>
      </c>
      <c r="AA155">
        <v>1</v>
      </c>
      <c r="AB155">
        <v>0</v>
      </c>
      <c r="AC155">
        <v>0</v>
      </c>
      <c r="AD155" s="20">
        <v>55153</v>
      </c>
      <c r="AE155" s="20">
        <v>41730</v>
      </c>
    </row>
    <row r="156" spans="1:31" x14ac:dyDescent="0.25">
      <c r="A156" s="12" t="s">
        <v>546</v>
      </c>
      <c r="B156" s="11">
        <v>1</v>
      </c>
      <c r="C156" s="13">
        <v>0</v>
      </c>
      <c r="D156" s="13">
        <v>1</v>
      </c>
      <c r="E156" s="28">
        <v>1</v>
      </c>
      <c r="F156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1</v>
      </c>
      <c r="L156" s="13">
        <v>0</v>
      </c>
      <c r="M156" s="13">
        <v>0</v>
      </c>
      <c r="N156" s="13">
        <v>0</v>
      </c>
      <c r="O156">
        <v>119</v>
      </c>
      <c r="Q156" s="24"/>
      <c r="R156" s="24" t="s">
        <v>2729</v>
      </c>
      <c r="S156" s="24" t="s">
        <v>2730</v>
      </c>
      <c r="T156" s="24" t="s">
        <v>2731</v>
      </c>
      <c r="U156" s="24" t="s">
        <v>2732</v>
      </c>
      <c r="V156" s="24" t="s">
        <v>2733</v>
      </c>
      <c r="AA156">
        <v>1</v>
      </c>
      <c r="AB156">
        <v>0</v>
      </c>
      <c r="AC156">
        <v>0</v>
      </c>
      <c r="AD156" s="19">
        <v>55153</v>
      </c>
      <c r="AE156" s="19">
        <v>41791</v>
      </c>
    </row>
    <row r="157" spans="1:31" x14ac:dyDescent="0.25">
      <c r="A157" s="15" t="s">
        <v>548</v>
      </c>
      <c r="B157" s="14">
        <v>1</v>
      </c>
      <c r="C157" s="16">
        <v>0</v>
      </c>
      <c r="D157" s="16">
        <v>1</v>
      </c>
      <c r="E157">
        <v>0</v>
      </c>
      <c r="F157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1</v>
      </c>
      <c r="O157">
        <v>58</v>
      </c>
      <c r="Q157" t="s">
        <v>2725</v>
      </c>
      <c r="R157">
        <v>6</v>
      </c>
      <c r="S157">
        <v>176705.11169394408</v>
      </c>
      <c r="T157">
        <v>29450.851948990679</v>
      </c>
      <c r="U157">
        <v>28.032946022351812</v>
      </c>
      <c r="V157">
        <v>3.0562161043517615E-31</v>
      </c>
      <c r="AA157">
        <v>0</v>
      </c>
      <c r="AB157">
        <v>1</v>
      </c>
      <c r="AC157">
        <v>0</v>
      </c>
      <c r="AD157" s="20">
        <v>43524</v>
      </c>
      <c r="AE157" s="20">
        <v>41730</v>
      </c>
    </row>
    <row r="158" spans="1:31" x14ac:dyDescent="0.25">
      <c r="A158" s="12" t="s">
        <v>550</v>
      </c>
      <c r="B158" s="11">
        <v>1</v>
      </c>
      <c r="C158" s="13">
        <v>0</v>
      </c>
      <c r="D158" s="13">
        <v>1</v>
      </c>
      <c r="E158" s="28">
        <v>1</v>
      </c>
      <c r="F158">
        <v>0</v>
      </c>
      <c r="G158" s="13">
        <v>0</v>
      </c>
      <c r="H158" s="13">
        <v>0</v>
      </c>
      <c r="I158" s="13">
        <v>0</v>
      </c>
      <c r="J158" s="13">
        <v>1</v>
      </c>
      <c r="K158" s="13">
        <v>0</v>
      </c>
      <c r="L158" s="13">
        <v>0</v>
      </c>
      <c r="M158" s="13">
        <v>0</v>
      </c>
      <c r="N158" s="13">
        <v>0</v>
      </c>
      <c r="O158">
        <v>114</v>
      </c>
      <c r="Q158" t="s">
        <v>2726</v>
      </c>
      <c r="R158">
        <v>1083</v>
      </c>
      <c r="S158">
        <v>1137778.1213335732</v>
      </c>
      <c r="T158">
        <v>1050.5799827641488</v>
      </c>
      <c r="AA158">
        <v>1</v>
      </c>
      <c r="AB158">
        <v>0</v>
      </c>
      <c r="AC158">
        <v>0</v>
      </c>
      <c r="AD158" s="19">
        <v>55153</v>
      </c>
      <c r="AE158" s="19">
        <v>41944</v>
      </c>
    </row>
    <row r="159" spans="1:31" ht="15.75" thickBot="1" x14ac:dyDescent="0.3">
      <c r="A159" s="15" t="s">
        <v>235</v>
      </c>
      <c r="B159" s="14">
        <v>1</v>
      </c>
      <c r="C159" s="16">
        <v>0</v>
      </c>
      <c r="D159" s="16">
        <v>1</v>
      </c>
      <c r="E159">
        <v>1</v>
      </c>
      <c r="F159">
        <v>0</v>
      </c>
      <c r="G159" s="16">
        <v>0</v>
      </c>
      <c r="H159" s="16">
        <v>1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>
        <v>117</v>
      </c>
      <c r="Q159" s="23" t="s">
        <v>2727</v>
      </c>
      <c r="R159" s="23">
        <v>1089</v>
      </c>
      <c r="S159" s="23">
        <v>1314483.2330275173</v>
      </c>
      <c r="T159" s="23"/>
      <c r="U159" s="23"/>
      <c r="V159" s="23"/>
      <c r="AA159">
        <v>0</v>
      </c>
      <c r="AB159">
        <v>1</v>
      </c>
      <c r="AC159">
        <v>0</v>
      </c>
      <c r="AD159" s="20">
        <v>45382</v>
      </c>
      <c r="AE159" s="20">
        <v>41791</v>
      </c>
    </row>
    <row r="160" spans="1:31" ht="15.75" thickBot="1" x14ac:dyDescent="0.3">
      <c r="A160" s="12" t="s">
        <v>552</v>
      </c>
      <c r="B160" s="11">
        <v>1</v>
      </c>
      <c r="C160" s="13">
        <v>1</v>
      </c>
      <c r="D160" s="13">
        <v>1</v>
      </c>
      <c r="E160" s="28">
        <v>1</v>
      </c>
      <c r="F160">
        <v>0</v>
      </c>
      <c r="G160" s="13">
        <v>0</v>
      </c>
      <c r="H160" s="13">
        <v>1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>
        <v>121</v>
      </c>
      <c r="AA160">
        <v>1</v>
      </c>
      <c r="AB160">
        <v>0</v>
      </c>
      <c r="AC160">
        <v>0</v>
      </c>
      <c r="AD160" s="19">
        <v>55153</v>
      </c>
      <c r="AE160" s="19">
        <v>41730</v>
      </c>
    </row>
    <row r="161" spans="1:31" x14ac:dyDescent="0.25">
      <c r="A161" s="15" t="s">
        <v>554</v>
      </c>
      <c r="B161" s="14">
        <v>1</v>
      </c>
      <c r="C161" s="16">
        <v>1</v>
      </c>
      <c r="D161" s="16">
        <v>1</v>
      </c>
      <c r="E161">
        <v>0</v>
      </c>
      <c r="F161">
        <v>0</v>
      </c>
      <c r="G161" s="16">
        <v>0</v>
      </c>
      <c r="H161" s="16">
        <v>1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>
        <v>59</v>
      </c>
      <c r="Q161" s="24"/>
      <c r="R161" s="24" t="s">
        <v>2734</v>
      </c>
      <c r="S161" s="24" t="s">
        <v>2722</v>
      </c>
      <c r="T161" s="24" t="s">
        <v>2735</v>
      </c>
      <c r="U161" s="24" t="s">
        <v>2736</v>
      </c>
      <c r="V161" s="24" t="s">
        <v>2737</v>
      </c>
      <c r="W161" s="24" t="s">
        <v>2738</v>
      </c>
      <c r="X161" s="24" t="s">
        <v>2739</v>
      </c>
      <c r="Y161" s="24" t="s">
        <v>2740</v>
      </c>
      <c r="AA161">
        <v>0</v>
      </c>
      <c r="AB161">
        <v>1</v>
      </c>
      <c r="AC161">
        <v>0</v>
      </c>
      <c r="AD161" s="20">
        <v>43708</v>
      </c>
      <c r="AE161" s="20">
        <v>41883</v>
      </c>
    </row>
    <row r="162" spans="1:31" x14ac:dyDescent="0.25">
      <c r="A162" s="12" t="s">
        <v>18</v>
      </c>
      <c r="B162" s="11">
        <v>1</v>
      </c>
      <c r="C162" s="13">
        <v>1</v>
      </c>
      <c r="D162" s="13">
        <v>1</v>
      </c>
      <c r="E162" s="28">
        <v>0</v>
      </c>
      <c r="F162">
        <v>0</v>
      </c>
      <c r="G162" s="13">
        <v>0</v>
      </c>
      <c r="H162" s="13">
        <v>1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>
        <v>114</v>
      </c>
      <c r="Q162" t="s">
        <v>2728</v>
      </c>
      <c r="R162">
        <v>44.24244684670127</v>
      </c>
      <c r="S162">
        <v>2.0819809489054899</v>
      </c>
      <c r="T162">
        <v>21.250168917232308</v>
      </c>
      <c r="U162">
        <v>4.8838256320574597E-84</v>
      </c>
      <c r="V162">
        <v>40.157273654120317</v>
      </c>
      <c r="W162">
        <v>48.327620039282223</v>
      </c>
      <c r="X162">
        <v>40.157273654120317</v>
      </c>
      <c r="Y162">
        <v>48.327620039282223</v>
      </c>
      <c r="AA162">
        <v>0</v>
      </c>
      <c r="AB162">
        <v>1</v>
      </c>
      <c r="AC162">
        <v>0</v>
      </c>
      <c r="AD162" s="19">
        <v>45291</v>
      </c>
      <c r="AE162" s="19">
        <v>41791</v>
      </c>
    </row>
    <row r="163" spans="1:31" x14ac:dyDescent="0.25">
      <c r="A163" s="15" t="s">
        <v>556</v>
      </c>
      <c r="B163" s="14">
        <v>1</v>
      </c>
      <c r="C163" s="16">
        <v>1</v>
      </c>
      <c r="D163" s="16">
        <v>1</v>
      </c>
      <c r="E163">
        <v>1</v>
      </c>
      <c r="F163">
        <v>0</v>
      </c>
      <c r="G163" s="16">
        <v>0</v>
      </c>
      <c r="H163" s="16">
        <v>1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>
        <v>120</v>
      </c>
      <c r="Q163" t="s">
        <v>2714</v>
      </c>
      <c r="R163">
        <v>-30.854014402893061</v>
      </c>
      <c r="S163">
        <v>4.9177825758809677</v>
      </c>
      <c r="T163">
        <v>-6.2739687911814395</v>
      </c>
      <c r="U163">
        <v>5.079614461809337E-10</v>
      </c>
      <c r="V163">
        <v>-40.503475199588664</v>
      </c>
      <c r="W163">
        <v>-21.204553606197454</v>
      </c>
      <c r="X163">
        <v>-40.503475199588664</v>
      </c>
      <c r="Y163">
        <v>-21.204553606197454</v>
      </c>
      <c r="AA163">
        <v>1</v>
      </c>
      <c r="AB163">
        <v>0</v>
      </c>
      <c r="AC163">
        <v>0</v>
      </c>
      <c r="AD163" s="20">
        <v>55153</v>
      </c>
      <c r="AE163" s="20">
        <v>41760</v>
      </c>
    </row>
    <row r="164" spans="1:31" x14ac:dyDescent="0.25">
      <c r="A164" s="12" t="s">
        <v>558</v>
      </c>
      <c r="B164" s="11">
        <v>1</v>
      </c>
      <c r="C164" s="13">
        <v>1</v>
      </c>
      <c r="D164" s="13">
        <v>1</v>
      </c>
      <c r="E164" s="28">
        <v>1</v>
      </c>
      <c r="F164">
        <v>0</v>
      </c>
      <c r="G164" s="13">
        <v>0</v>
      </c>
      <c r="H164" s="13">
        <v>0</v>
      </c>
      <c r="I164" s="13">
        <v>0</v>
      </c>
      <c r="J164" s="13">
        <v>1</v>
      </c>
      <c r="K164" s="13">
        <v>0</v>
      </c>
      <c r="L164" s="13">
        <v>0</v>
      </c>
      <c r="M164" s="13">
        <v>0</v>
      </c>
      <c r="N164" s="13">
        <v>0</v>
      </c>
      <c r="O164">
        <v>117</v>
      </c>
      <c r="Q164" t="s">
        <v>2715</v>
      </c>
      <c r="R164">
        <v>10.875680525075882</v>
      </c>
      <c r="S164">
        <v>3.4953505808313015</v>
      </c>
      <c r="T164">
        <v>3.1114705874480015</v>
      </c>
      <c r="U164">
        <v>1.910302004085879E-3</v>
      </c>
      <c r="V164">
        <v>4.0172544194043009</v>
      </c>
      <c r="W164">
        <v>17.734106630747462</v>
      </c>
      <c r="X164">
        <v>4.0172544194043009</v>
      </c>
      <c r="Y164">
        <v>17.734106630747462</v>
      </c>
      <c r="AA164">
        <v>1</v>
      </c>
      <c r="AB164">
        <v>0</v>
      </c>
      <c r="AC164">
        <v>0</v>
      </c>
      <c r="AD164" s="19">
        <v>55153</v>
      </c>
      <c r="AE164" s="19">
        <v>41852</v>
      </c>
    </row>
    <row r="165" spans="1:31" x14ac:dyDescent="0.25">
      <c r="A165" s="15" t="s">
        <v>560</v>
      </c>
      <c r="B165" s="14">
        <v>1</v>
      </c>
      <c r="C165" s="16">
        <v>1</v>
      </c>
      <c r="D165" s="16">
        <v>1</v>
      </c>
      <c r="E165">
        <v>0</v>
      </c>
      <c r="F165">
        <v>0</v>
      </c>
      <c r="G165" s="16">
        <v>0</v>
      </c>
      <c r="H165" s="16">
        <v>1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>
        <v>62</v>
      </c>
      <c r="Q165" t="s">
        <v>2716</v>
      </c>
      <c r="R165">
        <v>34.025326432656435</v>
      </c>
      <c r="S165">
        <v>5.7007046263126497</v>
      </c>
      <c r="T165">
        <v>5.9686176820328996</v>
      </c>
      <c r="U165">
        <v>3.2385118140299092E-9</v>
      </c>
      <c r="V165">
        <v>22.839649767133871</v>
      </c>
      <c r="W165">
        <v>45.211003098178999</v>
      </c>
      <c r="X165">
        <v>22.839649767133871</v>
      </c>
      <c r="Y165">
        <v>45.211003098178999</v>
      </c>
      <c r="AA165">
        <v>0</v>
      </c>
      <c r="AB165">
        <v>1</v>
      </c>
      <c r="AC165">
        <v>0</v>
      </c>
      <c r="AD165" s="20">
        <v>43799</v>
      </c>
      <c r="AE165" s="20">
        <v>41883</v>
      </c>
    </row>
    <row r="166" spans="1:31" x14ac:dyDescent="0.25">
      <c r="A166" s="12" t="s">
        <v>562</v>
      </c>
      <c r="B166" s="11">
        <v>1</v>
      </c>
      <c r="C166" s="13">
        <v>0</v>
      </c>
      <c r="D166" s="13">
        <v>1</v>
      </c>
      <c r="E166" s="28">
        <v>0</v>
      </c>
      <c r="F166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0</v>
      </c>
      <c r="N166" s="13">
        <v>0</v>
      </c>
      <c r="O166">
        <v>50</v>
      </c>
      <c r="Q166" t="s">
        <v>2896</v>
      </c>
      <c r="R166">
        <v>11.472888004286974</v>
      </c>
      <c r="S166">
        <v>2.4712401205382357</v>
      </c>
      <c r="T166">
        <v>4.6425630228875452</v>
      </c>
      <c r="U166">
        <v>3.862528414954999E-6</v>
      </c>
      <c r="V166">
        <v>6.6239272593961207</v>
      </c>
      <c r="W166">
        <v>16.321848749177825</v>
      </c>
      <c r="X166">
        <v>6.6239272593961207</v>
      </c>
      <c r="Y166">
        <v>16.321848749177825</v>
      </c>
      <c r="AA166">
        <v>0</v>
      </c>
      <c r="AB166">
        <v>0</v>
      </c>
      <c r="AC166">
        <v>1</v>
      </c>
      <c r="AD166" s="19">
        <v>43404</v>
      </c>
      <c r="AE166" s="19">
        <v>41852</v>
      </c>
    </row>
    <row r="167" spans="1:31" x14ac:dyDescent="0.25">
      <c r="A167" s="15" t="s">
        <v>564</v>
      </c>
      <c r="B167" s="14">
        <v>1</v>
      </c>
      <c r="C167" s="16">
        <v>1</v>
      </c>
      <c r="D167" s="16">
        <v>1</v>
      </c>
      <c r="E167">
        <v>1</v>
      </c>
      <c r="F167">
        <v>0</v>
      </c>
      <c r="G167" s="16">
        <v>0</v>
      </c>
      <c r="H167" s="16">
        <v>0</v>
      </c>
      <c r="I167" s="16">
        <v>0</v>
      </c>
      <c r="J167" s="16">
        <v>1</v>
      </c>
      <c r="K167" s="16">
        <v>0</v>
      </c>
      <c r="L167" s="16">
        <v>0</v>
      </c>
      <c r="M167" s="16">
        <v>0</v>
      </c>
      <c r="N167" s="16">
        <v>0</v>
      </c>
      <c r="O167">
        <v>116</v>
      </c>
      <c r="Q167" t="s">
        <v>2897</v>
      </c>
      <c r="R167">
        <v>32.889154372902297</v>
      </c>
      <c r="S167">
        <v>2.7551272639993476</v>
      </c>
      <c r="T167">
        <v>11.93743563234184</v>
      </c>
      <c r="U167">
        <v>5.9975680844037126E-31</v>
      </c>
      <c r="V167">
        <v>27.483162523190146</v>
      </c>
      <c r="W167">
        <v>38.295146222614449</v>
      </c>
      <c r="X167">
        <v>27.483162523190146</v>
      </c>
      <c r="Y167">
        <v>38.295146222614449</v>
      </c>
      <c r="AA167">
        <v>1</v>
      </c>
      <c r="AB167">
        <v>0</v>
      </c>
      <c r="AC167">
        <v>0</v>
      </c>
      <c r="AD167" s="20">
        <v>55153</v>
      </c>
      <c r="AE167" s="20">
        <v>41883</v>
      </c>
    </row>
    <row r="168" spans="1:31" ht="15.75" thickBot="1" x14ac:dyDescent="0.3">
      <c r="A168" s="12" t="s">
        <v>566</v>
      </c>
      <c r="B168" s="11">
        <v>0</v>
      </c>
      <c r="C168" s="13">
        <v>0</v>
      </c>
      <c r="D168" s="13">
        <v>0</v>
      </c>
      <c r="E168" s="28">
        <v>0</v>
      </c>
      <c r="F168">
        <v>1</v>
      </c>
      <c r="G168" s="13">
        <v>0</v>
      </c>
      <c r="H168" s="13">
        <v>0</v>
      </c>
      <c r="I168" s="13">
        <v>1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>
        <v>113</v>
      </c>
      <c r="Q168" s="23" t="s">
        <v>80</v>
      </c>
      <c r="R168" s="23">
        <v>-9.4379288097255749</v>
      </c>
      <c r="S168" s="23">
        <v>3.0196404190715156</v>
      </c>
      <c r="T168" s="23">
        <v>-3.1255141341059298</v>
      </c>
      <c r="U168" s="23">
        <v>1.8221818199063277E-3</v>
      </c>
      <c r="V168" s="23">
        <v>-15.362936960117084</v>
      </c>
      <c r="W168" s="23">
        <v>-3.5129206593340658</v>
      </c>
      <c r="X168" s="23">
        <v>-15.362936960117084</v>
      </c>
      <c r="Y168" s="23">
        <v>-3.5129206593340658</v>
      </c>
      <c r="AA168">
        <v>1</v>
      </c>
      <c r="AB168">
        <v>0</v>
      </c>
      <c r="AC168">
        <v>0</v>
      </c>
      <c r="AD168" s="19">
        <v>55153</v>
      </c>
      <c r="AE168" s="19">
        <v>41974</v>
      </c>
    </row>
    <row r="169" spans="1:31" x14ac:dyDescent="0.25">
      <c r="A169" s="15" t="s">
        <v>568</v>
      </c>
      <c r="B169" s="14">
        <v>0</v>
      </c>
      <c r="C169" s="16">
        <v>0</v>
      </c>
      <c r="D169" s="16">
        <v>0</v>
      </c>
      <c r="E169">
        <v>0</v>
      </c>
      <c r="F169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1</v>
      </c>
      <c r="L169" s="16">
        <v>0</v>
      </c>
      <c r="M169" s="16">
        <v>0</v>
      </c>
      <c r="N169" s="16">
        <v>0</v>
      </c>
      <c r="O169">
        <v>60</v>
      </c>
      <c r="AA169">
        <v>0</v>
      </c>
      <c r="AB169">
        <v>0</v>
      </c>
      <c r="AC169">
        <v>1</v>
      </c>
      <c r="AD169" s="20">
        <v>43830</v>
      </c>
      <c r="AE169" s="20">
        <v>41974</v>
      </c>
    </row>
    <row r="170" spans="1:31" ht="18.75" x14ac:dyDescent="0.3">
      <c r="A170" s="12" t="s">
        <v>570</v>
      </c>
      <c r="B170" s="11">
        <v>0</v>
      </c>
      <c r="C170" s="13">
        <v>0</v>
      </c>
      <c r="D170" s="13">
        <v>0</v>
      </c>
      <c r="E170" s="28">
        <v>0</v>
      </c>
      <c r="F170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0</v>
      </c>
      <c r="N170" s="13">
        <v>0</v>
      </c>
      <c r="O170">
        <v>17</v>
      </c>
      <c r="Q170" s="26" t="s">
        <v>2748</v>
      </c>
      <c r="AA170">
        <v>0</v>
      </c>
      <c r="AB170">
        <v>0</v>
      </c>
      <c r="AC170">
        <v>1</v>
      </c>
      <c r="AD170" s="19">
        <v>42521</v>
      </c>
      <c r="AE170" s="19">
        <v>41974</v>
      </c>
    </row>
    <row r="171" spans="1:31" ht="15.75" thickBot="1" x14ac:dyDescent="0.3">
      <c r="A171" s="15" t="s">
        <v>572</v>
      </c>
      <c r="B171" s="14">
        <v>0</v>
      </c>
      <c r="C171" s="16">
        <v>0</v>
      </c>
      <c r="D171" s="16">
        <v>0</v>
      </c>
      <c r="E171">
        <v>0</v>
      </c>
      <c r="F171">
        <v>1</v>
      </c>
      <c r="G171" s="16">
        <v>1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>
        <v>113</v>
      </c>
      <c r="AA171">
        <v>1</v>
      </c>
      <c r="AB171">
        <v>0</v>
      </c>
      <c r="AC171">
        <v>0</v>
      </c>
      <c r="AD171" s="20">
        <v>55153</v>
      </c>
      <c r="AE171" s="20">
        <v>41974</v>
      </c>
    </row>
    <row r="172" spans="1:31" x14ac:dyDescent="0.25">
      <c r="A172" s="12" t="s">
        <v>574</v>
      </c>
      <c r="B172" s="11">
        <v>1</v>
      </c>
      <c r="C172" s="13">
        <v>1</v>
      </c>
      <c r="D172" s="13">
        <v>1</v>
      </c>
      <c r="E172" s="28">
        <v>0</v>
      </c>
      <c r="F172">
        <v>0</v>
      </c>
      <c r="G172" s="13">
        <v>0</v>
      </c>
      <c r="H172" s="13">
        <v>0</v>
      </c>
      <c r="I172" s="13">
        <v>0</v>
      </c>
      <c r="J172" s="13">
        <v>1</v>
      </c>
      <c r="K172" s="13">
        <v>0</v>
      </c>
      <c r="L172" s="13">
        <v>0</v>
      </c>
      <c r="M172" s="13">
        <v>0</v>
      </c>
      <c r="N172" s="13">
        <v>0</v>
      </c>
      <c r="O172">
        <v>51</v>
      </c>
      <c r="Q172" s="25" t="s">
        <v>2718</v>
      </c>
      <c r="R172" s="25"/>
      <c r="AA172">
        <v>0</v>
      </c>
      <c r="AB172">
        <v>1</v>
      </c>
      <c r="AC172">
        <v>0</v>
      </c>
      <c r="AD172" s="19">
        <v>43465</v>
      </c>
      <c r="AE172" s="19">
        <v>41883</v>
      </c>
    </row>
    <row r="173" spans="1:31" x14ac:dyDescent="0.25">
      <c r="A173" s="15" t="s">
        <v>576</v>
      </c>
      <c r="B173" s="14">
        <v>1</v>
      </c>
      <c r="C173" s="16">
        <v>1</v>
      </c>
      <c r="D173" s="16">
        <v>1</v>
      </c>
      <c r="E173">
        <v>0</v>
      </c>
      <c r="F173">
        <v>0</v>
      </c>
      <c r="G173" s="16">
        <v>0</v>
      </c>
      <c r="H173" s="16">
        <v>1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>
        <v>51</v>
      </c>
      <c r="Q173" t="s">
        <v>2719</v>
      </c>
      <c r="R173">
        <v>0.35604615473867335</v>
      </c>
      <c r="AA173">
        <v>0</v>
      </c>
      <c r="AB173">
        <v>1</v>
      </c>
      <c r="AC173">
        <v>0</v>
      </c>
      <c r="AD173" s="20">
        <v>43465</v>
      </c>
      <c r="AE173" s="20">
        <v>41883</v>
      </c>
    </row>
    <row r="174" spans="1:31" x14ac:dyDescent="0.25">
      <c r="A174" s="12" t="s">
        <v>578</v>
      </c>
      <c r="B174" s="11">
        <v>1</v>
      </c>
      <c r="C174" s="13">
        <v>0</v>
      </c>
      <c r="D174" s="13">
        <v>1</v>
      </c>
      <c r="E174" s="28">
        <v>1</v>
      </c>
      <c r="F174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1</v>
      </c>
      <c r="O174">
        <v>114</v>
      </c>
      <c r="Q174" t="s">
        <v>2720</v>
      </c>
      <c r="R174">
        <v>0.12676886430419534</v>
      </c>
      <c r="AA174">
        <v>1</v>
      </c>
      <c r="AB174">
        <v>0</v>
      </c>
      <c r="AC174">
        <v>0</v>
      </c>
      <c r="AD174" s="19">
        <v>55153</v>
      </c>
      <c r="AE174" s="19">
        <v>41944</v>
      </c>
    </row>
    <row r="175" spans="1:31" x14ac:dyDescent="0.25">
      <c r="A175" s="15" t="s">
        <v>580</v>
      </c>
      <c r="B175" s="14">
        <v>1</v>
      </c>
      <c r="C175" s="16">
        <v>1</v>
      </c>
      <c r="D175" s="16">
        <v>1</v>
      </c>
      <c r="E175">
        <v>0</v>
      </c>
      <c r="F175">
        <v>0</v>
      </c>
      <c r="G175" s="16">
        <v>0</v>
      </c>
      <c r="H175" s="16">
        <v>1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>
        <v>73</v>
      </c>
      <c r="Q175" t="s">
        <v>2721</v>
      </c>
      <c r="R175">
        <v>0.12193101867707178</v>
      </c>
      <c r="AA175">
        <v>0</v>
      </c>
      <c r="AB175">
        <v>1</v>
      </c>
      <c r="AC175">
        <v>0</v>
      </c>
      <c r="AD175" s="20">
        <v>44255</v>
      </c>
      <c r="AE175" s="20">
        <v>42005</v>
      </c>
    </row>
    <row r="176" spans="1:31" x14ac:dyDescent="0.25">
      <c r="A176" s="12" t="s">
        <v>582</v>
      </c>
      <c r="B176" s="11">
        <v>1</v>
      </c>
      <c r="C176" s="13">
        <v>1</v>
      </c>
      <c r="D176" s="13">
        <v>1</v>
      </c>
      <c r="E176" s="28">
        <v>1</v>
      </c>
      <c r="F176">
        <v>0</v>
      </c>
      <c r="G176" s="13">
        <v>0</v>
      </c>
      <c r="H176" s="13">
        <v>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>
        <v>111</v>
      </c>
      <c r="Q176" t="s">
        <v>2722</v>
      </c>
      <c r="R176">
        <v>32.555764878204059</v>
      </c>
      <c r="AA176">
        <v>1</v>
      </c>
      <c r="AB176">
        <v>0</v>
      </c>
      <c r="AC176">
        <v>0</v>
      </c>
      <c r="AD176" s="19">
        <v>55153</v>
      </c>
      <c r="AE176" s="19">
        <v>42036</v>
      </c>
    </row>
    <row r="177" spans="1:31" ht="15.75" thickBot="1" x14ac:dyDescent="0.3">
      <c r="A177" s="15" t="s">
        <v>584</v>
      </c>
      <c r="B177" s="14">
        <v>1</v>
      </c>
      <c r="C177" s="16">
        <v>1</v>
      </c>
      <c r="D177" s="16">
        <v>1</v>
      </c>
      <c r="E177">
        <v>0</v>
      </c>
      <c r="F177">
        <v>0</v>
      </c>
      <c r="G177" s="16">
        <v>0</v>
      </c>
      <c r="H177" s="16">
        <v>1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>
        <v>47</v>
      </c>
      <c r="Q177" s="23" t="s">
        <v>2723</v>
      </c>
      <c r="R177" s="23">
        <v>1090</v>
      </c>
      <c r="AA177">
        <v>0</v>
      </c>
      <c r="AB177">
        <v>1</v>
      </c>
      <c r="AC177">
        <v>0</v>
      </c>
      <c r="AD177" s="20">
        <v>43434</v>
      </c>
      <c r="AE177" s="20">
        <v>41974</v>
      </c>
    </row>
    <row r="178" spans="1:31" x14ac:dyDescent="0.25">
      <c r="A178" s="12" t="s">
        <v>586</v>
      </c>
      <c r="B178" s="11">
        <v>1</v>
      </c>
      <c r="C178" s="13">
        <v>1</v>
      </c>
      <c r="D178" s="13">
        <v>1</v>
      </c>
      <c r="E178" s="28">
        <v>0</v>
      </c>
      <c r="F178">
        <v>0</v>
      </c>
      <c r="G178" s="13">
        <v>0</v>
      </c>
      <c r="H178" s="13">
        <v>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>
        <v>45</v>
      </c>
      <c r="AA178">
        <v>0</v>
      </c>
      <c r="AB178">
        <v>1</v>
      </c>
      <c r="AC178">
        <v>0</v>
      </c>
      <c r="AD178" s="19">
        <v>43465</v>
      </c>
      <c r="AE178" s="19">
        <v>42064</v>
      </c>
    </row>
    <row r="179" spans="1:31" ht="15.75" thickBot="1" x14ac:dyDescent="0.3">
      <c r="A179" s="15" t="s">
        <v>588</v>
      </c>
      <c r="B179" s="14">
        <v>0</v>
      </c>
      <c r="C179" s="16">
        <v>0</v>
      </c>
      <c r="D179" s="16">
        <v>0</v>
      </c>
      <c r="E179">
        <v>0</v>
      </c>
      <c r="F179">
        <v>0</v>
      </c>
      <c r="G179" s="16">
        <v>1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>
        <v>39</v>
      </c>
      <c r="Q179" t="s">
        <v>2724</v>
      </c>
      <c r="AA179">
        <v>0</v>
      </c>
      <c r="AB179">
        <v>0</v>
      </c>
      <c r="AC179">
        <v>1</v>
      </c>
      <c r="AD179" s="20">
        <v>43190</v>
      </c>
      <c r="AE179" s="20">
        <v>41974</v>
      </c>
    </row>
    <row r="180" spans="1:31" x14ac:dyDescent="0.25">
      <c r="A180" s="12" t="s">
        <v>590</v>
      </c>
      <c r="B180" s="11">
        <v>0</v>
      </c>
      <c r="C180" s="13">
        <v>0</v>
      </c>
      <c r="D180" s="13">
        <v>0</v>
      </c>
      <c r="E180" s="28">
        <v>0</v>
      </c>
      <c r="F180">
        <v>1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1</v>
      </c>
      <c r="N180" s="13">
        <v>0</v>
      </c>
      <c r="O180">
        <v>113</v>
      </c>
      <c r="Q180" s="24"/>
      <c r="R180" s="24" t="s">
        <v>2729</v>
      </c>
      <c r="S180" s="24" t="s">
        <v>2730</v>
      </c>
      <c r="T180" s="24" t="s">
        <v>2731</v>
      </c>
      <c r="U180" s="24" t="s">
        <v>2732</v>
      </c>
      <c r="V180" s="24" t="s">
        <v>2733</v>
      </c>
      <c r="AA180">
        <v>1</v>
      </c>
      <c r="AB180">
        <v>0</v>
      </c>
      <c r="AC180">
        <v>0</v>
      </c>
      <c r="AD180" s="19">
        <v>55153</v>
      </c>
      <c r="AE180" s="19">
        <v>41974</v>
      </c>
    </row>
    <row r="181" spans="1:31" x14ac:dyDescent="0.25">
      <c r="A181" s="15" t="s">
        <v>592</v>
      </c>
      <c r="B181" s="14">
        <v>0</v>
      </c>
      <c r="C181" s="16">
        <v>0</v>
      </c>
      <c r="D181" s="16">
        <v>0</v>
      </c>
      <c r="E181">
        <v>1</v>
      </c>
      <c r="F181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1</v>
      </c>
      <c r="N181" s="16">
        <v>0</v>
      </c>
      <c r="O181">
        <v>113</v>
      </c>
      <c r="Q181" t="s">
        <v>2725</v>
      </c>
      <c r="R181">
        <v>6</v>
      </c>
      <c r="S181">
        <v>166635.54659780534</v>
      </c>
      <c r="T181">
        <v>27772.591099634225</v>
      </c>
      <c r="U181">
        <v>26.203577806092191</v>
      </c>
      <c r="V181">
        <v>3.2143300573195896E-29</v>
      </c>
      <c r="AA181">
        <v>1</v>
      </c>
      <c r="AB181">
        <v>0</v>
      </c>
      <c r="AC181">
        <v>0</v>
      </c>
      <c r="AD181" s="20">
        <v>55153</v>
      </c>
      <c r="AE181" s="20">
        <v>41974</v>
      </c>
    </row>
    <row r="182" spans="1:31" x14ac:dyDescent="0.25">
      <c r="A182" s="12" t="s">
        <v>594</v>
      </c>
      <c r="B182" s="11">
        <v>0</v>
      </c>
      <c r="C182" s="13">
        <v>0</v>
      </c>
      <c r="D182" s="13">
        <v>0</v>
      </c>
      <c r="E182" s="28">
        <v>0</v>
      </c>
      <c r="F182">
        <v>1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1</v>
      </c>
      <c r="N182" s="13">
        <v>0</v>
      </c>
      <c r="O182">
        <v>113</v>
      </c>
      <c r="Q182" t="s">
        <v>2726</v>
      </c>
      <c r="R182">
        <v>1083</v>
      </c>
      <c r="S182">
        <v>1147847.686429712</v>
      </c>
      <c r="T182">
        <v>1059.8778268049048</v>
      </c>
      <c r="AA182">
        <v>1</v>
      </c>
      <c r="AB182">
        <v>0</v>
      </c>
      <c r="AC182">
        <v>0</v>
      </c>
      <c r="AD182" s="19">
        <v>55153</v>
      </c>
      <c r="AE182" s="19">
        <v>41974</v>
      </c>
    </row>
    <row r="183" spans="1:31" ht="15.75" thickBot="1" x14ac:dyDescent="0.3">
      <c r="A183" s="15" t="s">
        <v>596</v>
      </c>
      <c r="B183" s="14">
        <v>0</v>
      </c>
      <c r="C183" s="16">
        <v>0</v>
      </c>
      <c r="D183" s="16">
        <v>0</v>
      </c>
      <c r="E183">
        <v>0</v>
      </c>
      <c r="F183">
        <v>1</v>
      </c>
      <c r="G183" s="16">
        <v>1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>
        <v>113</v>
      </c>
      <c r="Q183" s="23" t="s">
        <v>2727</v>
      </c>
      <c r="R183" s="23">
        <v>1089</v>
      </c>
      <c r="S183" s="23">
        <v>1314483.2330275173</v>
      </c>
      <c r="T183" s="23"/>
      <c r="U183" s="23"/>
      <c r="V183" s="23"/>
      <c r="AA183">
        <v>1</v>
      </c>
      <c r="AB183">
        <v>0</v>
      </c>
      <c r="AC183">
        <v>0</v>
      </c>
      <c r="AD183" s="20">
        <v>55153</v>
      </c>
      <c r="AE183" s="20">
        <v>41974</v>
      </c>
    </row>
    <row r="184" spans="1:31" ht="15.75" thickBot="1" x14ac:dyDescent="0.3">
      <c r="A184" s="12" t="s">
        <v>598</v>
      </c>
      <c r="B184" s="11">
        <v>1</v>
      </c>
      <c r="C184" s="13">
        <v>0</v>
      </c>
      <c r="D184" s="13">
        <v>1</v>
      </c>
      <c r="E184" s="28">
        <v>0</v>
      </c>
      <c r="F184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1</v>
      </c>
      <c r="O184">
        <v>83</v>
      </c>
      <c r="AA184">
        <v>0</v>
      </c>
      <c r="AB184">
        <v>1</v>
      </c>
      <c r="AC184">
        <v>0</v>
      </c>
      <c r="AD184" s="19">
        <v>44439</v>
      </c>
      <c r="AE184" s="19">
        <v>41883</v>
      </c>
    </row>
    <row r="185" spans="1:31" x14ac:dyDescent="0.25">
      <c r="A185" s="15" t="s">
        <v>600</v>
      </c>
      <c r="B185" s="14">
        <v>1</v>
      </c>
      <c r="C185" s="16">
        <v>1</v>
      </c>
      <c r="D185" s="16">
        <v>1</v>
      </c>
      <c r="E185">
        <v>1</v>
      </c>
      <c r="F185">
        <v>0</v>
      </c>
      <c r="G185" s="16">
        <v>0</v>
      </c>
      <c r="H185" s="16">
        <v>1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>
        <v>115</v>
      </c>
      <c r="Q185" s="24"/>
      <c r="R185" s="24" t="s">
        <v>2734</v>
      </c>
      <c r="S185" s="24" t="s">
        <v>2722</v>
      </c>
      <c r="T185" s="24" t="s">
        <v>2735</v>
      </c>
      <c r="U185" s="24" t="s">
        <v>2736</v>
      </c>
      <c r="V185" s="24" t="s">
        <v>2737</v>
      </c>
      <c r="W185" s="24" t="s">
        <v>2738</v>
      </c>
      <c r="X185" s="24" t="s">
        <v>2739</v>
      </c>
      <c r="Y185" s="24" t="s">
        <v>2740</v>
      </c>
      <c r="AA185">
        <v>1</v>
      </c>
      <c r="AB185">
        <v>0</v>
      </c>
      <c r="AC185">
        <v>0</v>
      </c>
      <c r="AD185" s="20">
        <v>55153</v>
      </c>
      <c r="AE185" s="20">
        <v>41913</v>
      </c>
    </row>
    <row r="186" spans="1:31" x14ac:dyDescent="0.25">
      <c r="A186" s="12" t="s">
        <v>602</v>
      </c>
      <c r="B186" s="11">
        <v>0</v>
      </c>
      <c r="C186" s="13">
        <v>0</v>
      </c>
      <c r="D186" s="13">
        <v>0</v>
      </c>
      <c r="E186" s="28">
        <v>0</v>
      </c>
      <c r="F186">
        <v>1</v>
      </c>
      <c r="G186" s="13">
        <v>0</v>
      </c>
      <c r="H186" s="13">
        <v>0</v>
      </c>
      <c r="I186" s="13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>
        <v>113</v>
      </c>
      <c r="Q186" t="s">
        <v>2728</v>
      </c>
      <c r="R186">
        <v>42.491768813649628</v>
      </c>
      <c r="S186">
        <v>2.0147294612767959</v>
      </c>
      <c r="T186">
        <v>21.090558127204478</v>
      </c>
      <c r="U186">
        <v>5.3580609592118519E-83</v>
      </c>
      <c r="V186">
        <v>38.53855358858339</v>
      </c>
      <c r="W186">
        <v>46.444984038715866</v>
      </c>
      <c r="X186">
        <v>38.53855358858339</v>
      </c>
      <c r="Y186">
        <v>46.444984038715866</v>
      </c>
      <c r="AA186">
        <v>1</v>
      </c>
      <c r="AB186">
        <v>0</v>
      </c>
      <c r="AC186">
        <v>0</v>
      </c>
      <c r="AD186" s="19">
        <v>55153</v>
      </c>
      <c r="AE186" s="19">
        <v>41974</v>
      </c>
    </row>
    <row r="187" spans="1:31" x14ac:dyDescent="0.25">
      <c r="A187" s="15" t="s">
        <v>604</v>
      </c>
      <c r="B187" s="14">
        <v>1</v>
      </c>
      <c r="C187" s="16">
        <v>1</v>
      </c>
      <c r="D187" s="16">
        <v>1</v>
      </c>
      <c r="E187">
        <v>0</v>
      </c>
      <c r="F187">
        <v>0</v>
      </c>
      <c r="G187" s="16">
        <v>0</v>
      </c>
      <c r="H187" s="16">
        <v>1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>
        <v>84</v>
      </c>
      <c r="Q187" t="s">
        <v>2714</v>
      </c>
      <c r="R187">
        <v>-28.379762920552889</v>
      </c>
      <c r="S187">
        <v>4.8760223908742582</v>
      </c>
      <c r="T187">
        <v>-5.8202691959879349</v>
      </c>
      <c r="U187">
        <v>7.7328156055051232E-9</v>
      </c>
      <c r="V187">
        <v>-37.947283683937279</v>
      </c>
      <c r="W187">
        <v>-18.812242157168498</v>
      </c>
      <c r="X187">
        <v>-37.947283683937279</v>
      </c>
      <c r="Y187">
        <v>-18.812242157168498</v>
      </c>
      <c r="AA187">
        <v>0</v>
      </c>
      <c r="AB187">
        <v>1</v>
      </c>
      <c r="AC187">
        <v>0</v>
      </c>
      <c r="AD187" s="20">
        <v>44530</v>
      </c>
      <c r="AE187" s="20">
        <v>41944</v>
      </c>
    </row>
    <row r="188" spans="1:31" x14ac:dyDescent="0.25">
      <c r="A188" s="12" t="s">
        <v>606</v>
      </c>
      <c r="B188" s="11">
        <v>0</v>
      </c>
      <c r="C188" s="13">
        <v>0</v>
      </c>
      <c r="D188" s="13">
        <v>0</v>
      </c>
      <c r="E188" s="28">
        <v>0</v>
      </c>
      <c r="F188">
        <v>1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1</v>
      </c>
      <c r="N188" s="13">
        <v>0</v>
      </c>
      <c r="O188">
        <v>113</v>
      </c>
      <c r="Q188" t="s">
        <v>2715</v>
      </c>
      <c r="R188">
        <v>10.7259190785384</v>
      </c>
      <c r="S188">
        <v>3.5169566363750393</v>
      </c>
      <c r="T188">
        <v>3.0497729109317957</v>
      </c>
      <c r="U188">
        <v>2.3458035392521018E-3</v>
      </c>
      <c r="V188">
        <v>3.8250985028544511</v>
      </c>
      <c r="W188">
        <v>17.626739654222348</v>
      </c>
      <c r="X188">
        <v>3.8250985028544511</v>
      </c>
      <c r="Y188">
        <v>17.626739654222348</v>
      </c>
      <c r="AA188">
        <v>1</v>
      </c>
      <c r="AB188">
        <v>0</v>
      </c>
      <c r="AC188">
        <v>0</v>
      </c>
      <c r="AD188" s="19">
        <v>55153</v>
      </c>
      <c r="AE188" s="19">
        <v>41974</v>
      </c>
    </row>
    <row r="189" spans="1:31" x14ac:dyDescent="0.25">
      <c r="A189" s="15" t="s">
        <v>21</v>
      </c>
      <c r="B189" s="14">
        <v>0</v>
      </c>
      <c r="C189" s="16">
        <v>0</v>
      </c>
      <c r="D189" s="16">
        <v>0</v>
      </c>
      <c r="E189">
        <v>0</v>
      </c>
      <c r="F189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1</v>
      </c>
      <c r="N189" s="16">
        <v>0</v>
      </c>
      <c r="O189">
        <v>97</v>
      </c>
      <c r="Q189" t="s">
        <v>2716</v>
      </c>
      <c r="R189">
        <v>33.670624270863875</v>
      </c>
      <c r="S189">
        <v>5.7653014322473597</v>
      </c>
      <c r="T189">
        <v>5.8402192264453383</v>
      </c>
      <c r="U189">
        <v>6.886465473647833E-9</v>
      </c>
      <c r="V189">
        <v>22.358198539712461</v>
      </c>
      <c r="W189">
        <v>44.98305000201529</v>
      </c>
      <c r="X189">
        <v>22.358198539712461</v>
      </c>
      <c r="Y189">
        <v>44.98305000201529</v>
      </c>
      <c r="AA189">
        <v>0</v>
      </c>
      <c r="AB189">
        <v>0</v>
      </c>
      <c r="AC189">
        <v>1</v>
      </c>
      <c r="AD189" s="20">
        <v>45016</v>
      </c>
      <c r="AE189" s="20">
        <v>41974</v>
      </c>
    </row>
    <row r="190" spans="1:31" x14ac:dyDescent="0.25">
      <c r="A190" s="12" t="s">
        <v>23</v>
      </c>
      <c r="B190" s="11">
        <v>0</v>
      </c>
      <c r="C190" s="13">
        <v>0</v>
      </c>
      <c r="D190" s="13">
        <v>0</v>
      </c>
      <c r="E190" s="28">
        <v>0</v>
      </c>
      <c r="F190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1</v>
      </c>
      <c r="N190" s="13">
        <v>0</v>
      </c>
      <c r="O190">
        <v>97</v>
      </c>
      <c r="Q190" t="s">
        <v>2896</v>
      </c>
      <c r="R190">
        <v>11.501581832012057</v>
      </c>
      <c r="S190">
        <v>2.4829228467826474</v>
      </c>
      <c r="T190">
        <v>4.6322751618785576</v>
      </c>
      <c r="U190">
        <v>4.055636541227104E-6</v>
      </c>
      <c r="V190">
        <v>6.6296977457260677</v>
      </c>
      <c r="W190">
        <v>16.373465918298045</v>
      </c>
      <c r="X190">
        <v>6.6296977457260677</v>
      </c>
      <c r="Y190">
        <v>16.373465918298045</v>
      </c>
      <c r="AA190">
        <v>0</v>
      </c>
      <c r="AB190">
        <v>0</v>
      </c>
      <c r="AC190">
        <v>1</v>
      </c>
      <c r="AD190" s="19">
        <v>45016</v>
      </c>
      <c r="AE190" s="19">
        <v>41974</v>
      </c>
    </row>
    <row r="191" spans="1:31" x14ac:dyDescent="0.25">
      <c r="A191" s="15" t="s">
        <v>25</v>
      </c>
      <c r="B191" s="14">
        <v>0</v>
      </c>
      <c r="C191" s="16">
        <v>0</v>
      </c>
      <c r="D191" s="16">
        <v>0</v>
      </c>
      <c r="E191">
        <v>0</v>
      </c>
      <c r="F191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1</v>
      </c>
      <c r="N191" s="16">
        <v>0</v>
      </c>
      <c r="O191">
        <v>97</v>
      </c>
      <c r="Q191" t="s">
        <v>2897</v>
      </c>
      <c r="R191">
        <v>32.109001850731133</v>
      </c>
      <c r="S191">
        <v>2.7560119927659428</v>
      </c>
      <c r="T191">
        <v>11.65053052563332</v>
      </c>
      <c r="U191">
        <v>1.2287296727299293E-29</v>
      </c>
      <c r="V191">
        <v>26.701274024404068</v>
      </c>
      <c r="W191">
        <v>37.516729677058201</v>
      </c>
      <c r="X191">
        <v>26.701274024404068</v>
      </c>
      <c r="Y191">
        <v>37.516729677058201</v>
      </c>
      <c r="AA191">
        <v>0</v>
      </c>
      <c r="AB191">
        <v>0</v>
      </c>
      <c r="AC191">
        <v>1</v>
      </c>
      <c r="AD191" s="20">
        <v>45016</v>
      </c>
      <c r="AE191" s="20">
        <v>41974</v>
      </c>
    </row>
    <row r="192" spans="1:31" ht="15.75" thickBot="1" x14ac:dyDescent="0.3">
      <c r="A192" s="12" t="s">
        <v>608</v>
      </c>
      <c r="B192" s="11">
        <v>0</v>
      </c>
      <c r="C192" s="13">
        <v>0</v>
      </c>
      <c r="D192" s="13">
        <v>0</v>
      </c>
      <c r="E192" s="28">
        <v>0</v>
      </c>
      <c r="F192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1</v>
      </c>
      <c r="N192" s="13">
        <v>0</v>
      </c>
      <c r="O192">
        <v>113</v>
      </c>
      <c r="Q192" s="23" t="s">
        <v>5</v>
      </c>
      <c r="R192" s="23">
        <v>-2.2428196926602042</v>
      </c>
      <c r="S192" s="23">
        <v>5.2506750851905624</v>
      </c>
      <c r="T192" s="23">
        <v>-0.4271488249170165</v>
      </c>
      <c r="U192" s="23">
        <v>0.66935583844523716</v>
      </c>
      <c r="V192" s="23">
        <v>-12.545467808748663</v>
      </c>
      <c r="W192" s="23">
        <v>8.0598284234282556</v>
      </c>
      <c r="X192" s="23">
        <v>-12.545467808748663</v>
      </c>
      <c r="Y192" s="23">
        <v>8.0598284234282556</v>
      </c>
      <c r="AA192">
        <v>1</v>
      </c>
      <c r="AB192">
        <v>0</v>
      </c>
      <c r="AC192">
        <v>0</v>
      </c>
      <c r="AD192" s="19">
        <v>55153</v>
      </c>
      <c r="AE192" s="19">
        <v>41974</v>
      </c>
    </row>
    <row r="193" spans="1:31" x14ac:dyDescent="0.25">
      <c r="A193" s="15" t="s">
        <v>610</v>
      </c>
      <c r="B193" s="14">
        <v>1</v>
      </c>
      <c r="C193" s="16">
        <v>1</v>
      </c>
      <c r="D193" s="16">
        <v>1</v>
      </c>
      <c r="E193">
        <v>1</v>
      </c>
      <c r="F193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1</v>
      </c>
      <c r="L193" s="16">
        <v>0</v>
      </c>
      <c r="M193" s="16">
        <v>0</v>
      </c>
      <c r="N193" s="16">
        <v>0</v>
      </c>
      <c r="O193">
        <v>113</v>
      </c>
      <c r="AA193">
        <v>1</v>
      </c>
      <c r="AB193">
        <v>0</v>
      </c>
      <c r="AC193">
        <v>0</v>
      </c>
      <c r="AD193" s="20">
        <v>55153</v>
      </c>
      <c r="AE193" s="20">
        <v>41974</v>
      </c>
    </row>
    <row r="194" spans="1:31" ht="15.75" thickBot="1" x14ac:dyDescent="0.3">
      <c r="A194" s="12" t="s">
        <v>612</v>
      </c>
      <c r="B194" s="11">
        <v>1</v>
      </c>
      <c r="C194" s="13">
        <v>1</v>
      </c>
      <c r="D194" s="13">
        <v>1</v>
      </c>
      <c r="E194" s="28">
        <v>1</v>
      </c>
      <c r="F194">
        <v>0</v>
      </c>
      <c r="G194" s="13">
        <v>0</v>
      </c>
      <c r="H194" s="13">
        <v>1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>
        <v>113</v>
      </c>
      <c r="AA194">
        <v>1</v>
      </c>
      <c r="AB194">
        <v>0</v>
      </c>
      <c r="AC194">
        <v>0</v>
      </c>
      <c r="AD194" s="19">
        <v>55153</v>
      </c>
      <c r="AE194" s="19">
        <v>41974</v>
      </c>
    </row>
    <row r="195" spans="1:31" x14ac:dyDescent="0.25">
      <c r="A195" s="15" t="s">
        <v>614</v>
      </c>
      <c r="B195" s="14">
        <v>1</v>
      </c>
      <c r="C195" s="16">
        <v>0</v>
      </c>
      <c r="D195" s="16">
        <v>1</v>
      </c>
      <c r="E195">
        <v>0</v>
      </c>
      <c r="F195">
        <v>0</v>
      </c>
      <c r="G195" s="16">
        <v>0</v>
      </c>
      <c r="H195" s="16">
        <v>0</v>
      </c>
      <c r="I195" s="16">
        <v>1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>
        <v>35</v>
      </c>
      <c r="Q195" s="25" t="s">
        <v>2713</v>
      </c>
      <c r="R195" s="25"/>
      <c r="T195" s="24" t="s">
        <v>2890</v>
      </c>
      <c r="U195" s="24" t="s">
        <v>2892</v>
      </c>
      <c r="AA195">
        <v>0</v>
      </c>
      <c r="AB195">
        <v>0</v>
      </c>
      <c r="AC195">
        <v>1</v>
      </c>
      <c r="AD195" s="20">
        <v>43039</v>
      </c>
      <c r="AE195" s="20">
        <v>41944</v>
      </c>
    </row>
    <row r="196" spans="1:31" x14ac:dyDescent="0.25">
      <c r="A196" s="12" t="s">
        <v>616</v>
      </c>
      <c r="B196" s="11">
        <v>1</v>
      </c>
      <c r="C196" s="13">
        <v>0</v>
      </c>
      <c r="D196" s="13">
        <v>1</v>
      </c>
      <c r="E196" s="28">
        <v>1</v>
      </c>
      <c r="F196">
        <v>0</v>
      </c>
      <c r="G196" s="13">
        <v>0</v>
      </c>
      <c r="H196" s="13">
        <v>0</v>
      </c>
      <c r="I196" s="13">
        <v>1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>
        <v>109</v>
      </c>
      <c r="T196">
        <v>0</v>
      </c>
      <c r="U196">
        <v>3</v>
      </c>
      <c r="AA196">
        <v>1</v>
      </c>
      <c r="AB196">
        <v>0</v>
      </c>
      <c r="AC196">
        <v>0</v>
      </c>
      <c r="AD196" s="19">
        <v>55153</v>
      </c>
      <c r="AE196" s="19">
        <v>42095</v>
      </c>
    </row>
    <row r="197" spans="1:31" x14ac:dyDescent="0.25">
      <c r="A197" s="15" t="s">
        <v>618</v>
      </c>
      <c r="B197" s="14">
        <v>0</v>
      </c>
      <c r="C197" s="16">
        <v>0</v>
      </c>
      <c r="D197" s="16">
        <v>0</v>
      </c>
      <c r="E197">
        <v>0</v>
      </c>
      <c r="F197">
        <v>1</v>
      </c>
      <c r="G197" s="16">
        <v>0</v>
      </c>
      <c r="H197" s="16">
        <v>0</v>
      </c>
      <c r="I197" s="16">
        <v>0</v>
      </c>
      <c r="J197" s="16">
        <v>0</v>
      </c>
      <c r="K197" s="16">
        <v>1</v>
      </c>
      <c r="L197" s="16">
        <v>0</v>
      </c>
      <c r="M197" s="16">
        <v>0</v>
      </c>
      <c r="N197" s="16">
        <v>0</v>
      </c>
      <c r="O197">
        <v>113</v>
      </c>
      <c r="Q197" t="s">
        <v>2749</v>
      </c>
      <c r="R197">
        <v>59.618348623853208</v>
      </c>
      <c r="T197">
        <v>4.1212121212121211</v>
      </c>
      <c r="U197">
        <v>12</v>
      </c>
      <c r="AA197">
        <v>1</v>
      </c>
      <c r="AB197">
        <v>0</v>
      </c>
      <c r="AC197">
        <v>0</v>
      </c>
      <c r="AD197" s="20">
        <v>55153</v>
      </c>
      <c r="AE197" s="20">
        <v>41974</v>
      </c>
    </row>
    <row r="198" spans="1:31" x14ac:dyDescent="0.25">
      <c r="A198" s="12" t="s">
        <v>620</v>
      </c>
      <c r="B198" s="11">
        <v>0</v>
      </c>
      <c r="C198" s="13">
        <v>0</v>
      </c>
      <c r="D198" s="13">
        <v>0</v>
      </c>
      <c r="E198" s="28">
        <v>0</v>
      </c>
      <c r="F198">
        <v>1</v>
      </c>
      <c r="G198" s="13">
        <v>0</v>
      </c>
      <c r="H198" s="13">
        <v>0</v>
      </c>
      <c r="I198" s="13">
        <v>0</v>
      </c>
      <c r="J198" s="13">
        <v>0</v>
      </c>
      <c r="K198" s="13">
        <v>1</v>
      </c>
      <c r="L198" s="13">
        <v>0</v>
      </c>
      <c r="M198" s="13">
        <v>0</v>
      </c>
      <c r="N198" s="13">
        <v>0</v>
      </c>
      <c r="O198">
        <v>113</v>
      </c>
      <c r="Q198" t="s">
        <v>2722</v>
      </c>
      <c r="R198">
        <v>1.0523260868329471</v>
      </c>
      <c r="T198">
        <v>8.2424242424242422</v>
      </c>
      <c r="U198">
        <v>31</v>
      </c>
      <c r="AA198">
        <v>1</v>
      </c>
      <c r="AB198">
        <v>0</v>
      </c>
      <c r="AC198">
        <v>0</v>
      </c>
      <c r="AD198" s="19">
        <v>55153</v>
      </c>
      <c r="AE198" s="19">
        <v>41974</v>
      </c>
    </row>
    <row r="199" spans="1:31" x14ac:dyDescent="0.25">
      <c r="A199" s="15" t="s">
        <v>622</v>
      </c>
      <c r="B199" s="14">
        <v>0</v>
      </c>
      <c r="C199" s="16">
        <v>0</v>
      </c>
      <c r="D199" s="16">
        <v>0</v>
      </c>
      <c r="E199">
        <v>0</v>
      </c>
      <c r="F199">
        <v>1</v>
      </c>
      <c r="G199" s="16">
        <v>0</v>
      </c>
      <c r="H199" s="16">
        <v>0</v>
      </c>
      <c r="I199" s="16">
        <v>1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>
        <v>113</v>
      </c>
      <c r="Q199" t="s">
        <v>2750</v>
      </c>
      <c r="R199">
        <v>56</v>
      </c>
      <c r="T199">
        <v>12.363636363636363</v>
      </c>
      <c r="U199">
        <v>54</v>
      </c>
      <c r="AA199">
        <v>1</v>
      </c>
      <c r="AB199">
        <v>0</v>
      </c>
      <c r="AC199">
        <v>0</v>
      </c>
      <c r="AD199" s="20">
        <v>55153</v>
      </c>
      <c r="AE199" s="20">
        <v>41974</v>
      </c>
    </row>
    <row r="200" spans="1:31" x14ac:dyDescent="0.25">
      <c r="A200" s="12" t="s">
        <v>624</v>
      </c>
      <c r="B200" s="11">
        <v>0</v>
      </c>
      <c r="C200" s="13">
        <v>0</v>
      </c>
      <c r="D200" s="13">
        <v>0</v>
      </c>
      <c r="E200" s="28">
        <v>0</v>
      </c>
      <c r="F200">
        <v>0</v>
      </c>
      <c r="G200" s="13">
        <v>1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>
        <v>57</v>
      </c>
      <c r="Q200" t="s">
        <v>2751</v>
      </c>
      <c r="R200">
        <v>113</v>
      </c>
      <c r="T200">
        <v>16.484848484848484</v>
      </c>
      <c r="U200">
        <v>30</v>
      </c>
      <c r="AA200">
        <v>0</v>
      </c>
      <c r="AB200">
        <v>0</v>
      </c>
      <c r="AC200">
        <v>1</v>
      </c>
      <c r="AD200" s="19">
        <v>43738</v>
      </c>
      <c r="AE200" s="19">
        <v>41974</v>
      </c>
    </row>
    <row r="201" spans="1:31" x14ac:dyDescent="0.25">
      <c r="A201" s="15" t="s">
        <v>626</v>
      </c>
      <c r="B201" s="14">
        <v>0</v>
      </c>
      <c r="C201" s="16">
        <v>0</v>
      </c>
      <c r="D201" s="16">
        <v>0</v>
      </c>
      <c r="E201">
        <v>0</v>
      </c>
      <c r="F201">
        <v>0</v>
      </c>
      <c r="G201" s="16">
        <v>1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>
        <v>57</v>
      </c>
      <c r="Q201" t="s">
        <v>2752</v>
      </c>
      <c r="R201">
        <v>34.742701541500281</v>
      </c>
      <c r="T201">
        <v>20.606060606060606</v>
      </c>
      <c r="U201">
        <v>43</v>
      </c>
      <c r="AA201">
        <v>0</v>
      </c>
      <c r="AB201">
        <v>0</v>
      </c>
      <c r="AC201">
        <v>1</v>
      </c>
      <c r="AD201" s="20">
        <v>43738</v>
      </c>
      <c r="AE201" s="20">
        <v>41974</v>
      </c>
    </row>
    <row r="202" spans="1:31" x14ac:dyDescent="0.25">
      <c r="A202" s="12" t="s">
        <v>628</v>
      </c>
      <c r="B202" s="11">
        <v>0</v>
      </c>
      <c r="C202" s="13">
        <v>0</v>
      </c>
      <c r="D202" s="13">
        <v>0</v>
      </c>
      <c r="E202" s="28">
        <v>0</v>
      </c>
      <c r="F202">
        <v>0</v>
      </c>
      <c r="G202" s="13">
        <v>1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>
        <v>62</v>
      </c>
      <c r="Q202" t="s">
        <v>2753</v>
      </c>
      <c r="R202">
        <v>1207.0553104017658</v>
      </c>
      <c r="T202">
        <v>24.727272727272727</v>
      </c>
      <c r="U202">
        <v>50</v>
      </c>
      <c r="AA202">
        <v>0</v>
      </c>
      <c r="AB202">
        <v>0</v>
      </c>
      <c r="AC202">
        <v>1</v>
      </c>
      <c r="AD202" s="19">
        <v>43890</v>
      </c>
      <c r="AE202" s="19">
        <v>41974</v>
      </c>
    </row>
    <row r="203" spans="1:31" x14ac:dyDescent="0.25">
      <c r="A203" s="15" t="s">
        <v>27</v>
      </c>
      <c r="B203" s="14">
        <v>0</v>
      </c>
      <c r="C203" s="16">
        <v>0</v>
      </c>
      <c r="D203" s="16">
        <v>0</v>
      </c>
      <c r="E203">
        <v>0</v>
      </c>
      <c r="F203">
        <v>0</v>
      </c>
      <c r="G203" s="16">
        <v>0</v>
      </c>
      <c r="H203" s="16">
        <v>0</v>
      </c>
      <c r="I203" s="16">
        <v>1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>
        <v>102</v>
      </c>
      <c r="Q203" t="s">
        <v>2754</v>
      </c>
      <c r="R203">
        <v>-1.1228839747068755</v>
      </c>
      <c r="T203">
        <v>28.848484848484848</v>
      </c>
      <c r="U203">
        <v>27</v>
      </c>
      <c r="AA203">
        <v>0</v>
      </c>
      <c r="AB203">
        <v>0</v>
      </c>
      <c r="AC203">
        <v>1</v>
      </c>
      <c r="AD203" s="20">
        <v>45107</v>
      </c>
      <c r="AE203" s="20">
        <v>41974</v>
      </c>
    </row>
    <row r="204" spans="1:31" x14ac:dyDescent="0.25">
      <c r="A204" s="12" t="s">
        <v>630</v>
      </c>
      <c r="B204" s="11">
        <v>0</v>
      </c>
      <c r="C204" s="13">
        <v>0</v>
      </c>
      <c r="D204" s="13">
        <v>0</v>
      </c>
      <c r="E204" s="28">
        <v>1</v>
      </c>
      <c r="F204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1</v>
      </c>
      <c r="L204" s="13">
        <v>0</v>
      </c>
      <c r="M204" s="13">
        <v>0</v>
      </c>
      <c r="N204" s="13">
        <v>0</v>
      </c>
      <c r="O204">
        <v>113</v>
      </c>
      <c r="Q204" t="s">
        <v>2755</v>
      </c>
      <c r="R204">
        <v>0.19561278047843833</v>
      </c>
      <c r="T204">
        <v>32.969696969696969</v>
      </c>
      <c r="U204">
        <v>47</v>
      </c>
      <c r="AA204">
        <v>1</v>
      </c>
      <c r="AB204">
        <v>0</v>
      </c>
      <c r="AC204">
        <v>0</v>
      </c>
      <c r="AD204" s="19">
        <v>55153</v>
      </c>
      <c r="AE204" s="19">
        <v>41974</v>
      </c>
    </row>
    <row r="205" spans="1:31" x14ac:dyDescent="0.25">
      <c r="A205" s="15" t="s">
        <v>632</v>
      </c>
      <c r="B205" s="14">
        <v>0</v>
      </c>
      <c r="C205" s="16">
        <v>0</v>
      </c>
      <c r="D205" s="16">
        <v>0</v>
      </c>
      <c r="E205">
        <v>1</v>
      </c>
      <c r="F205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1</v>
      </c>
      <c r="L205" s="16">
        <v>0</v>
      </c>
      <c r="M205" s="16">
        <v>0</v>
      </c>
      <c r="N205" s="16">
        <v>0</v>
      </c>
      <c r="O205">
        <v>113</v>
      </c>
      <c r="Q205" t="s">
        <v>2756</v>
      </c>
      <c r="R205">
        <v>136</v>
      </c>
      <c r="T205">
        <v>37.090909090909093</v>
      </c>
      <c r="U205">
        <v>60</v>
      </c>
      <c r="AA205">
        <v>1</v>
      </c>
      <c r="AB205">
        <v>0</v>
      </c>
      <c r="AC205">
        <v>0</v>
      </c>
      <c r="AD205" s="20">
        <v>55153</v>
      </c>
      <c r="AE205" s="20">
        <v>41974</v>
      </c>
    </row>
    <row r="206" spans="1:31" x14ac:dyDescent="0.25">
      <c r="A206" s="12" t="s">
        <v>634</v>
      </c>
      <c r="B206" s="11">
        <v>1</v>
      </c>
      <c r="C206" s="13">
        <v>0</v>
      </c>
      <c r="D206" s="13">
        <v>1</v>
      </c>
      <c r="E206" s="28">
        <v>0</v>
      </c>
      <c r="F206">
        <v>0</v>
      </c>
      <c r="G206" s="13">
        <v>0</v>
      </c>
      <c r="H206" s="13">
        <v>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>
        <v>89</v>
      </c>
      <c r="Q206" t="s">
        <v>2757</v>
      </c>
      <c r="R206">
        <v>0</v>
      </c>
      <c r="T206">
        <v>41.212121212121211</v>
      </c>
      <c r="U206">
        <v>46</v>
      </c>
      <c r="AA206">
        <v>0</v>
      </c>
      <c r="AB206">
        <v>1</v>
      </c>
      <c r="AC206">
        <v>0</v>
      </c>
      <c r="AD206" s="19">
        <v>44773</v>
      </c>
      <c r="AE206" s="19">
        <v>42005</v>
      </c>
    </row>
    <row r="207" spans="1:31" x14ac:dyDescent="0.25">
      <c r="A207" s="15" t="s">
        <v>636</v>
      </c>
      <c r="B207" s="14">
        <v>0</v>
      </c>
      <c r="C207" s="16">
        <v>0</v>
      </c>
      <c r="D207" s="16">
        <v>0</v>
      </c>
      <c r="E207">
        <v>0</v>
      </c>
      <c r="F207">
        <v>1</v>
      </c>
      <c r="G207" s="16">
        <v>0</v>
      </c>
      <c r="H207" s="16">
        <v>0</v>
      </c>
      <c r="I207" s="16">
        <v>1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>
        <v>113</v>
      </c>
      <c r="Q207" t="s">
        <v>2758</v>
      </c>
      <c r="R207">
        <v>136</v>
      </c>
      <c r="T207">
        <v>45.333333333333329</v>
      </c>
      <c r="U207">
        <v>33</v>
      </c>
      <c r="AA207">
        <v>1</v>
      </c>
      <c r="AB207">
        <v>0</v>
      </c>
      <c r="AC207">
        <v>0</v>
      </c>
      <c r="AD207" s="20">
        <v>55153</v>
      </c>
      <c r="AE207" s="20">
        <v>41974</v>
      </c>
    </row>
    <row r="208" spans="1:31" x14ac:dyDescent="0.25">
      <c r="A208" s="12" t="s">
        <v>638</v>
      </c>
      <c r="B208" s="11">
        <v>0</v>
      </c>
      <c r="C208" s="13">
        <v>0</v>
      </c>
      <c r="D208" s="13">
        <v>0</v>
      </c>
      <c r="E208" s="28">
        <v>0</v>
      </c>
      <c r="F208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1</v>
      </c>
      <c r="L208" s="13">
        <v>0</v>
      </c>
      <c r="M208" s="13">
        <v>0</v>
      </c>
      <c r="N208" s="13">
        <v>0</v>
      </c>
      <c r="O208">
        <v>113</v>
      </c>
      <c r="Q208" t="s">
        <v>2759</v>
      </c>
      <c r="R208">
        <v>64984</v>
      </c>
      <c r="T208">
        <v>49.454545454545453</v>
      </c>
      <c r="U208">
        <v>44</v>
      </c>
      <c r="AA208">
        <v>1</v>
      </c>
      <c r="AB208">
        <v>0</v>
      </c>
      <c r="AC208">
        <v>0</v>
      </c>
      <c r="AD208" s="19">
        <v>55153</v>
      </c>
      <c r="AE208" s="19">
        <v>41974</v>
      </c>
    </row>
    <row r="209" spans="1:31" ht="15.75" thickBot="1" x14ac:dyDescent="0.3">
      <c r="A209" s="15" t="s">
        <v>640</v>
      </c>
      <c r="B209" s="14">
        <v>0</v>
      </c>
      <c r="C209" s="16">
        <v>0</v>
      </c>
      <c r="D209" s="16">
        <v>0</v>
      </c>
      <c r="E209">
        <v>0</v>
      </c>
      <c r="F209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1</v>
      </c>
      <c r="L209" s="16">
        <v>0</v>
      </c>
      <c r="M209" s="16">
        <v>0</v>
      </c>
      <c r="N209" s="16">
        <v>0</v>
      </c>
      <c r="O209">
        <v>60</v>
      </c>
      <c r="Q209" s="23" t="s">
        <v>2760</v>
      </c>
      <c r="R209" s="23">
        <v>1090</v>
      </c>
      <c r="T209">
        <v>53.575757575757578</v>
      </c>
      <c r="U209">
        <v>37</v>
      </c>
      <c r="AA209">
        <v>0</v>
      </c>
      <c r="AB209">
        <v>0</v>
      </c>
      <c r="AC209">
        <v>1</v>
      </c>
      <c r="AD209" s="20">
        <v>43830</v>
      </c>
      <c r="AE209" s="20">
        <v>41974</v>
      </c>
    </row>
    <row r="210" spans="1:31" x14ac:dyDescent="0.25">
      <c r="A210" s="12" t="s">
        <v>642</v>
      </c>
      <c r="B210" s="11">
        <v>0</v>
      </c>
      <c r="C210" s="13">
        <v>0</v>
      </c>
      <c r="D210" s="13">
        <v>0</v>
      </c>
      <c r="E210" s="28">
        <v>0</v>
      </c>
      <c r="F210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1</v>
      </c>
      <c r="L210" s="13">
        <v>0</v>
      </c>
      <c r="M210" s="13">
        <v>0</v>
      </c>
      <c r="N210" s="13">
        <v>0</v>
      </c>
      <c r="O210">
        <v>30</v>
      </c>
      <c r="T210">
        <v>57.696969696969695</v>
      </c>
      <c r="U210">
        <v>36</v>
      </c>
      <c r="AA210">
        <v>0</v>
      </c>
      <c r="AB210">
        <v>0</v>
      </c>
      <c r="AC210">
        <v>1</v>
      </c>
      <c r="AD210" s="19">
        <v>42916</v>
      </c>
      <c r="AE210" s="19">
        <v>41974</v>
      </c>
    </row>
    <row r="211" spans="1:31" x14ac:dyDescent="0.25">
      <c r="A211" s="15" t="s">
        <v>644</v>
      </c>
      <c r="B211" s="14">
        <v>0</v>
      </c>
      <c r="C211" s="16">
        <v>0</v>
      </c>
      <c r="D211" s="16">
        <v>0</v>
      </c>
      <c r="E211">
        <v>0</v>
      </c>
      <c r="F211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1</v>
      </c>
      <c r="L211" s="16">
        <v>0</v>
      </c>
      <c r="M211" s="16">
        <v>0</v>
      </c>
      <c r="N211" s="16">
        <v>0</v>
      </c>
      <c r="O211">
        <v>30</v>
      </c>
      <c r="T211">
        <v>61.818181818181813</v>
      </c>
      <c r="U211">
        <v>38</v>
      </c>
      <c r="AA211">
        <v>0</v>
      </c>
      <c r="AB211">
        <v>0</v>
      </c>
      <c r="AC211">
        <v>1</v>
      </c>
      <c r="AD211" s="20">
        <v>42916</v>
      </c>
      <c r="AE211" s="20">
        <v>41974</v>
      </c>
    </row>
    <row r="212" spans="1:31" x14ac:dyDescent="0.25">
      <c r="A212" s="12" t="s">
        <v>646</v>
      </c>
      <c r="B212" s="11">
        <v>0</v>
      </c>
      <c r="C212" s="13">
        <v>0</v>
      </c>
      <c r="D212" s="13">
        <v>0</v>
      </c>
      <c r="E212" s="28">
        <v>0</v>
      </c>
      <c r="F212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1</v>
      </c>
      <c r="L212" s="13">
        <v>0</v>
      </c>
      <c r="M212" s="13">
        <v>0</v>
      </c>
      <c r="N212" s="13">
        <v>0</v>
      </c>
      <c r="O212">
        <v>30</v>
      </c>
      <c r="T212">
        <v>65.939393939393938</v>
      </c>
      <c r="U212">
        <v>46</v>
      </c>
      <c r="AA212">
        <v>0</v>
      </c>
      <c r="AB212">
        <v>0</v>
      </c>
      <c r="AC212">
        <v>1</v>
      </c>
      <c r="AD212" s="19">
        <v>42916</v>
      </c>
      <c r="AE212" s="19">
        <v>41974</v>
      </c>
    </row>
    <row r="213" spans="1:31" x14ac:dyDescent="0.25">
      <c r="A213" s="15" t="s">
        <v>648</v>
      </c>
      <c r="B213" s="14">
        <v>0</v>
      </c>
      <c r="C213" s="16">
        <v>0</v>
      </c>
      <c r="D213" s="16">
        <v>0</v>
      </c>
      <c r="E213">
        <v>0</v>
      </c>
      <c r="F213">
        <v>1</v>
      </c>
      <c r="G213" s="16">
        <v>1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>
        <v>113</v>
      </c>
      <c r="T213">
        <v>70.060606060606062</v>
      </c>
      <c r="U213">
        <v>17</v>
      </c>
      <c r="AA213">
        <v>1</v>
      </c>
      <c r="AB213">
        <v>0</v>
      </c>
      <c r="AC213">
        <v>0</v>
      </c>
      <c r="AD213" s="20">
        <v>55153</v>
      </c>
      <c r="AE213" s="20">
        <v>41974</v>
      </c>
    </row>
    <row r="214" spans="1:31" x14ac:dyDescent="0.25">
      <c r="A214" s="12" t="s">
        <v>650</v>
      </c>
      <c r="B214" s="11">
        <v>0</v>
      </c>
      <c r="C214" s="13">
        <v>0</v>
      </c>
      <c r="D214" s="13">
        <v>0</v>
      </c>
      <c r="E214" s="28">
        <v>0</v>
      </c>
      <c r="F214">
        <v>1</v>
      </c>
      <c r="G214" s="13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>
        <v>113</v>
      </c>
      <c r="T214">
        <v>74.181818181818187</v>
      </c>
      <c r="U214">
        <v>58</v>
      </c>
      <c r="AA214">
        <v>1</v>
      </c>
      <c r="AB214">
        <v>0</v>
      </c>
      <c r="AC214">
        <v>0</v>
      </c>
      <c r="AD214" s="19">
        <v>55153</v>
      </c>
      <c r="AE214" s="19">
        <v>41974</v>
      </c>
    </row>
    <row r="215" spans="1:31" x14ac:dyDescent="0.25">
      <c r="A215" s="15" t="s">
        <v>652</v>
      </c>
      <c r="B215" s="14">
        <v>0</v>
      </c>
      <c r="C215" s="16">
        <v>0</v>
      </c>
      <c r="D215" s="16">
        <v>0</v>
      </c>
      <c r="E215">
        <v>0</v>
      </c>
      <c r="F215">
        <v>1</v>
      </c>
      <c r="G215" s="16">
        <v>1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>
        <v>113</v>
      </c>
      <c r="T215">
        <v>78.303030303030297</v>
      </c>
      <c r="U215">
        <v>30</v>
      </c>
      <c r="AA215">
        <v>1</v>
      </c>
      <c r="AB215">
        <v>0</v>
      </c>
      <c r="AC215">
        <v>0</v>
      </c>
      <c r="AD215" s="20">
        <v>55153</v>
      </c>
      <c r="AE215" s="20">
        <v>41974</v>
      </c>
    </row>
    <row r="216" spans="1:31" x14ac:dyDescent="0.25">
      <c r="A216" s="12" t="s">
        <v>654</v>
      </c>
      <c r="B216" s="11">
        <v>1</v>
      </c>
      <c r="C216" s="13">
        <v>0</v>
      </c>
      <c r="D216" s="13">
        <v>1</v>
      </c>
      <c r="E216" s="28">
        <v>1</v>
      </c>
      <c r="F216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1</v>
      </c>
      <c r="L216" s="13">
        <v>0</v>
      </c>
      <c r="M216" s="13">
        <v>0</v>
      </c>
      <c r="N216" s="13">
        <v>0</v>
      </c>
      <c r="O216">
        <v>107</v>
      </c>
      <c r="T216">
        <v>82.424242424242422</v>
      </c>
      <c r="U216">
        <v>21</v>
      </c>
      <c r="AA216">
        <v>1</v>
      </c>
      <c r="AB216">
        <v>0</v>
      </c>
      <c r="AC216">
        <v>0</v>
      </c>
      <c r="AD216" s="19">
        <v>55153</v>
      </c>
      <c r="AE216" s="19">
        <v>42156</v>
      </c>
    </row>
    <row r="217" spans="1:31" x14ac:dyDescent="0.25">
      <c r="A217" s="15" t="s">
        <v>656</v>
      </c>
      <c r="B217" s="14">
        <v>0</v>
      </c>
      <c r="C217" s="16">
        <v>0</v>
      </c>
      <c r="D217" s="16">
        <v>0</v>
      </c>
      <c r="E217">
        <v>0</v>
      </c>
      <c r="F217">
        <v>1</v>
      </c>
      <c r="G217" s="16">
        <v>0</v>
      </c>
      <c r="H217" s="16">
        <v>0</v>
      </c>
      <c r="I217" s="16">
        <v>0</v>
      </c>
      <c r="J217" s="16">
        <v>0</v>
      </c>
      <c r="K217" s="16">
        <v>1</v>
      </c>
      <c r="L217" s="16">
        <v>0</v>
      </c>
      <c r="M217" s="16">
        <v>0</v>
      </c>
      <c r="N217" s="16">
        <v>0</v>
      </c>
      <c r="O217">
        <v>113</v>
      </c>
      <c r="T217">
        <v>86.545454545454547</v>
      </c>
      <c r="U217">
        <v>51</v>
      </c>
      <c r="AA217">
        <v>1</v>
      </c>
      <c r="AB217">
        <v>0</v>
      </c>
      <c r="AC217">
        <v>0</v>
      </c>
      <c r="AD217" s="20">
        <v>55153</v>
      </c>
      <c r="AE217" s="20">
        <v>41974</v>
      </c>
    </row>
    <row r="218" spans="1:31" x14ac:dyDescent="0.25">
      <c r="A218" s="12" t="s">
        <v>658</v>
      </c>
      <c r="B218" s="11">
        <v>1</v>
      </c>
      <c r="C218" s="13">
        <v>0</v>
      </c>
      <c r="D218" s="13">
        <v>1</v>
      </c>
      <c r="E218" s="28">
        <v>1</v>
      </c>
      <c r="F218">
        <v>0</v>
      </c>
      <c r="G218" s="13">
        <v>0</v>
      </c>
      <c r="H218" s="13">
        <v>0</v>
      </c>
      <c r="I218" s="13">
        <v>0</v>
      </c>
      <c r="J218" s="13">
        <v>1</v>
      </c>
      <c r="K218" s="13">
        <v>0</v>
      </c>
      <c r="L218" s="13">
        <v>0</v>
      </c>
      <c r="M218" s="13">
        <v>0</v>
      </c>
      <c r="N218" s="13">
        <v>0</v>
      </c>
      <c r="O218">
        <v>108</v>
      </c>
      <c r="T218">
        <v>90.666666666666657</v>
      </c>
      <c r="U218">
        <v>18</v>
      </c>
      <c r="AA218">
        <v>1</v>
      </c>
      <c r="AB218">
        <v>0</v>
      </c>
      <c r="AC218">
        <v>0</v>
      </c>
      <c r="AD218" s="19">
        <v>55153</v>
      </c>
      <c r="AE218" s="19">
        <v>42125</v>
      </c>
    </row>
    <row r="219" spans="1:31" x14ac:dyDescent="0.25">
      <c r="A219" s="15" t="s">
        <v>660</v>
      </c>
      <c r="B219" s="14">
        <v>1</v>
      </c>
      <c r="C219" s="16">
        <v>0</v>
      </c>
      <c r="D219" s="16">
        <v>1</v>
      </c>
      <c r="E219">
        <v>1</v>
      </c>
      <c r="F219">
        <v>0</v>
      </c>
      <c r="G219" s="16">
        <v>0</v>
      </c>
      <c r="H219" s="16">
        <v>0</v>
      </c>
      <c r="I219" s="16">
        <v>0</v>
      </c>
      <c r="J219" s="16">
        <v>1</v>
      </c>
      <c r="K219" s="16">
        <v>0</v>
      </c>
      <c r="L219" s="16">
        <v>0</v>
      </c>
      <c r="M219" s="16">
        <v>0</v>
      </c>
      <c r="N219" s="16">
        <v>0</v>
      </c>
      <c r="O219">
        <v>108</v>
      </c>
      <c r="T219">
        <v>94.787878787878782</v>
      </c>
      <c r="U219">
        <v>26</v>
      </c>
      <c r="AA219">
        <v>1</v>
      </c>
      <c r="AB219">
        <v>0</v>
      </c>
      <c r="AC219">
        <v>0</v>
      </c>
      <c r="AD219" s="20">
        <v>55153</v>
      </c>
      <c r="AE219" s="20">
        <v>42125</v>
      </c>
    </row>
    <row r="220" spans="1:31" x14ac:dyDescent="0.25">
      <c r="A220" s="12" t="s">
        <v>662</v>
      </c>
      <c r="B220" s="11">
        <v>1</v>
      </c>
      <c r="C220" s="13">
        <v>0</v>
      </c>
      <c r="D220" s="13">
        <v>1</v>
      </c>
      <c r="E220" s="28">
        <v>1</v>
      </c>
      <c r="F220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1</v>
      </c>
      <c r="O220">
        <v>108</v>
      </c>
      <c r="T220">
        <v>98.909090909090907</v>
      </c>
      <c r="U220">
        <v>32</v>
      </c>
      <c r="AA220">
        <v>1</v>
      </c>
      <c r="AB220">
        <v>0</v>
      </c>
      <c r="AC220">
        <v>0</v>
      </c>
      <c r="AD220" s="19">
        <v>55153</v>
      </c>
      <c r="AE220" s="19">
        <v>42125</v>
      </c>
    </row>
    <row r="221" spans="1:31" x14ac:dyDescent="0.25">
      <c r="A221" s="15" t="s">
        <v>664</v>
      </c>
      <c r="B221" s="14">
        <v>1</v>
      </c>
      <c r="C221" s="16">
        <v>0</v>
      </c>
      <c r="D221" s="16">
        <v>1</v>
      </c>
      <c r="E221">
        <v>1</v>
      </c>
      <c r="F221">
        <v>0</v>
      </c>
      <c r="G221" s="16">
        <v>0</v>
      </c>
      <c r="H221" s="16">
        <v>1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>
        <v>108</v>
      </c>
      <c r="T221">
        <v>103.03030303030303</v>
      </c>
      <c r="U221">
        <v>30</v>
      </c>
      <c r="AA221">
        <v>1</v>
      </c>
      <c r="AB221">
        <v>0</v>
      </c>
      <c r="AC221">
        <v>0</v>
      </c>
      <c r="AD221" s="20">
        <v>55153</v>
      </c>
      <c r="AE221" s="20">
        <v>42125</v>
      </c>
    </row>
    <row r="222" spans="1:31" x14ac:dyDescent="0.25">
      <c r="A222" s="12" t="s">
        <v>666</v>
      </c>
      <c r="B222" s="11">
        <v>1</v>
      </c>
      <c r="C222" s="13">
        <v>0</v>
      </c>
      <c r="D222" s="13">
        <v>1</v>
      </c>
      <c r="E222" s="28">
        <v>1</v>
      </c>
      <c r="F222">
        <v>0</v>
      </c>
      <c r="G222" s="13">
        <v>0</v>
      </c>
      <c r="H222" s="13">
        <v>1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>
        <v>108</v>
      </c>
      <c r="T222">
        <v>107.15151515151516</v>
      </c>
      <c r="U222">
        <v>26</v>
      </c>
      <c r="AA222">
        <v>1</v>
      </c>
      <c r="AB222">
        <v>0</v>
      </c>
      <c r="AC222">
        <v>0</v>
      </c>
      <c r="AD222" s="19">
        <v>55153</v>
      </c>
      <c r="AE222" s="19">
        <v>42125</v>
      </c>
    </row>
    <row r="223" spans="1:31" x14ac:dyDescent="0.25">
      <c r="A223" s="15" t="s">
        <v>668</v>
      </c>
      <c r="B223" s="14">
        <v>1</v>
      </c>
      <c r="C223" s="16">
        <v>1</v>
      </c>
      <c r="D223" s="16">
        <v>1</v>
      </c>
      <c r="E223">
        <v>1</v>
      </c>
      <c r="F223">
        <v>0</v>
      </c>
      <c r="G223" s="16">
        <v>0</v>
      </c>
      <c r="H223" s="16">
        <v>1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>
        <v>110</v>
      </c>
      <c r="T223">
        <v>111.27272727272727</v>
      </c>
      <c r="U223">
        <v>12</v>
      </c>
      <c r="AA223">
        <v>1</v>
      </c>
      <c r="AB223">
        <v>0</v>
      </c>
      <c r="AC223">
        <v>0</v>
      </c>
      <c r="AD223" s="20">
        <v>55153</v>
      </c>
      <c r="AE223" s="20">
        <v>42064</v>
      </c>
    </row>
    <row r="224" spans="1:31" x14ac:dyDescent="0.25">
      <c r="A224" s="12" t="s">
        <v>670</v>
      </c>
      <c r="B224" s="11">
        <v>1</v>
      </c>
      <c r="C224" s="13">
        <v>1</v>
      </c>
      <c r="D224" s="13">
        <v>1</v>
      </c>
      <c r="E224" s="28">
        <v>1</v>
      </c>
      <c r="F224">
        <v>0</v>
      </c>
      <c r="G224" s="13">
        <v>0</v>
      </c>
      <c r="H224" s="13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>
        <v>110</v>
      </c>
      <c r="T224">
        <v>115.39393939393939</v>
      </c>
      <c r="U224">
        <v>102</v>
      </c>
      <c r="AA224">
        <v>1</v>
      </c>
      <c r="AB224">
        <v>0</v>
      </c>
      <c r="AC224">
        <v>0</v>
      </c>
      <c r="AD224" s="19">
        <v>55153</v>
      </c>
      <c r="AE224" s="19">
        <v>42064</v>
      </c>
    </row>
    <row r="225" spans="1:31" x14ac:dyDescent="0.25">
      <c r="A225" s="15" t="s">
        <v>672</v>
      </c>
      <c r="B225" s="14">
        <v>1</v>
      </c>
      <c r="C225" s="16">
        <v>1</v>
      </c>
      <c r="D225" s="16">
        <v>1</v>
      </c>
      <c r="E225">
        <v>0</v>
      </c>
      <c r="F225">
        <v>0</v>
      </c>
      <c r="G225" s="16">
        <v>0</v>
      </c>
      <c r="H225" s="16">
        <v>0</v>
      </c>
      <c r="I225" s="16">
        <v>0</v>
      </c>
      <c r="J225" s="16">
        <v>1</v>
      </c>
      <c r="K225" s="16">
        <v>0</v>
      </c>
      <c r="L225" s="16">
        <v>0</v>
      </c>
      <c r="M225" s="16">
        <v>0</v>
      </c>
      <c r="N225" s="16">
        <v>0</v>
      </c>
      <c r="O225">
        <v>110</v>
      </c>
      <c r="T225">
        <v>119.51515151515152</v>
      </c>
      <c r="U225">
        <v>6</v>
      </c>
      <c r="AA225">
        <v>1</v>
      </c>
      <c r="AB225">
        <v>0</v>
      </c>
      <c r="AC225">
        <v>0</v>
      </c>
      <c r="AD225" s="20">
        <v>55153</v>
      </c>
      <c r="AE225" s="20">
        <v>42064</v>
      </c>
    </row>
    <row r="226" spans="1:31" x14ac:dyDescent="0.25">
      <c r="A226" s="12" t="s">
        <v>674</v>
      </c>
      <c r="B226" s="11">
        <v>0</v>
      </c>
      <c r="C226" s="13">
        <v>0</v>
      </c>
      <c r="D226" s="13">
        <v>0</v>
      </c>
      <c r="E226" s="28">
        <v>0</v>
      </c>
      <c r="F226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1</v>
      </c>
      <c r="L226" s="13">
        <v>0</v>
      </c>
      <c r="M226" s="13">
        <v>0</v>
      </c>
      <c r="N226" s="13">
        <v>0</v>
      </c>
      <c r="O226">
        <v>39</v>
      </c>
      <c r="T226">
        <v>123.63636363636363</v>
      </c>
      <c r="U226">
        <v>7</v>
      </c>
      <c r="AA226">
        <v>0</v>
      </c>
      <c r="AB226">
        <v>1</v>
      </c>
      <c r="AC226">
        <v>0</v>
      </c>
      <c r="AD226" s="19">
        <v>43251</v>
      </c>
      <c r="AE226" s="19">
        <v>41974</v>
      </c>
    </row>
    <row r="227" spans="1:31" x14ac:dyDescent="0.25">
      <c r="A227" s="15" t="s">
        <v>676</v>
      </c>
      <c r="B227" s="14">
        <v>0</v>
      </c>
      <c r="C227" s="16">
        <v>0</v>
      </c>
      <c r="D227" s="16">
        <v>0</v>
      </c>
      <c r="E227">
        <v>0</v>
      </c>
      <c r="F227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1</v>
      </c>
      <c r="L227" s="16">
        <v>0</v>
      </c>
      <c r="M227" s="16">
        <v>0</v>
      </c>
      <c r="N227" s="16">
        <v>0</v>
      </c>
      <c r="O227">
        <v>87</v>
      </c>
      <c r="T227">
        <v>127.75757575757575</v>
      </c>
      <c r="U227">
        <v>8</v>
      </c>
      <c r="AA227">
        <v>0</v>
      </c>
      <c r="AB227">
        <v>1</v>
      </c>
      <c r="AC227">
        <v>0</v>
      </c>
      <c r="AD227" s="20">
        <v>44651</v>
      </c>
      <c r="AE227" s="20">
        <v>41974</v>
      </c>
    </row>
    <row r="228" spans="1:31" x14ac:dyDescent="0.25">
      <c r="A228" s="12" t="s">
        <v>678</v>
      </c>
      <c r="B228" s="11">
        <v>0</v>
      </c>
      <c r="C228" s="13">
        <v>0</v>
      </c>
      <c r="D228" s="13">
        <v>0</v>
      </c>
      <c r="E228" s="28">
        <v>0</v>
      </c>
      <c r="F228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1</v>
      </c>
      <c r="N228" s="13">
        <v>0</v>
      </c>
      <c r="O228">
        <v>113</v>
      </c>
      <c r="T228">
        <v>131.87878787878788</v>
      </c>
      <c r="U228">
        <v>4</v>
      </c>
      <c r="AA228">
        <v>1</v>
      </c>
      <c r="AB228">
        <v>0</v>
      </c>
      <c r="AC228">
        <v>0</v>
      </c>
      <c r="AD228" s="19">
        <v>55153</v>
      </c>
      <c r="AE228" s="19">
        <v>41974</v>
      </c>
    </row>
    <row r="229" spans="1:31" ht="15.75" thickBot="1" x14ac:dyDescent="0.3">
      <c r="A229" s="15" t="s">
        <v>680</v>
      </c>
      <c r="B229" s="14">
        <v>0</v>
      </c>
      <c r="C229" s="16">
        <v>0</v>
      </c>
      <c r="D229" s="16">
        <v>0</v>
      </c>
      <c r="E229">
        <v>0</v>
      </c>
      <c r="F229">
        <v>0</v>
      </c>
      <c r="G229" s="16">
        <v>1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>
        <v>18</v>
      </c>
      <c r="T229" s="23" t="s">
        <v>2891</v>
      </c>
      <c r="U229" s="23">
        <v>5</v>
      </c>
      <c r="AA229">
        <v>0</v>
      </c>
      <c r="AB229">
        <v>0</v>
      </c>
      <c r="AC229">
        <v>1</v>
      </c>
      <c r="AD229" s="20">
        <v>42551</v>
      </c>
      <c r="AE229" s="20">
        <v>41974</v>
      </c>
    </row>
    <row r="230" spans="1:31" x14ac:dyDescent="0.25">
      <c r="A230" s="12" t="s">
        <v>682</v>
      </c>
      <c r="B230" s="11">
        <v>0</v>
      </c>
      <c r="C230" s="13">
        <v>0</v>
      </c>
      <c r="D230" s="13">
        <v>0</v>
      </c>
      <c r="E230" s="28">
        <v>0</v>
      </c>
      <c r="F230">
        <v>0</v>
      </c>
      <c r="G230" s="13">
        <v>1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>
        <v>12</v>
      </c>
      <c r="AA230">
        <v>0</v>
      </c>
      <c r="AB230">
        <v>0</v>
      </c>
      <c r="AC230">
        <v>1</v>
      </c>
      <c r="AD230" s="19">
        <v>42369</v>
      </c>
      <c r="AE230" s="19">
        <v>41974</v>
      </c>
    </row>
    <row r="231" spans="1:31" x14ac:dyDescent="0.25">
      <c r="A231" s="15" t="s">
        <v>684</v>
      </c>
      <c r="B231" s="14">
        <v>0</v>
      </c>
      <c r="C231" s="16">
        <v>0</v>
      </c>
      <c r="D231" s="16">
        <v>0</v>
      </c>
      <c r="E231">
        <v>0</v>
      </c>
      <c r="F231">
        <v>0</v>
      </c>
      <c r="G231" s="16">
        <v>1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>
        <v>39</v>
      </c>
      <c r="AA231">
        <v>0</v>
      </c>
      <c r="AB231">
        <v>0</v>
      </c>
      <c r="AC231">
        <v>1</v>
      </c>
      <c r="AD231" s="20">
        <v>43190</v>
      </c>
      <c r="AE231" s="20">
        <v>41974</v>
      </c>
    </row>
    <row r="232" spans="1:31" x14ac:dyDescent="0.25">
      <c r="A232" s="12" t="s">
        <v>686</v>
      </c>
      <c r="B232" s="11">
        <v>0</v>
      </c>
      <c r="C232" s="13">
        <v>0</v>
      </c>
      <c r="D232" s="13">
        <v>0</v>
      </c>
      <c r="E232" s="28">
        <v>0</v>
      </c>
      <c r="F232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1</v>
      </c>
      <c r="N232" s="13">
        <v>0</v>
      </c>
      <c r="O232">
        <v>113</v>
      </c>
      <c r="AA232">
        <v>1</v>
      </c>
      <c r="AB232">
        <v>0</v>
      </c>
      <c r="AC232">
        <v>0</v>
      </c>
      <c r="AD232" s="19">
        <v>55153</v>
      </c>
      <c r="AE232" s="19">
        <v>41974</v>
      </c>
    </row>
    <row r="233" spans="1:31" x14ac:dyDescent="0.25">
      <c r="A233" s="15" t="s">
        <v>688</v>
      </c>
      <c r="B233" s="14">
        <v>0</v>
      </c>
      <c r="C233" s="16">
        <v>0</v>
      </c>
      <c r="D233" s="16">
        <v>0</v>
      </c>
      <c r="E233">
        <v>0</v>
      </c>
      <c r="F233">
        <v>1</v>
      </c>
      <c r="G233" s="16">
        <v>0</v>
      </c>
      <c r="H233" s="16">
        <v>0</v>
      </c>
      <c r="I233" s="16">
        <v>0</v>
      </c>
      <c r="J233" s="16">
        <v>0</v>
      </c>
      <c r="K233" s="16">
        <v>1</v>
      </c>
      <c r="L233" s="16">
        <v>0</v>
      </c>
      <c r="M233" s="16">
        <v>0</v>
      </c>
      <c r="N233" s="16">
        <v>0</v>
      </c>
      <c r="O233">
        <v>113</v>
      </c>
      <c r="AA233">
        <v>1</v>
      </c>
      <c r="AB233">
        <v>0</v>
      </c>
      <c r="AC233">
        <v>0</v>
      </c>
      <c r="AD233" s="20">
        <v>55153</v>
      </c>
      <c r="AE233" s="20">
        <v>41974</v>
      </c>
    </row>
    <row r="234" spans="1:31" x14ac:dyDescent="0.25">
      <c r="A234" s="12" t="s">
        <v>690</v>
      </c>
      <c r="B234" s="11">
        <v>0</v>
      </c>
      <c r="C234" s="13">
        <v>0</v>
      </c>
      <c r="D234" s="13">
        <v>0</v>
      </c>
      <c r="E234" s="28">
        <v>0</v>
      </c>
      <c r="F234">
        <v>0</v>
      </c>
      <c r="G234" s="13">
        <v>0</v>
      </c>
      <c r="H234" s="13">
        <v>0</v>
      </c>
      <c r="I234" s="13">
        <v>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>
        <v>84</v>
      </c>
      <c r="AA234">
        <v>0</v>
      </c>
      <c r="AB234">
        <v>0</v>
      </c>
      <c r="AC234">
        <v>1</v>
      </c>
      <c r="AD234" s="19">
        <v>44561</v>
      </c>
      <c r="AE234" s="19">
        <v>41974</v>
      </c>
    </row>
    <row r="235" spans="1:31" x14ac:dyDescent="0.25">
      <c r="A235" s="15" t="s">
        <v>692</v>
      </c>
      <c r="B235" s="14">
        <v>0</v>
      </c>
      <c r="C235" s="16">
        <v>0</v>
      </c>
      <c r="D235" s="16">
        <v>0</v>
      </c>
      <c r="E235">
        <v>1</v>
      </c>
      <c r="F235">
        <v>0</v>
      </c>
      <c r="G235" s="16">
        <v>0</v>
      </c>
      <c r="H235" s="16">
        <v>0</v>
      </c>
      <c r="I235" s="16">
        <v>1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>
        <v>113</v>
      </c>
      <c r="AA235">
        <v>1</v>
      </c>
      <c r="AB235">
        <v>0</v>
      </c>
      <c r="AC235">
        <v>0</v>
      </c>
      <c r="AD235" s="20">
        <v>55153</v>
      </c>
      <c r="AE235" s="20">
        <v>41974</v>
      </c>
    </row>
    <row r="236" spans="1:31" x14ac:dyDescent="0.25">
      <c r="A236" s="12" t="s">
        <v>694</v>
      </c>
      <c r="B236" s="11">
        <v>0</v>
      </c>
      <c r="C236" s="13">
        <v>0</v>
      </c>
      <c r="D236" s="13">
        <v>0</v>
      </c>
      <c r="E236" s="28">
        <v>0</v>
      </c>
      <c r="F236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1</v>
      </c>
      <c r="L236" s="13">
        <v>0</v>
      </c>
      <c r="M236" s="13">
        <v>0</v>
      </c>
      <c r="N236" s="13">
        <v>0</v>
      </c>
      <c r="O236">
        <v>84</v>
      </c>
      <c r="AA236">
        <v>0</v>
      </c>
      <c r="AB236">
        <v>0</v>
      </c>
      <c r="AC236">
        <v>1</v>
      </c>
      <c r="AD236" s="19">
        <v>44561</v>
      </c>
      <c r="AE236" s="19">
        <v>41974</v>
      </c>
    </row>
    <row r="237" spans="1:31" x14ac:dyDescent="0.25">
      <c r="A237" s="15" t="s">
        <v>696</v>
      </c>
      <c r="B237" s="14">
        <v>0</v>
      </c>
      <c r="C237" s="16">
        <v>0</v>
      </c>
      <c r="D237" s="16">
        <v>0</v>
      </c>
      <c r="E237">
        <v>0</v>
      </c>
      <c r="F237">
        <v>0</v>
      </c>
      <c r="G237" s="16">
        <v>0</v>
      </c>
      <c r="H237" s="16">
        <v>0</v>
      </c>
      <c r="I237" s="16">
        <v>1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>
        <v>84</v>
      </c>
      <c r="AA237">
        <v>0</v>
      </c>
      <c r="AB237">
        <v>0</v>
      </c>
      <c r="AC237">
        <v>1</v>
      </c>
      <c r="AD237" s="20">
        <v>44561</v>
      </c>
      <c r="AE237" s="20">
        <v>41974</v>
      </c>
    </row>
    <row r="238" spans="1:31" x14ac:dyDescent="0.25">
      <c r="A238" s="12" t="s">
        <v>698</v>
      </c>
      <c r="B238" s="11">
        <v>0</v>
      </c>
      <c r="C238" s="13">
        <v>0</v>
      </c>
      <c r="D238" s="13">
        <v>0</v>
      </c>
      <c r="E238" s="28">
        <v>0</v>
      </c>
      <c r="F238">
        <v>0</v>
      </c>
      <c r="G238" s="13">
        <v>1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>
        <v>62</v>
      </c>
      <c r="AA238">
        <v>0</v>
      </c>
      <c r="AB238">
        <v>0</v>
      </c>
      <c r="AC238">
        <v>1</v>
      </c>
      <c r="AD238" s="19">
        <v>43890</v>
      </c>
      <c r="AE238" s="19">
        <v>41974</v>
      </c>
    </row>
    <row r="239" spans="1:31" x14ac:dyDescent="0.25">
      <c r="A239" s="15" t="s">
        <v>700</v>
      </c>
      <c r="B239" s="14">
        <v>0</v>
      </c>
      <c r="C239" s="16">
        <v>0</v>
      </c>
      <c r="D239" s="16">
        <v>0</v>
      </c>
      <c r="E239">
        <v>0</v>
      </c>
      <c r="F239">
        <v>1</v>
      </c>
      <c r="G239" s="16">
        <v>0</v>
      </c>
      <c r="H239" s="16">
        <v>0</v>
      </c>
      <c r="I239" s="16">
        <v>0</v>
      </c>
      <c r="J239" s="16">
        <v>0</v>
      </c>
      <c r="K239" s="16">
        <v>1</v>
      </c>
      <c r="L239" s="16">
        <v>0</v>
      </c>
      <c r="M239" s="16">
        <v>0</v>
      </c>
      <c r="N239" s="16">
        <v>0</v>
      </c>
      <c r="O239">
        <v>113</v>
      </c>
      <c r="AA239">
        <v>1</v>
      </c>
      <c r="AB239">
        <v>0</v>
      </c>
      <c r="AC239">
        <v>0</v>
      </c>
      <c r="AD239" s="20">
        <v>55153</v>
      </c>
      <c r="AE239" s="20">
        <v>41974</v>
      </c>
    </row>
    <row r="240" spans="1:31" x14ac:dyDescent="0.25">
      <c r="A240" s="12" t="s">
        <v>702</v>
      </c>
      <c r="B240" s="11">
        <v>0</v>
      </c>
      <c r="C240" s="13">
        <v>0</v>
      </c>
      <c r="D240" s="13">
        <v>0</v>
      </c>
      <c r="E240" s="28">
        <v>0</v>
      </c>
      <c r="F240">
        <v>0</v>
      </c>
      <c r="G240" s="13">
        <v>0</v>
      </c>
      <c r="H240" s="13">
        <v>0</v>
      </c>
      <c r="I240" s="13">
        <v>1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>
        <v>36</v>
      </c>
      <c r="AA240">
        <v>0</v>
      </c>
      <c r="AB240">
        <v>0</v>
      </c>
      <c r="AC240">
        <v>1</v>
      </c>
      <c r="AD240" s="19">
        <v>43100</v>
      </c>
      <c r="AE240" s="19">
        <v>41974</v>
      </c>
    </row>
    <row r="241" spans="1:31" x14ac:dyDescent="0.25">
      <c r="A241" s="15" t="s">
        <v>704</v>
      </c>
      <c r="B241" s="14">
        <v>0</v>
      </c>
      <c r="C241" s="16">
        <v>0</v>
      </c>
      <c r="D241" s="16">
        <v>0</v>
      </c>
      <c r="E241">
        <v>0</v>
      </c>
      <c r="F241">
        <v>1</v>
      </c>
      <c r="G241" s="16">
        <v>0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0</v>
      </c>
      <c r="N241" s="16">
        <v>0</v>
      </c>
      <c r="O241">
        <v>113</v>
      </c>
      <c r="AA241">
        <v>1</v>
      </c>
      <c r="AB241">
        <v>0</v>
      </c>
      <c r="AC241">
        <v>0</v>
      </c>
      <c r="AD241" s="20">
        <v>55153</v>
      </c>
      <c r="AE241" s="20">
        <v>41974</v>
      </c>
    </row>
    <row r="242" spans="1:31" x14ac:dyDescent="0.25">
      <c r="A242" s="12" t="s">
        <v>706</v>
      </c>
      <c r="B242" s="11">
        <v>0</v>
      </c>
      <c r="C242" s="13">
        <v>0</v>
      </c>
      <c r="D242" s="13">
        <v>0</v>
      </c>
      <c r="E242" s="28">
        <v>0</v>
      </c>
      <c r="F242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1</v>
      </c>
      <c r="L242" s="13">
        <v>0</v>
      </c>
      <c r="M242" s="13">
        <v>0</v>
      </c>
      <c r="N242" s="13">
        <v>0</v>
      </c>
      <c r="O242">
        <v>93</v>
      </c>
      <c r="AA242">
        <v>0</v>
      </c>
      <c r="AB242">
        <v>0</v>
      </c>
      <c r="AC242">
        <v>1</v>
      </c>
      <c r="AD242" s="19">
        <v>44834</v>
      </c>
      <c r="AE242" s="19">
        <v>41974</v>
      </c>
    </row>
    <row r="243" spans="1:31" x14ac:dyDescent="0.25">
      <c r="A243" s="15" t="s">
        <v>708</v>
      </c>
      <c r="B243" s="14">
        <v>0</v>
      </c>
      <c r="C243" s="16">
        <v>0</v>
      </c>
      <c r="D243" s="16">
        <v>0</v>
      </c>
      <c r="E243">
        <v>0</v>
      </c>
      <c r="F243">
        <v>1</v>
      </c>
      <c r="G243" s="16">
        <v>0</v>
      </c>
      <c r="H243" s="16">
        <v>0</v>
      </c>
      <c r="I243" s="16">
        <v>1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>
        <v>113</v>
      </c>
      <c r="AA243">
        <v>1</v>
      </c>
      <c r="AB243">
        <v>0</v>
      </c>
      <c r="AC243">
        <v>0</v>
      </c>
      <c r="AD243" s="20">
        <v>55153</v>
      </c>
      <c r="AE243" s="20">
        <v>41974</v>
      </c>
    </row>
    <row r="244" spans="1:31" x14ac:dyDescent="0.25">
      <c r="A244" s="12" t="s">
        <v>710</v>
      </c>
      <c r="B244" s="11">
        <v>0</v>
      </c>
      <c r="C244" s="13">
        <v>0</v>
      </c>
      <c r="D244" s="13">
        <v>0</v>
      </c>
      <c r="E244" s="28">
        <v>0</v>
      </c>
      <c r="F244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1</v>
      </c>
      <c r="L244" s="13">
        <v>0</v>
      </c>
      <c r="M244" s="13">
        <v>0</v>
      </c>
      <c r="N244" s="13">
        <v>0</v>
      </c>
      <c r="O244">
        <v>81</v>
      </c>
      <c r="AA244">
        <v>0</v>
      </c>
      <c r="AB244">
        <v>0</v>
      </c>
      <c r="AC244">
        <v>1</v>
      </c>
      <c r="AD244" s="19">
        <v>44469</v>
      </c>
      <c r="AE244" s="19">
        <v>41974</v>
      </c>
    </row>
    <row r="245" spans="1:31" x14ac:dyDescent="0.25">
      <c r="A245" s="15" t="s">
        <v>712</v>
      </c>
      <c r="B245" s="14">
        <v>0</v>
      </c>
      <c r="C245" s="16">
        <v>0</v>
      </c>
      <c r="D245" s="16">
        <v>0</v>
      </c>
      <c r="E245">
        <v>0</v>
      </c>
      <c r="F245">
        <v>0</v>
      </c>
      <c r="G245" s="16">
        <v>0</v>
      </c>
      <c r="H245" s="16">
        <v>0</v>
      </c>
      <c r="I245" s="16">
        <v>1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>
        <v>36</v>
      </c>
      <c r="AA245">
        <v>0</v>
      </c>
      <c r="AB245">
        <v>0</v>
      </c>
      <c r="AC245">
        <v>1</v>
      </c>
      <c r="AD245" s="20">
        <v>43100</v>
      </c>
      <c r="AE245" s="20">
        <v>41974</v>
      </c>
    </row>
    <row r="246" spans="1:31" x14ac:dyDescent="0.25">
      <c r="A246" s="12" t="s">
        <v>714</v>
      </c>
      <c r="B246" s="11">
        <v>0</v>
      </c>
      <c r="C246" s="13">
        <v>0</v>
      </c>
      <c r="D246" s="13">
        <v>0</v>
      </c>
      <c r="E246" s="28">
        <v>0</v>
      </c>
      <c r="F246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1</v>
      </c>
      <c r="L246" s="13">
        <v>0</v>
      </c>
      <c r="M246" s="13">
        <v>0</v>
      </c>
      <c r="N246" s="13">
        <v>0</v>
      </c>
      <c r="O246">
        <v>60</v>
      </c>
      <c r="AA246">
        <v>0</v>
      </c>
      <c r="AB246">
        <v>0</v>
      </c>
      <c r="AC246">
        <v>1</v>
      </c>
      <c r="AD246" s="19">
        <v>43830</v>
      </c>
      <c r="AE246" s="19">
        <v>41974</v>
      </c>
    </row>
    <row r="247" spans="1:31" x14ac:dyDescent="0.25">
      <c r="A247" s="15" t="s">
        <v>716</v>
      </c>
      <c r="B247" s="14">
        <v>0</v>
      </c>
      <c r="C247" s="16">
        <v>0</v>
      </c>
      <c r="D247" s="16">
        <v>0</v>
      </c>
      <c r="E247">
        <v>0</v>
      </c>
      <c r="F247">
        <v>1</v>
      </c>
      <c r="G247" s="16">
        <v>0</v>
      </c>
      <c r="H247" s="16">
        <v>0</v>
      </c>
      <c r="I247" s="16">
        <v>0</v>
      </c>
      <c r="J247" s="16">
        <v>0</v>
      </c>
      <c r="K247" s="16">
        <v>1</v>
      </c>
      <c r="L247" s="16">
        <v>0</v>
      </c>
      <c r="M247" s="16">
        <v>0</v>
      </c>
      <c r="N247" s="16">
        <v>0</v>
      </c>
      <c r="O247">
        <v>113</v>
      </c>
      <c r="AA247">
        <v>1</v>
      </c>
      <c r="AB247">
        <v>0</v>
      </c>
      <c r="AC247">
        <v>0</v>
      </c>
      <c r="AD247" s="20">
        <v>55153</v>
      </c>
      <c r="AE247" s="20">
        <v>41974</v>
      </c>
    </row>
    <row r="248" spans="1:31" x14ac:dyDescent="0.25">
      <c r="A248" s="12" t="s">
        <v>718</v>
      </c>
      <c r="B248" s="11">
        <v>0</v>
      </c>
      <c r="C248" s="13">
        <v>0</v>
      </c>
      <c r="D248" s="13">
        <v>0</v>
      </c>
      <c r="E248" s="28">
        <v>0</v>
      </c>
      <c r="F248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1</v>
      </c>
      <c r="N248" s="13">
        <v>0</v>
      </c>
      <c r="O248">
        <v>84</v>
      </c>
      <c r="AA248">
        <v>0</v>
      </c>
      <c r="AB248">
        <v>0</v>
      </c>
      <c r="AC248">
        <v>1</v>
      </c>
      <c r="AD248" s="19">
        <v>44561</v>
      </c>
      <c r="AE248" s="19">
        <v>41974</v>
      </c>
    </row>
    <row r="249" spans="1:31" x14ac:dyDescent="0.25">
      <c r="A249" s="15" t="s">
        <v>720</v>
      </c>
      <c r="B249" s="14">
        <v>0</v>
      </c>
      <c r="C249" s="16">
        <v>0</v>
      </c>
      <c r="D249" s="16">
        <v>0</v>
      </c>
      <c r="E249">
        <v>0</v>
      </c>
      <c r="F249">
        <v>1</v>
      </c>
      <c r="G249" s="16">
        <v>1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>
        <v>113</v>
      </c>
      <c r="AA249">
        <v>1</v>
      </c>
      <c r="AB249">
        <v>0</v>
      </c>
      <c r="AC249">
        <v>0</v>
      </c>
      <c r="AD249" s="20">
        <v>55153</v>
      </c>
      <c r="AE249" s="20">
        <v>41974</v>
      </c>
    </row>
    <row r="250" spans="1:31" x14ac:dyDescent="0.25">
      <c r="A250" s="12" t="s">
        <v>722</v>
      </c>
      <c r="B250" s="11">
        <v>0</v>
      </c>
      <c r="C250" s="13">
        <v>0</v>
      </c>
      <c r="D250" s="13">
        <v>0</v>
      </c>
      <c r="E250" s="28">
        <v>0</v>
      </c>
      <c r="F250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1</v>
      </c>
      <c r="N250" s="13">
        <v>0</v>
      </c>
      <c r="O250">
        <v>113</v>
      </c>
      <c r="AA250">
        <v>1</v>
      </c>
      <c r="AB250">
        <v>0</v>
      </c>
      <c r="AC250">
        <v>0</v>
      </c>
      <c r="AD250" s="19">
        <v>55153</v>
      </c>
      <c r="AE250" s="19">
        <v>41974</v>
      </c>
    </row>
    <row r="251" spans="1:31" x14ac:dyDescent="0.25">
      <c r="A251" s="15" t="s">
        <v>724</v>
      </c>
      <c r="B251" s="14">
        <v>0</v>
      </c>
      <c r="C251" s="16">
        <v>0</v>
      </c>
      <c r="D251" s="16">
        <v>0</v>
      </c>
      <c r="E251">
        <v>0</v>
      </c>
      <c r="F251">
        <v>1</v>
      </c>
      <c r="G251" s="16">
        <v>0</v>
      </c>
      <c r="H251" s="16">
        <v>0</v>
      </c>
      <c r="I251" s="16">
        <v>0</v>
      </c>
      <c r="J251" s="16">
        <v>0</v>
      </c>
      <c r="K251" s="16">
        <v>1</v>
      </c>
      <c r="L251" s="16">
        <v>0</v>
      </c>
      <c r="M251" s="16">
        <v>0</v>
      </c>
      <c r="N251" s="16">
        <v>0</v>
      </c>
      <c r="O251">
        <v>113</v>
      </c>
      <c r="AA251">
        <v>1</v>
      </c>
      <c r="AB251">
        <v>0</v>
      </c>
      <c r="AC251">
        <v>0</v>
      </c>
      <c r="AD251" s="20">
        <v>55153</v>
      </c>
      <c r="AE251" s="20">
        <v>41974</v>
      </c>
    </row>
    <row r="252" spans="1:31" x14ac:dyDescent="0.25">
      <c r="A252" s="12" t="s">
        <v>726</v>
      </c>
      <c r="B252" s="11">
        <v>0</v>
      </c>
      <c r="C252" s="13">
        <v>0</v>
      </c>
      <c r="D252" s="13">
        <v>0</v>
      </c>
      <c r="E252" s="28">
        <v>0</v>
      </c>
      <c r="F252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1</v>
      </c>
      <c r="L252" s="13">
        <v>0</v>
      </c>
      <c r="M252" s="13">
        <v>0</v>
      </c>
      <c r="N252" s="13">
        <v>0</v>
      </c>
      <c r="O252">
        <v>92</v>
      </c>
      <c r="AA252">
        <v>0</v>
      </c>
      <c r="AB252">
        <v>0</v>
      </c>
      <c r="AC252">
        <v>1</v>
      </c>
      <c r="AD252" s="19">
        <v>44834</v>
      </c>
      <c r="AE252" s="19">
        <v>41974</v>
      </c>
    </row>
    <row r="253" spans="1:31" x14ac:dyDescent="0.25">
      <c r="A253" s="15" t="s">
        <v>728</v>
      </c>
      <c r="B253" s="14">
        <v>0</v>
      </c>
      <c r="C253" s="16">
        <v>0</v>
      </c>
      <c r="D253" s="16">
        <v>0</v>
      </c>
      <c r="E253">
        <v>0</v>
      </c>
      <c r="F253">
        <v>1</v>
      </c>
      <c r="G253" s="16">
        <v>1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>
        <v>113</v>
      </c>
      <c r="AA253">
        <v>1</v>
      </c>
      <c r="AB253">
        <v>0</v>
      </c>
      <c r="AC253">
        <v>0</v>
      </c>
      <c r="AD253" s="20">
        <v>55153</v>
      </c>
      <c r="AE253" s="20">
        <v>41974</v>
      </c>
    </row>
    <row r="254" spans="1:31" x14ac:dyDescent="0.25">
      <c r="A254" s="12" t="s">
        <v>730</v>
      </c>
      <c r="B254" s="11">
        <v>0</v>
      </c>
      <c r="C254" s="13">
        <v>0</v>
      </c>
      <c r="D254" s="13">
        <v>0</v>
      </c>
      <c r="E254" s="28">
        <v>0</v>
      </c>
      <c r="F254">
        <v>1</v>
      </c>
      <c r="G254" s="13">
        <v>0</v>
      </c>
      <c r="H254" s="13">
        <v>0</v>
      </c>
      <c r="I254" s="13">
        <v>0</v>
      </c>
      <c r="J254" s="13">
        <v>0</v>
      </c>
      <c r="K254" s="13">
        <v>1</v>
      </c>
      <c r="L254" s="13">
        <v>0</v>
      </c>
      <c r="M254" s="13">
        <v>0</v>
      </c>
      <c r="N254" s="13">
        <v>0</v>
      </c>
      <c r="O254">
        <v>113</v>
      </c>
      <c r="AA254">
        <v>1</v>
      </c>
      <c r="AB254">
        <v>0</v>
      </c>
      <c r="AC254">
        <v>0</v>
      </c>
      <c r="AD254" s="19">
        <v>55153</v>
      </c>
      <c r="AE254" s="19">
        <v>41974</v>
      </c>
    </row>
    <row r="255" spans="1:31" x14ac:dyDescent="0.25">
      <c r="A255" s="15" t="s">
        <v>732</v>
      </c>
      <c r="B255" s="14">
        <v>0</v>
      </c>
      <c r="C255" s="16">
        <v>0</v>
      </c>
      <c r="D255" s="16">
        <v>0</v>
      </c>
      <c r="E255">
        <v>0</v>
      </c>
      <c r="F255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1</v>
      </c>
      <c r="L255" s="16">
        <v>0</v>
      </c>
      <c r="M255" s="16">
        <v>0</v>
      </c>
      <c r="N255" s="16">
        <v>0</v>
      </c>
      <c r="O255">
        <v>60</v>
      </c>
      <c r="AA255">
        <v>0</v>
      </c>
      <c r="AB255">
        <v>0</v>
      </c>
      <c r="AC255">
        <v>1</v>
      </c>
      <c r="AD255" s="20">
        <v>43830</v>
      </c>
      <c r="AE255" s="20">
        <v>41974</v>
      </c>
    </row>
    <row r="256" spans="1:31" x14ac:dyDescent="0.25">
      <c r="A256" s="12" t="s">
        <v>734</v>
      </c>
      <c r="B256" s="11">
        <v>0</v>
      </c>
      <c r="C256" s="13">
        <v>0</v>
      </c>
      <c r="D256" s="13">
        <v>0</v>
      </c>
      <c r="E256" s="28">
        <v>0</v>
      </c>
      <c r="F256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1</v>
      </c>
      <c r="L256" s="13">
        <v>0</v>
      </c>
      <c r="M256" s="13">
        <v>0</v>
      </c>
      <c r="N256" s="13">
        <v>0</v>
      </c>
      <c r="O256">
        <v>12</v>
      </c>
      <c r="AA256">
        <v>0</v>
      </c>
      <c r="AB256">
        <v>0</v>
      </c>
      <c r="AC256">
        <v>1</v>
      </c>
      <c r="AD256" s="19">
        <v>42369</v>
      </c>
      <c r="AE256" s="19">
        <v>41974</v>
      </c>
    </row>
    <row r="257" spans="1:31" x14ac:dyDescent="0.25">
      <c r="A257" s="15" t="s">
        <v>736</v>
      </c>
      <c r="B257" s="14">
        <v>0</v>
      </c>
      <c r="C257" s="16">
        <v>0</v>
      </c>
      <c r="D257" s="16">
        <v>0</v>
      </c>
      <c r="E257">
        <v>0</v>
      </c>
      <c r="F257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1</v>
      </c>
      <c r="L257" s="16">
        <v>0</v>
      </c>
      <c r="M257" s="16">
        <v>0</v>
      </c>
      <c r="N257" s="16">
        <v>0</v>
      </c>
      <c r="O257">
        <v>54</v>
      </c>
      <c r="AA257">
        <v>0</v>
      </c>
      <c r="AB257">
        <v>0</v>
      </c>
      <c r="AC257">
        <v>1</v>
      </c>
      <c r="AD257" s="20">
        <v>43646</v>
      </c>
      <c r="AE257" s="20">
        <v>41974</v>
      </c>
    </row>
    <row r="258" spans="1:31" x14ac:dyDescent="0.25">
      <c r="A258" s="12" t="s">
        <v>738</v>
      </c>
      <c r="B258" s="11">
        <v>0</v>
      </c>
      <c r="C258" s="13">
        <v>0</v>
      </c>
      <c r="D258" s="13">
        <v>0</v>
      </c>
      <c r="E258" s="28">
        <v>0</v>
      </c>
      <c r="F258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1</v>
      </c>
      <c r="L258" s="13">
        <v>0</v>
      </c>
      <c r="M258" s="13">
        <v>0</v>
      </c>
      <c r="N258" s="13">
        <v>0</v>
      </c>
      <c r="O258">
        <v>72</v>
      </c>
      <c r="AA258">
        <v>0</v>
      </c>
      <c r="AB258">
        <v>0</v>
      </c>
      <c r="AC258">
        <v>1</v>
      </c>
      <c r="AD258" s="19">
        <v>44196</v>
      </c>
      <c r="AE258" s="19">
        <v>41974</v>
      </c>
    </row>
    <row r="259" spans="1:31" x14ac:dyDescent="0.25">
      <c r="A259" s="15" t="s">
        <v>740</v>
      </c>
      <c r="B259" s="14">
        <v>0</v>
      </c>
      <c r="C259" s="16">
        <v>0</v>
      </c>
      <c r="D259" s="16">
        <v>0</v>
      </c>
      <c r="E259">
        <v>0</v>
      </c>
      <c r="F259">
        <v>1</v>
      </c>
      <c r="G259" s="16">
        <v>0</v>
      </c>
      <c r="H259" s="16">
        <v>0</v>
      </c>
      <c r="I259" s="16">
        <v>0</v>
      </c>
      <c r="J259" s="16">
        <v>0</v>
      </c>
      <c r="K259" s="16">
        <v>1</v>
      </c>
      <c r="L259" s="16">
        <v>0</v>
      </c>
      <c r="M259" s="16">
        <v>0</v>
      </c>
      <c r="N259" s="16">
        <v>0</v>
      </c>
      <c r="O259">
        <v>113</v>
      </c>
      <c r="AA259">
        <v>1</v>
      </c>
      <c r="AB259">
        <v>0</v>
      </c>
      <c r="AC259">
        <v>0</v>
      </c>
      <c r="AD259" s="20">
        <v>55153</v>
      </c>
      <c r="AE259" s="20">
        <v>41974</v>
      </c>
    </row>
    <row r="260" spans="1:31" x14ac:dyDescent="0.25">
      <c r="A260" s="12" t="s">
        <v>742</v>
      </c>
      <c r="B260" s="11">
        <v>0</v>
      </c>
      <c r="C260" s="13">
        <v>0</v>
      </c>
      <c r="D260" s="13">
        <v>0</v>
      </c>
      <c r="E260" s="28">
        <v>0</v>
      </c>
      <c r="F260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1</v>
      </c>
      <c r="L260" s="13">
        <v>0</v>
      </c>
      <c r="M260" s="13">
        <v>0</v>
      </c>
      <c r="N260" s="13">
        <v>0</v>
      </c>
      <c r="O260">
        <v>73</v>
      </c>
      <c r="AA260">
        <v>0</v>
      </c>
      <c r="AB260">
        <v>0</v>
      </c>
      <c r="AC260">
        <v>1</v>
      </c>
      <c r="AD260" s="19">
        <v>44286</v>
      </c>
      <c r="AE260" s="19">
        <v>41974</v>
      </c>
    </row>
    <row r="261" spans="1:31" x14ac:dyDescent="0.25">
      <c r="A261" s="15" t="s">
        <v>744</v>
      </c>
      <c r="B261" s="14">
        <v>0</v>
      </c>
      <c r="C261" s="16">
        <v>0</v>
      </c>
      <c r="D261" s="16">
        <v>0</v>
      </c>
      <c r="E261">
        <v>0</v>
      </c>
      <c r="F261">
        <v>1</v>
      </c>
      <c r="G261" s="16">
        <v>1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>
        <v>113</v>
      </c>
      <c r="AA261">
        <v>1</v>
      </c>
      <c r="AB261">
        <v>0</v>
      </c>
      <c r="AC261">
        <v>0</v>
      </c>
      <c r="AD261" s="20">
        <v>55153</v>
      </c>
      <c r="AE261" s="20">
        <v>41974</v>
      </c>
    </row>
    <row r="262" spans="1:31" x14ac:dyDescent="0.25">
      <c r="A262" s="12" t="s">
        <v>746</v>
      </c>
      <c r="B262" s="11">
        <v>0</v>
      </c>
      <c r="C262" s="13">
        <v>0</v>
      </c>
      <c r="D262" s="13">
        <v>0</v>
      </c>
      <c r="E262" s="28">
        <v>0</v>
      </c>
      <c r="F262">
        <v>1</v>
      </c>
      <c r="G262" s="13">
        <v>1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>
        <v>113</v>
      </c>
      <c r="AA262">
        <v>1</v>
      </c>
      <c r="AB262">
        <v>0</v>
      </c>
      <c r="AC262">
        <v>0</v>
      </c>
      <c r="AD262" s="19">
        <v>55153</v>
      </c>
      <c r="AE262" s="19">
        <v>41974</v>
      </c>
    </row>
    <row r="263" spans="1:31" x14ac:dyDescent="0.25">
      <c r="A263" s="15" t="s">
        <v>748</v>
      </c>
      <c r="B263" s="14">
        <v>0</v>
      </c>
      <c r="C263" s="16">
        <v>0</v>
      </c>
      <c r="D263" s="16">
        <v>0</v>
      </c>
      <c r="E263">
        <v>0</v>
      </c>
      <c r="F263">
        <v>1</v>
      </c>
      <c r="G263" s="16">
        <v>1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>
        <v>113</v>
      </c>
      <c r="AA263">
        <v>1</v>
      </c>
      <c r="AB263">
        <v>0</v>
      </c>
      <c r="AC263">
        <v>0</v>
      </c>
      <c r="AD263" s="20">
        <v>55153</v>
      </c>
      <c r="AE263" s="20">
        <v>41974</v>
      </c>
    </row>
    <row r="264" spans="1:31" x14ac:dyDescent="0.25">
      <c r="A264" s="12" t="s">
        <v>750</v>
      </c>
      <c r="B264" s="11">
        <v>0</v>
      </c>
      <c r="C264" s="13">
        <v>0</v>
      </c>
      <c r="D264" s="13">
        <v>0</v>
      </c>
      <c r="E264" s="28">
        <v>0</v>
      </c>
      <c r="F264">
        <v>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1</v>
      </c>
      <c r="N264" s="13">
        <v>0</v>
      </c>
      <c r="O264">
        <v>113</v>
      </c>
      <c r="AA264">
        <v>1</v>
      </c>
      <c r="AB264">
        <v>0</v>
      </c>
      <c r="AC264">
        <v>0</v>
      </c>
      <c r="AD264" s="19">
        <v>55153</v>
      </c>
      <c r="AE264" s="19">
        <v>41974</v>
      </c>
    </row>
    <row r="265" spans="1:31" x14ac:dyDescent="0.25">
      <c r="A265" s="15" t="s">
        <v>752</v>
      </c>
      <c r="B265" s="14">
        <v>0</v>
      </c>
      <c r="C265" s="16">
        <v>0</v>
      </c>
      <c r="D265" s="16">
        <v>0</v>
      </c>
      <c r="E265">
        <v>0</v>
      </c>
      <c r="F265">
        <v>1</v>
      </c>
      <c r="G265" s="16">
        <v>0</v>
      </c>
      <c r="H265" s="16">
        <v>0</v>
      </c>
      <c r="I265" s="16">
        <v>0</v>
      </c>
      <c r="J265" s="16">
        <v>0</v>
      </c>
      <c r="K265" s="16">
        <v>1</v>
      </c>
      <c r="L265" s="16">
        <v>0</v>
      </c>
      <c r="M265" s="16">
        <v>0</v>
      </c>
      <c r="N265" s="16">
        <v>0</v>
      </c>
      <c r="O265">
        <v>113</v>
      </c>
      <c r="AA265">
        <v>1</v>
      </c>
      <c r="AB265">
        <v>0</v>
      </c>
      <c r="AC265">
        <v>0</v>
      </c>
      <c r="AD265" s="20">
        <v>55153</v>
      </c>
      <c r="AE265" s="20">
        <v>41974</v>
      </c>
    </row>
    <row r="266" spans="1:31" x14ac:dyDescent="0.25">
      <c r="A266" s="12" t="s">
        <v>754</v>
      </c>
      <c r="B266" s="11">
        <v>0</v>
      </c>
      <c r="C266" s="13">
        <v>0</v>
      </c>
      <c r="D266" s="13">
        <v>0</v>
      </c>
      <c r="E266" s="28">
        <v>0</v>
      </c>
      <c r="F266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1</v>
      </c>
      <c r="L266" s="13">
        <v>0</v>
      </c>
      <c r="M266" s="13">
        <v>0</v>
      </c>
      <c r="N266" s="13">
        <v>0</v>
      </c>
      <c r="O266">
        <v>36</v>
      </c>
      <c r="AA266">
        <v>0</v>
      </c>
      <c r="AB266">
        <v>0</v>
      </c>
      <c r="AC266">
        <v>1</v>
      </c>
      <c r="AD266" s="19">
        <v>43100</v>
      </c>
      <c r="AE266" s="19">
        <v>41974</v>
      </c>
    </row>
    <row r="267" spans="1:31" x14ac:dyDescent="0.25">
      <c r="A267" s="15" t="s">
        <v>756</v>
      </c>
      <c r="B267" s="14">
        <v>0</v>
      </c>
      <c r="C267" s="16">
        <v>0</v>
      </c>
      <c r="D267" s="16">
        <v>0</v>
      </c>
      <c r="E267">
        <v>0</v>
      </c>
      <c r="F267">
        <v>1</v>
      </c>
      <c r="G267" s="16">
        <v>0</v>
      </c>
      <c r="H267" s="16">
        <v>0</v>
      </c>
      <c r="I267" s="16">
        <v>0</v>
      </c>
      <c r="J267" s="16">
        <v>0</v>
      </c>
      <c r="K267" s="16">
        <v>1</v>
      </c>
      <c r="L267" s="16">
        <v>0</v>
      </c>
      <c r="M267" s="16">
        <v>0</v>
      </c>
      <c r="N267" s="16">
        <v>0</v>
      </c>
      <c r="O267">
        <v>113</v>
      </c>
      <c r="AA267">
        <v>1</v>
      </c>
      <c r="AB267">
        <v>0</v>
      </c>
      <c r="AC267">
        <v>0</v>
      </c>
      <c r="AD267" s="20">
        <v>55153</v>
      </c>
      <c r="AE267" s="20">
        <v>41974</v>
      </c>
    </row>
    <row r="268" spans="1:31" x14ac:dyDescent="0.25">
      <c r="A268" s="12" t="s">
        <v>758</v>
      </c>
      <c r="B268" s="11">
        <v>0</v>
      </c>
      <c r="C268" s="13">
        <v>0</v>
      </c>
      <c r="D268" s="13">
        <v>0</v>
      </c>
      <c r="E268" s="28">
        <v>0</v>
      </c>
      <c r="F268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1</v>
      </c>
      <c r="L268" s="13">
        <v>0</v>
      </c>
      <c r="M268" s="13">
        <v>0</v>
      </c>
      <c r="N268" s="13">
        <v>0</v>
      </c>
      <c r="O268">
        <v>36</v>
      </c>
      <c r="AA268">
        <v>0</v>
      </c>
      <c r="AB268">
        <v>0</v>
      </c>
      <c r="AC268">
        <v>1</v>
      </c>
      <c r="AD268" s="19">
        <v>43100</v>
      </c>
      <c r="AE268" s="19">
        <v>41974</v>
      </c>
    </row>
    <row r="269" spans="1:31" x14ac:dyDescent="0.25">
      <c r="A269" s="15" t="s">
        <v>760</v>
      </c>
      <c r="B269" s="14">
        <v>0</v>
      </c>
      <c r="C269" s="16">
        <v>0</v>
      </c>
      <c r="D269" s="16">
        <v>0</v>
      </c>
      <c r="E269">
        <v>0</v>
      </c>
      <c r="F269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1</v>
      </c>
      <c r="L269" s="16">
        <v>0</v>
      </c>
      <c r="M269" s="16">
        <v>0</v>
      </c>
      <c r="N269" s="16">
        <v>0</v>
      </c>
      <c r="O269">
        <v>9</v>
      </c>
      <c r="AA269">
        <v>0</v>
      </c>
      <c r="AB269">
        <v>0</v>
      </c>
      <c r="AC269">
        <v>1</v>
      </c>
      <c r="AD269" s="20">
        <v>42277</v>
      </c>
      <c r="AE269" s="20">
        <v>41974</v>
      </c>
    </row>
    <row r="270" spans="1:31" x14ac:dyDescent="0.25">
      <c r="A270" s="12" t="s">
        <v>762</v>
      </c>
      <c r="B270" s="11">
        <v>0</v>
      </c>
      <c r="C270" s="13">
        <v>0</v>
      </c>
      <c r="D270" s="13">
        <v>0</v>
      </c>
      <c r="E270" s="28">
        <v>0</v>
      </c>
      <c r="F270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1</v>
      </c>
      <c r="L270" s="13">
        <v>0</v>
      </c>
      <c r="M270" s="13">
        <v>0</v>
      </c>
      <c r="N270" s="13">
        <v>0</v>
      </c>
      <c r="O270">
        <v>9</v>
      </c>
      <c r="AA270">
        <v>0</v>
      </c>
      <c r="AB270">
        <v>0</v>
      </c>
      <c r="AC270">
        <v>1</v>
      </c>
      <c r="AD270" s="19">
        <v>42277</v>
      </c>
      <c r="AE270" s="19">
        <v>41974</v>
      </c>
    </row>
    <row r="271" spans="1:31" x14ac:dyDescent="0.25">
      <c r="A271" s="15" t="s">
        <v>764</v>
      </c>
      <c r="B271" s="14">
        <v>0</v>
      </c>
      <c r="C271" s="16">
        <v>0</v>
      </c>
      <c r="D271" s="16">
        <v>0</v>
      </c>
      <c r="E271">
        <v>0</v>
      </c>
      <c r="F271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1</v>
      </c>
      <c r="L271" s="16">
        <v>0</v>
      </c>
      <c r="M271" s="16">
        <v>0</v>
      </c>
      <c r="N271" s="16">
        <v>0</v>
      </c>
      <c r="O271">
        <v>9</v>
      </c>
      <c r="AA271">
        <v>0</v>
      </c>
      <c r="AB271">
        <v>0</v>
      </c>
      <c r="AC271">
        <v>1</v>
      </c>
      <c r="AD271" s="20">
        <v>42277</v>
      </c>
      <c r="AE271" s="20">
        <v>41974</v>
      </c>
    </row>
    <row r="272" spans="1:31" x14ac:dyDescent="0.25">
      <c r="A272" s="12" t="s">
        <v>766</v>
      </c>
      <c r="B272" s="11">
        <v>0</v>
      </c>
      <c r="C272" s="13">
        <v>0</v>
      </c>
      <c r="D272" s="13">
        <v>0</v>
      </c>
      <c r="E272" s="28">
        <v>0</v>
      </c>
      <c r="F272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1</v>
      </c>
      <c r="L272" s="13">
        <v>0</v>
      </c>
      <c r="M272" s="13">
        <v>0</v>
      </c>
      <c r="N272" s="13">
        <v>0</v>
      </c>
      <c r="O272">
        <v>9</v>
      </c>
      <c r="AA272">
        <v>0</v>
      </c>
      <c r="AB272">
        <v>0</v>
      </c>
      <c r="AC272">
        <v>1</v>
      </c>
      <c r="AD272" s="19">
        <v>42277</v>
      </c>
      <c r="AE272" s="19">
        <v>41974</v>
      </c>
    </row>
    <row r="273" spans="1:31" x14ac:dyDescent="0.25">
      <c r="A273" s="15" t="s">
        <v>768</v>
      </c>
      <c r="B273" s="14">
        <v>0</v>
      </c>
      <c r="C273" s="16">
        <v>0</v>
      </c>
      <c r="D273" s="16">
        <v>0</v>
      </c>
      <c r="E273">
        <v>0</v>
      </c>
      <c r="F273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1</v>
      </c>
      <c r="L273" s="16">
        <v>0</v>
      </c>
      <c r="M273" s="16">
        <v>0</v>
      </c>
      <c r="N273" s="16">
        <v>0</v>
      </c>
      <c r="O273">
        <v>9</v>
      </c>
      <c r="AA273">
        <v>0</v>
      </c>
      <c r="AB273">
        <v>0</v>
      </c>
      <c r="AC273">
        <v>1</v>
      </c>
      <c r="AD273" s="20">
        <v>42277</v>
      </c>
      <c r="AE273" s="20">
        <v>41974</v>
      </c>
    </row>
    <row r="274" spans="1:31" x14ac:dyDescent="0.25">
      <c r="A274" s="12" t="s">
        <v>770</v>
      </c>
      <c r="B274" s="11">
        <v>0</v>
      </c>
      <c r="C274" s="13">
        <v>0</v>
      </c>
      <c r="D274" s="13">
        <v>0</v>
      </c>
      <c r="E274" s="28">
        <v>0</v>
      </c>
      <c r="F274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1</v>
      </c>
      <c r="L274" s="13">
        <v>0</v>
      </c>
      <c r="M274" s="13">
        <v>0</v>
      </c>
      <c r="N274" s="13">
        <v>0</v>
      </c>
      <c r="O274">
        <v>9</v>
      </c>
      <c r="AA274">
        <v>0</v>
      </c>
      <c r="AB274">
        <v>0</v>
      </c>
      <c r="AC274">
        <v>1</v>
      </c>
      <c r="AD274" s="19">
        <v>42277</v>
      </c>
      <c r="AE274" s="19">
        <v>41974</v>
      </c>
    </row>
    <row r="275" spans="1:31" x14ac:dyDescent="0.25">
      <c r="A275" s="15" t="s">
        <v>772</v>
      </c>
      <c r="B275" s="14">
        <v>0</v>
      </c>
      <c r="C275" s="16">
        <v>0</v>
      </c>
      <c r="D275" s="16">
        <v>0</v>
      </c>
      <c r="E275">
        <v>0</v>
      </c>
      <c r="F275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1</v>
      </c>
      <c r="L275" s="16">
        <v>0</v>
      </c>
      <c r="M275" s="16">
        <v>0</v>
      </c>
      <c r="N275" s="16">
        <v>0</v>
      </c>
      <c r="O275">
        <v>9</v>
      </c>
      <c r="AA275">
        <v>0</v>
      </c>
      <c r="AB275">
        <v>0</v>
      </c>
      <c r="AC275">
        <v>1</v>
      </c>
      <c r="AD275" s="20">
        <v>42277</v>
      </c>
      <c r="AE275" s="20">
        <v>41974</v>
      </c>
    </row>
    <row r="276" spans="1:31" x14ac:dyDescent="0.25">
      <c r="A276" s="12" t="s">
        <v>774</v>
      </c>
      <c r="B276" s="11">
        <v>0</v>
      </c>
      <c r="C276" s="13">
        <v>0</v>
      </c>
      <c r="D276" s="13">
        <v>0</v>
      </c>
      <c r="E276" s="28">
        <v>0</v>
      </c>
      <c r="F276">
        <v>1</v>
      </c>
      <c r="G276" s="13">
        <v>1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>
        <v>113</v>
      </c>
      <c r="AA276">
        <v>1</v>
      </c>
      <c r="AB276">
        <v>0</v>
      </c>
      <c r="AC276">
        <v>0</v>
      </c>
      <c r="AD276" s="19">
        <v>55153</v>
      </c>
      <c r="AE276" s="19">
        <v>41974</v>
      </c>
    </row>
    <row r="277" spans="1:31" x14ac:dyDescent="0.25">
      <c r="A277" s="15" t="s">
        <v>776</v>
      </c>
      <c r="B277" s="14">
        <v>0</v>
      </c>
      <c r="C277" s="16">
        <v>0</v>
      </c>
      <c r="D277" s="16">
        <v>0</v>
      </c>
      <c r="E277">
        <v>0</v>
      </c>
      <c r="F277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1</v>
      </c>
      <c r="L277" s="16">
        <v>0</v>
      </c>
      <c r="M277" s="16">
        <v>0</v>
      </c>
      <c r="N277" s="16">
        <v>0</v>
      </c>
      <c r="O277">
        <v>57</v>
      </c>
      <c r="AA277">
        <v>0</v>
      </c>
      <c r="AB277">
        <v>0</v>
      </c>
      <c r="AC277">
        <v>1</v>
      </c>
      <c r="AD277" s="20">
        <v>43830</v>
      </c>
      <c r="AE277" s="20">
        <v>41974</v>
      </c>
    </row>
    <row r="278" spans="1:31" x14ac:dyDescent="0.25">
      <c r="A278" s="12" t="s">
        <v>778</v>
      </c>
      <c r="B278" s="11">
        <v>0</v>
      </c>
      <c r="C278" s="13">
        <v>0</v>
      </c>
      <c r="D278" s="13">
        <v>0</v>
      </c>
      <c r="E278" s="28">
        <v>0</v>
      </c>
      <c r="F278">
        <v>1</v>
      </c>
      <c r="G278" s="13">
        <v>1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>
        <v>113</v>
      </c>
      <c r="AA278">
        <v>1</v>
      </c>
      <c r="AB278">
        <v>0</v>
      </c>
      <c r="AC278">
        <v>0</v>
      </c>
      <c r="AD278" s="19">
        <v>55153</v>
      </c>
      <c r="AE278" s="19">
        <v>41974</v>
      </c>
    </row>
    <row r="279" spans="1:31" x14ac:dyDescent="0.25">
      <c r="A279" s="15" t="s">
        <v>780</v>
      </c>
      <c r="B279" s="14">
        <v>0</v>
      </c>
      <c r="C279" s="16">
        <v>0</v>
      </c>
      <c r="D279" s="16">
        <v>0</v>
      </c>
      <c r="E279">
        <v>0</v>
      </c>
      <c r="F279">
        <v>1</v>
      </c>
      <c r="G279" s="16">
        <v>1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>
        <v>113</v>
      </c>
      <c r="AA279">
        <v>1</v>
      </c>
      <c r="AB279">
        <v>0</v>
      </c>
      <c r="AC279">
        <v>0</v>
      </c>
      <c r="AD279" s="20">
        <v>55153</v>
      </c>
      <c r="AE279" s="20">
        <v>41974</v>
      </c>
    </row>
    <row r="280" spans="1:31" x14ac:dyDescent="0.25">
      <c r="A280" s="12" t="s">
        <v>782</v>
      </c>
      <c r="B280" s="11">
        <v>0</v>
      </c>
      <c r="C280" s="13">
        <v>0</v>
      </c>
      <c r="D280" s="13">
        <v>0</v>
      </c>
      <c r="E280" s="28">
        <v>0</v>
      </c>
      <c r="F280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1</v>
      </c>
      <c r="L280" s="13">
        <v>0</v>
      </c>
      <c r="M280" s="13">
        <v>0</v>
      </c>
      <c r="N280" s="13">
        <v>0</v>
      </c>
      <c r="O280">
        <v>57</v>
      </c>
      <c r="AA280">
        <v>0</v>
      </c>
      <c r="AB280">
        <v>0</v>
      </c>
      <c r="AC280">
        <v>1</v>
      </c>
      <c r="AD280" s="19">
        <v>43830</v>
      </c>
      <c r="AE280" s="19">
        <v>41974</v>
      </c>
    </row>
    <row r="281" spans="1:31" x14ac:dyDescent="0.25">
      <c r="A281" s="15" t="s">
        <v>784</v>
      </c>
      <c r="B281" s="14">
        <v>0</v>
      </c>
      <c r="C281" s="16">
        <v>0</v>
      </c>
      <c r="D281" s="16">
        <v>0</v>
      </c>
      <c r="E281">
        <v>0</v>
      </c>
      <c r="F281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1</v>
      </c>
      <c r="L281" s="16">
        <v>0</v>
      </c>
      <c r="M281" s="16">
        <v>0</v>
      </c>
      <c r="N281" s="16">
        <v>0</v>
      </c>
      <c r="O281">
        <v>54</v>
      </c>
      <c r="AA281">
        <v>0</v>
      </c>
      <c r="AB281">
        <v>0</v>
      </c>
      <c r="AC281">
        <v>1</v>
      </c>
      <c r="AD281" s="20">
        <v>43830</v>
      </c>
      <c r="AE281" s="20">
        <v>41974</v>
      </c>
    </row>
    <row r="282" spans="1:31" x14ac:dyDescent="0.25">
      <c r="A282" s="12" t="s">
        <v>786</v>
      </c>
      <c r="B282" s="11">
        <v>0</v>
      </c>
      <c r="C282" s="13">
        <v>0</v>
      </c>
      <c r="D282" s="13">
        <v>0</v>
      </c>
      <c r="E282" s="28">
        <v>0</v>
      </c>
      <c r="F282">
        <v>1</v>
      </c>
      <c r="G282" s="13">
        <v>0</v>
      </c>
      <c r="H282" s="13">
        <v>0</v>
      </c>
      <c r="I282" s="13">
        <v>0</v>
      </c>
      <c r="J282" s="13">
        <v>0</v>
      </c>
      <c r="K282" s="13">
        <v>1</v>
      </c>
      <c r="L282" s="13">
        <v>0</v>
      </c>
      <c r="M282" s="13">
        <v>0</v>
      </c>
      <c r="N282" s="13">
        <v>0</v>
      </c>
      <c r="O282">
        <v>113</v>
      </c>
      <c r="AA282">
        <v>1</v>
      </c>
      <c r="AB282">
        <v>0</v>
      </c>
      <c r="AC282">
        <v>0</v>
      </c>
      <c r="AD282" s="19">
        <v>55153</v>
      </c>
      <c r="AE282" s="19">
        <v>41974</v>
      </c>
    </row>
    <row r="283" spans="1:31" x14ac:dyDescent="0.25">
      <c r="A283" s="15" t="s">
        <v>788</v>
      </c>
      <c r="B283" s="14">
        <v>0</v>
      </c>
      <c r="C283" s="16">
        <v>0</v>
      </c>
      <c r="D283" s="16">
        <v>0</v>
      </c>
      <c r="E283">
        <v>0</v>
      </c>
      <c r="F283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1</v>
      </c>
      <c r="L283" s="16">
        <v>0</v>
      </c>
      <c r="M283" s="16">
        <v>0</v>
      </c>
      <c r="N283" s="16">
        <v>0</v>
      </c>
      <c r="O283">
        <v>63</v>
      </c>
      <c r="AA283">
        <v>0</v>
      </c>
      <c r="AB283">
        <v>0</v>
      </c>
      <c r="AC283">
        <v>1</v>
      </c>
      <c r="AD283" s="20">
        <v>43921</v>
      </c>
      <c r="AE283" s="20">
        <v>41974</v>
      </c>
    </row>
    <row r="284" spans="1:31" x14ac:dyDescent="0.25">
      <c r="A284" s="12" t="s">
        <v>790</v>
      </c>
      <c r="B284" s="11">
        <v>0</v>
      </c>
      <c r="C284" s="13">
        <v>0</v>
      </c>
      <c r="D284" s="13">
        <v>0</v>
      </c>
      <c r="E284" s="28">
        <v>0</v>
      </c>
      <c r="F284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1</v>
      </c>
      <c r="L284" s="13">
        <v>0</v>
      </c>
      <c r="M284" s="13">
        <v>0</v>
      </c>
      <c r="N284" s="13">
        <v>0</v>
      </c>
      <c r="O284">
        <v>63</v>
      </c>
      <c r="AA284">
        <v>0</v>
      </c>
      <c r="AB284">
        <v>0</v>
      </c>
      <c r="AC284">
        <v>1</v>
      </c>
      <c r="AD284" s="19">
        <v>43921</v>
      </c>
      <c r="AE284" s="19">
        <v>41974</v>
      </c>
    </row>
    <row r="285" spans="1:31" x14ac:dyDescent="0.25">
      <c r="A285" s="15" t="s">
        <v>792</v>
      </c>
      <c r="B285" s="14">
        <v>0</v>
      </c>
      <c r="C285" s="16">
        <v>0</v>
      </c>
      <c r="D285" s="16">
        <v>0</v>
      </c>
      <c r="E285">
        <v>0</v>
      </c>
      <c r="F285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1</v>
      </c>
      <c r="L285" s="16">
        <v>0</v>
      </c>
      <c r="M285" s="16">
        <v>0</v>
      </c>
      <c r="N285" s="16">
        <v>0</v>
      </c>
      <c r="O285">
        <v>63</v>
      </c>
      <c r="AA285">
        <v>0</v>
      </c>
      <c r="AB285">
        <v>0</v>
      </c>
      <c r="AC285">
        <v>1</v>
      </c>
      <c r="AD285" s="20">
        <v>43921</v>
      </c>
      <c r="AE285" s="20">
        <v>41974</v>
      </c>
    </row>
    <row r="286" spans="1:31" x14ac:dyDescent="0.25">
      <c r="A286" s="12" t="s">
        <v>794</v>
      </c>
      <c r="B286" s="11">
        <v>0</v>
      </c>
      <c r="C286" s="13">
        <v>0</v>
      </c>
      <c r="D286" s="13">
        <v>0</v>
      </c>
      <c r="E286" s="28">
        <v>0</v>
      </c>
      <c r="F286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1</v>
      </c>
      <c r="L286" s="13">
        <v>0</v>
      </c>
      <c r="M286" s="13">
        <v>0</v>
      </c>
      <c r="N286" s="13">
        <v>0</v>
      </c>
      <c r="O286">
        <v>48</v>
      </c>
      <c r="AA286">
        <v>0</v>
      </c>
      <c r="AB286">
        <v>0</v>
      </c>
      <c r="AC286">
        <v>1</v>
      </c>
      <c r="AD286" s="19">
        <v>43465</v>
      </c>
      <c r="AE286" s="19">
        <v>41974</v>
      </c>
    </row>
    <row r="287" spans="1:31" x14ac:dyDescent="0.25">
      <c r="A287" s="15" t="s">
        <v>796</v>
      </c>
      <c r="B287" s="14">
        <v>0</v>
      </c>
      <c r="C287" s="16">
        <v>0</v>
      </c>
      <c r="D287" s="16">
        <v>0</v>
      </c>
      <c r="E287">
        <v>0</v>
      </c>
      <c r="F287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1</v>
      </c>
      <c r="N287" s="16">
        <v>0</v>
      </c>
      <c r="O287">
        <v>24</v>
      </c>
      <c r="AA287">
        <v>0</v>
      </c>
      <c r="AB287">
        <v>0</v>
      </c>
      <c r="AC287">
        <v>1</v>
      </c>
      <c r="AD287" s="20">
        <v>42735</v>
      </c>
      <c r="AE287" s="20">
        <v>41974</v>
      </c>
    </row>
    <row r="288" spans="1:31" x14ac:dyDescent="0.25">
      <c r="A288" s="12" t="s">
        <v>798</v>
      </c>
      <c r="B288" s="11">
        <v>0</v>
      </c>
      <c r="C288" s="13">
        <v>0</v>
      </c>
      <c r="D288" s="13">
        <v>0</v>
      </c>
      <c r="E288" s="28">
        <v>0</v>
      </c>
      <c r="F288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1</v>
      </c>
      <c r="L288" s="13">
        <v>0</v>
      </c>
      <c r="M288" s="13">
        <v>0</v>
      </c>
      <c r="N288" s="13">
        <v>0</v>
      </c>
      <c r="O288">
        <v>12</v>
      </c>
      <c r="AA288">
        <v>0</v>
      </c>
      <c r="AB288">
        <v>0</v>
      </c>
      <c r="AC288">
        <v>1</v>
      </c>
      <c r="AD288" s="19">
        <v>42369</v>
      </c>
      <c r="AE288" s="19">
        <v>41974</v>
      </c>
    </row>
    <row r="289" spans="1:31" x14ac:dyDescent="0.25">
      <c r="A289" s="15" t="s">
        <v>30</v>
      </c>
      <c r="B289" s="14">
        <v>0</v>
      </c>
      <c r="C289" s="16">
        <v>0</v>
      </c>
      <c r="D289" s="16">
        <v>0</v>
      </c>
      <c r="E289">
        <v>0</v>
      </c>
      <c r="F289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1</v>
      </c>
      <c r="L289" s="16">
        <v>0</v>
      </c>
      <c r="M289" s="16">
        <v>0</v>
      </c>
      <c r="N289" s="16">
        <v>0</v>
      </c>
      <c r="O289">
        <v>108</v>
      </c>
      <c r="AA289">
        <v>0</v>
      </c>
      <c r="AB289">
        <v>0</v>
      </c>
      <c r="AC289">
        <v>1</v>
      </c>
      <c r="AD289" s="20">
        <v>45291</v>
      </c>
      <c r="AE289" s="20">
        <v>41974</v>
      </c>
    </row>
    <row r="290" spans="1:31" x14ac:dyDescent="0.25">
      <c r="A290" s="12" t="s">
        <v>800</v>
      </c>
      <c r="B290" s="11">
        <v>0</v>
      </c>
      <c r="C290" s="13">
        <v>0</v>
      </c>
      <c r="D290" s="13">
        <v>0</v>
      </c>
      <c r="E290" s="28">
        <v>0</v>
      </c>
      <c r="F290">
        <v>1</v>
      </c>
      <c r="G290" s="13">
        <v>0</v>
      </c>
      <c r="H290" s="13">
        <v>0</v>
      </c>
      <c r="I290" s="13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>
        <v>113</v>
      </c>
      <c r="AA290">
        <v>1</v>
      </c>
      <c r="AB290">
        <v>0</v>
      </c>
      <c r="AC290">
        <v>0</v>
      </c>
      <c r="AD290" s="19">
        <v>55153</v>
      </c>
      <c r="AE290" s="19">
        <v>41974</v>
      </c>
    </row>
    <row r="291" spans="1:31" x14ac:dyDescent="0.25">
      <c r="A291" s="15" t="s">
        <v>802</v>
      </c>
      <c r="B291" s="14">
        <v>0</v>
      </c>
      <c r="C291" s="16">
        <v>0</v>
      </c>
      <c r="D291" s="16">
        <v>0</v>
      </c>
      <c r="E291">
        <v>0</v>
      </c>
      <c r="F291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1</v>
      </c>
      <c r="L291" s="16">
        <v>0</v>
      </c>
      <c r="M291" s="16">
        <v>0</v>
      </c>
      <c r="N291" s="16">
        <v>0</v>
      </c>
      <c r="O291">
        <v>12</v>
      </c>
      <c r="AA291">
        <v>0</v>
      </c>
      <c r="AB291">
        <v>0</v>
      </c>
      <c r="AC291">
        <v>1</v>
      </c>
      <c r="AD291" s="20">
        <v>42369</v>
      </c>
      <c r="AE291" s="20">
        <v>41974</v>
      </c>
    </row>
    <row r="292" spans="1:31" x14ac:dyDescent="0.25">
      <c r="A292" s="12" t="s">
        <v>804</v>
      </c>
      <c r="B292" s="11">
        <v>0</v>
      </c>
      <c r="C292" s="13">
        <v>0</v>
      </c>
      <c r="D292" s="13">
        <v>0</v>
      </c>
      <c r="E292" s="28">
        <v>0</v>
      </c>
      <c r="F292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1</v>
      </c>
      <c r="L292" s="13">
        <v>0</v>
      </c>
      <c r="M292" s="13">
        <v>0</v>
      </c>
      <c r="N292" s="13">
        <v>0</v>
      </c>
      <c r="O292">
        <v>12</v>
      </c>
      <c r="AA292">
        <v>0</v>
      </c>
      <c r="AB292">
        <v>0</v>
      </c>
      <c r="AC292">
        <v>1</v>
      </c>
      <c r="AD292" s="19">
        <v>42460</v>
      </c>
      <c r="AE292" s="19">
        <v>41974</v>
      </c>
    </row>
    <row r="293" spans="1:31" x14ac:dyDescent="0.25">
      <c r="A293" s="15" t="s">
        <v>806</v>
      </c>
      <c r="B293" s="14">
        <v>0</v>
      </c>
      <c r="C293" s="16">
        <v>0</v>
      </c>
      <c r="D293" s="16">
        <v>0</v>
      </c>
      <c r="E293">
        <v>0</v>
      </c>
      <c r="F293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1</v>
      </c>
      <c r="M293" s="16">
        <v>0</v>
      </c>
      <c r="N293" s="16">
        <v>0</v>
      </c>
      <c r="O293">
        <v>36</v>
      </c>
      <c r="AA293">
        <v>0</v>
      </c>
      <c r="AB293">
        <v>0</v>
      </c>
      <c r="AC293">
        <v>1</v>
      </c>
      <c r="AD293" s="20">
        <v>43100</v>
      </c>
      <c r="AE293" s="20">
        <v>41974</v>
      </c>
    </row>
    <row r="294" spans="1:31" x14ac:dyDescent="0.25">
      <c r="A294" s="12" t="s">
        <v>808</v>
      </c>
      <c r="B294" s="11">
        <v>0</v>
      </c>
      <c r="C294" s="13">
        <v>0</v>
      </c>
      <c r="D294" s="13">
        <v>0</v>
      </c>
      <c r="E294" s="28">
        <v>0</v>
      </c>
      <c r="F294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1</v>
      </c>
      <c r="N294" s="13">
        <v>0</v>
      </c>
      <c r="O294">
        <v>44</v>
      </c>
      <c r="AA294">
        <v>0</v>
      </c>
      <c r="AB294">
        <v>0</v>
      </c>
      <c r="AC294">
        <v>1</v>
      </c>
      <c r="AD294" s="19">
        <v>43373</v>
      </c>
      <c r="AE294" s="19">
        <v>41974</v>
      </c>
    </row>
    <row r="295" spans="1:31" x14ac:dyDescent="0.25">
      <c r="A295" s="15" t="s">
        <v>810</v>
      </c>
      <c r="B295" s="14">
        <v>0</v>
      </c>
      <c r="C295" s="16">
        <v>0</v>
      </c>
      <c r="D295" s="16">
        <v>0</v>
      </c>
      <c r="E295">
        <v>0</v>
      </c>
      <c r="F295">
        <v>1</v>
      </c>
      <c r="G295" s="16">
        <v>0</v>
      </c>
      <c r="H295" s="16">
        <v>0</v>
      </c>
      <c r="I295" s="16">
        <v>0</v>
      </c>
      <c r="J295" s="16">
        <v>0</v>
      </c>
      <c r="K295" s="16">
        <v>1</v>
      </c>
      <c r="L295" s="16">
        <v>0</v>
      </c>
      <c r="M295" s="16">
        <v>0</v>
      </c>
      <c r="N295" s="16">
        <v>0</v>
      </c>
      <c r="O295">
        <v>113</v>
      </c>
      <c r="AA295">
        <v>1</v>
      </c>
      <c r="AB295">
        <v>0</v>
      </c>
      <c r="AC295">
        <v>0</v>
      </c>
      <c r="AD295" s="20">
        <v>55153</v>
      </c>
      <c r="AE295" s="20">
        <v>41974</v>
      </c>
    </row>
    <row r="296" spans="1:31" x14ac:dyDescent="0.25">
      <c r="A296" s="12" t="s">
        <v>812</v>
      </c>
      <c r="B296" s="11">
        <v>0</v>
      </c>
      <c r="C296" s="13">
        <v>0</v>
      </c>
      <c r="D296" s="13">
        <v>0</v>
      </c>
      <c r="E296" s="28">
        <v>0</v>
      </c>
      <c r="F296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1</v>
      </c>
      <c r="L296" s="13">
        <v>0</v>
      </c>
      <c r="M296" s="13">
        <v>0</v>
      </c>
      <c r="N296" s="13">
        <v>0</v>
      </c>
      <c r="O296">
        <v>113</v>
      </c>
      <c r="AA296">
        <v>1</v>
      </c>
      <c r="AB296">
        <v>0</v>
      </c>
      <c r="AC296">
        <v>0</v>
      </c>
      <c r="AD296" s="19">
        <v>55153</v>
      </c>
      <c r="AE296" s="19">
        <v>41974</v>
      </c>
    </row>
    <row r="297" spans="1:31" x14ac:dyDescent="0.25">
      <c r="A297" s="15" t="s">
        <v>814</v>
      </c>
      <c r="B297" s="14">
        <v>0</v>
      </c>
      <c r="C297" s="16">
        <v>0</v>
      </c>
      <c r="D297" s="16">
        <v>0</v>
      </c>
      <c r="E297">
        <v>0</v>
      </c>
      <c r="F297">
        <v>0</v>
      </c>
      <c r="G297" s="16">
        <v>1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>
        <v>52</v>
      </c>
      <c r="AA297">
        <v>0</v>
      </c>
      <c r="AB297">
        <v>0</v>
      </c>
      <c r="AC297">
        <v>1</v>
      </c>
      <c r="AD297" s="20">
        <v>43646</v>
      </c>
      <c r="AE297" s="20">
        <v>41974</v>
      </c>
    </row>
    <row r="298" spans="1:31" x14ac:dyDescent="0.25">
      <c r="A298" s="12" t="s">
        <v>816</v>
      </c>
      <c r="B298" s="11">
        <v>0</v>
      </c>
      <c r="C298" s="13">
        <v>0</v>
      </c>
      <c r="D298" s="13">
        <v>0</v>
      </c>
      <c r="E298" s="28">
        <v>0</v>
      </c>
      <c r="F298">
        <v>1</v>
      </c>
      <c r="G298" s="13">
        <v>0</v>
      </c>
      <c r="H298" s="13">
        <v>0</v>
      </c>
      <c r="I298" s="13">
        <v>0</v>
      </c>
      <c r="J298" s="13">
        <v>0</v>
      </c>
      <c r="K298" s="13">
        <v>1</v>
      </c>
      <c r="L298" s="13">
        <v>0</v>
      </c>
      <c r="M298" s="13">
        <v>0</v>
      </c>
      <c r="N298" s="13">
        <v>0</v>
      </c>
      <c r="O298">
        <v>113</v>
      </c>
      <c r="AA298">
        <v>1</v>
      </c>
      <c r="AB298">
        <v>0</v>
      </c>
      <c r="AC298">
        <v>0</v>
      </c>
      <c r="AD298" s="19">
        <v>55153</v>
      </c>
      <c r="AE298" s="19">
        <v>41974</v>
      </c>
    </row>
    <row r="299" spans="1:31" x14ac:dyDescent="0.25">
      <c r="A299" s="15" t="s">
        <v>818</v>
      </c>
      <c r="B299" s="14">
        <v>0</v>
      </c>
      <c r="C299" s="16">
        <v>0</v>
      </c>
      <c r="D299" s="16">
        <v>0</v>
      </c>
      <c r="E299">
        <v>0</v>
      </c>
      <c r="F299">
        <v>0</v>
      </c>
      <c r="G299" s="16">
        <v>1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>
        <v>24</v>
      </c>
      <c r="AA299">
        <v>0</v>
      </c>
      <c r="AB299">
        <v>0</v>
      </c>
      <c r="AC299">
        <v>1</v>
      </c>
      <c r="AD299" s="20">
        <v>42735</v>
      </c>
      <c r="AE299" s="20">
        <v>41974</v>
      </c>
    </row>
    <row r="300" spans="1:31" x14ac:dyDescent="0.25">
      <c r="A300" s="12" t="s">
        <v>820</v>
      </c>
      <c r="B300" s="11">
        <v>0</v>
      </c>
      <c r="C300" s="13">
        <v>0</v>
      </c>
      <c r="D300" s="13">
        <v>0</v>
      </c>
      <c r="E300" s="28">
        <v>0</v>
      </c>
      <c r="F300">
        <v>1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</v>
      </c>
      <c r="N300" s="13">
        <v>0</v>
      </c>
      <c r="O300">
        <v>113</v>
      </c>
      <c r="AA300">
        <v>1</v>
      </c>
      <c r="AB300">
        <v>0</v>
      </c>
      <c r="AC300">
        <v>0</v>
      </c>
      <c r="AD300" s="19">
        <v>55153</v>
      </c>
      <c r="AE300" s="19">
        <v>41974</v>
      </c>
    </row>
    <row r="301" spans="1:31" x14ac:dyDescent="0.25">
      <c r="A301" s="15" t="s">
        <v>822</v>
      </c>
      <c r="B301" s="14">
        <v>0</v>
      </c>
      <c r="C301" s="16">
        <v>0</v>
      </c>
      <c r="D301" s="16">
        <v>0</v>
      </c>
      <c r="E301">
        <v>0</v>
      </c>
      <c r="F301">
        <v>0</v>
      </c>
      <c r="G301" s="16">
        <v>1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>
        <v>12</v>
      </c>
      <c r="AA301">
        <v>0</v>
      </c>
      <c r="AB301">
        <v>0</v>
      </c>
      <c r="AC301">
        <v>1</v>
      </c>
      <c r="AD301" s="20">
        <v>42369</v>
      </c>
      <c r="AE301" s="20">
        <v>41974</v>
      </c>
    </row>
    <row r="302" spans="1:31" x14ac:dyDescent="0.25">
      <c r="A302" s="12" t="s">
        <v>824</v>
      </c>
      <c r="B302" s="11">
        <v>0</v>
      </c>
      <c r="C302" s="13">
        <v>0</v>
      </c>
      <c r="D302" s="13">
        <v>0</v>
      </c>
      <c r="E302" s="28">
        <v>0</v>
      </c>
      <c r="F302">
        <v>0</v>
      </c>
      <c r="G302" s="13">
        <v>1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>
        <v>36</v>
      </c>
      <c r="AA302">
        <v>0</v>
      </c>
      <c r="AB302">
        <v>0</v>
      </c>
      <c r="AC302">
        <v>1</v>
      </c>
      <c r="AD302" s="19">
        <v>43100</v>
      </c>
      <c r="AE302" s="19">
        <v>41974</v>
      </c>
    </row>
    <row r="303" spans="1:31" x14ac:dyDescent="0.25">
      <c r="A303" s="15" t="s">
        <v>826</v>
      </c>
      <c r="B303" s="14">
        <v>0</v>
      </c>
      <c r="C303" s="16">
        <v>0</v>
      </c>
      <c r="D303" s="16">
        <v>0</v>
      </c>
      <c r="E303">
        <v>0</v>
      </c>
      <c r="F303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1</v>
      </c>
      <c r="N303" s="16">
        <v>0</v>
      </c>
      <c r="O303">
        <v>90</v>
      </c>
      <c r="AA303">
        <v>0</v>
      </c>
      <c r="AB303">
        <v>0</v>
      </c>
      <c r="AC303">
        <v>1</v>
      </c>
      <c r="AD303" s="20">
        <v>44742</v>
      </c>
      <c r="AE303" s="20">
        <v>41974</v>
      </c>
    </row>
    <row r="304" spans="1:31" x14ac:dyDescent="0.25">
      <c r="A304" s="12" t="s">
        <v>828</v>
      </c>
      <c r="B304" s="11">
        <v>0</v>
      </c>
      <c r="C304" s="13">
        <v>0</v>
      </c>
      <c r="D304" s="13">
        <v>0</v>
      </c>
      <c r="E304" s="28">
        <v>0</v>
      </c>
      <c r="F304">
        <v>0</v>
      </c>
      <c r="G304" s="13">
        <v>1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>
        <v>33</v>
      </c>
      <c r="AA304">
        <v>0</v>
      </c>
      <c r="AB304">
        <v>0</v>
      </c>
      <c r="AC304">
        <v>1</v>
      </c>
      <c r="AD304" s="19">
        <v>43008</v>
      </c>
      <c r="AE304" s="19">
        <v>41974</v>
      </c>
    </row>
    <row r="305" spans="1:31" x14ac:dyDescent="0.25">
      <c r="A305" s="15" t="s">
        <v>830</v>
      </c>
      <c r="B305" s="14">
        <v>0</v>
      </c>
      <c r="C305" s="16">
        <v>0</v>
      </c>
      <c r="D305" s="16">
        <v>0</v>
      </c>
      <c r="E305">
        <v>0</v>
      </c>
      <c r="F305">
        <v>0</v>
      </c>
      <c r="G305" s="16">
        <v>1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>
        <v>12</v>
      </c>
      <c r="AA305">
        <v>0</v>
      </c>
      <c r="AB305">
        <v>0</v>
      </c>
      <c r="AC305">
        <v>1</v>
      </c>
      <c r="AD305" s="20">
        <v>42369</v>
      </c>
      <c r="AE305" s="20">
        <v>41974</v>
      </c>
    </row>
    <row r="306" spans="1:31" x14ac:dyDescent="0.25">
      <c r="A306" s="12" t="s">
        <v>832</v>
      </c>
      <c r="B306" s="11">
        <v>0</v>
      </c>
      <c r="C306" s="13">
        <v>0</v>
      </c>
      <c r="D306" s="13">
        <v>0</v>
      </c>
      <c r="E306" s="28">
        <v>0</v>
      </c>
      <c r="F306">
        <v>0</v>
      </c>
      <c r="G306" s="13">
        <v>1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>
        <v>24</v>
      </c>
      <c r="AA306">
        <v>0</v>
      </c>
      <c r="AB306">
        <v>0</v>
      </c>
      <c r="AC306">
        <v>1</v>
      </c>
      <c r="AD306" s="19">
        <v>42735</v>
      </c>
      <c r="AE306" s="19">
        <v>41974</v>
      </c>
    </row>
    <row r="307" spans="1:31" x14ac:dyDescent="0.25">
      <c r="A307" s="15" t="s">
        <v>834</v>
      </c>
      <c r="B307" s="14">
        <v>0</v>
      </c>
      <c r="C307" s="16">
        <v>0</v>
      </c>
      <c r="D307" s="16">
        <v>0</v>
      </c>
      <c r="E307">
        <v>0</v>
      </c>
      <c r="F307">
        <v>0</v>
      </c>
      <c r="G307" s="16">
        <v>1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>
        <v>12</v>
      </c>
      <c r="AA307">
        <v>0</v>
      </c>
      <c r="AB307">
        <v>0</v>
      </c>
      <c r="AC307">
        <v>1</v>
      </c>
      <c r="AD307" s="20">
        <v>42369</v>
      </c>
      <c r="AE307" s="20">
        <v>41974</v>
      </c>
    </row>
    <row r="308" spans="1:31" x14ac:dyDescent="0.25">
      <c r="A308" s="12" t="s">
        <v>836</v>
      </c>
      <c r="B308" s="11">
        <v>0</v>
      </c>
      <c r="C308" s="13">
        <v>0</v>
      </c>
      <c r="D308" s="13">
        <v>0</v>
      </c>
      <c r="E308" s="28">
        <v>0</v>
      </c>
      <c r="F308">
        <v>0</v>
      </c>
      <c r="G308" s="13">
        <v>1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>
        <v>12</v>
      </c>
      <c r="AA308">
        <v>0</v>
      </c>
      <c r="AB308">
        <v>0</v>
      </c>
      <c r="AC308">
        <v>1</v>
      </c>
      <c r="AD308" s="19">
        <v>42369</v>
      </c>
      <c r="AE308" s="19">
        <v>41974</v>
      </c>
    </row>
    <row r="309" spans="1:31" x14ac:dyDescent="0.25">
      <c r="A309" s="15" t="s">
        <v>838</v>
      </c>
      <c r="B309" s="14">
        <v>0</v>
      </c>
      <c r="C309" s="16">
        <v>0</v>
      </c>
      <c r="D309" s="16">
        <v>0</v>
      </c>
      <c r="E309">
        <v>0</v>
      </c>
      <c r="F309">
        <v>0</v>
      </c>
      <c r="G309" s="16">
        <v>1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>
        <v>12</v>
      </c>
      <c r="AA309">
        <v>0</v>
      </c>
      <c r="AB309">
        <v>0</v>
      </c>
      <c r="AC309">
        <v>1</v>
      </c>
      <c r="AD309" s="20">
        <v>42369</v>
      </c>
      <c r="AE309" s="20">
        <v>41974</v>
      </c>
    </row>
    <row r="310" spans="1:31" x14ac:dyDescent="0.25">
      <c r="A310" s="12" t="s">
        <v>840</v>
      </c>
      <c r="B310" s="11">
        <v>0</v>
      </c>
      <c r="C310" s="13">
        <v>0</v>
      </c>
      <c r="D310" s="13">
        <v>0</v>
      </c>
      <c r="E310" s="28">
        <v>0</v>
      </c>
      <c r="F310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1</v>
      </c>
      <c r="L310" s="13">
        <v>0</v>
      </c>
      <c r="M310" s="13">
        <v>0</v>
      </c>
      <c r="N310" s="13">
        <v>0</v>
      </c>
      <c r="O310">
        <v>38</v>
      </c>
      <c r="AA310">
        <v>0</v>
      </c>
      <c r="AB310">
        <v>0</v>
      </c>
      <c r="AC310">
        <v>1</v>
      </c>
      <c r="AD310" s="19">
        <v>43190</v>
      </c>
      <c r="AE310" s="19">
        <v>41974</v>
      </c>
    </row>
    <row r="311" spans="1:31" x14ac:dyDescent="0.25">
      <c r="A311" s="15" t="s">
        <v>842</v>
      </c>
      <c r="B311" s="14">
        <v>0</v>
      </c>
      <c r="C311" s="16">
        <v>0</v>
      </c>
      <c r="D311" s="16">
        <v>0</v>
      </c>
      <c r="E311">
        <v>0</v>
      </c>
      <c r="F311">
        <v>0</v>
      </c>
      <c r="G311" s="16">
        <v>0</v>
      </c>
      <c r="H311" s="16">
        <v>0</v>
      </c>
      <c r="I311" s="16">
        <v>1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>
        <v>39</v>
      </c>
      <c r="AA311">
        <v>0</v>
      </c>
      <c r="AB311">
        <v>0</v>
      </c>
      <c r="AC311">
        <v>1</v>
      </c>
      <c r="AD311" s="20">
        <v>43190</v>
      </c>
      <c r="AE311" s="20">
        <v>41974</v>
      </c>
    </row>
    <row r="312" spans="1:31" x14ac:dyDescent="0.25">
      <c r="A312" s="12" t="s">
        <v>844</v>
      </c>
      <c r="B312" s="11">
        <v>0</v>
      </c>
      <c r="C312" s="13">
        <v>0</v>
      </c>
      <c r="D312" s="13">
        <v>0</v>
      </c>
      <c r="E312" s="28">
        <v>0</v>
      </c>
      <c r="F312">
        <v>0</v>
      </c>
      <c r="G312" s="13">
        <v>0</v>
      </c>
      <c r="H312" s="13">
        <v>0</v>
      </c>
      <c r="I312" s="13">
        <v>1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>
        <v>66</v>
      </c>
      <c r="AA312">
        <v>0</v>
      </c>
      <c r="AB312">
        <v>0</v>
      </c>
      <c r="AC312">
        <v>1</v>
      </c>
      <c r="AD312" s="19">
        <v>44012</v>
      </c>
      <c r="AE312" s="19">
        <v>41974</v>
      </c>
    </row>
    <row r="313" spans="1:31" x14ac:dyDescent="0.25">
      <c r="A313" s="15" t="s">
        <v>846</v>
      </c>
      <c r="B313" s="14">
        <v>0</v>
      </c>
      <c r="C313" s="16">
        <v>0</v>
      </c>
      <c r="D313" s="16">
        <v>0</v>
      </c>
      <c r="E313">
        <v>0</v>
      </c>
      <c r="F313">
        <v>1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1</v>
      </c>
      <c r="N313" s="16">
        <v>0</v>
      </c>
      <c r="O313">
        <v>113</v>
      </c>
      <c r="AA313">
        <v>1</v>
      </c>
      <c r="AB313">
        <v>0</v>
      </c>
      <c r="AC313">
        <v>0</v>
      </c>
      <c r="AD313" s="20">
        <v>55153</v>
      </c>
      <c r="AE313" s="20">
        <v>41974</v>
      </c>
    </row>
    <row r="314" spans="1:31" x14ac:dyDescent="0.25">
      <c r="A314" s="12" t="s">
        <v>848</v>
      </c>
      <c r="B314" s="11">
        <v>0</v>
      </c>
      <c r="C314" s="13">
        <v>0</v>
      </c>
      <c r="D314" s="13">
        <v>0</v>
      </c>
      <c r="E314" s="28">
        <v>0</v>
      </c>
      <c r="F314">
        <v>1</v>
      </c>
      <c r="G314" s="13">
        <v>0</v>
      </c>
      <c r="H314" s="13">
        <v>0</v>
      </c>
      <c r="I314" s="13">
        <v>0</v>
      </c>
      <c r="J314" s="13">
        <v>0</v>
      </c>
      <c r="K314" s="13">
        <v>1</v>
      </c>
      <c r="L314" s="13">
        <v>0</v>
      </c>
      <c r="M314" s="13">
        <v>0</v>
      </c>
      <c r="N314" s="13">
        <v>0</v>
      </c>
      <c r="O314">
        <v>113</v>
      </c>
      <c r="AA314">
        <v>1</v>
      </c>
      <c r="AB314">
        <v>0</v>
      </c>
      <c r="AC314">
        <v>0</v>
      </c>
      <c r="AD314" s="19">
        <v>55153</v>
      </c>
      <c r="AE314" s="19">
        <v>41974</v>
      </c>
    </row>
    <row r="315" spans="1:31" x14ac:dyDescent="0.25">
      <c r="A315" s="15" t="s">
        <v>850</v>
      </c>
      <c r="B315" s="14">
        <v>0</v>
      </c>
      <c r="C315" s="16">
        <v>0</v>
      </c>
      <c r="D315" s="16">
        <v>0</v>
      </c>
      <c r="E315">
        <v>0</v>
      </c>
      <c r="F315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1</v>
      </c>
      <c r="L315" s="16">
        <v>0</v>
      </c>
      <c r="M315" s="16">
        <v>0</v>
      </c>
      <c r="N315" s="16">
        <v>0</v>
      </c>
      <c r="O315">
        <v>57</v>
      </c>
      <c r="AA315">
        <v>0</v>
      </c>
      <c r="AB315">
        <v>0</v>
      </c>
      <c r="AC315">
        <v>1</v>
      </c>
      <c r="AD315" s="20">
        <v>43738</v>
      </c>
      <c r="AE315" s="20">
        <v>41974</v>
      </c>
    </row>
    <row r="316" spans="1:31" x14ac:dyDescent="0.25">
      <c r="A316" s="12" t="s">
        <v>852</v>
      </c>
      <c r="B316" s="11">
        <v>0</v>
      </c>
      <c r="C316" s="13">
        <v>0</v>
      </c>
      <c r="D316" s="13">
        <v>0</v>
      </c>
      <c r="E316" s="28">
        <v>0</v>
      </c>
      <c r="F316">
        <v>1</v>
      </c>
      <c r="G316" s="13">
        <v>0</v>
      </c>
      <c r="H316" s="13">
        <v>0</v>
      </c>
      <c r="I316" s="13">
        <v>0</v>
      </c>
      <c r="J316" s="13">
        <v>0</v>
      </c>
      <c r="K316" s="13">
        <v>1</v>
      </c>
      <c r="L316" s="13">
        <v>0</v>
      </c>
      <c r="M316" s="13">
        <v>0</v>
      </c>
      <c r="N316" s="13">
        <v>0</v>
      </c>
      <c r="O316">
        <v>113</v>
      </c>
      <c r="AA316">
        <v>1</v>
      </c>
      <c r="AB316">
        <v>0</v>
      </c>
      <c r="AC316">
        <v>0</v>
      </c>
      <c r="AD316" s="19">
        <v>55153</v>
      </c>
      <c r="AE316" s="19">
        <v>41974</v>
      </c>
    </row>
    <row r="317" spans="1:31" x14ac:dyDescent="0.25">
      <c r="A317" s="15" t="s">
        <v>854</v>
      </c>
      <c r="B317" s="14">
        <v>0</v>
      </c>
      <c r="C317" s="16">
        <v>0</v>
      </c>
      <c r="D317" s="16">
        <v>0</v>
      </c>
      <c r="E317">
        <v>0</v>
      </c>
      <c r="F317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1</v>
      </c>
      <c r="N317" s="16">
        <v>0</v>
      </c>
      <c r="O317">
        <v>87</v>
      </c>
      <c r="AA317">
        <v>0</v>
      </c>
      <c r="AB317">
        <v>0</v>
      </c>
      <c r="AC317">
        <v>1</v>
      </c>
      <c r="AD317" s="20">
        <v>44651</v>
      </c>
      <c r="AE317" s="20">
        <v>41974</v>
      </c>
    </row>
    <row r="318" spans="1:31" x14ac:dyDescent="0.25">
      <c r="A318" s="12" t="s">
        <v>856</v>
      </c>
      <c r="B318" s="11">
        <v>0</v>
      </c>
      <c r="C318" s="13">
        <v>0</v>
      </c>
      <c r="D318" s="13">
        <v>0</v>
      </c>
      <c r="E318" s="28">
        <v>0</v>
      </c>
      <c r="F318">
        <v>1</v>
      </c>
      <c r="G318" s="13">
        <v>0</v>
      </c>
      <c r="H318" s="13">
        <v>0</v>
      </c>
      <c r="I318" s="13">
        <v>0</v>
      </c>
      <c r="J318" s="13">
        <v>0</v>
      </c>
      <c r="K318" s="13">
        <v>1</v>
      </c>
      <c r="L318" s="13">
        <v>0</v>
      </c>
      <c r="M318" s="13">
        <v>0</v>
      </c>
      <c r="N318" s="13">
        <v>0</v>
      </c>
      <c r="O318">
        <v>113</v>
      </c>
      <c r="AA318">
        <v>1</v>
      </c>
      <c r="AB318">
        <v>0</v>
      </c>
      <c r="AC318">
        <v>0</v>
      </c>
      <c r="AD318" s="19">
        <v>55153</v>
      </c>
      <c r="AE318" s="19">
        <v>41974</v>
      </c>
    </row>
    <row r="319" spans="1:31" x14ac:dyDescent="0.25">
      <c r="A319" s="15" t="s">
        <v>858</v>
      </c>
      <c r="B319" s="14">
        <v>0</v>
      </c>
      <c r="C319" s="16">
        <v>0</v>
      </c>
      <c r="D319" s="16">
        <v>0</v>
      </c>
      <c r="E319">
        <v>0</v>
      </c>
      <c r="F319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1</v>
      </c>
      <c r="L319" s="16">
        <v>0</v>
      </c>
      <c r="M319" s="16">
        <v>0</v>
      </c>
      <c r="N319" s="16">
        <v>0</v>
      </c>
      <c r="O319">
        <v>15</v>
      </c>
      <c r="AA319">
        <v>0</v>
      </c>
      <c r="AB319">
        <v>0</v>
      </c>
      <c r="AC319">
        <v>1</v>
      </c>
      <c r="AD319" s="20">
        <v>42460</v>
      </c>
      <c r="AE319" s="20">
        <v>41974</v>
      </c>
    </row>
    <row r="320" spans="1:31" x14ac:dyDescent="0.25">
      <c r="A320" s="12" t="s">
        <v>860</v>
      </c>
      <c r="B320" s="11">
        <v>0</v>
      </c>
      <c r="C320" s="13">
        <v>0</v>
      </c>
      <c r="D320" s="13">
        <v>0</v>
      </c>
      <c r="E320" s="28">
        <v>0</v>
      </c>
      <c r="F320">
        <v>1</v>
      </c>
      <c r="G320" s="13">
        <v>1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>
        <v>113</v>
      </c>
      <c r="AA320">
        <v>1</v>
      </c>
      <c r="AB320">
        <v>0</v>
      </c>
      <c r="AC320">
        <v>0</v>
      </c>
      <c r="AD320" s="19">
        <v>55153</v>
      </c>
      <c r="AE320" s="19">
        <v>41974</v>
      </c>
    </row>
    <row r="321" spans="1:31" x14ac:dyDescent="0.25">
      <c r="A321" s="15" t="s">
        <v>862</v>
      </c>
      <c r="B321" s="14">
        <v>1</v>
      </c>
      <c r="C321" s="16">
        <v>1</v>
      </c>
      <c r="D321" s="16">
        <v>1</v>
      </c>
      <c r="E321">
        <v>1</v>
      </c>
      <c r="F321">
        <v>0</v>
      </c>
      <c r="G321" s="16">
        <v>0</v>
      </c>
      <c r="H321" s="16">
        <v>1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>
        <v>109</v>
      </c>
      <c r="AA321">
        <v>1</v>
      </c>
      <c r="AB321">
        <v>0</v>
      </c>
      <c r="AC321">
        <v>0</v>
      </c>
      <c r="AD321" s="20">
        <v>55153</v>
      </c>
      <c r="AE321" s="20">
        <v>42095</v>
      </c>
    </row>
    <row r="322" spans="1:31" x14ac:dyDescent="0.25">
      <c r="A322" s="12" t="s">
        <v>864</v>
      </c>
      <c r="B322" s="11">
        <v>1</v>
      </c>
      <c r="C322" s="13">
        <v>1</v>
      </c>
      <c r="D322" s="13">
        <v>1</v>
      </c>
      <c r="E322" s="28">
        <v>0</v>
      </c>
      <c r="F322">
        <v>0</v>
      </c>
      <c r="G322" s="13">
        <v>0</v>
      </c>
      <c r="H322" s="13">
        <v>0</v>
      </c>
      <c r="I322" s="13">
        <v>0</v>
      </c>
      <c r="J322" s="13">
        <v>1</v>
      </c>
      <c r="K322" s="13">
        <v>0</v>
      </c>
      <c r="L322" s="13">
        <v>0</v>
      </c>
      <c r="M322" s="13">
        <v>0</v>
      </c>
      <c r="N322" s="13">
        <v>0</v>
      </c>
      <c r="O322">
        <v>62</v>
      </c>
      <c r="AA322">
        <v>0</v>
      </c>
      <c r="AB322">
        <v>0</v>
      </c>
      <c r="AC322">
        <v>1</v>
      </c>
      <c r="AD322" s="19">
        <v>44012</v>
      </c>
      <c r="AE322" s="19">
        <v>42064</v>
      </c>
    </row>
    <row r="323" spans="1:31" x14ac:dyDescent="0.25">
      <c r="A323" s="15" t="s">
        <v>866</v>
      </c>
      <c r="B323" s="14">
        <v>0</v>
      </c>
      <c r="C323" s="16">
        <v>0</v>
      </c>
      <c r="D323" s="16">
        <v>0</v>
      </c>
      <c r="E323">
        <v>0</v>
      </c>
      <c r="F323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1</v>
      </c>
      <c r="L323" s="16">
        <v>0</v>
      </c>
      <c r="M323" s="16">
        <v>0</v>
      </c>
      <c r="N323" s="16">
        <v>0</v>
      </c>
      <c r="O323">
        <v>73</v>
      </c>
      <c r="AA323">
        <v>0</v>
      </c>
      <c r="AB323">
        <v>0</v>
      </c>
      <c r="AC323">
        <v>1</v>
      </c>
      <c r="AD323" s="20">
        <v>44286</v>
      </c>
      <c r="AE323" s="20">
        <v>41974</v>
      </c>
    </row>
    <row r="324" spans="1:31" x14ac:dyDescent="0.25">
      <c r="A324" s="12" t="s">
        <v>868</v>
      </c>
      <c r="B324" s="11">
        <v>0</v>
      </c>
      <c r="C324" s="13">
        <v>0</v>
      </c>
      <c r="D324" s="13">
        <v>0</v>
      </c>
      <c r="E324" s="28">
        <v>0</v>
      </c>
      <c r="F324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1</v>
      </c>
      <c r="L324" s="13">
        <v>0</v>
      </c>
      <c r="M324" s="13">
        <v>0</v>
      </c>
      <c r="N324" s="13">
        <v>0</v>
      </c>
      <c r="O324">
        <v>73</v>
      </c>
      <c r="AA324">
        <v>0</v>
      </c>
      <c r="AB324">
        <v>0</v>
      </c>
      <c r="AC324">
        <v>1</v>
      </c>
      <c r="AD324" s="19">
        <v>44286</v>
      </c>
      <c r="AE324" s="19">
        <v>41974</v>
      </c>
    </row>
    <row r="325" spans="1:31" x14ac:dyDescent="0.25">
      <c r="A325" s="15" t="s">
        <v>870</v>
      </c>
      <c r="B325" s="14">
        <v>0</v>
      </c>
      <c r="C325" s="16">
        <v>0</v>
      </c>
      <c r="D325" s="16">
        <v>0</v>
      </c>
      <c r="E325">
        <v>0</v>
      </c>
      <c r="F325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1</v>
      </c>
      <c r="L325" s="16">
        <v>0</v>
      </c>
      <c r="M325" s="16">
        <v>0</v>
      </c>
      <c r="N325" s="16">
        <v>0</v>
      </c>
      <c r="O325">
        <v>73</v>
      </c>
      <c r="AA325">
        <v>0</v>
      </c>
      <c r="AB325">
        <v>0</v>
      </c>
      <c r="AC325">
        <v>1</v>
      </c>
      <c r="AD325" s="20">
        <v>44286</v>
      </c>
      <c r="AE325" s="20">
        <v>41974</v>
      </c>
    </row>
    <row r="326" spans="1:31" x14ac:dyDescent="0.25">
      <c r="A326" s="12" t="s">
        <v>872</v>
      </c>
      <c r="B326" s="11">
        <v>0</v>
      </c>
      <c r="C326" s="13">
        <v>0</v>
      </c>
      <c r="D326" s="13">
        <v>0</v>
      </c>
      <c r="E326" s="28">
        <v>0</v>
      </c>
      <c r="F326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1</v>
      </c>
      <c r="L326" s="13">
        <v>0</v>
      </c>
      <c r="M326" s="13">
        <v>0</v>
      </c>
      <c r="N326" s="13">
        <v>0</v>
      </c>
      <c r="O326">
        <v>73</v>
      </c>
      <c r="AA326">
        <v>0</v>
      </c>
      <c r="AB326">
        <v>0</v>
      </c>
      <c r="AC326">
        <v>1</v>
      </c>
      <c r="AD326" s="19">
        <v>44286</v>
      </c>
      <c r="AE326" s="19">
        <v>41974</v>
      </c>
    </row>
    <row r="327" spans="1:31" x14ac:dyDescent="0.25">
      <c r="A327" s="15" t="s">
        <v>874</v>
      </c>
      <c r="B327" s="14">
        <v>0</v>
      </c>
      <c r="C327" s="16">
        <v>0</v>
      </c>
      <c r="D327" s="16">
        <v>0</v>
      </c>
      <c r="E327">
        <v>1</v>
      </c>
      <c r="F327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1</v>
      </c>
      <c r="N327" s="16">
        <v>0</v>
      </c>
      <c r="O327">
        <v>107</v>
      </c>
      <c r="AA327">
        <v>1</v>
      </c>
      <c r="AB327">
        <v>0</v>
      </c>
      <c r="AC327">
        <v>0</v>
      </c>
      <c r="AD327" s="20">
        <v>55153</v>
      </c>
      <c r="AE327" s="20">
        <v>42156</v>
      </c>
    </row>
    <row r="328" spans="1:31" x14ac:dyDescent="0.25">
      <c r="A328" s="12" t="s">
        <v>876</v>
      </c>
      <c r="B328" s="11">
        <v>0</v>
      </c>
      <c r="C328" s="13">
        <v>0</v>
      </c>
      <c r="D328" s="13">
        <v>0</v>
      </c>
      <c r="E328" s="28">
        <v>1</v>
      </c>
      <c r="F328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1</v>
      </c>
      <c r="N328" s="13">
        <v>0</v>
      </c>
      <c r="O328">
        <v>107</v>
      </c>
      <c r="AA328">
        <v>1</v>
      </c>
      <c r="AB328">
        <v>0</v>
      </c>
      <c r="AC328">
        <v>0</v>
      </c>
      <c r="AD328" s="19">
        <v>55153</v>
      </c>
      <c r="AE328" s="19">
        <v>42156</v>
      </c>
    </row>
    <row r="329" spans="1:31" x14ac:dyDescent="0.25">
      <c r="A329" s="15" t="s">
        <v>878</v>
      </c>
      <c r="B329" s="14">
        <v>0</v>
      </c>
      <c r="C329" s="16">
        <v>0</v>
      </c>
      <c r="D329" s="16">
        <v>0</v>
      </c>
      <c r="E329">
        <v>1</v>
      </c>
      <c r="F329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1</v>
      </c>
      <c r="N329" s="16">
        <v>0</v>
      </c>
      <c r="O329">
        <v>107</v>
      </c>
      <c r="AA329">
        <v>1</v>
      </c>
      <c r="AB329">
        <v>0</v>
      </c>
      <c r="AC329">
        <v>0</v>
      </c>
      <c r="AD329" s="20">
        <v>55153</v>
      </c>
      <c r="AE329" s="20">
        <v>42156</v>
      </c>
    </row>
    <row r="330" spans="1:31" x14ac:dyDescent="0.25">
      <c r="A330" s="12" t="s">
        <v>33</v>
      </c>
      <c r="B330" s="11">
        <v>1</v>
      </c>
      <c r="C330" s="13">
        <v>1</v>
      </c>
      <c r="D330" s="13">
        <v>1</v>
      </c>
      <c r="E330" s="28">
        <v>1</v>
      </c>
      <c r="F330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1</v>
      </c>
      <c r="O330">
        <v>98</v>
      </c>
      <c r="AA330">
        <v>0</v>
      </c>
      <c r="AB330">
        <v>0</v>
      </c>
      <c r="AC330">
        <v>1</v>
      </c>
      <c r="AD330" s="19">
        <v>55153</v>
      </c>
      <c r="AE330" s="19">
        <v>42095</v>
      </c>
    </row>
    <row r="331" spans="1:31" x14ac:dyDescent="0.25">
      <c r="A331" s="15" t="s">
        <v>881</v>
      </c>
      <c r="B331" s="14">
        <v>0</v>
      </c>
      <c r="C331" s="16">
        <v>0</v>
      </c>
      <c r="D331" s="16">
        <v>0</v>
      </c>
      <c r="E331">
        <v>0</v>
      </c>
      <c r="F331">
        <v>0</v>
      </c>
      <c r="G331" s="16">
        <v>1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>
        <v>44</v>
      </c>
      <c r="AA331">
        <v>0</v>
      </c>
      <c r="AB331">
        <v>0</v>
      </c>
      <c r="AC331">
        <v>1</v>
      </c>
      <c r="AD331" s="20">
        <v>43373</v>
      </c>
      <c r="AE331" s="20">
        <v>41974</v>
      </c>
    </row>
    <row r="332" spans="1:31" x14ac:dyDescent="0.25">
      <c r="A332" s="12" t="s">
        <v>883</v>
      </c>
      <c r="B332" s="11">
        <v>0</v>
      </c>
      <c r="C332" s="13">
        <v>0</v>
      </c>
      <c r="D332" s="13">
        <v>0</v>
      </c>
      <c r="E332" s="28">
        <v>0</v>
      </c>
      <c r="F332">
        <v>0</v>
      </c>
      <c r="G332" s="13">
        <v>1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>
        <v>44</v>
      </c>
      <c r="AA332">
        <v>0</v>
      </c>
      <c r="AB332">
        <v>0</v>
      </c>
      <c r="AC332">
        <v>1</v>
      </c>
      <c r="AD332" s="19">
        <v>43373</v>
      </c>
      <c r="AE332" s="19">
        <v>41974</v>
      </c>
    </row>
    <row r="333" spans="1:31" x14ac:dyDescent="0.25">
      <c r="A333" s="15" t="s">
        <v>885</v>
      </c>
      <c r="B333" s="14">
        <v>0</v>
      </c>
      <c r="C333" s="16">
        <v>0</v>
      </c>
      <c r="D333" s="16">
        <v>0</v>
      </c>
      <c r="E333">
        <v>0</v>
      </c>
      <c r="F333">
        <v>1</v>
      </c>
      <c r="G333" s="16">
        <v>1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>
        <v>113</v>
      </c>
      <c r="AA333">
        <v>1</v>
      </c>
      <c r="AB333">
        <v>0</v>
      </c>
      <c r="AC333">
        <v>0</v>
      </c>
      <c r="AD333" s="20">
        <v>55153</v>
      </c>
      <c r="AE333" s="20">
        <v>41974</v>
      </c>
    </row>
    <row r="334" spans="1:31" x14ac:dyDescent="0.25">
      <c r="A334" s="12" t="s">
        <v>887</v>
      </c>
      <c r="B334" s="11">
        <v>0</v>
      </c>
      <c r="C334" s="13">
        <v>0</v>
      </c>
      <c r="D334" s="13">
        <v>0</v>
      </c>
      <c r="E334" s="28">
        <v>0</v>
      </c>
      <c r="F334">
        <v>1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1</v>
      </c>
      <c r="N334" s="13">
        <v>0</v>
      </c>
      <c r="O334">
        <v>98</v>
      </c>
      <c r="AA334">
        <v>1</v>
      </c>
      <c r="AB334">
        <v>0</v>
      </c>
      <c r="AC334">
        <v>0</v>
      </c>
      <c r="AD334" s="19">
        <v>55153</v>
      </c>
      <c r="AE334" s="19">
        <v>42430</v>
      </c>
    </row>
    <row r="335" spans="1:31" x14ac:dyDescent="0.25">
      <c r="A335" s="15" t="s">
        <v>889</v>
      </c>
      <c r="B335" s="14">
        <v>1</v>
      </c>
      <c r="C335" s="16">
        <v>1</v>
      </c>
      <c r="D335" s="16">
        <v>1</v>
      </c>
      <c r="E335">
        <v>1</v>
      </c>
      <c r="F335">
        <v>0</v>
      </c>
      <c r="G335" s="16">
        <v>0</v>
      </c>
      <c r="H335" s="16">
        <v>1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>
        <v>103</v>
      </c>
      <c r="AA335">
        <v>1</v>
      </c>
      <c r="AB335">
        <v>0</v>
      </c>
      <c r="AC335">
        <v>0</v>
      </c>
      <c r="AD335" s="20">
        <v>55153</v>
      </c>
      <c r="AE335" s="20">
        <v>42278</v>
      </c>
    </row>
    <row r="336" spans="1:31" x14ac:dyDescent="0.25">
      <c r="A336" s="12" t="s">
        <v>891</v>
      </c>
      <c r="B336" s="11">
        <v>1</v>
      </c>
      <c r="C336" s="13">
        <v>1</v>
      </c>
      <c r="D336" s="13">
        <v>1</v>
      </c>
      <c r="E336" s="28">
        <v>1</v>
      </c>
      <c r="F336">
        <v>0</v>
      </c>
      <c r="G336" s="13">
        <v>0</v>
      </c>
      <c r="H336" s="13">
        <v>0</v>
      </c>
      <c r="I336" s="13">
        <v>0</v>
      </c>
      <c r="J336" s="13">
        <v>1</v>
      </c>
      <c r="K336" s="13">
        <v>0</v>
      </c>
      <c r="L336" s="13">
        <v>0</v>
      </c>
      <c r="M336" s="13">
        <v>0</v>
      </c>
      <c r="N336" s="13">
        <v>0</v>
      </c>
      <c r="O336">
        <v>107</v>
      </c>
      <c r="AA336">
        <v>1</v>
      </c>
      <c r="AB336">
        <v>0</v>
      </c>
      <c r="AC336">
        <v>0</v>
      </c>
      <c r="AD336" s="19">
        <v>55153</v>
      </c>
      <c r="AE336" s="19">
        <v>42156</v>
      </c>
    </row>
    <row r="337" spans="1:31" x14ac:dyDescent="0.25">
      <c r="A337" s="15" t="s">
        <v>893</v>
      </c>
      <c r="B337" s="14">
        <v>0</v>
      </c>
      <c r="C337" s="16">
        <v>0</v>
      </c>
      <c r="D337" s="16">
        <v>0</v>
      </c>
      <c r="E337">
        <v>0</v>
      </c>
      <c r="F337">
        <v>1</v>
      </c>
      <c r="G337" s="16">
        <v>0</v>
      </c>
      <c r="H337" s="16">
        <v>0</v>
      </c>
      <c r="I337" s="16">
        <v>1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>
        <v>95</v>
      </c>
      <c r="AA337">
        <v>1</v>
      </c>
      <c r="AB337">
        <v>0</v>
      </c>
      <c r="AC337">
        <v>0</v>
      </c>
      <c r="AD337" s="20">
        <v>55153</v>
      </c>
      <c r="AE337" s="20">
        <v>42522</v>
      </c>
    </row>
    <row r="338" spans="1:31" x14ac:dyDescent="0.25">
      <c r="A338" s="12" t="s">
        <v>895</v>
      </c>
      <c r="B338" s="11">
        <v>0</v>
      </c>
      <c r="C338" s="13">
        <v>0</v>
      </c>
      <c r="D338" s="13">
        <v>0</v>
      </c>
      <c r="E338" s="28">
        <v>0</v>
      </c>
      <c r="F338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1</v>
      </c>
      <c r="L338" s="13">
        <v>0</v>
      </c>
      <c r="M338" s="13">
        <v>0</v>
      </c>
      <c r="N338" s="13">
        <v>0</v>
      </c>
      <c r="O338">
        <v>74</v>
      </c>
      <c r="AA338">
        <v>0</v>
      </c>
      <c r="AB338">
        <v>0</v>
      </c>
      <c r="AC338">
        <v>1</v>
      </c>
      <c r="AD338" s="19">
        <v>44377</v>
      </c>
      <c r="AE338" s="19">
        <v>42095</v>
      </c>
    </row>
    <row r="339" spans="1:31" x14ac:dyDescent="0.25">
      <c r="A339" s="15" t="s">
        <v>897</v>
      </c>
      <c r="B339" s="14">
        <v>0</v>
      </c>
      <c r="C339" s="16">
        <v>0</v>
      </c>
      <c r="D339" s="16">
        <v>0</v>
      </c>
      <c r="E339">
        <v>0</v>
      </c>
      <c r="F339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1</v>
      </c>
      <c r="L339" s="16">
        <v>0</v>
      </c>
      <c r="M339" s="16">
        <v>0</v>
      </c>
      <c r="N339" s="16">
        <v>0</v>
      </c>
      <c r="O339">
        <v>74</v>
      </c>
      <c r="AA339">
        <v>0</v>
      </c>
      <c r="AB339">
        <v>0</v>
      </c>
      <c r="AC339">
        <v>1</v>
      </c>
      <c r="AD339" s="20">
        <v>44377</v>
      </c>
      <c r="AE339" s="20">
        <v>42095</v>
      </c>
    </row>
    <row r="340" spans="1:31" x14ac:dyDescent="0.25">
      <c r="A340" s="12" t="s">
        <v>899</v>
      </c>
      <c r="B340" s="11">
        <v>0</v>
      </c>
      <c r="C340" s="13">
        <v>0</v>
      </c>
      <c r="D340" s="13">
        <v>0</v>
      </c>
      <c r="E340" s="28">
        <v>0</v>
      </c>
      <c r="F340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1</v>
      </c>
      <c r="L340" s="13">
        <v>0</v>
      </c>
      <c r="M340" s="13">
        <v>0</v>
      </c>
      <c r="N340" s="13">
        <v>0</v>
      </c>
      <c r="O340">
        <v>19</v>
      </c>
      <c r="AA340">
        <v>0</v>
      </c>
      <c r="AB340">
        <v>0</v>
      </c>
      <c r="AC340">
        <v>1</v>
      </c>
      <c r="AD340" s="19">
        <v>43465</v>
      </c>
      <c r="AE340" s="19">
        <v>42795</v>
      </c>
    </row>
    <row r="341" spans="1:31" x14ac:dyDescent="0.25">
      <c r="A341" s="15" t="s">
        <v>901</v>
      </c>
      <c r="B341" s="14">
        <v>1</v>
      </c>
      <c r="C341" s="16">
        <v>1</v>
      </c>
      <c r="D341" s="16">
        <v>1</v>
      </c>
      <c r="E341">
        <v>1</v>
      </c>
      <c r="F341">
        <v>0</v>
      </c>
      <c r="G341" s="16">
        <v>0</v>
      </c>
      <c r="H341" s="16">
        <v>1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>
        <v>100</v>
      </c>
      <c r="AA341">
        <v>1</v>
      </c>
      <c r="AB341">
        <v>0</v>
      </c>
      <c r="AC341">
        <v>0</v>
      </c>
      <c r="AD341" s="20">
        <v>55153</v>
      </c>
      <c r="AE341" s="20">
        <v>42370</v>
      </c>
    </row>
    <row r="342" spans="1:31" x14ac:dyDescent="0.25">
      <c r="A342" s="12" t="s">
        <v>903</v>
      </c>
      <c r="B342" s="11">
        <v>0</v>
      </c>
      <c r="C342" s="13">
        <v>0</v>
      </c>
      <c r="D342" s="13">
        <v>0</v>
      </c>
      <c r="E342" s="28">
        <v>1</v>
      </c>
      <c r="F342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1</v>
      </c>
      <c r="L342" s="13">
        <v>0</v>
      </c>
      <c r="M342" s="13">
        <v>0</v>
      </c>
      <c r="N342" s="13">
        <v>0</v>
      </c>
      <c r="O342">
        <v>98</v>
      </c>
      <c r="AA342">
        <v>1</v>
      </c>
      <c r="AB342">
        <v>0</v>
      </c>
      <c r="AC342">
        <v>0</v>
      </c>
      <c r="AD342" s="19">
        <v>55153</v>
      </c>
      <c r="AE342" s="19">
        <v>42430</v>
      </c>
    </row>
    <row r="343" spans="1:31" x14ac:dyDescent="0.25">
      <c r="A343" s="15" t="s">
        <v>905</v>
      </c>
      <c r="B343" s="14">
        <v>0</v>
      </c>
      <c r="C343" s="16">
        <v>0</v>
      </c>
      <c r="D343" s="16">
        <v>0</v>
      </c>
      <c r="E343">
        <v>1</v>
      </c>
      <c r="F343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1</v>
      </c>
      <c r="L343" s="16">
        <v>0</v>
      </c>
      <c r="M343" s="16">
        <v>0</v>
      </c>
      <c r="N343" s="16">
        <v>0</v>
      </c>
      <c r="O343">
        <v>107</v>
      </c>
      <c r="AA343">
        <v>1</v>
      </c>
      <c r="AB343">
        <v>0</v>
      </c>
      <c r="AC343">
        <v>0</v>
      </c>
      <c r="AD343" s="20">
        <v>55153</v>
      </c>
      <c r="AE343" s="20">
        <v>42156</v>
      </c>
    </row>
    <row r="344" spans="1:31" x14ac:dyDescent="0.25">
      <c r="A344" s="12" t="s">
        <v>907</v>
      </c>
      <c r="B344" s="11">
        <v>0</v>
      </c>
      <c r="C344" s="13">
        <v>0</v>
      </c>
      <c r="D344" s="13">
        <v>0</v>
      </c>
      <c r="E344" s="28">
        <v>0</v>
      </c>
      <c r="F34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1</v>
      </c>
      <c r="L344" s="13">
        <v>0</v>
      </c>
      <c r="M344" s="13">
        <v>0</v>
      </c>
      <c r="N344" s="13">
        <v>0</v>
      </c>
      <c r="O344">
        <v>103</v>
      </c>
      <c r="AA344">
        <v>1</v>
      </c>
      <c r="AB344">
        <v>0</v>
      </c>
      <c r="AC344">
        <v>0</v>
      </c>
      <c r="AD344" s="19">
        <v>55153</v>
      </c>
      <c r="AE344" s="19">
        <v>42278</v>
      </c>
    </row>
    <row r="345" spans="1:31" x14ac:dyDescent="0.25">
      <c r="A345" s="15" t="s">
        <v>909</v>
      </c>
      <c r="B345" s="14">
        <v>0</v>
      </c>
      <c r="C345" s="16">
        <v>0</v>
      </c>
      <c r="D345" s="16">
        <v>0</v>
      </c>
      <c r="E345">
        <v>1</v>
      </c>
      <c r="F345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1</v>
      </c>
      <c r="L345" s="16">
        <v>0</v>
      </c>
      <c r="M345" s="16">
        <v>0</v>
      </c>
      <c r="N345" s="16">
        <v>0</v>
      </c>
      <c r="O345">
        <v>107</v>
      </c>
      <c r="AA345">
        <v>1</v>
      </c>
      <c r="AB345">
        <v>0</v>
      </c>
      <c r="AC345">
        <v>0</v>
      </c>
      <c r="AD345" s="20">
        <v>55153</v>
      </c>
      <c r="AE345" s="20">
        <v>42156</v>
      </c>
    </row>
    <row r="346" spans="1:31" x14ac:dyDescent="0.25">
      <c r="A346" s="12" t="s">
        <v>911</v>
      </c>
      <c r="B346" s="11">
        <v>0</v>
      </c>
      <c r="C346" s="13">
        <v>0</v>
      </c>
      <c r="D346" s="13">
        <v>0</v>
      </c>
      <c r="E346" s="28">
        <v>1</v>
      </c>
      <c r="F346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1</v>
      </c>
      <c r="L346" s="13">
        <v>0</v>
      </c>
      <c r="M346" s="13">
        <v>0</v>
      </c>
      <c r="N346" s="13">
        <v>0</v>
      </c>
      <c r="O346">
        <v>107</v>
      </c>
      <c r="AA346">
        <v>1</v>
      </c>
      <c r="AB346">
        <v>0</v>
      </c>
      <c r="AC346">
        <v>0</v>
      </c>
      <c r="AD346" s="19">
        <v>55153</v>
      </c>
      <c r="AE346" s="19">
        <v>42156</v>
      </c>
    </row>
    <row r="347" spans="1:31" x14ac:dyDescent="0.25">
      <c r="A347" s="15" t="s">
        <v>913</v>
      </c>
      <c r="B347" s="14">
        <v>0</v>
      </c>
      <c r="C347" s="16">
        <v>0</v>
      </c>
      <c r="D347" s="16">
        <v>0</v>
      </c>
      <c r="E347">
        <v>0</v>
      </c>
      <c r="F347">
        <v>1</v>
      </c>
      <c r="G347" s="16">
        <v>0</v>
      </c>
      <c r="H347" s="16">
        <v>0</v>
      </c>
      <c r="I347" s="16">
        <v>0</v>
      </c>
      <c r="J347" s="16">
        <v>0</v>
      </c>
      <c r="K347" s="16">
        <v>1</v>
      </c>
      <c r="L347" s="16">
        <v>0</v>
      </c>
      <c r="M347" s="16">
        <v>0</v>
      </c>
      <c r="N347" s="16">
        <v>0</v>
      </c>
      <c r="O347">
        <v>107</v>
      </c>
      <c r="AA347">
        <v>1</v>
      </c>
      <c r="AB347">
        <v>0</v>
      </c>
      <c r="AC347">
        <v>0</v>
      </c>
      <c r="AD347" s="20">
        <v>55153</v>
      </c>
      <c r="AE347" s="20">
        <v>42156</v>
      </c>
    </row>
    <row r="348" spans="1:31" x14ac:dyDescent="0.25">
      <c r="A348" s="12" t="s">
        <v>915</v>
      </c>
      <c r="B348" s="11">
        <v>0</v>
      </c>
      <c r="C348" s="13">
        <v>0</v>
      </c>
      <c r="D348" s="13">
        <v>0</v>
      </c>
      <c r="E348" s="28">
        <v>0</v>
      </c>
      <c r="F348">
        <v>1</v>
      </c>
      <c r="G348" s="13">
        <v>0</v>
      </c>
      <c r="H348" s="13">
        <v>0</v>
      </c>
      <c r="I348" s="13">
        <v>1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>
        <v>104</v>
      </c>
      <c r="AA348">
        <v>1</v>
      </c>
      <c r="AB348">
        <v>0</v>
      </c>
      <c r="AC348">
        <v>0</v>
      </c>
      <c r="AD348" s="19">
        <v>55153</v>
      </c>
      <c r="AE348" s="19">
        <v>42248</v>
      </c>
    </row>
    <row r="349" spans="1:31" x14ac:dyDescent="0.25">
      <c r="A349" s="15" t="s">
        <v>917</v>
      </c>
      <c r="B349" s="14">
        <v>0</v>
      </c>
      <c r="C349" s="16">
        <v>0</v>
      </c>
      <c r="D349" s="16">
        <v>0</v>
      </c>
      <c r="E349">
        <v>0</v>
      </c>
      <c r="F349">
        <v>0</v>
      </c>
      <c r="G349" s="16">
        <v>0</v>
      </c>
      <c r="H349" s="16">
        <v>0</v>
      </c>
      <c r="I349" s="16">
        <v>1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>
        <v>63</v>
      </c>
      <c r="AA349">
        <v>0</v>
      </c>
      <c r="AB349">
        <v>0</v>
      </c>
      <c r="AC349">
        <v>1</v>
      </c>
      <c r="AD349" s="20">
        <v>44104</v>
      </c>
      <c r="AE349" s="20">
        <v>42156</v>
      </c>
    </row>
    <row r="350" spans="1:31" x14ac:dyDescent="0.25">
      <c r="A350" s="12" t="s">
        <v>919</v>
      </c>
      <c r="B350" s="11">
        <v>0</v>
      </c>
      <c r="C350" s="13">
        <v>0</v>
      </c>
      <c r="D350" s="13">
        <v>0</v>
      </c>
      <c r="E350" s="28">
        <v>0</v>
      </c>
      <c r="F350">
        <v>1</v>
      </c>
      <c r="G350" s="13">
        <v>0</v>
      </c>
      <c r="H350" s="13">
        <v>0</v>
      </c>
      <c r="I350" s="13">
        <v>1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>
        <v>107</v>
      </c>
      <c r="AA350">
        <v>1</v>
      </c>
      <c r="AB350">
        <v>0</v>
      </c>
      <c r="AC350">
        <v>0</v>
      </c>
      <c r="AD350" s="19">
        <v>55153</v>
      </c>
      <c r="AE350" s="19">
        <v>42156</v>
      </c>
    </row>
    <row r="351" spans="1:31" x14ac:dyDescent="0.25">
      <c r="A351" s="15" t="s">
        <v>921</v>
      </c>
      <c r="B351" s="14">
        <v>0</v>
      </c>
      <c r="C351" s="16">
        <v>0</v>
      </c>
      <c r="D351" s="16">
        <v>0</v>
      </c>
      <c r="E351">
        <v>0</v>
      </c>
      <c r="F351">
        <v>1</v>
      </c>
      <c r="G351" s="16">
        <v>0</v>
      </c>
      <c r="H351" s="16">
        <v>0</v>
      </c>
      <c r="I351" s="16">
        <v>1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>
        <v>104</v>
      </c>
      <c r="AA351">
        <v>1</v>
      </c>
      <c r="AB351">
        <v>0</v>
      </c>
      <c r="AC351">
        <v>0</v>
      </c>
      <c r="AD351" s="20">
        <v>55153</v>
      </c>
      <c r="AE351" s="20">
        <v>42248</v>
      </c>
    </row>
    <row r="352" spans="1:31" x14ac:dyDescent="0.25">
      <c r="A352" s="12" t="s">
        <v>237</v>
      </c>
      <c r="B352" s="11">
        <v>0</v>
      </c>
      <c r="C352" s="13">
        <v>0</v>
      </c>
      <c r="D352" s="13">
        <v>0</v>
      </c>
      <c r="E352" s="28">
        <v>0</v>
      </c>
      <c r="F352">
        <v>1</v>
      </c>
      <c r="G352" s="13">
        <v>0</v>
      </c>
      <c r="H352" s="13">
        <v>0</v>
      </c>
      <c r="I352" s="13">
        <v>1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>
        <v>105</v>
      </c>
      <c r="AA352">
        <v>0</v>
      </c>
      <c r="AB352">
        <v>0</v>
      </c>
      <c r="AC352">
        <v>1</v>
      </c>
      <c r="AD352" s="19">
        <v>45382</v>
      </c>
      <c r="AE352" s="19">
        <v>42156</v>
      </c>
    </row>
    <row r="353" spans="1:31" x14ac:dyDescent="0.25">
      <c r="A353" s="15" t="s">
        <v>923</v>
      </c>
      <c r="B353" s="14">
        <v>0</v>
      </c>
      <c r="C353" s="16">
        <v>0</v>
      </c>
      <c r="D353" s="16">
        <v>0</v>
      </c>
      <c r="E353">
        <v>0</v>
      </c>
      <c r="F353">
        <v>1</v>
      </c>
      <c r="G353" s="16">
        <v>1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>
        <v>97</v>
      </c>
      <c r="AA353">
        <v>1</v>
      </c>
      <c r="AB353">
        <v>0</v>
      </c>
      <c r="AC353">
        <v>0</v>
      </c>
      <c r="AD353" s="20">
        <v>55153</v>
      </c>
      <c r="AE353" s="20">
        <v>42461</v>
      </c>
    </row>
    <row r="354" spans="1:31" x14ac:dyDescent="0.25">
      <c r="A354" s="12" t="s">
        <v>925</v>
      </c>
      <c r="B354" s="11">
        <v>0</v>
      </c>
      <c r="C354" s="13">
        <v>0</v>
      </c>
      <c r="D354" s="13">
        <v>0</v>
      </c>
      <c r="E354" s="28">
        <v>0</v>
      </c>
      <c r="F35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1</v>
      </c>
      <c r="L354" s="13">
        <v>0</v>
      </c>
      <c r="M354" s="13">
        <v>0</v>
      </c>
      <c r="N354" s="13">
        <v>0</v>
      </c>
      <c r="O354">
        <v>107</v>
      </c>
      <c r="AA354">
        <v>1</v>
      </c>
      <c r="AB354">
        <v>0</v>
      </c>
      <c r="AC354">
        <v>0</v>
      </c>
      <c r="AD354" s="19">
        <v>55153</v>
      </c>
      <c r="AE354" s="19">
        <v>42156</v>
      </c>
    </row>
    <row r="355" spans="1:31" x14ac:dyDescent="0.25">
      <c r="A355" s="15" t="s">
        <v>927</v>
      </c>
      <c r="B355" s="14">
        <v>0</v>
      </c>
      <c r="C355" s="16">
        <v>0</v>
      </c>
      <c r="D355" s="16">
        <v>0</v>
      </c>
      <c r="E355">
        <v>0</v>
      </c>
      <c r="F355">
        <v>1</v>
      </c>
      <c r="G355" s="16">
        <v>0</v>
      </c>
      <c r="H355" s="16">
        <v>0</v>
      </c>
      <c r="I355" s="16">
        <v>0</v>
      </c>
      <c r="J355" s="16">
        <v>0</v>
      </c>
      <c r="K355" s="16">
        <v>1</v>
      </c>
      <c r="L355" s="16">
        <v>0</v>
      </c>
      <c r="M355" s="16">
        <v>0</v>
      </c>
      <c r="N355" s="16">
        <v>0</v>
      </c>
      <c r="O355">
        <v>106</v>
      </c>
      <c r="AA355">
        <v>1</v>
      </c>
      <c r="AB355">
        <v>0</v>
      </c>
      <c r="AC355">
        <v>0</v>
      </c>
      <c r="AD355" s="20">
        <v>55153</v>
      </c>
      <c r="AE355" s="20">
        <v>42186</v>
      </c>
    </row>
    <row r="356" spans="1:31" x14ac:dyDescent="0.25">
      <c r="A356" s="12" t="s">
        <v>929</v>
      </c>
      <c r="B356" s="11">
        <v>0</v>
      </c>
      <c r="C356" s="13">
        <v>0</v>
      </c>
      <c r="D356" s="13">
        <v>0</v>
      </c>
      <c r="E356" s="28">
        <v>1</v>
      </c>
      <c r="F356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1</v>
      </c>
      <c r="L356" s="13">
        <v>0</v>
      </c>
      <c r="M356" s="13">
        <v>0</v>
      </c>
      <c r="N356" s="13">
        <v>0</v>
      </c>
      <c r="O356">
        <v>106</v>
      </c>
      <c r="AA356">
        <v>1</v>
      </c>
      <c r="AB356">
        <v>0</v>
      </c>
      <c r="AC356">
        <v>0</v>
      </c>
      <c r="AD356" s="19">
        <v>55153</v>
      </c>
      <c r="AE356" s="19">
        <v>42186</v>
      </c>
    </row>
    <row r="357" spans="1:31" x14ac:dyDescent="0.25">
      <c r="A357" s="15" t="s">
        <v>931</v>
      </c>
      <c r="B357" s="14">
        <v>0</v>
      </c>
      <c r="C357" s="16">
        <v>0</v>
      </c>
      <c r="D357" s="16">
        <v>0</v>
      </c>
      <c r="E357">
        <v>1</v>
      </c>
      <c r="F357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1</v>
      </c>
      <c r="L357" s="16">
        <v>0</v>
      </c>
      <c r="M357" s="16">
        <v>0</v>
      </c>
      <c r="N357" s="16">
        <v>0</v>
      </c>
      <c r="O357">
        <v>106</v>
      </c>
      <c r="AA357">
        <v>1</v>
      </c>
      <c r="AB357">
        <v>0</v>
      </c>
      <c r="AC357">
        <v>0</v>
      </c>
      <c r="AD357" s="20">
        <v>55153</v>
      </c>
      <c r="AE357" s="20">
        <v>42186</v>
      </c>
    </row>
    <row r="358" spans="1:31" x14ac:dyDescent="0.25">
      <c r="A358" s="12" t="s">
        <v>933</v>
      </c>
      <c r="B358" s="11">
        <v>0</v>
      </c>
      <c r="C358" s="13">
        <v>0</v>
      </c>
      <c r="D358" s="13">
        <v>0</v>
      </c>
      <c r="E358" s="28">
        <v>1</v>
      </c>
      <c r="F358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1</v>
      </c>
      <c r="L358" s="13">
        <v>0</v>
      </c>
      <c r="M358" s="13">
        <v>0</v>
      </c>
      <c r="N358" s="13">
        <v>0</v>
      </c>
      <c r="O358">
        <v>106</v>
      </c>
      <c r="AA358">
        <v>1</v>
      </c>
      <c r="AB358">
        <v>0</v>
      </c>
      <c r="AC358">
        <v>0</v>
      </c>
      <c r="AD358" s="19">
        <v>55153</v>
      </c>
      <c r="AE358" s="19">
        <v>42186</v>
      </c>
    </row>
    <row r="359" spans="1:31" x14ac:dyDescent="0.25">
      <c r="A359" s="15" t="s">
        <v>935</v>
      </c>
      <c r="B359" s="14">
        <v>0</v>
      </c>
      <c r="C359" s="16">
        <v>0</v>
      </c>
      <c r="D359" s="16">
        <v>0</v>
      </c>
      <c r="E359">
        <v>0</v>
      </c>
      <c r="F359">
        <v>0</v>
      </c>
      <c r="G359" s="16">
        <v>1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>
        <v>10</v>
      </c>
      <c r="AA359">
        <v>0</v>
      </c>
      <c r="AB359">
        <v>0</v>
      </c>
      <c r="AC359">
        <v>1</v>
      </c>
      <c r="AD359" s="20">
        <v>42551</v>
      </c>
      <c r="AE359" s="20">
        <v>42186</v>
      </c>
    </row>
    <row r="360" spans="1:31" x14ac:dyDescent="0.25">
      <c r="A360" s="12" t="s">
        <v>937</v>
      </c>
      <c r="B360" s="11">
        <v>0</v>
      </c>
      <c r="C360" s="13">
        <v>0</v>
      </c>
      <c r="D360" s="13">
        <v>0</v>
      </c>
      <c r="E360" s="28">
        <v>0</v>
      </c>
      <c r="F360">
        <v>0</v>
      </c>
      <c r="G360" s="13">
        <v>1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>
        <v>10</v>
      </c>
      <c r="AA360">
        <v>0</v>
      </c>
      <c r="AB360">
        <v>0</v>
      </c>
      <c r="AC360">
        <v>1</v>
      </c>
      <c r="AD360" s="19">
        <v>42521</v>
      </c>
      <c r="AE360" s="19">
        <v>42186</v>
      </c>
    </row>
    <row r="361" spans="1:31" x14ac:dyDescent="0.25">
      <c r="A361" s="15" t="s">
        <v>939</v>
      </c>
      <c r="B361" s="14">
        <v>0</v>
      </c>
      <c r="C361" s="16">
        <v>0</v>
      </c>
      <c r="D361" s="16">
        <v>0</v>
      </c>
      <c r="E361">
        <v>0</v>
      </c>
      <c r="F361">
        <v>1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1</v>
      </c>
      <c r="N361" s="16">
        <v>0</v>
      </c>
      <c r="O361">
        <v>107</v>
      </c>
      <c r="AA361">
        <v>1</v>
      </c>
      <c r="AB361">
        <v>0</v>
      </c>
      <c r="AC361">
        <v>0</v>
      </c>
      <c r="AD361" s="20">
        <v>55153</v>
      </c>
      <c r="AE361" s="20">
        <v>42156</v>
      </c>
    </row>
    <row r="362" spans="1:31" x14ac:dyDescent="0.25">
      <c r="A362" s="12" t="s">
        <v>941</v>
      </c>
      <c r="B362" s="11">
        <v>0</v>
      </c>
      <c r="C362" s="13">
        <v>0</v>
      </c>
      <c r="D362" s="13">
        <v>0</v>
      </c>
      <c r="E362" s="28">
        <v>0</v>
      </c>
      <c r="F362">
        <v>1</v>
      </c>
      <c r="G362" s="13">
        <v>1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>
        <v>104</v>
      </c>
      <c r="AA362">
        <v>1</v>
      </c>
      <c r="AB362">
        <v>0</v>
      </c>
      <c r="AC362">
        <v>0</v>
      </c>
      <c r="AD362" s="19">
        <v>55153</v>
      </c>
      <c r="AE362" s="19">
        <v>42248</v>
      </c>
    </row>
    <row r="363" spans="1:31" x14ac:dyDescent="0.25">
      <c r="A363" s="15" t="s">
        <v>943</v>
      </c>
      <c r="B363" s="14">
        <v>1</v>
      </c>
      <c r="C363" s="16">
        <v>0</v>
      </c>
      <c r="D363" s="16">
        <v>1</v>
      </c>
      <c r="E363">
        <v>0</v>
      </c>
      <c r="F363">
        <v>1</v>
      </c>
      <c r="G363" s="16">
        <v>0</v>
      </c>
      <c r="H363" s="16">
        <v>1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>
        <v>106</v>
      </c>
      <c r="AA363">
        <v>1</v>
      </c>
      <c r="AB363">
        <v>0</v>
      </c>
      <c r="AC363">
        <v>0</v>
      </c>
      <c r="AD363" s="20">
        <v>55153</v>
      </c>
      <c r="AE363" s="20">
        <v>42186</v>
      </c>
    </row>
    <row r="364" spans="1:31" x14ac:dyDescent="0.25">
      <c r="A364" s="12" t="s">
        <v>945</v>
      </c>
      <c r="B364" s="11">
        <v>0</v>
      </c>
      <c r="C364" s="13">
        <v>0</v>
      </c>
      <c r="D364" s="13">
        <v>0</v>
      </c>
      <c r="E364" s="28">
        <v>0</v>
      </c>
      <c r="F364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1</v>
      </c>
      <c r="L364" s="13">
        <v>0</v>
      </c>
      <c r="M364" s="13">
        <v>0</v>
      </c>
      <c r="N364" s="13">
        <v>0</v>
      </c>
      <c r="O364">
        <v>105</v>
      </c>
      <c r="AA364">
        <v>1</v>
      </c>
      <c r="AB364">
        <v>0</v>
      </c>
      <c r="AC364">
        <v>0</v>
      </c>
      <c r="AD364" s="19">
        <v>55153</v>
      </c>
      <c r="AE364" s="19">
        <v>42217</v>
      </c>
    </row>
    <row r="365" spans="1:31" x14ac:dyDescent="0.25">
      <c r="A365" s="15" t="s">
        <v>947</v>
      </c>
      <c r="B365" s="14">
        <v>0</v>
      </c>
      <c r="C365" s="16">
        <v>0</v>
      </c>
      <c r="D365" s="16">
        <v>0</v>
      </c>
      <c r="E365">
        <v>0</v>
      </c>
      <c r="F365">
        <v>1</v>
      </c>
      <c r="G365" s="16">
        <v>0</v>
      </c>
      <c r="H365" s="16">
        <v>0</v>
      </c>
      <c r="I365" s="16">
        <v>0</v>
      </c>
      <c r="J365" s="16">
        <v>0</v>
      </c>
      <c r="K365" s="16">
        <v>1</v>
      </c>
      <c r="L365" s="16">
        <v>0</v>
      </c>
      <c r="M365" s="16">
        <v>0</v>
      </c>
      <c r="N365" s="16">
        <v>0</v>
      </c>
      <c r="O365">
        <v>105</v>
      </c>
      <c r="AA365">
        <v>1</v>
      </c>
      <c r="AB365">
        <v>0</v>
      </c>
      <c r="AC365">
        <v>0</v>
      </c>
      <c r="AD365" s="20">
        <v>55153</v>
      </c>
      <c r="AE365" s="20">
        <v>42217</v>
      </c>
    </row>
    <row r="366" spans="1:31" x14ac:dyDescent="0.25">
      <c r="A366" s="12" t="s">
        <v>949</v>
      </c>
      <c r="B366" s="11">
        <v>0</v>
      </c>
      <c r="C366" s="13">
        <v>0</v>
      </c>
      <c r="D366" s="13">
        <v>0</v>
      </c>
      <c r="E366" s="28">
        <v>1</v>
      </c>
      <c r="F366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1</v>
      </c>
      <c r="L366" s="13">
        <v>0</v>
      </c>
      <c r="M366" s="13">
        <v>0</v>
      </c>
      <c r="N366" s="13">
        <v>0</v>
      </c>
      <c r="O366">
        <v>105</v>
      </c>
      <c r="AA366">
        <v>1</v>
      </c>
      <c r="AB366">
        <v>0</v>
      </c>
      <c r="AC366">
        <v>0</v>
      </c>
      <c r="AD366" s="19">
        <v>55153</v>
      </c>
      <c r="AE366" s="19">
        <v>42217</v>
      </c>
    </row>
    <row r="367" spans="1:31" x14ac:dyDescent="0.25">
      <c r="A367" s="15" t="s">
        <v>951</v>
      </c>
      <c r="B367" s="14">
        <v>1</v>
      </c>
      <c r="C367" s="16">
        <v>1</v>
      </c>
      <c r="D367" s="16">
        <v>1</v>
      </c>
      <c r="E367">
        <v>0</v>
      </c>
      <c r="F367">
        <v>0</v>
      </c>
      <c r="G367" s="16">
        <v>0</v>
      </c>
      <c r="H367" s="16">
        <v>0</v>
      </c>
      <c r="I367" s="16">
        <v>0</v>
      </c>
      <c r="J367" s="16">
        <v>1</v>
      </c>
      <c r="K367" s="16">
        <v>0</v>
      </c>
      <c r="L367" s="16">
        <v>0</v>
      </c>
      <c r="M367" s="16">
        <v>0</v>
      </c>
      <c r="N367" s="16">
        <v>0</v>
      </c>
      <c r="O367">
        <v>38</v>
      </c>
      <c r="AA367">
        <v>0</v>
      </c>
      <c r="AB367">
        <v>1</v>
      </c>
      <c r="AC367">
        <v>0</v>
      </c>
      <c r="AD367" s="20">
        <v>43434</v>
      </c>
      <c r="AE367" s="20">
        <v>42248</v>
      </c>
    </row>
    <row r="368" spans="1:31" x14ac:dyDescent="0.25">
      <c r="A368" s="12" t="s">
        <v>953</v>
      </c>
      <c r="B368" s="11">
        <v>1</v>
      </c>
      <c r="C368" s="13">
        <v>1</v>
      </c>
      <c r="D368" s="13">
        <v>1</v>
      </c>
      <c r="E368" s="28">
        <v>0</v>
      </c>
      <c r="F368">
        <v>0</v>
      </c>
      <c r="G368" s="13">
        <v>0</v>
      </c>
      <c r="H368" s="13">
        <v>0</v>
      </c>
      <c r="I368" s="13">
        <v>0</v>
      </c>
      <c r="J368" s="13">
        <v>1</v>
      </c>
      <c r="K368" s="13">
        <v>0</v>
      </c>
      <c r="L368" s="13">
        <v>0</v>
      </c>
      <c r="M368" s="13">
        <v>0</v>
      </c>
      <c r="N368" s="13">
        <v>0</v>
      </c>
      <c r="O368">
        <v>35</v>
      </c>
      <c r="AA368">
        <v>0</v>
      </c>
      <c r="AB368">
        <v>1</v>
      </c>
      <c r="AC368">
        <v>0</v>
      </c>
      <c r="AD368" s="19">
        <v>43404</v>
      </c>
      <c r="AE368" s="19">
        <v>42309</v>
      </c>
    </row>
    <row r="369" spans="1:31" x14ac:dyDescent="0.25">
      <c r="A369" s="15" t="s">
        <v>955</v>
      </c>
      <c r="B369" s="14">
        <v>1</v>
      </c>
      <c r="C369" s="16">
        <v>1</v>
      </c>
      <c r="D369" s="16">
        <v>1</v>
      </c>
      <c r="E369">
        <v>1</v>
      </c>
      <c r="F369">
        <v>0</v>
      </c>
      <c r="G369" s="16">
        <v>0</v>
      </c>
      <c r="H369" s="16">
        <v>1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>
        <v>102</v>
      </c>
      <c r="AA369">
        <v>1</v>
      </c>
      <c r="AB369">
        <v>0</v>
      </c>
      <c r="AC369">
        <v>0</v>
      </c>
      <c r="AD369" s="20">
        <v>55153</v>
      </c>
      <c r="AE369" s="20">
        <v>42309</v>
      </c>
    </row>
    <row r="370" spans="1:31" x14ac:dyDescent="0.25">
      <c r="A370" s="12" t="s">
        <v>957</v>
      </c>
      <c r="B370" s="11">
        <v>0</v>
      </c>
      <c r="C370" s="13">
        <v>0</v>
      </c>
      <c r="D370" s="13">
        <v>0</v>
      </c>
      <c r="E370" s="28">
        <v>0</v>
      </c>
      <c r="F370">
        <v>1</v>
      </c>
      <c r="G370" s="13">
        <v>0</v>
      </c>
      <c r="H370" s="13">
        <v>0</v>
      </c>
      <c r="I370" s="13">
        <v>0</v>
      </c>
      <c r="J370" s="13">
        <v>0</v>
      </c>
      <c r="K370" s="13">
        <v>1</v>
      </c>
      <c r="L370" s="13">
        <v>0</v>
      </c>
      <c r="M370" s="13">
        <v>0</v>
      </c>
      <c r="N370" s="13">
        <v>0</v>
      </c>
      <c r="O370">
        <v>103</v>
      </c>
      <c r="AA370">
        <v>1</v>
      </c>
      <c r="AB370">
        <v>0</v>
      </c>
      <c r="AC370">
        <v>0</v>
      </c>
      <c r="AD370" s="19">
        <v>55153</v>
      </c>
      <c r="AE370" s="19">
        <v>42278</v>
      </c>
    </row>
    <row r="371" spans="1:31" x14ac:dyDescent="0.25">
      <c r="A371" s="15" t="s">
        <v>959</v>
      </c>
      <c r="B371" s="14">
        <v>0</v>
      </c>
      <c r="C371" s="16">
        <v>0</v>
      </c>
      <c r="D371" s="16">
        <v>0</v>
      </c>
      <c r="E371">
        <v>0</v>
      </c>
      <c r="F371">
        <v>1</v>
      </c>
      <c r="G371" s="16">
        <v>0</v>
      </c>
      <c r="H371" s="16">
        <v>0</v>
      </c>
      <c r="I371" s="16">
        <v>0</v>
      </c>
      <c r="J371" s="16">
        <v>0</v>
      </c>
      <c r="K371" s="16">
        <v>1</v>
      </c>
      <c r="L371" s="16">
        <v>0</v>
      </c>
      <c r="M371" s="16">
        <v>0</v>
      </c>
      <c r="N371" s="16">
        <v>0</v>
      </c>
      <c r="O371">
        <v>103</v>
      </c>
      <c r="AA371">
        <v>1</v>
      </c>
      <c r="AB371">
        <v>0</v>
      </c>
      <c r="AC371">
        <v>0</v>
      </c>
      <c r="AD371" s="20">
        <v>55153</v>
      </c>
      <c r="AE371" s="20">
        <v>42278</v>
      </c>
    </row>
    <row r="372" spans="1:31" x14ac:dyDescent="0.25">
      <c r="A372" s="12" t="s">
        <v>961</v>
      </c>
      <c r="B372" s="11">
        <v>0</v>
      </c>
      <c r="C372" s="13">
        <v>0</v>
      </c>
      <c r="D372" s="13">
        <v>0</v>
      </c>
      <c r="E372" s="28">
        <v>0</v>
      </c>
      <c r="F372">
        <v>1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1</v>
      </c>
      <c r="N372" s="13">
        <v>0</v>
      </c>
      <c r="O372">
        <v>103</v>
      </c>
      <c r="AA372">
        <v>1</v>
      </c>
      <c r="AB372">
        <v>0</v>
      </c>
      <c r="AC372">
        <v>0</v>
      </c>
      <c r="AD372" s="19">
        <v>55153</v>
      </c>
      <c r="AE372" s="19">
        <v>42278</v>
      </c>
    </row>
    <row r="373" spans="1:31" x14ac:dyDescent="0.25">
      <c r="A373" s="15" t="s">
        <v>963</v>
      </c>
      <c r="B373" s="14">
        <v>0</v>
      </c>
      <c r="C373" s="16">
        <v>0</v>
      </c>
      <c r="D373" s="16">
        <v>0</v>
      </c>
      <c r="E373">
        <v>0</v>
      </c>
      <c r="F373">
        <v>1</v>
      </c>
      <c r="G373" s="16">
        <v>1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>
        <v>103</v>
      </c>
      <c r="AA373">
        <v>1</v>
      </c>
      <c r="AB373">
        <v>0</v>
      </c>
      <c r="AC373">
        <v>0</v>
      </c>
      <c r="AD373" s="20">
        <v>55153</v>
      </c>
      <c r="AE373" s="20">
        <v>42278</v>
      </c>
    </row>
    <row r="374" spans="1:31" x14ac:dyDescent="0.25">
      <c r="A374" s="12" t="s">
        <v>965</v>
      </c>
      <c r="B374" s="11">
        <v>0</v>
      </c>
      <c r="C374" s="13">
        <v>0</v>
      </c>
      <c r="D374" s="13">
        <v>0</v>
      </c>
      <c r="E374" s="28">
        <v>0</v>
      </c>
      <c r="F374">
        <v>1</v>
      </c>
      <c r="G374" s="13">
        <v>0</v>
      </c>
      <c r="H374" s="13">
        <v>0</v>
      </c>
      <c r="I374" s="13">
        <v>0</v>
      </c>
      <c r="J374" s="13">
        <v>0</v>
      </c>
      <c r="K374" s="13">
        <v>1</v>
      </c>
      <c r="L374" s="13">
        <v>0</v>
      </c>
      <c r="M374" s="13">
        <v>0</v>
      </c>
      <c r="N374" s="13">
        <v>0</v>
      </c>
      <c r="O374">
        <v>103</v>
      </c>
      <c r="AA374">
        <v>1</v>
      </c>
      <c r="AB374">
        <v>0</v>
      </c>
      <c r="AC374">
        <v>0</v>
      </c>
      <c r="AD374" s="19">
        <v>55153</v>
      </c>
      <c r="AE374" s="19">
        <v>42278</v>
      </c>
    </row>
    <row r="375" spans="1:31" x14ac:dyDescent="0.25">
      <c r="A375" s="15" t="s">
        <v>967</v>
      </c>
      <c r="B375" s="14">
        <v>0</v>
      </c>
      <c r="C375" s="16">
        <v>0</v>
      </c>
      <c r="D375" s="16">
        <v>0</v>
      </c>
      <c r="E375">
        <v>0</v>
      </c>
      <c r="F375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1</v>
      </c>
      <c r="N375" s="16">
        <v>0</v>
      </c>
      <c r="O375">
        <v>81</v>
      </c>
      <c r="AA375">
        <v>0</v>
      </c>
      <c r="AB375">
        <v>0</v>
      </c>
      <c r="AC375">
        <v>1</v>
      </c>
      <c r="AD375" s="20">
        <v>44742</v>
      </c>
      <c r="AE375" s="20">
        <v>42248</v>
      </c>
    </row>
    <row r="376" spans="1:31" x14ac:dyDescent="0.25">
      <c r="A376" s="12" t="s">
        <v>969</v>
      </c>
      <c r="B376" s="11">
        <v>1</v>
      </c>
      <c r="C376" s="13">
        <v>0</v>
      </c>
      <c r="D376" s="13">
        <v>1</v>
      </c>
      <c r="E376" s="28">
        <v>1</v>
      </c>
      <c r="F376">
        <v>0</v>
      </c>
      <c r="G376" s="13">
        <v>0</v>
      </c>
      <c r="H376" s="13">
        <v>0</v>
      </c>
      <c r="I376" s="13">
        <v>1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>
        <v>101</v>
      </c>
      <c r="AA376">
        <v>1</v>
      </c>
      <c r="AB376">
        <v>0</v>
      </c>
      <c r="AC376">
        <v>0</v>
      </c>
      <c r="AD376" s="19">
        <v>55153</v>
      </c>
      <c r="AE376" s="19">
        <v>42339</v>
      </c>
    </row>
    <row r="377" spans="1:31" x14ac:dyDescent="0.25">
      <c r="A377" s="15" t="s">
        <v>971</v>
      </c>
      <c r="B377" s="14">
        <v>1</v>
      </c>
      <c r="C377" s="16">
        <v>1</v>
      </c>
      <c r="D377" s="16">
        <v>1</v>
      </c>
      <c r="E377">
        <v>1</v>
      </c>
      <c r="F377">
        <v>0</v>
      </c>
      <c r="G377" s="16">
        <v>0</v>
      </c>
      <c r="H377" s="16">
        <v>1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>
        <v>84</v>
      </c>
      <c r="AA377">
        <v>0</v>
      </c>
      <c r="AB377">
        <v>0</v>
      </c>
      <c r="AC377">
        <v>1</v>
      </c>
      <c r="AD377" s="20">
        <v>55153</v>
      </c>
      <c r="AE377" s="20">
        <v>42309</v>
      </c>
    </row>
    <row r="378" spans="1:31" x14ac:dyDescent="0.25">
      <c r="A378" s="12" t="s">
        <v>973</v>
      </c>
      <c r="B378" s="11">
        <v>0</v>
      </c>
      <c r="C378" s="13">
        <v>0</v>
      </c>
      <c r="D378" s="13">
        <v>0</v>
      </c>
      <c r="E378" s="28">
        <v>0</v>
      </c>
      <c r="F378">
        <v>1</v>
      </c>
      <c r="G378" s="13">
        <v>0</v>
      </c>
      <c r="H378" s="13">
        <v>0</v>
      </c>
      <c r="I378" s="13">
        <v>1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>
        <v>101</v>
      </c>
      <c r="AA378">
        <v>1</v>
      </c>
      <c r="AB378">
        <v>0</v>
      </c>
      <c r="AC378">
        <v>0</v>
      </c>
      <c r="AD378" s="19">
        <v>55153</v>
      </c>
      <c r="AE378" s="19">
        <v>42339</v>
      </c>
    </row>
    <row r="379" spans="1:31" x14ac:dyDescent="0.25">
      <c r="A379" s="15" t="s">
        <v>975</v>
      </c>
      <c r="B379" s="14">
        <v>1</v>
      </c>
      <c r="C379" s="16">
        <v>0</v>
      </c>
      <c r="D379" s="16">
        <v>1</v>
      </c>
      <c r="E379">
        <v>1</v>
      </c>
      <c r="F379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1</v>
      </c>
      <c r="L379" s="16">
        <v>0</v>
      </c>
      <c r="M379" s="16">
        <v>0</v>
      </c>
      <c r="N379" s="16">
        <v>0</v>
      </c>
      <c r="O379">
        <v>91</v>
      </c>
      <c r="AA379">
        <v>1</v>
      </c>
      <c r="AB379">
        <v>0</v>
      </c>
      <c r="AC379">
        <v>0</v>
      </c>
      <c r="AD379" s="20">
        <v>55153</v>
      </c>
      <c r="AE379" s="20">
        <v>42644</v>
      </c>
    </row>
    <row r="380" spans="1:31" x14ac:dyDescent="0.25">
      <c r="A380" s="12" t="s">
        <v>977</v>
      </c>
      <c r="B380" s="11">
        <v>1</v>
      </c>
      <c r="C380" s="13">
        <v>1</v>
      </c>
      <c r="D380" s="13">
        <v>1</v>
      </c>
      <c r="E380" s="28">
        <v>1</v>
      </c>
      <c r="F380">
        <v>0</v>
      </c>
      <c r="G380" s="13">
        <v>0</v>
      </c>
      <c r="H380" s="13">
        <v>0</v>
      </c>
      <c r="I380" s="13">
        <v>0</v>
      </c>
      <c r="J380" s="13">
        <v>1</v>
      </c>
      <c r="K380" s="13">
        <v>0</v>
      </c>
      <c r="L380" s="13">
        <v>0</v>
      </c>
      <c r="M380" s="13">
        <v>0</v>
      </c>
      <c r="N380" s="13">
        <v>0</v>
      </c>
      <c r="O380">
        <v>103</v>
      </c>
      <c r="AA380">
        <v>1</v>
      </c>
      <c r="AB380">
        <v>0</v>
      </c>
      <c r="AC380">
        <v>0</v>
      </c>
      <c r="AD380" s="19">
        <v>55153</v>
      </c>
      <c r="AE380" s="19">
        <v>42278</v>
      </c>
    </row>
    <row r="381" spans="1:31" x14ac:dyDescent="0.25">
      <c r="A381" s="15" t="s">
        <v>979</v>
      </c>
      <c r="B381" s="14">
        <v>1</v>
      </c>
      <c r="C381" s="16">
        <v>0</v>
      </c>
      <c r="D381" s="16">
        <v>1</v>
      </c>
      <c r="E381">
        <v>1</v>
      </c>
      <c r="F381">
        <v>0</v>
      </c>
      <c r="G381" s="16">
        <v>0</v>
      </c>
      <c r="H381" s="16">
        <v>1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>
        <v>102</v>
      </c>
      <c r="AA381">
        <v>1</v>
      </c>
      <c r="AB381">
        <v>0</v>
      </c>
      <c r="AC381">
        <v>0</v>
      </c>
      <c r="AD381" s="20">
        <v>55153</v>
      </c>
      <c r="AE381" s="20">
        <v>42309</v>
      </c>
    </row>
    <row r="382" spans="1:31" x14ac:dyDescent="0.25">
      <c r="A382" s="12" t="s">
        <v>981</v>
      </c>
      <c r="B382" s="11">
        <v>0</v>
      </c>
      <c r="C382" s="13">
        <v>0</v>
      </c>
      <c r="D382" s="13">
        <v>0</v>
      </c>
      <c r="E382" s="28">
        <v>0</v>
      </c>
      <c r="F382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1</v>
      </c>
      <c r="L382" s="13">
        <v>0</v>
      </c>
      <c r="M382" s="13">
        <v>0</v>
      </c>
      <c r="N382" s="13">
        <v>0</v>
      </c>
      <c r="O382">
        <v>50</v>
      </c>
      <c r="AA382">
        <v>0</v>
      </c>
      <c r="AB382">
        <v>0</v>
      </c>
      <c r="AC382">
        <v>1</v>
      </c>
      <c r="AD382" s="19">
        <v>43830</v>
      </c>
      <c r="AE382" s="19">
        <v>42278</v>
      </c>
    </row>
    <row r="383" spans="1:31" x14ac:dyDescent="0.25">
      <c r="A383" s="15" t="s">
        <v>983</v>
      </c>
      <c r="B383" s="14">
        <v>0</v>
      </c>
      <c r="C383" s="16">
        <v>0</v>
      </c>
      <c r="D383" s="16">
        <v>0</v>
      </c>
      <c r="E383">
        <v>0</v>
      </c>
      <c r="F383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1</v>
      </c>
      <c r="N383" s="16">
        <v>0</v>
      </c>
      <c r="O383">
        <v>80</v>
      </c>
      <c r="AA383">
        <v>0</v>
      </c>
      <c r="AB383">
        <v>0</v>
      </c>
      <c r="AC383">
        <v>1</v>
      </c>
      <c r="AD383" s="20">
        <v>44742</v>
      </c>
      <c r="AE383" s="20">
        <v>42278</v>
      </c>
    </row>
    <row r="384" spans="1:31" x14ac:dyDescent="0.25">
      <c r="A384" s="12" t="s">
        <v>985</v>
      </c>
      <c r="B384" s="11">
        <v>0</v>
      </c>
      <c r="C384" s="13">
        <v>0</v>
      </c>
      <c r="D384" s="13">
        <v>0</v>
      </c>
      <c r="E384" s="28">
        <v>0</v>
      </c>
      <c r="F384">
        <v>1</v>
      </c>
      <c r="G384" s="13">
        <v>0</v>
      </c>
      <c r="H384" s="13">
        <v>0</v>
      </c>
      <c r="I384" s="13">
        <v>1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>
        <v>103</v>
      </c>
      <c r="AA384">
        <v>1</v>
      </c>
      <c r="AB384">
        <v>0</v>
      </c>
      <c r="AC384">
        <v>0</v>
      </c>
      <c r="AD384" s="19">
        <v>55153</v>
      </c>
      <c r="AE384" s="19">
        <v>42278</v>
      </c>
    </row>
    <row r="385" spans="1:31" x14ac:dyDescent="0.25">
      <c r="A385" s="15" t="s">
        <v>987</v>
      </c>
      <c r="B385" s="14">
        <v>0</v>
      </c>
      <c r="C385" s="16">
        <v>0</v>
      </c>
      <c r="D385" s="16">
        <v>0</v>
      </c>
      <c r="E385">
        <v>0</v>
      </c>
      <c r="F385">
        <v>1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1</v>
      </c>
      <c r="N385" s="16">
        <v>0</v>
      </c>
      <c r="O385">
        <v>100</v>
      </c>
      <c r="AA385">
        <v>1</v>
      </c>
      <c r="AB385">
        <v>0</v>
      </c>
      <c r="AC385">
        <v>0</v>
      </c>
      <c r="AD385" s="20">
        <v>55153</v>
      </c>
      <c r="AE385" s="20">
        <v>42370</v>
      </c>
    </row>
    <row r="386" spans="1:31" x14ac:dyDescent="0.25">
      <c r="A386" s="12" t="s">
        <v>989</v>
      </c>
      <c r="B386" s="11">
        <v>1</v>
      </c>
      <c r="C386" s="13">
        <v>1</v>
      </c>
      <c r="D386" s="13">
        <v>1</v>
      </c>
      <c r="E386" s="28">
        <v>1</v>
      </c>
      <c r="F386">
        <v>0</v>
      </c>
      <c r="G386" s="13">
        <v>0</v>
      </c>
      <c r="H386" s="13">
        <v>0</v>
      </c>
      <c r="I386" s="13">
        <v>0</v>
      </c>
      <c r="J386" s="13">
        <v>1</v>
      </c>
      <c r="K386" s="13">
        <v>0</v>
      </c>
      <c r="L386" s="13">
        <v>0</v>
      </c>
      <c r="M386" s="13">
        <v>0</v>
      </c>
      <c r="N386" s="13">
        <v>0</v>
      </c>
      <c r="O386">
        <v>101</v>
      </c>
      <c r="AA386">
        <v>1</v>
      </c>
      <c r="AB386">
        <v>0</v>
      </c>
      <c r="AC386">
        <v>0</v>
      </c>
      <c r="AD386" s="19">
        <v>55153</v>
      </c>
      <c r="AE386" s="19">
        <v>42339</v>
      </c>
    </row>
    <row r="387" spans="1:31" x14ac:dyDescent="0.25">
      <c r="A387" s="15" t="s">
        <v>991</v>
      </c>
      <c r="B387" s="14">
        <v>0</v>
      </c>
      <c r="C387" s="16">
        <v>0</v>
      </c>
      <c r="D387" s="16">
        <v>0</v>
      </c>
      <c r="E387">
        <v>0</v>
      </c>
      <c r="F387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1</v>
      </c>
      <c r="L387" s="16">
        <v>0</v>
      </c>
      <c r="M387" s="16">
        <v>0</v>
      </c>
      <c r="N387" s="16">
        <v>0</v>
      </c>
      <c r="O387">
        <v>43</v>
      </c>
      <c r="AA387">
        <v>0</v>
      </c>
      <c r="AB387">
        <v>0</v>
      </c>
      <c r="AC387">
        <v>1</v>
      </c>
      <c r="AD387" s="20">
        <v>43465</v>
      </c>
      <c r="AE387" s="20">
        <v>42064</v>
      </c>
    </row>
    <row r="388" spans="1:31" x14ac:dyDescent="0.25">
      <c r="A388" s="12" t="s">
        <v>993</v>
      </c>
      <c r="B388" s="11">
        <v>0</v>
      </c>
      <c r="C388" s="13">
        <v>0</v>
      </c>
      <c r="D388" s="13">
        <v>0</v>
      </c>
      <c r="E388" s="28">
        <v>0</v>
      </c>
      <c r="F388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1</v>
      </c>
      <c r="L388" s="13">
        <v>0</v>
      </c>
      <c r="M388" s="13">
        <v>0</v>
      </c>
      <c r="N388" s="13">
        <v>0</v>
      </c>
      <c r="O388">
        <v>19</v>
      </c>
      <c r="AA388">
        <v>0</v>
      </c>
      <c r="AB388">
        <v>0</v>
      </c>
      <c r="AC388">
        <v>1</v>
      </c>
      <c r="AD388" s="19">
        <v>43465</v>
      </c>
      <c r="AE388" s="19">
        <v>42795</v>
      </c>
    </row>
    <row r="389" spans="1:31" x14ac:dyDescent="0.25">
      <c r="A389" s="15" t="s">
        <v>995</v>
      </c>
      <c r="B389" s="14">
        <v>1</v>
      </c>
      <c r="C389" s="16">
        <v>0</v>
      </c>
      <c r="D389" s="16">
        <v>1</v>
      </c>
      <c r="E389">
        <v>0</v>
      </c>
      <c r="F389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1</v>
      </c>
      <c r="O389">
        <v>56</v>
      </c>
      <c r="AA389">
        <v>0</v>
      </c>
      <c r="AB389">
        <v>1</v>
      </c>
      <c r="AC389">
        <v>0</v>
      </c>
      <c r="AD389" s="20">
        <v>44074</v>
      </c>
      <c r="AE389" s="20">
        <v>42339</v>
      </c>
    </row>
    <row r="390" spans="1:31" x14ac:dyDescent="0.25">
      <c r="A390" s="12" t="s">
        <v>997</v>
      </c>
      <c r="B390" s="11">
        <v>1</v>
      </c>
      <c r="C390" s="13">
        <v>0</v>
      </c>
      <c r="D390" s="13">
        <v>1</v>
      </c>
      <c r="E390" s="28">
        <v>0</v>
      </c>
      <c r="F390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1</v>
      </c>
      <c r="O390">
        <v>56</v>
      </c>
      <c r="AA390">
        <v>0</v>
      </c>
      <c r="AB390">
        <v>1</v>
      </c>
      <c r="AC390">
        <v>0</v>
      </c>
      <c r="AD390" s="19">
        <v>44074</v>
      </c>
      <c r="AE390" s="19">
        <v>42339</v>
      </c>
    </row>
    <row r="391" spans="1:31" x14ac:dyDescent="0.25">
      <c r="A391" s="15" t="s">
        <v>999</v>
      </c>
      <c r="B391" s="14">
        <v>0</v>
      </c>
      <c r="C391" s="16">
        <v>0</v>
      </c>
      <c r="D391" s="16">
        <v>0</v>
      </c>
      <c r="E391">
        <v>0</v>
      </c>
      <c r="F391">
        <v>1</v>
      </c>
      <c r="G391" s="16">
        <v>0</v>
      </c>
      <c r="H391" s="16">
        <v>0</v>
      </c>
      <c r="I391" s="16">
        <v>0</v>
      </c>
      <c r="J391" s="16">
        <v>0</v>
      </c>
      <c r="K391" s="16">
        <v>1</v>
      </c>
      <c r="L391" s="16">
        <v>0</v>
      </c>
      <c r="M391" s="16">
        <v>0</v>
      </c>
      <c r="N391" s="16">
        <v>0</v>
      </c>
      <c r="O391">
        <v>101</v>
      </c>
      <c r="AA391">
        <v>1</v>
      </c>
      <c r="AB391">
        <v>0</v>
      </c>
      <c r="AC391">
        <v>0</v>
      </c>
      <c r="AD391" s="20">
        <v>55153</v>
      </c>
      <c r="AE391" s="20">
        <v>42339</v>
      </c>
    </row>
    <row r="392" spans="1:31" x14ac:dyDescent="0.25">
      <c r="A392" s="12" t="s">
        <v>1001</v>
      </c>
      <c r="B392" s="11">
        <v>0</v>
      </c>
      <c r="C392" s="13">
        <v>0</v>
      </c>
      <c r="D392" s="13">
        <v>0</v>
      </c>
      <c r="E392" s="28">
        <v>0</v>
      </c>
      <c r="F392">
        <v>1</v>
      </c>
      <c r="G392" s="13">
        <v>0</v>
      </c>
      <c r="H392" s="13">
        <v>0</v>
      </c>
      <c r="I392" s="13">
        <v>0</v>
      </c>
      <c r="J392" s="13">
        <v>0</v>
      </c>
      <c r="K392" s="13">
        <v>1</v>
      </c>
      <c r="L392" s="13">
        <v>0</v>
      </c>
      <c r="M392" s="13">
        <v>0</v>
      </c>
      <c r="N392" s="13">
        <v>0</v>
      </c>
      <c r="O392">
        <v>101</v>
      </c>
      <c r="AA392">
        <v>1</v>
      </c>
      <c r="AB392">
        <v>0</v>
      </c>
      <c r="AC392">
        <v>0</v>
      </c>
      <c r="AD392" s="19">
        <v>55153</v>
      </c>
      <c r="AE392" s="19">
        <v>42339</v>
      </c>
    </row>
    <row r="393" spans="1:31" x14ac:dyDescent="0.25">
      <c r="A393" s="15" t="s">
        <v>1003</v>
      </c>
      <c r="B393" s="14">
        <v>1</v>
      </c>
      <c r="C393" s="16">
        <v>1</v>
      </c>
      <c r="D393" s="16">
        <v>1</v>
      </c>
      <c r="E393">
        <v>1</v>
      </c>
      <c r="F393">
        <v>0</v>
      </c>
      <c r="G393" s="16">
        <v>0</v>
      </c>
      <c r="H393" s="16">
        <v>1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>
        <v>100</v>
      </c>
      <c r="AA393">
        <v>1</v>
      </c>
      <c r="AB393">
        <v>0</v>
      </c>
      <c r="AC393">
        <v>0</v>
      </c>
      <c r="AD393" s="20">
        <v>55153</v>
      </c>
      <c r="AE393" s="20">
        <v>42370</v>
      </c>
    </row>
    <row r="394" spans="1:31" x14ac:dyDescent="0.25">
      <c r="A394" s="12" t="s">
        <v>1005</v>
      </c>
      <c r="B394" s="11">
        <v>0</v>
      </c>
      <c r="C394" s="13">
        <v>0</v>
      </c>
      <c r="D394" s="13">
        <v>0</v>
      </c>
      <c r="E394" s="28">
        <v>0</v>
      </c>
      <c r="F394">
        <v>1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1</v>
      </c>
      <c r="N394" s="13">
        <v>0</v>
      </c>
      <c r="O394">
        <v>98</v>
      </c>
      <c r="AA394">
        <v>1</v>
      </c>
      <c r="AB394">
        <v>0</v>
      </c>
      <c r="AC394">
        <v>0</v>
      </c>
      <c r="AD394" s="19">
        <v>55153</v>
      </c>
      <c r="AE394" s="19">
        <v>42430</v>
      </c>
    </row>
    <row r="395" spans="1:31" x14ac:dyDescent="0.25">
      <c r="A395" s="15" t="s">
        <v>1007</v>
      </c>
      <c r="B395" s="14">
        <v>0</v>
      </c>
      <c r="C395" s="16">
        <v>0</v>
      </c>
      <c r="D395" s="16">
        <v>0</v>
      </c>
      <c r="E395">
        <v>0</v>
      </c>
      <c r="F395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1</v>
      </c>
      <c r="L395" s="16">
        <v>0</v>
      </c>
      <c r="M395" s="16">
        <v>0</v>
      </c>
      <c r="N395" s="16">
        <v>0</v>
      </c>
      <c r="O395">
        <v>48</v>
      </c>
      <c r="AA395">
        <v>0</v>
      </c>
      <c r="AB395">
        <v>0</v>
      </c>
      <c r="AC395">
        <v>1</v>
      </c>
      <c r="AD395" s="20">
        <v>43830</v>
      </c>
      <c r="AE395" s="20">
        <v>42339</v>
      </c>
    </row>
    <row r="396" spans="1:31" x14ac:dyDescent="0.25">
      <c r="A396" s="12" t="s">
        <v>1009</v>
      </c>
      <c r="B396" s="11">
        <v>0</v>
      </c>
      <c r="C396" s="13">
        <v>0</v>
      </c>
      <c r="D396" s="13">
        <v>0</v>
      </c>
      <c r="E396" s="28">
        <v>0</v>
      </c>
      <c r="F396">
        <v>1</v>
      </c>
      <c r="G396" s="13">
        <v>1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>
        <v>100</v>
      </c>
      <c r="AA396">
        <v>1</v>
      </c>
      <c r="AB396">
        <v>0</v>
      </c>
      <c r="AC396">
        <v>0</v>
      </c>
      <c r="AD396" s="19">
        <v>55153</v>
      </c>
      <c r="AE396" s="19">
        <v>42370</v>
      </c>
    </row>
    <row r="397" spans="1:31" x14ac:dyDescent="0.25">
      <c r="A397" s="15" t="s">
        <v>1011</v>
      </c>
      <c r="B397" s="14">
        <v>1</v>
      </c>
      <c r="C397" s="16">
        <v>0</v>
      </c>
      <c r="D397" s="16">
        <v>1</v>
      </c>
      <c r="E397">
        <v>1</v>
      </c>
      <c r="F397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1</v>
      </c>
      <c r="L397" s="16">
        <v>0</v>
      </c>
      <c r="M397" s="16">
        <v>0</v>
      </c>
      <c r="N397" s="16">
        <v>0</v>
      </c>
      <c r="O397">
        <v>96</v>
      </c>
      <c r="AA397">
        <v>1</v>
      </c>
      <c r="AB397">
        <v>0</v>
      </c>
      <c r="AC397">
        <v>0</v>
      </c>
      <c r="AD397" s="20">
        <v>55153</v>
      </c>
      <c r="AE397" s="20">
        <v>42491</v>
      </c>
    </row>
    <row r="398" spans="1:31" x14ac:dyDescent="0.25">
      <c r="A398" s="12" t="s">
        <v>1013</v>
      </c>
      <c r="B398" s="11">
        <v>1</v>
      </c>
      <c r="C398" s="13">
        <v>0</v>
      </c>
      <c r="D398" s="13">
        <v>1</v>
      </c>
      <c r="E398" s="28">
        <v>1</v>
      </c>
      <c r="F398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1</v>
      </c>
      <c r="L398" s="13">
        <v>0</v>
      </c>
      <c r="M398" s="13">
        <v>0</v>
      </c>
      <c r="N398" s="13">
        <v>0</v>
      </c>
      <c r="O398">
        <v>100</v>
      </c>
      <c r="AA398">
        <v>1</v>
      </c>
      <c r="AB398">
        <v>0</v>
      </c>
      <c r="AC398">
        <v>0</v>
      </c>
      <c r="AD398" s="19">
        <v>55153</v>
      </c>
      <c r="AE398" s="19">
        <v>42370</v>
      </c>
    </row>
    <row r="399" spans="1:31" x14ac:dyDescent="0.25">
      <c r="A399" s="15" t="s">
        <v>1015</v>
      </c>
      <c r="B399" s="14">
        <v>0</v>
      </c>
      <c r="C399" s="16">
        <v>0</v>
      </c>
      <c r="D399" s="16">
        <v>0</v>
      </c>
      <c r="E399">
        <v>0</v>
      </c>
      <c r="F399">
        <v>1</v>
      </c>
      <c r="G399" s="16">
        <v>0</v>
      </c>
      <c r="H399" s="16">
        <v>0</v>
      </c>
      <c r="I399" s="16">
        <v>0</v>
      </c>
      <c r="J399" s="16">
        <v>0</v>
      </c>
      <c r="K399" s="16">
        <v>1</v>
      </c>
      <c r="L399" s="16">
        <v>0</v>
      </c>
      <c r="M399" s="16">
        <v>0</v>
      </c>
      <c r="N399" s="16">
        <v>0</v>
      </c>
      <c r="O399">
        <v>98</v>
      </c>
      <c r="AA399">
        <v>1</v>
      </c>
      <c r="AB399">
        <v>0</v>
      </c>
      <c r="AC399">
        <v>0</v>
      </c>
      <c r="AD399" s="20">
        <v>55153</v>
      </c>
      <c r="AE399" s="20">
        <v>42430</v>
      </c>
    </row>
    <row r="400" spans="1:31" x14ac:dyDescent="0.25">
      <c r="A400" s="12" t="s">
        <v>1017</v>
      </c>
      <c r="B400" s="11">
        <v>1</v>
      </c>
      <c r="C400" s="13">
        <v>0</v>
      </c>
      <c r="D400" s="13">
        <v>1</v>
      </c>
      <c r="E400" s="28">
        <v>1</v>
      </c>
      <c r="F400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1</v>
      </c>
      <c r="O400">
        <v>100</v>
      </c>
      <c r="AA400">
        <v>1</v>
      </c>
      <c r="AB400">
        <v>0</v>
      </c>
      <c r="AC400">
        <v>0</v>
      </c>
      <c r="AD400" s="19">
        <v>55153</v>
      </c>
      <c r="AE400" s="19">
        <v>42370</v>
      </c>
    </row>
    <row r="401" spans="1:31" x14ac:dyDescent="0.25">
      <c r="A401" s="15" t="s">
        <v>1019</v>
      </c>
      <c r="B401" s="14">
        <v>1</v>
      </c>
      <c r="C401" s="16">
        <v>0</v>
      </c>
      <c r="D401" s="16">
        <v>1</v>
      </c>
      <c r="E401">
        <v>1</v>
      </c>
      <c r="F401">
        <v>0</v>
      </c>
      <c r="G401" s="16">
        <v>0</v>
      </c>
      <c r="H401" s="16">
        <v>1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>
        <v>100</v>
      </c>
      <c r="AA401">
        <v>1</v>
      </c>
      <c r="AB401">
        <v>0</v>
      </c>
      <c r="AC401">
        <v>0</v>
      </c>
      <c r="AD401" s="20">
        <v>55153</v>
      </c>
      <c r="AE401" s="20">
        <v>42370</v>
      </c>
    </row>
    <row r="402" spans="1:31" x14ac:dyDescent="0.25">
      <c r="A402" s="12" t="s">
        <v>1021</v>
      </c>
      <c r="B402" s="11">
        <v>1</v>
      </c>
      <c r="C402" s="13">
        <v>0</v>
      </c>
      <c r="D402" s="13">
        <v>1</v>
      </c>
      <c r="E402" s="28">
        <v>1</v>
      </c>
      <c r="F402">
        <v>0</v>
      </c>
      <c r="G402" s="13">
        <v>0</v>
      </c>
      <c r="H402" s="13">
        <v>0</v>
      </c>
      <c r="I402" s="13">
        <v>0</v>
      </c>
      <c r="J402" s="13">
        <v>1</v>
      </c>
      <c r="K402" s="13">
        <v>0</v>
      </c>
      <c r="L402" s="13">
        <v>0</v>
      </c>
      <c r="M402" s="13">
        <v>0</v>
      </c>
      <c r="N402" s="13">
        <v>0</v>
      </c>
      <c r="O402">
        <v>100</v>
      </c>
      <c r="AA402">
        <v>1</v>
      </c>
      <c r="AB402">
        <v>0</v>
      </c>
      <c r="AC402">
        <v>0</v>
      </c>
      <c r="AD402" s="19">
        <v>55153</v>
      </c>
      <c r="AE402" s="19">
        <v>42370</v>
      </c>
    </row>
    <row r="403" spans="1:31" x14ac:dyDescent="0.25">
      <c r="A403" s="15" t="s">
        <v>1023</v>
      </c>
      <c r="B403" s="14">
        <v>1</v>
      </c>
      <c r="C403" s="16">
        <v>0</v>
      </c>
      <c r="D403" s="16">
        <v>1</v>
      </c>
      <c r="E403">
        <v>1</v>
      </c>
      <c r="F403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1</v>
      </c>
      <c r="O403">
        <v>100</v>
      </c>
      <c r="AA403">
        <v>1</v>
      </c>
      <c r="AB403">
        <v>0</v>
      </c>
      <c r="AC403">
        <v>0</v>
      </c>
      <c r="AD403" s="20">
        <v>55153</v>
      </c>
      <c r="AE403" s="20">
        <v>42370</v>
      </c>
    </row>
    <row r="404" spans="1:31" x14ac:dyDescent="0.25">
      <c r="A404" s="12" t="s">
        <v>34</v>
      </c>
      <c r="B404" s="11">
        <v>0</v>
      </c>
      <c r="C404" s="13">
        <v>0</v>
      </c>
      <c r="D404" s="13">
        <v>0</v>
      </c>
      <c r="E404" s="28">
        <v>0</v>
      </c>
      <c r="F404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1</v>
      </c>
      <c r="L404" s="13">
        <v>0</v>
      </c>
      <c r="M404" s="13">
        <v>0</v>
      </c>
      <c r="N404" s="13">
        <v>0</v>
      </c>
      <c r="O404">
        <v>90</v>
      </c>
      <c r="AA404">
        <v>0</v>
      </c>
      <c r="AB404">
        <v>0</v>
      </c>
      <c r="AC404">
        <v>1</v>
      </c>
      <c r="AD404" s="19">
        <v>45199</v>
      </c>
      <c r="AE404" s="19">
        <v>42430</v>
      </c>
    </row>
    <row r="405" spans="1:31" x14ac:dyDescent="0.25">
      <c r="A405" s="15" t="s">
        <v>1025</v>
      </c>
      <c r="B405" s="14">
        <v>0</v>
      </c>
      <c r="C405" s="16">
        <v>0</v>
      </c>
      <c r="D405" s="16">
        <v>0</v>
      </c>
      <c r="E405">
        <v>0</v>
      </c>
      <c r="F405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1</v>
      </c>
      <c r="N405" s="16">
        <v>0</v>
      </c>
      <c r="O405">
        <v>21</v>
      </c>
      <c r="AA405">
        <v>0</v>
      </c>
      <c r="AB405">
        <v>0</v>
      </c>
      <c r="AC405">
        <v>1</v>
      </c>
      <c r="AD405" s="20">
        <v>43251</v>
      </c>
      <c r="AE405" s="20">
        <v>42430</v>
      </c>
    </row>
    <row r="406" spans="1:31" x14ac:dyDescent="0.25">
      <c r="A406" s="12" t="s">
        <v>36</v>
      </c>
      <c r="B406" s="11">
        <v>1</v>
      </c>
      <c r="C406" s="13">
        <v>0</v>
      </c>
      <c r="D406" s="13">
        <v>1</v>
      </c>
      <c r="E406" s="28">
        <v>0</v>
      </c>
      <c r="F406">
        <v>0</v>
      </c>
      <c r="G406" s="13">
        <v>0</v>
      </c>
      <c r="H406" s="13">
        <v>0</v>
      </c>
      <c r="I406" s="13">
        <v>1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>
        <v>92</v>
      </c>
      <c r="AA406">
        <v>0</v>
      </c>
      <c r="AB406">
        <v>1</v>
      </c>
      <c r="AC406">
        <v>0</v>
      </c>
      <c r="AD406" s="19">
        <v>45230</v>
      </c>
      <c r="AE406" s="19">
        <v>42401</v>
      </c>
    </row>
    <row r="407" spans="1:31" x14ac:dyDescent="0.25">
      <c r="A407" s="15" t="s">
        <v>1028</v>
      </c>
      <c r="B407" s="14">
        <v>0</v>
      </c>
      <c r="C407" s="16">
        <v>0</v>
      </c>
      <c r="D407" s="16">
        <v>0</v>
      </c>
      <c r="E407">
        <v>1</v>
      </c>
      <c r="F407">
        <v>0</v>
      </c>
      <c r="G407" s="16">
        <v>0</v>
      </c>
      <c r="H407" s="16">
        <v>0</v>
      </c>
      <c r="I407" s="16">
        <v>0</v>
      </c>
      <c r="J407" s="16">
        <v>0</v>
      </c>
      <c r="K407" s="16">
        <v>1</v>
      </c>
      <c r="L407" s="16">
        <v>0</v>
      </c>
      <c r="M407" s="16">
        <v>0</v>
      </c>
      <c r="N407" s="16">
        <v>0</v>
      </c>
      <c r="O407">
        <v>97</v>
      </c>
      <c r="AA407">
        <v>1</v>
      </c>
      <c r="AB407">
        <v>0</v>
      </c>
      <c r="AC407">
        <v>0</v>
      </c>
      <c r="AD407" s="20">
        <v>55153</v>
      </c>
      <c r="AE407" s="20">
        <v>42461</v>
      </c>
    </row>
    <row r="408" spans="1:31" x14ac:dyDescent="0.25">
      <c r="A408" s="12" t="s">
        <v>1030</v>
      </c>
      <c r="B408" s="11">
        <v>1</v>
      </c>
      <c r="C408" s="13">
        <v>1</v>
      </c>
      <c r="D408" s="13">
        <v>1</v>
      </c>
      <c r="E408" s="28">
        <v>0</v>
      </c>
      <c r="F408">
        <v>0</v>
      </c>
      <c r="G408" s="13">
        <v>0</v>
      </c>
      <c r="H408" s="13">
        <v>1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>
        <v>36</v>
      </c>
      <c r="AA408">
        <v>0</v>
      </c>
      <c r="AB408">
        <v>0</v>
      </c>
      <c r="AC408">
        <v>1</v>
      </c>
      <c r="AD408" s="19">
        <v>43677</v>
      </c>
      <c r="AE408" s="19">
        <v>42522</v>
      </c>
    </row>
    <row r="409" spans="1:31" x14ac:dyDescent="0.25">
      <c r="A409" s="15" t="s">
        <v>1032</v>
      </c>
      <c r="B409" s="14">
        <v>1</v>
      </c>
      <c r="C409" s="16">
        <v>1</v>
      </c>
      <c r="D409" s="16">
        <v>1</v>
      </c>
      <c r="E409">
        <v>0</v>
      </c>
      <c r="F409">
        <v>0</v>
      </c>
      <c r="G409" s="16">
        <v>0</v>
      </c>
      <c r="H409" s="16">
        <v>1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>
        <v>29</v>
      </c>
      <c r="AA409">
        <v>0</v>
      </c>
      <c r="AB409">
        <v>0</v>
      </c>
      <c r="AC409">
        <v>1</v>
      </c>
      <c r="AD409" s="20">
        <v>43404</v>
      </c>
      <c r="AE409" s="20">
        <v>42491</v>
      </c>
    </row>
    <row r="410" spans="1:31" x14ac:dyDescent="0.25">
      <c r="A410" s="12" t="s">
        <v>1034</v>
      </c>
      <c r="B410" s="11">
        <v>1</v>
      </c>
      <c r="C410" s="13">
        <v>1</v>
      </c>
      <c r="D410" s="13">
        <v>1</v>
      </c>
      <c r="E410" s="28">
        <v>0</v>
      </c>
      <c r="F410">
        <v>0</v>
      </c>
      <c r="G410" s="13">
        <v>0</v>
      </c>
      <c r="H410" s="13">
        <v>0</v>
      </c>
      <c r="I410" s="13">
        <v>0</v>
      </c>
      <c r="J410" s="13">
        <v>1</v>
      </c>
      <c r="K410" s="13">
        <v>0</v>
      </c>
      <c r="L410" s="13">
        <v>0</v>
      </c>
      <c r="M410" s="13">
        <v>0</v>
      </c>
      <c r="N410" s="13">
        <v>0</v>
      </c>
      <c r="O410">
        <v>29</v>
      </c>
      <c r="AA410">
        <v>0</v>
      </c>
      <c r="AB410">
        <v>0</v>
      </c>
      <c r="AC410">
        <v>1</v>
      </c>
      <c r="AD410" s="19">
        <v>43404</v>
      </c>
      <c r="AE410" s="19">
        <v>42491</v>
      </c>
    </row>
    <row r="411" spans="1:31" x14ac:dyDescent="0.25">
      <c r="A411" s="15" t="s">
        <v>1036</v>
      </c>
      <c r="B411" s="14">
        <v>1</v>
      </c>
      <c r="C411" s="16">
        <v>1</v>
      </c>
      <c r="D411" s="16">
        <v>1</v>
      </c>
      <c r="E411">
        <v>1</v>
      </c>
      <c r="F411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1</v>
      </c>
      <c r="L411" s="16">
        <v>0</v>
      </c>
      <c r="M411" s="16">
        <v>0</v>
      </c>
      <c r="N411" s="16">
        <v>0</v>
      </c>
      <c r="O411">
        <v>96</v>
      </c>
      <c r="AA411">
        <v>1</v>
      </c>
      <c r="AB411">
        <v>0</v>
      </c>
      <c r="AC411">
        <v>0</v>
      </c>
      <c r="AD411" s="20">
        <v>55153</v>
      </c>
      <c r="AE411" s="20">
        <v>42491</v>
      </c>
    </row>
    <row r="412" spans="1:31" x14ac:dyDescent="0.25">
      <c r="A412" s="12" t="s">
        <v>1038</v>
      </c>
      <c r="B412" s="11">
        <v>0</v>
      </c>
      <c r="C412" s="13">
        <v>0</v>
      </c>
      <c r="D412" s="13">
        <v>0</v>
      </c>
      <c r="E412" s="28">
        <v>1</v>
      </c>
      <c r="F412">
        <v>0</v>
      </c>
      <c r="G412" s="13">
        <v>1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>
        <v>98</v>
      </c>
      <c r="AA412">
        <v>1</v>
      </c>
      <c r="AB412">
        <v>0</v>
      </c>
      <c r="AC412">
        <v>0</v>
      </c>
      <c r="AD412" s="19">
        <v>55153</v>
      </c>
      <c r="AE412" s="19">
        <v>42430</v>
      </c>
    </row>
    <row r="413" spans="1:31" x14ac:dyDescent="0.25">
      <c r="A413" s="15" t="s">
        <v>1040</v>
      </c>
      <c r="B413" s="14">
        <v>0</v>
      </c>
      <c r="C413" s="16">
        <v>0</v>
      </c>
      <c r="D413" s="16">
        <v>0</v>
      </c>
      <c r="E413">
        <v>1</v>
      </c>
      <c r="F413">
        <v>0</v>
      </c>
      <c r="G413" s="16">
        <v>1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>
        <v>98</v>
      </c>
      <c r="AA413">
        <v>1</v>
      </c>
      <c r="AB413">
        <v>0</v>
      </c>
      <c r="AC413">
        <v>0</v>
      </c>
      <c r="AD413" s="20">
        <v>55153</v>
      </c>
      <c r="AE413" s="20">
        <v>42430</v>
      </c>
    </row>
    <row r="414" spans="1:31" x14ac:dyDescent="0.25">
      <c r="A414" s="12" t="s">
        <v>1042</v>
      </c>
      <c r="B414" s="11">
        <v>0</v>
      </c>
      <c r="C414" s="13">
        <v>0</v>
      </c>
      <c r="D414" s="13">
        <v>0</v>
      </c>
      <c r="E414" s="28">
        <v>1</v>
      </c>
      <c r="F414">
        <v>0</v>
      </c>
      <c r="G414" s="13">
        <v>1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>
        <v>98</v>
      </c>
      <c r="AA414">
        <v>1</v>
      </c>
      <c r="AB414">
        <v>0</v>
      </c>
      <c r="AC414">
        <v>0</v>
      </c>
      <c r="AD414" s="19">
        <v>55153</v>
      </c>
      <c r="AE414" s="19">
        <v>42430</v>
      </c>
    </row>
    <row r="415" spans="1:31" x14ac:dyDescent="0.25">
      <c r="A415" s="15" t="s">
        <v>1044</v>
      </c>
      <c r="B415" s="14">
        <v>0</v>
      </c>
      <c r="C415" s="16">
        <v>0</v>
      </c>
      <c r="D415" s="16">
        <v>0</v>
      </c>
      <c r="E415">
        <v>0</v>
      </c>
      <c r="F415">
        <v>1</v>
      </c>
      <c r="G415" s="16">
        <v>1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>
        <v>98</v>
      </c>
      <c r="AA415">
        <v>1</v>
      </c>
      <c r="AB415">
        <v>0</v>
      </c>
      <c r="AC415">
        <v>0</v>
      </c>
      <c r="AD415" s="20">
        <v>55153</v>
      </c>
      <c r="AE415" s="20">
        <v>42430</v>
      </c>
    </row>
    <row r="416" spans="1:31" x14ac:dyDescent="0.25">
      <c r="A416" s="12" t="s">
        <v>1046</v>
      </c>
      <c r="B416" s="11">
        <v>1</v>
      </c>
      <c r="C416" s="13">
        <v>0</v>
      </c>
      <c r="D416" s="13">
        <v>1</v>
      </c>
      <c r="E416" s="28">
        <v>0</v>
      </c>
      <c r="F416">
        <v>0</v>
      </c>
      <c r="G416" s="13">
        <v>0</v>
      </c>
      <c r="H416" s="13">
        <v>0</v>
      </c>
      <c r="I416" s="13">
        <v>1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>
        <v>32</v>
      </c>
      <c r="AA416">
        <v>0</v>
      </c>
      <c r="AB416">
        <v>1</v>
      </c>
      <c r="AC416">
        <v>0</v>
      </c>
      <c r="AD416" s="19">
        <v>43465</v>
      </c>
      <c r="AE416" s="19">
        <v>42461</v>
      </c>
    </row>
    <row r="417" spans="1:31" x14ac:dyDescent="0.25">
      <c r="A417" s="15" t="s">
        <v>1048</v>
      </c>
      <c r="B417" s="14">
        <v>1</v>
      </c>
      <c r="C417" s="16">
        <v>0</v>
      </c>
      <c r="D417" s="16">
        <v>1</v>
      </c>
      <c r="E417">
        <v>1</v>
      </c>
      <c r="F417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1</v>
      </c>
      <c r="L417" s="16">
        <v>0</v>
      </c>
      <c r="M417" s="16">
        <v>0</v>
      </c>
      <c r="N417" s="16">
        <v>0</v>
      </c>
      <c r="O417">
        <v>95</v>
      </c>
      <c r="AA417">
        <v>1</v>
      </c>
      <c r="AB417">
        <v>0</v>
      </c>
      <c r="AC417">
        <v>0</v>
      </c>
      <c r="AD417" s="20">
        <v>55153</v>
      </c>
      <c r="AE417" s="20">
        <v>42522</v>
      </c>
    </row>
    <row r="418" spans="1:31" x14ac:dyDescent="0.25">
      <c r="A418" s="12" t="s">
        <v>1050</v>
      </c>
      <c r="B418" s="11">
        <v>1</v>
      </c>
      <c r="C418" s="13">
        <v>0</v>
      </c>
      <c r="D418" s="13">
        <v>0</v>
      </c>
      <c r="E418" s="28">
        <v>0</v>
      </c>
      <c r="F418">
        <v>1</v>
      </c>
      <c r="G418" s="13">
        <v>0</v>
      </c>
      <c r="H418" s="13">
        <v>1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>
        <v>95</v>
      </c>
      <c r="AA418">
        <v>1</v>
      </c>
      <c r="AB418">
        <v>0</v>
      </c>
      <c r="AC418">
        <v>0</v>
      </c>
      <c r="AD418" s="19">
        <v>55153</v>
      </c>
      <c r="AE418" s="19">
        <v>42522</v>
      </c>
    </row>
    <row r="419" spans="1:31" x14ac:dyDescent="0.25">
      <c r="A419" s="15" t="s">
        <v>1052</v>
      </c>
      <c r="B419" s="14">
        <v>1</v>
      </c>
      <c r="C419" s="16">
        <v>1</v>
      </c>
      <c r="D419" s="16">
        <v>1</v>
      </c>
      <c r="E419">
        <v>1</v>
      </c>
      <c r="F419">
        <v>0</v>
      </c>
      <c r="G419" s="16">
        <v>0</v>
      </c>
      <c r="H419" s="16">
        <v>1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>
        <v>96</v>
      </c>
      <c r="AA419">
        <v>1</v>
      </c>
      <c r="AB419">
        <v>0</v>
      </c>
      <c r="AC419">
        <v>0</v>
      </c>
      <c r="AD419" s="20">
        <v>55153</v>
      </c>
      <c r="AE419" s="20">
        <v>42491</v>
      </c>
    </row>
    <row r="420" spans="1:31" x14ac:dyDescent="0.25">
      <c r="A420" s="12" t="s">
        <v>1054</v>
      </c>
      <c r="B420" s="11">
        <v>1</v>
      </c>
      <c r="C420" s="13">
        <v>1</v>
      </c>
      <c r="D420" s="13">
        <v>1</v>
      </c>
      <c r="E420" s="28">
        <v>1</v>
      </c>
      <c r="F420">
        <v>0</v>
      </c>
      <c r="G420" s="13">
        <v>0</v>
      </c>
      <c r="H420" s="13">
        <v>1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>
        <v>95</v>
      </c>
      <c r="AA420">
        <v>1</v>
      </c>
      <c r="AB420">
        <v>0</v>
      </c>
      <c r="AC420">
        <v>0</v>
      </c>
      <c r="AD420" s="19">
        <v>55153</v>
      </c>
      <c r="AE420" s="19">
        <v>42522</v>
      </c>
    </row>
    <row r="421" spans="1:31" x14ac:dyDescent="0.25">
      <c r="A421" s="15" t="s">
        <v>1056</v>
      </c>
      <c r="B421" s="14">
        <v>0</v>
      </c>
      <c r="C421" s="16">
        <v>0</v>
      </c>
      <c r="D421" s="16">
        <v>0</v>
      </c>
      <c r="E421">
        <v>0</v>
      </c>
      <c r="F421">
        <v>1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1</v>
      </c>
      <c r="N421" s="16">
        <v>0</v>
      </c>
      <c r="O421">
        <v>74</v>
      </c>
      <c r="AA421">
        <v>1</v>
      </c>
      <c r="AB421">
        <v>0</v>
      </c>
      <c r="AC421">
        <v>0</v>
      </c>
      <c r="AD421" s="20">
        <v>55153</v>
      </c>
      <c r="AE421" s="20">
        <v>43160</v>
      </c>
    </row>
    <row r="422" spans="1:31" x14ac:dyDescent="0.25">
      <c r="A422" s="12" t="s">
        <v>1058</v>
      </c>
      <c r="B422" s="11">
        <v>1</v>
      </c>
      <c r="C422" s="13">
        <v>0</v>
      </c>
      <c r="D422" s="13">
        <v>0</v>
      </c>
      <c r="E422" s="28">
        <v>0</v>
      </c>
      <c r="F422">
        <v>1</v>
      </c>
      <c r="G422" s="13">
        <v>0</v>
      </c>
      <c r="H422" s="13">
        <v>1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>
        <v>96</v>
      </c>
      <c r="AA422">
        <v>1</v>
      </c>
      <c r="AB422">
        <v>0</v>
      </c>
      <c r="AC422">
        <v>0</v>
      </c>
      <c r="AD422" s="19">
        <v>55153</v>
      </c>
      <c r="AE422" s="19">
        <v>42491</v>
      </c>
    </row>
    <row r="423" spans="1:31" x14ac:dyDescent="0.25">
      <c r="A423" s="15" t="s">
        <v>1060</v>
      </c>
      <c r="B423" s="14">
        <v>0</v>
      </c>
      <c r="C423" s="16">
        <v>0</v>
      </c>
      <c r="D423" s="16">
        <v>0</v>
      </c>
      <c r="E423">
        <v>0</v>
      </c>
      <c r="F423">
        <v>1</v>
      </c>
      <c r="G423" s="16">
        <v>0</v>
      </c>
      <c r="H423" s="16">
        <v>0</v>
      </c>
      <c r="I423" s="16">
        <v>0</v>
      </c>
      <c r="J423" s="16">
        <v>0</v>
      </c>
      <c r="K423" s="16">
        <v>1</v>
      </c>
      <c r="L423" s="16">
        <v>0</v>
      </c>
      <c r="M423" s="16">
        <v>0</v>
      </c>
      <c r="N423" s="16">
        <v>0</v>
      </c>
      <c r="O423">
        <v>92</v>
      </c>
      <c r="AA423">
        <v>1</v>
      </c>
      <c r="AB423">
        <v>0</v>
      </c>
      <c r="AC423">
        <v>0</v>
      </c>
      <c r="AD423" s="20">
        <v>55153</v>
      </c>
      <c r="AE423" s="20">
        <v>42614</v>
      </c>
    </row>
    <row r="424" spans="1:31" x14ac:dyDescent="0.25">
      <c r="A424" s="12" t="s">
        <v>1062</v>
      </c>
      <c r="B424" s="11">
        <v>1</v>
      </c>
      <c r="C424" s="13">
        <v>1</v>
      </c>
      <c r="D424" s="13">
        <v>1</v>
      </c>
      <c r="E424" s="28">
        <v>1</v>
      </c>
      <c r="F424">
        <v>0</v>
      </c>
      <c r="G424" s="13">
        <v>0</v>
      </c>
      <c r="H424" s="13">
        <v>1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>
        <v>95</v>
      </c>
      <c r="AA424">
        <v>1</v>
      </c>
      <c r="AB424">
        <v>0</v>
      </c>
      <c r="AC424">
        <v>0</v>
      </c>
      <c r="AD424" s="19">
        <v>55153</v>
      </c>
      <c r="AE424" s="19">
        <v>42522</v>
      </c>
    </row>
    <row r="425" spans="1:31" x14ac:dyDescent="0.25">
      <c r="A425" s="15" t="s">
        <v>1064</v>
      </c>
      <c r="B425" s="14">
        <v>0</v>
      </c>
      <c r="C425" s="16">
        <v>0</v>
      </c>
      <c r="D425" s="16">
        <v>0</v>
      </c>
      <c r="E425">
        <v>0</v>
      </c>
      <c r="F425">
        <v>1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1</v>
      </c>
      <c r="N425" s="16">
        <v>0</v>
      </c>
      <c r="O425">
        <v>95</v>
      </c>
      <c r="AA425">
        <v>1</v>
      </c>
      <c r="AB425">
        <v>0</v>
      </c>
      <c r="AC425">
        <v>0</v>
      </c>
      <c r="AD425" s="20">
        <v>55153</v>
      </c>
      <c r="AE425" s="20">
        <v>42522</v>
      </c>
    </row>
    <row r="426" spans="1:31" x14ac:dyDescent="0.25">
      <c r="A426" s="12" t="s">
        <v>1066</v>
      </c>
      <c r="B426" s="11">
        <v>0</v>
      </c>
      <c r="C426" s="13">
        <v>0</v>
      </c>
      <c r="D426" s="13">
        <v>0</v>
      </c>
      <c r="E426" s="28">
        <v>0</v>
      </c>
      <c r="F426">
        <v>0</v>
      </c>
      <c r="G426" s="13">
        <v>1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>
        <v>10</v>
      </c>
      <c r="AA426">
        <v>0</v>
      </c>
      <c r="AB426">
        <v>0</v>
      </c>
      <c r="AC426">
        <v>1</v>
      </c>
      <c r="AD426" s="19">
        <v>43100</v>
      </c>
      <c r="AE426" s="19">
        <v>42705</v>
      </c>
    </row>
    <row r="427" spans="1:31" x14ac:dyDescent="0.25">
      <c r="A427" s="15" t="s">
        <v>1068</v>
      </c>
      <c r="B427" s="14">
        <v>1</v>
      </c>
      <c r="C427" s="16">
        <v>0</v>
      </c>
      <c r="D427" s="16">
        <v>1</v>
      </c>
      <c r="E427">
        <v>0</v>
      </c>
      <c r="F427">
        <v>0</v>
      </c>
      <c r="G427" s="16">
        <v>0</v>
      </c>
      <c r="H427" s="16">
        <v>0</v>
      </c>
      <c r="I427" s="16">
        <v>1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>
        <v>18</v>
      </c>
      <c r="AA427">
        <v>0</v>
      </c>
      <c r="AB427">
        <v>0</v>
      </c>
      <c r="AC427">
        <v>1</v>
      </c>
      <c r="AD427" s="20">
        <v>43190</v>
      </c>
      <c r="AE427" s="20">
        <v>42583</v>
      </c>
    </row>
    <row r="428" spans="1:31" x14ac:dyDescent="0.25">
      <c r="A428" s="12" t="s">
        <v>1070</v>
      </c>
      <c r="B428" s="11">
        <v>1</v>
      </c>
      <c r="C428" s="13">
        <v>0</v>
      </c>
      <c r="D428" s="13">
        <v>1</v>
      </c>
      <c r="E428" s="28">
        <v>0</v>
      </c>
      <c r="F428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1</v>
      </c>
      <c r="O428">
        <v>20</v>
      </c>
      <c r="AA428">
        <v>0</v>
      </c>
      <c r="AB428">
        <v>0</v>
      </c>
      <c r="AC428">
        <v>1</v>
      </c>
      <c r="AD428" s="19">
        <v>43190</v>
      </c>
      <c r="AE428" s="19">
        <v>42552</v>
      </c>
    </row>
    <row r="429" spans="1:31" x14ac:dyDescent="0.25">
      <c r="A429" s="15" t="s">
        <v>1072</v>
      </c>
      <c r="B429" s="14">
        <v>0</v>
      </c>
      <c r="C429" s="16">
        <v>0</v>
      </c>
      <c r="D429" s="16">
        <v>0</v>
      </c>
      <c r="E429">
        <v>1</v>
      </c>
      <c r="F429">
        <v>0</v>
      </c>
      <c r="G429" s="16">
        <v>0</v>
      </c>
      <c r="H429" s="16">
        <v>0</v>
      </c>
      <c r="I429" s="16">
        <v>1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>
        <v>94</v>
      </c>
      <c r="AA429">
        <v>1</v>
      </c>
      <c r="AB429">
        <v>0</v>
      </c>
      <c r="AC429">
        <v>0</v>
      </c>
      <c r="AD429" s="20">
        <v>55153</v>
      </c>
      <c r="AE429" s="20">
        <v>42552</v>
      </c>
    </row>
    <row r="430" spans="1:31" x14ac:dyDescent="0.25">
      <c r="A430" s="12" t="s">
        <v>1074</v>
      </c>
      <c r="B430" s="11">
        <v>0</v>
      </c>
      <c r="C430" s="13">
        <v>0</v>
      </c>
      <c r="D430" s="13">
        <v>0</v>
      </c>
      <c r="E430" s="28">
        <v>1</v>
      </c>
      <c r="F430">
        <v>0</v>
      </c>
      <c r="G430" s="13">
        <v>0</v>
      </c>
      <c r="H430" s="13">
        <v>0</v>
      </c>
      <c r="I430" s="13">
        <v>1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>
        <v>94</v>
      </c>
      <c r="AA430">
        <v>1</v>
      </c>
      <c r="AB430">
        <v>0</v>
      </c>
      <c r="AC430">
        <v>0</v>
      </c>
      <c r="AD430" s="19">
        <v>55153</v>
      </c>
      <c r="AE430" s="19">
        <v>42552</v>
      </c>
    </row>
    <row r="431" spans="1:31" x14ac:dyDescent="0.25">
      <c r="A431" s="15" t="s">
        <v>1076</v>
      </c>
      <c r="B431" s="14">
        <v>0</v>
      </c>
      <c r="C431" s="16">
        <v>0</v>
      </c>
      <c r="D431" s="16">
        <v>0</v>
      </c>
      <c r="E431">
        <v>1</v>
      </c>
      <c r="F431">
        <v>0</v>
      </c>
      <c r="G431" s="16">
        <v>0</v>
      </c>
      <c r="H431" s="16">
        <v>0</v>
      </c>
      <c r="I431" s="16">
        <v>1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>
        <v>94</v>
      </c>
      <c r="AA431">
        <v>1</v>
      </c>
      <c r="AB431">
        <v>0</v>
      </c>
      <c r="AC431">
        <v>0</v>
      </c>
      <c r="AD431" s="20">
        <v>55153</v>
      </c>
      <c r="AE431" s="20">
        <v>42552</v>
      </c>
    </row>
    <row r="432" spans="1:31" x14ac:dyDescent="0.25">
      <c r="A432" s="12" t="s">
        <v>1078</v>
      </c>
      <c r="B432" s="11">
        <v>0</v>
      </c>
      <c r="C432" s="13">
        <v>0</v>
      </c>
      <c r="D432" s="13">
        <v>0</v>
      </c>
      <c r="E432" s="28">
        <v>0</v>
      </c>
      <c r="F432">
        <v>1</v>
      </c>
      <c r="G432" s="13">
        <v>0</v>
      </c>
      <c r="H432" s="13">
        <v>0</v>
      </c>
      <c r="I432" s="13">
        <v>1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>
        <v>95</v>
      </c>
      <c r="AA432">
        <v>1</v>
      </c>
      <c r="AB432">
        <v>0</v>
      </c>
      <c r="AC432">
        <v>0</v>
      </c>
      <c r="AD432" s="19">
        <v>55153</v>
      </c>
      <c r="AE432" s="19">
        <v>42522</v>
      </c>
    </row>
    <row r="433" spans="1:31" x14ac:dyDescent="0.25">
      <c r="A433" s="15" t="s">
        <v>1080</v>
      </c>
      <c r="B433" s="14">
        <v>1</v>
      </c>
      <c r="C433" s="16">
        <v>0</v>
      </c>
      <c r="D433" s="16">
        <v>0</v>
      </c>
      <c r="E433">
        <v>0</v>
      </c>
      <c r="F433">
        <v>1</v>
      </c>
      <c r="G433" s="16">
        <v>0</v>
      </c>
      <c r="H433" s="16">
        <v>1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>
        <v>94</v>
      </c>
      <c r="AA433">
        <v>1</v>
      </c>
      <c r="AB433">
        <v>0</v>
      </c>
      <c r="AC433">
        <v>0</v>
      </c>
      <c r="AD433" s="20">
        <v>55153</v>
      </c>
      <c r="AE433" s="20">
        <v>42552</v>
      </c>
    </row>
    <row r="434" spans="1:31" x14ac:dyDescent="0.25">
      <c r="A434" s="12" t="s">
        <v>1082</v>
      </c>
      <c r="B434" s="11">
        <v>1</v>
      </c>
      <c r="C434" s="13">
        <v>1</v>
      </c>
      <c r="D434" s="13">
        <v>1</v>
      </c>
      <c r="E434" s="28">
        <v>1</v>
      </c>
      <c r="F434">
        <v>0</v>
      </c>
      <c r="G434" s="13">
        <v>0</v>
      </c>
      <c r="H434" s="13">
        <v>1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>
        <v>93</v>
      </c>
      <c r="AA434">
        <v>1</v>
      </c>
      <c r="AB434">
        <v>0</v>
      </c>
      <c r="AC434">
        <v>0</v>
      </c>
      <c r="AD434" s="19">
        <v>55153</v>
      </c>
      <c r="AE434" s="19">
        <v>42583</v>
      </c>
    </row>
    <row r="435" spans="1:31" x14ac:dyDescent="0.25">
      <c r="A435" s="15" t="s">
        <v>1084</v>
      </c>
      <c r="B435" s="14">
        <v>1</v>
      </c>
      <c r="C435" s="16">
        <v>1</v>
      </c>
      <c r="D435" s="16">
        <v>1</v>
      </c>
      <c r="E435">
        <v>1</v>
      </c>
      <c r="F435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1</v>
      </c>
      <c r="O435">
        <v>92</v>
      </c>
      <c r="AA435">
        <v>1</v>
      </c>
      <c r="AB435">
        <v>0</v>
      </c>
      <c r="AC435">
        <v>0</v>
      </c>
      <c r="AD435" s="20">
        <v>55153</v>
      </c>
      <c r="AE435" s="20">
        <v>42614</v>
      </c>
    </row>
    <row r="436" spans="1:31" x14ac:dyDescent="0.25">
      <c r="A436" s="12" t="s">
        <v>37</v>
      </c>
      <c r="B436" s="11">
        <v>0</v>
      </c>
      <c r="C436" s="13">
        <v>0</v>
      </c>
      <c r="D436" s="13">
        <v>0</v>
      </c>
      <c r="E436" s="28">
        <v>0</v>
      </c>
      <c r="F436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1</v>
      </c>
      <c r="L436" s="13">
        <v>0</v>
      </c>
      <c r="M436" s="13">
        <v>0</v>
      </c>
      <c r="N436" s="13">
        <v>0</v>
      </c>
      <c r="O436">
        <v>86</v>
      </c>
      <c r="AA436">
        <v>0</v>
      </c>
      <c r="AB436">
        <v>0</v>
      </c>
      <c r="AC436">
        <v>1</v>
      </c>
      <c r="AD436" s="19">
        <v>45199</v>
      </c>
      <c r="AE436" s="19">
        <v>42552</v>
      </c>
    </row>
    <row r="437" spans="1:31" x14ac:dyDescent="0.25">
      <c r="A437" s="15" t="s">
        <v>1086</v>
      </c>
      <c r="B437" s="14">
        <v>0</v>
      </c>
      <c r="C437" s="16">
        <v>0</v>
      </c>
      <c r="D437" s="16">
        <v>0</v>
      </c>
      <c r="E437">
        <v>0</v>
      </c>
      <c r="F437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1</v>
      </c>
      <c r="L437" s="16">
        <v>0</v>
      </c>
      <c r="M437" s="16">
        <v>0</v>
      </c>
      <c r="N437" s="16">
        <v>0</v>
      </c>
      <c r="O437">
        <v>20</v>
      </c>
      <c r="AA437">
        <v>0</v>
      </c>
      <c r="AB437">
        <v>0</v>
      </c>
      <c r="AC437">
        <v>1</v>
      </c>
      <c r="AD437" s="20">
        <v>43343</v>
      </c>
      <c r="AE437" s="20">
        <v>42705</v>
      </c>
    </row>
    <row r="438" spans="1:31" x14ac:dyDescent="0.25">
      <c r="A438" s="12" t="s">
        <v>1088</v>
      </c>
      <c r="B438" s="11">
        <v>0</v>
      </c>
      <c r="C438" s="13">
        <v>0</v>
      </c>
      <c r="D438" s="13">
        <v>0</v>
      </c>
      <c r="E438" s="28">
        <v>0</v>
      </c>
      <c r="F438">
        <v>1</v>
      </c>
      <c r="G438" s="13">
        <v>1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>
        <v>89</v>
      </c>
      <c r="AA438">
        <v>1</v>
      </c>
      <c r="AB438">
        <v>0</v>
      </c>
      <c r="AC438">
        <v>0</v>
      </c>
      <c r="AD438" s="19">
        <v>55153</v>
      </c>
      <c r="AE438" s="19">
        <v>42705</v>
      </c>
    </row>
    <row r="439" spans="1:31" x14ac:dyDescent="0.25">
      <c r="A439" s="15" t="s">
        <v>1090</v>
      </c>
      <c r="B439" s="14">
        <v>1</v>
      </c>
      <c r="C439" s="16">
        <v>1</v>
      </c>
      <c r="D439" s="16">
        <v>1</v>
      </c>
      <c r="E439">
        <v>1</v>
      </c>
      <c r="F439">
        <v>0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1</v>
      </c>
      <c r="O439">
        <v>71</v>
      </c>
      <c r="AA439">
        <v>1</v>
      </c>
      <c r="AB439">
        <v>0</v>
      </c>
      <c r="AC439">
        <v>0</v>
      </c>
      <c r="AD439" s="20">
        <v>55153</v>
      </c>
      <c r="AE439" s="20">
        <v>43252</v>
      </c>
    </row>
    <row r="440" spans="1:31" x14ac:dyDescent="0.25">
      <c r="A440" s="12" t="s">
        <v>1092</v>
      </c>
      <c r="B440" s="11">
        <v>1</v>
      </c>
      <c r="C440" s="13">
        <v>1</v>
      </c>
      <c r="D440" s="13">
        <v>1</v>
      </c>
      <c r="E440" s="28">
        <v>1</v>
      </c>
      <c r="F440">
        <v>0</v>
      </c>
      <c r="G440" s="13">
        <v>0</v>
      </c>
      <c r="H440" s="13">
        <v>1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>
        <v>92</v>
      </c>
      <c r="AA440">
        <v>1</v>
      </c>
      <c r="AB440">
        <v>0</v>
      </c>
      <c r="AC440">
        <v>0</v>
      </c>
      <c r="AD440" s="19">
        <v>55153</v>
      </c>
      <c r="AE440" s="19">
        <v>42614</v>
      </c>
    </row>
    <row r="441" spans="1:31" x14ac:dyDescent="0.25">
      <c r="A441" s="15" t="s">
        <v>1094</v>
      </c>
      <c r="B441" s="14">
        <v>1</v>
      </c>
      <c r="C441" s="16">
        <v>1</v>
      </c>
      <c r="D441" s="16">
        <v>1</v>
      </c>
      <c r="E441">
        <v>1</v>
      </c>
      <c r="F441">
        <v>0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1</v>
      </c>
      <c r="O441">
        <v>92</v>
      </c>
      <c r="AA441">
        <v>1</v>
      </c>
      <c r="AB441">
        <v>0</v>
      </c>
      <c r="AC441">
        <v>0</v>
      </c>
      <c r="AD441" s="20">
        <v>55153</v>
      </c>
      <c r="AE441" s="20">
        <v>42614</v>
      </c>
    </row>
    <row r="442" spans="1:31" x14ac:dyDescent="0.25">
      <c r="A442" s="12" t="s">
        <v>1096</v>
      </c>
      <c r="B442" s="11">
        <v>1</v>
      </c>
      <c r="C442" s="13">
        <v>1</v>
      </c>
      <c r="D442" s="13">
        <v>1</v>
      </c>
      <c r="E442" s="28">
        <v>1</v>
      </c>
      <c r="F442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1</v>
      </c>
      <c r="O442">
        <v>92</v>
      </c>
      <c r="AA442">
        <v>1</v>
      </c>
      <c r="AB442">
        <v>0</v>
      </c>
      <c r="AC442">
        <v>0</v>
      </c>
      <c r="AD442" s="19">
        <v>55153</v>
      </c>
      <c r="AE442" s="19">
        <v>42614</v>
      </c>
    </row>
    <row r="443" spans="1:31" x14ac:dyDescent="0.25">
      <c r="A443" s="15" t="s">
        <v>1098</v>
      </c>
      <c r="B443" s="14">
        <v>0</v>
      </c>
      <c r="C443" s="16">
        <v>0</v>
      </c>
      <c r="D443" s="16">
        <v>0</v>
      </c>
      <c r="E443">
        <v>0</v>
      </c>
      <c r="F443">
        <v>1</v>
      </c>
      <c r="G443" s="16">
        <v>1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>
        <v>95</v>
      </c>
      <c r="AA443">
        <v>1</v>
      </c>
      <c r="AB443">
        <v>0</v>
      </c>
      <c r="AC443">
        <v>0</v>
      </c>
      <c r="AD443" s="20">
        <v>55153</v>
      </c>
      <c r="AE443" s="20">
        <v>42522</v>
      </c>
    </row>
    <row r="444" spans="1:31" x14ac:dyDescent="0.25">
      <c r="A444" s="12" t="s">
        <v>1100</v>
      </c>
      <c r="B444" s="11">
        <v>0</v>
      </c>
      <c r="C444" s="13">
        <v>0</v>
      </c>
      <c r="D444" s="13">
        <v>0</v>
      </c>
      <c r="E444" s="28">
        <v>0</v>
      </c>
      <c r="F444">
        <v>1</v>
      </c>
      <c r="G444" s="13">
        <v>0</v>
      </c>
      <c r="H444" s="13">
        <v>0</v>
      </c>
      <c r="I444" s="13">
        <v>0</v>
      </c>
      <c r="J444" s="13">
        <v>0</v>
      </c>
      <c r="K444" s="13">
        <v>1</v>
      </c>
      <c r="L444" s="13">
        <v>0</v>
      </c>
      <c r="M444" s="13">
        <v>0</v>
      </c>
      <c r="N444" s="13">
        <v>0</v>
      </c>
      <c r="O444">
        <v>89</v>
      </c>
      <c r="AA444">
        <v>1</v>
      </c>
      <c r="AB444">
        <v>0</v>
      </c>
      <c r="AC444">
        <v>0</v>
      </c>
      <c r="AD444" s="19">
        <v>55153</v>
      </c>
      <c r="AE444" s="19">
        <v>42705</v>
      </c>
    </row>
    <row r="445" spans="1:31" x14ac:dyDescent="0.25">
      <c r="A445" s="15" t="s">
        <v>1102</v>
      </c>
      <c r="B445" s="14">
        <v>0</v>
      </c>
      <c r="C445" s="16">
        <v>0</v>
      </c>
      <c r="D445" s="16">
        <v>0</v>
      </c>
      <c r="E445">
        <v>0</v>
      </c>
      <c r="F445">
        <v>1</v>
      </c>
      <c r="G445" s="16">
        <v>0</v>
      </c>
      <c r="H445" s="16">
        <v>0</v>
      </c>
      <c r="I445" s="16">
        <v>0</v>
      </c>
      <c r="J445" s="16">
        <v>0</v>
      </c>
      <c r="K445" s="16">
        <v>1</v>
      </c>
      <c r="L445" s="16">
        <v>0</v>
      </c>
      <c r="M445" s="16">
        <v>0</v>
      </c>
      <c r="N445" s="16">
        <v>0</v>
      </c>
      <c r="O445">
        <v>89</v>
      </c>
      <c r="AA445">
        <v>1</v>
      </c>
      <c r="AB445">
        <v>0</v>
      </c>
      <c r="AC445">
        <v>0</v>
      </c>
      <c r="AD445" s="20">
        <v>55153</v>
      </c>
      <c r="AE445" s="20">
        <v>42705</v>
      </c>
    </row>
    <row r="446" spans="1:31" x14ac:dyDescent="0.25">
      <c r="A446" s="12" t="s">
        <v>1104</v>
      </c>
      <c r="B446" s="11">
        <v>0</v>
      </c>
      <c r="C446" s="13">
        <v>0</v>
      </c>
      <c r="D446" s="13">
        <v>0</v>
      </c>
      <c r="E446" s="28">
        <v>0</v>
      </c>
      <c r="F446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1</v>
      </c>
      <c r="N446" s="13">
        <v>0</v>
      </c>
      <c r="O446">
        <v>39</v>
      </c>
      <c r="AA446">
        <v>0</v>
      </c>
      <c r="AB446">
        <v>0</v>
      </c>
      <c r="AC446">
        <v>1</v>
      </c>
      <c r="AD446" s="19">
        <v>43830</v>
      </c>
      <c r="AE446" s="19">
        <v>42614</v>
      </c>
    </row>
    <row r="447" spans="1:31" x14ac:dyDescent="0.25">
      <c r="A447" s="15" t="s">
        <v>1106</v>
      </c>
      <c r="B447" s="14">
        <v>0</v>
      </c>
      <c r="C447" s="16">
        <v>0</v>
      </c>
      <c r="D447" s="16">
        <v>0</v>
      </c>
      <c r="E447">
        <v>0</v>
      </c>
      <c r="F447">
        <v>1</v>
      </c>
      <c r="G447" s="16">
        <v>1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>
        <v>92</v>
      </c>
      <c r="AA447">
        <v>1</v>
      </c>
      <c r="AB447">
        <v>0</v>
      </c>
      <c r="AC447">
        <v>0</v>
      </c>
      <c r="AD447" s="20">
        <v>55153</v>
      </c>
      <c r="AE447" s="20">
        <v>42614</v>
      </c>
    </row>
    <row r="448" spans="1:31" x14ac:dyDescent="0.25">
      <c r="A448" s="12" t="s">
        <v>1108</v>
      </c>
      <c r="B448" s="11">
        <v>1</v>
      </c>
      <c r="C448" s="13">
        <v>1</v>
      </c>
      <c r="D448" s="13">
        <v>1</v>
      </c>
      <c r="E448" s="28">
        <v>1</v>
      </c>
      <c r="F448">
        <v>0</v>
      </c>
      <c r="G448" s="13">
        <v>0</v>
      </c>
      <c r="H448" s="13">
        <v>1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>
        <v>93</v>
      </c>
      <c r="AA448">
        <v>1</v>
      </c>
      <c r="AB448">
        <v>0</v>
      </c>
      <c r="AC448">
        <v>0</v>
      </c>
      <c r="AD448" s="19">
        <v>55153</v>
      </c>
      <c r="AE448" s="19">
        <v>42583</v>
      </c>
    </row>
    <row r="449" spans="1:31" x14ac:dyDescent="0.25">
      <c r="A449" s="15" t="s">
        <v>1110</v>
      </c>
      <c r="B449" s="14">
        <v>1</v>
      </c>
      <c r="C449" s="16">
        <v>0</v>
      </c>
      <c r="D449" s="16">
        <v>1</v>
      </c>
      <c r="E449">
        <v>0</v>
      </c>
      <c r="F449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1</v>
      </c>
      <c r="M449" s="16">
        <v>0</v>
      </c>
      <c r="N449" s="16">
        <v>0</v>
      </c>
      <c r="O449">
        <v>16</v>
      </c>
      <c r="AA449">
        <v>0</v>
      </c>
      <c r="AB449">
        <v>0</v>
      </c>
      <c r="AC449">
        <v>1</v>
      </c>
      <c r="AD449" s="20">
        <v>43708</v>
      </c>
      <c r="AE449" s="20">
        <v>43191</v>
      </c>
    </row>
    <row r="450" spans="1:31" x14ac:dyDescent="0.25">
      <c r="A450" s="12" t="s">
        <v>1112</v>
      </c>
      <c r="B450" s="11">
        <v>1</v>
      </c>
      <c r="C450" s="13">
        <v>0</v>
      </c>
      <c r="D450" s="13">
        <v>1</v>
      </c>
      <c r="E450" s="28">
        <v>1</v>
      </c>
      <c r="F450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1</v>
      </c>
      <c r="O450">
        <v>91</v>
      </c>
      <c r="AA450">
        <v>1</v>
      </c>
      <c r="AB450">
        <v>0</v>
      </c>
      <c r="AC450">
        <v>0</v>
      </c>
      <c r="AD450" s="19">
        <v>55153</v>
      </c>
      <c r="AE450" s="19">
        <v>42644</v>
      </c>
    </row>
    <row r="451" spans="1:31" x14ac:dyDescent="0.25">
      <c r="A451" s="15" t="s">
        <v>1114</v>
      </c>
      <c r="B451" s="14">
        <v>0</v>
      </c>
      <c r="C451" s="16">
        <v>0</v>
      </c>
      <c r="D451" s="16">
        <v>0</v>
      </c>
      <c r="E451">
        <v>0</v>
      </c>
      <c r="F451">
        <v>0</v>
      </c>
      <c r="G451" s="16">
        <v>1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>
        <v>10</v>
      </c>
      <c r="AA451">
        <v>0</v>
      </c>
      <c r="AB451">
        <v>0</v>
      </c>
      <c r="AC451">
        <v>1</v>
      </c>
      <c r="AD451" s="20">
        <v>43100</v>
      </c>
      <c r="AE451" s="20">
        <v>42705</v>
      </c>
    </row>
    <row r="452" spans="1:31" x14ac:dyDescent="0.25">
      <c r="A452" s="12" t="s">
        <v>1116</v>
      </c>
      <c r="B452" s="11">
        <v>1</v>
      </c>
      <c r="C452" s="13">
        <v>1</v>
      </c>
      <c r="D452" s="13">
        <v>1</v>
      </c>
      <c r="E452" s="28">
        <v>1</v>
      </c>
      <c r="F452">
        <v>0</v>
      </c>
      <c r="G452" s="13">
        <v>0</v>
      </c>
      <c r="H452" s="13">
        <v>1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>
        <v>89</v>
      </c>
      <c r="AA452">
        <v>1</v>
      </c>
      <c r="AB452">
        <v>0</v>
      </c>
      <c r="AC452">
        <v>0</v>
      </c>
      <c r="AD452" s="19">
        <v>55153</v>
      </c>
      <c r="AE452" s="19">
        <v>42705</v>
      </c>
    </row>
    <row r="453" spans="1:31" x14ac:dyDescent="0.25">
      <c r="A453" s="15" t="s">
        <v>1118</v>
      </c>
      <c r="B453" s="14">
        <v>1</v>
      </c>
      <c r="C453" s="16">
        <v>1</v>
      </c>
      <c r="D453" s="16">
        <v>1</v>
      </c>
      <c r="E453">
        <v>1</v>
      </c>
      <c r="F453">
        <v>0</v>
      </c>
      <c r="G453" s="16">
        <v>0</v>
      </c>
      <c r="H453" s="16">
        <v>1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0</v>
      </c>
      <c r="O453">
        <v>86</v>
      </c>
      <c r="AA453">
        <v>1</v>
      </c>
      <c r="AB453">
        <v>0</v>
      </c>
      <c r="AC453">
        <v>0</v>
      </c>
      <c r="AD453" s="20">
        <v>55153</v>
      </c>
      <c r="AE453" s="20">
        <v>42795</v>
      </c>
    </row>
    <row r="454" spans="1:31" x14ac:dyDescent="0.25">
      <c r="A454" s="12" t="s">
        <v>1120</v>
      </c>
      <c r="B454" s="11">
        <v>1</v>
      </c>
      <c r="C454" s="13">
        <v>1</v>
      </c>
      <c r="D454" s="13">
        <v>1</v>
      </c>
      <c r="E454" s="28">
        <v>0</v>
      </c>
      <c r="F454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1</v>
      </c>
      <c r="O454">
        <v>86</v>
      </c>
      <c r="AA454">
        <v>1</v>
      </c>
      <c r="AB454">
        <v>0</v>
      </c>
      <c r="AC454">
        <v>0</v>
      </c>
      <c r="AD454" s="19">
        <v>55153</v>
      </c>
      <c r="AE454" s="19">
        <v>42795</v>
      </c>
    </row>
    <row r="455" spans="1:31" x14ac:dyDescent="0.25">
      <c r="A455" s="15" t="s">
        <v>1122</v>
      </c>
      <c r="B455" s="14">
        <v>1</v>
      </c>
      <c r="C455" s="16">
        <v>1</v>
      </c>
      <c r="D455" s="16">
        <v>1</v>
      </c>
      <c r="E455">
        <v>1</v>
      </c>
      <c r="F455">
        <v>0</v>
      </c>
      <c r="G455" s="16">
        <v>0</v>
      </c>
      <c r="H455" s="16">
        <v>0</v>
      </c>
      <c r="I455" s="16">
        <v>0</v>
      </c>
      <c r="J455" s="16">
        <v>1</v>
      </c>
      <c r="K455" s="16">
        <v>0</v>
      </c>
      <c r="L455" s="16">
        <v>0</v>
      </c>
      <c r="M455" s="16">
        <v>0</v>
      </c>
      <c r="N455" s="16">
        <v>0</v>
      </c>
      <c r="O455">
        <v>86</v>
      </c>
      <c r="AA455">
        <v>1</v>
      </c>
      <c r="AB455">
        <v>0</v>
      </c>
      <c r="AC455">
        <v>0</v>
      </c>
      <c r="AD455" s="20">
        <v>55153</v>
      </c>
      <c r="AE455" s="20">
        <v>42795</v>
      </c>
    </row>
    <row r="456" spans="1:31" x14ac:dyDescent="0.25">
      <c r="A456" s="12" t="s">
        <v>1124</v>
      </c>
      <c r="B456" s="11">
        <v>1</v>
      </c>
      <c r="C456" s="13">
        <v>1</v>
      </c>
      <c r="D456" s="13">
        <v>1</v>
      </c>
      <c r="E456" s="28">
        <v>1</v>
      </c>
      <c r="F456">
        <v>0</v>
      </c>
      <c r="G456" s="13">
        <v>0</v>
      </c>
      <c r="H456" s="13">
        <v>1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>
        <v>86</v>
      </c>
      <c r="AA456">
        <v>1</v>
      </c>
      <c r="AB456">
        <v>0</v>
      </c>
      <c r="AC456">
        <v>0</v>
      </c>
      <c r="AD456" s="19">
        <v>55153</v>
      </c>
      <c r="AE456" s="19">
        <v>42795</v>
      </c>
    </row>
    <row r="457" spans="1:31" x14ac:dyDescent="0.25">
      <c r="A457" s="15" t="s">
        <v>1126</v>
      </c>
      <c r="B457" s="14">
        <v>0</v>
      </c>
      <c r="C457" s="16">
        <v>0</v>
      </c>
      <c r="D457" s="16">
        <v>0</v>
      </c>
      <c r="E457">
        <v>0</v>
      </c>
      <c r="F457">
        <v>1</v>
      </c>
      <c r="G457" s="16">
        <v>0</v>
      </c>
      <c r="H457" s="16">
        <v>0</v>
      </c>
      <c r="I457" s="16">
        <v>0</v>
      </c>
      <c r="J457" s="16">
        <v>0</v>
      </c>
      <c r="K457" s="16">
        <v>1</v>
      </c>
      <c r="L457" s="16">
        <v>0</v>
      </c>
      <c r="M457" s="16">
        <v>0</v>
      </c>
      <c r="N457" s="16">
        <v>0</v>
      </c>
      <c r="O457">
        <v>92</v>
      </c>
      <c r="AA457">
        <v>1</v>
      </c>
      <c r="AB457">
        <v>0</v>
      </c>
      <c r="AC457">
        <v>0</v>
      </c>
      <c r="AD457" s="20">
        <v>55153</v>
      </c>
      <c r="AE457" s="20">
        <v>42614</v>
      </c>
    </row>
    <row r="458" spans="1:31" x14ac:dyDescent="0.25">
      <c r="A458" s="12" t="s">
        <v>1128</v>
      </c>
      <c r="B458" s="11">
        <v>0</v>
      </c>
      <c r="C458" s="13">
        <v>0</v>
      </c>
      <c r="D458" s="13">
        <v>0</v>
      </c>
      <c r="E458" s="28">
        <v>1</v>
      </c>
      <c r="F458">
        <v>0</v>
      </c>
      <c r="G458" s="13">
        <v>1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>
        <v>89</v>
      </c>
      <c r="AA458">
        <v>1</v>
      </c>
      <c r="AB458">
        <v>0</v>
      </c>
      <c r="AC458">
        <v>0</v>
      </c>
      <c r="AD458" s="19">
        <v>55153</v>
      </c>
      <c r="AE458" s="19">
        <v>42705</v>
      </c>
    </row>
    <row r="459" spans="1:31" x14ac:dyDescent="0.25">
      <c r="A459" s="15" t="s">
        <v>1130</v>
      </c>
      <c r="B459" s="14">
        <v>0</v>
      </c>
      <c r="C459" s="16">
        <v>0</v>
      </c>
      <c r="D459" s="16">
        <v>0</v>
      </c>
      <c r="E459">
        <v>0</v>
      </c>
      <c r="F459">
        <v>0</v>
      </c>
      <c r="G459" s="16">
        <v>1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>
        <v>39</v>
      </c>
      <c r="AA459">
        <v>0</v>
      </c>
      <c r="AB459">
        <v>0</v>
      </c>
      <c r="AC459">
        <v>1</v>
      </c>
      <c r="AD459" s="20">
        <v>43921</v>
      </c>
      <c r="AE459" s="20">
        <v>42705</v>
      </c>
    </row>
    <row r="460" spans="1:31" x14ac:dyDescent="0.25">
      <c r="A460" s="12" t="s">
        <v>1132</v>
      </c>
      <c r="B460" s="11">
        <v>0</v>
      </c>
      <c r="C460" s="13">
        <v>0</v>
      </c>
      <c r="D460" s="13">
        <v>0</v>
      </c>
      <c r="E460" s="28">
        <v>0</v>
      </c>
      <c r="F460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1</v>
      </c>
      <c r="L460" s="13">
        <v>0</v>
      </c>
      <c r="M460" s="13">
        <v>0</v>
      </c>
      <c r="N460" s="13">
        <v>0</v>
      </c>
      <c r="O460">
        <v>39</v>
      </c>
      <c r="AA460">
        <v>0</v>
      </c>
      <c r="AB460">
        <v>0</v>
      </c>
      <c r="AC460">
        <v>1</v>
      </c>
      <c r="AD460" s="19">
        <v>43921</v>
      </c>
      <c r="AE460" s="19">
        <v>42705</v>
      </c>
    </row>
    <row r="461" spans="1:31" x14ac:dyDescent="0.25">
      <c r="A461" s="15" t="s">
        <v>1134</v>
      </c>
      <c r="B461" s="14">
        <v>0</v>
      </c>
      <c r="C461" s="16">
        <v>0</v>
      </c>
      <c r="D461" s="16">
        <v>0</v>
      </c>
      <c r="E461">
        <v>0</v>
      </c>
      <c r="F461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1</v>
      </c>
      <c r="L461" s="16">
        <v>0</v>
      </c>
      <c r="M461" s="16">
        <v>0</v>
      </c>
      <c r="N461" s="16">
        <v>0</v>
      </c>
      <c r="O461">
        <v>72</v>
      </c>
      <c r="AA461">
        <v>0</v>
      </c>
      <c r="AB461">
        <v>0</v>
      </c>
      <c r="AC461">
        <v>1</v>
      </c>
      <c r="AD461" s="20">
        <v>44926</v>
      </c>
      <c r="AE461" s="20">
        <v>42705</v>
      </c>
    </row>
    <row r="462" spans="1:31" x14ac:dyDescent="0.25">
      <c r="A462" s="12" t="s">
        <v>1136</v>
      </c>
      <c r="B462" s="11">
        <v>0</v>
      </c>
      <c r="C462" s="13">
        <v>0</v>
      </c>
      <c r="D462" s="13">
        <v>0</v>
      </c>
      <c r="E462" s="28">
        <v>0</v>
      </c>
      <c r="F462">
        <v>0</v>
      </c>
      <c r="G462" s="13">
        <v>1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>
        <v>0</v>
      </c>
      <c r="AA462">
        <v>0</v>
      </c>
      <c r="AB462">
        <v>0</v>
      </c>
      <c r="AC462">
        <v>1</v>
      </c>
      <c r="AD462" s="19">
        <v>42827</v>
      </c>
      <c r="AE462" s="19">
        <v>42826</v>
      </c>
    </row>
    <row r="463" spans="1:31" x14ac:dyDescent="0.25">
      <c r="A463" s="15" t="s">
        <v>1138</v>
      </c>
      <c r="B463" s="14">
        <v>0</v>
      </c>
      <c r="C463" s="16">
        <v>0</v>
      </c>
      <c r="D463" s="16">
        <v>0</v>
      </c>
      <c r="E463">
        <v>0</v>
      </c>
      <c r="F463">
        <v>1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1</v>
      </c>
      <c r="N463" s="16">
        <v>0</v>
      </c>
      <c r="O463">
        <v>89</v>
      </c>
      <c r="AA463">
        <v>1</v>
      </c>
      <c r="AB463">
        <v>0</v>
      </c>
      <c r="AC463">
        <v>0</v>
      </c>
      <c r="AD463" s="20">
        <v>55153</v>
      </c>
      <c r="AE463" s="20">
        <v>42705</v>
      </c>
    </row>
    <row r="464" spans="1:31" x14ac:dyDescent="0.25">
      <c r="A464" s="12" t="s">
        <v>1140</v>
      </c>
      <c r="B464" s="11">
        <v>0</v>
      </c>
      <c r="C464" s="13">
        <v>0</v>
      </c>
      <c r="D464" s="13">
        <v>0</v>
      </c>
      <c r="E464" s="28">
        <v>0</v>
      </c>
      <c r="F464">
        <v>1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1</v>
      </c>
      <c r="N464" s="13">
        <v>0</v>
      </c>
      <c r="O464">
        <v>89</v>
      </c>
      <c r="AA464">
        <v>1</v>
      </c>
      <c r="AB464">
        <v>0</v>
      </c>
      <c r="AC464">
        <v>0</v>
      </c>
      <c r="AD464" s="19">
        <v>55153</v>
      </c>
      <c r="AE464" s="19">
        <v>42705</v>
      </c>
    </row>
    <row r="465" spans="1:31" x14ac:dyDescent="0.25">
      <c r="A465" s="15" t="s">
        <v>1142</v>
      </c>
      <c r="B465" s="14">
        <v>0</v>
      </c>
      <c r="C465" s="16">
        <v>0</v>
      </c>
      <c r="D465" s="16">
        <v>0</v>
      </c>
      <c r="E465">
        <v>0</v>
      </c>
      <c r="F465">
        <v>1</v>
      </c>
      <c r="G465" s="16">
        <v>0</v>
      </c>
      <c r="H465" s="16">
        <v>0</v>
      </c>
      <c r="I465" s="16">
        <v>1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>
        <v>92</v>
      </c>
      <c r="AA465">
        <v>1</v>
      </c>
      <c r="AB465">
        <v>0</v>
      </c>
      <c r="AC465">
        <v>0</v>
      </c>
      <c r="AD465" s="20">
        <v>55153</v>
      </c>
      <c r="AE465" s="20">
        <v>42614</v>
      </c>
    </row>
    <row r="466" spans="1:31" x14ac:dyDescent="0.25">
      <c r="A466" s="12" t="s">
        <v>1144</v>
      </c>
      <c r="B466" s="11">
        <v>1</v>
      </c>
      <c r="C466" s="13">
        <v>1</v>
      </c>
      <c r="D466" s="13">
        <v>1</v>
      </c>
      <c r="E466" s="28">
        <v>1</v>
      </c>
      <c r="F466">
        <v>0</v>
      </c>
      <c r="G466" s="13">
        <v>0</v>
      </c>
      <c r="H466" s="13">
        <v>1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>
        <v>90</v>
      </c>
      <c r="AA466">
        <v>1</v>
      </c>
      <c r="AB466">
        <v>0</v>
      </c>
      <c r="AC466">
        <v>0</v>
      </c>
      <c r="AD466" s="19">
        <v>55153</v>
      </c>
      <c r="AE466" s="19">
        <v>42675</v>
      </c>
    </row>
    <row r="467" spans="1:31" x14ac:dyDescent="0.25">
      <c r="A467" s="15" t="s">
        <v>1146</v>
      </c>
      <c r="B467" s="14">
        <v>1</v>
      </c>
      <c r="C467" s="16">
        <v>0</v>
      </c>
      <c r="D467" s="16">
        <v>1</v>
      </c>
      <c r="E467">
        <v>1</v>
      </c>
      <c r="F467">
        <v>0</v>
      </c>
      <c r="G467" s="16">
        <v>0</v>
      </c>
      <c r="H467" s="16">
        <v>0</v>
      </c>
      <c r="I467" s="16">
        <v>1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>
        <v>89</v>
      </c>
      <c r="AA467">
        <v>1</v>
      </c>
      <c r="AB467">
        <v>0</v>
      </c>
      <c r="AC467">
        <v>0</v>
      </c>
      <c r="AD467" s="20">
        <v>55153</v>
      </c>
      <c r="AE467" s="20">
        <v>42705</v>
      </c>
    </row>
    <row r="468" spans="1:31" x14ac:dyDescent="0.25">
      <c r="A468" s="12" t="s">
        <v>1148</v>
      </c>
      <c r="B468" s="11">
        <v>0</v>
      </c>
      <c r="C468" s="13">
        <v>0</v>
      </c>
      <c r="D468" s="13">
        <v>0</v>
      </c>
      <c r="E468" s="28">
        <v>0</v>
      </c>
      <c r="F468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1</v>
      </c>
      <c r="N468" s="13">
        <v>0</v>
      </c>
      <c r="O468">
        <v>62</v>
      </c>
      <c r="AA468">
        <v>0</v>
      </c>
      <c r="AB468">
        <v>0</v>
      </c>
      <c r="AC468">
        <v>1</v>
      </c>
      <c r="AD468" s="19">
        <v>44469</v>
      </c>
      <c r="AE468" s="19">
        <v>42552</v>
      </c>
    </row>
    <row r="469" spans="1:31" x14ac:dyDescent="0.25">
      <c r="A469" s="15" t="s">
        <v>39</v>
      </c>
      <c r="B469" s="14">
        <v>0</v>
      </c>
      <c r="C469" s="16">
        <v>0</v>
      </c>
      <c r="D469" s="16">
        <v>0</v>
      </c>
      <c r="E469">
        <v>0</v>
      </c>
      <c r="F469">
        <v>0</v>
      </c>
      <c r="G469" s="16">
        <v>0</v>
      </c>
      <c r="H469" s="16">
        <v>0</v>
      </c>
      <c r="I469" s="16">
        <v>1</v>
      </c>
      <c r="J469" s="16">
        <v>0</v>
      </c>
      <c r="K469" s="16">
        <v>0</v>
      </c>
      <c r="L469" s="16">
        <v>0</v>
      </c>
      <c r="M469" s="16">
        <v>0</v>
      </c>
      <c r="N469" s="16">
        <v>0</v>
      </c>
      <c r="O469">
        <v>81</v>
      </c>
      <c r="AA469">
        <v>0</v>
      </c>
      <c r="AB469">
        <v>0</v>
      </c>
      <c r="AC469">
        <v>1</v>
      </c>
      <c r="AD469" s="20">
        <v>45199</v>
      </c>
      <c r="AE469" s="20">
        <v>42644</v>
      </c>
    </row>
    <row r="470" spans="1:31" x14ac:dyDescent="0.25">
      <c r="A470" s="12" t="s">
        <v>1150</v>
      </c>
      <c r="B470" s="11">
        <v>0</v>
      </c>
      <c r="C470" s="13">
        <v>0</v>
      </c>
      <c r="D470" s="13">
        <v>0</v>
      </c>
      <c r="E470" s="28">
        <v>1</v>
      </c>
      <c r="F470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1</v>
      </c>
      <c r="L470" s="13">
        <v>0</v>
      </c>
      <c r="M470" s="13">
        <v>0</v>
      </c>
      <c r="N470" s="13">
        <v>0</v>
      </c>
      <c r="O470">
        <v>91</v>
      </c>
      <c r="AA470">
        <v>1</v>
      </c>
      <c r="AB470">
        <v>0</v>
      </c>
      <c r="AC470">
        <v>0</v>
      </c>
      <c r="AD470" s="19">
        <v>55153</v>
      </c>
      <c r="AE470" s="19">
        <v>42644</v>
      </c>
    </row>
    <row r="471" spans="1:31" x14ac:dyDescent="0.25">
      <c r="A471" s="15" t="s">
        <v>1152</v>
      </c>
      <c r="B471" s="14">
        <v>0</v>
      </c>
      <c r="C471" s="16">
        <v>0</v>
      </c>
      <c r="D471" s="16">
        <v>0</v>
      </c>
      <c r="E471">
        <v>1</v>
      </c>
      <c r="F471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1</v>
      </c>
      <c r="L471" s="16">
        <v>0</v>
      </c>
      <c r="M471" s="16">
        <v>0</v>
      </c>
      <c r="N471" s="16">
        <v>0</v>
      </c>
      <c r="O471">
        <v>89</v>
      </c>
      <c r="AA471">
        <v>1</v>
      </c>
      <c r="AB471">
        <v>0</v>
      </c>
      <c r="AC471">
        <v>0</v>
      </c>
      <c r="AD471" s="20">
        <v>55153</v>
      </c>
      <c r="AE471" s="20">
        <v>42705</v>
      </c>
    </row>
    <row r="472" spans="1:31" x14ac:dyDescent="0.25">
      <c r="A472" s="12" t="s">
        <v>1154</v>
      </c>
      <c r="B472" s="11">
        <v>0</v>
      </c>
      <c r="C472" s="13">
        <v>0</v>
      </c>
      <c r="D472" s="13">
        <v>0</v>
      </c>
      <c r="E472" s="28">
        <v>1</v>
      </c>
      <c r="F472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1</v>
      </c>
      <c r="L472" s="13">
        <v>0</v>
      </c>
      <c r="M472" s="13">
        <v>0</v>
      </c>
      <c r="N472" s="13">
        <v>0</v>
      </c>
      <c r="O472">
        <v>91</v>
      </c>
      <c r="AA472">
        <v>1</v>
      </c>
      <c r="AB472">
        <v>0</v>
      </c>
      <c r="AC472">
        <v>0</v>
      </c>
      <c r="AD472" s="19">
        <v>55153</v>
      </c>
      <c r="AE472" s="19">
        <v>42644</v>
      </c>
    </row>
    <row r="473" spans="1:31" x14ac:dyDescent="0.25">
      <c r="A473" s="15" t="s">
        <v>1156</v>
      </c>
      <c r="B473" s="14">
        <v>0</v>
      </c>
      <c r="C473" s="16">
        <v>0</v>
      </c>
      <c r="D473" s="16">
        <v>0</v>
      </c>
      <c r="E473">
        <v>1</v>
      </c>
      <c r="F473">
        <v>0</v>
      </c>
      <c r="G473" s="16">
        <v>0</v>
      </c>
      <c r="H473" s="16">
        <v>0</v>
      </c>
      <c r="I473" s="16">
        <v>0</v>
      </c>
      <c r="J473" s="16">
        <v>0</v>
      </c>
      <c r="K473" s="16">
        <v>1</v>
      </c>
      <c r="L473" s="16">
        <v>0</v>
      </c>
      <c r="M473" s="16">
        <v>0</v>
      </c>
      <c r="N473" s="16">
        <v>0</v>
      </c>
      <c r="O473">
        <v>91</v>
      </c>
      <c r="AA473">
        <v>1</v>
      </c>
      <c r="AB473">
        <v>0</v>
      </c>
      <c r="AC473">
        <v>0</v>
      </c>
      <c r="AD473" s="20">
        <v>55153</v>
      </c>
      <c r="AE473" s="20">
        <v>42644</v>
      </c>
    </row>
    <row r="474" spans="1:31" x14ac:dyDescent="0.25">
      <c r="A474" s="12" t="s">
        <v>1158</v>
      </c>
      <c r="B474" s="11">
        <v>1</v>
      </c>
      <c r="C474" s="13">
        <v>1</v>
      </c>
      <c r="D474" s="13">
        <v>1</v>
      </c>
      <c r="E474" s="28">
        <v>0</v>
      </c>
      <c r="F474">
        <v>0</v>
      </c>
      <c r="G474" s="13">
        <v>0</v>
      </c>
      <c r="H474" s="13">
        <v>1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>
        <v>36</v>
      </c>
      <c r="AA474">
        <v>0</v>
      </c>
      <c r="AB474">
        <v>1</v>
      </c>
      <c r="AC474">
        <v>0</v>
      </c>
      <c r="AD474" s="19">
        <v>43830</v>
      </c>
      <c r="AE474" s="19">
        <v>42705</v>
      </c>
    </row>
    <row r="475" spans="1:31" x14ac:dyDescent="0.25">
      <c r="A475" s="15" t="s">
        <v>1160</v>
      </c>
      <c r="B475" s="14">
        <v>1</v>
      </c>
      <c r="C475" s="16">
        <v>1</v>
      </c>
      <c r="D475" s="16">
        <v>1</v>
      </c>
      <c r="E475">
        <v>1</v>
      </c>
      <c r="F475">
        <v>0</v>
      </c>
      <c r="G475" s="16">
        <v>0</v>
      </c>
      <c r="H475" s="16">
        <v>0</v>
      </c>
      <c r="I475" s="16">
        <v>0</v>
      </c>
      <c r="J475" s="16">
        <v>1</v>
      </c>
      <c r="K475" s="16">
        <v>0</v>
      </c>
      <c r="L475" s="16">
        <v>0</v>
      </c>
      <c r="M475" s="16">
        <v>0</v>
      </c>
      <c r="N475" s="16">
        <v>0</v>
      </c>
      <c r="O475">
        <v>86</v>
      </c>
      <c r="AA475">
        <v>1</v>
      </c>
      <c r="AB475">
        <v>0</v>
      </c>
      <c r="AC475">
        <v>0</v>
      </c>
      <c r="AD475" s="20">
        <v>55153</v>
      </c>
      <c r="AE475" s="20">
        <v>42795</v>
      </c>
    </row>
    <row r="476" spans="1:31" x14ac:dyDescent="0.25">
      <c r="A476" s="12" t="s">
        <v>1162</v>
      </c>
      <c r="B476" s="11">
        <v>1</v>
      </c>
      <c r="C476" s="13">
        <v>1</v>
      </c>
      <c r="D476" s="13">
        <v>1</v>
      </c>
      <c r="E476" s="28">
        <v>1</v>
      </c>
      <c r="F476">
        <v>0</v>
      </c>
      <c r="G476" s="13">
        <v>0</v>
      </c>
      <c r="H476" s="13">
        <v>1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>
        <v>89</v>
      </c>
      <c r="AA476">
        <v>1</v>
      </c>
      <c r="AB476">
        <v>0</v>
      </c>
      <c r="AC476">
        <v>0</v>
      </c>
      <c r="AD476" s="19">
        <v>55153</v>
      </c>
      <c r="AE476" s="19">
        <v>42705</v>
      </c>
    </row>
    <row r="477" spans="1:31" x14ac:dyDescent="0.25">
      <c r="A477" s="15" t="s">
        <v>1164</v>
      </c>
      <c r="B477" s="14">
        <v>1</v>
      </c>
      <c r="C477" s="16">
        <v>1</v>
      </c>
      <c r="D477" s="16">
        <v>1</v>
      </c>
      <c r="E477">
        <v>0</v>
      </c>
      <c r="F477">
        <v>0</v>
      </c>
      <c r="G477" s="16">
        <v>0</v>
      </c>
      <c r="H477" s="16">
        <v>1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0</v>
      </c>
      <c r="O477">
        <v>47</v>
      </c>
      <c r="AA477">
        <v>0</v>
      </c>
      <c r="AB477">
        <v>1</v>
      </c>
      <c r="AC477">
        <v>0</v>
      </c>
      <c r="AD477" s="20">
        <v>44255</v>
      </c>
      <c r="AE477" s="20">
        <v>42795</v>
      </c>
    </row>
    <row r="478" spans="1:31" x14ac:dyDescent="0.25">
      <c r="A478" s="12" t="s">
        <v>1166</v>
      </c>
      <c r="B478" s="11">
        <v>0</v>
      </c>
      <c r="C478" s="13">
        <v>0</v>
      </c>
      <c r="D478" s="13">
        <v>0</v>
      </c>
      <c r="E478" s="28">
        <v>0</v>
      </c>
      <c r="F478">
        <v>1</v>
      </c>
      <c r="G478" s="13">
        <v>1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>
        <v>86</v>
      </c>
      <c r="AA478">
        <v>1</v>
      </c>
      <c r="AB478">
        <v>0</v>
      </c>
      <c r="AC478">
        <v>0</v>
      </c>
      <c r="AD478" s="19">
        <v>55153</v>
      </c>
      <c r="AE478" s="19">
        <v>42795</v>
      </c>
    </row>
    <row r="479" spans="1:31" x14ac:dyDescent="0.25">
      <c r="A479" s="15" t="s">
        <v>1168</v>
      </c>
      <c r="B479" s="14">
        <v>0</v>
      </c>
      <c r="C479" s="16">
        <v>0</v>
      </c>
      <c r="D479" s="16">
        <v>0</v>
      </c>
      <c r="E479">
        <v>1</v>
      </c>
      <c r="F479">
        <v>0</v>
      </c>
      <c r="G479" s="16">
        <v>0</v>
      </c>
      <c r="H479" s="16">
        <v>0</v>
      </c>
      <c r="I479" s="16">
        <v>1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>
        <v>86</v>
      </c>
      <c r="AA479">
        <v>1</v>
      </c>
      <c r="AB479">
        <v>0</v>
      </c>
      <c r="AC479">
        <v>0</v>
      </c>
      <c r="AD479" s="20">
        <v>55153</v>
      </c>
      <c r="AE479" s="20">
        <v>42795</v>
      </c>
    </row>
    <row r="480" spans="1:31" x14ac:dyDescent="0.25">
      <c r="A480" s="12" t="s">
        <v>1170</v>
      </c>
      <c r="B480" s="11">
        <v>0</v>
      </c>
      <c r="C480" s="13">
        <v>0</v>
      </c>
      <c r="D480" s="13">
        <v>0</v>
      </c>
      <c r="E480" s="28">
        <v>0</v>
      </c>
      <c r="F480">
        <v>1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1</v>
      </c>
      <c r="N480" s="13">
        <v>0</v>
      </c>
      <c r="O480">
        <v>91</v>
      </c>
      <c r="AA480">
        <v>1</v>
      </c>
      <c r="AB480">
        <v>0</v>
      </c>
      <c r="AC480">
        <v>0</v>
      </c>
      <c r="AD480" s="19">
        <v>55153</v>
      </c>
      <c r="AE480" s="19">
        <v>42644</v>
      </c>
    </row>
    <row r="481" spans="1:31" x14ac:dyDescent="0.25">
      <c r="A481" s="15" t="s">
        <v>1172</v>
      </c>
      <c r="B481" s="14">
        <v>0</v>
      </c>
      <c r="C481" s="16">
        <v>0</v>
      </c>
      <c r="D481" s="16">
        <v>0</v>
      </c>
      <c r="E481">
        <v>1</v>
      </c>
      <c r="F481">
        <v>0</v>
      </c>
      <c r="G481" s="16">
        <v>0</v>
      </c>
      <c r="H481" s="16">
        <v>0</v>
      </c>
      <c r="I481" s="16">
        <v>0</v>
      </c>
      <c r="J481" s="16">
        <v>0</v>
      </c>
      <c r="K481" s="16">
        <v>1</v>
      </c>
      <c r="L481" s="16">
        <v>0</v>
      </c>
      <c r="M481" s="16">
        <v>0</v>
      </c>
      <c r="N481" s="16">
        <v>0</v>
      </c>
      <c r="O481">
        <v>83</v>
      </c>
      <c r="AA481">
        <v>1</v>
      </c>
      <c r="AB481">
        <v>0</v>
      </c>
      <c r="AC481">
        <v>0</v>
      </c>
      <c r="AD481" s="20">
        <v>55153</v>
      </c>
      <c r="AE481" s="20">
        <v>42887</v>
      </c>
    </row>
    <row r="482" spans="1:31" x14ac:dyDescent="0.25">
      <c r="A482" s="12" t="s">
        <v>1174</v>
      </c>
      <c r="B482" s="11">
        <v>0</v>
      </c>
      <c r="C482" s="13">
        <v>0</v>
      </c>
      <c r="D482" s="13">
        <v>0</v>
      </c>
      <c r="E482" s="28">
        <v>1</v>
      </c>
      <c r="F482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1</v>
      </c>
      <c r="L482" s="13">
        <v>0</v>
      </c>
      <c r="M482" s="13">
        <v>0</v>
      </c>
      <c r="N482" s="13">
        <v>0</v>
      </c>
      <c r="O482">
        <v>83</v>
      </c>
      <c r="AA482">
        <v>1</v>
      </c>
      <c r="AB482">
        <v>0</v>
      </c>
      <c r="AC482">
        <v>0</v>
      </c>
      <c r="AD482" s="19">
        <v>55153</v>
      </c>
      <c r="AE482" s="19">
        <v>42887</v>
      </c>
    </row>
    <row r="483" spans="1:31" x14ac:dyDescent="0.25">
      <c r="A483" s="15" t="s">
        <v>1176</v>
      </c>
      <c r="B483" s="14">
        <v>0</v>
      </c>
      <c r="C483" s="16">
        <v>0</v>
      </c>
      <c r="D483" s="16">
        <v>0</v>
      </c>
      <c r="E483">
        <v>1</v>
      </c>
      <c r="F483">
        <v>0</v>
      </c>
      <c r="G483" s="16">
        <v>0</v>
      </c>
      <c r="H483" s="16">
        <v>0</v>
      </c>
      <c r="I483" s="16">
        <v>1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>
        <v>83</v>
      </c>
      <c r="AA483">
        <v>1</v>
      </c>
      <c r="AB483">
        <v>0</v>
      </c>
      <c r="AC483">
        <v>0</v>
      </c>
      <c r="AD483" s="20">
        <v>55153</v>
      </c>
      <c r="AE483" s="20">
        <v>42887</v>
      </c>
    </row>
    <row r="484" spans="1:31" x14ac:dyDescent="0.25">
      <c r="A484" s="12" t="s">
        <v>1178</v>
      </c>
      <c r="B484" s="11">
        <v>0</v>
      </c>
      <c r="C484" s="13">
        <v>0</v>
      </c>
      <c r="D484" s="13">
        <v>0</v>
      </c>
      <c r="E484" s="28">
        <v>1</v>
      </c>
      <c r="F484">
        <v>0</v>
      </c>
      <c r="G484" s="13">
        <v>0</v>
      </c>
      <c r="H484" s="13">
        <v>0</v>
      </c>
      <c r="I484" s="13">
        <v>1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>
        <v>83</v>
      </c>
      <c r="AA484">
        <v>1</v>
      </c>
      <c r="AB484">
        <v>0</v>
      </c>
      <c r="AC484">
        <v>0</v>
      </c>
      <c r="AD484" s="19">
        <v>55153</v>
      </c>
      <c r="AE484" s="19">
        <v>42887</v>
      </c>
    </row>
    <row r="485" spans="1:31" x14ac:dyDescent="0.25">
      <c r="A485" s="15" t="s">
        <v>1180</v>
      </c>
      <c r="B485" s="14">
        <v>0</v>
      </c>
      <c r="C485" s="16">
        <v>0</v>
      </c>
      <c r="D485" s="16">
        <v>0</v>
      </c>
      <c r="E485">
        <v>1</v>
      </c>
      <c r="F485">
        <v>0</v>
      </c>
      <c r="G485" s="16">
        <v>0</v>
      </c>
      <c r="H485" s="16">
        <v>0</v>
      </c>
      <c r="I485" s="16">
        <v>1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>
        <v>83</v>
      </c>
      <c r="AA485">
        <v>1</v>
      </c>
      <c r="AB485">
        <v>0</v>
      </c>
      <c r="AC485">
        <v>0</v>
      </c>
      <c r="AD485" s="20">
        <v>55153</v>
      </c>
      <c r="AE485" s="20">
        <v>42887</v>
      </c>
    </row>
    <row r="486" spans="1:31" x14ac:dyDescent="0.25">
      <c r="A486" s="12" t="s">
        <v>1182</v>
      </c>
      <c r="B486" s="11">
        <v>0</v>
      </c>
      <c r="C486" s="13">
        <v>0</v>
      </c>
      <c r="D486" s="13">
        <v>0</v>
      </c>
      <c r="E486" s="28">
        <v>1</v>
      </c>
      <c r="F486">
        <v>0</v>
      </c>
      <c r="G486" s="13">
        <v>0</v>
      </c>
      <c r="H486" s="13">
        <v>0</v>
      </c>
      <c r="I486" s="13">
        <v>1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>
        <v>83</v>
      </c>
      <c r="AA486">
        <v>1</v>
      </c>
      <c r="AB486">
        <v>0</v>
      </c>
      <c r="AC486">
        <v>0</v>
      </c>
      <c r="AD486" s="19">
        <v>55153</v>
      </c>
      <c r="AE486" s="19">
        <v>42887</v>
      </c>
    </row>
    <row r="487" spans="1:31" x14ac:dyDescent="0.25">
      <c r="A487" s="15" t="s">
        <v>1184</v>
      </c>
      <c r="B487" s="14">
        <v>1</v>
      </c>
      <c r="C487" s="16">
        <v>0</v>
      </c>
      <c r="D487" s="16">
        <v>0</v>
      </c>
      <c r="E487">
        <v>0</v>
      </c>
      <c r="F487">
        <v>1</v>
      </c>
      <c r="G487" s="16">
        <v>0</v>
      </c>
      <c r="H487" s="16">
        <v>1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0</v>
      </c>
      <c r="O487">
        <v>87</v>
      </c>
      <c r="AA487">
        <v>1</v>
      </c>
      <c r="AB487">
        <v>0</v>
      </c>
      <c r="AC487">
        <v>0</v>
      </c>
      <c r="AD487" s="20">
        <v>55153</v>
      </c>
      <c r="AE487" s="20">
        <v>42767</v>
      </c>
    </row>
    <row r="488" spans="1:31" x14ac:dyDescent="0.25">
      <c r="A488" s="12" t="s">
        <v>1186</v>
      </c>
      <c r="B488" s="11">
        <v>0</v>
      </c>
      <c r="C488" s="13">
        <v>0</v>
      </c>
      <c r="D488" s="13">
        <v>0</v>
      </c>
      <c r="E488" s="28">
        <v>0</v>
      </c>
      <c r="F488">
        <v>1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1</v>
      </c>
      <c r="N488" s="13">
        <v>0</v>
      </c>
      <c r="O488">
        <v>86</v>
      </c>
      <c r="AA488">
        <v>1</v>
      </c>
      <c r="AB488">
        <v>0</v>
      </c>
      <c r="AC488">
        <v>0</v>
      </c>
      <c r="AD488" s="19">
        <v>55153</v>
      </c>
      <c r="AE488" s="19">
        <v>42795</v>
      </c>
    </row>
    <row r="489" spans="1:31" x14ac:dyDescent="0.25">
      <c r="A489" s="15" t="s">
        <v>1188</v>
      </c>
      <c r="B489" s="14">
        <v>1</v>
      </c>
      <c r="C489" s="16">
        <v>0</v>
      </c>
      <c r="D489" s="16">
        <v>0</v>
      </c>
      <c r="E489">
        <v>0</v>
      </c>
      <c r="F489">
        <v>1</v>
      </c>
      <c r="G489" s="16">
        <v>0</v>
      </c>
      <c r="H489" s="16">
        <v>1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>
        <v>70</v>
      </c>
      <c r="AA489">
        <v>1</v>
      </c>
      <c r="AB489">
        <v>0</v>
      </c>
      <c r="AC489">
        <v>0</v>
      </c>
      <c r="AD489" s="20">
        <v>55153</v>
      </c>
      <c r="AE489" s="20">
        <v>43282</v>
      </c>
    </row>
    <row r="490" spans="1:31" x14ac:dyDescent="0.25">
      <c r="A490" s="12" t="s">
        <v>1190</v>
      </c>
      <c r="B490" s="11">
        <v>0</v>
      </c>
      <c r="C490" s="13">
        <v>0</v>
      </c>
      <c r="D490" s="13">
        <v>0</v>
      </c>
      <c r="E490" s="28">
        <v>0</v>
      </c>
      <c r="F490">
        <v>1</v>
      </c>
      <c r="G490" s="13">
        <v>0</v>
      </c>
      <c r="H490" s="13">
        <v>0</v>
      </c>
      <c r="I490" s="13">
        <v>0</v>
      </c>
      <c r="J490" s="13">
        <v>0</v>
      </c>
      <c r="K490" s="13">
        <v>1</v>
      </c>
      <c r="L490" s="13">
        <v>0</v>
      </c>
      <c r="M490" s="13">
        <v>0</v>
      </c>
      <c r="N490" s="13">
        <v>0</v>
      </c>
      <c r="O490">
        <v>86</v>
      </c>
      <c r="AA490">
        <v>1</v>
      </c>
      <c r="AB490">
        <v>0</v>
      </c>
      <c r="AC490">
        <v>0</v>
      </c>
      <c r="AD490" s="19">
        <v>55153</v>
      </c>
      <c r="AE490" s="19">
        <v>42795</v>
      </c>
    </row>
    <row r="491" spans="1:31" x14ac:dyDescent="0.25">
      <c r="A491" s="15" t="s">
        <v>1192</v>
      </c>
      <c r="B491" s="14">
        <v>1</v>
      </c>
      <c r="C491" s="16">
        <v>0</v>
      </c>
      <c r="D491" s="16">
        <v>1</v>
      </c>
      <c r="E491">
        <v>1</v>
      </c>
      <c r="F491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0</v>
      </c>
      <c r="L491" s="16">
        <v>1</v>
      </c>
      <c r="M491" s="16">
        <v>0</v>
      </c>
      <c r="N491" s="16">
        <v>0</v>
      </c>
      <c r="O491">
        <v>86</v>
      </c>
      <c r="AA491">
        <v>1</v>
      </c>
      <c r="AB491">
        <v>0</v>
      </c>
      <c r="AC491">
        <v>0</v>
      </c>
      <c r="AD491" s="20">
        <v>55153</v>
      </c>
      <c r="AE491" s="20">
        <v>42795</v>
      </c>
    </row>
    <row r="492" spans="1:31" x14ac:dyDescent="0.25">
      <c r="A492" s="12" t="s">
        <v>1194</v>
      </c>
      <c r="B492" s="11">
        <v>1</v>
      </c>
      <c r="C492" s="13">
        <v>0</v>
      </c>
      <c r="D492" s="13">
        <v>1</v>
      </c>
      <c r="E492" s="28">
        <v>0</v>
      </c>
      <c r="F492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1</v>
      </c>
      <c r="M492" s="13">
        <v>0</v>
      </c>
      <c r="N492" s="13">
        <v>0</v>
      </c>
      <c r="O492">
        <v>19</v>
      </c>
      <c r="AA492">
        <v>0</v>
      </c>
      <c r="AB492">
        <v>0</v>
      </c>
      <c r="AC492">
        <v>1</v>
      </c>
      <c r="AD492" s="19">
        <v>43404</v>
      </c>
      <c r="AE492" s="19">
        <v>42795</v>
      </c>
    </row>
    <row r="493" spans="1:31" x14ac:dyDescent="0.25">
      <c r="A493" s="15" t="s">
        <v>1196</v>
      </c>
      <c r="B493" s="14">
        <v>1</v>
      </c>
      <c r="C493" s="16">
        <v>0</v>
      </c>
      <c r="D493" s="16">
        <v>1</v>
      </c>
      <c r="E493">
        <v>0</v>
      </c>
      <c r="F493">
        <v>0</v>
      </c>
      <c r="G493" s="16">
        <v>0</v>
      </c>
      <c r="H493" s="16">
        <v>1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>
        <v>34</v>
      </c>
      <c r="AA493">
        <v>0</v>
      </c>
      <c r="AB493">
        <v>1</v>
      </c>
      <c r="AC493">
        <v>0</v>
      </c>
      <c r="AD493" s="20">
        <v>43830</v>
      </c>
      <c r="AE493" s="20">
        <v>42767</v>
      </c>
    </row>
    <row r="494" spans="1:31" x14ac:dyDescent="0.25">
      <c r="A494" s="12" t="s">
        <v>1198</v>
      </c>
      <c r="B494" s="11">
        <v>0</v>
      </c>
      <c r="C494" s="13">
        <v>0</v>
      </c>
      <c r="D494" s="13">
        <v>0</v>
      </c>
      <c r="E494" s="28">
        <v>1</v>
      </c>
      <c r="F494">
        <v>0</v>
      </c>
      <c r="G494" s="13">
        <v>0</v>
      </c>
      <c r="H494" s="13">
        <v>0</v>
      </c>
      <c r="I494" s="13">
        <v>0</v>
      </c>
      <c r="J494" s="13">
        <v>0</v>
      </c>
      <c r="K494" s="13">
        <v>1</v>
      </c>
      <c r="L494" s="13">
        <v>0</v>
      </c>
      <c r="M494" s="13">
        <v>0</v>
      </c>
      <c r="N494" s="13">
        <v>0</v>
      </c>
      <c r="O494">
        <v>83</v>
      </c>
      <c r="AA494">
        <v>1</v>
      </c>
      <c r="AB494">
        <v>0</v>
      </c>
      <c r="AC494">
        <v>0</v>
      </c>
      <c r="AD494" s="19">
        <v>55153</v>
      </c>
      <c r="AE494" s="19">
        <v>42887</v>
      </c>
    </row>
    <row r="495" spans="1:31" x14ac:dyDescent="0.25">
      <c r="A495" s="15" t="s">
        <v>1200</v>
      </c>
      <c r="B495" s="14">
        <v>0</v>
      </c>
      <c r="C495" s="16">
        <v>0</v>
      </c>
      <c r="D495" s="16">
        <v>0</v>
      </c>
      <c r="E495">
        <v>1</v>
      </c>
      <c r="F495">
        <v>0</v>
      </c>
      <c r="G495" s="16">
        <v>0</v>
      </c>
      <c r="H495" s="16">
        <v>0</v>
      </c>
      <c r="I495" s="16">
        <v>0</v>
      </c>
      <c r="J495" s="16">
        <v>0</v>
      </c>
      <c r="K495" s="16">
        <v>1</v>
      </c>
      <c r="L495" s="16">
        <v>0</v>
      </c>
      <c r="M495" s="16">
        <v>0</v>
      </c>
      <c r="N495" s="16">
        <v>0</v>
      </c>
      <c r="O495">
        <v>83</v>
      </c>
      <c r="AA495">
        <v>1</v>
      </c>
      <c r="AB495">
        <v>0</v>
      </c>
      <c r="AC495">
        <v>0</v>
      </c>
      <c r="AD495" s="20">
        <v>55153</v>
      </c>
      <c r="AE495" s="20">
        <v>42887</v>
      </c>
    </row>
    <row r="496" spans="1:31" x14ac:dyDescent="0.25">
      <c r="A496" s="12" t="s">
        <v>1202</v>
      </c>
      <c r="B496" s="11">
        <v>0</v>
      </c>
      <c r="C496" s="13">
        <v>0</v>
      </c>
      <c r="D496" s="13">
        <v>0</v>
      </c>
      <c r="E496" s="28">
        <v>1</v>
      </c>
      <c r="F496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1</v>
      </c>
      <c r="L496" s="13">
        <v>0</v>
      </c>
      <c r="M496" s="13">
        <v>0</v>
      </c>
      <c r="N496" s="13">
        <v>0</v>
      </c>
      <c r="O496">
        <v>83</v>
      </c>
      <c r="AA496">
        <v>1</v>
      </c>
      <c r="AB496">
        <v>0</v>
      </c>
      <c r="AC496">
        <v>0</v>
      </c>
      <c r="AD496" s="19">
        <v>55153</v>
      </c>
      <c r="AE496" s="19">
        <v>42887</v>
      </c>
    </row>
    <row r="497" spans="1:31" x14ac:dyDescent="0.25">
      <c r="A497" s="15" t="s">
        <v>1204</v>
      </c>
      <c r="B497" s="14">
        <v>0</v>
      </c>
      <c r="C497" s="16">
        <v>0</v>
      </c>
      <c r="D497" s="16">
        <v>0</v>
      </c>
      <c r="E497">
        <v>1</v>
      </c>
      <c r="F497">
        <v>0</v>
      </c>
      <c r="G497" s="16">
        <v>0</v>
      </c>
      <c r="H497" s="16">
        <v>0</v>
      </c>
      <c r="I497" s="16">
        <v>0</v>
      </c>
      <c r="J497" s="16">
        <v>0</v>
      </c>
      <c r="K497" s="16">
        <v>1</v>
      </c>
      <c r="L497" s="16">
        <v>0</v>
      </c>
      <c r="M497" s="16">
        <v>0</v>
      </c>
      <c r="N497" s="16">
        <v>0</v>
      </c>
      <c r="O497">
        <v>83</v>
      </c>
      <c r="AA497">
        <v>1</v>
      </c>
      <c r="AB497">
        <v>0</v>
      </c>
      <c r="AC497">
        <v>0</v>
      </c>
      <c r="AD497" s="20">
        <v>55153</v>
      </c>
      <c r="AE497" s="20">
        <v>42887</v>
      </c>
    </row>
    <row r="498" spans="1:31" x14ac:dyDescent="0.25">
      <c r="A498" s="12" t="s">
        <v>1206</v>
      </c>
      <c r="B498" s="11">
        <v>0</v>
      </c>
      <c r="C498" s="13">
        <v>0</v>
      </c>
      <c r="D498" s="13">
        <v>0</v>
      </c>
      <c r="E498" s="28">
        <v>0</v>
      </c>
      <c r="F498">
        <v>1</v>
      </c>
      <c r="G498" s="13">
        <v>1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>
        <v>83</v>
      </c>
      <c r="AA498">
        <v>1</v>
      </c>
      <c r="AB498">
        <v>0</v>
      </c>
      <c r="AC498">
        <v>0</v>
      </c>
      <c r="AD498" s="19">
        <v>55153</v>
      </c>
      <c r="AE498" s="19">
        <v>42887</v>
      </c>
    </row>
    <row r="499" spans="1:31" x14ac:dyDescent="0.25">
      <c r="A499" s="15" t="s">
        <v>1208</v>
      </c>
      <c r="B499" s="14">
        <v>0</v>
      </c>
      <c r="C499" s="16">
        <v>0</v>
      </c>
      <c r="D499" s="16">
        <v>0</v>
      </c>
      <c r="E499">
        <v>0</v>
      </c>
      <c r="F499">
        <v>1</v>
      </c>
      <c r="G499" s="16">
        <v>0</v>
      </c>
      <c r="H499" s="16">
        <v>0</v>
      </c>
      <c r="I499" s="16">
        <v>0</v>
      </c>
      <c r="J499" s="16">
        <v>0</v>
      </c>
      <c r="K499" s="16">
        <v>1</v>
      </c>
      <c r="L499" s="16">
        <v>0</v>
      </c>
      <c r="M499" s="16">
        <v>0</v>
      </c>
      <c r="N499" s="16">
        <v>0</v>
      </c>
      <c r="O499">
        <v>88</v>
      </c>
      <c r="AA499">
        <v>1</v>
      </c>
      <c r="AB499">
        <v>0</v>
      </c>
      <c r="AC499">
        <v>0</v>
      </c>
      <c r="AD499" s="20">
        <v>55153</v>
      </c>
      <c r="AE499" s="20">
        <v>42736</v>
      </c>
    </row>
    <row r="500" spans="1:31" x14ac:dyDescent="0.25">
      <c r="A500" s="12" t="s">
        <v>1210</v>
      </c>
      <c r="B500" s="11">
        <v>0</v>
      </c>
      <c r="C500" s="13">
        <v>0</v>
      </c>
      <c r="D500" s="13">
        <v>0</v>
      </c>
      <c r="E500" s="28">
        <v>0</v>
      </c>
      <c r="F500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1</v>
      </c>
      <c r="L500" s="13">
        <v>0</v>
      </c>
      <c r="M500" s="13">
        <v>0</v>
      </c>
      <c r="N500" s="13">
        <v>0</v>
      </c>
      <c r="O500">
        <v>69</v>
      </c>
      <c r="AA500">
        <v>0</v>
      </c>
      <c r="AB500">
        <v>0</v>
      </c>
      <c r="AC500">
        <v>1</v>
      </c>
      <c r="AD500" s="19">
        <v>44926</v>
      </c>
      <c r="AE500" s="19">
        <v>42795</v>
      </c>
    </row>
    <row r="501" spans="1:31" x14ac:dyDescent="0.25">
      <c r="A501" s="15" t="s">
        <v>1212</v>
      </c>
      <c r="B501" s="14">
        <v>1</v>
      </c>
      <c r="C501" s="16">
        <v>1</v>
      </c>
      <c r="D501" s="16">
        <v>1</v>
      </c>
      <c r="E501">
        <v>1</v>
      </c>
      <c r="F501">
        <v>0</v>
      </c>
      <c r="G501" s="16">
        <v>0</v>
      </c>
      <c r="H501" s="16">
        <v>1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0</v>
      </c>
      <c r="O501">
        <v>86</v>
      </c>
      <c r="AA501">
        <v>1</v>
      </c>
      <c r="AB501">
        <v>0</v>
      </c>
      <c r="AC501">
        <v>0</v>
      </c>
      <c r="AD501" s="20">
        <v>55153</v>
      </c>
      <c r="AE501" s="20">
        <v>42795</v>
      </c>
    </row>
    <row r="502" spans="1:31" x14ac:dyDescent="0.25">
      <c r="A502" s="12" t="s">
        <v>1214</v>
      </c>
      <c r="B502" s="11">
        <v>0</v>
      </c>
      <c r="C502" s="13">
        <v>0</v>
      </c>
      <c r="D502" s="13">
        <v>0</v>
      </c>
      <c r="E502" s="28">
        <v>0</v>
      </c>
      <c r="F502">
        <v>1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1</v>
      </c>
      <c r="N502" s="13">
        <v>0</v>
      </c>
      <c r="O502">
        <v>86</v>
      </c>
      <c r="AA502">
        <v>1</v>
      </c>
      <c r="AB502">
        <v>0</v>
      </c>
      <c r="AC502">
        <v>0</v>
      </c>
      <c r="AD502" s="19">
        <v>55153</v>
      </c>
      <c r="AE502" s="19">
        <v>42795</v>
      </c>
    </row>
    <row r="503" spans="1:31" x14ac:dyDescent="0.25">
      <c r="A503" s="15" t="s">
        <v>1216</v>
      </c>
      <c r="B503" s="14">
        <v>1</v>
      </c>
      <c r="C503" s="16">
        <v>0</v>
      </c>
      <c r="D503" s="16">
        <v>0</v>
      </c>
      <c r="E503">
        <v>0</v>
      </c>
      <c r="F503">
        <v>1</v>
      </c>
      <c r="G503" s="16">
        <v>0</v>
      </c>
      <c r="H503" s="16">
        <v>0</v>
      </c>
      <c r="I503" s="16">
        <v>1</v>
      </c>
      <c r="J503" s="16">
        <v>0</v>
      </c>
      <c r="K503" s="16">
        <v>0</v>
      </c>
      <c r="L503" s="16">
        <v>0</v>
      </c>
      <c r="M503" s="16">
        <v>0</v>
      </c>
      <c r="N503" s="16">
        <v>0</v>
      </c>
      <c r="O503">
        <v>81</v>
      </c>
      <c r="AA503">
        <v>1</v>
      </c>
      <c r="AB503">
        <v>0</v>
      </c>
      <c r="AC503">
        <v>0</v>
      </c>
      <c r="AD503" s="20">
        <v>55153</v>
      </c>
      <c r="AE503" s="20">
        <v>42948</v>
      </c>
    </row>
    <row r="504" spans="1:31" x14ac:dyDescent="0.25">
      <c r="A504" s="12" t="s">
        <v>1218</v>
      </c>
      <c r="B504" s="11">
        <v>0</v>
      </c>
      <c r="C504" s="13">
        <v>0</v>
      </c>
      <c r="D504" s="13">
        <v>0</v>
      </c>
      <c r="E504" s="28">
        <v>0</v>
      </c>
      <c r="F504">
        <v>1</v>
      </c>
      <c r="G504" s="13">
        <v>0</v>
      </c>
      <c r="H504" s="13">
        <v>0</v>
      </c>
      <c r="I504" s="13">
        <v>0</v>
      </c>
      <c r="J504" s="13">
        <v>0</v>
      </c>
      <c r="K504" s="13">
        <v>1</v>
      </c>
      <c r="L504" s="13">
        <v>0</v>
      </c>
      <c r="M504" s="13">
        <v>0</v>
      </c>
      <c r="N504" s="13">
        <v>0</v>
      </c>
      <c r="O504">
        <v>83</v>
      </c>
      <c r="AA504">
        <v>1</v>
      </c>
      <c r="AB504">
        <v>0</v>
      </c>
      <c r="AC504">
        <v>0</v>
      </c>
      <c r="AD504" s="19">
        <v>55153</v>
      </c>
      <c r="AE504" s="19">
        <v>42887</v>
      </c>
    </row>
    <row r="505" spans="1:31" x14ac:dyDescent="0.25">
      <c r="A505" s="15" t="s">
        <v>1220</v>
      </c>
      <c r="B505" s="14">
        <v>0</v>
      </c>
      <c r="C505" s="16">
        <v>0</v>
      </c>
      <c r="D505" s="16">
        <v>0</v>
      </c>
      <c r="E505">
        <v>1</v>
      </c>
      <c r="F505">
        <v>0</v>
      </c>
      <c r="G505" s="16">
        <v>0</v>
      </c>
      <c r="H505" s="16">
        <v>0</v>
      </c>
      <c r="I505" s="16">
        <v>1</v>
      </c>
      <c r="J505" s="16">
        <v>0</v>
      </c>
      <c r="K505" s="16">
        <v>0</v>
      </c>
      <c r="L505" s="16">
        <v>0</v>
      </c>
      <c r="M505" s="16">
        <v>0</v>
      </c>
      <c r="N505" s="16">
        <v>0</v>
      </c>
      <c r="O505">
        <v>83</v>
      </c>
      <c r="AA505">
        <v>1</v>
      </c>
      <c r="AB505">
        <v>0</v>
      </c>
      <c r="AC505">
        <v>0</v>
      </c>
      <c r="AD505" s="20">
        <v>55153</v>
      </c>
      <c r="AE505" s="20">
        <v>42887</v>
      </c>
    </row>
    <row r="506" spans="1:31" x14ac:dyDescent="0.25">
      <c r="A506" s="12" t="s">
        <v>1222</v>
      </c>
      <c r="B506" s="11">
        <v>0</v>
      </c>
      <c r="C506" s="13">
        <v>0</v>
      </c>
      <c r="D506" s="13">
        <v>0</v>
      </c>
      <c r="E506" s="28">
        <v>0</v>
      </c>
      <c r="F506">
        <v>1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1</v>
      </c>
      <c r="N506" s="13">
        <v>0</v>
      </c>
      <c r="O506">
        <v>86</v>
      </c>
      <c r="AA506">
        <v>1</v>
      </c>
      <c r="AB506">
        <v>0</v>
      </c>
      <c r="AC506">
        <v>0</v>
      </c>
      <c r="AD506" s="19">
        <v>55153</v>
      </c>
      <c r="AE506" s="19">
        <v>42795</v>
      </c>
    </row>
    <row r="507" spans="1:31" x14ac:dyDescent="0.25">
      <c r="A507" s="15" t="s">
        <v>1224</v>
      </c>
      <c r="B507" s="14">
        <v>0</v>
      </c>
      <c r="C507" s="16">
        <v>0</v>
      </c>
      <c r="D507" s="16">
        <v>0</v>
      </c>
      <c r="E507">
        <v>0</v>
      </c>
      <c r="F507">
        <v>1</v>
      </c>
      <c r="G507" s="16">
        <v>0</v>
      </c>
      <c r="H507" s="16">
        <v>0</v>
      </c>
      <c r="I507" s="16">
        <v>0</v>
      </c>
      <c r="J507" s="16">
        <v>0</v>
      </c>
      <c r="K507" s="16">
        <v>1</v>
      </c>
      <c r="L507" s="16">
        <v>0</v>
      </c>
      <c r="M507" s="16">
        <v>0</v>
      </c>
      <c r="N507" s="16">
        <v>0</v>
      </c>
      <c r="O507">
        <v>86</v>
      </c>
      <c r="AA507">
        <v>1</v>
      </c>
      <c r="AB507">
        <v>0</v>
      </c>
      <c r="AC507">
        <v>0</v>
      </c>
      <c r="AD507" s="20">
        <v>55153</v>
      </c>
      <c r="AE507" s="20">
        <v>42795</v>
      </c>
    </row>
    <row r="508" spans="1:31" x14ac:dyDescent="0.25">
      <c r="A508" s="12" t="s">
        <v>1226</v>
      </c>
      <c r="B508" s="11">
        <v>1</v>
      </c>
      <c r="C508" s="13">
        <v>1</v>
      </c>
      <c r="D508" s="13">
        <v>1</v>
      </c>
      <c r="E508" s="28">
        <v>0</v>
      </c>
      <c r="F508">
        <v>0</v>
      </c>
      <c r="G508" s="13">
        <v>0</v>
      </c>
      <c r="H508" s="13">
        <v>0</v>
      </c>
      <c r="I508" s="13">
        <v>0</v>
      </c>
      <c r="J508" s="13">
        <v>1</v>
      </c>
      <c r="K508" s="13">
        <v>0</v>
      </c>
      <c r="L508" s="13">
        <v>0</v>
      </c>
      <c r="M508" s="13">
        <v>0</v>
      </c>
      <c r="N508" s="13">
        <v>0</v>
      </c>
      <c r="O508">
        <v>20</v>
      </c>
      <c r="AA508">
        <v>0</v>
      </c>
      <c r="AB508">
        <v>1</v>
      </c>
      <c r="AC508">
        <v>0</v>
      </c>
      <c r="AD508" s="19">
        <v>43434</v>
      </c>
      <c r="AE508" s="19">
        <v>42795</v>
      </c>
    </row>
    <row r="509" spans="1:31" x14ac:dyDescent="0.25">
      <c r="A509" s="15" t="s">
        <v>1228</v>
      </c>
      <c r="B509" s="14">
        <v>1</v>
      </c>
      <c r="C509" s="16">
        <v>0</v>
      </c>
      <c r="D509" s="16">
        <v>1</v>
      </c>
      <c r="E509">
        <v>0</v>
      </c>
      <c r="F509">
        <v>0</v>
      </c>
      <c r="G509" s="16">
        <v>0</v>
      </c>
      <c r="H509" s="16">
        <v>0</v>
      </c>
      <c r="I509" s="16">
        <v>0</v>
      </c>
      <c r="J509" s="16">
        <v>0</v>
      </c>
      <c r="K509" s="16">
        <v>1</v>
      </c>
      <c r="L509" s="16">
        <v>0</v>
      </c>
      <c r="M509" s="16">
        <v>0</v>
      </c>
      <c r="N509" s="16">
        <v>0</v>
      </c>
      <c r="O509">
        <v>33</v>
      </c>
      <c r="AA509">
        <v>0</v>
      </c>
      <c r="AB509">
        <v>1</v>
      </c>
      <c r="AC509">
        <v>0</v>
      </c>
      <c r="AD509" s="20">
        <v>43830</v>
      </c>
      <c r="AE509" s="20">
        <v>42795</v>
      </c>
    </row>
    <row r="510" spans="1:31" x14ac:dyDescent="0.25">
      <c r="A510" s="12" t="s">
        <v>1230</v>
      </c>
      <c r="B510" s="11">
        <v>0</v>
      </c>
      <c r="C510" s="13">
        <v>0</v>
      </c>
      <c r="D510" s="13">
        <v>0</v>
      </c>
      <c r="E510" s="28">
        <v>0</v>
      </c>
      <c r="F510">
        <v>1</v>
      </c>
      <c r="G510" s="13">
        <v>1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>
        <v>77</v>
      </c>
      <c r="AA510">
        <v>1</v>
      </c>
      <c r="AB510">
        <v>0</v>
      </c>
      <c r="AC510">
        <v>0</v>
      </c>
      <c r="AD510" s="19">
        <v>55153</v>
      </c>
      <c r="AE510" s="19">
        <v>43070</v>
      </c>
    </row>
    <row r="511" spans="1:31" x14ac:dyDescent="0.25">
      <c r="A511" s="15" t="s">
        <v>1232</v>
      </c>
      <c r="B511" s="14">
        <v>1</v>
      </c>
      <c r="C511" s="16">
        <v>0</v>
      </c>
      <c r="D511" s="16">
        <v>1</v>
      </c>
      <c r="E511">
        <v>0</v>
      </c>
      <c r="F511">
        <v>1</v>
      </c>
      <c r="G511" s="16">
        <v>0</v>
      </c>
      <c r="H511" s="16">
        <v>0</v>
      </c>
      <c r="I511" s="16">
        <v>0</v>
      </c>
      <c r="J511" s="16">
        <v>1</v>
      </c>
      <c r="K511" s="16">
        <v>0</v>
      </c>
      <c r="L511" s="16">
        <v>0</v>
      </c>
      <c r="M511" s="16">
        <v>0</v>
      </c>
      <c r="N511" s="16">
        <v>0</v>
      </c>
      <c r="O511">
        <v>85</v>
      </c>
      <c r="AA511">
        <v>1</v>
      </c>
      <c r="AB511">
        <v>0</v>
      </c>
      <c r="AC511">
        <v>0</v>
      </c>
      <c r="AD511" s="20">
        <v>55153</v>
      </c>
      <c r="AE511" s="20">
        <v>42826</v>
      </c>
    </row>
    <row r="512" spans="1:31" x14ac:dyDescent="0.25">
      <c r="A512" s="12" t="s">
        <v>1234</v>
      </c>
      <c r="B512" s="11">
        <v>1</v>
      </c>
      <c r="C512" s="13">
        <v>0</v>
      </c>
      <c r="D512" s="13">
        <v>1</v>
      </c>
      <c r="E512" s="28">
        <v>1</v>
      </c>
      <c r="F512">
        <v>0</v>
      </c>
      <c r="G512" s="13">
        <v>0</v>
      </c>
      <c r="H512" s="13">
        <v>1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>
        <v>83</v>
      </c>
      <c r="AA512">
        <v>1</v>
      </c>
      <c r="AB512">
        <v>0</v>
      </c>
      <c r="AC512">
        <v>0</v>
      </c>
      <c r="AD512" s="19">
        <v>55153</v>
      </c>
      <c r="AE512" s="19">
        <v>42887</v>
      </c>
    </row>
    <row r="513" spans="1:31" x14ac:dyDescent="0.25">
      <c r="A513" s="15" t="s">
        <v>1236</v>
      </c>
      <c r="B513" s="14">
        <v>0</v>
      </c>
      <c r="C513" s="16">
        <v>0</v>
      </c>
      <c r="D513" s="16">
        <v>0</v>
      </c>
      <c r="E513">
        <v>0</v>
      </c>
      <c r="F513">
        <v>1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6">
        <v>1</v>
      </c>
      <c r="N513" s="16">
        <v>0</v>
      </c>
      <c r="O513">
        <v>86</v>
      </c>
      <c r="AA513">
        <v>1</v>
      </c>
      <c r="AB513">
        <v>0</v>
      </c>
      <c r="AC513">
        <v>0</v>
      </c>
      <c r="AD513" s="20">
        <v>55153</v>
      </c>
      <c r="AE513" s="20">
        <v>42795</v>
      </c>
    </row>
    <row r="514" spans="1:31" x14ac:dyDescent="0.25">
      <c r="A514" s="12" t="s">
        <v>1238</v>
      </c>
      <c r="B514" s="11">
        <v>0</v>
      </c>
      <c r="C514" s="13">
        <v>0</v>
      </c>
      <c r="D514" s="13">
        <v>0</v>
      </c>
      <c r="E514" s="28">
        <v>1</v>
      </c>
      <c r="F514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1</v>
      </c>
      <c r="L514" s="13">
        <v>0</v>
      </c>
      <c r="M514" s="13">
        <v>0</v>
      </c>
      <c r="N514" s="13">
        <v>0</v>
      </c>
      <c r="O514">
        <v>86</v>
      </c>
      <c r="AA514">
        <v>1</v>
      </c>
      <c r="AB514">
        <v>0</v>
      </c>
      <c r="AC514">
        <v>0</v>
      </c>
      <c r="AD514" s="19">
        <v>55153</v>
      </c>
      <c r="AE514" s="19">
        <v>42795</v>
      </c>
    </row>
    <row r="515" spans="1:31" x14ac:dyDescent="0.25">
      <c r="A515" s="15" t="s">
        <v>1240</v>
      </c>
      <c r="B515" s="14">
        <v>0</v>
      </c>
      <c r="C515" s="16">
        <v>0</v>
      </c>
      <c r="D515" s="16">
        <v>0</v>
      </c>
      <c r="E515">
        <v>0</v>
      </c>
      <c r="F515">
        <v>1</v>
      </c>
      <c r="G515" s="16">
        <v>1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>
        <v>83</v>
      </c>
      <c r="AA515">
        <v>1</v>
      </c>
      <c r="AB515">
        <v>0</v>
      </c>
      <c r="AC515">
        <v>0</v>
      </c>
      <c r="AD515" s="20">
        <v>55153</v>
      </c>
      <c r="AE515" s="20">
        <v>42887</v>
      </c>
    </row>
    <row r="516" spans="1:31" x14ac:dyDescent="0.25">
      <c r="A516" s="12" t="s">
        <v>1242</v>
      </c>
      <c r="B516" s="11">
        <v>0</v>
      </c>
      <c r="C516" s="13">
        <v>0</v>
      </c>
      <c r="D516" s="13">
        <v>0</v>
      </c>
      <c r="E516" s="28">
        <v>0</v>
      </c>
      <c r="F516">
        <v>1</v>
      </c>
      <c r="G516" s="13">
        <v>0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1</v>
      </c>
      <c r="N516" s="13">
        <v>0</v>
      </c>
      <c r="O516">
        <v>80</v>
      </c>
      <c r="AA516">
        <v>1</v>
      </c>
      <c r="AB516">
        <v>0</v>
      </c>
      <c r="AC516">
        <v>0</v>
      </c>
      <c r="AD516" s="19">
        <v>55153</v>
      </c>
      <c r="AE516" s="19">
        <v>42979</v>
      </c>
    </row>
    <row r="517" spans="1:31" x14ac:dyDescent="0.25">
      <c r="A517" s="15" t="s">
        <v>1244</v>
      </c>
      <c r="B517" s="14">
        <v>1</v>
      </c>
      <c r="C517" s="16">
        <v>1</v>
      </c>
      <c r="D517" s="16">
        <v>1</v>
      </c>
      <c r="E517">
        <v>0</v>
      </c>
      <c r="F517">
        <v>0</v>
      </c>
      <c r="G517" s="16">
        <v>0</v>
      </c>
      <c r="H517" s="16">
        <v>1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>
        <v>18</v>
      </c>
      <c r="AA517">
        <v>0</v>
      </c>
      <c r="AB517">
        <v>1</v>
      </c>
      <c r="AC517">
        <v>0</v>
      </c>
      <c r="AD517" s="20">
        <v>43465</v>
      </c>
      <c r="AE517" s="20">
        <v>42887</v>
      </c>
    </row>
    <row r="518" spans="1:31" x14ac:dyDescent="0.25">
      <c r="A518" s="12" t="s">
        <v>1246</v>
      </c>
      <c r="B518" s="11">
        <v>1</v>
      </c>
      <c r="C518" s="13">
        <v>1</v>
      </c>
      <c r="D518" s="13">
        <v>1</v>
      </c>
      <c r="E518" s="28">
        <v>1</v>
      </c>
      <c r="F518">
        <v>0</v>
      </c>
      <c r="G518" s="13">
        <v>0</v>
      </c>
      <c r="H518" s="13">
        <v>1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>
        <v>83</v>
      </c>
      <c r="AA518">
        <v>1</v>
      </c>
      <c r="AB518">
        <v>0</v>
      </c>
      <c r="AC518">
        <v>0</v>
      </c>
      <c r="AD518" s="19">
        <v>55153</v>
      </c>
      <c r="AE518" s="19">
        <v>42887</v>
      </c>
    </row>
    <row r="519" spans="1:31" x14ac:dyDescent="0.25">
      <c r="A519" s="15" t="s">
        <v>1248</v>
      </c>
      <c r="B519" s="14">
        <v>1</v>
      </c>
      <c r="C519" s="16">
        <v>1</v>
      </c>
      <c r="D519" s="16">
        <v>1</v>
      </c>
      <c r="E519">
        <v>1</v>
      </c>
      <c r="F519">
        <v>0</v>
      </c>
      <c r="G519" s="16">
        <v>0</v>
      </c>
      <c r="H519" s="16">
        <v>1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>
        <v>83</v>
      </c>
      <c r="AA519">
        <v>1</v>
      </c>
      <c r="AB519">
        <v>0</v>
      </c>
      <c r="AC519">
        <v>0</v>
      </c>
      <c r="AD519" s="20">
        <v>55153</v>
      </c>
      <c r="AE519" s="20">
        <v>42887</v>
      </c>
    </row>
    <row r="520" spans="1:31" x14ac:dyDescent="0.25">
      <c r="A520" s="12" t="s">
        <v>1250</v>
      </c>
      <c r="B520" s="11">
        <v>1</v>
      </c>
      <c r="C520" s="13">
        <v>1</v>
      </c>
      <c r="D520" s="13">
        <v>1</v>
      </c>
      <c r="E520" s="28">
        <v>0</v>
      </c>
      <c r="F520">
        <v>0</v>
      </c>
      <c r="G520" s="13">
        <v>0</v>
      </c>
      <c r="H520" s="13">
        <v>1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>
        <v>37</v>
      </c>
      <c r="AA520">
        <v>0</v>
      </c>
      <c r="AB520">
        <v>1</v>
      </c>
      <c r="AC520">
        <v>0</v>
      </c>
      <c r="AD520" s="19">
        <v>44377</v>
      </c>
      <c r="AE520" s="19">
        <v>43221</v>
      </c>
    </row>
    <row r="521" spans="1:31" x14ac:dyDescent="0.25">
      <c r="A521" s="15" t="s">
        <v>1252</v>
      </c>
      <c r="B521" s="14">
        <v>1</v>
      </c>
      <c r="C521" s="16">
        <v>1</v>
      </c>
      <c r="D521" s="16">
        <v>1</v>
      </c>
      <c r="E521">
        <v>1</v>
      </c>
      <c r="F521">
        <v>0</v>
      </c>
      <c r="G521" s="16">
        <v>0</v>
      </c>
      <c r="H521" s="16">
        <v>1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>
        <v>80</v>
      </c>
      <c r="AA521">
        <v>1</v>
      </c>
      <c r="AB521">
        <v>0</v>
      </c>
      <c r="AC521">
        <v>0</v>
      </c>
      <c r="AD521" s="20">
        <v>55153</v>
      </c>
      <c r="AE521" s="20">
        <v>42979</v>
      </c>
    </row>
    <row r="522" spans="1:31" x14ac:dyDescent="0.25">
      <c r="A522" s="12" t="s">
        <v>1254</v>
      </c>
      <c r="B522" s="11">
        <v>0</v>
      </c>
      <c r="C522" s="13">
        <v>0</v>
      </c>
      <c r="D522" s="13">
        <v>0</v>
      </c>
      <c r="E522" s="28">
        <v>0</v>
      </c>
      <c r="F522">
        <v>1</v>
      </c>
      <c r="G522" s="13">
        <v>0</v>
      </c>
      <c r="H522" s="13">
        <v>0</v>
      </c>
      <c r="I522" s="13">
        <v>0</v>
      </c>
      <c r="J522" s="13">
        <v>0</v>
      </c>
      <c r="K522" s="13">
        <v>1</v>
      </c>
      <c r="L522" s="13">
        <v>0</v>
      </c>
      <c r="M522" s="13">
        <v>0</v>
      </c>
      <c r="N522" s="13">
        <v>0</v>
      </c>
      <c r="O522">
        <v>83</v>
      </c>
      <c r="AA522">
        <v>1</v>
      </c>
      <c r="AB522">
        <v>0</v>
      </c>
      <c r="AC522">
        <v>0</v>
      </c>
      <c r="AD522" s="19">
        <v>55153</v>
      </c>
      <c r="AE522" s="19">
        <v>42887</v>
      </c>
    </row>
    <row r="523" spans="1:31" x14ac:dyDescent="0.25">
      <c r="A523" s="15" t="s">
        <v>1256</v>
      </c>
      <c r="B523" s="14">
        <v>0</v>
      </c>
      <c r="C523" s="16">
        <v>0</v>
      </c>
      <c r="D523" s="16">
        <v>0</v>
      </c>
      <c r="E523">
        <v>0</v>
      </c>
      <c r="F523">
        <v>1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16">
        <v>1</v>
      </c>
      <c r="N523" s="16">
        <v>0</v>
      </c>
      <c r="O523">
        <v>83</v>
      </c>
      <c r="AA523">
        <v>1</v>
      </c>
      <c r="AB523">
        <v>0</v>
      </c>
      <c r="AC523">
        <v>0</v>
      </c>
      <c r="AD523" s="20">
        <v>55153</v>
      </c>
      <c r="AE523" s="20">
        <v>42887</v>
      </c>
    </row>
    <row r="524" spans="1:31" x14ac:dyDescent="0.25">
      <c r="A524" s="12" t="s">
        <v>1258</v>
      </c>
      <c r="B524" s="11">
        <v>1</v>
      </c>
      <c r="C524" s="13">
        <v>0</v>
      </c>
      <c r="D524" s="13">
        <v>1</v>
      </c>
      <c r="E524" s="28">
        <v>1</v>
      </c>
      <c r="F524">
        <v>0</v>
      </c>
      <c r="G524" s="13">
        <v>0</v>
      </c>
      <c r="H524" s="13">
        <v>0</v>
      </c>
      <c r="I524" s="13">
        <v>0</v>
      </c>
      <c r="J524" s="13">
        <v>1</v>
      </c>
      <c r="K524" s="13">
        <v>0</v>
      </c>
      <c r="L524" s="13">
        <v>0</v>
      </c>
      <c r="M524" s="13">
        <v>0</v>
      </c>
      <c r="N524" s="13">
        <v>0</v>
      </c>
      <c r="O524">
        <v>82</v>
      </c>
      <c r="AA524">
        <v>1</v>
      </c>
      <c r="AB524">
        <v>0</v>
      </c>
      <c r="AC524">
        <v>0</v>
      </c>
      <c r="AD524" s="19">
        <v>55153</v>
      </c>
      <c r="AE524" s="19">
        <v>42917</v>
      </c>
    </row>
    <row r="525" spans="1:31" x14ac:dyDescent="0.25">
      <c r="A525" s="15" t="s">
        <v>1260</v>
      </c>
      <c r="B525" s="14">
        <v>1</v>
      </c>
      <c r="C525" s="16">
        <v>0</v>
      </c>
      <c r="D525" s="16">
        <v>1</v>
      </c>
      <c r="E525">
        <v>1</v>
      </c>
      <c r="F525">
        <v>0</v>
      </c>
      <c r="G525" s="16">
        <v>0</v>
      </c>
      <c r="H525" s="16">
        <v>0</v>
      </c>
      <c r="I525" s="16">
        <v>0</v>
      </c>
      <c r="J525" s="16">
        <v>0</v>
      </c>
      <c r="K525" s="16">
        <v>1</v>
      </c>
      <c r="L525" s="16">
        <v>0</v>
      </c>
      <c r="M525" s="16">
        <v>0</v>
      </c>
      <c r="N525" s="16">
        <v>0</v>
      </c>
      <c r="O525">
        <v>80</v>
      </c>
      <c r="AA525">
        <v>1</v>
      </c>
      <c r="AB525">
        <v>0</v>
      </c>
      <c r="AC525">
        <v>0</v>
      </c>
      <c r="AD525" s="20">
        <v>55153</v>
      </c>
      <c r="AE525" s="20">
        <v>42979</v>
      </c>
    </row>
    <row r="526" spans="1:31" x14ac:dyDescent="0.25">
      <c r="A526" s="12" t="s">
        <v>1262</v>
      </c>
      <c r="B526" s="11">
        <v>0</v>
      </c>
      <c r="C526" s="13">
        <v>0</v>
      </c>
      <c r="D526" s="13">
        <v>0</v>
      </c>
      <c r="E526" s="28">
        <v>0</v>
      </c>
      <c r="F526">
        <v>1</v>
      </c>
      <c r="G526" s="13">
        <v>1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>
        <v>80</v>
      </c>
      <c r="AA526">
        <v>1</v>
      </c>
      <c r="AB526">
        <v>0</v>
      </c>
      <c r="AC526">
        <v>0</v>
      </c>
      <c r="AD526" s="19">
        <v>55153</v>
      </c>
      <c r="AE526" s="19">
        <v>42979</v>
      </c>
    </row>
    <row r="527" spans="1:31" x14ac:dyDescent="0.25">
      <c r="A527" s="15" t="s">
        <v>1264</v>
      </c>
      <c r="B527" s="14">
        <v>0</v>
      </c>
      <c r="C527" s="16">
        <v>0</v>
      </c>
      <c r="D527" s="16">
        <v>0</v>
      </c>
      <c r="E527">
        <v>0</v>
      </c>
      <c r="F527">
        <v>0</v>
      </c>
      <c r="G527" s="16">
        <v>1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>
        <v>8</v>
      </c>
      <c r="AA527">
        <v>0</v>
      </c>
      <c r="AB527">
        <v>0</v>
      </c>
      <c r="AC527">
        <v>1</v>
      </c>
      <c r="AD527" s="20">
        <v>43281</v>
      </c>
      <c r="AE527" s="20">
        <v>42979</v>
      </c>
    </row>
    <row r="528" spans="1:31" x14ac:dyDescent="0.25">
      <c r="A528" s="12" t="s">
        <v>1266</v>
      </c>
      <c r="B528" s="11">
        <v>1</v>
      </c>
      <c r="C528" s="13">
        <v>1</v>
      </c>
      <c r="D528" s="13">
        <v>1</v>
      </c>
      <c r="E528" s="28">
        <v>1</v>
      </c>
      <c r="F528">
        <v>0</v>
      </c>
      <c r="G528" s="13">
        <v>0</v>
      </c>
      <c r="H528" s="13">
        <v>0</v>
      </c>
      <c r="I528" s="13">
        <v>0</v>
      </c>
      <c r="J528" s="13">
        <v>1</v>
      </c>
      <c r="K528" s="13">
        <v>0</v>
      </c>
      <c r="L528" s="13">
        <v>0</v>
      </c>
      <c r="M528" s="13">
        <v>0</v>
      </c>
      <c r="N528" s="13">
        <v>0</v>
      </c>
      <c r="O528">
        <v>83</v>
      </c>
      <c r="AA528">
        <v>1</v>
      </c>
      <c r="AB528">
        <v>0</v>
      </c>
      <c r="AC528">
        <v>0</v>
      </c>
      <c r="AD528" s="19">
        <v>55153</v>
      </c>
      <c r="AE528" s="19">
        <v>42887</v>
      </c>
    </row>
    <row r="529" spans="1:31" x14ac:dyDescent="0.25">
      <c r="A529" s="15" t="s">
        <v>1268</v>
      </c>
      <c r="B529" s="14">
        <v>1</v>
      </c>
      <c r="C529" s="16">
        <v>1</v>
      </c>
      <c r="D529" s="16">
        <v>1</v>
      </c>
      <c r="E529">
        <v>1</v>
      </c>
      <c r="F529">
        <v>0</v>
      </c>
      <c r="G529" s="16">
        <v>0</v>
      </c>
      <c r="H529" s="16">
        <v>0</v>
      </c>
      <c r="I529" s="16">
        <v>0</v>
      </c>
      <c r="J529" s="16">
        <v>1</v>
      </c>
      <c r="K529" s="16">
        <v>0</v>
      </c>
      <c r="L529" s="16">
        <v>0</v>
      </c>
      <c r="M529" s="16">
        <v>0</v>
      </c>
      <c r="N529" s="16">
        <v>0</v>
      </c>
      <c r="O529">
        <v>83</v>
      </c>
      <c r="AA529">
        <v>1</v>
      </c>
      <c r="AB529">
        <v>0</v>
      </c>
      <c r="AC529">
        <v>0</v>
      </c>
      <c r="AD529" s="20">
        <v>55153</v>
      </c>
      <c r="AE529" s="20">
        <v>42887</v>
      </c>
    </row>
    <row r="530" spans="1:31" x14ac:dyDescent="0.25">
      <c r="A530" s="12" t="s">
        <v>1270</v>
      </c>
      <c r="B530" s="11">
        <v>1</v>
      </c>
      <c r="C530" s="13">
        <v>1</v>
      </c>
      <c r="D530" s="13">
        <v>1</v>
      </c>
      <c r="E530" s="28">
        <v>1</v>
      </c>
      <c r="F530">
        <v>0</v>
      </c>
      <c r="G530" s="13">
        <v>0</v>
      </c>
      <c r="H530" s="13">
        <v>0</v>
      </c>
      <c r="I530" s="13">
        <v>0</v>
      </c>
      <c r="J530" s="13">
        <v>1</v>
      </c>
      <c r="K530" s="13">
        <v>0</v>
      </c>
      <c r="L530" s="13">
        <v>0</v>
      </c>
      <c r="M530" s="13">
        <v>0</v>
      </c>
      <c r="N530" s="13">
        <v>0</v>
      </c>
      <c r="O530">
        <v>83</v>
      </c>
      <c r="AA530">
        <v>1</v>
      </c>
      <c r="AB530">
        <v>0</v>
      </c>
      <c r="AC530">
        <v>0</v>
      </c>
      <c r="AD530" s="19">
        <v>55153</v>
      </c>
      <c r="AE530" s="19">
        <v>42887</v>
      </c>
    </row>
    <row r="531" spans="1:31" x14ac:dyDescent="0.25">
      <c r="A531" s="15" t="s">
        <v>1272</v>
      </c>
      <c r="B531" s="14">
        <v>1</v>
      </c>
      <c r="C531" s="16">
        <v>1</v>
      </c>
      <c r="D531" s="16">
        <v>1</v>
      </c>
      <c r="E531">
        <v>1</v>
      </c>
      <c r="F531">
        <v>0</v>
      </c>
      <c r="G531" s="16">
        <v>0</v>
      </c>
      <c r="H531" s="16">
        <v>1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>
        <v>83</v>
      </c>
      <c r="AA531">
        <v>1</v>
      </c>
      <c r="AB531">
        <v>0</v>
      </c>
      <c r="AC531">
        <v>0</v>
      </c>
      <c r="AD531" s="20">
        <v>55153</v>
      </c>
      <c r="AE531" s="20">
        <v>42887</v>
      </c>
    </row>
    <row r="532" spans="1:31" x14ac:dyDescent="0.25">
      <c r="A532" s="12" t="s">
        <v>1274</v>
      </c>
      <c r="B532" s="11">
        <v>1</v>
      </c>
      <c r="C532" s="13">
        <v>1</v>
      </c>
      <c r="D532" s="13">
        <v>1</v>
      </c>
      <c r="E532" s="28">
        <v>1</v>
      </c>
      <c r="F532">
        <v>0</v>
      </c>
      <c r="G532" s="13">
        <v>0</v>
      </c>
      <c r="H532" s="13">
        <v>1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>
        <v>83</v>
      </c>
      <c r="AA532">
        <v>1</v>
      </c>
      <c r="AB532">
        <v>0</v>
      </c>
      <c r="AC532">
        <v>0</v>
      </c>
      <c r="AD532" s="19">
        <v>55153</v>
      </c>
      <c r="AE532" s="19">
        <v>42887</v>
      </c>
    </row>
    <row r="533" spans="1:31" x14ac:dyDescent="0.25">
      <c r="A533" s="15" t="s">
        <v>1276</v>
      </c>
      <c r="B533" s="14">
        <v>0</v>
      </c>
      <c r="C533" s="16">
        <v>0</v>
      </c>
      <c r="D533" s="16">
        <v>0</v>
      </c>
      <c r="E533">
        <v>0</v>
      </c>
      <c r="F533">
        <v>1</v>
      </c>
      <c r="G533" s="16">
        <v>1</v>
      </c>
      <c r="H533" s="16">
        <v>0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>
        <v>74</v>
      </c>
      <c r="AA533">
        <v>1</v>
      </c>
      <c r="AB533">
        <v>0</v>
      </c>
      <c r="AC533">
        <v>0</v>
      </c>
      <c r="AD533" s="20">
        <v>55153</v>
      </c>
      <c r="AE533" s="20">
        <v>43160</v>
      </c>
    </row>
    <row r="534" spans="1:31" x14ac:dyDescent="0.25">
      <c r="A534" s="12" t="s">
        <v>1278</v>
      </c>
      <c r="B534" s="11">
        <v>1</v>
      </c>
      <c r="C534" s="13">
        <v>0</v>
      </c>
      <c r="D534" s="13">
        <v>1</v>
      </c>
      <c r="E534" s="28">
        <v>1</v>
      </c>
      <c r="F534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1</v>
      </c>
      <c r="L534" s="13">
        <v>0</v>
      </c>
      <c r="M534" s="13">
        <v>0</v>
      </c>
      <c r="N534" s="13">
        <v>0</v>
      </c>
      <c r="O534">
        <v>80</v>
      </c>
      <c r="AA534">
        <v>1</v>
      </c>
      <c r="AB534">
        <v>0</v>
      </c>
      <c r="AC534">
        <v>0</v>
      </c>
      <c r="AD534" s="19">
        <v>55153</v>
      </c>
      <c r="AE534" s="19">
        <v>42979</v>
      </c>
    </row>
    <row r="535" spans="1:31" x14ac:dyDescent="0.25">
      <c r="A535" s="15" t="s">
        <v>1280</v>
      </c>
      <c r="B535" s="14">
        <v>1</v>
      </c>
      <c r="C535" s="16">
        <v>0</v>
      </c>
      <c r="D535" s="16">
        <v>1</v>
      </c>
      <c r="E535">
        <v>0</v>
      </c>
      <c r="F535">
        <v>1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1</v>
      </c>
      <c r="M535" s="16">
        <v>0</v>
      </c>
      <c r="N535" s="16">
        <v>0</v>
      </c>
      <c r="O535">
        <v>79</v>
      </c>
      <c r="AA535">
        <v>1</v>
      </c>
      <c r="AB535">
        <v>0</v>
      </c>
      <c r="AC535">
        <v>0</v>
      </c>
      <c r="AD535" s="20">
        <v>55153</v>
      </c>
      <c r="AE535" s="20">
        <v>43009</v>
      </c>
    </row>
    <row r="536" spans="1:31" x14ac:dyDescent="0.25">
      <c r="A536" s="12" t="s">
        <v>1282</v>
      </c>
      <c r="B536" s="11">
        <v>1</v>
      </c>
      <c r="C536" s="13">
        <v>0</v>
      </c>
      <c r="D536" s="13">
        <v>1</v>
      </c>
      <c r="E536" s="28">
        <v>0</v>
      </c>
      <c r="F536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1</v>
      </c>
      <c r="M536" s="13">
        <v>0</v>
      </c>
      <c r="N536" s="13">
        <v>0</v>
      </c>
      <c r="O536">
        <v>15</v>
      </c>
      <c r="AA536">
        <v>0</v>
      </c>
      <c r="AB536">
        <v>0</v>
      </c>
      <c r="AC536">
        <v>1</v>
      </c>
      <c r="AD536" s="19">
        <v>43496</v>
      </c>
      <c r="AE536" s="19">
        <v>43009</v>
      </c>
    </row>
    <row r="537" spans="1:31" x14ac:dyDescent="0.25">
      <c r="A537" s="15" t="s">
        <v>1284</v>
      </c>
      <c r="B537" s="14">
        <v>0</v>
      </c>
      <c r="C537" s="16">
        <v>0</v>
      </c>
      <c r="D537" s="16">
        <v>0</v>
      </c>
      <c r="E537">
        <v>0</v>
      </c>
      <c r="F537">
        <v>1</v>
      </c>
      <c r="G537" s="16">
        <v>0</v>
      </c>
      <c r="H537" s="16">
        <v>0</v>
      </c>
      <c r="I537" s="16">
        <v>0</v>
      </c>
      <c r="J537" s="16">
        <v>0</v>
      </c>
      <c r="K537" s="16">
        <v>1</v>
      </c>
      <c r="L537" s="16">
        <v>0</v>
      </c>
      <c r="M537" s="16">
        <v>0</v>
      </c>
      <c r="N537" s="16">
        <v>0</v>
      </c>
      <c r="O537">
        <v>80</v>
      </c>
      <c r="AA537">
        <v>1</v>
      </c>
      <c r="AB537">
        <v>0</v>
      </c>
      <c r="AC537">
        <v>0</v>
      </c>
      <c r="AD537" s="20">
        <v>55153</v>
      </c>
      <c r="AE537" s="20">
        <v>42979</v>
      </c>
    </row>
    <row r="538" spans="1:31" x14ac:dyDescent="0.25">
      <c r="A538" s="12" t="s">
        <v>1286</v>
      </c>
      <c r="B538" s="11">
        <v>1</v>
      </c>
      <c r="C538" s="13">
        <v>1</v>
      </c>
      <c r="D538" s="13">
        <v>1</v>
      </c>
      <c r="E538" s="28">
        <v>1</v>
      </c>
      <c r="F538">
        <v>0</v>
      </c>
      <c r="G538" s="13">
        <v>0</v>
      </c>
      <c r="H538" s="13">
        <v>1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>
        <v>76</v>
      </c>
      <c r="AA538">
        <v>1</v>
      </c>
      <c r="AB538">
        <v>0</v>
      </c>
      <c r="AC538">
        <v>0</v>
      </c>
      <c r="AD538" s="19">
        <v>55153</v>
      </c>
      <c r="AE538" s="19">
        <v>43101</v>
      </c>
    </row>
    <row r="539" spans="1:31" x14ac:dyDescent="0.25">
      <c r="A539" s="15" t="s">
        <v>1288</v>
      </c>
      <c r="B539" s="14">
        <v>1</v>
      </c>
      <c r="C539" s="16">
        <v>0</v>
      </c>
      <c r="D539" s="16">
        <v>1</v>
      </c>
      <c r="E539">
        <v>1</v>
      </c>
      <c r="F539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1</v>
      </c>
      <c r="L539" s="16">
        <v>0</v>
      </c>
      <c r="M539" s="16">
        <v>0</v>
      </c>
      <c r="N539" s="16">
        <v>0</v>
      </c>
      <c r="O539">
        <v>80</v>
      </c>
      <c r="AA539">
        <v>1</v>
      </c>
      <c r="AB539">
        <v>0</v>
      </c>
      <c r="AC539">
        <v>0</v>
      </c>
      <c r="AD539" s="20">
        <v>55153</v>
      </c>
      <c r="AE539" s="20">
        <v>42979</v>
      </c>
    </row>
    <row r="540" spans="1:31" x14ac:dyDescent="0.25">
      <c r="A540" s="12" t="s">
        <v>1290</v>
      </c>
      <c r="B540" s="11">
        <v>1</v>
      </c>
      <c r="C540" s="13">
        <v>0</v>
      </c>
      <c r="D540" s="13">
        <v>1</v>
      </c>
      <c r="E540" s="28">
        <v>1</v>
      </c>
      <c r="F540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1</v>
      </c>
      <c r="L540" s="13">
        <v>0</v>
      </c>
      <c r="M540" s="13">
        <v>0</v>
      </c>
      <c r="N540" s="13">
        <v>0</v>
      </c>
      <c r="O540">
        <v>77</v>
      </c>
      <c r="AA540">
        <v>1</v>
      </c>
      <c r="AB540">
        <v>0</v>
      </c>
      <c r="AC540">
        <v>0</v>
      </c>
      <c r="AD540" s="19">
        <v>55153</v>
      </c>
      <c r="AE540" s="19">
        <v>43070</v>
      </c>
    </row>
    <row r="541" spans="1:31" x14ac:dyDescent="0.25">
      <c r="A541" s="15" t="s">
        <v>1292</v>
      </c>
      <c r="B541" s="14">
        <v>1</v>
      </c>
      <c r="C541" s="16">
        <v>0</v>
      </c>
      <c r="D541" s="16">
        <v>1</v>
      </c>
      <c r="E541">
        <v>0</v>
      </c>
      <c r="F541">
        <v>0</v>
      </c>
      <c r="G541" s="16">
        <v>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1</v>
      </c>
      <c r="O541">
        <v>12</v>
      </c>
      <c r="AA541">
        <v>0</v>
      </c>
      <c r="AB541">
        <v>0</v>
      </c>
      <c r="AC541">
        <v>1</v>
      </c>
      <c r="AD541" s="20">
        <v>43465</v>
      </c>
      <c r="AE541" s="20">
        <v>43070</v>
      </c>
    </row>
    <row r="542" spans="1:31" x14ac:dyDescent="0.25">
      <c r="A542" s="12" t="s">
        <v>1294</v>
      </c>
      <c r="B542" s="11">
        <v>1</v>
      </c>
      <c r="C542" s="13">
        <v>0</v>
      </c>
      <c r="D542" s="13">
        <v>1</v>
      </c>
      <c r="E542" s="28">
        <v>1</v>
      </c>
      <c r="F542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1</v>
      </c>
      <c r="L542" s="13">
        <v>0</v>
      </c>
      <c r="M542" s="13">
        <v>0</v>
      </c>
      <c r="N542" s="13">
        <v>0</v>
      </c>
      <c r="O542">
        <v>77</v>
      </c>
      <c r="AA542">
        <v>1</v>
      </c>
      <c r="AB542">
        <v>0</v>
      </c>
      <c r="AC542">
        <v>0</v>
      </c>
      <c r="AD542" s="19">
        <v>55153</v>
      </c>
      <c r="AE542" s="19">
        <v>43070</v>
      </c>
    </row>
    <row r="543" spans="1:31" x14ac:dyDescent="0.25">
      <c r="A543" s="15" t="s">
        <v>41</v>
      </c>
      <c r="B543" s="14">
        <v>0</v>
      </c>
      <c r="C543" s="16">
        <v>0</v>
      </c>
      <c r="D543" s="16">
        <v>0</v>
      </c>
      <c r="E543">
        <v>0</v>
      </c>
      <c r="F543">
        <v>0</v>
      </c>
      <c r="G543" s="16">
        <v>0</v>
      </c>
      <c r="H543" s="16">
        <v>0</v>
      </c>
      <c r="I543" s="16">
        <v>1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>
        <v>49</v>
      </c>
      <c r="AA543">
        <v>0</v>
      </c>
      <c r="AB543">
        <v>0</v>
      </c>
      <c r="AC543">
        <v>1</v>
      </c>
      <c r="AD543" s="20">
        <v>45199</v>
      </c>
      <c r="AE543" s="20">
        <v>43617</v>
      </c>
    </row>
    <row r="544" spans="1:31" x14ac:dyDescent="0.25">
      <c r="A544" s="12" t="s">
        <v>1296</v>
      </c>
      <c r="B544" s="11">
        <v>0</v>
      </c>
      <c r="C544" s="13">
        <v>0</v>
      </c>
      <c r="D544" s="13">
        <v>0</v>
      </c>
      <c r="E544" s="28">
        <v>0</v>
      </c>
      <c r="F544">
        <v>1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1</v>
      </c>
      <c r="N544" s="13">
        <v>0</v>
      </c>
      <c r="O544">
        <v>80</v>
      </c>
      <c r="AA544">
        <v>1</v>
      </c>
      <c r="AB544">
        <v>0</v>
      </c>
      <c r="AC544">
        <v>0</v>
      </c>
      <c r="AD544" s="19">
        <v>55153</v>
      </c>
      <c r="AE544" s="19">
        <v>42979</v>
      </c>
    </row>
    <row r="545" spans="1:31" x14ac:dyDescent="0.25">
      <c r="A545" s="15" t="s">
        <v>1298</v>
      </c>
      <c r="B545" s="14">
        <v>0</v>
      </c>
      <c r="C545" s="16">
        <v>0</v>
      </c>
      <c r="D545" s="16">
        <v>0</v>
      </c>
      <c r="E545">
        <v>0</v>
      </c>
      <c r="F545">
        <v>1</v>
      </c>
      <c r="G545" s="16">
        <v>0</v>
      </c>
      <c r="H545" s="16">
        <v>0</v>
      </c>
      <c r="I545" s="16">
        <v>0</v>
      </c>
      <c r="J545" s="16">
        <v>0</v>
      </c>
      <c r="K545" s="16">
        <v>1</v>
      </c>
      <c r="L545" s="16">
        <v>0</v>
      </c>
      <c r="M545" s="16">
        <v>0</v>
      </c>
      <c r="N545" s="16">
        <v>0</v>
      </c>
      <c r="O545">
        <v>80</v>
      </c>
      <c r="AA545">
        <v>1</v>
      </c>
      <c r="AB545">
        <v>0</v>
      </c>
      <c r="AC545">
        <v>0</v>
      </c>
      <c r="AD545" s="20">
        <v>55153</v>
      </c>
      <c r="AE545" s="20">
        <v>42979</v>
      </c>
    </row>
    <row r="546" spans="1:31" x14ac:dyDescent="0.25">
      <c r="A546" s="12" t="s">
        <v>1300</v>
      </c>
      <c r="B546" s="11">
        <v>1</v>
      </c>
      <c r="C546" s="13">
        <v>1</v>
      </c>
      <c r="D546" s="13">
        <v>1</v>
      </c>
      <c r="E546" s="28">
        <v>0</v>
      </c>
      <c r="F546">
        <v>0</v>
      </c>
      <c r="G546" s="13">
        <v>0</v>
      </c>
      <c r="H546" s="13">
        <v>0</v>
      </c>
      <c r="I546" s="13">
        <v>0</v>
      </c>
      <c r="J546" s="13">
        <v>1</v>
      </c>
      <c r="K546" s="13">
        <v>0</v>
      </c>
      <c r="L546" s="13">
        <v>0</v>
      </c>
      <c r="M546" s="13">
        <v>0</v>
      </c>
      <c r="N546" s="13">
        <v>0</v>
      </c>
      <c r="O546">
        <v>47</v>
      </c>
      <c r="AA546">
        <v>0</v>
      </c>
      <c r="AB546">
        <v>1</v>
      </c>
      <c r="AC546">
        <v>0</v>
      </c>
      <c r="AD546" s="19">
        <v>44439</v>
      </c>
      <c r="AE546" s="19">
        <v>42979</v>
      </c>
    </row>
    <row r="547" spans="1:31" x14ac:dyDescent="0.25">
      <c r="A547" s="15" t="s">
        <v>1302</v>
      </c>
      <c r="B547" s="14">
        <v>0</v>
      </c>
      <c r="C547" s="16">
        <v>0</v>
      </c>
      <c r="D547" s="16">
        <v>0</v>
      </c>
      <c r="E547">
        <v>0</v>
      </c>
      <c r="F547">
        <v>1</v>
      </c>
      <c r="G547" s="16">
        <v>1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>
        <v>77</v>
      </c>
      <c r="AA547">
        <v>1</v>
      </c>
      <c r="AB547">
        <v>0</v>
      </c>
      <c r="AC547">
        <v>0</v>
      </c>
      <c r="AD547" s="20">
        <v>55153</v>
      </c>
      <c r="AE547" s="20">
        <v>43070</v>
      </c>
    </row>
    <row r="548" spans="1:31" x14ac:dyDescent="0.25">
      <c r="A548" s="12" t="s">
        <v>1304</v>
      </c>
      <c r="B548" s="11">
        <v>1</v>
      </c>
      <c r="C548" s="13">
        <v>0</v>
      </c>
      <c r="D548" s="13">
        <v>1</v>
      </c>
      <c r="E548" s="28">
        <v>1</v>
      </c>
      <c r="F548">
        <v>0</v>
      </c>
      <c r="G548" s="13">
        <v>0</v>
      </c>
      <c r="H548" s="13">
        <v>0</v>
      </c>
      <c r="I548" s="13">
        <v>0</v>
      </c>
      <c r="J548" s="13">
        <v>1</v>
      </c>
      <c r="K548" s="13">
        <v>0</v>
      </c>
      <c r="L548" s="13">
        <v>0</v>
      </c>
      <c r="M548" s="13">
        <v>0</v>
      </c>
      <c r="N548" s="13">
        <v>0</v>
      </c>
      <c r="O548">
        <v>78</v>
      </c>
      <c r="AA548">
        <v>1</v>
      </c>
      <c r="AB548">
        <v>0</v>
      </c>
      <c r="AC548">
        <v>0</v>
      </c>
      <c r="AD548" s="19">
        <v>55153</v>
      </c>
      <c r="AE548" s="19">
        <v>43040</v>
      </c>
    </row>
    <row r="549" spans="1:31" x14ac:dyDescent="0.25">
      <c r="A549" s="15" t="s">
        <v>1306</v>
      </c>
      <c r="B549" s="14">
        <v>1</v>
      </c>
      <c r="C549" s="16">
        <v>0</v>
      </c>
      <c r="D549" s="16">
        <v>1</v>
      </c>
      <c r="E549">
        <v>1</v>
      </c>
      <c r="F549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1</v>
      </c>
      <c r="O549">
        <v>78</v>
      </c>
      <c r="AA549">
        <v>1</v>
      </c>
      <c r="AB549">
        <v>0</v>
      </c>
      <c r="AC549">
        <v>0</v>
      </c>
      <c r="AD549" s="20">
        <v>55153</v>
      </c>
      <c r="AE549" s="20">
        <v>43040</v>
      </c>
    </row>
    <row r="550" spans="1:31" x14ac:dyDescent="0.25">
      <c r="A550" s="12" t="s">
        <v>1308</v>
      </c>
      <c r="B550" s="11">
        <v>1</v>
      </c>
      <c r="C550" s="13">
        <v>0</v>
      </c>
      <c r="D550" s="13">
        <v>1</v>
      </c>
      <c r="E550" s="28">
        <v>1</v>
      </c>
      <c r="F550">
        <v>0</v>
      </c>
      <c r="G550" s="13">
        <v>0</v>
      </c>
      <c r="H550" s="13">
        <v>1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>
        <v>78</v>
      </c>
      <c r="AA550">
        <v>1</v>
      </c>
      <c r="AB550">
        <v>0</v>
      </c>
      <c r="AC550">
        <v>0</v>
      </c>
      <c r="AD550" s="19">
        <v>55153</v>
      </c>
      <c r="AE550" s="19">
        <v>43040</v>
      </c>
    </row>
    <row r="551" spans="1:31" x14ac:dyDescent="0.25">
      <c r="A551" s="15" t="s">
        <v>1310</v>
      </c>
      <c r="B551" s="14">
        <v>1</v>
      </c>
      <c r="C551" s="16">
        <v>0</v>
      </c>
      <c r="D551" s="16">
        <v>1</v>
      </c>
      <c r="E551">
        <v>1</v>
      </c>
      <c r="F551">
        <v>0</v>
      </c>
      <c r="G551" s="16">
        <v>0</v>
      </c>
      <c r="H551" s="16">
        <v>1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>
        <v>78</v>
      </c>
      <c r="AA551">
        <v>1</v>
      </c>
      <c r="AB551">
        <v>0</v>
      </c>
      <c r="AC551">
        <v>0</v>
      </c>
      <c r="AD551" s="20">
        <v>55153</v>
      </c>
      <c r="AE551" s="20">
        <v>43040</v>
      </c>
    </row>
    <row r="552" spans="1:31" x14ac:dyDescent="0.25">
      <c r="A552" s="12" t="s">
        <v>1312</v>
      </c>
      <c r="B552" s="11">
        <v>1</v>
      </c>
      <c r="C552" s="13">
        <v>1</v>
      </c>
      <c r="D552" s="13">
        <v>1</v>
      </c>
      <c r="E552" s="28">
        <v>1</v>
      </c>
      <c r="F552">
        <v>0</v>
      </c>
      <c r="G552" s="13">
        <v>0</v>
      </c>
      <c r="H552" s="13">
        <v>1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>
        <v>79</v>
      </c>
      <c r="AA552">
        <v>1</v>
      </c>
      <c r="AB552">
        <v>0</v>
      </c>
      <c r="AC552">
        <v>0</v>
      </c>
      <c r="AD552" s="19">
        <v>55153</v>
      </c>
      <c r="AE552" s="19">
        <v>43009</v>
      </c>
    </row>
    <row r="553" spans="1:31" x14ac:dyDescent="0.25">
      <c r="A553" s="15" t="s">
        <v>1314</v>
      </c>
      <c r="B553" s="14">
        <v>1</v>
      </c>
      <c r="C553" s="16">
        <v>1</v>
      </c>
      <c r="D553" s="16">
        <v>1</v>
      </c>
      <c r="E553">
        <v>1</v>
      </c>
      <c r="F553">
        <v>0</v>
      </c>
      <c r="G553" s="16">
        <v>0</v>
      </c>
      <c r="H553" s="16">
        <v>1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>
        <v>79</v>
      </c>
      <c r="AA553">
        <v>1</v>
      </c>
      <c r="AB553">
        <v>0</v>
      </c>
      <c r="AC553">
        <v>0</v>
      </c>
      <c r="AD553" s="20">
        <v>55153</v>
      </c>
      <c r="AE553" s="20">
        <v>43009</v>
      </c>
    </row>
    <row r="554" spans="1:31" x14ac:dyDescent="0.25">
      <c r="A554" s="12" t="s">
        <v>1316</v>
      </c>
      <c r="B554" s="11">
        <v>1</v>
      </c>
      <c r="C554" s="13">
        <v>0</v>
      </c>
      <c r="D554" s="13">
        <v>1</v>
      </c>
      <c r="E554" s="28">
        <v>1</v>
      </c>
      <c r="F554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1</v>
      </c>
      <c r="L554" s="13">
        <v>0</v>
      </c>
      <c r="M554" s="13">
        <v>0</v>
      </c>
      <c r="N554" s="13">
        <v>0</v>
      </c>
      <c r="O554">
        <v>77</v>
      </c>
      <c r="AA554">
        <v>1</v>
      </c>
      <c r="AB554">
        <v>0</v>
      </c>
      <c r="AC554">
        <v>0</v>
      </c>
      <c r="AD554" s="19">
        <v>55153</v>
      </c>
      <c r="AE554" s="19">
        <v>43070</v>
      </c>
    </row>
    <row r="555" spans="1:31" x14ac:dyDescent="0.25">
      <c r="A555" s="15" t="s">
        <v>1318</v>
      </c>
      <c r="B555" s="14">
        <v>0</v>
      </c>
      <c r="C555" s="16">
        <v>0</v>
      </c>
      <c r="D555" s="16">
        <v>0</v>
      </c>
      <c r="E555">
        <v>0</v>
      </c>
      <c r="F555">
        <v>1</v>
      </c>
      <c r="G555" s="16">
        <v>1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>
        <v>77</v>
      </c>
      <c r="AA555">
        <v>1</v>
      </c>
      <c r="AB555">
        <v>0</v>
      </c>
      <c r="AC555">
        <v>0</v>
      </c>
      <c r="AD555" s="20">
        <v>55153</v>
      </c>
      <c r="AE555" s="20">
        <v>43070</v>
      </c>
    </row>
    <row r="556" spans="1:31" x14ac:dyDescent="0.25">
      <c r="A556" s="12" t="s">
        <v>1320</v>
      </c>
      <c r="B556" s="11">
        <v>1</v>
      </c>
      <c r="C556" s="13">
        <v>1</v>
      </c>
      <c r="D556" s="13">
        <v>1</v>
      </c>
      <c r="E556" s="28">
        <v>0</v>
      </c>
      <c r="F556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1</v>
      </c>
      <c r="O556">
        <v>19</v>
      </c>
      <c r="AA556">
        <v>0</v>
      </c>
      <c r="AB556">
        <v>0</v>
      </c>
      <c r="AC556">
        <v>1</v>
      </c>
      <c r="AD556" s="19">
        <v>43616</v>
      </c>
      <c r="AE556" s="19">
        <v>43009</v>
      </c>
    </row>
    <row r="557" spans="1:31" x14ac:dyDescent="0.25">
      <c r="A557" s="15" t="s">
        <v>1322</v>
      </c>
      <c r="B557" s="14">
        <v>1</v>
      </c>
      <c r="C557" s="16">
        <v>0</v>
      </c>
      <c r="D557" s="16">
        <v>1</v>
      </c>
      <c r="E557">
        <v>0</v>
      </c>
      <c r="F557">
        <v>0</v>
      </c>
      <c r="G557" s="16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1</v>
      </c>
      <c r="M557" s="16">
        <v>0</v>
      </c>
      <c r="N557" s="16">
        <v>0</v>
      </c>
      <c r="O557">
        <v>48</v>
      </c>
      <c r="AA557">
        <v>0</v>
      </c>
      <c r="AB557">
        <v>0</v>
      </c>
      <c r="AC557">
        <v>1</v>
      </c>
      <c r="AD557" s="20">
        <v>44530</v>
      </c>
      <c r="AE557" s="20">
        <v>43040</v>
      </c>
    </row>
    <row r="558" spans="1:31" x14ac:dyDescent="0.25">
      <c r="A558" s="12" t="s">
        <v>1324</v>
      </c>
      <c r="B558" s="11">
        <v>1</v>
      </c>
      <c r="C558" s="13">
        <v>0</v>
      </c>
      <c r="D558" s="13">
        <v>1</v>
      </c>
      <c r="E558" s="28">
        <v>1</v>
      </c>
      <c r="F558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1</v>
      </c>
      <c r="L558" s="13">
        <v>0</v>
      </c>
      <c r="M558" s="13">
        <v>0</v>
      </c>
      <c r="N558" s="13">
        <v>0</v>
      </c>
      <c r="O558">
        <v>76</v>
      </c>
      <c r="AA558">
        <v>1</v>
      </c>
      <c r="AB558">
        <v>0</v>
      </c>
      <c r="AC558">
        <v>0</v>
      </c>
      <c r="AD558" s="19">
        <v>55153</v>
      </c>
      <c r="AE558" s="19">
        <v>43101</v>
      </c>
    </row>
    <row r="559" spans="1:31" x14ac:dyDescent="0.25">
      <c r="A559" s="15" t="s">
        <v>1326</v>
      </c>
      <c r="B559" s="14">
        <v>1</v>
      </c>
      <c r="C559" s="16">
        <v>1</v>
      </c>
      <c r="D559" s="16">
        <v>1</v>
      </c>
      <c r="E559">
        <v>1</v>
      </c>
      <c r="F559">
        <v>0</v>
      </c>
      <c r="G559" s="16">
        <v>0</v>
      </c>
      <c r="H559" s="16">
        <v>0</v>
      </c>
      <c r="I559" s="16">
        <v>0</v>
      </c>
      <c r="J559" s="16">
        <v>1</v>
      </c>
      <c r="K559" s="16">
        <v>0</v>
      </c>
      <c r="L559" s="16">
        <v>0</v>
      </c>
      <c r="M559" s="16">
        <v>0</v>
      </c>
      <c r="N559" s="16">
        <v>0</v>
      </c>
      <c r="O559">
        <v>71</v>
      </c>
      <c r="AA559">
        <v>1</v>
      </c>
      <c r="AB559">
        <v>0</v>
      </c>
      <c r="AC559">
        <v>0</v>
      </c>
      <c r="AD559" s="20">
        <v>55153</v>
      </c>
      <c r="AE559" s="20">
        <v>43252</v>
      </c>
    </row>
    <row r="560" spans="1:31" x14ac:dyDescent="0.25">
      <c r="A560" s="12" t="s">
        <v>1328</v>
      </c>
      <c r="B560" s="11">
        <v>1</v>
      </c>
      <c r="C560" s="13">
        <v>1</v>
      </c>
      <c r="D560" s="13">
        <v>1</v>
      </c>
      <c r="E560" s="28">
        <v>1</v>
      </c>
      <c r="F560">
        <v>0</v>
      </c>
      <c r="G560" s="13">
        <v>0</v>
      </c>
      <c r="H560" s="13">
        <v>1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>
        <v>71</v>
      </c>
      <c r="AA560">
        <v>1</v>
      </c>
      <c r="AB560">
        <v>0</v>
      </c>
      <c r="AC560">
        <v>0</v>
      </c>
      <c r="AD560" s="19">
        <v>55153</v>
      </c>
      <c r="AE560" s="19">
        <v>43252</v>
      </c>
    </row>
    <row r="561" spans="1:31" x14ac:dyDescent="0.25">
      <c r="A561" s="15" t="s">
        <v>1330</v>
      </c>
      <c r="B561" s="14">
        <v>0</v>
      </c>
      <c r="C561" s="16">
        <v>0</v>
      </c>
      <c r="D561" s="16">
        <v>0</v>
      </c>
      <c r="E561">
        <v>1</v>
      </c>
      <c r="F561">
        <v>0</v>
      </c>
      <c r="G561" s="16">
        <v>1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>
        <v>80</v>
      </c>
      <c r="AA561">
        <v>1</v>
      </c>
      <c r="AB561">
        <v>0</v>
      </c>
      <c r="AC561">
        <v>0</v>
      </c>
      <c r="AD561" s="20">
        <v>55153</v>
      </c>
      <c r="AE561" s="20">
        <v>42979</v>
      </c>
    </row>
    <row r="562" spans="1:31" x14ac:dyDescent="0.25">
      <c r="A562" s="12" t="s">
        <v>1332</v>
      </c>
      <c r="B562" s="11">
        <v>1</v>
      </c>
      <c r="C562" s="13">
        <v>0</v>
      </c>
      <c r="D562" s="13">
        <v>1</v>
      </c>
      <c r="E562" s="28">
        <v>0</v>
      </c>
      <c r="F562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1</v>
      </c>
      <c r="O562">
        <v>54</v>
      </c>
      <c r="AA562">
        <v>0</v>
      </c>
      <c r="AB562">
        <v>0</v>
      </c>
      <c r="AC562">
        <v>1</v>
      </c>
      <c r="AD562" s="19">
        <v>44712</v>
      </c>
      <c r="AE562" s="19">
        <v>43040</v>
      </c>
    </row>
    <row r="563" spans="1:31" x14ac:dyDescent="0.25">
      <c r="A563" s="15" t="s">
        <v>1334</v>
      </c>
      <c r="B563" s="14">
        <v>1</v>
      </c>
      <c r="C563" s="16">
        <v>0</v>
      </c>
      <c r="D563" s="16">
        <v>1</v>
      </c>
      <c r="E563">
        <v>0</v>
      </c>
      <c r="F563">
        <v>0</v>
      </c>
      <c r="G563" s="16">
        <v>0</v>
      </c>
      <c r="H563" s="16">
        <v>0</v>
      </c>
      <c r="I563" s="16">
        <v>1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>
        <v>15</v>
      </c>
      <c r="AA563">
        <v>0</v>
      </c>
      <c r="AB563">
        <v>0</v>
      </c>
      <c r="AC563">
        <v>1</v>
      </c>
      <c r="AD563" s="20">
        <v>43496</v>
      </c>
      <c r="AE563" s="20">
        <v>43009</v>
      </c>
    </row>
    <row r="564" spans="1:31" x14ac:dyDescent="0.25">
      <c r="A564" s="12" t="s">
        <v>1336</v>
      </c>
      <c r="B564" s="11">
        <v>1</v>
      </c>
      <c r="C564" s="13">
        <v>1</v>
      </c>
      <c r="D564" s="13">
        <v>1</v>
      </c>
      <c r="E564" s="28">
        <v>0</v>
      </c>
      <c r="F564">
        <v>0</v>
      </c>
      <c r="G564" s="13">
        <v>0</v>
      </c>
      <c r="H564" s="13">
        <v>0</v>
      </c>
      <c r="I564" s="13">
        <v>0</v>
      </c>
      <c r="J564" s="13">
        <v>1</v>
      </c>
      <c r="K564" s="13">
        <v>0</v>
      </c>
      <c r="L564" s="13">
        <v>0</v>
      </c>
      <c r="M564" s="13">
        <v>0</v>
      </c>
      <c r="N564" s="13">
        <v>0</v>
      </c>
      <c r="O564">
        <v>36</v>
      </c>
      <c r="AA564">
        <v>0</v>
      </c>
      <c r="AB564">
        <v>0</v>
      </c>
      <c r="AC564">
        <v>1</v>
      </c>
      <c r="AD564" s="19">
        <v>44196</v>
      </c>
      <c r="AE564" s="19">
        <v>43070</v>
      </c>
    </row>
    <row r="565" spans="1:31" x14ac:dyDescent="0.25">
      <c r="A565" s="15" t="s">
        <v>1338</v>
      </c>
      <c r="B565" s="14">
        <v>1</v>
      </c>
      <c r="C565" s="16">
        <v>1</v>
      </c>
      <c r="D565" s="16">
        <v>1</v>
      </c>
      <c r="E565">
        <v>1</v>
      </c>
      <c r="F565">
        <v>0</v>
      </c>
      <c r="G565" s="16">
        <v>0</v>
      </c>
      <c r="H565" s="16">
        <v>0</v>
      </c>
      <c r="I565" s="16">
        <v>0</v>
      </c>
      <c r="J565" s="16">
        <v>1</v>
      </c>
      <c r="K565" s="16">
        <v>0</v>
      </c>
      <c r="L565" s="16">
        <v>0</v>
      </c>
      <c r="M565" s="16">
        <v>0</v>
      </c>
      <c r="N565" s="16">
        <v>0</v>
      </c>
      <c r="O565">
        <v>77</v>
      </c>
      <c r="AA565">
        <v>1</v>
      </c>
      <c r="AB565">
        <v>0</v>
      </c>
      <c r="AC565">
        <v>0</v>
      </c>
      <c r="AD565" s="20">
        <v>55153</v>
      </c>
      <c r="AE565" s="20">
        <v>43070</v>
      </c>
    </row>
    <row r="566" spans="1:31" x14ac:dyDescent="0.25">
      <c r="A566" s="12" t="s">
        <v>1340</v>
      </c>
      <c r="B566" s="11">
        <v>1</v>
      </c>
      <c r="C566" s="13">
        <v>1</v>
      </c>
      <c r="D566" s="13">
        <v>1</v>
      </c>
      <c r="E566" s="28">
        <v>1</v>
      </c>
      <c r="F566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1</v>
      </c>
      <c r="O566">
        <v>77</v>
      </c>
      <c r="AA566">
        <v>1</v>
      </c>
      <c r="AB566">
        <v>0</v>
      </c>
      <c r="AC566">
        <v>0</v>
      </c>
      <c r="AD566" s="19">
        <v>55153</v>
      </c>
      <c r="AE566" s="19">
        <v>43070</v>
      </c>
    </row>
    <row r="567" spans="1:31" x14ac:dyDescent="0.25">
      <c r="A567" s="15" t="s">
        <v>1342</v>
      </c>
      <c r="B567" s="14">
        <v>1</v>
      </c>
      <c r="C567" s="16">
        <v>1</v>
      </c>
      <c r="D567" s="16">
        <v>1</v>
      </c>
      <c r="E567">
        <v>1</v>
      </c>
      <c r="F567">
        <v>0</v>
      </c>
      <c r="G567" s="16">
        <v>0</v>
      </c>
      <c r="H567" s="16">
        <v>1</v>
      </c>
      <c r="I567" s="16">
        <v>0</v>
      </c>
      <c r="J567" s="16">
        <v>0</v>
      </c>
      <c r="K567" s="16">
        <v>0</v>
      </c>
      <c r="L567" s="16">
        <v>0</v>
      </c>
      <c r="M567" s="16">
        <v>0</v>
      </c>
      <c r="N567" s="16">
        <v>0</v>
      </c>
      <c r="O567">
        <v>77</v>
      </c>
      <c r="AA567">
        <v>1</v>
      </c>
      <c r="AB567">
        <v>0</v>
      </c>
      <c r="AC567">
        <v>0</v>
      </c>
      <c r="AD567" s="20">
        <v>55153</v>
      </c>
      <c r="AE567" s="20">
        <v>43070</v>
      </c>
    </row>
    <row r="568" spans="1:31" x14ac:dyDescent="0.25">
      <c r="A568" s="12" t="s">
        <v>1344</v>
      </c>
      <c r="B568" s="11">
        <v>1</v>
      </c>
      <c r="C568" s="13">
        <v>1</v>
      </c>
      <c r="D568" s="13">
        <v>1</v>
      </c>
      <c r="E568" s="28">
        <v>1</v>
      </c>
      <c r="F568">
        <v>0</v>
      </c>
      <c r="G568" s="13">
        <v>0</v>
      </c>
      <c r="H568" s="13">
        <v>1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>
        <v>77</v>
      </c>
      <c r="AA568">
        <v>1</v>
      </c>
      <c r="AB568">
        <v>0</v>
      </c>
      <c r="AC568">
        <v>0</v>
      </c>
      <c r="AD568" s="19">
        <v>55153</v>
      </c>
      <c r="AE568" s="19">
        <v>43070</v>
      </c>
    </row>
    <row r="569" spans="1:31" x14ac:dyDescent="0.25">
      <c r="A569" s="15" t="s">
        <v>1346</v>
      </c>
      <c r="B569" s="14">
        <v>1</v>
      </c>
      <c r="C569" s="16">
        <v>1</v>
      </c>
      <c r="D569" s="16">
        <v>1</v>
      </c>
      <c r="E569">
        <v>0</v>
      </c>
      <c r="F569">
        <v>0</v>
      </c>
      <c r="G569" s="16">
        <v>0</v>
      </c>
      <c r="H569" s="16">
        <v>0</v>
      </c>
      <c r="I569" s="16">
        <v>0</v>
      </c>
      <c r="J569" s="16">
        <v>1</v>
      </c>
      <c r="K569" s="16">
        <v>0</v>
      </c>
      <c r="L569" s="16">
        <v>0</v>
      </c>
      <c r="M569" s="16">
        <v>0</v>
      </c>
      <c r="N569" s="16">
        <v>0</v>
      </c>
      <c r="O569">
        <v>33</v>
      </c>
      <c r="AA569">
        <v>0</v>
      </c>
      <c r="AB569">
        <v>0</v>
      </c>
      <c r="AC569">
        <v>1</v>
      </c>
      <c r="AD569" s="20">
        <v>44196</v>
      </c>
      <c r="AE569" s="20">
        <v>43160</v>
      </c>
    </row>
    <row r="570" spans="1:31" x14ac:dyDescent="0.25">
      <c r="A570" s="12" t="s">
        <v>239</v>
      </c>
      <c r="B570" s="11">
        <v>1</v>
      </c>
      <c r="C570" s="13">
        <v>1</v>
      </c>
      <c r="D570" s="13">
        <v>1</v>
      </c>
      <c r="E570" s="28">
        <v>1</v>
      </c>
      <c r="F570">
        <v>0</v>
      </c>
      <c r="G570" s="13">
        <v>0</v>
      </c>
      <c r="H570" s="13">
        <v>0</v>
      </c>
      <c r="I570" s="13">
        <v>0</v>
      </c>
      <c r="J570" s="13">
        <v>1</v>
      </c>
      <c r="K570" s="13">
        <v>0</v>
      </c>
      <c r="L570" s="13">
        <v>0</v>
      </c>
      <c r="M570" s="13">
        <v>0</v>
      </c>
      <c r="N570" s="13">
        <v>0</v>
      </c>
      <c r="O570">
        <v>72</v>
      </c>
      <c r="AA570">
        <v>0</v>
      </c>
      <c r="AB570">
        <v>0</v>
      </c>
      <c r="AC570">
        <v>1</v>
      </c>
      <c r="AD570" s="19">
        <v>45382</v>
      </c>
      <c r="AE570" s="19">
        <v>43160</v>
      </c>
    </row>
    <row r="571" spans="1:31" x14ac:dyDescent="0.25">
      <c r="A571" s="15" t="s">
        <v>1348</v>
      </c>
      <c r="B571" s="14">
        <v>1</v>
      </c>
      <c r="C571" s="16">
        <v>1</v>
      </c>
      <c r="D571" s="16">
        <v>1</v>
      </c>
      <c r="E571">
        <v>1</v>
      </c>
      <c r="F571">
        <v>0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0</v>
      </c>
      <c r="N571" s="16">
        <v>1</v>
      </c>
      <c r="O571">
        <v>74</v>
      </c>
      <c r="AA571">
        <v>1</v>
      </c>
      <c r="AB571">
        <v>0</v>
      </c>
      <c r="AC571">
        <v>0</v>
      </c>
      <c r="AD571" s="20">
        <v>55153</v>
      </c>
      <c r="AE571" s="20">
        <v>43160</v>
      </c>
    </row>
    <row r="572" spans="1:31" x14ac:dyDescent="0.25">
      <c r="A572" s="12" t="s">
        <v>1350</v>
      </c>
      <c r="B572" s="11">
        <v>1</v>
      </c>
      <c r="C572" s="13">
        <v>1</v>
      </c>
      <c r="D572" s="13">
        <v>1</v>
      </c>
      <c r="E572" s="28">
        <v>1</v>
      </c>
      <c r="F572">
        <v>0</v>
      </c>
      <c r="G572" s="13">
        <v>0</v>
      </c>
      <c r="H572" s="13">
        <v>1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>
        <v>74</v>
      </c>
      <c r="AA572">
        <v>1</v>
      </c>
      <c r="AB572">
        <v>0</v>
      </c>
      <c r="AC572">
        <v>0</v>
      </c>
      <c r="AD572" s="19">
        <v>55153</v>
      </c>
      <c r="AE572" s="19">
        <v>43160</v>
      </c>
    </row>
    <row r="573" spans="1:31" x14ac:dyDescent="0.25">
      <c r="A573" s="15" t="s">
        <v>1352</v>
      </c>
      <c r="B573" s="14">
        <v>1</v>
      </c>
      <c r="C573" s="16">
        <v>1</v>
      </c>
      <c r="D573" s="16">
        <v>1</v>
      </c>
      <c r="E573">
        <v>1</v>
      </c>
      <c r="F573">
        <v>0</v>
      </c>
      <c r="G573" s="16">
        <v>0</v>
      </c>
      <c r="H573" s="16">
        <v>1</v>
      </c>
      <c r="I573" s="1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0</v>
      </c>
      <c r="O573">
        <v>74</v>
      </c>
      <c r="AA573">
        <v>1</v>
      </c>
      <c r="AB573">
        <v>0</v>
      </c>
      <c r="AC573">
        <v>0</v>
      </c>
      <c r="AD573" s="20">
        <v>55153</v>
      </c>
      <c r="AE573" s="20">
        <v>43160</v>
      </c>
    </row>
    <row r="574" spans="1:31" x14ac:dyDescent="0.25">
      <c r="A574" s="12" t="s">
        <v>1354</v>
      </c>
      <c r="B574" s="11">
        <v>1</v>
      </c>
      <c r="C574" s="13">
        <v>1</v>
      </c>
      <c r="D574" s="13">
        <v>1</v>
      </c>
      <c r="E574" s="28">
        <v>0</v>
      </c>
      <c r="F574">
        <v>0</v>
      </c>
      <c r="G574" s="13">
        <v>0</v>
      </c>
      <c r="H574" s="13">
        <v>0</v>
      </c>
      <c r="I574" s="13">
        <v>0</v>
      </c>
      <c r="J574" s="13">
        <v>1</v>
      </c>
      <c r="K574" s="13">
        <v>0</v>
      </c>
      <c r="L574" s="13">
        <v>0</v>
      </c>
      <c r="M574" s="13">
        <v>0</v>
      </c>
      <c r="N574" s="13">
        <v>0</v>
      </c>
      <c r="O574">
        <v>32</v>
      </c>
      <c r="AA574">
        <v>0</v>
      </c>
      <c r="AB574">
        <v>0</v>
      </c>
      <c r="AC574">
        <v>1</v>
      </c>
      <c r="AD574" s="19">
        <v>44196</v>
      </c>
      <c r="AE574" s="19">
        <v>43191</v>
      </c>
    </row>
    <row r="575" spans="1:31" x14ac:dyDescent="0.25">
      <c r="A575" s="15" t="s">
        <v>241</v>
      </c>
      <c r="B575" s="14">
        <v>1</v>
      </c>
      <c r="C575" s="16">
        <v>1</v>
      </c>
      <c r="D575" s="16">
        <v>1</v>
      </c>
      <c r="E575">
        <v>1</v>
      </c>
      <c r="F575">
        <v>0</v>
      </c>
      <c r="G575" s="16">
        <v>0</v>
      </c>
      <c r="H575" s="16">
        <v>0</v>
      </c>
      <c r="I575" s="16">
        <v>0</v>
      </c>
      <c r="J575" s="16">
        <v>1</v>
      </c>
      <c r="K575" s="16">
        <v>0</v>
      </c>
      <c r="L575" s="16">
        <v>0</v>
      </c>
      <c r="M575" s="16">
        <v>0</v>
      </c>
      <c r="N575" s="16">
        <v>0</v>
      </c>
      <c r="O575">
        <v>71</v>
      </c>
      <c r="AA575">
        <v>0</v>
      </c>
      <c r="AB575">
        <v>0</v>
      </c>
      <c r="AC575">
        <v>1</v>
      </c>
      <c r="AD575" s="20">
        <v>45382</v>
      </c>
      <c r="AE575" s="20">
        <v>43191</v>
      </c>
    </row>
    <row r="576" spans="1:31" x14ac:dyDescent="0.25">
      <c r="A576" s="12" t="s">
        <v>1356</v>
      </c>
      <c r="B576" s="11">
        <v>1</v>
      </c>
      <c r="C576" s="13">
        <v>1</v>
      </c>
      <c r="D576" s="13">
        <v>1</v>
      </c>
      <c r="E576" s="28">
        <v>1</v>
      </c>
      <c r="F576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1</v>
      </c>
      <c r="O576">
        <v>73</v>
      </c>
      <c r="AA576">
        <v>1</v>
      </c>
      <c r="AB576">
        <v>0</v>
      </c>
      <c r="AC576">
        <v>0</v>
      </c>
      <c r="AD576" s="19">
        <v>55153</v>
      </c>
      <c r="AE576" s="19">
        <v>43191</v>
      </c>
    </row>
    <row r="577" spans="1:31" x14ac:dyDescent="0.25">
      <c r="A577" s="15" t="s">
        <v>1358</v>
      </c>
      <c r="B577" s="14">
        <v>1</v>
      </c>
      <c r="C577" s="16">
        <v>1</v>
      </c>
      <c r="D577" s="16">
        <v>1</v>
      </c>
      <c r="E577">
        <v>1</v>
      </c>
      <c r="F577">
        <v>0</v>
      </c>
      <c r="G577" s="16">
        <v>0</v>
      </c>
      <c r="H577" s="16">
        <v>1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>
        <v>73</v>
      </c>
      <c r="AA577">
        <v>1</v>
      </c>
      <c r="AB577">
        <v>0</v>
      </c>
      <c r="AC577">
        <v>0</v>
      </c>
      <c r="AD577" s="20">
        <v>55153</v>
      </c>
      <c r="AE577" s="20">
        <v>43191</v>
      </c>
    </row>
    <row r="578" spans="1:31" x14ac:dyDescent="0.25">
      <c r="A578" s="12" t="s">
        <v>1360</v>
      </c>
      <c r="B578" s="11">
        <v>1</v>
      </c>
      <c r="C578" s="13">
        <v>1</v>
      </c>
      <c r="D578" s="13">
        <v>1</v>
      </c>
      <c r="E578" s="28">
        <v>0</v>
      </c>
      <c r="F578">
        <v>0</v>
      </c>
      <c r="G578" s="13">
        <v>0</v>
      </c>
      <c r="H578" s="13">
        <v>1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>
        <v>13</v>
      </c>
      <c r="AA578">
        <v>0</v>
      </c>
      <c r="AB578">
        <v>0</v>
      </c>
      <c r="AC578">
        <v>1</v>
      </c>
      <c r="AD578" s="19">
        <v>43646</v>
      </c>
      <c r="AE578" s="19">
        <v>43191</v>
      </c>
    </row>
    <row r="579" spans="1:31" x14ac:dyDescent="0.25">
      <c r="A579" s="15" t="s">
        <v>1362</v>
      </c>
      <c r="B579" s="14">
        <v>1</v>
      </c>
      <c r="C579" s="16">
        <v>1</v>
      </c>
      <c r="D579" s="16">
        <v>1</v>
      </c>
      <c r="E579">
        <v>0</v>
      </c>
      <c r="F579">
        <v>0</v>
      </c>
      <c r="G579" s="16">
        <v>0</v>
      </c>
      <c r="H579" s="16">
        <v>0</v>
      </c>
      <c r="I579" s="16">
        <v>0</v>
      </c>
      <c r="J579" s="16">
        <v>1</v>
      </c>
      <c r="K579" s="16">
        <v>0</v>
      </c>
      <c r="L579" s="16">
        <v>0</v>
      </c>
      <c r="M579" s="16">
        <v>0</v>
      </c>
      <c r="N579" s="16">
        <v>0</v>
      </c>
      <c r="O579">
        <v>36</v>
      </c>
      <c r="AA579">
        <v>0</v>
      </c>
      <c r="AB579">
        <v>0</v>
      </c>
      <c r="AC579">
        <v>1</v>
      </c>
      <c r="AD579" s="20">
        <v>44196</v>
      </c>
      <c r="AE579" s="20">
        <v>43070</v>
      </c>
    </row>
    <row r="580" spans="1:31" x14ac:dyDescent="0.25">
      <c r="A580" s="12" t="s">
        <v>1364</v>
      </c>
      <c r="B580" s="11">
        <v>1</v>
      </c>
      <c r="C580" s="13">
        <v>1</v>
      </c>
      <c r="D580" s="13">
        <v>1</v>
      </c>
      <c r="E580" s="28">
        <v>1</v>
      </c>
      <c r="F580">
        <v>0</v>
      </c>
      <c r="G580" s="13">
        <v>0</v>
      </c>
      <c r="H580" s="13">
        <v>0</v>
      </c>
      <c r="I580" s="13">
        <v>0</v>
      </c>
      <c r="J580" s="13">
        <v>1</v>
      </c>
      <c r="K580" s="13">
        <v>0</v>
      </c>
      <c r="L580" s="13">
        <v>0</v>
      </c>
      <c r="M580" s="13">
        <v>0</v>
      </c>
      <c r="N580" s="13">
        <v>0</v>
      </c>
      <c r="O580">
        <v>77</v>
      </c>
      <c r="AA580">
        <v>1</v>
      </c>
      <c r="AB580">
        <v>0</v>
      </c>
      <c r="AC580">
        <v>0</v>
      </c>
      <c r="AD580" s="19">
        <v>55153</v>
      </c>
      <c r="AE580" s="19">
        <v>43070</v>
      </c>
    </row>
    <row r="581" spans="1:31" x14ac:dyDescent="0.25">
      <c r="A581" s="15" t="s">
        <v>1366</v>
      </c>
      <c r="B581" s="14">
        <v>1</v>
      </c>
      <c r="C581" s="16">
        <v>1</v>
      </c>
      <c r="D581" s="16">
        <v>1</v>
      </c>
      <c r="E581">
        <v>1</v>
      </c>
      <c r="F581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1</v>
      </c>
      <c r="O581">
        <v>77</v>
      </c>
      <c r="AA581">
        <v>1</v>
      </c>
      <c r="AB581">
        <v>0</v>
      </c>
      <c r="AC581">
        <v>0</v>
      </c>
      <c r="AD581" s="20">
        <v>55153</v>
      </c>
      <c r="AE581" s="20">
        <v>43070</v>
      </c>
    </row>
    <row r="582" spans="1:31" x14ac:dyDescent="0.25">
      <c r="A582" s="12" t="s">
        <v>1368</v>
      </c>
      <c r="B582" s="11">
        <v>1</v>
      </c>
      <c r="C582" s="13">
        <v>1</v>
      </c>
      <c r="D582" s="13">
        <v>1</v>
      </c>
      <c r="E582" s="28">
        <v>1</v>
      </c>
      <c r="F582">
        <v>0</v>
      </c>
      <c r="G582" s="13">
        <v>0</v>
      </c>
      <c r="H582" s="13">
        <v>1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>
        <v>77</v>
      </c>
      <c r="AA582">
        <v>1</v>
      </c>
      <c r="AB582">
        <v>0</v>
      </c>
      <c r="AC582">
        <v>0</v>
      </c>
      <c r="AD582" s="19">
        <v>55153</v>
      </c>
      <c r="AE582" s="19">
        <v>43070</v>
      </c>
    </row>
    <row r="583" spans="1:31" x14ac:dyDescent="0.25">
      <c r="A583" s="15" t="s">
        <v>1370</v>
      </c>
      <c r="B583" s="14">
        <v>1</v>
      </c>
      <c r="C583" s="16">
        <v>1</v>
      </c>
      <c r="D583" s="16">
        <v>1</v>
      </c>
      <c r="E583">
        <v>1</v>
      </c>
      <c r="F583">
        <v>0</v>
      </c>
      <c r="G583" s="16">
        <v>0</v>
      </c>
      <c r="H583" s="16">
        <v>1</v>
      </c>
      <c r="I583" s="1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>
        <v>77</v>
      </c>
      <c r="AA583">
        <v>1</v>
      </c>
      <c r="AB583">
        <v>0</v>
      </c>
      <c r="AC583">
        <v>0</v>
      </c>
      <c r="AD583" s="20">
        <v>55153</v>
      </c>
      <c r="AE583" s="20">
        <v>43070</v>
      </c>
    </row>
    <row r="584" spans="1:31" x14ac:dyDescent="0.25">
      <c r="A584" s="12" t="s">
        <v>1372</v>
      </c>
      <c r="B584" s="11">
        <v>0</v>
      </c>
      <c r="C584" s="13">
        <v>0</v>
      </c>
      <c r="D584" s="13">
        <v>0</v>
      </c>
      <c r="E584" s="28">
        <v>0</v>
      </c>
      <c r="F584">
        <v>1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1</v>
      </c>
      <c r="N584" s="13">
        <v>0</v>
      </c>
      <c r="O584">
        <v>74</v>
      </c>
      <c r="AA584">
        <v>1</v>
      </c>
      <c r="AB584">
        <v>0</v>
      </c>
      <c r="AC584">
        <v>0</v>
      </c>
      <c r="AD584" s="19">
        <v>55153</v>
      </c>
      <c r="AE584" s="19">
        <v>43160</v>
      </c>
    </row>
    <row r="585" spans="1:31" x14ac:dyDescent="0.25">
      <c r="A585" s="15" t="s">
        <v>1374</v>
      </c>
      <c r="B585" s="14">
        <v>1</v>
      </c>
      <c r="C585" s="16">
        <v>1</v>
      </c>
      <c r="D585" s="16">
        <v>1</v>
      </c>
      <c r="E585">
        <v>1</v>
      </c>
      <c r="F585">
        <v>0</v>
      </c>
      <c r="G585" s="16">
        <v>0</v>
      </c>
      <c r="H585" s="16">
        <v>1</v>
      </c>
      <c r="I585" s="16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>
        <v>75</v>
      </c>
      <c r="AA585">
        <v>1</v>
      </c>
      <c r="AB585">
        <v>0</v>
      </c>
      <c r="AC585">
        <v>0</v>
      </c>
      <c r="AD585" s="20">
        <v>55153</v>
      </c>
      <c r="AE585" s="20">
        <v>43132</v>
      </c>
    </row>
    <row r="586" spans="1:31" x14ac:dyDescent="0.25">
      <c r="A586" s="12" t="s">
        <v>1376</v>
      </c>
      <c r="B586" s="11">
        <v>0</v>
      </c>
      <c r="C586" s="13">
        <v>0</v>
      </c>
      <c r="D586" s="13">
        <v>0</v>
      </c>
      <c r="E586" s="28">
        <v>0</v>
      </c>
      <c r="F586">
        <v>1</v>
      </c>
      <c r="G586" s="13">
        <v>0</v>
      </c>
      <c r="H586" s="13">
        <v>0</v>
      </c>
      <c r="I586" s="13">
        <v>1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>
        <v>78</v>
      </c>
      <c r="AA586">
        <v>1</v>
      </c>
      <c r="AB586">
        <v>0</v>
      </c>
      <c r="AC586">
        <v>0</v>
      </c>
      <c r="AD586" s="19">
        <v>55153</v>
      </c>
      <c r="AE586" s="19">
        <v>43040</v>
      </c>
    </row>
    <row r="587" spans="1:31" x14ac:dyDescent="0.25">
      <c r="A587" s="15" t="s">
        <v>1378</v>
      </c>
      <c r="B587" s="14">
        <v>0</v>
      </c>
      <c r="C587" s="16">
        <v>0</v>
      </c>
      <c r="D587" s="16">
        <v>0</v>
      </c>
      <c r="E587">
        <v>0</v>
      </c>
      <c r="F587">
        <v>1</v>
      </c>
      <c r="G587" s="16">
        <v>0</v>
      </c>
      <c r="H587" s="16">
        <v>0</v>
      </c>
      <c r="I587" s="16">
        <v>0</v>
      </c>
      <c r="J587" s="16">
        <v>0</v>
      </c>
      <c r="K587" s="16">
        <v>1</v>
      </c>
      <c r="L587" s="16">
        <v>0</v>
      </c>
      <c r="M587" s="16">
        <v>0</v>
      </c>
      <c r="N587" s="16">
        <v>0</v>
      </c>
      <c r="O587">
        <v>62</v>
      </c>
      <c r="AA587">
        <v>1</v>
      </c>
      <c r="AB587">
        <v>0</v>
      </c>
      <c r="AC587">
        <v>0</v>
      </c>
      <c r="AD587" s="20">
        <v>55153</v>
      </c>
      <c r="AE587" s="20">
        <v>43525</v>
      </c>
    </row>
    <row r="588" spans="1:31" x14ac:dyDescent="0.25">
      <c r="A588" s="12" t="s">
        <v>1380</v>
      </c>
      <c r="B588" s="11">
        <v>1</v>
      </c>
      <c r="C588" s="13">
        <v>1</v>
      </c>
      <c r="D588" s="13">
        <v>1</v>
      </c>
      <c r="E588" s="28">
        <v>1</v>
      </c>
      <c r="F588">
        <v>0</v>
      </c>
      <c r="G588" s="13">
        <v>0</v>
      </c>
      <c r="H588" s="13">
        <v>0</v>
      </c>
      <c r="I588" s="13">
        <v>0</v>
      </c>
      <c r="J588" s="13">
        <v>1</v>
      </c>
      <c r="K588" s="13">
        <v>0</v>
      </c>
      <c r="L588" s="13">
        <v>0</v>
      </c>
      <c r="M588" s="13">
        <v>0</v>
      </c>
      <c r="N588" s="13">
        <v>0</v>
      </c>
      <c r="O588">
        <v>76</v>
      </c>
      <c r="AA588">
        <v>1</v>
      </c>
      <c r="AB588">
        <v>0</v>
      </c>
      <c r="AC588">
        <v>0</v>
      </c>
      <c r="AD588" s="19">
        <v>55153</v>
      </c>
      <c r="AE588" s="19">
        <v>43101</v>
      </c>
    </row>
    <row r="589" spans="1:31" x14ac:dyDescent="0.25">
      <c r="A589" s="15" t="s">
        <v>1382</v>
      </c>
      <c r="B589" s="14">
        <v>1</v>
      </c>
      <c r="C589" s="16">
        <v>0</v>
      </c>
      <c r="D589" s="16">
        <v>1</v>
      </c>
      <c r="E589">
        <v>1</v>
      </c>
      <c r="F589">
        <v>0</v>
      </c>
      <c r="G589" s="16">
        <v>0</v>
      </c>
      <c r="H589" s="16">
        <v>1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>
        <v>77</v>
      </c>
      <c r="AA589">
        <v>1</v>
      </c>
      <c r="AB589">
        <v>0</v>
      </c>
      <c r="AC589">
        <v>0</v>
      </c>
      <c r="AD589" s="20">
        <v>55153</v>
      </c>
      <c r="AE589" s="20">
        <v>43070</v>
      </c>
    </row>
    <row r="590" spans="1:31" x14ac:dyDescent="0.25">
      <c r="A590" s="12" t="s">
        <v>1384</v>
      </c>
      <c r="B590" s="11">
        <v>0</v>
      </c>
      <c r="C590" s="13">
        <v>0</v>
      </c>
      <c r="D590" s="13">
        <v>0</v>
      </c>
      <c r="E590" s="28">
        <v>0</v>
      </c>
      <c r="F590">
        <v>1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1</v>
      </c>
      <c r="N590" s="13">
        <v>0</v>
      </c>
      <c r="O590">
        <v>71</v>
      </c>
      <c r="AA590">
        <v>1</v>
      </c>
      <c r="AB590">
        <v>0</v>
      </c>
      <c r="AC590">
        <v>0</v>
      </c>
      <c r="AD590" s="19">
        <v>55153</v>
      </c>
      <c r="AE590" s="19">
        <v>43252</v>
      </c>
    </row>
    <row r="591" spans="1:31" x14ac:dyDescent="0.25">
      <c r="A591" s="15" t="s">
        <v>1386</v>
      </c>
      <c r="B591" s="14">
        <v>1</v>
      </c>
      <c r="C591" s="16">
        <v>0</v>
      </c>
      <c r="D591" s="16">
        <v>0</v>
      </c>
      <c r="E591">
        <v>0</v>
      </c>
      <c r="F591">
        <v>1</v>
      </c>
      <c r="G591" s="16">
        <v>0</v>
      </c>
      <c r="H591" s="16">
        <v>1</v>
      </c>
      <c r="I591" s="16">
        <v>0</v>
      </c>
      <c r="J591" s="16">
        <v>0</v>
      </c>
      <c r="K591" s="16">
        <v>0</v>
      </c>
      <c r="L591" s="16">
        <v>0</v>
      </c>
      <c r="M591" s="16">
        <v>0</v>
      </c>
      <c r="N591" s="16">
        <v>0</v>
      </c>
      <c r="O591">
        <v>72</v>
      </c>
      <c r="AA591">
        <v>1</v>
      </c>
      <c r="AB591">
        <v>0</v>
      </c>
      <c r="AC591">
        <v>0</v>
      </c>
      <c r="AD591" s="20">
        <v>55153</v>
      </c>
      <c r="AE591" s="20">
        <v>43221</v>
      </c>
    </row>
    <row r="592" spans="1:31" x14ac:dyDescent="0.25">
      <c r="A592" s="12" t="s">
        <v>1388</v>
      </c>
      <c r="B592" s="11">
        <v>0</v>
      </c>
      <c r="C592" s="13">
        <v>0</v>
      </c>
      <c r="D592" s="13">
        <v>0</v>
      </c>
      <c r="E592" s="28">
        <v>0</v>
      </c>
      <c r="F592">
        <v>1</v>
      </c>
      <c r="G592" s="13">
        <v>1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>
        <v>74</v>
      </c>
      <c r="AA592">
        <v>1</v>
      </c>
      <c r="AB592">
        <v>0</v>
      </c>
      <c r="AC592">
        <v>0</v>
      </c>
      <c r="AD592" s="19">
        <v>55153</v>
      </c>
      <c r="AE592" s="19">
        <v>43160</v>
      </c>
    </row>
    <row r="593" spans="1:31" x14ac:dyDescent="0.25">
      <c r="A593" s="15" t="s">
        <v>1390</v>
      </c>
      <c r="B593" s="14">
        <v>1</v>
      </c>
      <c r="C593" s="16">
        <v>0</v>
      </c>
      <c r="D593" s="16">
        <v>0</v>
      </c>
      <c r="E593">
        <v>0</v>
      </c>
      <c r="F593">
        <v>1</v>
      </c>
      <c r="G593" s="16">
        <v>0</v>
      </c>
      <c r="H593" s="16">
        <v>0</v>
      </c>
      <c r="I593" s="16">
        <v>1</v>
      </c>
      <c r="J593" s="16">
        <v>0</v>
      </c>
      <c r="K593" s="16">
        <v>0</v>
      </c>
      <c r="L593" s="16">
        <v>0</v>
      </c>
      <c r="M593" s="16">
        <v>0</v>
      </c>
      <c r="N593" s="16">
        <v>0</v>
      </c>
      <c r="O593">
        <v>73</v>
      </c>
      <c r="AA593">
        <v>1</v>
      </c>
      <c r="AB593">
        <v>0</v>
      </c>
      <c r="AC593">
        <v>0</v>
      </c>
      <c r="AD593" s="20">
        <v>55153</v>
      </c>
      <c r="AE593" s="20">
        <v>43191</v>
      </c>
    </row>
    <row r="594" spans="1:31" x14ac:dyDescent="0.25">
      <c r="A594" s="12" t="s">
        <v>1392</v>
      </c>
      <c r="B594" s="11">
        <v>0</v>
      </c>
      <c r="C594" s="13">
        <v>0</v>
      </c>
      <c r="D594" s="13">
        <v>0</v>
      </c>
      <c r="E594" s="28">
        <v>0</v>
      </c>
      <c r="F594">
        <v>1</v>
      </c>
      <c r="G594" s="13">
        <v>0</v>
      </c>
      <c r="H594" s="13">
        <v>0</v>
      </c>
      <c r="I594" s="13">
        <v>1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>
        <v>50</v>
      </c>
      <c r="AA594">
        <v>1</v>
      </c>
      <c r="AB594">
        <v>0</v>
      </c>
      <c r="AC594">
        <v>0</v>
      </c>
      <c r="AD594" s="19">
        <v>55153</v>
      </c>
      <c r="AE594" s="19">
        <v>43891</v>
      </c>
    </row>
    <row r="595" spans="1:31" x14ac:dyDescent="0.25">
      <c r="A595" s="15" t="s">
        <v>1394</v>
      </c>
      <c r="B595" s="14">
        <v>1</v>
      </c>
      <c r="C595" s="16">
        <v>1</v>
      </c>
      <c r="D595" s="16">
        <v>1</v>
      </c>
      <c r="E595">
        <v>1</v>
      </c>
      <c r="F595">
        <v>0</v>
      </c>
      <c r="G595" s="16">
        <v>0</v>
      </c>
      <c r="H595" s="16">
        <v>0</v>
      </c>
      <c r="I595" s="16">
        <v>0</v>
      </c>
      <c r="J595" s="16">
        <v>1</v>
      </c>
      <c r="K595" s="16">
        <v>0</v>
      </c>
      <c r="L595" s="16">
        <v>0</v>
      </c>
      <c r="M595" s="16">
        <v>0</v>
      </c>
      <c r="N595" s="16">
        <v>0</v>
      </c>
      <c r="O595">
        <v>76</v>
      </c>
      <c r="AA595">
        <v>1</v>
      </c>
      <c r="AB595">
        <v>0</v>
      </c>
      <c r="AC595">
        <v>0</v>
      </c>
      <c r="AD595" s="20">
        <v>55153</v>
      </c>
      <c r="AE595" s="20">
        <v>43101</v>
      </c>
    </row>
    <row r="596" spans="1:31" x14ac:dyDescent="0.25">
      <c r="A596" s="12" t="s">
        <v>1396</v>
      </c>
      <c r="B596" s="11">
        <v>1</v>
      </c>
      <c r="C596" s="13">
        <v>1</v>
      </c>
      <c r="D596" s="13">
        <v>1</v>
      </c>
      <c r="E596" s="28">
        <v>1</v>
      </c>
      <c r="F596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1</v>
      </c>
      <c r="O596">
        <v>76</v>
      </c>
      <c r="AA596">
        <v>1</v>
      </c>
      <c r="AB596">
        <v>0</v>
      </c>
      <c r="AC596">
        <v>0</v>
      </c>
      <c r="AD596" s="19">
        <v>55153</v>
      </c>
      <c r="AE596" s="19">
        <v>43101</v>
      </c>
    </row>
    <row r="597" spans="1:31" x14ac:dyDescent="0.25">
      <c r="A597" s="15" t="s">
        <v>1398</v>
      </c>
      <c r="B597" s="14">
        <v>1</v>
      </c>
      <c r="C597" s="16">
        <v>1</v>
      </c>
      <c r="D597" s="16">
        <v>1</v>
      </c>
      <c r="E597">
        <v>1</v>
      </c>
      <c r="F597">
        <v>0</v>
      </c>
      <c r="G597" s="16">
        <v>0</v>
      </c>
      <c r="H597" s="16">
        <v>1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0</v>
      </c>
      <c r="O597">
        <v>76</v>
      </c>
      <c r="AA597">
        <v>1</v>
      </c>
      <c r="AB597">
        <v>0</v>
      </c>
      <c r="AC597">
        <v>0</v>
      </c>
      <c r="AD597" s="20">
        <v>55153</v>
      </c>
      <c r="AE597" s="20">
        <v>43101</v>
      </c>
    </row>
    <row r="598" spans="1:31" x14ac:dyDescent="0.25">
      <c r="A598" s="12" t="s">
        <v>1400</v>
      </c>
      <c r="B598" s="11">
        <v>0</v>
      </c>
      <c r="C598" s="13">
        <v>0</v>
      </c>
      <c r="D598" s="13">
        <v>0</v>
      </c>
      <c r="E598" s="28">
        <v>0</v>
      </c>
      <c r="F598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1</v>
      </c>
      <c r="L598" s="13">
        <v>0</v>
      </c>
      <c r="M598" s="13">
        <v>0</v>
      </c>
      <c r="N598" s="13">
        <v>0</v>
      </c>
      <c r="O598">
        <v>21</v>
      </c>
      <c r="AA598">
        <v>0</v>
      </c>
      <c r="AB598">
        <v>0</v>
      </c>
      <c r="AC598">
        <v>1</v>
      </c>
      <c r="AD598" s="19">
        <v>43830</v>
      </c>
      <c r="AE598" s="19">
        <v>43160</v>
      </c>
    </row>
    <row r="599" spans="1:31" x14ac:dyDescent="0.25">
      <c r="A599" s="15" t="s">
        <v>1402</v>
      </c>
      <c r="B599" s="14">
        <v>0</v>
      </c>
      <c r="C599" s="16">
        <v>0</v>
      </c>
      <c r="D599" s="16">
        <v>0</v>
      </c>
      <c r="E599">
        <v>0</v>
      </c>
      <c r="F599">
        <v>0</v>
      </c>
      <c r="G599" s="16">
        <v>0</v>
      </c>
      <c r="H599" s="16">
        <v>0</v>
      </c>
      <c r="I599" s="16">
        <v>0</v>
      </c>
      <c r="J599" s="16">
        <v>0</v>
      </c>
      <c r="K599" s="16">
        <v>1</v>
      </c>
      <c r="L599" s="16">
        <v>0</v>
      </c>
      <c r="M599" s="16">
        <v>0</v>
      </c>
      <c r="N599" s="16">
        <v>0</v>
      </c>
      <c r="O599">
        <v>21</v>
      </c>
      <c r="AA599">
        <v>0</v>
      </c>
      <c r="AB599">
        <v>0</v>
      </c>
      <c r="AC599">
        <v>1</v>
      </c>
      <c r="AD599" s="20">
        <v>43830</v>
      </c>
      <c r="AE599" s="20">
        <v>43160</v>
      </c>
    </row>
    <row r="600" spans="1:31" x14ac:dyDescent="0.25">
      <c r="A600" s="12" t="s">
        <v>1404</v>
      </c>
      <c r="B600" s="11">
        <v>0</v>
      </c>
      <c r="C600" s="13">
        <v>0</v>
      </c>
      <c r="D600" s="13">
        <v>0</v>
      </c>
      <c r="E600" s="28">
        <v>1</v>
      </c>
      <c r="F600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1</v>
      </c>
      <c r="L600" s="13">
        <v>0</v>
      </c>
      <c r="M600" s="13">
        <v>0</v>
      </c>
      <c r="N600" s="13">
        <v>0</v>
      </c>
      <c r="O600">
        <v>74</v>
      </c>
      <c r="AA600">
        <v>1</v>
      </c>
      <c r="AB600">
        <v>0</v>
      </c>
      <c r="AC600">
        <v>0</v>
      </c>
      <c r="AD600" s="19">
        <v>55153</v>
      </c>
      <c r="AE600" s="19">
        <v>43160</v>
      </c>
    </row>
    <row r="601" spans="1:31" x14ac:dyDescent="0.25">
      <c r="A601" s="15" t="s">
        <v>1406</v>
      </c>
      <c r="B601" s="14">
        <v>0</v>
      </c>
      <c r="C601" s="16">
        <v>0</v>
      </c>
      <c r="D601" s="16">
        <v>0</v>
      </c>
      <c r="E601">
        <v>1</v>
      </c>
      <c r="F601">
        <v>0</v>
      </c>
      <c r="G601" s="16">
        <v>0</v>
      </c>
      <c r="H601" s="16">
        <v>0</v>
      </c>
      <c r="I601" s="16">
        <v>0</v>
      </c>
      <c r="J601" s="16">
        <v>0</v>
      </c>
      <c r="K601" s="16">
        <v>1</v>
      </c>
      <c r="L601" s="16">
        <v>0</v>
      </c>
      <c r="M601" s="16">
        <v>0</v>
      </c>
      <c r="N601" s="16">
        <v>0</v>
      </c>
      <c r="O601">
        <v>74</v>
      </c>
      <c r="AA601">
        <v>1</v>
      </c>
      <c r="AB601">
        <v>0</v>
      </c>
      <c r="AC601">
        <v>0</v>
      </c>
      <c r="AD601" s="20">
        <v>55153</v>
      </c>
      <c r="AE601" s="20">
        <v>43160</v>
      </c>
    </row>
    <row r="602" spans="1:31" x14ac:dyDescent="0.25">
      <c r="A602" s="12" t="s">
        <v>1408</v>
      </c>
      <c r="B602" s="11">
        <v>1</v>
      </c>
      <c r="C602" s="13">
        <v>0</v>
      </c>
      <c r="D602" s="13">
        <v>0</v>
      </c>
      <c r="E602" s="28">
        <v>0</v>
      </c>
      <c r="F602">
        <v>1</v>
      </c>
      <c r="G602" s="13">
        <v>0</v>
      </c>
      <c r="H602" s="13">
        <v>0</v>
      </c>
      <c r="I602" s="13">
        <v>0</v>
      </c>
      <c r="J602" s="13">
        <v>0</v>
      </c>
      <c r="K602" s="13">
        <v>1</v>
      </c>
      <c r="L602" s="13">
        <v>0</v>
      </c>
      <c r="M602" s="13">
        <v>0</v>
      </c>
      <c r="N602" s="13">
        <v>0</v>
      </c>
      <c r="O602">
        <v>74</v>
      </c>
      <c r="AA602">
        <v>1</v>
      </c>
      <c r="AB602">
        <v>0</v>
      </c>
      <c r="AC602">
        <v>0</v>
      </c>
      <c r="AD602" s="19">
        <v>55153</v>
      </c>
      <c r="AE602" s="19">
        <v>43160</v>
      </c>
    </row>
    <row r="603" spans="1:31" x14ac:dyDescent="0.25">
      <c r="A603" s="15" t="s">
        <v>1410</v>
      </c>
      <c r="B603" s="14">
        <v>1</v>
      </c>
      <c r="C603" s="16">
        <v>0</v>
      </c>
      <c r="D603" s="16">
        <v>1</v>
      </c>
      <c r="E603">
        <v>1</v>
      </c>
      <c r="F603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1</v>
      </c>
      <c r="M603" s="16">
        <v>0</v>
      </c>
      <c r="N603" s="16">
        <v>0</v>
      </c>
      <c r="O603">
        <v>72</v>
      </c>
      <c r="AA603">
        <v>1</v>
      </c>
      <c r="AB603">
        <v>0</v>
      </c>
      <c r="AC603">
        <v>0</v>
      </c>
      <c r="AD603" s="20">
        <v>55153</v>
      </c>
      <c r="AE603" s="20">
        <v>43221</v>
      </c>
    </row>
    <row r="604" spans="1:31" x14ac:dyDescent="0.25">
      <c r="A604" s="12" t="s">
        <v>1412</v>
      </c>
      <c r="B604" s="11">
        <v>0</v>
      </c>
      <c r="C604" s="13">
        <v>0</v>
      </c>
      <c r="D604" s="13">
        <v>0</v>
      </c>
      <c r="E604" s="28">
        <v>0</v>
      </c>
      <c r="F604">
        <v>1</v>
      </c>
      <c r="G604" s="13">
        <v>1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>
        <v>50</v>
      </c>
      <c r="AA604">
        <v>1</v>
      </c>
      <c r="AB604">
        <v>0</v>
      </c>
      <c r="AC604">
        <v>0</v>
      </c>
      <c r="AD604" s="19">
        <v>55153</v>
      </c>
      <c r="AE604" s="19">
        <v>43891</v>
      </c>
    </row>
    <row r="605" spans="1:31" x14ac:dyDescent="0.25">
      <c r="A605" s="15" t="s">
        <v>1414</v>
      </c>
      <c r="B605" s="14">
        <v>1</v>
      </c>
      <c r="C605" s="16">
        <v>0</v>
      </c>
      <c r="D605" s="16">
        <v>0</v>
      </c>
      <c r="E605">
        <v>0</v>
      </c>
      <c r="F605">
        <v>1</v>
      </c>
      <c r="G605" s="16">
        <v>0</v>
      </c>
      <c r="H605" s="16">
        <v>1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>
        <v>72</v>
      </c>
      <c r="AA605">
        <v>1</v>
      </c>
      <c r="AB605">
        <v>0</v>
      </c>
      <c r="AC605">
        <v>0</v>
      </c>
      <c r="AD605" s="20">
        <v>55153</v>
      </c>
      <c r="AE605" s="20">
        <v>43221</v>
      </c>
    </row>
    <row r="606" spans="1:31" x14ac:dyDescent="0.25">
      <c r="A606" s="12" t="s">
        <v>1416</v>
      </c>
      <c r="B606" s="11">
        <v>0</v>
      </c>
      <c r="C606" s="13">
        <v>0</v>
      </c>
      <c r="D606" s="13">
        <v>0</v>
      </c>
      <c r="E606" s="28">
        <v>0</v>
      </c>
      <c r="F606">
        <v>1</v>
      </c>
      <c r="G606" s="13">
        <v>1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>
        <v>74</v>
      </c>
      <c r="AA606">
        <v>1</v>
      </c>
      <c r="AB606">
        <v>0</v>
      </c>
      <c r="AC606">
        <v>0</v>
      </c>
      <c r="AD606" s="19">
        <v>55153</v>
      </c>
      <c r="AE606" s="19">
        <v>43160</v>
      </c>
    </row>
    <row r="607" spans="1:31" x14ac:dyDescent="0.25">
      <c r="A607" s="15" t="s">
        <v>1418</v>
      </c>
      <c r="B607" s="14">
        <v>1</v>
      </c>
      <c r="C607" s="16">
        <v>0</v>
      </c>
      <c r="D607" s="16">
        <v>1</v>
      </c>
      <c r="E607">
        <v>1</v>
      </c>
      <c r="F607">
        <v>0</v>
      </c>
      <c r="G607" s="16">
        <v>0</v>
      </c>
      <c r="H607" s="16">
        <v>0</v>
      </c>
      <c r="I607" s="16">
        <v>0</v>
      </c>
      <c r="J607" s="16">
        <v>0</v>
      </c>
      <c r="K607" s="16">
        <v>1</v>
      </c>
      <c r="L607" s="16">
        <v>0</v>
      </c>
      <c r="M607" s="16">
        <v>0</v>
      </c>
      <c r="N607" s="16">
        <v>0</v>
      </c>
      <c r="O607">
        <v>73</v>
      </c>
      <c r="AA607">
        <v>1</v>
      </c>
      <c r="AB607">
        <v>0</v>
      </c>
      <c r="AC607">
        <v>0</v>
      </c>
      <c r="AD607" s="20">
        <v>55153</v>
      </c>
      <c r="AE607" s="20">
        <v>43191</v>
      </c>
    </row>
    <row r="608" spans="1:31" x14ac:dyDescent="0.25">
      <c r="A608" s="12" t="s">
        <v>1420</v>
      </c>
      <c r="B608" s="11">
        <v>0</v>
      </c>
      <c r="C608" s="13">
        <v>0</v>
      </c>
      <c r="D608" s="13">
        <v>0</v>
      </c>
      <c r="E608" s="28">
        <v>1</v>
      </c>
      <c r="F608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1</v>
      </c>
      <c r="L608" s="13">
        <v>0</v>
      </c>
      <c r="M608" s="13">
        <v>0</v>
      </c>
      <c r="N608" s="13">
        <v>0</v>
      </c>
      <c r="O608">
        <v>74</v>
      </c>
      <c r="AA608">
        <v>1</v>
      </c>
      <c r="AB608">
        <v>0</v>
      </c>
      <c r="AC608">
        <v>0</v>
      </c>
      <c r="AD608" s="19">
        <v>55153</v>
      </c>
      <c r="AE608" s="19">
        <v>43160</v>
      </c>
    </row>
    <row r="609" spans="1:31" x14ac:dyDescent="0.25">
      <c r="A609" s="15" t="s">
        <v>1422</v>
      </c>
      <c r="B609" s="14">
        <v>0</v>
      </c>
      <c r="C609" s="16">
        <v>0</v>
      </c>
      <c r="D609" s="16">
        <v>0</v>
      </c>
      <c r="E609">
        <v>0</v>
      </c>
      <c r="F609">
        <v>1</v>
      </c>
      <c r="G609" s="16">
        <v>0</v>
      </c>
      <c r="H609" s="16">
        <v>0</v>
      </c>
      <c r="I609" s="16">
        <v>1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>
        <v>71</v>
      </c>
      <c r="AA609">
        <v>1</v>
      </c>
      <c r="AB609">
        <v>0</v>
      </c>
      <c r="AC609">
        <v>0</v>
      </c>
      <c r="AD609" s="20">
        <v>55153</v>
      </c>
      <c r="AE609" s="20">
        <v>43252</v>
      </c>
    </row>
    <row r="610" spans="1:31" x14ac:dyDescent="0.25">
      <c r="A610" s="12" t="s">
        <v>1424</v>
      </c>
      <c r="B610" s="11">
        <v>1</v>
      </c>
      <c r="C610" s="13">
        <v>0</v>
      </c>
      <c r="D610" s="13">
        <v>1</v>
      </c>
      <c r="E610" s="28">
        <v>0</v>
      </c>
      <c r="F610">
        <v>0</v>
      </c>
      <c r="G610" s="13">
        <v>0</v>
      </c>
      <c r="H610" s="13">
        <v>1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>
        <v>24</v>
      </c>
      <c r="AA610">
        <v>0</v>
      </c>
      <c r="AB610">
        <v>0</v>
      </c>
      <c r="AC610">
        <v>1</v>
      </c>
      <c r="AD610" s="19">
        <v>43921</v>
      </c>
      <c r="AE610" s="19">
        <v>43160</v>
      </c>
    </row>
    <row r="611" spans="1:31" x14ac:dyDescent="0.25">
      <c r="A611" s="15" t="s">
        <v>1426</v>
      </c>
      <c r="B611" s="14">
        <v>0</v>
      </c>
      <c r="C611" s="16">
        <v>0</v>
      </c>
      <c r="D611" s="16">
        <v>0</v>
      </c>
      <c r="E611">
        <v>0</v>
      </c>
      <c r="F611">
        <v>1</v>
      </c>
      <c r="G611" s="16">
        <v>1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  <c r="N611" s="16">
        <v>0</v>
      </c>
      <c r="O611">
        <v>68</v>
      </c>
      <c r="AA611">
        <v>1</v>
      </c>
      <c r="AB611">
        <v>0</v>
      </c>
      <c r="AC611">
        <v>0</v>
      </c>
      <c r="AD611" s="20">
        <v>55153</v>
      </c>
      <c r="AE611" s="20">
        <v>43344</v>
      </c>
    </row>
    <row r="612" spans="1:31" x14ac:dyDescent="0.25">
      <c r="A612" s="12" t="s">
        <v>1428</v>
      </c>
      <c r="B612" s="11">
        <v>1</v>
      </c>
      <c r="C612" s="13">
        <v>0</v>
      </c>
      <c r="D612" s="13">
        <v>0</v>
      </c>
      <c r="E612" s="28">
        <v>0</v>
      </c>
      <c r="F612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1</v>
      </c>
      <c r="M612" s="13">
        <v>0</v>
      </c>
      <c r="N612" s="13">
        <v>0</v>
      </c>
      <c r="O612">
        <v>6</v>
      </c>
      <c r="AA612">
        <v>0</v>
      </c>
      <c r="AB612">
        <v>0</v>
      </c>
      <c r="AC612">
        <v>1</v>
      </c>
      <c r="AD612" s="19">
        <v>43404</v>
      </c>
      <c r="AE612" s="19">
        <v>43191</v>
      </c>
    </row>
    <row r="613" spans="1:31" x14ac:dyDescent="0.25">
      <c r="A613" s="15" t="s">
        <v>1430</v>
      </c>
      <c r="B613" s="14">
        <v>1</v>
      </c>
      <c r="C613" s="16">
        <v>1</v>
      </c>
      <c r="D613" s="16">
        <v>1</v>
      </c>
      <c r="E613">
        <v>0</v>
      </c>
      <c r="F613">
        <v>0</v>
      </c>
      <c r="G613" s="16">
        <v>0</v>
      </c>
      <c r="H613" s="16">
        <v>0</v>
      </c>
      <c r="I613" s="16">
        <v>0</v>
      </c>
      <c r="J613" s="16">
        <v>1</v>
      </c>
      <c r="K613" s="16">
        <v>0</v>
      </c>
      <c r="L613" s="16">
        <v>0</v>
      </c>
      <c r="M613" s="16">
        <v>0</v>
      </c>
      <c r="N613" s="16">
        <v>0</v>
      </c>
      <c r="O613">
        <v>72</v>
      </c>
      <c r="AA613">
        <v>1</v>
      </c>
      <c r="AB613">
        <v>0</v>
      </c>
      <c r="AC613">
        <v>0</v>
      </c>
      <c r="AD613" s="20">
        <v>55153</v>
      </c>
      <c r="AE613" s="20">
        <v>43221</v>
      </c>
    </row>
    <row r="614" spans="1:31" x14ac:dyDescent="0.25">
      <c r="A614" s="12" t="s">
        <v>1432</v>
      </c>
      <c r="B614" s="11">
        <v>0</v>
      </c>
      <c r="C614" s="13">
        <v>0</v>
      </c>
      <c r="D614" s="13">
        <v>0</v>
      </c>
      <c r="E614" s="28">
        <v>0</v>
      </c>
      <c r="F614">
        <v>1</v>
      </c>
      <c r="G614" s="13">
        <v>0</v>
      </c>
      <c r="H614" s="13">
        <v>0</v>
      </c>
      <c r="I614" s="13">
        <v>0</v>
      </c>
      <c r="J614" s="13">
        <v>0</v>
      </c>
      <c r="K614" s="13">
        <v>1</v>
      </c>
      <c r="L614" s="13">
        <v>0</v>
      </c>
      <c r="M614" s="13">
        <v>0</v>
      </c>
      <c r="N614" s="13">
        <v>0</v>
      </c>
      <c r="O614">
        <v>71</v>
      </c>
      <c r="AA614">
        <v>1</v>
      </c>
      <c r="AB614">
        <v>0</v>
      </c>
      <c r="AC614">
        <v>0</v>
      </c>
      <c r="AD614" s="19">
        <v>55153</v>
      </c>
      <c r="AE614" s="19">
        <v>43252</v>
      </c>
    </row>
    <row r="615" spans="1:31" x14ac:dyDescent="0.25">
      <c r="A615" s="15" t="s">
        <v>1434</v>
      </c>
      <c r="B615" s="14">
        <v>1</v>
      </c>
      <c r="C615" s="16">
        <v>1</v>
      </c>
      <c r="D615" s="16">
        <v>1</v>
      </c>
      <c r="E615">
        <v>1</v>
      </c>
      <c r="F615">
        <v>0</v>
      </c>
      <c r="G615" s="16">
        <v>0</v>
      </c>
      <c r="H615" s="16">
        <v>1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>
        <v>72</v>
      </c>
      <c r="AA615">
        <v>1</v>
      </c>
      <c r="AB615">
        <v>0</v>
      </c>
      <c r="AC615">
        <v>0</v>
      </c>
      <c r="AD615" s="20">
        <v>55153</v>
      </c>
      <c r="AE615" s="20">
        <v>43221</v>
      </c>
    </row>
    <row r="616" spans="1:31" x14ac:dyDescent="0.25">
      <c r="A616" s="12" t="s">
        <v>43</v>
      </c>
      <c r="B616" s="11">
        <v>1</v>
      </c>
      <c r="C616" s="13">
        <v>1</v>
      </c>
      <c r="D616" s="13">
        <v>1</v>
      </c>
      <c r="E616" s="28">
        <v>0</v>
      </c>
      <c r="F616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1</v>
      </c>
      <c r="O616">
        <v>61</v>
      </c>
      <c r="AA616">
        <v>0</v>
      </c>
      <c r="AB616">
        <v>0</v>
      </c>
      <c r="AC616">
        <v>1</v>
      </c>
      <c r="AD616" s="19">
        <v>45107</v>
      </c>
      <c r="AE616" s="19">
        <v>43221</v>
      </c>
    </row>
    <row r="617" spans="1:31" x14ac:dyDescent="0.25">
      <c r="A617" s="15" t="s">
        <v>1436</v>
      </c>
      <c r="B617" s="14">
        <v>1</v>
      </c>
      <c r="C617" s="16">
        <v>1</v>
      </c>
      <c r="D617" s="16">
        <v>1</v>
      </c>
      <c r="E617">
        <v>1</v>
      </c>
      <c r="F617">
        <v>0</v>
      </c>
      <c r="G617" s="16">
        <v>0</v>
      </c>
      <c r="H617" s="16">
        <v>1</v>
      </c>
      <c r="I617" s="16">
        <v>0</v>
      </c>
      <c r="J617" s="16">
        <v>0</v>
      </c>
      <c r="K617" s="16">
        <v>0</v>
      </c>
      <c r="L617" s="16">
        <v>0</v>
      </c>
      <c r="M617" s="16">
        <v>0</v>
      </c>
      <c r="N617" s="16">
        <v>0</v>
      </c>
      <c r="O617">
        <v>71</v>
      </c>
      <c r="AA617">
        <v>1</v>
      </c>
      <c r="AB617">
        <v>0</v>
      </c>
      <c r="AC617">
        <v>0</v>
      </c>
      <c r="AD617" s="20">
        <v>55153</v>
      </c>
      <c r="AE617" s="20">
        <v>43252</v>
      </c>
    </row>
    <row r="618" spans="1:31" x14ac:dyDescent="0.25">
      <c r="A618" s="12" t="s">
        <v>1438</v>
      </c>
      <c r="B618" s="11">
        <v>0</v>
      </c>
      <c r="C618" s="13">
        <v>0</v>
      </c>
      <c r="D618" s="13">
        <v>0</v>
      </c>
      <c r="E618" s="28">
        <v>0</v>
      </c>
      <c r="F618">
        <v>0</v>
      </c>
      <c r="G618" s="13">
        <v>1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>
        <v>15</v>
      </c>
      <c r="AA618">
        <v>0</v>
      </c>
      <c r="AB618">
        <v>0</v>
      </c>
      <c r="AC618">
        <v>1</v>
      </c>
      <c r="AD618" s="19">
        <v>43738</v>
      </c>
      <c r="AE618" s="19">
        <v>43252</v>
      </c>
    </row>
    <row r="619" spans="1:31" x14ac:dyDescent="0.25">
      <c r="A619" s="15" t="s">
        <v>1440</v>
      </c>
      <c r="B619" s="14">
        <v>0</v>
      </c>
      <c r="C619" s="16">
        <v>0</v>
      </c>
      <c r="D619" s="16">
        <v>0</v>
      </c>
      <c r="E619">
        <v>0</v>
      </c>
      <c r="F619">
        <v>0</v>
      </c>
      <c r="G619" s="16">
        <v>1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>
        <v>15</v>
      </c>
      <c r="AA619">
        <v>0</v>
      </c>
      <c r="AB619">
        <v>0</v>
      </c>
      <c r="AC619">
        <v>1</v>
      </c>
      <c r="AD619" s="20">
        <v>43738</v>
      </c>
      <c r="AE619" s="20">
        <v>43252</v>
      </c>
    </row>
    <row r="620" spans="1:31" x14ac:dyDescent="0.25">
      <c r="A620" s="12" t="s">
        <v>1442</v>
      </c>
      <c r="B620" s="11">
        <v>0</v>
      </c>
      <c r="C620" s="13">
        <v>0</v>
      </c>
      <c r="D620" s="13">
        <v>0</v>
      </c>
      <c r="E620" s="28">
        <v>0</v>
      </c>
      <c r="F620">
        <v>0</v>
      </c>
      <c r="G620" s="13">
        <v>1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>
        <v>15</v>
      </c>
      <c r="AA620">
        <v>0</v>
      </c>
      <c r="AB620">
        <v>0</v>
      </c>
      <c r="AC620">
        <v>1</v>
      </c>
      <c r="AD620" s="19">
        <v>43738</v>
      </c>
      <c r="AE620" s="19">
        <v>43252</v>
      </c>
    </row>
    <row r="621" spans="1:31" x14ac:dyDescent="0.25">
      <c r="A621" s="15" t="s">
        <v>1444</v>
      </c>
      <c r="B621" s="14">
        <v>0</v>
      </c>
      <c r="C621" s="16">
        <v>0</v>
      </c>
      <c r="D621" s="16">
        <v>0</v>
      </c>
      <c r="E621">
        <v>0</v>
      </c>
      <c r="F621">
        <v>0</v>
      </c>
      <c r="G621" s="16">
        <v>1</v>
      </c>
      <c r="H621" s="16">
        <v>0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0</v>
      </c>
      <c r="O621">
        <v>15</v>
      </c>
      <c r="AA621">
        <v>0</v>
      </c>
      <c r="AB621">
        <v>0</v>
      </c>
      <c r="AC621">
        <v>1</v>
      </c>
      <c r="AD621" s="20">
        <v>43738</v>
      </c>
      <c r="AE621" s="20">
        <v>43252</v>
      </c>
    </row>
    <row r="622" spans="1:31" x14ac:dyDescent="0.25">
      <c r="A622" s="12" t="s">
        <v>1446</v>
      </c>
      <c r="B622" s="11">
        <v>1</v>
      </c>
      <c r="C622" s="13">
        <v>0</v>
      </c>
      <c r="D622" s="13">
        <v>1</v>
      </c>
      <c r="E622" s="28">
        <v>0</v>
      </c>
      <c r="F622">
        <v>0</v>
      </c>
      <c r="G622" s="13">
        <v>0</v>
      </c>
      <c r="H622" s="13">
        <v>1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>
        <v>55</v>
      </c>
      <c r="AA622">
        <v>0</v>
      </c>
      <c r="AB622">
        <v>1</v>
      </c>
      <c r="AC622">
        <v>0</v>
      </c>
      <c r="AD622" s="19">
        <v>44926</v>
      </c>
      <c r="AE622" s="19">
        <v>43221</v>
      </c>
    </row>
    <row r="623" spans="1:31" x14ac:dyDescent="0.25">
      <c r="A623" s="15" t="s">
        <v>1448</v>
      </c>
      <c r="B623" s="14">
        <v>1</v>
      </c>
      <c r="C623" s="16">
        <v>0</v>
      </c>
      <c r="D623" s="16">
        <v>1</v>
      </c>
      <c r="E623">
        <v>0</v>
      </c>
      <c r="F623">
        <v>0</v>
      </c>
      <c r="G623" s="16">
        <v>0</v>
      </c>
      <c r="H623" s="16">
        <v>1</v>
      </c>
      <c r="I623" s="16">
        <v>0</v>
      </c>
      <c r="J623" s="16">
        <v>0</v>
      </c>
      <c r="K623" s="16">
        <v>0</v>
      </c>
      <c r="L623" s="16">
        <v>0</v>
      </c>
      <c r="M623" s="16">
        <v>0</v>
      </c>
      <c r="N623" s="16">
        <v>0</v>
      </c>
      <c r="O623">
        <v>41</v>
      </c>
      <c r="AA623">
        <v>0</v>
      </c>
      <c r="AB623">
        <v>1</v>
      </c>
      <c r="AC623">
        <v>0</v>
      </c>
      <c r="AD623" s="20">
        <v>44530</v>
      </c>
      <c r="AE623" s="20">
        <v>43252</v>
      </c>
    </row>
    <row r="624" spans="1:31" x14ac:dyDescent="0.25">
      <c r="A624" s="12" t="s">
        <v>1450</v>
      </c>
      <c r="B624" s="11">
        <v>1</v>
      </c>
      <c r="C624" s="13">
        <v>0</v>
      </c>
      <c r="D624" s="13">
        <v>1</v>
      </c>
      <c r="E624" s="28">
        <v>0</v>
      </c>
      <c r="F624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1</v>
      </c>
      <c r="M624" s="13">
        <v>0</v>
      </c>
      <c r="N624" s="13">
        <v>0</v>
      </c>
      <c r="O624">
        <v>16</v>
      </c>
      <c r="AA624">
        <v>0</v>
      </c>
      <c r="AB624">
        <v>0</v>
      </c>
      <c r="AC624">
        <v>1</v>
      </c>
      <c r="AD624" s="19">
        <v>43738</v>
      </c>
      <c r="AE624" s="19">
        <v>43221</v>
      </c>
    </row>
    <row r="625" spans="1:31" x14ac:dyDescent="0.25">
      <c r="A625" s="15" t="s">
        <v>1452</v>
      </c>
      <c r="B625" s="14">
        <v>0</v>
      </c>
      <c r="C625" s="16">
        <v>0</v>
      </c>
      <c r="D625" s="16">
        <v>0</v>
      </c>
      <c r="E625">
        <v>0</v>
      </c>
      <c r="F625">
        <v>1</v>
      </c>
      <c r="G625" s="16">
        <v>0</v>
      </c>
      <c r="H625" s="16">
        <v>0</v>
      </c>
      <c r="I625" s="16">
        <v>0</v>
      </c>
      <c r="J625" s="16">
        <v>0</v>
      </c>
      <c r="K625" s="16">
        <v>1</v>
      </c>
      <c r="L625" s="16">
        <v>0</v>
      </c>
      <c r="M625" s="16">
        <v>0</v>
      </c>
      <c r="N625" s="16">
        <v>0</v>
      </c>
      <c r="O625">
        <v>71</v>
      </c>
      <c r="AA625">
        <v>1</v>
      </c>
      <c r="AB625">
        <v>0</v>
      </c>
      <c r="AC625">
        <v>0</v>
      </c>
      <c r="AD625" s="20">
        <v>55153</v>
      </c>
      <c r="AE625" s="20">
        <v>43252</v>
      </c>
    </row>
    <row r="626" spans="1:31" x14ac:dyDescent="0.25">
      <c r="A626" s="12" t="s">
        <v>1454</v>
      </c>
      <c r="B626" s="11">
        <v>1</v>
      </c>
      <c r="C626" s="13">
        <v>1</v>
      </c>
      <c r="D626" s="13">
        <v>1</v>
      </c>
      <c r="E626" s="28">
        <v>0</v>
      </c>
      <c r="F626">
        <v>0</v>
      </c>
      <c r="G626" s="13">
        <v>0</v>
      </c>
      <c r="H626" s="13">
        <v>1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>
        <v>14</v>
      </c>
      <c r="AA626">
        <v>0</v>
      </c>
      <c r="AB626">
        <v>1</v>
      </c>
      <c r="AC626">
        <v>0</v>
      </c>
      <c r="AD626" s="19">
        <v>43799</v>
      </c>
      <c r="AE626" s="19">
        <v>43344</v>
      </c>
    </row>
    <row r="627" spans="1:31" x14ac:dyDescent="0.25">
      <c r="A627" s="15" t="s">
        <v>1456</v>
      </c>
      <c r="B627" s="14">
        <v>1</v>
      </c>
      <c r="C627" s="16">
        <v>1</v>
      </c>
      <c r="D627" s="16">
        <v>1</v>
      </c>
      <c r="E627">
        <v>0</v>
      </c>
      <c r="F627">
        <v>0</v>
      </c>
      <c r="G627" s="16">
        <v>0</v>
      </c>
      <c r="H627" s="16">
        <v>1</v>
      </c>
      <c r="I627" s="16">
        <v>0</v>
      </c>
      <c r="J627" s="16">
        <v>0</v>
      </c>
      <c r="K627" s="16">
        <v>0</v>
      </c>
      <c r="L627" s="16">
        <v>0</v>
      </c>
      <c r="M627" s="16">
        <v>0</v>
      </c>
      <c r="N627" s="16">
        <v>0</v>
      </c>
      <c r="O627">
        <v>14</v>
      </c>
      <c r="AA627">
        <v>0</v>
      </c>
      <c r="AB627">
        <v>1</v>
      </c>
      <c r="AC627">
        <v>0</v>
      </c>
      <c r="AD627" s="20">
        <v>43799</v>
      </c>
      <c r="AE627" s="20">
        <v>43344</v>
      </c>
    </row>
    <row r="628" spans="1:31" x14ac:dyDescent="0.25">
      <c r="A628" s="12" t="s">
        <v>1458</v>
      </c>
      <c r="B628" s="11">
        <v>1</v>
      </c>
      <c r="C628" s="13">
        <v>0</v>
      </c>
      <c r="D628" s="13">
        <v>0</v>
      </c>
      <c r="E628" s="28">
        <v>0</v>
      </c>
      <c r="F628">
        <v>1</v>
      </c>
      <c r="G628" s="13">
        <v>0</v>
      </c>
      <c r="H628" s="13">
        <v>0</v>
      </c>
      <c r="I628" s="13">
        <v>0</v>
      </c>
      <c r="J628" s="13">
        <v>0</v>
      </c>
      <c r="K628" s="13">
        <v>1</v>
      </c>
      <c r="L628" s="13">
        <v>0</v>
      </c>
      <c r="M628" s="13">
        <v>0</v>
      </c>
      <c r="N628" s="13">
        <v>0</v>
      </c>
      <c r="O628">
        <v>69</v>
      </c>
      <c r="AA628">
        <v>1</v>
      </c>
      <c r="AB628">
        <v>0</v>
      </c>
      <c r="AC628">
        <v>0</v>
      </c>
      <c r="AD628" s="19">
        <v>55153</v>
      </c>
      <c r="AE628" s="19">
        <v>43313</v>
      </c>
    </row>
    <row r="629" spans="1:31" x14ac:dyDescent="0.25">
      <c r="A629" s="15" t="s">
        <v>1460</v>
      </c>
      <c r="B629" s="14">
        <v>1</v>
      </c>
      <c r="C629" s="16">
        <v>0</v>
      </c>
      <c r="D629" s="16">
        <v>0</v>
      </c>
      <c r="E629">
        <v>0</v>
      </c>
      <c r="F629">
        <v>1</v>
      </c>
      <c r="G629" s="16">
        <v>0</v>
      </c>
      <c r="H629" s="16">
        <v>1</v>
      </c>
      <c r="I629" s="16">
        <v>0</v>
      </c>
      <c r="J629" s="16">
        <v>0</v>
      </c>
      <c r="K629" s="16">
        <v>0</v>
      </c>
      <c r="L629" s="16">
        <v>0</v>
      </c>
      <c r="M629" s="16">
        <v>0</v>
      </c>
      <c r="N629" s="16">
        <v>0</v>
      </c>
      <c r="O629">
        <v>71</v>
      </c>
      <c r="AA629">
        <v>1</v>
      </c>
      <c r="AB629">
        <v>0</v>
      </c>
      <c r="AC629">
        <v>0</v>
      </c>
      <c r="AD629" s="20">
        <v>55153</v>
      </c>
      <c r="AE629" s="20">
        <v>43252</v>
      </c>
    </row>
    <row r="630" spans="1:31" x14ac:dyDescent="0.25">
      <c r="A630" s="12" t="s">
        <v>1462</v>
      </c>
      <c r="B630" s="11">
        <v>1</v>
      </c>
      <c r="C630" s="13">
        <v>0</v>
      </c>
      <c r="D630" s="13">
        <v>0</v>
      </c>
      <c r="E630" s="28">
        <v>0</v>
      </c>
      <c r="F630">
        <v>1</v>
      </c>
      <c r="G630" s="13">
        <v>0</v>
      </c>
      <c r="H630" s="13">
        <v>1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>
        <v>71</v>
      </c>
      <c r="AA630">
        <v>1</v>
      </c>
      <c r="AB630">
        <v>0</v>
      </c>
      <c r="AC630">
        <v>0</v>
      </c>
      <c r="AD630" s="19">
        <v>55153</v>
      </c>
      <c r="AE630" s="19">
        <v>43252</v>
      </c>
    </row>
    <row r="631" spans="1:31" x14ac:dyDescent="0.25">
      <c r="A631" s="15" t="s">
        <v>1464</v>
      </c>
      <c r="B631" s="14">
        <v>1</v>
      </c>
      <c r="C631" s="16">
        <v>0</v>
      </c>
      <c r="D631" s="16">
        <v>0</v>
      </c>
      <c r="E631">
        <v>0</v>
      </c>
      <c r="F631">
        <v>1</v>
      </c>
      <c r="G631" s="16">
        <v>0</v>
      </c>
      <c r="H631" s="16">
        <v>1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0</v>
      </c>
      <c r="O631">
        <v>71</v>
      </c>
      <c r="AA631">
        <v>1</v>
      </c>
      <c r="AB631">
        <v>0</v>
      </c>
      <c r="AC631">
        <v>0</v>
      </c>
      <c r="AD631" s="20">
        <v>55153</v>
      </c>
      <c r="AE631" s="20">
        <v>43252</v>
      </c>
    </row>
    <row r="632" spans="1:31" x14ac:dyDescent="0.25">
      <c r="A632" s="12" t="s">
        <v>1466</v>
      </c>
      <c r="B632" s="11">
        <v>1</v>
      </c>
      <c r="C632" s="13">
        <v>1</v>
      </c>
      <c r="D632" s="13">
        <v>1</v>
      </c>
      <c r="E632" s="28">
        <v>0</v>
      </c>
      <c r="F632">
        <v>0</v>
      </c>
      <c r="G632" s="13">
        <v>0</v>
      </c>
      <c r="H632" s="13">
        <v>1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>
        <v>16</v>
      </c>
      <c r="AA632">
        <v>0</v>
      </c>
      <c r="AB632">
        <v>1</v>
      </c>
      <c r="AC632">
        <v>0</v>
      </c>
      <c r="AD632" s="19">
        <v>43982</v>
      </c>
      <c r="AE632" s="19">
        <v>43466</v>
      </c>
    </row>
    <row r="633" spans="1:31" x14ac:dyDescent="0.25">
      <c r="A633" s="15" t="s">
        <v>45</v>
      </c>
      <c r="B633" s="14">
        <v>1</v>
      </c>
      <c r="C633" s="16">
        <v>0</v>
      </c>
      <c r="D633" s="16">
        <v>1</v>
      </c>
      <c r="E633">
        <v>0</v>
      </c>
      <c r="F633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1</v>
      </c>
      <c r="M633" s="16">
        <v>0</v>
      </c>
      <c r="N633" s="16">
        <v>0</v>
      </c>
      <c r="O633">
        <v>48</v>
      </c>
      <c r="AA633">
        <v>0</v>
      </c>
      <c r="AB633">
        <v>1</v>
      </c>
      <c r="AC633">
        <v>0</v>
      </c>
      <c r="AD633" s="20">
        <v>44985</v>
      </c>
      <c r="AE633" s="20">
        <v>43497</v>
      </c>
    </row>
    <row r="634" spans="1:31" x14ac:dyDescent="0.25">
      <c r="A634" s="12" t="s">
        <v>1468</v>
      </c>
      <c r="B634" s="11">
        <v>0</v>
      </c>
      <c r="C634" s="13">
        <v>0</v>
      </c>
      <c r="D634" s="13">
        <v>0</v>
      </c>
      <c r="E634" s="28">
        <v>0</v>
      </c>
      <c r="F634">
        <v>1</v>
      </c>
      <c r="G634" s="13">
        <v>0</v>
      </c>
      <c r="H634" s="13">
        <v>0</v>
      </c>
      <c r="I634" s="13">
        <v>1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>
        <v>68</v>
      </c>
      <c r="AA634">
        <v>1</v>
      </c>
      <c r="AB634">
        <v>0</v>
      </c>
      <c r="AC634">
        <v>0</v>
      </c>
      <c r="AD634" s="19">
        <v>55153</v>
      </c>
      <c r="AE634" s="19">
        <v>43344</v>
      </c>
    </row>
    <row r="635" spans="1:31" x14ac:dyDescent="0.25">
      <c r="A635" s="15" t="s">
        <v>1470</v>
      </c>
      <c r="B635" s="14">
        <v>1</v>
      </c>
      <c r="C635" s="16">
        <v>0</v>
      </c>
      <c r="D635" s="16">
        <v>1</v>
      </c>
      <c r="E635">
        <v>1</v>
      </c>
      <c r="F635">
        <v>0</v>
      </c>
      <c r="G635" s="16">
        <v>0</v>
      </c>
      <c r="H635" s="16">
        <v>0</v>
      </c>
      <c r="I635" s="16">
        <v>0</v>
      </c>
      <c r="J635" s="16">
        <v>1</v>
      </c>
      <c r="K635" s="16">
        <v>0</v>
      </c>
      <c r="L635" s="16">
        <v>0</v>
      </c>
      <c r="M635" s="16">
        <v>0</v>
      </c>
      <c r="N635" s="16">
        <v>0</v>
      </c>
      <c r="O635">
        <v>50</v>
      </c>
      <c r="AA635">
        <v>1</v>
      </c>
      <c r="AB635">
        <v>0</v>
      </c>
      <c r="AC635">
        <v>0</v>
      </c>
      <c r="AD635" s="20">
        <v>55153</v>
      </c>
      <c r="AE635" s="20">
        <v>43891</v>
      </c>
    </row>
    <row r="636" spans="1:31" x14ac:dyDescent="0.25">
      <c r="A636" s="12" t="s">
        <v>1472</v>
      </c>
      <c r="B636" s="11">
        <v>1</v>
      </c>
      <c r="C636" s="13">
        <v>1</v>
      </c>
      <c r="D636" s="13">
        <v>1</v>
      </c>
      <c r="E636" s="28">
        <v>1</v>
      </c>
      <c r="F636">
        <v>0</v>
      </c>
      <c r="G636" s="13">
        <v>0</v>
      </c>
      <c r="H636" s="13">
        <v>1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>
        <v>71</v>
      </c>
      <c r="AA636">
        <v>1</v>
      </c>
      <c r="AB636">
        <v>0</v>
      </c>
      <c r="AC636">
        <v>0</v>
      </c>
      <c r="AD636" s="19">
        <v>55153</v>
      </c>
      <c r="AE636" s="19">
        <v>43252</v>
      </c>
    </row>
    <row r="637" spans="1:31" x14ac:dyDescent="0.25">
      <c r="A637" s="15" t="s">
        <v>1474</v>
      </c>
      <c r="B637" s="14">
        <v>1</v>
      </c>
      <c r="C637" s="16">
        <v>1</v>
      </c>
      <c r="D637" s="16">
        <v>1</v>
      </c>
      <c r="E637">
        <v>0</v>
      </c>
      <c r="F637">
        <v>0</v>
      </c>
      <c r="G637" s="16">
        <v>0</v>
      </c>
      <c r="H637" s="16">
        <v>1</v>
      </c>
      <c r="I637" s="16">
        <v>0</v>
      </c>
      <c r="J637" s="16">
        <v>0</v>
      </c>
      <c r="K637" s="16">
        <v>0</v>
      </c>
      <c r="L637" s="16">
        <v>0</v>
      </c>
      <c r="M637" s="16">
        <v>0</v>
      </c>
      <c r="N637" s="16">
        <v>0</v>
      </c>
      <c r="O637">
        <v>34</v>
      </c>
      <c r="AA637">
        <v>0</v>
      </c>
      <c r="AB637">
        <v>1</v>
      </c>
      <c r="AC637">
        <v>0</v>
      </c>
      <c r="AD637" s="20">
        <v>44592</v>
      </c>
      <c r="AE637" s="20">
        <v>43525</v>
      </c>
    </row>
    <row r="638" spans="1:31" x14ac:dyDescent="0.25">
      <c r="A638" s="12" t="s">
        <v>1476</v>
      </c>
      <c r="B638" s="11">
        <v>1</v>
      </c>
      <c r="C638" s="13">
        <v>1</v>
      </c>
      <c r="D638" s="13">
        <v>1</v>
      </c>
      <c r="E638" s="28">
        <v>1</v>
      </c>
      <c r="F638">
        <v>0</v>
      </c>
      <c r="G638" s="13">
        <v>0</v>
      </c>
      <c r="H638" s="13">
        <v>1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>
        <v>62</v>
      </c>
      <c r="AA638">
        <v>1</v>
      </c>
      <c r="AB638">
        <v>0</v>
      </c>
      <c r="AC638">
        <v>0</v>
      </c>
      <c r="AD638" s="19">
        <v>55153</v>
      </c>
      <c r="AE638" s="19">
        <v>43525</v>
      </c>
    </row>
    <row r="639" spans="1:31" x14ac:dyDescent="0.25">
      <c r="A639" s="15" t="s">
        <v>1478</v>
      </c>
      <c r="B639" s="14">
        <v>0</v>
      </c>
      <c r="C639" s="16">
        <v>0</v>
      </c>
      <c r="D639" s="16">
        <v>0</v>
      </c>
      <c r="E639">
        <v>0</v>
      </c>
      <c r="F639">
        <v>1</v>
      </c>
      <c r="G639" s="16">
        <v>0</v>
      </c>
      <c r="H639" s="16">
        <v>0</v>
      </c>
      <c r="I639" s="16">
        <v>0</v>
      </c>
      <c r="J639" s="16">
        <v>0</v>
      </c>
      <c r="K639" s="16">
        <v>1</v>
      </c>
      <c r="L639" s="16">
        <v>0</v>
      </c>
      <c r="M639" s="16">
        <v>0</v>
      </c>
      <c r="N639" s="16">
        <v>0</v>
      </c>
      <c r="O639">
        <v>71</v>
      </c>
      <c r="AA639">
        <v>1</v>
      </c>
      <c r="AB639">
        <v>0</v>
      </c>
      <c r="AC639">
        <v>0</v>
      </c>
      <c r="AD639" s="20">
        <v>55153</v>
      </c>
      <c r="AE639" s="20">
        <v>43252</v>
      </c>
    </row>
    <row r="640" spans="1:31" x14ac:dyDescent="0.25">
      <c r="A640" s="12" t="s">
        <v>1480</v>
      </c>
      <c r="B640" s="11">
        <v>1</v>
      </c>
      <c r="C640" s="13">
        <v>1</v>
      </c>
      <c r="D640" s="13">
        <v>1</v>
      </c>
      <c r="E640" s="28">
        <v>1</v>
      </c>
      <c r="F640">
        <v>0</v>
      </c>
      <c r="G640" s="13">
        <v>0</v>
      </c>
      <c r="H640" s="13">
        <v>0</v>
      </c>
      <c r="I640" s="13">
        <v>0</v>
      </c>
      <c r="J640" s="13">
        <v>1</v>
      </c>
      <c r="K640" s="13">
        <v>0</v>
      </c>
      <c r="L640" s="13">
        <v>0</v>
      </c>
      <c r="M640" s="13">
        <v>0</v>
      </c>
      <c r="N640" s="13">
        <v>0</v>
      </c>
      <c r="O640">
        <v>68</v>
      </c>
      <c r="AA640">
        <v>1</v>
      </c>
      <c r="AB640">
        <v>0</v>
      </c>
      <c r="AC640">
        <v>0</v>
      </c>
      <c r="AD640" s="19">
        <v>55153</v>
      </c>
      <c r="AE640" s="19">
        <v>43344</v>
      </c>
    </row>
    <row r="641" spans="1:31" x14ac:dyDescent="0.25">
      <c r="A641" s="15" t="s">
        <v>1482</v>
      </c>
      <c r="B641" s="14">
        <v>1</v>
      </c>
      <c r="C641" s="16">
        <v>0</v>
      </c>
      <c r="D641" s="16">
        <v>0</v>
      </c>
      <c r="E641">
        <v>0</v>
      </c>
      <c r="F641">
        <v>1</v>
      </c>
      <c r="G641" s="16">
        <v>0</v>
      </c>
      <c r="H641" s="16">
        <v>0</v>
      </c>
      <c r="I641" s="16">
        <v>1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>
        <v>62</v>
      </c>
      <c r="AA641">
        <v>1</v>
      </c>
      <c r="AB641">
        <v>0</v>
      </c>
      <c r="AC641">
        <v>0</v>
      </c>
      <c r="AD641" s="20">
        <v>55153</v>
      </c>
      <c r="AE641" s="20">
        <v>43525</v>
      </c>
    </row>
    <row r="642" spans="1:31" x14ac:dyDescent="0.25">
      <c r="A642" s="12" t="s">
        <v>1484</v>
      </c>
      <c r="B642" s="11">
        <v>1</v>
      </c>
      <c r="C642" s="13">
        <v>0</v>
      </c>
      <c r="D642" s="13">
        <v>1</v>
      </c>
      <c r="E642" s="28">
        <v>0</v>
      </c>
      <c r="F642">
        <v>1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1</v>
      </c>
      <c r="M642" s="13">
        <v>0</v>
      </c>
      <c r="N642" s="13">
        <v>0</v>
      </c>
      <c r="O642">
        <v>65</v>
      </c>
      <c r="AA642">
        <v>1</v>
      </c>
      <c r="AB642">
        <v>0</v>
      </c>
      <c r="AC642">
        <v>0</v>
      </c>
      <c r="AD642" s="19">
        <v>55153</v>
      </c>
      <c r="AE642" s="19">
        <v>43435</v>
      </c>
    </row>
    <row r="643" spans="1:31" x14ac:dyDescent="0.25">
      <c r="A643" s="15" t="s">
        <v>1486</v>
      </c>
      <c r="B643" s="14">
        <v>1</v>
      </c>
      <c r="C643" s="16">
        <v>0</v>
      </c>
      <c r="D643" s="16">
        <v>1</v>
      </c>
      <c r="E643">
        <v>1</v>
      </c>
      <c r="F643">
        <v>0</v>
      </c>
      <c r="G643" s="16">
        <v>0</v>
      </c>
      <c r="H643" s="16">
        <v>1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>
        <v>49</v>
      </c>
      <c r="AA643">
        <v>1</v>
      </c>
      <c r="AB643">
        <v>0</v>
      </c>
      <c r="AC643">
        <v>0</v>
      </c>
      <c r="AD643" s="20">
        <v>55153</v>
      </c>
      <c r="AE643" s="20">
        <v>43922</v>
      </c>
    </row>
    <row r="644" spans="1:31" x14ac:dyDescent="0.25">
      <c r="A644" s="12" t="s">
        <v>1488</v>
      </c>
      <c r="B644" s="11">
        <v>0</v>
      </c>
      <c r="C644" s="13">
        <v>0</v>
      </c>
      <c r="D644" s="13">
        <v>0</v>
      </c>
      <c r="E644" s="28">
        <v>0</v>
      </c>
      <c r="F644">
        <v>1</v>
      </c>
      <c r="G644" s="13">
        <v>0</v>
      </c>
      <c r="H644" s="13">
        <v>0</v>
      </c>
      <c r="I644" s="13">
        <v>0</v>
      </c>
      <c r="J644" s="13">
        <v>0</v>
      </c>
      <c r="K644" s="13">
        <v>1</v>
      </c>
      <c r="L644" s="13">
        <v>0</v>
      </c>
      <c r="M644" s="13">
        <v>0</v>
      </c>
      <c r="N644" s="13">
        <v>0</v>
      </c>
      <c r="O644">
        <v>68</v>
      </c>
      <c r="AA644">
        <v>1</v>
      </c>
      <c r="AB644">
        <v>0</v>
      </c>
      <c r="AC644">
        <v>0</v>
      </c>
      <c r="AD644" s="19">
        <v>55153</v>
      </c>
      <c r="AE644" s="19">
        <v>43344</v>
      </c>
    </row>
    <row r="645" spans="1:31" x14ac:dyDescent="0.25">
      <c r="A645" s="15" t="s">
        <v>1490</v>
      </c>
      <c r="B645" s="14">
        <v>1</v>
      </c>
      <c r="C645" s="16">
        <v>0</v>
      </c>
      <c r="D645" s="16">
        <v>1</v>
      </c>
      <c r="E645">
        <v>1</v>
      </c>
      <c r="F645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1</v>
      </c>
      <c r="L645" s="16">
        <v>0</v>
      </c>
      <c r="M645" s="16">
        <v>0</v>
      </c>
      <c r="N645" s="16">
        <v>0</v>
      </c>
      <c r="O645">
        <v>63</v>
      </c>
      <c r="AA645">
        <v>1</v>
      </c>
      <c r="AB645">
        <v>0</v>
      </c>
      <c r="AC645">
        <v>0</v>
      </c>
      <c r="AD645" s="20">
        <v>55153</v>
      </c>
      <c r="AE645" s="20">
        <v>43497</v>
      </c>
    </row>
    <row r="646" spans="1:31" x14ac:dyDescent="0.25">
      <c r="A646" s="12" t="s">
        <v>1492</v>
      </c>
      <c r="B646" s="11">
        <v>0</v>
      </c>
      <c r="C646" s="13">
        <v>0</v>
      </c>
      <c r="D646" s="13">
        <v>0</v>
      </c>
      <c r="E646" s="28">
        <v>0</v>
      </c>
      <c r="F646">
        <v>1</v>
      </c>
      <c r="G646" s="13">
        <v>0</v>
      </c>
      <c r="H646" s="13">
        <v>0</v>
      </c>
      <c r="I646" s="13">
        <v>0</v>
      </c>
      <c r="J646" s="13">
        <v>0</v>
      </c>
      <c r="K646" s="13">
        <v>1</v>
      </c>
      <c r="L646" s="13">
        <v>0</v>
      </c>
      <c r="M646" s="13">
        <v>0</v>
      </c>
      <c r="N646" s="13">
        <v>0</v>
      </c>
      <c r="O646">
        <v>68</v>
      </c>
      <c r="AA646">
        <v>1</v>
      </c>
      <c r="AB646">
        <v>0</v>
      </c>
      <c r="AC646">
        <v>0</v>
      </c>
      <c r="AD646" s="19">
        <v>55153</v>
      </c>
      <c r="AE646" s="19">
        <v>43344</v>
      </c>
    </row>
    <row r="647" spans="1:31" x14ac:dyDescent="0.25">
      <c r="A647" s="15" t="s">
        <v>1494</v>
      </c>
      <c r="B647" s="14">
        <v>0</v>
      </c>
      <c r="C647" s="16">
        <v>0</v>
      </c>
      <c r="D647" s="16">
        <v>0</v>
      </c>
      <c r="E647">
        <v>0</v>
      </c>
      <c r="F647">
        <v>1</v>
      </c>
      <c r="G647" s="16">
        <v>0</v>
      </c>
      <c r="H647" s="16">
        <v>0</v>
      </c>
      <c r="I647" s="16">
        <v>0</v>
      </c>
      <c r="J647" s="16">
        <v>0</v>
      </c>
      <c r="K647" s="16">
        <v>1</v>
      </c>
      <c r="L647" s="16">
        <v>0</v>
      </c>
      <c r="M647" s="16">
        <v>0</v>
      </c>
      <c r="N647" s="16">
        <v>0</v>
      </c>
      <c r="O647">
        <v>68</v>
      </c>
      <c r="AA647">
        <v>1</v>
      </c>
      <c r="AB647">
        <v>0</v>
      </c>
      <c r="AC647">
        <v>0</v>
      </c>
      <c r="AD647" s="20">
        <v>55153</v>
      </c>
      <c r="AE647" s="20">
        <v>43344</v>
      </c>
    </row>
    <row r="648" spans="1:31" x14ac:dyDescent="0.25">
      <c r="A648" s="12" t="s">
        <v>1496</v>
      </c>
      <c r="B648" s="11">
        <v>0</v>
      </c>
      <c r="C648" s="13">
        <v>0</v>
      </c>
      <c r="D648" s="13">
        <v>0</v>
      </c>
      <c r="E648" s="28">
        <v>0</v>
      </c>
      <c r="F648">
        <v>1</v>
      </c>
      <c r="G648" s="13">
        <v>0</v>
      </c>
      <c r="H648" s="13">
        <v>0</v>
      </c>
      <c r="I648" s="13">
        <v>0</v>
      </c>
      <c r="J648" s="13">
        <v>0</v>
      </c>
      <c r="K648" s="13">
        <v>1</v>
      </c>
      <c r="L648" s="13">
        <v>0</v>
      </c>
      <c r="M648" s="13">
        <v>0</v>
      </c>
      <c r="N648" s="13">
        <v>0</v>
      </c>
      <c r="O648">
        <v>68</v>
      </c>
      <c r="AA648">
        <v>1</v>
      </c>
      <c r="AB648">
        <v>0</v>
      </c>
      <c r="AC648">
        <v>0</v>
      </c>
      <c r="AD648" s="19">
        <v>55153</v>
      </c>
      <c r="AE648" s="19">
        <v>43344</v>
      </c>
    </row>
    <row r="649" spans="1:31" x14ac:dyDescent="0.25">
      <c r="A649" s="15" t="s">
        <v>1498</v>
      </c>
      <c r="B649" s="14">
        <v>0</v>
      </c>
      <c r="C649" s="16">
        <v>0</v>
      </c>
      <c r="D649" s="16">
        <v>0</v>
      </c>
      <c r="E649">
        <v>0</v>
      </c>
      <c r="F649">
        <v>1</v>
      </c>
      <c r="G649" s="16">
        <v>0</v>
      </c>
      <c r="H649" s="16">
        <v>0</v>
      </c>
      <c r="I649" s="16">
        <v>0</v>
      </c>
      <c r="J649" s="16">
        <v>0</v>
      </c>
      <c r="K649" s="16">
        <v>1</v>
      </c>
      <c r="L649" s="16">
        <v>0</v>
      </c>
      <c r="M649" s="16">
        <v>0</v>
      </c>
      <c r="N649" s="16">
        <v>0</v>
      </c>
      <c r="O649">
        <v>68</v>
      </c>
      <c r="AA649">
        <v>1</v>
      </c>
      <c r="AB649">
        <v>0</v>
      </c>
      <c r="AC649">
        <v>0</v>
      </c>
      <c r="AD649" s="20">
        <v>55153</v>
      </c>
      <c r="AE649" s="20">
        <v>43344</v>
      </c>
    </row>
    <row r="650" spans="1:31" x14ac:dyDescent="0.25">
      <c r="A650" s="12" t="s">
        <v>1500</v>
      </c>
      <c r="B650" s="11">
        <v>0</v>
      </c>
      <c r="C650" s="13">
        <v>0</v>
      </c>
      <c r="D650" s="13">
        <v>0</v>
      </c>
      <c r="E650" s="28">
        <v>0</v>
      </c>
      <c r="F650">
        <v>1</v>
      </c>
      <c r="G650" s="13">
        <v>0</v>
      </c>
      <c r="H650" s="13">
        <v>0</v>
      </c>
      <c r="I650" s="13">
        <v>0</v>
      </c>
      <c r="J650" s="13">
        <v>0</v>
      </c>
      <c r="K650" s="13">
        <v>1</v>
      </c>
      <c r="L650" s="13">
        <v>0</v>
      </c>
      <c r="M650" s="13">
        <v>0</v>
      </c>
      <c r="N650" s="13">
        <v>0</v>
      </c>
      <c r="O650">
        <v>68</v>
      </c>
      <c r="AA650">
        <v>1</v>
      </c>
      <c r="AB650">
        <v>0</v>
      </c>
      <c r="AC650">
        <v>0</v>
      </c>
      <c r="AD650" s="19">
        <v>55153</v>
      </c>
      <c r="AE650" s="19">
        <v>43344</v>
      </c>
    </row>
    <row r="651" spans="1:31" x14ac:dyDescent="0.25">
      <c r="A651" s="15" t="s">
        <v>1502</v>
      </c>
      <c r="B651" s="14">
        <v>0</v>
      </c>
      <c r="C651" s="16">
        <v>0</v>
      </c>
      <c r="D651" s="16">
        <v>0</v>
      </c>
      <c r="E651">
        <v>1</v>
      </c>
      <c r="F651">
        <v>0</v>
      </c>
      <c r="G651" s="16">
        <v>0</v>
      </c>
      <c r="H651" s="16">
        <v>0</v>
      </c>
      <c r="I651" s="16">
        <v>0</v>
      </c>
      <c r="J651" s="16">
        <v>0</v>
      </c>
      <c r="K651" s="16">
        <v>1</v>
      </c>
      <c r="L651" s="16">
        <v>0</v>
      </c>
      <c r="M651" s="16">
        <v>0</v>
      </c>
      <c r="N651" s="16">
        <v>0</v>
      </c>
      <c r="O651">
        <v>65</v>
      </c>
      <c r="AA651">
        <v>1</v>
      </c>
      <c r="AB651">
        <v>0</v>
      </c>
      <c r="AC651">
        <v>0</v>
      </c>
      <c r="AD651" s="20">
        <v>55153</v>
      </c>
      <c r="AE651" s="20">
        <v>43435</v>
      </c>
    </row>
    <row r="652" spans="1:31" x14ac:dyDescent="0.25">
      <c r="A652" s="12" t="s">
        <v>1504</v>
      </c>
      <c r="B652" s="11">
        <v>1</v>
      </c>
      <c r="C652" s="13">
        <v>0</v>
      </c>
      <c r="D652" s="13">
        <v>1</v>
      </c>
      <c r="E652" s="28">
        <v>1</v>
      </c>
      <c r="F652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1</v>
      </c>
      <c r="L652" s="13">
        <v>0</v>
      </c>
      <c r="M652" s="13">
        <v>0</v>
      </c>
      <c r="N652" s="13">
        <v>0</v>
      </c>
      <c r="O652">
        <v>68</v>
      </c>
      <c r="AA652">
        <v>1</v>
      </c>
      <c r="AB652">
        <v>0</v>
      </c>
      <c r="AC652">
        <v>0</v>
      </c>
      <c r="AD652" s="19">
        <v>55153</v>
      </c>
      <c r="AE652" s="19">
        <v>43344</v>
      </c>
    </row>
    <row r="653" spans="1:31" x14ac:dyDescent="0.25">
      <c r="A653" s="15" t="s">
        <v>1506</v>
      </c>
      <c r="B653" s="14">
        <v>0</v>
      </c>
      <c r="C653" s="16">
        <v>0</v>
      </c>
      <c r="D653" s="16">
        <v>0</v>
      </c>
      <c r="E653">
        <v>1</v>
      </c>
      <c r="F653">
        <v>0</v>
      </c>
      <c r="G653" s="16">
        <v>1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>
        <v>59</v>
      </c>
      <c r="AA653">
        <v>1</v>
      </c>
      <c r="AB653">
        <v>0</v>
      </c>
      <c r="AC653">
        <v>0</v>
      </c>
      <c r="AD653" s="20">
        <v>55153</v>
      </c>
      <c r="AE653" s="20">
        <v>43617</v>
      </c>
    </row>
    <row r="654" spans="1:31" x14ac:dyDescent="0.25">
      <c r="A654" s="12" t="s">
        <v>1508</v>
      </c>
      <c r="B654" s="11">
        <v>0</v>
      </c>
      <c r="C654" s="13">
        <v>0</v>
      </c>
      <c r="D654" s="13">
        <v>0</v>
      </c>
      <c r="E654" s="28">
        <v>0</v>
      </c>
      <c r="F654">
        <v>0</v>
      </c>
      <c r="G654" s="13">
        <v>0</v>
      </c>
      <c r="H654" s="13">
        <v>0</v>
      </c>
      <c r="I654" s="13">
        <v>1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>
        <v>36</v>
      </c>
      <c r="AA654">
        <v>0</v>
      </c>
      <c r="AB654">
        <v>0</v>
      </c>
      <c r="AC654">
        <v>1</v>
      </c>
      <c r="AD654" s="19">
        <v>44561</v>
      </c>
      <c r="AE654" s="19">
        <v>43435</v>
      </c>
    </row>
    <row r="655" spans="1:31" x14ac:dyDescent="0.25">
      <c r="A655" s="15" t="s">
        <v>1510</v>
      </c>
      <c r="B655" s="14">
        <v>0</v>
      </c>
      <c r="C655" s="16">
        <v>0</v>
      </c>
      <c r="D655" s="16">
        <v>1</v>
      </c>
      <c r="E655">
        <v>0</v>
      </c>
      <c r="F655">
        <v>0</v>
      </c>
      <c r="G655" s="16">
        <v>0</v>
      </c>
      <c r="H655" s="16">
        <v>0</v>
      </c>
      <c r="I655" s="16">
        <v>1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>
        <v>36</v>
      </c>
      <c r="AA655">
        <v>0</v>
      </c>
      <c r="AB655">
        <v>0</v>
      </c>
      <c r="AC655">
        <v>1</v>
      </c>
      <c r="AD655" s="20">
        <v>44561</v>
      </c>
      <c r="AE655" s="20">
        <v>43435</v>
      </c>
    </row>
    <row r="656" spans="1:31" x14ac:dyDescent="0.25">
      <c r="A656" s="12" t="s">
        <v>1512</v>
      </c>
      <c r="B656" s="11">
        <v>0</v>
      </c>
      <c r="C656" s="13">
        <v>0</v>
      </c>
      <c r="D656" s="13">
        <v>0</v>
      </c>
      <c r="E656" s="28">
        <v>1</v>
      </c>
      <c r="F656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1</v>
      </c>
      <c r="L656" s="13">
        <v>0</v>
      </c>
      <c r="M656" s="13">
        <v>0</v>
      </c>
      <c r="N656" s="13">
        <v>0</v>
      </c>
      <c r="O656">
        <v>65</v>
      </c>
      <c r="AA656">
        <v>1</v>
      </c>
      <c r="AB656">
        <v>0</v>
      </c>
      <c r="AC656">
        <v>0</v>
      </c>
      <c r="AD656" s="19">
        <v>55153</v>
      </c>
      <c r="AE656" s="19">
        <v>43435</v>
      </c>
    </row>
    <row r="657" spans="1:31" x14ac:dyDescent="0.25">
      <c r="A657" s="15" t="s">
        <v>1514</v>
      </c>
      <c r="B657" s="14">
        <v>0</v>
      </c>
      <c r="C657" s="16">
        <v>0</v>
      </c>
      <c r="D657" s="16">
        <v>0</v>
      </c>
      <c r="E657">
        <v>1</v>
      </c>
      <c r="F657">
        <v>0</v>
      </c>
      <c r="G657" s="16">
        <v>0</v>
      </c>
      <c r="H657" s="16">
        <v>0</v>
      </c>
      <c r="I657" s="16">
        <v>0</v>
      </c>
      <c r="J657" s="16">
        <v>0</v>
      </c>
      <c r="K657" s="16">
        <v>1</v>
      </c>
      <c r="L657" s="16">
        <v>0</v>
      </c>
      <c r="M657" s="16">
        <v>0</v>
      </c>
      <c r="N657" s="16">
        <v>0</v>
      </c>
      <c r="O657">
        <v>65</v>
      </c>
      <c r="AA657">
        <v>1</v>
      </c>
      <c r="AB657">
        <v>0</v>
      </c>
      <c r="AC657">
        <v>0</v>
      </c>
      <c r="AD657" s="20">
        <v>55153</v>
      </c>
      <c r="AE657" s="20">
        <v>43435</v>
      </c>
    </row>
    <row r="658" spans="1:31" x14ac:dyDescent="0.25">
      <c r="A658" s="12" t="s">
        <v>1516</v>
      </c>
      <c r="B658" s="11">
        <v>0</v>
      </c>
      <c r="C658" s="13">
        <v>0</v>
      </c>
      <c r="D658" s="13">
        <v>0</v>
      </c>
      <c r="E658" s="28">
        <v>1</v>
      </c>
      <c r="F658">
        <v>0</v>
      </c>
      <c r="G658" s="13">
        <v>0</v>
      </c>
      <c r="H658" s="13">
        <v>0</v>
      </c>
      <c r="I658" s="13">
        <v>0</v>
      </c>
      <c r="J658" s="13">
        <v>0</v>
      </c>
      <c r="K658" s="13">
        <v>1</v>
      </c>
      <c r="L658" s="13">
        <v>0</v>
      </c>
      <c r="M658" s="13">
        <v>0</v>
      </c>
      <c r="N658" s="13">
        <v>0</v>
      </c>
      <c r="O658">
        <v>65</v>
      </c>
      <c r="AA658">
        <v>1</v>
      </c>
      <c r="AB658">
        <v>0</v>
      </c>
      <c r="AC658">
        <v>0</v>
      </c>
      <c r="AD658" s="19">
        <v>55153</v>
      </c>
      <c r="AE658" s="19">
        <v>43435</v>
      </c>
    </row>
    <row r="659" spans="1:31" x14ac:dyDescent="0.25">
      <c r="A659" s="15" t="s">
        <v>1518</v>
      </c>
      <c r="B659" s="14">
        <v>0</v>
      </c>
      <c r="C659" s="16">
        <v>0</v>
      </c>
      <c r="D659" s="16">
        <v>0</v>
      </c>
      <c r="E659">
        <v>1</v>
      </c>
      <c r="F659">
        <v>0</v>
      </c>
      <c r="G659" s="16">
        <v>1</v>
      </c>
      <c r="H659" s="16">
        <v>0</v>
      </c>
      <c r="I659" s="16">
        <v>0</v>
      </c>
      <c r="J659" s="16">
        <v>0</v>
      </c>
      <c r="K659" s="16">
        <v>0</v>
      </c>
      <c r="L659" s="16">
        <v>0</v>
      </c>
      <c r="M659" s="16">
        <v>0</v>
      </c>
      <c r="N659" s="16">
        <v>0</v>
      </c>
      <c r="O659">
        <v>65</v>
      </c>
      <c r="AA659">
        <v>1</v>
      </c>
      <c r="AB659">
        <v>0</v>
      </c>
      <c r="AC659">
        <v>0</v>
      </c>
      <c r="AD659" s="20">
        <v>55153</v>
      </c>
      <c r="AE659" s="20">
        <v>43435</v>
      </c>
    </row>
    <row r="660" spans="1:31" x14ac:dyDescent="0.25">
      <c r="A660" s="12" t="s">
        <v>1520</v>
      </c>
      <c r="B660" s="11">
        <v>1</v>
      </c>
      <c r="C660" s="13">
        <v>1</v>
      </c>
      <c r="D660" s="13">
        <v>1</v>
      </c>
      <c r="E660" s="28">
        <v>1</v>
      </c>
      <c r="F660">
        <v>0</v>
      </c>
      <c r="G660" s="13">
        <v>0</v>
      </c>
      <c r="H660" s="13">
        <v>1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>
        <v>65</v>
      </c>
      <c r="AA660">
        <v>1</v>
      </c>
      <c r="AB660">
        <v>0</v>
      </c>
      <c r="AC660">
        <v>0</v>
      </c>
      <c r="AD660" s="19">
        <v>55153</v>
      </c>
      <c r="AE660" s="19">
        <v>43435</v>
      </c>
    </row>
    <row r="661" spans="1:31" x14ac:dyDescent="0.25">
      <c r="A661" s="15" t="s">
        <v>48</v>
      </c>
      <c r="B661" s="14">
        <v>1</v>
      </c>
      <c r="C661" s="16">
        <v>1</v>
      </c>
      <c r="D661" s="16">
        <v>1</v>
      </c>
      <c r="E661">
        <v>0</v>
      </c>
      <c r="F661">
        <v>0</v>
      </c>
      <c r="G661" s="16">
        <v>0</v>
      </c>
      <c r="H661" s="16">
        <v>0</v>
      </c>
      <c r="I661" s="16">
        <v>0</v>
      </c>
      <c r="J661" s="16">
        <v>1</v>
      </c>
      <c r="K661" s="16">
        <v>0</v>
      </c>
      <c r="L661" s="16">
        <v>0</v>
      </c>
      <c r="M661" s="16">
        <v>0</v>
      </c>
      <c r="N661" s="16">
        <v>0</v>
      </c>
      <c r="O661">
        <v>55</v>
      </c>
      <c r="AA661">
        <v>0</v>
      </c>
      <c r="AB661">
        <v>1</v>
      </c>
      <c r="AC661">
        <v>0</v>
      </c>
      <c r="AD661" s="20">
        <v>45291</v>
      </c>
      <c r="AE661" s="20">
        <v>43586</v>
      </c>
    </row>
    <row r="662" spans="1:31" x14ac:dyDescent="0.25">
      <c r="A662" s="12" t="s">
        <v>1522</v>
      </c>
      <c r="B662" s="11">
        <v>0</v>
      </c>
      <c r="C662" s="13">
        <v>0</v>
      </c>
      <c r="D662" s="13">
        <v>0</v>
      </c>
      <c r="E662" s="28">
        <v>0</v>
      </c>
      <c r="F662">
        <v>1</v>
      </c>
      <c r="G662" s="13">
        <v>0</v>
      </c>
      <c r="H662" s="13">
        <v>0</v>
      </c>
      <c r="I662" s="13">
        <v>1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>
        <v>65</v>
      </c>
      <c r="AA662">
        <v>1</v>
      </c>
      <c r="AB662">
        <v>0</v>
      </c>
      <c r="AC662">
        <v>0</v>
      </c>
      <c r="AD662" s="19">
        <v>55153</v>
      </c>
      <c r="AE662" s="19">
        <v>43435</v>
      </c>
    </row>
    <row r="663" spans="1:31" x14ac:dyDescent="0.25">
      <c r="A663" s="15" t="s">
        <v>1524</v>
      </c>
      <c r="B663" s="14">
        <v>1</v>
      </c>
      <c r="C663" s="16">
        <v>0</v>
      </c>
      <c r="D663" s="16">
        <v>1</v>
      </c>
      <c r="E663">
        <v>1</v>
      </c>
      <c r="F663">
        <v>0</v>
      </c>
      <c r="G663" s="16">
        <v>0</v>
      </c>
      <c r="H663" s="16">
        <v>0</v>
      </c>
      <c r="I663" s="16">
        <v>1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>
        <v>65</v>
      </c>
      <c r="AA663">
        <v>1</v>
      </c>
      <c r="AB663">
        <v>0</v>
      </c>
      <c r="AC663">
        <v>0</v>
      </c>
      <c r="AD663" s="20">
        <v>55153</v>
      </c>
      <c r="AE663" s="20">
        <v>43435</v>
      </c>
    </row>
    <row r="664" spans="1:31" x14ac:dyDescent="0.25">
      <c r="A664" s="12" t="s">
        <v>1526</v>
      </c>
      <c r="B664" s="11">
        <v>0</v>
      </c>
      <c r="C664" s="13">
        <v>0</v>
      </c>
      <c r="D664" s="13">
        <v>0</v>
      </c>
      <c r="E664" s="28">
        <v>0</v>
      </c>
      <c r="F664">
        <v>1</v>
      </c>
      <c r="G664" s="13">
        <v>0</v>
      </c>
      <c r="H664" s="13">
        <v>0</v>
      </c>
      <c r="I664" s="13">
        <v>1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>
        <v>65</v>
      </c>
      <c r="AA664">
        <v>1</v>
      </c>
      <c r="AB664">
        <v>0</v>
      </c>
      <c r="AC664">
        <v>0</v>
      </c>
      <c r="AD664" s="19">
        <v>55153</v>
      </c>
      <c r="AE664" s="19">
        <v>43435</v>
      </c>
    </row>
    <row r="665" spans="1:31" x14ac:dyDescent="0.25">
      <c r="A665" s="15" t="s">
        <v>1528</v>
      </c>
      <c r="B665" s="14">
        <v>1</v>
      </c>
      <c r="C665" s="16">
        <v>0</v>
      </c>
      <c r="D665" s="16">
        <v>1</v>
      </c>
      <c r="E665">
        <v>0</v>
      </c>
      <c r="F665">
        <v>0</v>
      </c>
      <c r="G665" s="16">
        <v>0</v>
      </c>
      <c r="H665" s="16">
        <v>0</v>
      </c>
      <c r="I665" s="16">
        <v>0</v>
      </c>
      <c r="J665" s="16">
        <v>1</v>
      </c>
      <c r="K665" s="16">
        <v>0</v>
      </c>
      <c r="L665" s="16">
        <v>0</v>
      </c>
      <c r="M665" s="16">
        <v>0</v>
      </c>
      <c r="N665" s="16">
        <v>0</v>
      </c>
      <c r="O665">
        <v>19</v>
      </c>
      <c r="AA665">
        <v>0</v>
      </c>
      <c r="AB665">
        <v>0</v>
      </c>
      <c r="AC665">
        <v>1</v>
      </c>
      <c r="AD665" s="20">
        <v>44012</v>
      </c>
      <c r="AE665" s="20">
        <v>43405</v>
      </c>
    </row>
    <row r="666" spans="1:31" x14ac:dyDescent="0.25">
      <c r="A666" s="12" t="s">
        <v>1530</v>
      </c>
      <c r="B666" s="11">
        <v>0</v>
      </c>
      <c r="C666" s="13">
        <v>0</v>
      </c>
      <c r="D666" s="13">
        <v>0</v>
      </c>
      <c r="E666" s="28">
        <v>0</v>
      </c>
      <c r="F666">
        <v>1</v>
      </c>
      <c r="G666" s="13">
        <v>0</v>
      </c>
      <c r="H666" s="13">
        <v>0</v>
      </c>
      <c r="I666" s="13">
        <v>0</v>
      </c>
      <c r="J666" s="13">
        <v>0</v>
      </c>
      <c r="K666" s="13">
        <v>1</v>
      </c>
      <c r="L666" s="13">
        <v>0</v>
      </c>
      <c r="M666" s="13">
        <v>0</v>
      </c>
      <c r="N666" s="13">
        <v>0</v>
      </c>
      <c r="O666">
        <v>62</v>
      </c>
      <c r="AA666">
        <v>1</v>
      </c>
      <c r="AB666">
        <v>0</v>
      </c>
      <c r="AC666">
        <v>0</v>
      </c>
      <c r="AD666" s="19">
        <v>55153</v>
      </c>
      <c r="AE666" s="19">
        <v>43525</v>
      </c>
    </row>
    <row r="667" spans="1:31" x14ac:dyDescent="0.25">
      <c r="A667" s="15" t="s">
        <v>1532</v>
      </c>
      <c r="B667" s="14">
        <v>0</v>
      </c>
      <c r="C667" s="16">
        <v>0</v>
      </c>
      <c r="D667" s="16">
        <v>0</v>
      </c>
      <c r="E667">
        <v>0</v>
      </c>
      <c r="F667">
        <v>1</v>
      </c>
      <c r="G667" s="16">
        <v>0</v>
      </c>
      <c r="H667" s="16">
        <v>0</v>
      </c>
      <c r="I667" s="16">
        <v>0</v>
      </c>
      <c r="J667" s="16">
        <v>0</v>
      </c>
      <c r="K667" s="16">
        <v>1</v>
      </c>
      <c r="L667" s="16">
        <v>0</v>
      </c>
      <c r="M667" s="16">
        <v>0</v>
      </c>
      <c r="N667" s="16">
        <v>0</v>
      </c>
      <c r="O667">
        <v>59</v>
      </c>
      <c r="AA667">
        <v>1</v>
      </c>
      <c r="AB667">
        <v>0</v>
      </c>
      <c r="AC667">
        <v>0</v>
      </c>
      <c r="AD667" s="20">
        <v>55153</v>
      </c>
      <c r="AE667" s="20">
        <v>43617</v>
      </c>
    </row>
    <row r="668" spans="1:31" x14ac:dyDescent="0.25">
      <c r="A668" s="12" t="s">
        <v>1534</v>
      </c>
      <c r="B668" s="11">
        <v>0</v>
      </c>
      <c r="C668" s="13">
        <v>0</v>
      </c>
      <c r="D668" s="13">
        <v>0</v>
      </c>
      <c r="E668" s="28">
        <v>1</v>
      </c>
      <c r="F668">
        <v>0</v>
      </c>
      <c r="G668" s="13">
        <v>1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>
        <v>65</v>
      </c>
      <c r="AA668">
        <v>1</v>
      </c>
      <c r="AB668">
        <v>0</v>
      </c>
      <c r="AC668">
        <v>0</v>
      </c>
      <c r="AD668" s="19">
        <v>55153</v>
      </c>
      <c r="AE668" s="19">
        <v>43435</v>
      </c>
    </row>
    <row r="669" spans="1:31" x14ac:dyDescent="0.25">
      <c r="A669" s="15" t="s">
        <v>1536</v>
      </c>
      <c r="B669" s="14">
        <v>1</v>
      </c>
      <c r="C669" s="16">
        <v>1</v>
      </c>
      <c r="D669" s="16">
        <v>1</v>
      </c>
      <c r="E669">
        <v>0</v>
      </c>
      <c r="F669">
        <v>0</v>
      </c>
      <c r="G669" s="16">
        <v>0</v>
      </c>
      <c r="H669" s="16">
        <v>1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</v>
      </c>
      <c r="O669">
        <v>18</v>
      </c>
      <c r="AA669">
        <v>0</v>
      </c>
      <c r="AB669">
        <v>0</v>
      </c>
      <c r="AC669">
        <v>1</v>
      </c>
      <c r="AD669" s="20">
        <v>44012</v>
      </c>
      <c r="AE669" s="20">
        <v>43405</v>
      </c>
    </row>
    <row r="670" spans="1:31" x14ac:dyDescent="0.25">
      <c r="A670" s="12" t="s">
        <v>1538</v>
      </c>
      <c r="B670" s="11">
        <v>1</v>
      </c>
      <c r="C670" s="13">
        <v>1</v>
      </c>
      <c r="D670" s="13">
        <v>1</v>
      </c>
      <c r="E670" s="28">
        <v>0</v>
      </c>
      <c r="F670">
        <v>0</v>
      </c>
      <c r="G670" s="13">
        <v>0</v>
      </c>
      <c r="H670" s="13">
        <v>1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>
        <v>18</v>
      </c>
      <c r="AA670">
        <v>0</v>
      </c>
      <c r="AB670">
        <v>0</v>
      </c>
      <c r="AC670">
        <v>1</v>
      </c>
      <c r="AD670" s="19">
        <v>44012</v>
      </c>
      <c r="AE670" s="19">
        <v>43405</v>
      </c>
    </row>
    <row r="671" spans="1:31" x14ac:dyDescent="0.25">
      <c r="A671" s="15" t="s">
        <v>1540</v>
      </c>
      <c r="B671" s="14">
        <v>1</v>
      </c>
      <c r="C671" s="16">
        <v>1</v>
      </c>
      <c r="D671" s="16">
        <v>1</v>
      </c>
      <c r="E671">
        <v>1</v>
      </c>
      <c r="F671">
        <v>0</v>
      </c>
      <c r="G671" s="16">
        <v>0</v>
      </c>
      <c r="H671" s="16">
        <v>1</v>
      </c>
      <c r="I671" s="16">
        <v>0</v>
      </c>
      <c r="J671" s="16">
        <v>0</v>
      </c>
      <c r="K671" s="16">
        <v>0</v>
      </c>
      <c r="L671" s="16">
        <v>0</v>
      </c>
      <c r="M671" s="16">
        <v>0</v>
      </c>
      <c r="N671" s="16">
        <v>0</v>
      </c>
      <c r="O671">
        <v>65</v>
      </c>
      <c r="AA671">
        <v>1</v>
      </c>
      <c r="AB671">
        <v>0</v>
      </c>
      <c r="AC671">
        <v>0</v>
      </c>
      <c r="AD671" s="20">
        <v>55153</v>
      </c>
      <c r="AE671" s="20">
        <v>43435</v>
      </c>
    </row>
    <row r="672" spans="1:31" x14ac:dyDescent="0.25">
      <c r="A672" s="12" t="s">
        <v>1542</v>
      </c>
      <c r="B672" s="11">
        <v>1</v>
      </c>
      <c r="C672" s="13">
        <v>0</v>
      </c>
      <c r="D672" s="13">
        <v>0</v>
      </c>
      <c r="E672" s="28">
        <v>0</v>
      </c>
      <c r="F672">
        <v>1</v>
      </c>
      <c r="G672" s="13">
        <v>0</v>
      </c>
      <c r="H672" s="13">
        <v>0</v>
      </c>
      <c r="I672" s="13">
        <v>1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>
        <v>64</v>
      </c>
      <c r="AA672">
        <v>1</v>
      </c>
      <c r="AB672">
        <v>0</v>
      </c>
      <c r="AC672">
        <v>0</v>
      </c>
      <c r="AD672" s="19">
        <v>55153</v>
      </c>
      <c r="AE672" s="19">
        <v>43466</v>
      </c>
    </row>
    <row r="673" spans="1:31" x14ac:dyDescent="0.25">
      <c r="A673" s="15" t="s">
        <v>1544</v>
      </c>
      <c r="B673" s="14">
        <v>1</v>
      </c>
      <c r="C673" s="16">
        <v>0</v>
      </c>
      <c r="D673" s="16">
        <v>0</v>
      </c>
      <c r="E673">
        <v>0</v>
      </c>
      <c r="F673">
        <v>1</v>
      </c>
      <c r="G673" s="16">
        <v>0</v>
      </c>
      <c r="H673" s="16">
        <v>0</v>
      </c>
      <c r="I673" s="16">
        <v>0</v>
      </c>
      <c r="J673" s="16">
        <v>0</v>
      </c>
      <c r="K673" s="16">
        <v>1</v>
      </c>
      <c r="L673" s="16">
        <v>0</v>
      </c>
      <c r="M673" s="16">
        <v>0</v>
      </c>
      <c r="N673" s="16">
        <v>0</v>
      </c>
      <c r="O673">
        <v>52</v>
      </c>
      <c r="AA673">
        <v>1</v>
      </c>
      <c r="AB673">
        <v>0</v>
      </c>
      <c r="AC673">
        <v>0</v>
      </c>
      <c r="AD673" s="20">
        <v>55153</v>
      </c>
      <c r="AE673" s="20">
        <v>43831</v>
      </c>
    </row>
    <row r="674" spans="1:31" x14ac:dyDescent="0.25">
      <c r="A674" s="12" t="s">
        <v>1546</v>
      </c>
      <c r="B674" s="11">
        <v>1</v>
      </c>
      <c r="C674" s="13">
        <v>1</v>
      </c>
      <c r="D674" s="13">
        <v>1</v>
      </c>
      <c r="E674" s="28">
        <v>1</v>
      </c>
      <c r="F674">
        <v>0</v>
      </c>
      <c r="G674" s="13">
        <v>0</v>
      </c>
      <c r="H674" s="13">
        <v>1</v>
      </c>
      <c r="I674" s="13">
        <v>0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>
        <v>63</v>
      </c>
      <c r="AA674">
        <v>1</v>
      </c>
      <c r="AB674">
        <v>0</v>
      </c>
      <c r="AC674">
        <v>0</v>
      </c>
      <c r="AD674" s="19">
        <v>55153</v>
      </c>
      <c r="AE674" s="19">
        <v>43497</v>
      </c>
    </row>
    <row r="675" spans="1:31" x14ac:dyDescent="0.25">
      <c r="A675" s="15" t="s">
        <v>1548</v>
      </c>
      <c r="B675" s="14">
        <v>1</v>
      </c>
      <c r="C675" s="16">
        <v>1</v>
      </c>
      <c r="D675" s="16">
        <v>1</v>
      </c>
      <c r="E675">
        <v>0</v>
      </c>
      <c r="F675">
        <v>0</v>
      </c>
      <c r="G675" s="16">
        <v>0</v>
      </c>
      <c r="H675" s="16">
        <v>1</v>
      </c>
      <c r="I675" s="16">
        <v>0</v>
      </c>
      <c r="J675" s="16">
        <v>0</v>
      </c>
      <c r="K675" s="16">
        <v>0</v>
      </c>
      <c r="L675" s="16">
        <v>0</v>
      </c>
      <c r="M675" s="16">
        <v>0</v>
      </c>
      <c r="N675" s="16">
        <v>0</v>
      </c>
      <c r="O675">
        <v>12</v>
      </c>
      <c r="AA675">
        <v>0</v>
      </c>
      <c r="AB675">
        <v>1</v>
      </c>
      <c r="AC675">
        <v>0</v>
      </c>
      <c r="AD675" s="20">
        <v>43830</v>
      </c>
      <c r="AE675" s="20">
        <v>43435</v>
      </c>
    </row>
    <row r="676" spans="1:31" x14ac:dyDescent="0.25">
      <c r="A676" s="12" t="s">
        <v>1550</v>
      </c>
      <c r="B676" s="11">
        <v>0</v>
      </c>
      <c r="C676" s="13">
        <v>0</v>
      </c>
      <c r="D676" s="13">
        <v>0</v>
      </c>
      <c r="E676" s="28">
        <v>1</v>
      </c>
      <c r="F676">
        <v>0</v>
      </c>
      <c r="G676" s="13">
        <v>0</v>
      </c>
      <c r="H676" s="13">
        <v>0</v>
      </c>
      <c r="I676" s="13">
        <v>0</v>
      </c>
      <c r="J676" s="13">
        <v>0</v>
      </c>
      <c r="K676" s="13">
        <v>1</v>
      </c>
      <c r="L676" s="13">
        <v>0</v>
      </c>
      <c r="M676" s="13">
        <v>0</v>
      </c>
      <c r="N676" s="13">
        <v>0</v>
      </c>
      <c r="O676">
        <v>62</v>
      </c>
      <c r="AA676">
        <v>1</v>
      </c>
      <c r="AB676">
        <v>0</v>
      </c>
      <c r="AC676">
        <v>0</v>
      </c>
      <c r="AD676" s="19">
        <v>55153</v>
      </c>
      <c r="AE676" s="19">
        <v>43525</v>
      </c>
    </row>
    <row r="677" spans="1:31" x14ac:dyDescent="0.25">
      <c r="A677" s="15" t="s">
        <v>1552</v>
      </c>
      <c r="B677" s="14">
        <v>0</v>
      </c>
      <c r="C677" s="16">
        <v>0</v>
      </c>
      <c r="D677" s="16">
        <v>0</v>
      </c>
      <c r="E677">
        <v>1</v>
      </c>
      <c r="F677">
        <v>0</v>
      </c>
      <c r="G677" s="16">
        <v>0</v>
      </c>
      <c r="H677" s="16">
        <v>0</v>
      </c>
      <c r="I677" s="16">
        <v>0</v>
      </c>
      <c r="J677" s="16">
        <v>0</v>
      </c>
      <c r="K677" s="16">
        <v>1</v>
      </c>
      <c r="L677" s="16">
        <v>0</v>
      </c>
      <c r="M677" s="16">
        <v>0</v>
      </c>
      <c r="N677" s="16">
        <v>0</v>
      </c>
      <c r="O677">
        <v>62</v>
      </c>
      <c r="AA677">
        <v>1</v>
      </c>
      <c r="AB677">
        <v>0</v>
      </c>
      <c r="AC677">
        <v>0</v>
      </c>
      <c r="AD677" s="20">
        <v>55153</v>
      </c>
      <c r="AE677" s="20">
        <v>43525</v>
      </c>
    </row>
    <row r="678" spans="1:31" x14ac:dyDescent="0.25">
      <c r="A678" s="12" t="s">
        <v>1554</v>
      </c>
      <c r="B678" s="11">
        <v>0</v>
      </c>
      <c r="C678" s="13">
        <v>0</v>
      </c>
      <c r="D678" s="13">
        <v>0</v>
      </c>
      <c r="E678" s="28">
        <v>1</v>
      </c>
      <c r="F678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1</v>
      </c>
      <c r="L678" s="13">
        <v>0</v>
      </c>
      <c r="M678" s="13">
        <v>0</v>
      </c>
      <c r="N678" s="13">
        <v>0</v>
      </c>
      <c r="O678">
        <v>65</v>
      </c>
      <c r="AA678">
        <v>1</v>
      </c>
      <c r="AB678">
        <v>0</v>
      </c>
      <c r="AC678">
        <v>0</v>
      </c>
      <c r="AD678" s="19">
        <v>55153</v>
      </c>
      <c r="AE678" s="19">
        <v>43435</v>
      </c>
    </row>
    <row r="679" spans="1:31" x14ac:dyDescent="0.25">
      <c r="A679" s="15" t="s">
        <v>1556</v>
      </c>
      <c r="B679" s="14">
        <v>0</v>
      </c>
      <c r="C679" s="16">
        <v>0</v>
      </c>
      <c r="D679" s="16">
        <v>0</v>
      </c>
      <c r="E679">
        <v>0</v>
      </c>
      <c r="F679">
        <v>1</v>
      </c>
      <c r="G679" s="16">
        <v>0</v>
      </c>
      <c r="H679" s="16">
        <v>0</v>
      </c>
      <c r="I679" s="16">
        <v>0</v>
      </c>
      <c r="J679" s="16">
        <v>0</v>
      </c>
      <c r="K679" s="16">
        <v>0</v>
      </c>
      <c r="L679" s="16">
        <v>0</v>
      </c>
      <c r="M679" s="16">
        <v>1</v>
      </c>
      <c r="N679" s="16">
        <v>0</v>
      </c>
      <c r="O679">
        <v>59</v>
      </c>
      <c r="AA679">
        <v>1</v>
      </c>
      <c r="AB679">
        <v>0</v>
      </c>
      <c r="AC679">
        <v>0</v>
      </c>
      <c r="AD679" s="20">
        <v>55153</v>
      </c>
      <c r="AE679" s="20">
        <v>43617</v>
      </c>
    </row>
    <row r="680" spans="1:31" x14ac:dyDescent="0.25">
      <c r="A680" s="12" t="s">
        <v>1558</v>
      </c>
      <c r="B680" s="11">
        <v>1</v>
      </c>
      <c r="C680" s="13">
        <v>0</v>
      </c>
      <c r="D680" s="13">
        <v>0</v>
      </c>
      <c r="E680" s="28">
        <v>0</v>
      </c>
      <c r="F680">
        <v>1</v>
      </c>
      <c r="G680" s="13">
        <v>0</v>
      </c>
      <c r="H680" s="13">
        <v>1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>
        <v>54</v>
      </c>
      <c r="AA680">
        <v>1</v>
      </c>
      <c r="AB680">
        <v>0</v>
      </c>
      <c r="AC680">
        <v>0</v>
      </c>
      <c r="AD680" s="19">
        <v>55153</v>
      </c>
      <c r="AE680" s="19">
        <v>43770</v>
      </c>
    </row>
    <row r="681" spans="1:31" x14ac:dyDescent="0.25">
      <c r="A681" s="15" t="s">
        <v>1560</v>
      </c>
      <c r="B681" s="14">
        <v>1</v>
      </c>
      <c r="C681" s="16">
        <v>0</v>
      </c>
      <c r="D681" s="16">
        <v>0</v>
      </c>
      <c r="E681">
        <v>0</v>
      </c>
      <c r="F681">
        <v>1</v>
      </c>
      <c r="G681" s="16">
        <v>0</v>
      </c>
      <c r="H681" s="16">
        <v>1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  <c r="N681" s="16">
        <v>0</v>
      </c>
      <c r="O681">
        <v>63</v>
      </c>
      <c r="AA681">
        <v>1</v>
      </c>
      <c r="AB681">
        <v>0</v>
      </c>
      <c r="AC681">
        <v>0</v>
      </c>
      <c r="AD681" s="20">
        <v>55153</v>
      </c>
      <c r="AE681" s="20">
        <v>43497</v>
      </c>
    </row>
    <row r="682" spans="1:31" x14ac:dyDescent="0.25">
      <c r="A682" s="12" t="s">
        <v>1562</v>
      </c>
      <c r="B682" s="11">
        <v>0</v>
      </c>
      <c r="C682" s="13">
        <v>0</v>
      </c>
      <c r="D682" s="13">
        <v>0</v>
      </c>
      <c r="E682" s="28">
        <v>0</v>
      </c>
      <c r="F682">
        <v>1</v>
      </c>
      <c r="G682" s="13">
        <v>0</v>
      </c>
      <c r="H682" s="13">
        <v>0</v>
      </c>
      <c r="I682" s="13">
        <v>1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>
        <v>65</v>
      </c>
      <c r="AA682">
        <v>1</v>
      </c>
      <c r="AB682">
        <v>0</v>
      </c>
      <c r="AC682">
        <v>0</v>
      </c>
      <c r="AD682" s="19">
        <v>55153</v>
      </c>
      <c r="AE682" s="19">
        <v>43435</v>
      </c>
    </row>
    <row r="683" spans="1:31" x14ac:dyDescent="0.25">
      <c r="A683" s="15" t="s">
        <v>1564</v>
      </c>
      <c r="B683" s="14">
        <v>0</v>
      </c>
      <c r="C683" s="16">
        <v>0</v>
      </c>
      <c r="D683" s="16">
        <v>0</v>
      </c>
      <c r="E683">
        <v>0</v>
      </c>
      <c r="F683">
        <v>1</v>
      </c>
      <c r="G683" s="16">
        <v>0</v>
      </c>
      <c r="H683" s="16">
        <v>0</v>
      </c>
      <c r="I683" s="16">
        <v>1</v>
      </c>
      <c r="J683" s="16">
        <v>0</v>
      </c>
      <c r="K683" s="16">
        <v>0</v>
      </c>
      <c r="L683" s="16">
        <v>0</v>
      </c>
      <c r="M683" s="16">
        <v>0</v>
      </c>
      <c r="N683" s="16">
        <v>0</v>
      </c>
      <c r="O683">
        <v>65</v>
      </c>
      <c r="AA683">
        <v>1</v>
      </c>
      <c r="AB683">
        <v>0</v>
      </c>
      <c r="AC683">
        <v>0</v>
      </c>
      <c r="AD683" s="20">
        <v>55153</v>
      </c>
      <c r="AE683" s="20">
        <v>43435</v>
      </c>
    </row>
    <row r="684" spans="1:31" x14ac:dyDescent="0.25">
      <c r="A684" s="12" t="s">
        <v>1566</v>
      </c>
      <c r="B684" s="11">
        <v>0</v>
      </c>
      <c r="C684" s="13">
        <v>0</v>
      </c>
      <c r="D684" s="13">
        <v>0</v>
      </c>
      <c r="E684" s="28">
        <v>1</v>
      </c>
      <c r="F684">
        <v>0</v>
      </c>
      <c r="G684" s="13">
        <v>0</v>
      </c>
      <c r="H684" s="13">
        <v>0</v>
      </c>
      <c r="I684" s="13">
        <v>0</v>
      </c>
      <c r="J684" s="13">
        <v>0</v>
      </c>
      <c r="K684" s="13">
        <v>1</v>
      </c>
      <c r="L684" s="13">
        <v>0</v>
      </c>
      <c r="M684" s="13">
        <v>0</v>
      </c>
      <c r="N684" s="13">
        <v>0</v>
      </c>
      <c r="O684">
        <v>65</v>
      </c>
      <c r="AA684">
        <v>1</v>
      </c>
      <c r="AB684">
        <v>0</v>
      </c>
      <c r="AC684">
        <v>0</v>
      </c>
      <c r="AD684" s="19">
        <v>55153</v>
      </c>
      <c r="AE684" s="19">
        <v>43435</v>
      </c>
    </row>
    <row r="685" spans="1:31" x14ac:dyDescent="0.25">
      <c r="A685" s="15" t="s">
        <v>1568</v>
      </c>
      <c r="B685" s="14">
        <v>0</v>
      </c>
      <c r="C685" s="16">
        <v>0</v>
      </c>
      <c r="D685" s="16">
        <v>0</v>
      </c>
      <c r="E685">
        <v>0</v>
      </c>
      <c r="F685">
        <v>0</v>
      </c>
      <c r="G685" s="16">
        <v>0</v>
      </c>
      <c r="H685" s="16">
        <v>0</v>
      </c>
      <c r="I685" s="16">
        <v>0</v>
      </c>
      <c r="J685" s="16">
        <v>0</v>
      </c>
      <c r="K685" s="16">
        <v>1</v>
      </c>
      <c r="L685" s="16">
        <v>0</v>
      </c>
      <c r="M685" s="16">
        <v>0</v>
      </c>
      <c r="N685" s="16">
        <v>0</v>
      </c>
      <c r="O685">
        <v>35</v>
      </c>
      <c r="AA685">
        <v>0</v>
      </c>
      <c r="AB685">
        <v>0</v>
      </c>
      <c r="AC685">
        <v>1</v>
      </c>
      <c r="AD685" s="20">
        <v>44561</v>
      </c>
      <c r="AE685" s="20">
        <v>43435</v>
      </c>
    </row>
    <row r="686" spans="1:31" x14ac:dyDescent="0.25">
      <c r="A686" s="12" t="s">
        <v>1570</v>
      </c>
      <c r="B686" s="11">
        <v>0</v>
      </c>
      <c r="C686" s="13">
        <v>0</v>
      </c>
      <c r="D686" s="13">
        <v>0</v>
      </c>
      <c r="E686" s="28">
        <v>0</v>
      </c>
      <c r="F686">
        <v>1</v>
      </c>
      <c r="G686" s="13">
        <v>0</v>
      </c>
      <c r="H686" s="13">
        <v>0</v>
      </c>
      <c r="I686" s="13">
        <v>1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>
        <v>59</v>
      </c>
      <c r="AA686">
        <v>1</v>
      </c>
      <c r="AB686">
        <v>0</v>
      </c>
      <c r="AC686">
        <v>0</v>
      </c>
      <c r="AD686" s="19">
        <v>55153</v>
      </c>
      <c r="AE686" s="19">
        <v>43617</v>
      </c>
    </row>
    <row r="687" spans="1:31" x14ac:dyDescent="0.25">
      <c r="A687" s="15" t="s">
        <v>1572</v>
      </c>
      <c r="B687" s="14">
        <v>0</v>
      </c>
      <c r="C687" s="16">
        <v>0</v>
      </c>
      <c r="D687" s="16">
        <v>0</v>
      </c>
      <c r="E687">
        <v>1</v>
      </c>
      <c r="F687">
        <v>0</v>
      </c>
      <c r="G687" s="16">
        <v>0</v>
      </c>
      <c r="H687" s="16">
        <v>0</v>
      </c>
      <c r="I687" s="16">
        <v>1</v>
      </c>
      <c r="J687" s="16">
        <v>0</v>
      </c>
      <c r="K687" s="16">
        <v>0</v>
      </c>
      <c r="L687" s="16">
        <v>0</v>
      </c>
      <c r="M687" s="16">
        <v>0</v>
      </c>
      <c r="N687" s="16">
        <v>0</v>
      </c>
      <c r="O687">
        <v>56</v>
      </c>
      <c r="AA687">
        <v>1</v>
      </c>
      <c r="AB687">
        <v>0</v>
      </c>
      <c r="AC687">
        <v>0</v>
      </c>
      <c r="AD687" s="20">
        <v>55153</v>
      </c>
      <c r="AE687" s="20">
        <v>43709</v>
      </c>
    </row>
    <row r="688" spans="1:31" x14ac:dyDescent="0.25">
      <c r="A688" s="12" t="s">
        <v>1574</v>
      </c>
      <c r="B688" s="11">
        <v>0</v>
      </c>
      <c r="C688" s="13">
        <v>0</v>
      </c>
      <c r="D688" s="13">
        <v>0</v>
      </c>
      <c r="E688" s="28">
        <v>1</v>
      </c>
      <c r="F688">
        <v>0</v>
      </c>
      <c r="G688" s="13">
        <v>0</v>
      </c>
      <c r="H688" s="13">
        <v>0</v>
      </c>
      <c r="I688" s="13">
        <v>0</v>
      </c>
      <c r="J688" s="13">
        <v>0</v>
      </c>
      <c r="K688" s="13">
        <v>1</v>
      </c>
      <c r="L688" s="13">
        <v>0</v>
      </c>
      <c r="M688" s="13">
        <v>0</v>
      </c>
      <c r="N688" s="13">
        <v>0</v>
      </c>
      <c r="O688">
        <v>59</v>
      </c>
      <c r="AA688">
        <v>1</v>
      </c>
      <c r="AB688">
        <v>0</v>
      </c>
      <c r="AC688">
        <v>0</v>
      </c>
      <c r="AD688" s="19">
        <v>55153</v>
      </c>
      <c r="AE688" s="19">
        <v>43617</v>
      </c>
    </row>
    <row r="689" spans="1:31" x14ac:dyDescent="0.25">
      <c r="A689" s="15" t="s">
        <v>1576</v>
      </c>
      <c r="B689" s="14">
        <v>1</v>
      </c>
      <c r="C689" s="16">
        <v>1</v>
      </c>
      <c r="D689" s="16">
        <v>1</v>
      </c>
      <c r="E689">
        <v>1</v>
      </c>
      <c r="F689">
        <v>0</v>
      </c>
      <c r="G689" s="16">
        <v>0</v>
      </c>
      <c r="H689" s="16">
        <v>0</v>
      </c>
      <c r="I689" s="16">
        <v>0</v>
      </c>
      <c r="J689" s="16">
        <v>0</v>
      </c>
      <c r="K689" s="16">
        <v>0</v>
      </c>
      <c r="L689" s="16">
        <v>0</v>
      </c>
      <c r="M689" s="16">
        <v>0</v>
      </c>
      <c r="N689" s="16">
        <v>1</v>
      </c>
      <c r="O689">
        <v>62</v>
      </c>
      <c r="AA689">
        <v>1</v>
      </c>
      <c r="AB689">
        <v>0</v>
      </c>
      <c r="AC689">
        <v>0</v>
      </c>
      <c r="AD689" s="20">
        <v>55153</v>
      </c>
      <c r="AE689" s="20">
        <v>43525</v>
      </c>
    </row>
    <row r="690" spans="1:31" x14ac:dyDescent="0.25">
      <c r="A690" s="12" t="s">
        <v>1578</v>
      </c>
      <c r="B690" s="11">
        <v>1</v>
      </c>
      <c r="C690" s="13">
        <v>1</v>
      </c>
      <c r="D690" s="13">
        <v>1</v>
      </c>
      <c r="E690" s="28">
        <v>1</v>
      </c>
      <c r="F690">
        <v>0</v>
      </c>
      <c r="G690" s="13">
        <v>0</v>
      </c>
      <c r="H690" s="13">
        <v>0</v>
      </c>
      <c r="I690" s="13">
        <v>0</v>
      </c>
      <c r="J690" s="13">
        <v>1</v>
      </c>
      <c r="K690" s="13">
        <v>0</v>
      </c>
      <c r="L690" s="13">
        <v>0</v>
      </c>
      <c r="M690" s="13">
        <v>0</v>
      </c>
      <c r="N690" s="13">
        <v>0</v>
      </c>
      <c r="O690">
        <v>60</v>
      </c>
      <c r="AA690">
        <v>1</v>
      </c>
      <c r="AB690">
        <v>0</v>
      </c>
      <c r="AC690">
        <v>0</v>
      </c>
      <c r="AD690" s="19">
        <v>55153</v>
      </c>
      <c r="AE690" s="19">
        <v>43586</v>
      </c>
    </row>
    <row r="691" spans="1:31" x14ac:dyDescent="0.25">
      <c r="A691" s="15" t="s">
        <v>1580</v>
      </c>
      <c r="B691" s="14">
        <v>1</v>
      </c>
      <c r="C691" s="16">
        <v>1</v>
      </c>
      <c r="D691" s="16">
        <v>1</v>
      </c>
      <c r="E691">
        <v>1</v>
      </c>
      <c r="F691">
        <v>0</v>
      </c>
      <c r="G691" s="16">
        <v>0</v>
      </c>
      <c r="H691" s="16">
        <v>1</v>
      </c>
      <c r="I691" s="16">
        <v>0</v>
      </c>
      <c r="J691" s="16">
        <v>0</v>
      </c>
      <c r="K691" s="16">
        <v>0</v>
      </c>
      <c r="L691" s="16">
        <v>0</v>
      </c>
      <c r="M691" s="16">
        <v>0</v>
      </c>
      <c r="N691" s="16">
        <v>0</v>
      </c>
      <c r="O691">
        <v>60</v>
      </c>
      <c r="AA691">
        <v>1</v>
      </c>
      <c r="AB691">
        <v>0</v>
      </c>
      <c r="AC691">
        <v>0</v>
      </c>
      <c r="AD691" s="20">
        <v>55153</v>
      </c>
      <c r="AE691" s="20">
        <v>43586</v>
      </c>
    </row>
    <row r="692" spans="1:31" x14ac:dyDescent="0.25">
      <c r="A692" s="12" t="s">
        <v>1582</v>
      </c>
      <c r="B692" s="11">
        <v>0</v>
      </c>
      <c r="C692" s="13">
        <v>0</v>
      </c>
      <c r="D692" s="13">
        <v>0</v>
      </c>
      <c r="E692" s="28">
        <v>0</v>
      </c>
      <c r="F692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1</v>
      </c>
      <c r="L692" s="13">
        <v>0</v>
      </c>
      <c r="M692" s="13">
        <v>0</v>
      </c>
      <c r="N692" s="13">
        <v>0</v>
      </c>
      <c r="O692">
        <v>18</v>
      </c>
      <c r="AA692">
        <v>0</v>
      </c>
      <c r="AB692">
        <v>0</v>
      </c>
      <c r="AC692">
        <v>1</v>
      </c>
      <c r="AD692" s="19">
        <v>44104</v>
      </c>
      <c r="AE692" s="19">
        <v>43525</v>
      </c>
    </row>
    <row r="693" spans="1:31" x14ac:dyDescent="0.25">
      <c r="A693" s="15" t="s">
        <v>1584</v>
      </c>
      <c r="B693" s="14">
        <v>0</v>
      </c>
      <c r="C693" s="16">
        <v>0</v>
      </c>
      <c r="D693" s="16">
        <v>0</v>
      </c>
      <c r="E693">
        <v>1</v>
      </c>
      <c r="F693">
        <v>0</v>
      </c>
      <c r="G693" s="16">
        <v>0</v>
      </c>
      <c r="H693" s="16">
        <v>0</v>
      </c>
      <c r="I693" s="16">
        <v>0</v>
      </c>
      <c r="J693" s="16">
        <v>0</v>
      </c>
      <c r="K693" s="16">
        <v>1</v>
      </c>
      <c r="L693" s="16">
        <v>0</v>
      </c>
      <c r="M693" s="16">
        <v>0</v>
      </c>
      <c r="N693" s="16">
        <v>0</v>
      </c>
      <c r="O693">
        <v>62</v>
      </c>
      <c r="AA693">
        <v>1</v>
      </c>
      <c r="AB693">
        <v>0</v>
      </c>
      <c r="AC693">
        <v>0</v>
      </c>
      <c r="AD693" s="20">
        <v>55153</v>
      </c>
      <c r="AE693" s="20">
        <v>43525</v>
      </c>
    </row>
    <row r="694" spans="1:31" x14ac:dyDescent="0.25">
      <c r="A694" s="12" t="s">
        <v>1586</v>
      </c>
      <c r="B694" s="11">
        <v>1</v>
      </c>
      <c r="C694" s="13">
        <v>0</v>
      </c>
      <c r="D694" s="13">
        <v>1</v>
      </c>
      <c r="E694" s="28">
        <v>0</v>
      </c>
      <c r="F694">
        <v>0</v>
      </c>
      <c r="G694" s="13">
        <v>0</v>
      </c>
      <c r="H694" s="13">
        <v>0</v>
      </c>
      <c r="I694" s="13">
        <v>0</v>
      </c>
      <c r="J694" s="13">
        <v>1</v>
      </c>
      <c r="K694" s="13">
        <v>0</v>
      </c>
      <c r="L694" s="13">
        <v>0</v>
      </c>
      <c r="M694" s="13">
        <v>0</v>
      </c>
      <c r="N694" s="13">
        <v>0</v>
      </c>
      <c r="O694">
        <v>29</v>
      </c>
      <c r="AA694">
        <v>0</v>
      </c>
      <c r="AB694">
        <v>1</v>
      </c>
      <c r="AC694">
        <v>0</v>
      </c>
      <c r="AD694" s="19">
        <v>44439</v>
      </c>
      <c r="AE694" s="19">
        <v>43525</v>
      </c>
    </row>
    <row r="695" spans="1:31" x14ac:dyDescent="0.25">
      <c r="A695" s="15" t="s">
        <v>1588</v>
      </c>
      <c r="B695" s="14">
        <v>1</v>
      </c>
      <c r="C695" s="16">
        <v>0</v>
      </c>
      <c r="D695" s="16">
        <v>1</v>
      </c>
      <c r="E695">
        <v>1</v>
      </c>
      <c r="F695">
        <v>0</v>
      </c>
      <c r="G695" s="16">
        <v>0</v>
      </c>
      <c r="H695" s="16">
        <v>0</v>
      </c>
      <c r="I695" s="16">
        <v>1</v>
      </c>
      <c r="J695" s="16">
        <v>0</v>
      </c>
      <c r="K695" s="16">
        <v>0</v>
      </c>
      <c r="L695" s="16">
        <v>0</v>
      </c>
      <c r="M695" s="16">
        <v>0</v>
      </c>
      <c r="N695" s="16">
        <v>0</v>
      </c>
      <c r="O695">
        <v>59</v>
      </c>
      <c r="AA695">
        <v>1</v>
      </c>
      <c r="AB695">
        <v>0</v>
      </c>
      <c r="AC695">
        <v>0</v>
      </c>
      <c r="AD695" s="20">
        <v>55153</v>
      </c>
      <c r="AE695" s="20">
        <v>43617</v>
      </c>
    </row>
    <row r="696" spans="1:31" x14ac:dyDescent="0.25">
      <c r="A696" s="12" t="s">
        <v>1590</v>
      </c>
      <c r="B696" s="11">
        <v>0</v>
      </c>
      <c r="C696" s="13">
        <v>0</v>
      </c>
      <c r="D696" s="13">
        <v>0</v>
      </c>
      <c r="E696" s="28">
        <v>1</v>
      </c>
      <c r="F696">
        <v>0</v>
      </c>
      <c r="G696" s="13">
        <v>1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>
        <v>59</v>
      </c>
      <c r="AA696">
        <v>1</v>
      </c>
      <c r="AB696">
        <v>0</v>
      </c>
      <c r="AC696">
        <v>0</v>
      </c>
      <c r="AD696" s="19">
        <v>55153</v>
      </c>
      <c r="AE696" s="19">
        <v>43617</v>
      </c>
    </row>
    <row r="697" spans="1:31" x14ac:dyDescent="0.25">
      <c r="A697" s="15" t="s">
        <v>1592</v>
      </c>
      <c r="B697" s="14">
        <v>1</v>
      </c>
      <c r="C697" s="16">
        <v>1</v>
      </c>
      <c r="D697" s="16">
        <v>1</v>
      </c>
      <c r="E697">
        <v>1</v>
      </c>
      <c r="F697">
        <v>0</v>
      </c>
      <c r="G697" s="16">
        <v>0</v>
      </c>
      <c r="H697" s="16">
        <v>0</v>
      </c>
      <c r="I697" s="16">
        <v>0</v>
      </c>
      <c r="J697" s="16">
        <v>1</v>
      </c>
      <c r="K697" s="16">
        <v>0</v>
      </c>
      <c r="L697" s="16">
        <v>0</v>
      </c>
      <c r="M697" s="16">
        <v>0</v>
      </c>
      <c r="N697" s="16">
        <v>0</v>
      </c>
      <c r="O697">
        <v>61</v>
      </c>
      <c r="AA697">
        <v>1</v>
      </c>
      <c r="AB697">
        <v>0</v>
      </c>
      <c r="AC697">
        <v>0</v>
      </c>
      <c r="AD697" s="20">
        <v>55153</v>
      </c>
      <c r="AE697" s="20">
        <v>43556</v>
      </c>
    </row>
    <row r="698" spans="1:31" x14ac:dyDescent="0.25">
      <c r="A698" s="12" t="s">
        <v>1594</v>
      </c>
      <c r="B698" s="11">
        <v>1</v>
      </c>
      <c r="C698" s="13">
        <v>1</v>
      </c>
      <c r="D698" s="13">
        <v>1</v>
      </c>
      <c r="E698" s="28">
        <v>1</v>
      </c>
      <c r="F698">
        <v>0</v>
      </c>
      <c r="G698" s="13">
        <v>0</v>
      </c>
      <c r="H698" s="13">
        <v>0</v>
      </c>
      <c r="I698" s="13">
        <v>0</v>
      </c>
      <c r="J698" s="13">
        <v>1</v>
      </c>
      <c r="K698" s="13">
        <v>0</v>
      </c>
      <c r="L698" s="13">
        <v>0</v>
      </c>
      <c r="M698" s="13">
        <v>0</v>
      </c>
      <c r="N698" s="13">
        <v>0</v>
      </c>
      <c r="O698">
        <v>61</v>
      </c>
      <c r="AA698">
        <v>1</v>
      </c>
      <c r="AB698">
        <v>0</v>
      </c>
      <c r="AC698">
        <v>0</v>
      </c>
      <c r="AD698" s="19">
        <v>55153</v>
      </c>
      <c r="AE698" s="19">
        <v>43556</v>
      </c>
    </row>
    <row r="699" spans="1:31" x14ac:dyDescent="0.25">
      <c r="A699" s="15" t="s">
        <v>1596</v>
      </c>
      <c r="B699" s="14">
        <v>1</v>
      </c>
      <c r="C699" s="16">
        <v>1</v>
      </c>
      <c r="D699" s="16">
        <v>1</v>
      </c>
      <c r="E699">
        <v>1</v>
      </c>
      <c r="F699">
        <v>0</v>
      </c>
      <c r="G699" s="16">
        <v>0</v>
      </c>
      <c r="H699" s="16">
        <v>0</v>
      </c>
      <c r="I699" s="16">
        <v>0</v>
      </c>
      <c r="J699" s="16">
        <v>1</v>
      </c>
      <c r="K699" s="16">
        <v>0</v>
      </c>
      <c r="L699" s="16">
        <v>0</v>
      </c>
      <c r="M699" s="16">
        <v>0</v>
      </c>
      <c r="N699" s="16">
        <v>0</v>
      </c>
      <c r="O699">
        <v>61</v>
      </c>
      <c r="AA699">
        <v>1</v>
      </c>
      <c r="AB699">
        <v>0</v>
      </c>
      <c r="AC699">
        <v>0</v>
      </c>
      <c r="AD699" s="20">
        <v>55153</v>
      </c>
      <c r="AE699" s="20">
        <v>43556</v>
      </c>
    </row>
    <row r="700" spans="1:31" x14ac:dyDescent="0.25">
      <c r="A700" s="12" t="s">
        <v>1598</v>
      </c>
      <c r="B700" s="11">
        <v>0</v>
      </c>
      <c r="C700" s="13">
        <v>0</v>
      </c>
      <c r="D700" s="13">
        <v>0</v>
      </c>
      <c r="E700" s="28">
        <v>1</v>
      </c>
      <c r="F700">
        <v>0</v>
      </c>
      <c r="G700" s="13">
        <v>0</v>
      </c>
      <c r="H700" s="13">
        <v>0</v>
      </c>
      <c r="I700" s="13">
        <v>1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>
        <v>62</v>
      </c>
      <c r="AA700">
        <v>1</v>
      </c>
      <c r="AB700">
        <v>0</v>
      </c>
      <c r="AC700">
        <v>0</v>
      </c>
      <c r="AD700" s="19">
        <v>55153</v>
      </c>
      <c r="AE700" s="19">
        <v>43525</v>
      </c>
    </row>
    <row r="701" spans="1:31" x14ac:dyDescent="0.25">
      <c r="A701" s="15" t="s">
        <v>1600</v>
      </c>
      <c r="B701" s="14">
        <v>0</v>
      </c>
      <c r="C701" s="16">
        <v>0</v>
      </c>
      <c r="D701" s="16">
        <v>0</v>
      </c>
      <c r="E701">
        <v>1</v>
      </c>
      <c r="F701">
        <v>0</v>
      </c>
      <c r="G701" s="16">
        <v>0</v>
      </c>
      <c r="H701" s="16">
        <v>0</v>
      </c>
      <c r="I701" s="16">
        <v>1</v>
      </c>
      <c r="J701" s="16">
        <v>0</v>
      </c>
      <c r="K701" s="16">
        <v>0</v>
      </c>
      <c r="L701" s="16">
        <v>0</v>
      </c>
      <c r="M701" s="16">
        <v>0</v>
      </c>
      <c r="N701" s="16">
        <v>0</v>
      </c>
      <c r="O701">
        <v>62</v>
      </c>
      <c r="AA701">
        <v>1</v>
      </c>
      <c r="AB701">
        <v>0</v>
      </c>
      <c r="AC701">
        <v>0</v>
      </c>
      <c r="AD701" s="20">
        <v>55153</v>
      </c>
      <c r="AE701" s="20">
        <v>43525</v>
      </c>
    </row>
    <row r="702" spans="1:31" x14ac:dyDescent="0.25">
      <c r="A702" s="12" t="s">
        <v>1602</v>
      </c>
      <c r="B702" s="11">
        <v>0</v>
      </c>
      <c r="C702" s="13">
        <v>0</v>
      </c>
      <c r="D702" s="13">
        <v>0</v>
      </c>
      <c r="E702" s="28">
        <v>1</v>
      </c>
      <c r="F702">
        <v>0</v>
      </c>
      <c r="G702" s="13">
        <v>0</v>
      </c>
      <c r="H702" s="13">
        <v>0</v>
      </c>
      <c r="I702" s="13">
        <v>1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>
        <v>62</v>
      </c>
      <c r="AA702">
        <v>1</v>
      </c>
      <c r="AB702">
        <v>0</v>
      </c>
      <c r="AC702">
        <v>0</v>
      </c>
      <c r="AD702" s="19">
        <v>55153</v>
      </c>
      <c r="AE702" s="19">
        <v>43525</v>
      </c>
    </row>
    <row r="703" spans="1:31" x14ac:dyDescent="0.25">
      <c r="A703" s="15" t="s">
        <v>1604</v>
      </c>
      <c r="B703" s="14">
        <v>0</v>
      </c>
      <c r="C703" s="16">
        <v>0</v>
      </c>
      <c r="D703" s="16">
        <v>0</v>
      </c>
      <c r="E703">
        <v>1</v>
      </c>
      <c r="F703">
        <v>0</v>
      </c>
      <c r="G703" s="16">
        <v>0</v>
      </c>
      <c r="H703" s="16">
        <v>0</v>
      </c>
      <c r="I703" s="16">
        <v>0</v>
      </c>
      <c r="J703" s="16">
        <v>0</v>
      </c>
      <c r="K703" s="16">
        <v>1</v>
      </c>
      <c r="L703" s="16">
        <v>0</v>
      </c>
      <c r="M703" s="16">
        <v>0</v>
      </c>
      <c r="N703" s="16">
        <v>0</v>
      </c>
      <c r="O703">
        <v>62</v>
      </c>
      <c r="AA703">
        <v>1</v>
      </c>
      <c r="AB703">
        <v>0</v>
      </c>
      <c r="AC703">
        <v>0</v>
      </c>
      <c r="AD703" s="20">
        <v>55153</v>
      </c>
      <c r="AE703" s="20">
        <v>43525</v>
      </c>
    </row>
    <row r="704" spans="1:31" x14ac:dyDescent="0.25">
      <c r="A704" s="12" t="s">
        <v>1606</v>
      </c>
      <c r="B704" s="11">
        <v>0</v>
      </c>
      <c r="C704" s="13">
        <v>0</v>
      </c>
      <c r="D704" s="13">
        <v>0</v>
      </c>
      <c r="E704" s="28">
        <v>0</v>
      </c>
      <c r="F704">
        <v>0</v>
      </c>
      <c r="G704" s="13">
        <v>1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>
        <v>26</v>
      </c>
      <c r="AA704">
        <v>1</v>
      </c>
      <c r="AB704">
        <v>0</v>
      </c>
      <c r="AC704">
        <v>0</v>
      </c>
      <c r="AD704" s="19">
        <v>55153</v>
      </c>
      <c r="AE704" s="19">
        <v>44621</v>
      </c>
    </row>
    <row r="705" spans="1:31" x14ac:dyDescent="0.25">
      <c r="A705" s="15" t="s">
        <v>1608</v>
      </c>
      <c r="B705" s="14">
        <v>0</v>
      </c>
      <c r="C705" s="16">
        <v>0</v>
      </c>
      <c r="D705" s="16">
        <v>0</v>
      </c>
      <c r="E705">
        <v>1</v>
      </c>
      <c r="F705">
        <v>0</v>
      </c>
      <c r="G705" s="16">
        <v>0</v>
      </c>
      <c r="H705" s="16">
        <v>0</v>
      </c>
      <c r="I705" s="16">
        <v>0</v>
      </c>
      <c r="J705" s="16">
        <v>0</v>
      </c>
      <c r="K705" s="16">
        <v>1</v>
      </c>
      <c r="L705" s="16">
        <v>0</v>
      </c>
      <c r="M705" s="16">
        <v>0</v>
      </c>
      <c r="N705" s="16">
        <v>0</v>
      </c>
      <c r="O705">
        <v>59</v>
      </c>
      <c r="AA705">
        <v>1</v>
      </c>
      <c r="AB705">
        <v>0</v>
      </c>
      <c r="AC705">
        <v>0</v>
      </c>
      <c r="AD705" s="20">
        <v>55153</v>
      </c>
      <c r="AE705" s="20">
        <v>43617</v>
      </c>
    </row>
    <row r="706" spans="1:31" x14ac:dyDescent="0.25">
      <c r="A706" s="12" t="s">
        <v>1610</v>
      </c>
      <c r="B706" s="11">
        <v>0</v>
      </c>
      <c r="C706" s="13">
        <v>0</v>
      </c>
      <c r="D706" s="13">
        <v>0</v>
      </c>
      <c r="E706" s="28">
        <v>0</v>
      </c>
      <c r="F706">
        <v>1</v>
      </c>
      <c r="G706" s="13">
        <v>0</v>
      </c>
      <c r="H706" s="13">
        <v>0</v>
      </c>
      <c r="I706" s="13">
        <v>1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>
        <v>50</v>
      </c>
      <c r="AA706">
        <v>1</v>
      </c>
      <c r="AB706">
        <v>0</v>
      </c>
      <c r="AC706">
        <v>0</v>
      </c>
      <c r="AD706" s="19">
        <v>55153</v>
      </c>
      <c r="AE706" s="19">
        <v>43891</v>
      </c>
    </row>
    <row r="707" spans="1:31" x14ac:dyDescent="0.25">
      <c r="A707" s="15" t="s">
        <v>1612</v>
      </c>
      <c r="B707" s="14">
        <v>0</v>
      </c>
      <c r="C707" s="16">
        <v>0</v>
      </c>
      <c r="D707" s="16">
        <v>0</v>
      </c>
      <c r="E707">
        <v>0</v>
      </c>
      <c r="F707">
        <v>1</v>
      </c>
      <c r="G707" s="16">
        <v>0</v>
      </c>
      <c r="H707" s="16">
        <v>0</v>
      </c>
      <c r="I707" s="16">
        <v>1</v>
      </c>
      <c r="J707" s="16">
        <v>0</v>
      </c>
      <c r="K707" s="16">
        <v>0</v>
      </c>
      <c r="L707" s="16">
        <v>0</v>
      </c>
      <c r="M707" s="16">
        <v>0</v>
      </c>
      <c r="N707" s="16">
        <v>0</v>
      </c>
      <c r="O707">
        <v>62</v>
      </c>
      <c r="AA707">
        <v>1</v>
      </c>
      <c r="AB707">
        <v>0</v>
      </c>
      <c r="AC707">
        <v>0</v>
      </c>
      <c r="AD707" s="20">
        <v>55153</v>
      </c>
      <c r="AE707" s="20">
        <v>43525</v>
      </c>
    </row>
    <row r="708" spans="1:31" x14ac:dyDescent="0.25">
      <c r="A708" s="12" t="s">
        <v>1614</v>
      </c>
      <c r="B708" s="11">
        <v>0</v>
      </c>
      <c r="C708" s="13">
        <v>0</v>
      </c>
      <c r="D708" s="13">
        <v>0</v>
      </c>
      <c r="E708" s="28">
        <v>1</v>
      </c>
      <c r="F708">
        <v>0</v>
      </c>
      <c r="G708" s="13">
        <v>1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>
        <v>47</v>
      </c>
      <c r="AA708">
        <v>1</v>
      </c>
      <c r="AB708">
        <v>0</v>
      </c>
      <c r="AC708">
        <v>0</v>
      </c>
      <c r="AD708" s="19">
        <v>55153</v>
      </c>
      <c r="AE708" s="19">
        <v>43983</v>
      </c>
    </row>
    <row r="709" spans="1:31" x14ac:dyDescent="0.25">
      <c r="A709" s="15" t="s">
        <v>1616</v>
      </c>
      <c r="B709" s="14">
        <v>0</v>
      </c>
      <c r="C709" s="16">
        <v>0</v>
      </c>
      <c r="D709" s="16">
        <v>0</v>
      </c>
      <c r="E709">
        <v>0</v>
      </c>
      <c r="F709">
        <v>1</v>
      </c>
      <c r="G709" s="16">
        <v>0</v>
      </c>
      <c r="H709" s="16">
        <v>0</v>
      </c>
      <c r="I709" s="16">
        <v>0</v>
      </c>
      <c r="J709" s="16">
        <v>0</v>
      </c>
      <c r="K709" s="16">
        <v>0</v>
      </c>
      <c r="L709" s="16">
        <v>0</v>
      </c>
      <c r="M709" s="16">
        <v>1</v>
      </c>
      <c r="N709" s="16">
        <v>0</v>
      </c>
      <c r="O709">
        <v>53</v>
      </c>
      <c r="AA709">
        <v>1</v>
      </c>
      <c r="AB709">
        <v>0</v>
      </c>
      <c r="AC709">
        <v>0</v>
      </c>
      <c r="AD709" s="20">
        <v>55153</v>
      </c>
      <c r="AE709" s="20">
        <v>43800</v>
      </c>
    </row>
    <row r="710" spans="1:31" x14ac:dyDescent="0.25">
      <c r="A710" s="12" t="s">
        <v>1618</v>
      </c>
      <c r="B710" s="11">
        <v>0</v>
      </c>
      <c r="C710" s="13">
        <v>0</v>
      </c>
      <c r="D710" s="13">
        <v>0</v>
      </c>
      <c r="E710" s="28">
        <v>1</v>
      </c>
      <c r="F710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1</v>
      </c>
      <c r="N710" s="13">
        <v>0</v>
      </c>
      <c r="O710">
        <v>53</v>
      </c>
      <c r="AA710">
        <v>1</v>
      </c>
      <c r="AB710">
        <v>0</v>
      </c>
      <c r="AC710">
        <v>0</v>
      </c>
      <c r="AD710" s="19">
        <v>55153</v>
      </c>
      <c r="AE710" s="19">
        <v>43800</v>
      </c>
    </row>
    <row r="711" spans="1:31" x14ac:dyDescent="0.25">
      <c r="A711" s="15" t="s">
        <v>1620</v>
      </c>
      <c r="B711" s="14">
        <v>0</v>
      </c>
      <c r="C711" s="16">
        <v>0</v>
      </c>
      <c r="D711" s="16">
        <v>0</v>
      </c>
      <c r="E711">
        <v>1</v>
      </c>
      <c r="F711">
        <v>0</v>
      </c>
      <c r="G711" s="16">
        <v>0</v>
      </c>
      <c r="H711" s="16">
        <v>0</v>
      </c>
      <c r="I711" s="16">
        <v>0</v>
      </c>
      <c r="J711" s="16">
        <v>0</v>
      </c>
      <c r="K711" s="16">
        <v>0</v>
      </c>
      <c r="L711" s="16">
        <v>0</v>
      </c>
      <c r="M711" s="16">
        <v>1</v>
      </c>
      <c r="N711" s="16">
        <v>0</v>
      </c>
      <c r="O711">
        <v>53</v>
      </c>
      <c r="AA711">
        <v>1</v>
      </c>
      <c r="AB711">
        <v>0</v>
      </c>
      <c r="AC711">
        <v>0</v>
      </c>
      <c r="AD711" s="20">
        <v>55153</v>
      </c>
      <c r="AE711" s="20">
        <v>43800</v>
      </c>
    </row>
    <row r="712" spans="1:31" x14ac:dyDescent="0.25">
      <c r="A712" s="12" t="s">
        <v>1622</v>
      </c>
      <c r="B712" s="11">
        <v>0</v>
      </c>
      <c r="C712" s="13">
        <v>0</v>
      </c>
      <c r="D712" s="13">
        <v>0</v>
      </c>
      <c r="E712" s="28">
        <v>1</v>
      </c>
      <c r="F712">
        <v>0</v>
      </c>
      <c r="G712" s="13">
        <v>1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>
        <v>50</v>
      </c>
      <c r="AA712">
        <v>1</v>
      </c>
      <c r="AB712">
        <v>0</v>
      </c>
      <c r="AC712">
        <v>0</v>
      </c>
      <c r="AD712" s="19">
        <v>55153</v>
      </c>
      <c r="AE712" s="19">
        <v>43891</v>
      </c>
    </row>
    <row r="713" spans="1:31" x14ac:dyDescent="0.25">
      <c r="A713" s="15" t="s">
        <v>1624</v>
      </c>
      <c r="B713" s="14">
        <v>1</v>
      </c>
      <c r="C713" s="16">
        <v>0</v>
      </c>
      <c r="D713" s="16">
        <v>1</v>
      </c>
      <c r="E713">
        <v>1</v>
      </c>
      <c r="F713">
        <v>0</v>
      </c>
      <c r="G713" s="16">
        <v>0</v>
      </c>
      <c r="H713" s="16">
        <v>0</v>
      </c>
      <c r="I713" s="16">
        <v>0</v>
      </c>
      <c r="J713" s="16">
        <v>1</v>
      </c>
      <c r="K713" s="16">
        <v>0</v>
      </c>
      <c r="L713" s="16">
        <v>0</v>
      </c>
      <c r="M713" s="16">
        <v>0</v>
      </c>
      <c r="N713" s="16">
        <v>0</v>
      </c>
      <c r="O713">
        <v>60</v>
      </c>
      <c r="AA713">
        <v>1</v>
      </c>
      <c r="AB713">
        <v>0</v>
      </c>
      <c r="AC713">
        <v>0</v>
      </c>
      <c r="AD713" s="20">
        <v>55153</v>
      </c>
      <c r="AE713" s="20">
        <v>43586</v>
      </c>
    </row>
    <row r="714" spans="1:31" x14ac:dyDescent="0.25">
      <c r="A714" s="12" t="s">
        <v>1626</v>
      </c>
      <c r="B714" s="11">
        <v>0</v>
      </c>
      <c r="C714" s="13">
        <v>0</v>
      </c>
      <c r="D714" s="13">
        <v>0</v>
      </c>
      <c r="E714" s="28">
        <v>0</v>
      </c>
      <c r="F714">
        <v>1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1</v>
      </c>
      <c r="N714" s="13">
        <v>0</v>
      </c>
      <c r="O714">
        <v>59</v>
      </c>
      <c r="AA714">
        <v>1</v>
      </c>
      <c r="AB714">
        <v>0</v>
      </c>
      <c r="AC714">
        <v>0</v>
      </c>
      <c r="AD714" s="19">
        <v>55153</v>
      </c>
      <c r="AE714" s="19">
        <v>43617</v>
      </c>
    </row>
    <row r="715" spans="1:31" x14ac:dyDescent="0.25">
      <c r="A715" s="15" t="s">
        <v>1628</v>
      </c>
      <c r="B715" s="14">
        <v>0</v>
      </c>
      <c r="C715" s="16">
        <v>0</v>
      </c>
      <c r="D715" s="16">
        <v>0</v>
      </c>
      <c r="E715">
        <v>0</v>
      </c>
      <c r="F715">
        <v>1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1</v>
      </c>
      <c r="N715" s="16">
        <v>0</v>
      </c>
      <c r="O715">
        <v>53</v>
      </c>
      <c r="AA715">
        <v>1</v>
      </c>
      <c r="AB715">
        <v>0</v>
      </c>
      <c r="AC715">
        <v>0</v>
      </c>
      <c r="AD715" s="20">
        <v>55153</v>
      </c>
      <c r="AE715" s="20">
        <v>43800</v>
      </c>
    </row>
    <row r="716" spans="1:31" x14ac:dyDescent="0.25">
      <c r="A716" s="12" t="s">
        <v>1630</v>
      </c>
      <c r="B716" s="11">
        <v>0</v>
      </c>
      <c r="C716" s="13">
        <v>0</v>
      </c>
      <c r="D716" s="13">
        <v>0</v>
      </c>
      <c r="E716" s="28">
        <v>0</v>
      </c>
      <c r="F716">
        <v>1</v>
      </c>
      <c r="G716" s="13">
        <v>1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>
        <v>62</v>
      </c>
      <c r="AA716">
        <v>1</v>
      </c>
      <c r="AB716">
        <v>0</v>
      </c>
      <c r="AC716">
        <v>0</v>
      </c>
      <c r="AD716" s="19">
        <v>55153</v>
      </c>
      <c r="AE716" s="19">
        <v>43525</v>
      </c>
    </row>
    <row r="717" spans="1:31" x14ac:dyDescent="0.25">
      <c r="A717" s="15" t="s">
        <v>1632</v>
      </c>
      <c r="B717" s="14">
        <v>0</v>
      </c>
      <c r="C717" s="16">
        <v>0</v>
      </c>
      <c r="D717" s="16">
        <v>0</v>
      </c>
      <c r="E717">
        <v>0</v>
      </c>
      <c r="F717">
        <v>1</v>
      </c>
      <c r="G717" s="16">
        <v>1</v>
      </c>
      <c r="H717" s="16">
        <v>0</v>
      </c>
      <c r="I717" s="16">
        <v>0</v>
      </c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>
        <v>56</v>
      </c>
      <c r="AA717">
        <v>1</v>
      </c>
      <c r="AB717">
        <v>0</v>
      </c>
      <c r="AC717">
        <v>0</v>
      </c>
      <c r="AD717" s="20">
        <v>55153</v>
      </c>
      <c r="AE717" s="20">
        <v>43709</v>
      </c>
    </row>
    <row r="718" spans="1:31" x14ac:dyDescent="0.25">
      <c r="A718" s="12" t="s">
        <v>1634</v>
      </c>
      <c r="B718" s="11">
        <v>0</v>
      </c>
      <c r="C718" s="13">
        <v>0</v>
      </c>
      <c r="D718" s="13">
        <v>0</v>
      </c>
      <c r="E718" s="28">
        <v>0</v>
      </c>
      <c r="F718">
        <v>1</v>
      </c>
      <c r="G718" s="13">
        <v>0</v>
      </c>
      <c r="H718" s="13">
        <v>0</v>
      </c>
      <c r="I718" s="13">
        <v>1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>
        <v>59</v>
      </c>
      <c r="AA718">
        <v>1</v>
      </c>
      <c r="AB718">
        <v>0</v>
      </c>
      <c r="AC718">
        <v>0</v>
      </c>
      <c r="AD718" s="19">
        <v>55153</v>
      </c>
      <c r="AE718" s="19">
        <v>43617</v>
      </c>
    </row>
    <row r="719" spans="1:31" x14ac:dyDescent="0.25">
      <c r="A719" s="15" t="s">
        <v>1636</v>
      </c>
      <c r="B719" s="14">
        <v>0</v>
      </c>
      <c r="C719" s="16">
        <v>0</v>
      </c>
      <c r="D719" s="16">
        <v>0</v>
      </c>
      <c r="E719">
        <v>0</v>
      </c>
      <c r="F719">
        <v>1</v>
      </c>
      <c r="G719" s="16">
        <v>0</v>
      </c>
      <c r="H719" s="16">
        <v>0</v>
      </c>
      <c r="I719" s="16">
        <v>0</v>
      </c>
      <c r="J719" s="16">
        <v>0</v>
      </c>
      <c r="K719" s="16">
        <v>1</v>
      </c>
      <c r="L719" s="16">
        <v>0</v>
      </c>
      <c r="M719" s="16">
        <v>0</v>
      </c>
      <c r="N719" s="16">
        <v>0</v>
      </c>
      <c r="O719">
        <v>59</v>
      </c>
      <c r="AA719">
        <v>1</v>
      </c>
      <c r="AB719">
        <v>0</v>
      </c>
      <c r="AC719">
        <v>0</v>
      </c>
      <c r="AD719" s="20">
        <v>55153</v>
      </c>
      <c r="AE719" s="20">
        <v>43617</v>
      </c>
    </row>
    <row r="720" spans="1:31" x14ac:dyDescent="0.25">
      <c r="A720" s="12" t="s">
        <v>1638</v>
      </c>
      <c r="B720" s="11">
        <v>0</v>
      </c>
      <c r="C720" s="13">
        <v>0</v>
      </c>
      <c r="D720" s="13">
        <v>0</v>
      </c>
      <c r="E720" s="28">
        <v>0</v>
      </c>
      <c r="F720">
        <v>1</v>
      </c>
      <c r="G720" s="13">
        <v>0</v>
      </c>
      <c r="H720" s="13">
        <v>0</v>
      </c>
      <c r="I720" s="13">
        <v>0</v>
      </c>
      <c r="J720" s="13">
        <v>0</v>
      </c>
      <c r="K720" s="13">
        <v>1</v>
      </c>
      <c r="L720" s="13">
        <v>0</v>
      </c>
      <c r="M720" s="13">
        <v>0</v>
      </c>
      <c r="N720" s="13">
        <v>0</v>
      </c>
      <c r="O720">
        <v>59</v>
      </c>
      <c r="AA720">
        <v>1</v>
      </c>
      <c r="AB720">
        <v>0</v>
      </c>
      <c r="AC720">
        <v>0</v>
      </c>
      <c r="AD720" s="19">
        <v>55153</v>
      </c>
      <c r="AE720" s="19">
        <v>43617</v>
      </c>
    </row>
    <row r="721" spans="1:31" x14ac:dyDescent="0.25">
      <c r="A721" s="15" t="s">
        <v>1640</v>
      </c>
      <c r="B721" s="14">
        <v>1</v>
      </c>
      <c r="C721" s="16">
        <v>1</v>
      </c>
      <c r="D721" s="16">
        <v>1</v>
      </c>
      <c r="E721">
        <v>1</v>
      </c>
      <c r="F721">
        <v>0</v>
      </c>
      <c r="G721" s="16">
        <v>0</v>
      </c>
      <c r="H721" s="16">
        <v>0</v>
      </c>
      <c r="I721" s="16">
        <v>0</v>
      </c>
      <c r="J721" s="16">
        <v>1</v>
      </c>
      <c r="K721" s="16">
        <v>0</v>
      </c>
      <c r="L721" s="16">
        <v>0</v>
      </c>
      <c r="M721" s="16">
        <v>0</v>
      </c>
      <c r="N721" s="16">
        <v>0</v>
      </c>
      <c r="O721">
        <v>61</v>
      </c>
      <c r="AA721">
        <v>1</v>
      </c>
      <c r="AB721">
        <v>0</v>
      </c>
      <c r="AC721">
        <v>0</v>
      </c>
      <c r="AD721" s="20">
        <v>55153</v>
      </c>
      <c r="AE721" s="20">
        <v>43556</v>
      </c>
    </row>
    <row r="722" spans="1:31" x14ac:dyDescent="0.25">
      <c r="A722" s="12" t="s">
        <v>1642</v>
      </c>
      <c r="B722" s="11">
        <v>0</v>
      </c>
      <c r="C722" s="13">
        <v>0</v>
      </c>
      <c r="D722" s="13">
        <v>0</v>
      </c>
      <c r="E722" s="28">
        <v>0</v>
      </c>
      <c r="F722">
        <v>1</v>
      </c>
      <c r="G722" s="13">
        <v>0</v>
      </c>
      <c r="H722" s="13">
        <v>0</v>
      </c>
      <c r="I722" s="13">
        <v>1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>
        <v>50</v>
      </c>
      <c r="AA722">
        <v>1</v>
      </c>
      <c r="AB722">
        <v>0</v>
      </c>
      <c r="AC722">
        <v>0</v>
      </c>
      <c r="AD722" s="19">
        <v>55153</v>
      </c>
      <c r="AE722" s="19">
        <v>43891</v>
      </c>
    </row>
    <row r="723" spans="1:31" x14ac:dyDescent="0.25">
      <c r="A723" s="15" t="s">
        <v>1644</v>
      </c>
      <c r="B723" s="14">
        <v>0</v>
      </c>
      <c r="C723" s="16">
        <v>0</v>
      </c>
      <c r="D723" s="16">
        <v>0</v>
      </c>
      <c r="E723">
        <v>1</v>
      </c>
      <c r="F723">
        <v>0</v>
      </c>
      <c r="G723" s="16">
        <v>0</v>
      </c>
      <c r="H723" s="16">
        <v>0</v>
      </c>
      <c r="I723" s="16">
        <v>1</v>
      </c>
      <c r="J723" s="16">
        <v>0</v>
      </c>
      <c r="K723" s="16">
        <v>0</v>
      </c>
      <c r="L723" s="16">
        <v>0</v>
      </c>
      <c r="M723" s="16">
        <v>0</v>
      </c>
      <c r="N723" s="16">
        <v>0</v>
      </c>
      <c r="O723">
        <v>59</v>
      </c>
      <c r="AA723">
        <v>1</v>
      </c>
      <c r="AB723">
        <v>0</v>
      </c>
      <c r="AC723">
        <v>0</v>
      </c>
      <c r="AD723" s="20">
        <v>55153</v>
      </c>
      <c r="AE723" s="20">
        <v>43617</v>
      </c>
    </row>
    <row r="724" spans="1:31" x14ac:dyDescent="0.25">
      <c r="A724" s="12" t="s">
        <v>1646</v>
      </c>
      <c r="B724" s="11">
        <v>0</v>
      </c>
      <c r="C724" s="13">
        <v>0</v>
      </c>
      <c r="D724" s="13">
        <v>0</v>
      </c>
      <c r="E724" s="28">
        <v>1</v>
      </c>
      <c r="F724">
        <v>0</v>
      </c>
      <c r="G724" s="13">
        <v>0</v>
      </c>
      <c r="H724" s="13">
        <v>0</v>
      </c>
      <c r="I724" s="13">
        <v>1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>
        <v>59</v>
      </c>
      <c r="AA724">
        <v>1</v>
      </c>
      <c r="AB724">
        <v>0</v>
      </c>
      <c r="AC724">
        <v>0</v>
      </c>
      <c r="AD724" s="19">
        <v>55153</v>
      </c>
      <c r="AE724" s="19">
        <v>43617</v>
      </c>
    </row>
    <row r="725" spans="1:31" x14ac:dyDescent="0.25">
      <c r="A725" s="15" t="s">
        <v>1648</v>
      </c>
      <c r="B725" s="14">
        <v>0</v>
      </c>
      <c r="C725" s="16">
        <v>0</v>
      </c>
      <c r="D725" s="16">
        <v>0</v>
      </c>
      <c r="E725">
        <v>1</v>
      </c>
      <c r="F725">
        <v>0</v>
      </c>
      <c r="G725" s="16">
        <v>0</v>
      </c>
      <c r="H725" s="16">
        <v>0</v>
      </c>
      <c r="I725" s="16">
        <v>1</v>
      </c>
      <c r="J725" s="16">
        <v>0</v>
      </c>
      <c r="K725" s="16">
        <v>0</v>
      </c>
      <c r="L725" s="16">
        <v>0</v>
      </c>
      <c r="M725" s="16">
        <v>0</v>
      </c>
      <c r="N725" s="16">
        <v>0</v>
      </c>
      <c r="O725">
        <v>59</v>
      </c>
      <c r="AA725">
        <v>1</v>
      </c>
      <c r="AB725">
        <v>0</v>
      </c>
      <c r="AC725">
        <v>0</v>
      </c>
      <c r="AD725" s="20">
        <v>55153</v>
      </c>
      <c r="AE725" s="20">
        <v>43617</v>
      </c>
    </row>
    <row r="726" spans="1:31" x14ac:dyDescent="0.25">
      <c r="A726" s="12" t="s">
        <v>1650</v>
      </c>
      <c r="B726" s="11">
        <v>0</v>
      </c>
      <c r="C726" s="13">
        <v>0</v>
      </c>
      <c r="D726" s="13">
        <v>0</v>
      </c>
      <c r="E726" s="28">
        <v>1</v>
      </c>
      <c r="F726">
        <v>0</v>
      </c>
      <c r="G726" s="13">
        <v>0</v>
      </c>
      <c r="H726" s="13">
        <v>0</v>
      </c>
      <c r="I726" s="13">
        <v>1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>
        <v>59</v>
      </c>
      <c r="AA726">
        <v>1</v>
      </c>
      <c r="AB726">
        <v>0</v>
      </c>
      <c r="AC726">
        <v>0</v>
      </c>
      <c r="AD726" s="19">
        <v>55153</v>
      </c>
      <c r="AE726" s="19">
        <v>43617</v>
      </c>
    </row>
    <row r="727" spans="1:31" x14ac:dyDescent="0.25">
      <c r="A727" s="15" t="s">
        <v>1652</v>
      </c>
      <c r="B727" s="14">
        <v>0</v>
      </c>
      <c r="C727" s="16">
        <v>0</v>
      </c>
      <c r="D727" s="16">
        <v>0</v>
      </c>
      <c r="E727">
        <v>1</v>
      </c>
      <c r="F727">
        <v>0</v>
      </c>
      <c r="G727" s="16">
        <v>0</v>
      </c>
      <c r="H727" s="16">
        <v>0</v>
      </c>
      <c r="I727" s="16">
        <v>1</v>
      </c>
      <c r="J727" s="16">
        <v>0</v>
      </c>
      <c r="K727" s="16">
        <v>0</v>
      </c>
      <c r="L727" s="16">
        <v>0</v>
      </c>
      <c r="M727" s="16">
        <v>0</v>
      </c>
      <c r="N727" s="16">
        <v>0</v>
      </c>
      <c r="O727">
        <v>59</v>
      </c>
      <c r="AA727">
        <v>1</v>
      </c>
      <c r="AB727">
        <v>0</v>
      </c>
      <c r="AC727">
        <v>0</v>
      </c>
      <c r="AD727" s="20">
        <v>55153</v>
      </c>
      <c r="AE727" s="20">
        <v>43617</v>
      </c>
    </row>
    <row r="728" spans="1:31" x14ac:dyDescent="0.25">
      <c r="A728" s="12" t="s">
        <v>1654</v>
      </c>
      <c r="B728" s="11">
        <v>0</v>
      </c>
      <c r="C728" s="13">
        <v>0</v>
      </c>
      <c r="D728" s="13">
        <v>0</v>
      </c>
      <c r="E728" s="28">
        <v>0</v>
      </c>
      <c r="F728">
        <v>0</v>
      </c>
      <c r="G728" s="13">
        <v>0</v>
      </c>
      <c r="H728" s="13">
        <v>0</v>
      </c>
      <c r="I728" s="13">
        <v>1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>
        <v>23</v>
      </c>
      <c r="AA728">
        <v>0</v>
      </c>
      <c r="AB728">
        <v>0</v>
      </c>
      <c r="AC728">
        <v>1</v>
      </c>
      <c r="AD728" s="19">
        <v>44377</v>
      </c>
      <c r="AE728" s="19">
        <v>43617</v>
      </c>
    </row>
    <row r="729" spans="1:31" x14ac:dyDescent="0.25">
      <c r="A729" s="15" t="s">
        <v>1656</v>
      </c>
      <c r="B729" s="14">
        <v>0</v>
      </c>
      <c r="C729" s="16">
        <v>0</v>
      </c>
      <c r="D729" s="16">
        <v>0</v>
      </c>
      <c r="E729">
        <v>0</v>
      </c>
      <c r="F729">
        <v>0</v>
      </c>
      <c r="G729" s="16">
        <v>0</v>
      </c>
      <c r="H729" s="16">
        <v>0</v>
      </c>
      <c r="I729" s="16">
        <v>1</v>
      </c>
      <c r="J729" s="16">
        <v>0</v>
      </c>
      <c r="K729" s="16">
        <v>0</v>
      </c>
      <c r="L729" s="16">
        <v>0</v>
      </c>
      <c r="M729" s="16">
        <v>0</v>
      </c>
      <c r="N729" s="16">
        <v>0</v>
      </c>
      <c r="O729">
        <v>59</v>
      </c>
      <c r="AA729">
        <v>1</v>
      </c>
      <c r="AB729">
        <v>0</v>
      </c>
      <c r="AC729">
        <v>0</v>
      </c>
      <c r="AD729" s="20">
        <v>55153</v>
      </c>
      <c r="AE729" s="20">
        <v>43617</v>
      </c>
    </row>
    <row r="730" spans="1:31" x14ac:dyDescent="0.25">
      <c r="A730" s="12" t="s">
        <v>1658</v>
      </c>
      <c r="B730" s="11">
        <v>0</v>
      </c>
      <c r="C730" s="13">
        <v>0</v>
      </c>
      <c r="D730" s="13">
        <v>0</v>
      </c>
      <c r="E730" s="28">
        <v>0</v>
      </c>
      <c r="F730">
        <v>1</v>
      </c>
      <c r="G730" s="13">
        <v>0</v>
      </c>
      <c r="H730" s="13">
        <v>0</v>
      </c>
      <c r="I730" s="13">
        <v>1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>
        <v>59</v>
      </c>
      <c r="AA730">
        <v>1</v>
      </c>
      <c r="AB730">
        <v>0</v>
      </c>
      <c r="AC730">
        <v>0</v>
      </c>
      <c r="AD730" s="19">
        <v>55153</v>
      </c>
      <c r="AE730" s="19">
        <v>43617</v>
      </c>
    </row>
    <row r="731" spans="1:31" x14ac:dyDescent="0.25">
      <c r="A731" s="15" t="s">
        <v>1660</v>
      </c>
      <c r="B731" s="14">
        <v>1</v>
      </c>
      <c r="C731" s="16">
        <v>1</v>
      </c>
      <c r="D731" s="16">
        <v>1</v>
      </c>
      <c r="E731">
        <v>1</v>
      </c>
      <c r="F731">
        <v>0</v>
      </c>
      <c r="G731" s="16">
        <v>0</v>
      </c>
      <c r="H731" s="16">
        <v>0</v>
      </c>
      <c r="I731" s="16">
        <v>0</v>
      </c>
      <c r="J731" s="16">
        <v>1</v>
      </c>
      <c r="K731" s="16">
        <v>0</v>
      </c>
      <c r="L731" s="16">
        <v>0</v>
      </c>
      <c r="M731" s="16">
        <v>0</v>
      </c>
      <c r="N731" s="16">
        <v>0</v>
      </c>
      <c r="O731">
        <v>60</v>
      </c>
      <c r="AA731">
        <v>1</v>
      </c>
      <c r="AB731">
        <v>0</v>
      </c>
      <c r="AC731">
        <v>0</v>
      </c>
      <c r="AD731" s="20">
        <v>55153</v>
      </c>
      <c r="AE731" s="20">
        <v>43586</v>
      </c>
    </row>
    <row r="732" spans="1:31" x14ac:dyDescent="0.25">
      <c r="A732" s="12" t="s">
        <v>1662</v>
      </c>
      <c r="B732" s="11">
        <v>0</v>
      </c>
      <c r="C732" s="13">
        <v>0</v>
      </c>
      <c r="D732" s="13">
        <v>0</v>
      </c>
      <c r="E732" s="28">
        <v>0</v>
      </c>
      <c r="F732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1</v>
      </c>
      <c r="L732" s="13">
        <v>0</v>
      </c>
      <c r="M732" s="13">
        <v>0</v>
      </c>
      <c r="N732" s="13">
        <v>0</v>
      </c>
      <c r="O732">
        <v>39</v>
      </c>
      <c r="AA732">
        <v>0</v>
      </c>
      <c r="AB732">
        <v>0</v>
      </c>
      <c r="AC732">
        <v>1</v>
      </c>
      <c r="AD732" s="19">
        <v>44834</v>
      </c>
      <c r="AE732" s="19">
        <v>43617</v>
      </c>
    </row>
    <row r="733" spans="1:31" x14ac:dyDescent="0.25">
      <c r="A733" s="15" t="s">
        <v>1664</v>
      </c>
      <c r="B733" s="14">
        <v>0</v>
      </c>
      <c r="C733" s="16">
        <v>0</v>
      </c>
      <c r="D733" s="16">
        <v>0</v>
      </c>
      <c r="E733">
        <v>0</v>
      </c>
      <c r="F733">
        <v>0</v>
      </c>
      <c r="G733" s="16">
        <v>0</v>
      </c>
      <c r="H733" s="16">
        <v>0</v>
      </c>
      <c r="I733" s="16">
        <v>0</v>
      </c>
      <c r="J733" s="16">
        <v>0</v>
      </c>
      <c r="K733" s="16">
        <v>1</v>
      </c>
      <c r="L733" s="16">
        <v>0</v>
      </c>
      <c r="M733" s="16">
        <v>0</v>
      </c>
      <c r="N733" s="16">
        <v>0</v>
      </c>
      <c r="O733">
        <v>39</v>
      </c>
      <c r="AA733">
        <v>0</v>
      </c>
      <c r="AB733">
        <v>0</v>
      </c>
      <c r="AC733">
        <v>1</v>
      </c>
      <c r="AD733" s="20">
        <v>44834</v>
      </c>
      <c r="AE733" s="20">
        <v>43617</v>
      </c>
    </row>
    <row r="734" spans="1:31" x14ac:dyDescent="0.25">
      <c r="A734" s="12" t="s">
        <v>1666</v>
      </c>
      <c r="B734" s="11">
        <v>0</v>
      </c>
      <c r="C734" s="13">
        <v>0</v>
      </c>
      <c r="D734" s="13">
        <v>0</v>
      </c>
      <c r="E734" s="28">
        <v>0</v>
      </c>
      <c r="F734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1</v>
      </c>
      <c r="L734" s="13">
        <v>0</v>
      </c>
      <c r="M734" s="13">
        <v>0</v>
      </c>
      <c r="N734" s="13">
        <v>0</v>
      </c>
      <c r="O734">
        <v>39</v>
      </c>
      <c r="AA734">
        <v>0</v>
      </c>
      <c r="AB734">
        <v>0</v>
      </c>
      <c r="AC734">
        <v>1</v>
      </c>
      <c r="AD734" s="19">
        <v>44834</v>
      </c>
      <c r="AE734" s="19">
        <v>43617</v>
      </c>
    </row>
    <row r="735" spans="1:31" x14ac:dyDescent="0.25">
      <c r="A735" s="15" t="s">
        <v>1668</v>
      </c>
      <c r="B735" s="14">
        <v>0</v>
      </c>
      <c r="C735" s="16">
        <v>0</v>
      </c>
      <c r="D735" s="16">
        <v>0</v>
      </c>
      <c r="E735">
        <v>0</v>
      </c>
      <c r="F735">
        <v>0</v>
      </c>
      <c r="G735" s="16">
        <v>0</v>
      </c>
      <c r="H735" s="16">
        <v>0</v>
      </c>
      <c r="I735" s="16">
        <v>0</v>
      </c>
      <c r="J735" s="16">
        <v>0</v>
      </c>
      <c r="K735" s="16">
        <v>1</v>
      </c>
      <c r="L735" s="16">
        <v>0</v>
      </c>
      <c r="M735" s="16">
        <v>0</v>
      </c>
      <c r="N735" s="16">
        <v>0</v>
      </c>
      <c r="O735">
        <v>39</v>
      </c>
      <c r="AA735">
        <v>0</v>
      </c>
      <c r="AB735">
        <v>0</v>
      </c>
      <c r="AC735">
        <v>1</v>
      </c>
      <c r="AD735" s="20">
        <v>44834</v>
      </c>
      <c r="AE735" s="20">
        <v>43617</v>
      </c>
    </row>
    <row r="736" spans="1:31" x14ac:dyDescent="0.25">
      <c r="A736" s="12" t="s">
        <v>1670</v>
      </c>
      <c r="B736" s="11">
        <v>0</v>
      </c>
      <c r="C736" s="13">
        <v>0</v>
      </c>
      <c r="D736" s="13">
        <v>0</v>
      </c>
      <c r="E736" s="28">
        <v>0</v>
      </c>
      <c r="F736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1</v>
      </c>
      <c r="L736" s="13">
        <v>0</v>
      </c>
      <c r="M736" s="13">
        <v>0</v>
      </c>
      <c r="N736" s="13">
        <v>0</v>
      </c>
      <c r="O736">
        <v>39</v>
      </c>
      <c r="AA736">
        <v>0</v>
      </c>
      <c r="AB736">
        <v>0</v>
      </c>
      <c r="AC736">
        <v>1</v>
      </c>
      <c r="AD736" s="19">
        <v>44834</v>
      </c>
      <c r="AE736" s="19">
        <v>43617</v>
      </c>
    </row>
    <row r="737" spans="1:31" x14ac:dyDescent="0.25">
      <c r="A737" s="15" t="s">
        <v>1672</v>
      </c>
      <c r="B737" s="14">
        <v>1</v>
      </c>
      <c r="C737" s="16">
        <v>1</v>
      </c>
      <c r="D737" s="16">
        <v>1</v>
      </c>
      <c r="E737">
        <v>1</v>
      </c>
      <c r="F737">
        <v>0</v>
      </c>
      <c r="G737" s="16">
        <v>0</v>
      </c>
      <c r="H737" s="16">
        <v>1</v>
      </c>
      <c r="I737" s="16">
        <v>0</v>
      </c>
      <c r="J737" s="16">
        <v>0</v>
      </c>
      <c r="K737" s="16">
        <v>0</v>
      </c>
      <c r="L737" s="16">
        <v>0</v>
      </c>
      <c r="M737" s="16">
        <v>0</v>
      </c>
      <c r="N737" s="16">
        <v>0</v>
      </c>
      <c r="O737">
        <v>56</v>
      </c>
      <c r="AA737">
        <v>1</v>
      </c>
      <c r="AB737">
        <v>0</v>
      </c>
      <c r="AC737">
        <v>0</v>
      </c>
      <c r="AD737" s="20">
        <v>55153</v>
      </c>
      <c r="AE737" s="20">
        <v>43709</v>
      </c>
    </row>
    <row r="738" spans="1:31" x14ac:dyDescent="0.25">
      <c r="A738" s="12" t="s">
        <v>1674</v>
      </c>
      <c r="B738" s="11">
        <v>0</v>
      </c>
      <c r="C738" s="13">
        <v>0</v>
      </c>
      <c r="D738" s="13">
        <v>0</v>
      </c>
      <c r="E738" s="28">
        <v>1</v>
      </c>
      <c r="F738">
        <v>0</v>
      </c>
      <c r="G738" s="13">
        <v>1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>
        <v>53</v>
      </c>
      <c r="AA738">
        <v>1</v>
      </c>
      <c r="AB738">
        <v>0</v>
      </c>
      <c r="AC738">
        <v>0</v>
      </c>
      <c r="AD738" s="19">
        <v>55153</v>
      </c>
      <c r="AE738" s="19">
        <v>43800</v>
      </c>
    </row>
    <row r="739" spans="1:31" x14ac:dyDescent="0.25">
      <c r="A739" s="15" t="s">
        <v>1676</v>
      </c>
      <c r="B739" s="14">
        <v>0</v>
      </c>
      <c r="C739" s="16">
        <v>0</v>
      </c>
      <c r="D739" s="16">
        <v>0</v>
      </c>
      <c r="E739">
        <v>0</v>
      </c>
      <c r="F739">
        <v>1</v>
      </c>
      <c r="G739" s="16">
        <v>1</v>
      </c>
      <c r="H739" s="16">
        <v>0</v>
      </c>
      <c r="I739" s="16">
        <v>0</v>
      </c>
      <c r="J739" s="16">
        <v>0</v>
      </c>
      <c r="K739" s="16">
        <v>0</v>
      </c>
      <c r="L739" s="16">
        <v>0</v>
      </c>
      <c r="M739" s="16">
        <v>0</v>
      </c>
      <c r="N739" s="16">
        <v>0</v>
      </c>
      <c r="O739">
        <v>53</v>
      </c>
      <c r="AA739">
        <v>1</v>
      </c>
      <c r="AB739">
        <v>0</v>
      </c>
      <c r="AC739">
        <v>0</v>
      </c>
      <c r="AD739" s="20">
        <v>55153</v>
      </c>
      <c r="AE739" s="20">
        <v>43800</v>
      </c>
    </row>
    <row r="740" spans="1:31" x14ac:dyDescent="0.25">
      <c r="A740" s="12" t="s">
        <v>1678</v>
      </c>
      <c r="B740" s="11">
        <v>0</v>
      </c>
      <c r="C740" s="13">
        <v>0</v>
      </c>
      <c r="D740" s="13">
        <v>0</v>
      </c>
      <c r="E740" s="28">
        <v>0</v>
      </c>
      <c r="F740">
        <v>1</v>
      </c>
      <c r="G740" s="13">
        <v>1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>
        <v>32</v>
      </c>
      <c r="AA740">
        <v>1</v>
      </c>
      <c r="AB740">
        <v>0</v>
      </c>
      <c r="AC740">
        <v>0</v>
      </c>
      <c r="AD740" s="19">
        <v>55153</v>
      </c>
      <c r="AE740" s="19">
        <v>44440</v>
      </c>
    </row>
    <row r="741" spans="1:31" x14ac:dyDescent="0.25">
      <c r="A741" s="15" t="s">
        <v>1680</v>
      </c>
      <c r="B741" s="14">
        <v>0</v>
      </c>
      <c r="C741" s="16">
        <v>0</v>
      </c>
      <c r="D741" s="16">
        <v>0</v>
      </c>
      <c r="E741">
        <v>0</v>
      </c>
      <c r="F741">
        <v>1</v>
      </c>
      <c r="G741" s="16">
        <v>1</v>
      </c>
      <c r="H741" s="16">
        <v>0</v>
      </c>
      <c r="I741" s="16">
        <v>0</v>
      </c>
      <c r="J741" s="16">
        <v>0</v>
      </c>
      <c r="K741" s="16">
        <v>0</v>
      </c>
      <c r="L741" s="16">
        <v>0</v>
      </c>
      <c r="M741" s="16">
        <v>0</v>
      </c>
      <c r="N741" s="16">
        <v>0</v>
      </c>
      <c r="O741">
        <v>47</v>
      </c>
      <c r="AA741">
        <v>1</v>
      </c>
      <c r="AB741">
        <v>0</v>
      </c>
      <c r="AC741">
        <v>0</v>
      </c>
      <c r="AD741" s="20">
        <v>55153</v>
      </c>
      <c r="AE741" s="20">
        <v>43983</v>
      </c>
    </row>
    <row r="742" spans="1:31" x14ac:dyDescent="0.25">
      <c r="A742" s="12" t="s">
        <v>1682</v>
      </c>
      <c r="B742" s="11">
        <v>0</v>
      </c>
      <c r="C742" s="13">
        <v>0</v>
      </c>
      <c r="D742" s="13">
        <v>0</v>
      </c>
      <c r="E742" s="28">
        <v>0</v>
      </c>
      <c r="F742">
        <v>1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1</v>
      </c>
      <c r="N742" s="13">
        <v>0</v>
      </c>
      <c r="O742">
        <v>35</v>
      </c>
      <c r="AA742">
        <v>1</v>
      </c>
      <c r="AB742">
        <v>0</v>
      </c>
      <c r="AC742">
        <v>0</v>
      </c>
      <c r="AD742" s="19">
        <v>55153</v>
      </c>
      <c r="AE742" s="19">
        <v>44348</v>
      </c>
    </row>
    <row r="743" spans="1:31" x14ac:dyDescent="0.25">
      <c r="A743" s="15" t="s">
        <v>1684</v>
      </c>
      <c r="B743" s="14">
        <v>0</v>
      </c>
      <c r="C743" s="16">
        <v>0</v>
      </c>
      <c r="D743" s="16">
        <v>0</v>
      </c>
      <c r="E743">
        <v>1</v>
      </c>
      <c r="F743">
        <v>0</v>
      </c>
      <c r="G743" s="16">
        <v>0</v>
      </c>
      <c r="H743" s="16">
        <v>0</v>
      </c>
      <c r="I743" s="16">
        <v>0</v>
      </c>
      <c r="J743" s="16">
        <v>0</v>
      </c>
      <c r="K743" s="16">
        <v>1</v>
      </c>
      <c r="L743" s="16">
        <v>0</v>
      </c>
      <c r="M743" s="16">
        <v>0</v>
      </c>
      <c r="N743" s="16">
        <v>0</v>
      </c>
      <c r="O743">
        <v>56</v>
      </c>
      <c r="AA743">
        <v>1</v>
      </c>
      <c r="AB743">
        <v>0</v>
      </c>
      <c r="AC743">
        <v>0</v>
      </c>
      <c r="AD743" s="20">
        <v>55153</v>
      </c>
      <c r="AE743" s="20">
        <v>43709</v>
      </c>
    </row>
    <row r="744" spans="1:31" x14ac:dyDescent="0.25">
      <c r="A744" s="12" t="s">
        <v>1686</v>
      </c>
      <c r="B744" s="11">
        <v>0</v>
      </c>
      <c r="C744" s="13">
        <v>0</v>
      </c>
      <c r="D744" s="13">
        <v>0</v>
      </c>
      <c r="E744" s="28">
        <v>0</v>
      </c>
      <c r="F744">
        <v>1</v>
      </c>
      <c r="G744" s="13">
        <v>0</v>
      </c>
      <c r="H744" s="13">
        <v>0</v>
      </c>
      <c r="I744" s="13">
        <v>0</v>
      </c>
      <c r="J744" s="13">
        <v>0</v>
      </c>
      <c r="K744" s="13">
        <v>1</v>
      </c>
      <c r="L744" s="13">
        <v>0</v>
      </c>
      <c r="M744" s="13">
        <v>0</v>
      </c>
      <c r="N744" s="13">
        <v>0</v>
      </c>
      <c r="O744">
        <v>53</v>
      </c>
      <c r="AA744">
        <v>1</v>
      </c>
      <c r="AB744">
        <v>0</v>
      </c>
      <c r="AC744">
        <v>0</v>
      </c>
      <c r="AD744" s="19">
        <v>55153</v>
      </c>
      <c r="AE744" s="19">
        <v>43800</v>
      </c>
    </row>
    <row r="745" spans="1:31" x14ac:dyDescent="0.25">
      <c r="A745" s="15" t="s">
        <v>1688</v>
      </c>
      <c r="B745" s="14">
        <v>0</v>
      </c>
      <c r="C745" s="16">
        <v>0</v>
      </c>
      <c r="D745" s="16">
        <v>0</v>
      </c>
      <c r="E745">
        <v>1</v>
      </c>
      <c r="F745">
        <v>0</v>
      </c>
      <c r="G745" s="16">
        <v>0</v>
      </c>
      <c r="H745" s="16">
        <v>0</v>
      </c>
      <c r="I745" s="16">
        <v>1</v>
      </c>
      <c r="J745" s="16">
        <v>0</v>
      </c>
      <c r="K745" s="16">
        <v>0</v>
      </c>
      <c r="L745" s="16">
        <v>0</v>
      </c>
      <c r="M745" s="16">
        <v>0</v>
      </c>
      <c r="N745" s="16">
        <v>0</v>
      </c>
      <c r="O745">
        <v>56</v>
      </c>
      <c r="AA745">
        <v>1</v>
      </c>
      <c r="AB745">
        <v>0</v>
      </c>
      <c r="AC745">
        <v>0</v>
      </c>
      <c r="AD745" s="20">
        <v>55153</v>
      </c>
      <c r="AE745" s="20">
        <v>43709</v>
      </c>
    </row>
    <row r="746" spans="1:31" x14ac:dyDescent="0.25">
      <c r="A746" s="12" t="s">
        <v>1690</v>
      </c>
      <c r="B746" s="11">
        <v>0</v>
      </c>
      <c r="C746" s="13">
        <v>0</v>
      </c>
      <c r="D746" s="13">
        <v>0</v>
      </c>
      <c r="E746" s="28">
        <v>0</v>
      </c>
      <c r="F746">
        <v>1</v>
      </c>
      <c r="G746" s="13">
        <v>0</v>
      </c>
      <c r="H746" s="13">
        <v>0</v>
      </c>
      <c r="I746" s="13">
        <v>0</v>
      </c>
      <c r="J746" s="13">
        <v>0</v>
      </c>
      <c r="K746" s="13">
        <v>1</v>
      </c>
      <c r="L746" s="13">
        <v>0</v>
      </c>
      <c r="M746" s="13">
        <v>0</v>
      </c>
      <c r="N746" s="13">
        <v>0</v>
      </c>
      <c r="O746">
        <v>53</v>
      </c>
      <c r="AA746">
        <v>1</v>
      </c>
      <c r="AB746">
        <v>0</v>
      </c>
      <c r="AC746">
        <v>0</v>
      </c>
      <c r="AD746" s="19">
        <v>55153</v>
      </c>
      <c r="AE746" s="19">
        <v>43800</v>
      </c>
    </row>
    <row r="747" spans="1:31" x14ac:dyDescent="0.25">
      <c r="A747" s="15" t="s">
        <v>1692</v>
      </c>
      <c r="B747" s="14">
        <v>1</v>
      </c>
      <c r="C747" s="16">
        <v>1</v>
      </c>
      <c r="D747" s="16">
        <v>1</v>
      </c>
      <c r="E747">
        <v>1</v>
      </c>
      <c r="F747">
        <v>0</v>
      </c>
      <c r="G747" s="16">
        <v>0</v>
      </c>
      <c r="H747" s="16">
        <v>0</v>
      </c>
      <c r="I747" s="16">
        <v>0</v>
      </c>
      <c r="J747" s="16">
        <v>0</v>
      </c>
      <c r="K747" s="16">
        <v>0</v>
      </c>
      <c r="L747" s="16">
        <v>0</v>
      </c>
      <c r="M747" s="16">
        <v>0</v>
      </c>
      <c r="N747" s="16">
        <v>1</v>
      </c>
      <c r="O747">
        <v>54</v>
      </c>
      <c r="AA747">
        <v>1</v>
      </c>
      <c r="AB747">
        <v>0</v>
      </c>
      <c r="AC747">
        <v>0</v>
      </c>
      <c r="AD747" s="20">
        <v>55153</v>
      </c>
      <c r="AE747" s="20">
        <v>43770</v>
      </c>
    </row>
    <row r="748" spans="1:31" x14ac:dyDescent="0.25">
      <c r="A748" s="12" t="s">
        <v>1694</v>
      </c>
      <c r="B748" s="11">
        <v>1</v>
      </c>
      <c r="C748" s="13">
        <v>1</v>
      </c>
      <c r="D748" s="13">
        <v>1</v>
      </c>
      <c r="E748" s="28">
        <v>1</v>
      </c>
      <c r="F748">
        <v>0</v>
      </c>
      <c r="G748" s="13">
        <v>0</v>
      </c>
      <c r="H748" s="13">
        <v>1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>
        <v>56</v>
      </c>
      <c r="AA748">
        <v>1</v>
      </c>
      <c r="AB748">
        <v>0</v>
      </c>
      <c r="AC748">
        <v>0</v>
      </c>
      <c r="AD748" s="19">
        <v>55153</v>
      </c>
      <c r="AE748" s="19">
        <v>43709</v>
      </c>
    </row>
    <row r="749" spans="1:31" x14ac:dyDescent="0.25">
      <c r="A749" s="15" t="s">
        <v>1696</v>
      </c>
      <c r="B749" s="14">
        <v>1</v>
      </c>
      <c r="C749" s="16">
        <v>1</v>
      </c>
      <c r="D749" s="16">
        <v>1</v>
      </c>
      <c r="E749">
        <v>1</v>
      </c>
      <c r="F749">
        <v>0</v>
      </c>
      <c r="G749" s="16">
        <v>0</v>
      </c>
      <c r="H749" s="16">
        <v>0</v>
      </c>
      <c r="I749" s="16">
        <v>0</v>
      </c>
      <c r="J749" s="16">
        <v>0</v>
      </c>
      <c r="K749" s="16">
        <v>0</v>
      </c>
      <c r="L749" s="16">
        <v>0</v>
      </c>
      <c r="M749" s="16">
        <v>0</v>
      </c>
      <c r="N749" s="16">
        <v>1</v>
      </c>
      <c r="O749">
        <v>54</v>
      </c>
      <c r="AA749">
        <v>1</v>
      </c>
      <c r="AB749">
        <v>0</v>
      </c>
      <c r="AC749">
        <v>0</v>
      </c>
      <c r="AD749" s="20">
        <v>55153</v>
      </c>
      <c r="AE749" s="20">
        <v>43770</v>
      </c>
    </row>
    <row r="750" spans="1:31" x14ac:dyDescent="0.25">
      <c r="A750" s="12" t="s">
        <v>1698</v>
      </c>
      <c r="B750" s="11">
        <v>1</v>
      </c>
      <c r="C750" s="13">
        <v>1</v>
      </c>
      <c r="D750" s="13">
        <v>1</v>
      </c>
      <c r="E750" s="28">
        <v>1</v>
      </c>
      <c r="F750">
        <v>0</v>
      </c>
      <c r="G750" s="13">
        <v>0</v>
      </c>
      <c r="H750" s="13">
        <v>1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>
        <v>54</v>
      </c>
      <c r="AA750">
        <v>1</v>
      </c>
      <c r="AB750">
        <v>0</v>
      </c>
      <c r="AC750">
        <v>0</v>
      </c>
      <c r="AD750" s="19">
        <v>55153</v>
      </c>
      <c r="AE750" s="19">
        <v>43770</v>
      </c>
    </row>
    <row r="751" spans="1:31" x14ac:dyDescent="0.25">
      <c r="A751" s="15" t="s">
        <v>1700</v>
      </c>
      <c r="B751" s="14">
        <v>1</v>
      </c>
      <c r="C751" s="16">
        <v>1</v>
      </c>
      <c r="D751" s="16">
        <v>1</v>
      </c>
      <c r="E751">
        <v>1</v>
      </c>
      <c r="F751">
        <v>0</v>
      </c>
      <c r="G751" s="16">
        <v>0</v>
      </c>
      <c r="H751" s="16">
        <v>0</v>
      </c>
      <c r="I751" s="16">
        <v>0</v>
      </c>
      <c r="J751" s="16">
        <v>0</v>
      </c>
      <c r="K751" s="16">
        <v>0</v>
      </c>
      <c r="L751" s="16">
        <v>0</v>
      </c>
      <c r="M751" s="16">
        <v>0</v>
      </c>
      <c r="N751" s="16">
        <v>1</v>
      </c>
      <c r="O751">
        <v>54</v>
      </c>
      <c r="AA751">
        <v>1</v>
      </c>
      <c r="AB751">
        <v>0</v>
      </c>
      <c r="AC751">
        <v>0</v>
      </c>
      <c r="AD751" s="20">
        <v>55153</v>
      </c>
      <c r="AE751" s="20">
        <v>43770</v>
      </c>
    </row>
    <row r="752" spans="1:31" x14ac:dyDescent="0.25">
      <c r="A752" s="12" t="s">
        <v>1702</v>
      </c>
      <c r="B752" s="11">
        <v>1</v>
      </c>
      <c r="C752" s="13">
        <v>1</v>
      </c>
      <c r="D752" s="13">
        <v>1</v>
      </c>
      <c r="E752" s="28">
        <v>1</v>
      </c>
      <c r="F752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1</v>
      </c>
      <c r="O752">
        <v>54</v>
      </c>
      <c r="AA752">
        <v>1</v>
      </c>
      <c r="AB752">
        <v>0</v>
      </c>
      <c r="AC752">
        <v>0</v>
      </c>
      <c r="AD752" s="19">
        <v>55153</v>
      </c>
      <c r="AE752" s="19">
        <v>43770</v>
      </c>
    </row>
    <row r="753" spans="1:31" x14ac:dyDescent="0.25">
      <c r="A753" s="15" t="s">
        <v>1704</v>
      </c>
      <c r="B753" s="14">
        <v>1</v>
      </c>
      <c r="C753" s="16">
        <v>1</v>
      </c>
      <c r="D753" s="16">
        <v>1</v>
      </c>
      <c r="E753">
        <v>1</v>
      </c>
      <c r="F753">
        <v>0</v>
      </c>
      <c r="G753" s="16">
        <v>0</v>
      </c>
      <c r="H753" s="16">
        <v>1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>
        <v>54</v>
      </c>
      <c r="AA753">
        <v>1</v>
      </c>
      <c r="AB753">
        <v>0</v>
      </c>
      <c r="AC753">
        <v>0</v>
      </c>
      <c r="AD753" s="20">
        <v>55153</v>
      </c>
      <c r="AE753" s="20">
        <v>43770</v>
      </c>
    </row>
    <row r="754" spans="1:31" x14ac:dyDescent="0.25">
      <c r="A754" s="12" t="s">
        <v>1706</v>
      </c>
      <c r="B754" s="11">
        <v>1</v>
      </c>
      <c r="C754" s="13">
        <v>1</v>
      </c>
      <c r="D754" s="13">
        <v>1</v>
      </c>
      <c r="E754" s="28">
        <v>1</v>
      </c>
      <c r="F754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1</v>
      </c>
      <c r="O754">
        <v>54</v>
      </c>
      <c r="AA754">
        <v>1</v>
      </c>
      <c r="AB754">
        <v>0</v>
      </c>
      <c r="AC754">
        <v>0</v>
      </c>
      <c r="AD754" s="19">
        <v>55153</v>
      </c>
      <c r="AE754" s="19">
        <v>43770</v>
      </c>
    </row>
    <row r="755" spans="1:31" x14ac:dyDescent="0.25">
      <c r="A755" s="15" t="s">
        <v>1708</v>
      </c>
      <c r="B755" s="14">
        <v>0</v>
      </c>
      <c r="C755" s="16">
        <v>0</v>
      </c>
      <c r="D755" s="16">
        <v>0</v>
      </c>
      <c r="E755">
        <v>1</v>
      </c>
      <c r="F755">
        <v>0</v>
      </c>
      <c r="G755" s="16">
        <v>1</v>
      </c>
      <c r="H755" s="16">
        <v>0</v>
      </c>
      <c r="I755" s="16">
        <v>0</v>
      </c>
      <c r="J755" s="16">
        <v>0</v>
      </c>
      <c r="K755" s="16">
        <v>0</v>
      </c>
      <c r="L755" s="16">
        <v>0</v>
      </c>
      <c r="M755" s="16">
        <v>0</v>
      </c>
      <c r="N755" s="16">
        <v>0</v>
      </c>
      <c r="O755">
        <v>50</v>
      </c>
      <c r="AA755">
        <v>1</v>
      </c>
      <c r="AB755">
        <v>0</v>
      </c>
      <c r="AC755">
        <v>0</v>
      </c>
      <c r="AD755" s="20">
        <v>55153</v>
      </c>
      <c r="AE755" s="20">
        <v>43891</v>
      </c>
    </row>
    <row r="756" spans="1:31" x14ac:dyDescent="0.25">
      <c r="A756" s="12" t="s">
        <v>1710</v>
      </c>
      <c r="B756" s="11">
        <v>0</v>
      </c>
      <c r="C756" s="13">
        <v>0</v>
      </c>
      <c r="D756" s="13">
        <v>0</v>
      </c>
      <c r="E756" s="28">
        <v>1</v>
      </c>
      <c r="F756">
        <v>0</v>
      </c>
      <c r="G756" s="13">
        <v>1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>
        <v>56</v>
      </c>
      <c r="AA756">
        <v>1</v>
      </c>
      <c r="AB756">
        <v>0</v>
      </c>
      <c r="AC756">
        <v>0</v>
      </c>
      <c r="AD756" s="19">
        <v>55153</v>
      </c>
      <c r="AE756" s="19">
        <v>43709</v>
      </c>
    </row>
    <row r="757" spans="1:31" x14ac:dyDescent="0.25">
      <c r="A757" s="15" t="s">
        <v>1712</v>
      </c>
      <c r="B757" s="14">
        <v>0</v>
      </c>
      <c r="C757" s="16">
        <v>0</v>
      </c>
      <c r="D757" s="16">
        <v>0</v>
      </c>
      <c r="E757">
        <v>1</v>
      </c>
      <c r="F757">
        <v>0</v>
      </c>
      <c r="G757" s="16">
        <v>1</v>
      </c>
      <c r="H757" s="16">
        <v>0</v>
      </c>
      <c r="I757" s="16">
        <v>0</v>
      </c>
      <c r="J757" s="16">
        <v>0</v>
      </c>
      <c r="K757" s="16">
        <v>0</v>
      </c>
      <c r="L757" s="16">
        <v>0</v>
      </c>
      <c r="M757" s="16">
        <v>0</v>
      </c>
      <c r="N757" s="16">
        <v>0</v>
      </c>
      <c r="O757">
        <v>56</v>
      </c>
      <c r="AA757">
        <v>1</v>
      </c>
      <c r="AB757">
        <v>0</v>
      </c>
      <c r="AC757">
        <v>0</v>
      </c>
      <c r="AD757" s="20">
        <v>55153</v>
      </c>
      <c r="AE757" s="20">
        <v>43709</v>
      </c>
    </row>
    <row r="758" spans="1:31" x14ac:dyDescent="0.25">
      <c r="A758" s="12" t="s">
        <v>1714</v>
      </c>
      <c r="B758" s="11">
        <v>0</v>
      </c>
      <c r="C758" s="13">
        <v>0</v>
      </c>
      <c r="D758" s="13">
        <v>0</v>
      </c>
      <c r="E758" s="28">
        <v>1</v>
      </c>
      <c r="F758">
        <v>0</v>
      </c>
      <c r="G758" s="13">
        <v>1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>
        <v>56</v>
      </c>
      <c r="AA758">
        <v>1</v>
      </c>
      <c r="AB758">
        <v>0</v>
      </c>
      <c r="AC758">
        <v>0</v>
      </c>
      <c r="AD758" s="19">
        <v>55153</v>
      </c>
      <c r="AE758" s="19">
        <v>43709</v>
      </c>
    </row>
    <row r="759" spans="1:31" x14ac:dyDescent="0.25">
      <c r="A759" s="15" t="s">
        <v>1716</v>
      </c>
      <c r="B759" s="14">
        <v>1</v>
      </c>
      <c r="C759" s="16">
        <v>0</v>
      </c>
      <c r="D759" s="16">
        <v>1</v>
      </c>
      <c r="E759">
        <v>1</v>
      </c>
      <c r="F759">
        <v>0</v>
      </c>
      <c r="G759" s="16">
        <v>0</v>
      </c>
      <c r="H759" s="16">
        <v>1</v>
      </c>
      <c r="I759" s="16">
        <v>0</v>
      </c>
      <c r="J759" s="16">
        <v>0</v>
      </c>
      <c r="K759" s="16">
        <v>0</v>
      </c>
      <c r="L759" s="16">
        <v>0</v>
      </c>
      <c r="M759" s="16">
        <v>0</v>
      </c>
      <c r="N759" s="16">
        <v>0</v>
      </c>
      <c r="O759">
        <v>52</v>
      </c>
      <c r="AA759">
        <v>1</v>
      </c>
      <c r="AB759">
        <v>0</v>
      </c>
      <c r="AC759">
        <v>0</v>
      </c>
      <c r="AD759" s="20">
        <v>55153</v>
      </c>
      <c r="AE759" s="20">
        <v>43831</v>
      </c>
    </row>
    <row r="760" spans="1:31" x14ac:dyDescent="0.25">
      <c r="A760" s="12" t="s">
        <v>1718</v>
      </c>
      <c r="B760" s="11">
        <v>1</v>
      </c>
      <c r="C760" s="13">
        <v>1</v>
      </c>
      <c r="D760" s="13">
        <v>1</v>
      </c>
      <c r="E760" s="28">
        <v>1</v>
      </c>
      <c r="F760">
        <v>0</v>
      </c>
      <c r="G760" s="13">
        <v>0</v>
      </c>
      <c r="H760" s="13">
        <v>0</v>
      </c>
      <c r="I760" s="13">
        <v>0</v>
      </c>
      <c r="J760" s="13">
        <v>1</v>
      </c>
      <c r="K760" s="13">
        <v>0</v>
      </c>
      <c r="L760" s="13">
        <v>0</v>
      </c>
      <c r="M760" s="13">
        <v>0</v>
      </c>
      <c r="N760" s="13">
        <v>0</v>
      </c>
      <c r="O760">
        <v>55</v>
      </c>
      <c r="AA760">
        <v>1</v>
      </c>
      <c r="AB760">
        <v>0</v>
      </c>
      <c r="AC760">
        <v>0</v>
      </c>
      <c r="AD760" s="19">
        <v>55153</v>
      </c>
      <c r="AE760" s="19">
        <v>43739</v>
      </c>
    </row>
    <row r="761" spans="1:31" x14ac:dyDescent="0.25">
      <c r="A761" s="15" t="s">
        <v>1720</v>
      </c>
      <c r="B761" s="14">
        <v>0</v>
      </c>
      <c r="C761" s="16">
        <v>0</v>
      </c>
      <c r="D761" s="16">
        <v>0</v>
      </c>
      <c r="E761">
        <v>0</v>
      </c>
      <c r="F761">
        <v>1</v>
      </c>
      <c r="G761" s="16">
        <v>1</v>
      </c>
      <c r="H761" s="16">
        <v>0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  <c r="O761">
        <v>47</v>
      </c>
      <c r="AA761">
        <v>1</v>
      </c>
      <c r="AB761">
        <v>0</v>
      </c>
      <c r="AC761">
        <v>0</v>
      </c>
      <c r="AD761" s="20">
        <v>55153</v>
      </c>
      <c r="AE761" s="20">
        <v>43983</v>
      </c>
    </row>
    <row r="762" spans="1:31" x14ac:dyDescent="0.25">
      <c r="A762" s="12" t="s">
        <v>1722</v>
      </c>
      <c r="B762" s="11">
        <v>0</v>
      </c>
      <c r="C762" s="13">
        <v>0</v>
      </c>
      <c r="D762" s="13">
        <v>0</v>
      </c>
      <c r="E762" s="28">
        <v>1</v>
      </c>
      <c r="F762">
        <v>0</v>
      </c>
      <c r="G762" s="13">
        <v>1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>
        <v>47</v>
      </c>
      <c r="AA762">
        <v>1</v>
      </c>
      <c r="AB762">
        <v>0</v>
      </c>
      <c r="AC762">
        <v>0</v>
      </c>
      <c r="AD762" s="19">
        <v>55153</v>
      </c>
      <c r="AE762" s="19">
        <v>43983</v>
      </c>
    </row>
    <row r="763" spans="1:31" x14ac:dyDescent="0.25">
      <c r="A763" s="15" t="s">
        <v>1724</v>
      </c>
      <c r="B763" s="14">
        <v>0</v>
      </c>
      <c r="C763" s="16">
        <v>0</v>
      </c>
      <c r="D763" s="16">
        <v>0</v>
      </c>
      <c r="E763">
        <v>0</v>
      </c>
      <c r="F763">
        <v>1</v>
      </c>
      <c r="G763" s="16">
        <v>0</v>
      </c>
      <c r="H763" s="16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1</v>
      </c>
      <c r="N763" s="16">
        <v>0</v>
      </c>
      <c r="O763">
        <v>35</v>
      </c>
      <c r="AA763">
        <v>1</v>
      </c>
      <c r="AB763">
        <v>0</v>
      </c>
      <c r="AC763">
        <v>0</v>
      </c>
      <c r="AD763" s="20">
        <v>55153</v>
      </c>
      <c r="AE763" s="20">
        <v>44348</v>
      </c>
    </row>
    <row r="764" spans="1:31" x14ac:dyDescent="0.25">
      <c r="A764" s="12" t="s">
        <v>1726</v>
      </c>
      <c r="B764" s="11">
        <v>1</v>
      </c>
      <c r="C764" s="13">
        <v>0</v>
      </c>
      <c r="D764" s="13">
        <v>1</v>
      </c>
      <c r="E764" s="28">
        <v>1</v>
      </c>
      <c r="F764">
        <v>0</v>
      </c>
      <c r="G764" s="13">
        <v>0</v>
      </c>
      <c r="H764" s="13">
        <v>0</v>
      </c>
      <c r="I764" s="13">
        <v>0</v>
      </c>
      <c r="J764" s="13">
        <v>1</v>
      </c>
      <c r="K764" s="13">
        <v>0</v>
      </c>
      <c r="L764" s="13">
        <v>0</v>
      </c>
      <c r="M764" s="13">
        <v>0</v>
      </c>
      <c r="N764" s="13">
        <v>0</v>
      </c>
      <c r="O764">
        <v>54</v>
      </c>
      <c r="AA764">
        <v>1</v>
      </c>
      <c r="AB764">
        <v>0</v>
      </c>
      <c r="AC764">
        <v>0</v>
      </c>
      <c r="AD764" s="19">
        <v>55153</v>
      </c>
      <c r="AE764" s="19">
        <v>43770</v>
      </c>
    </row>
    <row r="765" spans="1:31" x14ac:dyDescent="0.25">
      <c r="A765" s="15" t="s">
        <v>1728</v>
      </c>
      <c r="B765" s="14">
        <v>1</v>
      </c>
      <c r="C765" s="16">
        <v>0</v>
      </c>
      <c r="D765" s="16">
        <v>1</v>
      </c>
      <c r="E765">
        <v>1</v>
      </c>
      <c r="F765">
        <v>0</v>
      </c>
      <c r="G765" s="16">
        <v>0</v>
      </c>
      <c r="H765" s="16">
        <v>0</v>
      </c>
      <c r="I765" s="16">
        <v>0</v>
      </c>
      <c r="J765" s="16">
        <v>0</v>
      </c>
      <c r="K765" s="16">
        <v>1</v>
      </c>
      <c r="L765" s="16">
        <v>0</v>
      </c>
      <c r="M765" s="16">
        <v>0</v>
      </c>
      <c r="N765" s="16">
        <v>0</v>
      </c>
      <c r="O765">
        <v>52</v>
      </c>
      <c r="AA765">
        <v>1</v>
      </c>
      <c r="AB765">
        <v>0</v>
      </c>
      <c r="AC765">
        <v>0</v>
      </c>
      <c r="AD765" s="20">
        <v>55153</v>
      </c>
      <c r="AE765" s="20">
        <v>43831</v>
      </c>
    </row>
    <row r="766" spans="1:31" x14ac:dyDescent="0.25">
      <c r="A766" s="12" t="s">
        <v>1730</v>
      </c>
      <c r="B766" s="11">
        <v>0</v>
      </c>
      <c r="C766" s="13">
        <v>0</v>
      </c>
      <c r="D766" s="13">
        <v>0</v>
      </c>
      <c r="E766" s="28">
        <v>0</v>
      </c>
      <c r="F766">
        <v>0</v>
      </c>
      <c r="G766" s="13">
        <v>0</v>
      </c>
      <c r="H766" s="13">
        <v>0</v>
      </c>
      <c r="I766" s="13">
        <v>1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>
        <v>24</v>
      </c>
      <c r="AA766">
        <v>0</v>
      </c>
      <c r="AB766">
        <v>0</v>
      </c>
      <c r="AC766">
        <v>1</v>
      </c>
      <c r="AD766" s="19">
        <v>44561</v>
      </c>
      <c r="AE766" s="19">
        <v>43800</v>
      </c>
    </row>
    <row r="767" spans="1:31" x14ac:dyDescent="0.25">
      <c r="A767" s="15" t="s">
        <v>1732</v>
      </c>
      <c r="B767" s="14">
        <v>0</v>
      </c>
      <c r="C767" s="16">
        <v>0</v>
      </c>
      <c r="D767" s="16">
        <v>0</v>
      </c>
      <c r="E767">
        <v>0</v>
      </c>
      <c r="F767">
        <v>1</v>
      </c>
      <c r="G767" s="16">
        <v>0</v>
      </c>
      <c r="H767" s="16">
        <v>0</v>
      </c>
      <c r="I767" s="16">
        <v>0</v>
      </c>
      <c r="J767" s="16">
        <v>0</v>
      </c>
      <c r="K767" s="16">
        <v>0</v>
      </c>
      <c r="L767" s="16">
        <v>0</v>
      </c>
      <c r="M767" s="16">
        <v>1</v>
      </c>
      <c r="N767" s="16">
        <v>0</v>
      </c>
      <c r="O767">
        <v>47</v>
      </c>
      <c r="AA767">
        <v>1</v>
      </c>
      <c r="AB767">
        <v>0</v>
      </c>
      <c r="AC767">
        <v>0</v>
      </c>
      <c r="AD767" s="20">
        <v>55153</v>
      </c>
      <c r="AE767" s="20">
        <v>43983</v>
      </c>
    </row>
    <row r="768" spans="1:31" x14ac:dyDescent="0.25">
      <c r="A768" s="12" t="s">
        <v>1734</v>
      </c>
      <c r="B768" s="11">
        <v>0</v>
      </c>
      <c r="C768" s="13">
        <v>0</v>
      </c>
      <c r="D768" s="13">
        <v>0</v>
      </c>
      <c r="E768" s="28">
        <v>0</v>
      </c>
      <c r="F768">
        <v>1</v>
      </c>
      <c r="G768" s="13">
        <v>0</v>
      </c>
      <c r="H768" s="13">
        <v>0</v>
      </c>
      <c r="I768" s="13">
        <v>1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>
        <v>44</v>
      </c>
      <c r="AA768">
        <v>1</v>
      </c>
      <c r="AB768">
        <v>0</v>
      </c>
      <c r="AC768">
        <v>0</v>
      </c>
      <c r="AD768" s="19">
        <v>55153</v>
      </c>
      <c r="AE768" s="19">
        <v>44075</v>
      </c>
    </row>
    <row r="769" spans="1:31" x14ac:dyDescent="0.25">
      <c r="A769" s="15" t="s">
        <v>1736</v>
      </c>
      <c r="B769" s="14">
        <v>0</v>
      </c>
      <c r="C769" s="16">
        <v>0</v>
      </c>
      <c r="D769" s="16">
        <v>0</v>
      </c>
      <c r="E769">
        <v>0</v>
      </c>
      <c r="F769">
        <v>1</v>
      </c>
      <c r="G769" s="16">
        <v>0</v>
      </c>
      <c r="H769" s="16">
        <v>0</v>
      </c>
      <c r="I769" s="16">
        <v>0</v>
      </c>
      <c r="J769" s="16">
        <v>0</v>
      </c>
      <c r="K769" s="16">
        <v>1</v>
      </c>
      <c r="L769" s="16">
        <v>0</v>
      </c>
      <c r="M769" s="16">
        <v>0</v>
      </c>
      <c r="N769" s="16">
        <v>0</v>
      </c>
      <c r="O769">
        <v>53</v>
      </c>
      <c r="AA769">
        <v>1</v>
      </c>
      <c r="AB769">
        <v>0</v>
      </c>
      <c r="AC769">
        <v>0</v>
      </c>
      <c r="AD769" s="20">
        <v>55153</v>
      </c>
      <c r="AE769" s="20">
        <v>43800</v>
      </c>
    </row>
    <row r="770" spans="1:31" x14ac:dyDescent="0.25">
      <c r="A770" s="12" t="s">
        <v>1738</v>
      </c>
      <c r="B770" s="11">
        <v>0</v>
      </c>
      <c r="C770" s="13">
        <v>0</v>
      </c>
      <c r="D770" s="13">
        <v>0</v>
      </c>
      <c r="E770" s="28">
        <v>1</v>
      </c>
      <c r="F770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1</v>
      </c>
      <c r="L770" s="13">
        <v>0</v>
      </c>
      <c r="M770" s="13">
        <v>0</v>
      </c>
      <c r="N770" s="13">
        <v>0</v>
      </c>
      <c r="O770">
        <v>53</v>
      </c>
      <c r="AA770">
        <v>1</v>
      </c>
      <c r="AB770">
        <v>0</v>
      </c>
      <c r="AC770">
        <v>0</v>
      </c>
      <c r="AD770" s="19">
        <v>55153</v>
      </c>
      <c r="AE770" s="19">
        <v>43800</v>
      </c>
    </row>
    <row r="771" spans="1:31" x14ac:dyDescent="0.25">
      <c r="A771" s="15" t="s">
        <v>1740</v>
      </c>
      <c r="B771" s="14">
        <v>1</v>
      </c>
      <c r="C771" s="16">
        <v>0</v>
      </c>
      <c r="D771" s="16">
        <v>0</v>
      </c>
      <c r="E771">
        <v>0</v>
      </c>
      <c r="F771">
        <v>1</v>
      </c>
      <c r="G771" s="16">
        <v>0</v>
      </c>
      <c r="H771" s="16">
        <v>1</v>
      </c>
      <c r="I771" s="16">
        <v>0</v>
      </c>
      <c r="J771" s="16">
        <v>0</v>
      </c>
      <c r="K771" s="16">
        <v>0</v>
      </c>
      <c r="L771" s="16">
        <v>0</v>
      </c>
      <c r="M771" s="16">
        <v>0</v>
      </c>
      <c r="N771" s="16">
        <v>0</v>
      </c>
      <c r="O771">
        <v>43</v>
      </c>
      <c r="AA771">
        <v>1</v>
      </c>
      <c r="AB771">
        <v>0</v>
      </c>
      <c r="AC771">
        <v>0</v>
      </c>
      <c r="AD771" s="20">
        <v>55153</v>
      </c>
      <c r="AE771" s="20">
        <v>44105</v>
      </c>
    </row>
    <row r="772" spans="1:31" x14ac:dyDescent="0.25">
      <c r="A772" s="12" t="s">
        <v>1742</v>
      </c>
      <c r="B772" s="11">
        <v>1</v>
      </c>
      <c r="C772" s="13">
        <v>0</v>
      </c>
      <c r="D772" s="13">
        <v>0</v>
      </c>
      <c r="E772" s="28">
        <v>0</v>
      </c>
      <c r="F772">
        <v>1</v>
      </c>
      <c r="G772" s="13">
        <v>0</v>
      </c>
      <c r="H772" s="13">
        <v>1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>
        <v>47</v>
      </c>
      <c r="AA772">
        <v>1</v>
      </c>
      <c r="AB772">
        <v>0</v>
      </c>
      <c r="AC772">
        <v>0</v>
      </c>
      <c r="AD772" s="19">
        <v>55153</v>
      </c>
      <c r="AE772" s="19">
        <v>43983</v>
      </c>
    </row>
    <row r="773" spans="1:31" x14ac:dyDescent="0.25">
      <c r="A773" s="15" t="s">
        <v>1744</v>
      </c>
      <c r="B773" s="14">
        <v>1</v>
      </c>
      <c r="C773" s="16">
        <v>0</v>
      </c>
      <c r="D773" s="16">
        <v>0</v>
      </c>
      <c r="E773">
        <v>0</v>
      </c>
      <c r="F773">
        <v>1</v>
      </c>
      <c r="G773" s="16">
        <v>0</v>
      </c>
      <c r="H773" s="16">
        <v>1</v>
      </c>
      <c r="I773" s="16">
        <v>0</v>
      </c>
      <c r="J773" s="16">
        <v>0</v>
      </c>
      <c r="K773" s="16">
        <v>0</v>
      </c>
      <c r="L773" s="16">
        <v>0</v>
      </c>
      <c r="M773" s="16">
        <v>0</v>
      </c>
      <c r="N773" s="16">
        <v>0</v>
      </c>
      <c r="O773">
        <v>41</v>
      </c>
      <c r="AA773">
        <v>1</v>
      </c>
      <c r="AB773">
        <v>0</v>
      </c>
      <c r="AC773">
        <v>0</v>
      </c>
      <c r="AD773" s="20">
        <v>55153</v>
      </c>
      <c r="AE773" s="20">
        <v>44166</v>
      </c>
    </row>
    <row r="774" spans="1:31" x14ac:dyDescent="0.25">
      <c r="A774" s="12" t="s">
        <v>1746</v>
      </c>
      <c r="B774" s="11">
        <v>0</v>
      </c>
      <c r="C774" s="13">
        <v>0</v>
      </c>
      <c r="D774" s="13">
        <v>0</v>
      </c>
      <c r="E774" s="28">
        <v>0</v>
      </c>
      <c r="F774">
        <v>1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1</v>
      </c>
      <c r="N774" s="13">
        <v>0</v>
      </c>
      <c r="O774">
        <v>41</v>
      </c>
      <c r="AA774">
        <v>1</v>
      </c>
      <c r="AB774">
        <v>0</v>
      </c>
      <c r="AC774">
        <v>0</v>
      </c>
      <c r="AD774" s="19">
        <v>55153</v>
      </c>
      <c r="AE774" s="19">
        <v>44166</v>
      </c>
    </row>
    <row r="775" spans="1:31" x14ac:dyDescent="0.25">
      <c r="A775" s="15" t="s">
        <v>1748</v>
      </c>
      <c r="B775" s="14">
        <v>1</v>
      </c>
      <c r="C775" s="16">
        <v>0</v>
      </c>
      <c r="D775" s="16">
        <v>1</v>
      </c>
      <c r="E775">
        <v>1</v>
      </c>
      <c r="F775">
        <v>0</v>
      </c>
      <c r="G775" s="16">
        <v>0</v>
      </c>
      <c r="H775" s="16">
        <v>1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0</v>
      </c>
      <c r="O775">
        <v>43</v>
      </c>
      <c r="AA775">
        <v>1</v>
      </c>
      <c r="AB775">
        <v>0</v>
      </c>
      <c r="AC775">
        <v>0</v>
      </c>
      <c r="AD775" s="20">
        <v>55153</v>
      </c>
      <c r="AE775" s="20">
        <v>44105</v>
      </c>
    </row>
    <row r="776" spans="1:31" x14ac:dyDescent="0.25">
      <c r="A776" s="12" t="s">
        <v>1750</v>
      </c>
      <c r="B776" s="11">
        <v>0</v>
      </c>
      <c r="C776" s="13">
        <v>0</v>
      </c>
      <c r="D776" s="13">
        <v>0</v>
      </c>
      <c r="E776" s="28">
        <v>0</v>
      </c>
      <c r="F776">
        <v>1</v>
      </c>
      <c r="G776" s="13">
        <v>0</v>
      </c>
      <c r="H776" s="13">
        <v>0</v>
      </c>
      <c r="I776" s="13">
        <v>1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>
        <v>50</v>
      </c>
      <c r="AA776">
        <v>1</v>
      </c>
      <c r="AB776">
        <v>0</v>
      </c>
      <c r="AC776">
        <v>0</v>
      </c>
      <c r="AD776" s="19">
        <v>55153</v>
      </c>
      <c r="AE776" s="19">
        <v>43891</v>
      </c>
    </row>
    <row r="777" spans="1:31" x14ac:dyDescent="0.25">
      <c r="A777" s="15" t="s">
        <v>1752</v>
      </c>
      <c r="B777" s="14">
        <v>0</v>
      </c>
      <c r="C777" s="16">
        <v>0</v>
      </c>
      <c r="D777" s="16">
        <v>0</v>
      </c>
      <c r="E777">
        <v>0</v>
      </c>
      <c r="F777">
        <v>1</v>
      </c>
      <c r="G777" s="16">
        <v>1</v>
      </c>
      <c r="H777" s="16">
        <v>0</v>
      </c>
      <c r="I777" s="16">
        <v>0</v>
      </c>
      <c r="J777" s="16">
        <v>0</v>
      </c>
      <c r="K777" s="16">
        <v>0</v>
      </c>
      <c r="L777" s="16">
        <v>0</v>
      </c>
      <c r="M777" s="16">
        <v>0</v>
      </c>
      <c r="N777" s="16">
        <v>0</v>
      </c>
      <c r="O777">
        <v>50</v>
      </c>
      <c r="AA777">
        <v>1</v>
      </c>
      <c r="AB777">
        <v>0</v>
      </c>
      <c r="AC777">
        <v>0</v>
      </c>
      <c r="AD777" s="20">
        <v>55153</v>
      </c>
      <c r="AE777" s="20">
        <v>43891</v>
      </c>
    </row>
    <row r="778" spans="1:31" x14ac:dyDescent="0.25">
      <c r="A778" s="12" t="s">
        <v>1754</v>
      </c>
      <c r="B778" s="11">
        <v>0</v>
      </c>
      <c r="C778" s="13">
        <v>0</v>
      </c>
      <c r="D778" s="13">
        <v>0</v>
      </c>
      <c r="E778" s="28">
        <v>0</v>
      </c>
      <c r="F778">
        <v>1</v>
      </c>
      <c r="G778" s="13">
        <v>0</v>
      </c>
      <c r="H778" s="13">
        <v>0</v>
      </c>
      <c r="I778" s="13">
        <v>0</v>
      </c>
      <c r="J778" s="13">
        <v>0</v>
      </c>
      <c r="K778" s="13">
        <v>1</v>
      </c>
      <c r="L778" s="13">
        <v>0</v>
      </c>
      <c r="M778" s="13">
        <v>0</v>
      </c>
      <c r="N778" s="13">
        <v>0</v>
      </c>
      <c r="O778">
        <v>50</v>
      </c>
      <c r="AA778">
        <v>1</v>
      </c>
      <c r="AB778">
        <v>0</v>
      </c>
      <c r="AC778">
        <v>0</v>
      </c>
      <c r="AD778" s="19">
        <v>55153</v>
      </c>
      <c r="AE778" s="19">
        <v>43891</v>
      </c>
    </row>
    <row r="779" spans="1:31" x14ac:dyDescent="0.25">
      <c r="A779" s="15" t="s">
        <v>1756</v>
      </c>
      <c r="B779" s="14">
        <v>0</v>
      </c>
      <c r="C779" s="16">
        <v>0</v>
      </c>
      <c r="D779" s="16">
        <v>0</v>
      </c>
      <c r="E779">
        <v>1</v>
      </c>
      <c r="F779">
        <v>0</v>
      </c>
      <c r="G779" s="16">
        <v>0</v>
      </c>
      <c r="H779" s="16">
        <v>0</v>
      </c>
      <c r="I779" s="16">
        <v>1</v>
      </c>
      <c r="J779" s="16">
        <v>0</v>
      </c>
      <c r="K779" s="16">
        <v>0</v>
      </c>
      <c r="L779" s="16">
        <v>0</v>
      </c>
      <c r="M779" s="16">
        <v>0</v>
      </c>
      <c r="N779" s="16">
        <v>0</v>
      </c>
      <c r="O779">
        <v>47</v>
      </c>
      <c r="AA779">
        <v>1</v>
      </c>
      <c r="AB779">
        <v>0</v>
      </c>
      <c r="AC779">
        <v>0</v>
      </c>
      <c r="AD779" s="20">
        <v>55153</v>
      </c>
      <c r="AE779" s="20">
        <v>43983</v>
      </c>
    </row>
    <row r="780" spans="1:31" x14ac:dyDescent="0.25">
      <c r="A780" s="12" t="s">
        <v>1758</v>
      </c>
      <c r="B780" s="11">
        <v>0</v>
      </c>
      <c r="C780" s="13">
        <v>0</v>
      </c>
      <c r="D780" s="13">
        <v>0</v>
      </c>
      <c r="E780" s="28">
        <v>0</v>
      </c>
      <c r="F780">
        <v>1</v>
      </c>
      <c r="G780" s="13">
        <v>0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1</v>
      </c>
      <c r="N780" s="13">
        <v>0</v>
      </c>
      <c r="O780">
        <v>50</v>
      </c>
      <c r="AA780">
        <v>1</v>
      </c>
      <c r="AB780">
        <v>0</v>
      </c>
      <c r="AC780">
        <v>0</v>
      </c>
      <c r="AD780" s="19">
        <v>55153</v>
      </c>
      <c r="AE780" s="19">
        <v>43891</v>
      </c>
    </row>
    <row r="781" spans="1:31" x14ac:dyDescent="0.25">
      <c r="A781" s="15" t="s">
        <v>1760</v>
      </c>
      <c r="B781" s="14">
        <v>0</v>
      </c>
      <c r="C781" s="16">
        <v>0</v>
      </c>
      <c r="D781" s="16">
        <v>0</v>
      </c>
      <c r="E781">
        <v>1</v>
      </c>
      <c r="F781">
        <v>0</v>
      </c>
      <c r="G781" s="16">
        <v>0</v>
      </c>
      <c r="H781" s="16">
        <v>0</v>
      </c>
      <c r="I781" s="16">
        <v>1</v>
      </c>
      <c r="J781" s="16">
        <v>0</v>
      </c>
      <c r="K781" s="16">
        <v>0</v>
      </c>
      <c r="L781" s="16">
        <v>0</v>
      </c>
      <c r="M781" s="16">
        <v>0</v>
      </c>
      <c r="N781" s="16">
        <v>0</v>
      </c>
      <c r="O781">
        <v>47</v>
      </c>
      <c r="AA781">
        <v>1</v>
      </c>
      <c r="AB781">
        <v>0</v>
      </c>
      <c r="AC781">
        <v>0</v>
      </c>
      <c r="AD781" s="20">
        <v>55153</v>
      </c>
      <c r="AE781" s="20">
        <v>43983</v>
      </c>
    </row>
    <row r="782" spans="1:31" x14ac:dyDescent="0.25">
      <c r="A782" s="12" t="s">
        <v>1762</v>
      </c>
      <c r="B782" s="11">
        <v>0</v>
      </c>
      <c r="C782" s="13">
        <v>0</v>
      </c>
      <c r="D782" s="13">
        <v>0</v>
      </c>
      <c r="E782" s="28">
        <v>1</v>
      </c>
      <c r="F782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1</v>
      </c>
      <c r="N782" s="13">
        <v>0</v>
      </c>
      <c r="O782">
        <v>47</v>
      </c>
      <c r="AA782">
        <v>1</v>
      </c>
      <c r="AB782">
        <v>0</v>
      </c>
      <c r="AC782">
        <v>0</v>
      </c>
      <c r="AD782" s="19">
        <v>55153</v>
      </c>
      <c r="AE782" s="19">
        <v>43983</v>
      </c>
    </row>
    <row r="783" spans="1:31" x14ac:dyDescent="0.25">
      <c r="A783" s="15" t="s">
        <v>1764</v>
      </c>
      <c r="B783" s="14">
        <v>0</v>
      </c>
      <c r="C783" s="16">
        <v>0</v>
      </c>
      <c r="D783" s="16">
        <v>0</v>
      </c>
      <c r="E783">
        <v>1</v>
      </c>
      <c r="F783">
        <v>0</v>
      </c>
      <c r="G783" s="16">
        <v>1</v>
      </c>
      <c r="H783" s="16">
        <v>0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  <c r="N783" s="16">
        <v>0</v>
      </c>
      <c r="O783">
        <v>50</v>
      </c>
      <c r="AA783">
        <v>1</v>
      </c>
      <c r="AB783">
        <v>0</v>
      </c>
      <c r="AC783">
        <v>0</v>
      </c>
      <c r="AD783" s="20">
        <v>55153</v>
      </c>
      <c r="AE783" s="20">
        <v>43891</v>
      </c>
    </row>
    <row r="784" spans="1:31" x14ac:dyDescent="0.25">
      <c r="A784" s="12" t="s">
        <v>1766</v>
      </c>
      <c r="B784" s="11">
        <v>0</v>
      </c>
      <c r="C784" s="13">
        <v>0</v>
      </c>
      <c r="D784" s="13">
        <v>0</v>
      </c>
      <c r="E784" s="28">
        <v>1</v>
      </c>
      <c r="F784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1</v>
      </c>
      <c r="L784" s="13">
        <v>0</v>
      </c>
      <c r="M784" s="13">
        <v>0</v>
      </c>
      <c r="N784" s="13">
        <v>0</v>
      </c>
      <c r="O784">
        <v>53</v>
      </c>
      <c r="AA784">
        <v>1</v>
      </c>
      <c r="AB784">
        <v>0</v>
      </c>
      <c r="AC784">
        <v>0</v>
      </c>
      <c r="AD784" s="19">
        <v>55153</v>
      </c>
      <c r="AE784" s="19">
        <v>43800</v>
      </c>
    </row>
    <row r="785" spans="1:31" x14ac:dyDescent="0.25">
      <c r="A785" s="15" t="s">
        <v>1768</v>
      </c>
      <c r="B785" s="14">
        <v>1</v>
      </c>
      <c r="C785" s="16">
        <v>0</v>
      </c>
      <c r="D785" s="16">
        <v>1</v>
      </c>
      <c r="E785">
        <v>1</v>
      </c>
      <c r="F785">
        <v>0</v>
      </c>
      <c r="G785" s="16">
        <v>0</v>
      </c>
      <c r="H785" s="16">
        <v>0</v>
      </c>
      <c r="I785" s="16">
        <v>0</v>
      </c>
      <c r="J785" s="16">
        <v>0</v>
      </c>
      <c r="K785" s="16">
        <v>1</v>
      </c>
      <c r="L785" s="16">
        <v>0</v>
      </c>
      <c r="M785" s="16">
        <v>0</v>
      </c>
      <c r="N785" s="16">
        <v>0</v>
      </c>
      <c r="O785">
        <v>49</v>
      </c>
      <c r="AA785">
        <v>1</v>
      </c>
      <c r="AB785">
        <v>0</v>
      </c>
      <c r="AC785">
        <v>0</v>
      </c>
      <c r="AD785" s="20">
        <v>55153</v>
      </c>
      <c r="AE785" s="20">
        <v>43922</v>
      </c>
    </row>
    <row r="786" spans="1:31" x14ac:dyDescent="0.25">
      <c r="A786" s="12" t="s">
        <v>1770</v>
      </c>
      <c r="B786" s="11">
        <v>1</v>
      </c>
      <c r="C786" s="13">
        <v>0</v>
      </c>
      <c r="D786" s="13">
        <v>0</v>
      </c>
      <c r="E786" s="28">
        <v>0</v>
      </c>
      <c r="F786">
        <v>1</v>
      </c>
      <c r="G786" s="13">
        <v>0</v>
      </c>
      <c r="H786" s="13">
        <v>1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>
        <v>47</v>
      </c>
      <c r="AA786">
        <v>1</v>
      </c>
      <c r="AB786">
        <v>0</v>
      </c>
      <c r="AC786">
        <v>0</v>
      </c>
      <c r="AD786" s="19">
        <v>55153</v>
      </c>
      <c r="AE786" s="19">
        <v>43983</v>
      </c>
    </row>
    <row r="787" spans="1:31" x14ac:dyDescent="0.25">
      <c r="A787" s="15" t="s">
        <v>1772</v>
      </c>
      <c r="B787" s="14">
        <v>1</v>
      </c>
      <c r="C787" s="16">
        <v>1</v>
      </c>
      <c r="D787" s="16">
        <v>1</v>
      </c>
      <c r="E787">
        <v>1</v>
      </c>
      <c r="F787">
        <v>0</v>
      </c>
      <c r="G787" s="16">
        <v>0</v>
      </c>
      <c r="H787" s="16">
        <v>1</v>
      </c>
      <c r="I787" s="16">
        <v>0</v>
      </c>
      <c r="J787" s="16">
        <v>0</v>
      </c>
      <c r="K787" s="16">
        <v>0</v>
      </c>
      <c r="L787" s="16">
        <v>0</v>
      </c>
      <c r="M787" s="16">
        <v>0</v>
      </c>
      <c r="N787" s="16">
        <v>0</v>
      </c>
      <c r="O787">
        <v>53</v>
      </c>
      <c r="AA787">
        <v>1</v>
      </c>
      <c r="AB787">
        <v>0</v>
      </c>
      <c r="AC787">
        <v>0</v>
      </c>
      <c r="AD787" s="20">
        <v>55153</v>
      </c>
      <c r="AE787" s="20">
        <v>43800</v>
      </c>
    </row>
    <row r="788" spans="1:31" x14ac:dyDescent="0.25">
      <c r="A788" s="12" t="s">
        <v>1774</v>
      </c>
      <c r="B788" s="11">
        <v>0</v>
      </c>
      <c r="C788" s="13">
        <v>0</v>
      </c>
      <c r="D788" s="13">
        <v>0</v>
      </c>
      <c r="E788" s="28">
        <v>0</v>
      </c>
      <c r="F788">
        <v>1</v>
      </c>
      <c r="G788" s="13">
        <v>0</v>
      </c>
      <c r="H788" s="13">
        <v>0</v>
      </c>
      <c r="I788" s="13">
        <v>0</v>
      </c>
      <c r="J788" s="13">
        <v>0</v>
      </c>
      <c r="K788" s="13">
        <v>1</v>
      </c>
      <c r="L788" s="13">
        <v>0</v>
      </c>
      <c r="M788" s="13">
        <v>0</v>
      </c>
      <c r="N788" s="13">
        <v>0</v>
      </c>
      <c r="O788">
        <v>47</v>
      </c>
      <c r="AA788">
        <v>1</v>
      </c>
      <c r="AB788">
        <v>0</v>
      </c>
      <c r="AC788">
        <v>0</v>
      </c>
      <c r="AD788" s="19">
        <v>55153</v>
      </c>
      <c r="AE788" s="19">
        <v>43983</v>
      </c>
    </row>
    <row r="789" spans="1:31" x14ac:dyDescent="0.25">
      <c r="A789" s="15" t="s">
        <v>1776</v>
      </c>
      <c r="B789" s="14">
        <v>0</v>
      </c>
      <c r="C789" s="16">
        <v>0</v>
      </c>
      <c r="D789" s="16">
        <v>0</v>
      </c>
      <c r="E789">
        <v>0</v>
      </c>
      <c r="F789">
        <v>1</v>
      </c>
      <c r="G789" s="16">
        <v>0</v>
      </c>
      <c r="H789" s="16">
        <v>0</v>
      </c>
      <c r="I789" s="16">
        <v>1</v>
      </c>
      <c r="J789" s="16">
        <v>0</v>
      </c>
      <c r="K789" s="16">
        <v>0</v>
      </c>
      <c r="L789" s="16">
        <v>0</v>
      </c>
      <c r="M789" s="16">
        <v>0</v>
      </c>
      <c r="N789" s="16">
        <v>0</v>
      </c>
      <c r="O789">
        <v>53</v>
      </c>
      <c r="AA789">
        <v>1</v>
      </c>
      <c r="AB789">
        <v>0</v>
      </c>
      <c r="AC789">
        <v>0</v>
      </c>
      <c r="AD789" s="20">
        <v>55153</v>
      </c>
      <c r="AE789" s="20">
        <v>43800</v>
      </c>
    </row>
    <row r="790" spans="1:31" x14ac:dyDescent="0.25">
      <c r="A790" s="12" t="s">
        <v>1778</v>
      </c>
      <c r="B790" s="11">
        <v>0</v>
      </c>
      <c r="C790" s="13">
        <v>0</v>
      </c>
      <c r="D790" s="13">
        <v>0</v>
      </c>
      <c r="E790" s="28">
        <v>1</v>
      </c>
      <c r="F790">
        <v>0</v>
      </c>
      <c r="G790" s="13">
        <v>0</v>
      </c>
      <c r="H790" s="13">
        <v>0</v>
      </c>
      <c r="I790" s="13">
        <v>1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>
        <v>47</v>
      </c>
      <c r="AA790">
        <v>1</v>
      </c>
      <c r="AB790">
        <v>0</v>
      </c>
      <c r="AC790">
        <v>0</v>
      </c>
      <c r="AD790" s="19">
        <v>55153</v>
      </c>
      <c r="AE790" s="19">
        <v>43983</v>
      </c>
    </row>
    <row r="791" spans="1:31" x14ac:dyDescent="0.25">
      <c r="A791" s="15" t="s">
        <v>1780</v>
      </c>
      <c r="B791" s="14">
        <v>0</v>
      </c>
      <c r="C791" s="16">
        <v>0</v>
      </c>
      <c r="D791" s="16">
        <v>0</v>
      </c>
      <c r="E791">
        <v>1</v>
      </c>
      <c r="F791">
        <v>0</v>
      </c>
      <c r="G791" s="16">
        <v>0</v>
      </c>
      <c r="H791" s="16">
        <v>0</v>
      </c>
      <c r="I791" s="16">
        <v>1</v>
      </c>
      <c r="J791" s="16">
        <v>0</v>
      </c>
      <c r="K791" s="16">
        <v>0</v>
      </c>
      <c r="L791" s="16">
        <v>0</v>
      </c>
      <c r="M791" s="16">
        <v>0</v>
      </c>
      <c r="N791" s="16">
        <v>0</v>
      </c>
      <c r="O791">
        <v>47</v>
      </c>
      <c r="AA791">
        <v>1</v>
      </c>
      <c r="AB791">
        <v>0</v>
      </c>
      <c r="AC791">
        <v>0</v>
      </c>
      <c r="AD791" s="20">
        <v>55153</v>
      </c>
      <c r="AE791" s="20">
        <v>43983</v>
      </c>
    </row>
    <row r="792" spans="1:31" x14ac:dyDescent="0.25">
      <c r="A792" s="12" t="s">
        <v>1782</v>
      </c>
      <c r="B792" s="11">
        <v>1</v>
      </c>
      <c r="C792" s="13">
        <v>1</v>
      </c>
      <c r="D792" s="13">
        <v>1</v>
      </c>
      <c r="E792" s="28">
        <v>1</v>
      </c>
      <c r="F792">
        <v>0</v>
      </c>
      <c r="G792" s="13">
        <v>0</v>
      </c>
      <c r="H792" s="13">
        <v>0</v>
      </c>
      <c r="I792" s="13">
        <v>0</v>
      </c>
      <c r="J792" s="13">
        <v>1</v>
      </c>
      <c r="K792" s="13">
        <v>0</v>
      </c>
      <c r="L792" s="13">
        <v>0</v>
      </c>
      <c r="M792" s="13">
        <v>0</v>
      </c>
      <c r="N792" s="13">
        <v>0</v>
      </c>
      <c r="O792">
        <v>48</v>
      </c>
      <c r="AA792">
        <v>1</v>
      </c>
      <c r="AB792">
        <v>0</v>
      </c>
      <c r="AC792">
        <v>0</v>
      </c>
      <c r="AD792" s="19">
        <v>55153</v>
      </c>
      <c r="AE792" s="19">
        <v>43952</v>
      </c>
    </row>
    <row r="793" spans="1:31" x14ac:dyDescent="0.25">
      <c r="A793" s="15" t="s">
        <v>1784</v>
      </c>
      <c r="B793" s="14">
        <v>1</v>
      </c>
      <c r="C793" s="16">
        <v>1</v>
      </c>
      <c r="D793" s="16">
        <v>1</v>
      </c>
      <c r="E793">
        <v>1</v>
      </c>
      <c r="F793">
        <v>0</v>
      </c>
      <c r="G793" s="16">
        <v>0</v>
      </c>
      <c r="H793" s="16">
        <v>0</v>
      </c>
      <c r="I793" s="16">
        <v>0</v>
      </c>
      <c r="J793" s="16">
        <v>0</v>
      </c>
      <c r="K793" s="16">
        <v>0</v>
      </c>
      <c r="L793" s="16">
        <v>0</v>
      </c>
      <c r="M793" s="16">
        <v>0</v>
      </c>
      <c r="N793" s="16">
        <v>1</v>
      </c>
      <c r="O793">
        <v>48</v>
      </c>
      <c r="AA793">
        <v>1</v>
      </c>
      <c r="AB793">
        <v>0</v>
      </c>
      <c r="AC793">
        <v>0</v>
      </c>
      <c r="AD793" s="20">
        <v>55153</v>
      </c>
      <c r="AE793" s="20">
        <v>43952</v>
      </c>
    </row>
    <row r="794" spans="1:31" x14ac:dyDescent="0.25">
      <c r="A794" s="12" t="s">
        <v>1786</v>
      </c>
      <c r="B794" s="11">
        <v>1</v>
      </c>
      <c r="C794" s="13">
        <v>1</v>
      </c>
      <c r="D794" s="13">
        <v>1</v>
      </c>
      <c r="E794" s="28">
        <v>1</v>
      </c>
      <c r="F794">
        <v>0</v>
      </c>
      <c r="G794" s="13">
        <v>0</v>
      </c>
      <c r="H794" s="13">
        <v>1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>
        <v>48</v>
      </c>
      <c r="AA794">
        <v>1</v>
      </c>
      <c r="AB794">
        <v>0</v>
      </c>
      <c r="AC794">
        <v>0</v>
      </c>
      <c r="AD794" s="19">
        <v>55153</v>
      </c>
      <c r="AE794" s="19">
        <v>43952</v>
      </c>
    </row>
    <row r="795" spans="1:31" x14ac:dyDescent="0.25">
      <c r="A795" s="15" t="s">
        <v>1788</v>
      </c>
      <c r="B795" s="14">
        <v>1</v>
      </c>
      <c r="C795" s="16">
        <v>0</v>
      </c>
      <c r="D795" s="16">
        <v>1</v>
      </c>
      <c r="E795">
        <v>1</v>
      </c>
      <c r="F795">
        <v>0</v>
      </c>
      <c r="G795" s="16">
        <v>0</v>
      </c>
      <c r="H795" s="16">
        <v>1</v>
      </c>
      <c r="I795" s="16">
        <v>0</v>
      </c>
      <c r="J795" s="16">
        <v>0</v>
      </c>
      <c r="K795" s="16">
        <v>0</v>
      </c>
      <c r="L795" s="16">
        <v>0</v>
      </c>
      <c r="M795" s="16">
        <v>0</v>
      </c>
      <c r="N795" s="16">
        <v>0</v>
      </c>
      <c r="O795">
        <v>50</v>
      </c>
      <c r="AA795">
        <v>1</v>
      </c>
      <c r="AB795">
        <v>0</v>
      </c>
      <c r="AC795">
        <v>0</v>
      </c>
      <c r="AD795" s="20">
        <v>55153</v>
      </c>
      <c r="AE795" s="20">
        <v>43891</v>
      </c>
    </row>
    <row r="796" spans="1:31" x14ac:dyDescent="0.25">
      <c r="A796" s="12" t="s">
        <v>1790</v>
      </c>
      <c r="B796" s="11">
        <v>1</v>
      </c>
      <c r="C796" s="13">
        <v>1</v>
      </c>
      <c r="D796" s="13">
        <v>1</v>
      </c>
      <c r="E796" s="28">
        <v>0</v>
      </c>
      <c r="F796">
        <v>0</v>
      </c>
      <c r="G796" s="13">
        <v>0</v>
      </c>
      <c r="H796" s="13">
        <v>1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>
        <v>3</v>
      </c>
      <c r="AA796">
        <v>0</v>
      </c>
      <c r="AB796">
        <v>0</v>
      </c>
      <c r="AC796">
        <v>1</v>
      </c>
      <c r="AD796" s="19">
        <v>44012</v>
      </c>
      <c r="AE796" s="19">
        <v>43862</v>
      </c>
    </row>
    <row r="797" spans="1:31" x14ac:dyDescent="0.25">
      <c r="A797" s="15" t="s">
        <v>1792</v>
      </c>
      <c r="B797" s="14">
        <v>0</v>
      </c>
      <c r="C797" s="16">
        <v>0</v>
      </c>
      <c r="D797" s="16">
        <v>0</v>
      </c>
      <c r="E797">
        <v>0</v>
      </c>
      <c r="F797">
        <v>1</v>
      </c>
      <c r="G797" s="16">
        <v>0</v>
      </c>
      <c r="H797" s="16">
        <v>0</v>
      </c>
      <c r="I797" s="16">
        <v>0</v>
      </c>
      <c r="J797" s="16">
        <v>0</v>
      </c>
      <c r="K797" s="16">
        <v>1</v>
      </c>
      <c r="L797" s="16">
        <v>0</v>
      </c>
      <c r="M797" s="16">
        <v>0</v>
      </c>
      <c r="N797" s="16">
        <v>0</v>
      </c>
      <c r="O797">
        <v>47</v>
      </c>
      <c r="AA797">
        <v>1</v>
      </c>
      <c r="AB797">
        <v>0</v>
      </c>
      <c r="AC797">
        <v>0</v>
      </c>
      <c r="AD797" s="20">
        <v>55153</v>
      </c>
      <c r="AE797" s="20">
        <v>43983</v>
      </c>
    </row>
    <row r="798" spans="1:31" x14ac:dyDescent="0.25">
      <c r="A798" s="12" t="s">
        <v>1794</v>
      </c>
      <c r="B798" s="11">
        <v>0</v>
      </c>
      <c r="C798" s="13">
        <v>0</v>
      </c>
      <c r="D798" s="13">
        <v>0</v>
      </c>
      <c r="E798" s="28">
        <v>0</v>
      </c>
      <c r="F798">
        <v>1</v>
      </c>
      <c r="G798" s="13">
        <v>0</v>
      </c>
      <c r="H798" s="13">
        <v>0</v>
      </c>
      <c r="I798" s="13">
        <v>0</v>
      </c>
      <c r="J798" s="13">
        <v>0</v>
      </c>
      <c r="K798" s="13">
        <v>1</v>
      </c>
      <c r="L798" s="13">
        <v>0</v>
      </c>
      <c r="M798" s="13">
        <v>0</v>
      </c>
      <c r="N798" s="13">
        <v>0</v>
      </c>
      <c r="O798">
        <v>47</v>
      </c>
      <c r="AA798">
        <v>1</v>
      </c>
      <c r="AB798">
        <v>0</v>
      </c>
      <c r="AC798">
        <v>0</v>
      </c>
      <c r="AD798" s="19">
        <v>55153</v>
      </c>
      <c r="AE798" s="19">
        <v>43983</v>
      </c>
    </row>
    <row r="799" spans="1:31" x14ac:dyDescent="0.25">
      <c r="A799" s="15" t="s">
        <v>1796</v>
      </c>
      <c r="B799" s="14">
        <v>0</v>
      </c>
      <c r="C799" s="16">
        <v>0</v>
      </c>
      <c r="D799" s="16">
        <v>0</v>
      </c>
      <c r="E799">
        <v>0</v>
      </c>
      <c r="F799">
        <v>1</v>
      </c>
      <c r="G799" s="16">
        <v>0</v>
      </c>
      <c r="H799" s="16">
        <v>0</v>
      </c>
      <c r="I799" s="16">
        <v>1</v>
      </c>
      <c r="J799" s="16">
        <v>0</v>
      </c>
      <c r="K799" s="16">
        <v>0</v>
      </c>
      <c r="L799" s="16">
        <v>0</v>
      </c>
      <c r="M799" s="16">
        <v>0</v>
      </c>
      <c r="N799" s="16">
        <v>0</v>
      </c>
      <c r="O799">
        <v>41</v>
      </c>
      <c r="AA799">
        <v>1</v>
      </c>
      <c r="AB799">
        <v>0</v>
      </c>
      <c r="AC799">
        <v>0</v>
      </c>
      <c r="AD799" s="20">
        <v>55153</v>
      </c>
      <c r="AE799" s="20">
        <v>44166</v>
      </c>
    </row>
    <row r="800" spans="1:31" x14ac:dyDescent="0.25">
      <c r="A800" s="12" t="s">
        <v>1798</v>
      </c>
      <c r="B800" s="11">
        <v>0</v>
      </c>
      <c r="C800" s="13">
        <v>0</v>
      </c>
      <c r="D800" s="13">
        <v>0</v>
      </c>
      <c r="E800" s="28">
        <v>0</v>
      </c>
      <c r="F800">
        <v>1</v>
      </c>
      <c r="G800" s="13">
        <v>0</v>
      </c>
      <c r="H800" s="13">
        <v>0</v>
      </c>
      <c r="I800" s="13">
        <v>1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>
        <v>41</v>
      </c>
      <c r="AA800">
        <v>1</v>
      </c>
      <c r="AB800">
        <v>0</v>
      </c>
      <c r="AC800">
        <v>0</v>
      </c>
      <c r="AD800" s="19">
        <v>55153</v>
      </c>
      <c r="AE800" s="19">
        <v>44166</v>
      </c>
    </row>
    <row r="801" spans="1:31" x14ac:dyDescent="0.25">
      <c r="A801" s="15" t="s">
        <v>1800</v>
      </c>
      <c r="B801" s="14">
        <v>0</v>
      </c>
      <c r="C801" s="16">
        <v>0</v>
      </c>
      <c r="D801" s="16">
        <v>0</v>
      </c>
      <c r="E801">
        <v>1</v>
      </c>
      <c r="F801">
        <v>0</v>
      </c>
      <c r="G801" s="16">
        <v>0</v>
      </c>
      <c r="H801" s="16">
        <v>0</v>
      </c>
      <c r="I801" s="16">
        <v>1</v>
      </c>
      <c r="J801" s="16">
        <v>0</v>
      </c>
      <c r="K801" s="16">
        <v>0</v>
      </c>
      <c r="L801" s="16">
        <v>0</v>
      </c>
      <c r="M801" s="16">
        <v>0</v>
      </c>
      <c r="N801" s="16">
        <v>0</v>
      </c>
      <c r="O801">
        <v>35</v>
      </c>
      <c r="AA801">
        <v>1</v>
      </c>
      <c r="AB801">
        <v>0</v>
      </c>
      <c r="AC801">
        <v>0</v>
      </c>
      <c r="AD801" s="20">
        <v>55153</v>
      </c>
      <c r="AE801" s="20">
        <v>44348</v>
      </c>
    </row>
    <row r="802" spans="1:31" x14ac:dyDescent="0.25">
      <c r="A802" s="12" t="s">
        <v>1802</v>
      </c>
      <c r="B802" s="11">
        <v>0</v>
      </c>
      <c r="C802" s="13">
        <v>0</v>
      </c>
      <c r="D802" s="13">
        <v>0</v>
      </c>
      <c r="E802" s="28">
        <v>1</v>
      </c>
      <c r="F802">
        <v>0</v>
      </c>
      <c r="G802" s="13">
        <v>0</v>
      </c>
      <c r="H802" s="13">
        <v>0</v>
      </c>
      <c r="I802" s="13">
        <v>0</v>
      </c>
      <c r="J802" s="13">
        <v>0</v>
      </c>
      <c r="K802" s="13">
        <v>0</v>
      </c>
      <c r="L802" s="13">
        <v>0</v>
      </c>
      <c r="M802" s="13">
        <v>1</v>
      </c>
      <c r="N802" s="13">
        <v>0</v>
      </c>
      <c r="O802">
        <v>41</v>
      </c>
      <c r="AA802">
        <v>1</v>
      </c>
      <c r="AB802">
        <v>0</v>
      </c>
      <c r="AC802">
        <v>0</v>
      </c>
      <c r="AD802" s="19">
        <v>55153</v>
      </c>
      <c r="AE802" s="19">
        <v>44166</v>
      </c>
    </row>
    <row r="803" spans="1:31" x14ac:dyDescent="0.25">
      <c r="A803" s="15" t="s">
        <v>1804</v>
      </c>
      <c r="B803" s="14">
        <v>0</v>
      </c>
      <c r="C803" s="16">
        <v>0</v>
      </c>
      <c r="D803" s="16">
        <v>0</v>
      </c>
      <c r="E803">
        <v>0</v>
      </c>
      <c r="F803">
        <v>1</v>
      </c>
      <c r="G803" s="16">
        <v>0</v>
      </c>
      <c r="H803" s="16">
        <v>0</v>
      </c>
      <c r="I803" s="16">
        <v>0</v>
      </c>
      <c r="J803" s="16">
        <v>0</v>
      </c>
      <c r="K803" s="16">
        <v>1</v>
      </c>
      <c r="L803" s="16">
        <v>0</v>
      </c>
      <c r="M803" s="16">
        <v>0</v>
      </c>
      <c r="N803" s="16">
        <v>0</v>
      </c>
      <c r="O803">
        <v>47</v>
      </c>
      <c r="AA803">
        <v>1</v>
      </c>
      <c r="AB803">
        <v>0</v>
      </c>
      <c r="AC803">
        <v>0</v>
      </c>
      <c r="AD803" s="20">
        <v>55153</v>
      </c>
      <c r="AE803" s="20">
        <v>43983</v>
      </c>
    </row>
    <row r="804" spans="1:31" x14ac:dyDescent="0.25">
      <c r="A804" s="12" t="s">
        <v>1806</v>
      </c>
      <c r="B804" s="11">
        <v>0</v>
      </c>
      <c r="C804" s="13">
        <v>0</v>
      </c>
      <c r="D804" s="13">
        <v>0</v>
      </c>
      <c r="E804" s="28">
        <v>1</v>
      </c>
      <c r="F804">
        <v>0</v>
      </c>
      <c r="G804" s="13">
        <v>1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>
        <v>41</v>
      </c>
      <c r="AA804">
        <v>1</v>
      </c>
      <c r="AB804">
        <v>0</v>
      </c>
      <c r="AC804">
        <v>0</v>
      </c>
      <c r="AD804" s="19">
        <v>55153</v>
      </c>
      <c r="AE804" s="19">
        <v>44166</v>
      </c>
    </row>
    <row r="805" spans="1:31" x14ac:dyDescent="0.25">
      <c r="A805" s="15" t="s">
        <v>1808</v>
      </c>
      <c r="B805" s="14">
        <v>0</v>
      </c>
      <c r="C805" s="16">
        <v>0</v>
      </c>
      <c r="D805" s="16">
        <v>0</v>
      </c>
      <c r="E805">
        <v>1</v>
      </c>
      <c r="F805">
        <v>0</v>
      </c>
      <c r="G805" s="16">
        <v>1</v>
      </c>
      <c r="H805" s="16">
        <v>0</v>
      </c>
      <c r="I805" s="16">
        <v>0</v>
      </c>
      <c r="J805" s="16">
        <v>0</v>
      </c>
      <c r="K805" s="16">
        <v>0</v>
      </c>
      <c r="L805" s="16">
        <v>0</v>
      </c>
      <c r="M805" s="16">
        <v>0</v>
      </c>
      <c r="N805" s="16">
        <v>0</v>
      </c>
      <c r="O805">
        <v>44</v>
      </c>
      <c r="AA805">
        <v>1</v>
      </c>
      <c r="AB805">
        <v>0</v>
      </c>
      <c r="AC805">
        <v>0</v>
      </c>
      <c r="AD805" s="20">
        <v>55153</v>
      </c>
      <c r="AE805" s="20">
        <v>44075</v>
      </c>
    </row>
    <row r="806" spans="1:31" x14ac:dyDescent="0.25">
      <c r="A806" s="12" t="s">
        <v>1810</v>
      </c>
      <c r="B806" s="11">
        <v>0</v>
      </c>
      <c r="C806" s="13">
        <v>0</v>
      </c>
      <c r="D806" s="13">
        <v>0</v>
      </c>
      <c r="E806" s="28">
        <v>1</v>
      </c>
      <c r="F806">
        <v>0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1</v>
      </c>
      <c r="N806" s="13">
        <v>0</v>
      </c>
      <c r="O806">
        <v>47</v>
      </c>
      <c r="AA806">
        <v>1</v>
      </c>
      <c r="AB806">
        <v>0</v>
      </c>
      <c r="AC806">
        <v>0</v>
      </c>
      <c r="AD806" s="19">
        <v>55153</v>
      </c>
      <c r="AE806" s="19">
        <v>43983</v>
      </c>
    </row>
    <row r="807" spans="1:31" x14ac:dyDescent="0.25">
      <c r="A807" s="15" t="s">
        <v>51</v>
      </c>
      <c r="B807" s="14">
        <v>0</v>
      </c>
      <c r="C807" s="16">
        <v>0</v>
      </c>
      <c r="D807" s="16">
        <v>0</v>
      </c>
      <c r="E807">
        <v>0</v>
      </c>
      <c r="F807">
        <v>0</v>
      </c>
      <c r="G807" s="16">
        <v>0</v>
      </c>
      <c r="H807" s="16">
        <v>0</v>
      </c>
      <c r="I807" s="16">
        <v>0</v>
      </c>
      <c r="J807" s="16">
        <v>0</v>
      </c>
      <c r="K807" s="16">
        <v>1</v>
      </c>
      <c r="L807" s="16">
        <v>0</v>
      </c>
      <c r="M807" s="16">
        <v>0</v>
      </c>
      <c r="N807" s="16">
        <v>0</v>
      </c>
      <c r="O807">
        <v>32</v>
      </c>
      <c r="AA807">
        <v>0</v>
      </c>
      <c r="AB807">
        <v>0</v>
      </c>
      <c r="AC807">
        <v>1</v>
      </c>
      <c r="AD807" s="20">
        <v>45107</v>
      </c>
      <c r="AE807" s="20">
        <v>44075</v>
      </c>
    </row>
    <row r="808" spans="1:31" x14ac:dyDescent="0.25">
      <c r="A808" s="12" t="s">
        <v>1812</v>
      </c>
      <c r="B808" s="11">
        <v>1</v>
      </c>
      <c r="C808" s="13">
        <v>0</v>
      </c>
      <c r="D808" s="13">
        <v>1</v>
      </c>
      <c r="E808" s="28">
        <v>1</v>
      </c>
      <c r="F808">
        <v>0</v>
      </c>
      <c r="G808" s="13">
        <v>0</v>
      </c>
      <c r="H808" s="13">
        <v>0</v>
      </c>
      <c r="I808" s="13">
        <v>1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>
        <v>48</v>
      </c>
      <c r="AA808">
        <v>1</v>
      </c>
      <c r="AB808">
        <v>0</v>
      </c>
      <c r="AC808">
        <v>0</v>
      </c>
      <c r="AD808" s="19">
        <v>55153</v>
      </c>
      <c r="AE808" s="19">
        <v>43952</v>
      </c>
    </row>
    <row r="809" spans="1:31" x14ac:dyDescent="0.25">
      <c r="A809" s="15" t="s">
        <v>1814</v>
      </c>
      <c r="B809" s="14">
        <v>1</v>
      </c>
      <c r="C809" s="16">
        <v>1</v>
      </c>
      <c r="D809" s="16">
        <v>1</v>
      </c>
      <c r="E809">
        <v>1</v>
      </c>
      <c r="F809">
        <v>0</v>
      </c>
      <c r="G809" s="16">
        <v>0</v>
      </c>
      <c r="H809" s="16">
        <v>1</v>
      </c>
      <c r="I809" s="16">
        <v>0</v>
      </c>
      <c r="J809" s="16">
        <v>0</v>
      </c>
      <c r="K809" s="16">
        <v>0</v>
      </c>
      <c r="L809" s="16">
        <v>0</v>
      </c>
      <c r="M809" s="16">
        <v>0</v>
      </c>
      <c r="N809" s="16">
        <v>0</v>
      </c>
      <c r="O809">
        <v>48</v>
      </c>
      <c r="AA809">
        <v>1</v>
      </c>
      <c r="AB809">
        <v>0</v>
      </c>
      <c r="AC809">
        <v>0</v>
      </c>
      <c r="AD809" s="20">
        <v>55153</v>
      </c>
      <c r="AE809" s="20">
        <v>43952</v>
      </c>
    </row>
    <row r="810" spans="1:31" x14ac:dyDescent="0.25">
      <c r="A810" s="12" t="s">
        <v>1816</v>
      </c>
      <c r="B810" s="11">
        <v>0</v>
      </c>
      <c r="C810" s="13">
        <v>0</v>
      </c>
      <c r="D810" s="13">
        <v>0</v>
      </c>
      <c r="E810" s="28">
        <v>1</v>
      </c>
      <c r="F810">
        <v>0</v>
      </c>
      <c r="G810" s="13">
        <v>0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1</v>
      </c>
      <c r="N810" s="13">
        <v>0</v>
      </c>
      <c r="O810">
        <v>47</v>
      </c>
      <c r="AA810">
        <v>1</v>
      </c>
      <c r="AB810">
        <v>0</v>
      </c>
      <c r="AC810">
        <v>0</v>
      </c>
      <c r="AD810" s="19">
        <v>55153</v>
      </c>
      <c r="AE810" s="19">
        <v>43983</v>
      </c>
    </row>
    <row r="811" spans="1:31" x14ac:dyDescent="0.25">
      <c r="A811" s="15" t="s">
        <v>1818</v>
      </c>
      <c r="B811" s="14">
        <v>0</v>
      </c>
      <c r="C811" s="16">
        <v>0</v>
      </c>
      <c r="D811" s="16">
        <v>0</v>
      </c>
      <c r="E811">
        <v>0</v>
      </c>
      <c r="F811">
        <v>1</v>
      </c>
      <c r="G811" s="16">
        <v>0</v>
      </c>
      <c r="H811" s="16">
        <v>0</v>
      </c>
      <c r="I811" s="16">
        <v>0</v>
      </c>
      <c r="J811" s="16">
        <v>0</v>
      </c>
      <c r="K811" s="16">
        <v>0</v>
      </c>
      <c r="L811" s="16">
        <v>0</v>
      </c>
      <c r="M811" s="16">
        <v>1</v>
      </c>
      <c r="N811" s="16">
        <v>0</v>
      </c>
      <c r="O811">
        <v>38</v>
      </c>
      <c r="AA811">
        <v>1</v>
      </c>
      <c r="AB811">
        <v>0</v>
      </c>
      <c r="AC811">
        <v>0</v>
      </c>
      <c r="AD811" s="20">
        <v>55153</v>
      </c>
      <c r="AE811" s="20">
        <v>44256</v>
      </c>
    </row>
    <row r="812" spans="1:31" x14ac:dyDescent="0.25">
      <c r="A812" s="12" t="s">
        <v>1820</v>
      </c>
      <c r="B812" s="11">
        <v>0</v>
      </c>
      <c r="C812" s="13">
        <v>0</v>
      </c>
      <c r="D812" s="13">
        <v>0</v>
      </c>
      <c r="E812" s="28">
        <v>1</v>
      </c>
      <c r="F812">
        <v>0</v>
      </c>
      <c r="G812" s="13">
        <v>1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>
        <v>38</v>
      </c>
      <c r="AA812">
        <v>1</v>
      </c>
      <c r="AB812">
        <v>0</v>
      </c>
      <c r="AC812">
        <v>0</v>
      </c>
      <c r="AD812" s="19">
        <v>55153</v>
      </c>
      <c r="AE812" s="19">
        <v>44256</v>
      </c>
    </row>
    <row r="813" spans="1:31" x14ac:dyDescent="0.25">
      <c r="A813" s="15" t="s">
        <v>1822</v>
      </c>
      <c r="B813" s="14">
        <v>1</v>
      </c>
      <c r="C813" s="16">
        <v>0</v>
      </c>
      <c r="D813" s="16">
        <v>0</v>
      </c>
      <c r="E813">
        <v>0</v>
      </c>
      <c r="F813">
        <v>1</v>
      </c>
      <c r="G813" s="16">
        <v>0</v>
      </c>
      <c r="H813" s="16">
        <v>1</v>
      </c>
      <c r="I813" s="16">
        <v>0</v>
      </c>
      <c r="J813" s="16">
        <v>0</v>
      </c>
      <c r="K813" s="16">
        <v>0</v>
      </c>
      <c r="L813" s="16">
        <v>0</v>
      </c>
      <c r="M813" s="16">
        <v>0</v>
      </c>
      <c r="N813" s="16">
        <v>0</v>
      </c>
      <c r="O813">
        <v>43</v>
      </c>
      <c r="AA813">
        <v>1</v>
      </c>
      <c r="AB813">
        <v>0</v>
      </c>
      <c r="AC813">
        <v>0</v>
      </c>
      <c r="AD813" s="20">
        <v>55153</v>
      </c>
      <c r="AE813" s="20">
        <v>44105</v>
      </c>
    </row>
    <row r="814" spans="1:31" x14ac:dyDescent="0.25">
      <c r="A814" s="12" t="s">
        <v>1824</v>
      </c>
      <c r="B814" s="11">
        <v>1</v>
      </c>
      <c r="C814" s="13">
        <v>0</v>
      </c>
      <c r="D814" s="13">
        <v>0</v>
      </c>
      <c r="E814" s="28">
        <v>0</v>
      </c>
      <c r="F814">
        <v>1</v>
      </c>
      <c r="G814" s="13">
        <v>0</v>
      </c>
      <c r="H814" s="13">
        <v>1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>
        <v>43</v>
      </c>
      <c r="AA814">
        <v>1</v>
      </c>
      <c r="AB814">
        <v>0</v>
      </c>
      <c r="AC814">
        <v>0</v>
      </c>
      <c r="AD814" s="19">
        <v>55153</v>
      </c>
      <c r="AE814" s="19">
        <v>44105</v>
      </c>
    </row>
    <row r="815" spans="1:31" x14ac:dyDescent="0.25">
      <c r="A815" s="15" t="s">
        <v>1826</v>
      </c>
      <c r="B815" s="14">
        <v>0</v>
      </c>
      <c r="C815" s="16">
        <v>0</v>
      </c>
      <c r="D815" s="16">
        <v>0</v>
      </c>
      <c r="E815">
        <v>0</v>
      </c>
      <c r="F815">
        <v>1</v>
      </c>
      <c r="G815" s="16">
        <v>0</v>
      </c>
      <c r="H815" s="16">
        <v>0</v>
      </c>
      <c r="I815" s="16">
        <v>1</v>
      </c>
      <c r="J815" s="16">
        <v>0</v>
      </c>
      <c r="K815" s="16">
        <v>0</v>
      </c>
      <c r="L815" s="16">
        <v>0</v>
      </c>
      <c r="M815" s="16">
        <v>0</v>
      </c>
      <c r="N815" s="16">
        <v>0</v>
      </c>
      <c r="O815">
        <v>50</v>
      </c>
      <c r="AA815">
        <v>1</v>
      </c>
      <c r="AB815">
        <v>0</v>
      </c>
      <c r="AC815">
        <v>0</v>
      </c>
      <c r="AD815" s="20">
        <v>55153</v>
      </c>
      <c r="AE815" s="20">
        <v>43891</v>
      </c>
    </row>
    <row r="816" spans="1:31" x14ac:dyDescent="0.25">
      <c r="A816" s="12" t="s">
        <v>1828</v>
      </c>
      <c r="B816" s="11">
        <v>0</v>
      </c>
      <c r="C816" s="13">
        <v>0</v>
      </c>
      <c r="D816" s="13">
        <v>0</v>
      </c>
      <c r="E816" s="28">
        <v>0</v>
      </c>
      <c r="F816">
        <v>1</v>
      </c>
      <c r="G816" s="13">
        <v>0</v>
      </c>
      <c r="H816" s="13">
        <v>0</v>
      </c>
      <c r="I816" s="13">
        <v>1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>
        <v>50</v>
      </c>
      <c r="AA816">
        <v>1</v>
      </c>
      <c r="AB816">
        <v>0</v>
      </c>
      <c r="AC816">
        <v>0</v>
      </c>
      <c r="AD816" s="19">
        <v>55153</v>
      </c>
      <c r="AE816" s="19">
        <v>43891</v>
      </c>
    </row>
    <row r="817" spans="1:31" x14ac:dyDescent="0.25">
      <c r="A817" s="15" t="s">
        <v>1830</v>
      </c>
      <c r="B817" s="14">
        <v>0</v>
      </c>
      <c r="C817" s="16">
        <v>0</v>
      </c>
      <c r="D817" s="16">
        <v>0</v>
      </c>
      <c r="E817">
        <v>0</v>
      </c>
      <c r="F817">
        <v>1</v>
      </c>
      <c r="G817" s="16">
        <v>0</v>
      </c>
      <c r="H817" s="16">
        <v>0</v>
      </c>
      <c r="I817" s="16">
        <v>1</v>
      </c>
      <c r="J817" s="16">
        <v>0</v>
      </c>
      <c r="K817" s="16">
        <v>0</v>
      </c>
      <c r="L817" s="16">
        <v>0</v>
      </c>
      <c r="M817" s="16">
        <v>0</v>
      </c>
      <c r="N817" s="16">
        <v>0</v>
      </c>
      <c r="O817">
        <v>47</v>
      </c>
      <c r="AA817">
        <v>1</v>
      </c>
      <c r="AB817">
        <v>0</v>
      </c>
      <c r="AC817">
        <v>0</v>
      </c>
      <c r="AD817" s="20">
        <v>55153</v>
      </c>
      <c r="AE817" s="20">
        <v>43983</v>
      </c>
    </row>
    <row r="818" spans="1:31" x14ac:dyDescent="0.25">
      <c r="A818" s="12" t="s">
        <v>1832</v>
      </c>
      <c r="B818" s="11">
        <v>1</v>
      </c>
      <c r="C818" s="13">
        <v>0</v>
      </c>
      <c r="D818" s="13">
        <v>1</v>
      </c>
      <c r="E818" s="28">
        <v>1</v>
      </c>
      <c r="F818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1</v>
      </c>
      <c r="O818">
        <v>46</v>
      </c>
      <c r="AA818">
        <v>1</v>
      </c>
      <c r="AB818">
        <v>0</v>
      </c>
      <c r="AC818">
        <v>0</v>
      </c>
      <c r="AD818" s="19">
        <v>55153</v>
      </c>
      <c r="AE818" s="19">
        <v>44013</v>
      </c>
    </row>
    <row r="819" spans="1:31" x14ac:dyDescent="0.25">
      <c r="A819" s="15" t="s">
        <v>1834</v>
      </c>
      <c r="B819" s="14">
        <v>0</v>
      </c>
      <c r="C819" s="16">
        <v>0</v>
      </c>
      <c r="D819" s="16">
        <v>0</v>
      </c>
      <c r="E819">
        <v>0</v>
      </c>
      <c r="F819">
        <v>1</v>
      </c>
      <c r="G819" s="16">
        <v>0</v>
      </c>
      <c r="H819" s="16">
        <v>0</v>
      </c>
      <c r="I819" s="16">
        <v>0</v>
      </c>
      <c r="J819" s="16">
        <v>0</v>
      </c>
      <c r="K819" s="16">
        <v>1</v>
      </c>
      <c r="L819" s="16">
        <v>0</v>
      </c>
      <c r="M819" s="16">
        <v>0</v>
      </c>
      <c r="N819" s="16">
        <v>0</v>
      </c>
      <c r="O819">
        <v>47</v>
      </c>
      <c r="AA819">
        <v>1</v>
      </c>
      <c r="AB819">
        <v>0</v>
      </c>
      <c r="AC819">
        <v>0</v>
      </c>
      <c r="AD819" s="20">
        <v>55153</v>
      </c>
      <c r="AE819" s="20">
        <v>43983</v>
      </c>
    </row>
    <row r="820" spans="1:31" x14ac:dyDescent="0.25">
      <c r="A820" s="12" t="s">
        <v>1836</v>
      </c>
      <c r="B820" s="11">
        <v>1</v>
      </c>
      <c r="C820" s="13">
        <v>1</v>
      </c>
      <c r="D820" s="13">
        <v>1</v>
      </c>
      <c r="E820" s="28">
        <v>1</v>
      </c>
      <c r="F820">
        <v>0</v>
      </c>
      <c r="G820" s="13">
        <v>0</v>
      </c>
      <c r="H820" s="13">
        <v>1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>
        <v>48</v>
      </c>
      <c r="AA820">
        <v>1</v>
      </c>
      <c r="AB820">
        <v>0</v>
      </c>
      <c r="AC820">
        <v>0</v>
      </c>
      <c r="AD820" s="19">
        <v>55153</v>
      </c>
      <c r="AE820" s="19">
        <v>43952</v>
      </c>
    </row>
    <row r="821" spans="1:31" x14ac:dyDescent="0.25">
      <c r="A821" s="15" t="s">
        <v>1838</v>
      </c>
      <c r="B821" s="14">
        <v>1</v>
      </c>
      <c r="C821" s="16">
        <v>1</v>
      </c>
      <c r="D821" s="16">
        <v>1</v>
      </c>
      <c r="E821">
        <v>1</v>
      </c>
      <c r="F821">
        <v>0</v>
      </c>
      <c r="G821" s="16">
        <v>0</v>
      </c>
      <c r="H821" s="16">
        <v>1</v>
      </c>
      <c r="I821" s="16">
        <v>0</v>
      </c>
      <c r="J821" s="16">
        <v>0</v>
      </c>
      <c r="K821" s="16">
        <v>0</v>
      </c>
      <c r="L821" s="16">
        <v>0</v>
      </c>
      <c r="M821" s="16">
        <v>0</v>
      </c>
      <c r="N821" s="16">
        <v>0</v>
      </c>
      <c r="O821">
        <v>47</v>
      </c>
      <c r="AA821">
        <v>1</v>
      </c>
      <c r="AB821">
        <v>0</v>
      </c>
      <c r="AC821">
        <v>0</v>
      </c>
      <c r="AD821" s="20">
        <v>55153</v>
      </c>
      <c r="AE821" s="20">
        <v>43983</v>
      </c>
    </row>
    <row r="822" spans="1:31" x14ac:dyDescent="0.25">
      <c r="A822" s="12" t="s">
        <v>1840</v>
      </c>
      <c r="B822" s="11">
        <v>0</v>
      </c>
      <c r="C822" s="13">
        <v>0</v>
      </c>
      <c r="D822" s="13">
        <v>0</v>
      </c>
      <c r="E822" s="28">
        <v>0</v>
      </c>
      <c r="F822">
        <v>1</v>
      </c>
      <c r="G822" s="13">
        <v>0</v>
      </c>
      <c r="H822" s="13">
        <v>0</v>
      </c>
      <c r="I822" s="13">
        <v>1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>
        <v>35</v>
      </c>
      <c r="AA822">
        <v>1</v>
      </c>
      <c r="AB822">
        <v>0</v>
      </c>
      <c r="AC822">
        <v>0</v>
      </c>
      <c r="AD822" s="19">
        <v>55153</v>
      </c>
      <c r="AE822" s="19">
        <v>44348</v>
      </c>
    </row>
    <row r="823" spans="1:31" x14ac:dyDescent="0.25">
      <c r="A823" s="15" t="s">
        <v>1842</v>
      </c>
      <c r="B823" s="14">
        <v>0</v>
      </c>
      <c r="C823" s="16">
        <v>0</v>
      </c>
      <c r="D823" s="16">
        <v>0</v>
      </c>
      <c r="E823">
        <v>1</v>
      </c>
      <c r="F823">
        <v>0</v>
      </c>
      <c r="G823" s="16">
        <v>1</v>
      </c>
      <c r="H823" s="16">
        <v>0</v>
      </c>
      <c r="I823" s="16">
        <v>0</v>
      </c>
      <c r="J823" s="16">
        <v>0</v>
      </c>
      <c r="K823" s="16">
        <v>0</v>
      </c>
      <c r="L823" s="16">
        <v>0</v>
      </c>
      <c r="M823" s="16">
        <v>0</v>
      </c>
      <c r="N823" s="16">
        <v>0</v>
      </c>
      <c r="O823">
        <v>41</v>
      </c>
      <c r="AA823">
        <v>1</v>
      </c>
      <c r="AB823">
        <v>0</v>
      </c>
      <c r="AC823">
        <v>0</v>
      </c>
      <c r="AD823" s="20">
        <v>55153</v>
      </c>
      <c r="AE823" s="20">
        <v>44166</v>
      </c>
    </row>
    <row r="824" spans="1:31" x14ac:dyDescent="0.25">
      <c r="A824" s="12" t="s">
        <v>1844</v>
      </c>
      <c r="B824" s="11">
        <v>0</v>
      </c>
      <c r="C824" s="13">
        <v>0</v>
      </c>
      <c r="D824" s="13">
        <v>0</v>
      </c>
      <c r="E824" s="28">
        <v>0</v>
      </c>
      <c r="F824">
        <v>1</v>
      </c>
      <c r="G824" s="13">
        <v>0</v>
      </c>
      <c r="H824" s="13">
        <v>0</v>
      </c>
      <c r="I824" s="13">
        <v>0</v>
      </c>
      <c r="J824" s="13">
        <v>0</v>
      </c>
      <c r="K824" s="13">
        <v>1</v>
      </c>
      <c r="L824" s="13">
        <v>0</v>
      </c>
      <c r="M824" s="13">
        <v>0</v>
      </c>
      <c r="N824" s="13">
        <v>0</v>
      </c>
      <c r="O824">
        <v>44</v>
      </c>
      <c r="AA824">
        <v>1</v>
      </c>
      <c r="AB824">
        <v>0</v>
      </c>
      <c r="AC824">
        <v>0</v>
      </c>
      <c r="AD824" s="19">
        <v>55153</v>
      </c>
      <c r="AE824" s="19">
        <v>44075</v>
      </c>
    </row>
    <row r="825" spans="1:31" x14ac:dyDescent="0.25">
      <c r="A825" s="15" t="s">
        <v>1846</v>
      </c>
      <c r="B825" s="14">
        <v>1</v>
      </c>
      <c r="C825" s="16">
        <v>0</v>
      </c>
      <c r="D825" s="16">
        <v>0</v>
      </c>
      <c r="E825">
        <v>0</v>
      </c>
      <c r="F825">
        <v>1</v>
      </c>
      <c r="G825" s="16">
        <v>0</v>
      </c>
      <c r="H825" s="16">
        <v>0</v>
      </c>
      <c r="I825" s="16">
        <v>0</v>
      </c>
      <c r="J825" s="16">
        <v>0</v>
      </c>
      <c r="K825" s="16">
        <v>1</v>
      </c>
      <c r="L825" s="16">
        <v>0</v>
      </c>
      <c r="M825" s="16">
        <v>0</v>
      </c>
      <c r="N825" s="16">
        <v>0</v>
      </c>
      <c r="O825">
        <v>45</v>
      </c>
      <c r="AA825">
        <v>1</v>
      </c>
      <c r="AB825">
        <v>0</v>
      </c>
      <c r="AC825">
        <v>0</v>
      </c>
      <c r="AD825" s="20">
        <v>55153</v>
      </c>
      <c r="AE825" s="20">
        <v>44044</v>
      </c>
    </row>
    <row r="826" spans="1:31" x14ac:dyDescent="0.25">
      <c r="A826" s="12" t="s">
        <v>1848</v>
      </c>
      <c r="B826" s="11">
        <v>1</v>
      </c>
      <c r="C826" s="13">
        <v>1</v>
      </c>
      <c r="D826" s="13">
        <v>1</v>
      </c>
      <c r="E826" s="28">
        <v>1</v>
      </c>
      <c r="F826">
        <v>0</v>
      </c>
      <c r="G826" s="13">
        <v>0</v>
      </c>
      <c r="H826" s="13">
        <v>1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>
        <v>47</v>
      </c>
      <c r="AA826">
        <v>1</v>
      </c>
      <c r="AB826">
        <v>0</v>
      </c>
      <c r="AC826">
        <v>0</v>
      </c>
      <c r="AD826" s="19">
        <v>55153</v>
      </c>
      <c r="AE826" s="19">
        <v>43983</v>
      </c>
    </row>
    <row r="827" spans="1:31" x14ac:dyDescent="0.25">
      <c r="A827" s="15" t="s">
        <v>1850</v>
      </c>
      <c r="B827" s="14">
        <v>0</v>
      </c>
      <c r="C827" s="16">
        <v>0</v>
      </c>
      <c r="D827" s="16">
        <v>0</v>
      </c>
      <c r="E827">
        <v>0</v>
      </c>
      <c r="F827">
        <v>1</v>
      </c>
      <c r="G827" s="16">
        <v>0</v>
      </c>
      <c r="H827" s="16">
        <v>0</v>
      </c>
      <c r="I827" s="16">
        <v>1</v>
      </c>
      <c r="J827" s="16">
        <v>0</v>
      </c>
      <c r="K827" s="16">
        <v>0</v>
      </c>
      <c r="L827" s="16">
        <v>0</v>
      </c>
      <c r="M827" s="16">
        <v>0</v>
      </c>
      <c r="N827" s="16">
        <v>0</v>
      </c>
      <c r="O827">
        <v>44</v>
      </c>
      <c r="AA827">
        <v>1</v>
      </c>
      <c r="AB827">
        <v>0</v>
      </c>
      <c r="AC827">
        <v>0</v>
      </c>
      <c r="AD827" s="20">
        <v>55153</v>
      </c>
      <c r="AE827" s="20">
        <v>44075</v>
      </c>
    </row>
    <row r="828" spans="1:31" x14ac:dyDescent="0.25">
      <c r="A828" s="12" t="s">
        <v>1852</v>
      </c>
      <c r="B828" s="11">
        <v>0</v>
      </c>
      <c r="C828" s="13">
        <v>0</v>
      </c>
      <c r="D828" s="13">
        <v>0</v>
      </c>
      <c r="E828" s="28">
        <v>0</v>
      </c>
      <c r="F828">
        <v>1</v>
      </c>
      <c r="G828" s="13">
        <v>0</v>
      </c>
      <c r="H828" s="13">
        <v>0</v>
      </c>
      <c r="I828" s="13">
        <v>1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>
        <v>44</v>
      </c>
      <c r="AA828">
        <v>1</v>
      </c>
      <c r="AB828">
        <v>0</v>
      </c>
      <c r="AC828">
        <v>0</v>
      </c>
      <c r="AD828" s="19">
        <v>55153</v>
      </c>
      <c r="AE828" s="19">
        <v>44075</v>
      </c>
    </row>
    <row r="829" spans="1:31" x14ac:dyDescent="0.25">
      <c r="A829" s="15" t="s">
        <v>1854</v>
      </c>
      <c r="B829" s="14">
        <v>0</v>
      </c>
      <c r="C829" s="16">
        <v>0</v>
      </c>
      <c r="D829" s="16">
        <v>0</v>
      </c>
      <c r="E829">
        <v>0</v>
      </c>
      <c r="F829">
        <v>1</v>
      </c>
      <c r="G829" s="16">
        <v>0</v>
      </c>
      <c r="H829" s="16">
        <v>0</v>
      </c>
      <c r="I829" s="16">
        <v>1</v>
      </c>
      <c r="J829" s="16">
        <v>0</v>
      </c>
      <c r="K829" s="16">
        <v>0</v>
      </c>
      <c r="L829" s="16">
        <v>0</v>
      </c>
      <c r="M829" s="16">
        <v>0</v>
      </c>
      <c r="N829" s="16">
        <v>0</v>
      </c>
      <c r="O829">
        <v>44</v>
      </c>
      <c r="AA829">
        <v>1</v>
      </c>
      <c r="AB829">
        <v>0</v>
      </c>
      <c r="AC829">
        <v>0</v>
      </c>
      <c r="AD829" s="20">
        <v>55153</v>
      </c>
      <c r="AE829" s="20">
        <v>44075</v>
      </c>
    </row>
    <row r="830" spans="1:31" x14ac:dyDescent="0.25">
      <c r="A830" s="12" t="s">
        <v>1856</v>
      </c>
      <c r="B830" s="11">
        <v>1</v>
      </c>
      <c r="C830" s="13">
        <v>1</v>
      </c>
      <c r="D830" s="13">
        <v>1</v>
      </c>
      <c r="E830" s="28">
        <v>1</v>
      </c>
      <c r="F830">
        <v>0</v>
      </c>
      <c r="G830" s="13">
        <v>0</v>
      </c>
      <c r="H830" s="13">
        <v>1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>
        <v>45</v>
      </c>
      <c r="AA830">
        <v>1</v>
      </c>
      <c r="AB830">
        <v>0</v>
      </c>
      <c r="AC830">
        <v>0</v>
      </c>
      <c r="AD830" s="19">
        <v>55153</v>
      </c>
      <c r="AE830" s="19">
        <v>44044</v>
      </c>
    </row>
    <row r="831" spans="1:31" x14ac:dyDescent="0.25">
      <c r="A831" s="15" t="s">
        <v>1858</v>
      </c>
      <c r="B831" s="14">
        <v>1</v>
      </c>
      <c r="C831" s="16">
        <v>1</v>
      </c>
      <c r="D831" s="16">
        <v>1</v>
      </c>
      <c r="E831">
        <v>1</v>
      </c>
      <c r="F831">
        <v>0</v>
      </c>
      <c r="G831" s="16">
        <v>0</v>
      </c>
      <c r="H831" s="16">
        <v>0</v>
      </c>
      <c r="I831" s="16">
        <v>0</v>
      </c>
      <c r="J831" s="16">
        <v>1</v>
      </c>
      <c r="K831" s="16">
        <v>0</v>
      </c>
      <c r="L831" s="16">
        <v>0</v>
      </c>
      <c r="M831" s="16">
        <v>0</v>
      </c>
      <c r="N831" s="16">
        <v>0</v>
      </c>
      <c r="O831">
        <v>45</v>
      </c>
      <c r="AA831">
        <v>1</v>
      </c>
      <c r="AB831">
        <v>0</v>
      </c>
      <c r="AC831">
        <v>0</v>
      </c>
      <c r="AD831" s="20">
        <v>55153</v>
      </c>
      <c r="AE831" s="20">
        <v>44044</v>
      </c>
    </row>
    <row r="832" spans="1:31" x14ac:dyDescent="0.25">
      <c r="A832" s="12" t="s">
        <v>53</v>
      </c>
      <c r="B832" s="11">
        <v>1</v>
      </c>
      <c r="C832" s="13">
        <v>1</v>
      </c>
      <c r="D832" s="13">
        <v>1</v>
      </c>
      <c r="E832" s="28">
        <v>0</v>
      </c>
      <c r="F832">
        <v>0</v>
      </c>
      <c r="G832" s="13">
        <v>0</v>
      </c>
      <c r="H832" s="13">
        <v>1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>
        <v>42</v>
      </c>
      <c r="AA832">
        <v>0</v>
      </c>
      <c r="AB832">
        <v>1</v>
      </c>
      <c r="AC832">
        <v>0</v>
      </c>
      <c r="AD832" s="19">
        <v>45291</v>
      </c>
      <c r="AE832" s="19">
        <v>43983</v>
      </c>
    </row>
    <row r="833" spans="1:31" x14ac:dyDescent="0.25">
      <c r="A833" s="15" t="s">
        <v>55</v>
      </c>
      <c r="B833" s="14">
        <v>1</v>
      </c>
      <c r="C833" s="16">
        <v>1</v>
      </c>
      <c r="D833" s="16">
        <v>1</v>
      </c>
      <c r="E833">
        <v>0</v>
      </c>
      <c r="F833">
        <v>0</v>
      </c>
      <c r="G833" s="16">
        <v>0</v>
      </c>
      <c r="H833" s="16">
        <v>1</v>
      </c>
      <c r="I833" s="16">
        <v>0</v>
      </c>
      <c r="J833" s="16">
        <v>0</v>
      </c>
      <c r="K833" s="16">
        <v>0</v>
      </c>
      <c r="L833" s="16">
        <v>0</v>
      </c>
      <c r="M833" s="16">
        <v>0</v>
      </c>
      <c r="N833" s="16">
        <v>0</v>
      </c>
      <c r="O833">
        <v>42</v>
      </c>
      <c r="AA833">
        <v>0</v>
      </c>
      <c r="AB833">
        <v>1</v>
      </c>
      <c r="AC833">
        <v>0</v>
      </c>
      <c r="AD833" s="20">
        <v>45291</v>
      </c>
      <c r="AE833" s="20">
        <v>43983</v>
      </c>
    </row>
    <row r="834" spans="1:31" x14ac:dyDescent="0.25">
      <c r="A834" s="12" t="s">
        <v>57</v>
      </c>
      <c r="B834" s="11">
        <v>1</v>
      </c>
      <c r="C834" s="13">
        <v>1</v>
      </c>
      <c r="D834" s="13">
        <v>1</v>
      </c>
      <c r="E834" s="28">
        <v>0</v>
      </c>
      <c r="F834">
        <v>0</v>
      </c>
      <c r="G834" s="13">
        <v>0</v>
      </c>
      <c r="H834" s="13">
        <v>1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>
        <v>40</v>
      </c>
      <c r="AA834">
        <v>0</v>
      </c>
      <c r="AB834">
        <v>1</v>
      </c>
      <c r="AC834">
        <v>0</v>
      </c>
      <c r="AD834" s="19">
        <v>45291</v>
      </c>
      <c r="AE834" s="19">
        <v>44044</v>
      </c>
    </row>
    <row r="835" spans="1:31" x14ac:dyDescent="0.25">
      <c r="A835" s="15" t="s">
        <v>59</v>
      </c>
      <c r="B835" s="14">
        <v>1</v>
      </c>
      <c r="C835" s="16">
        <v>1</v>
      </c>
      <c r="D835" s="16">
        <v>1</v>
      </c>
      <c r="E835">
        <v>0</v>
      </c>
      <c r="F835">
        <v>0</v>
      </c>
      <c r="G835" s="16">
        <v>0</v>
      </c>
      <c r="H835" s="16">
        <v>1</v>
      </c>
      <c r="I835" s="16">
        <v>0</v>
      </c>
      <c r="J835" s="16">
        <v>0</v>
      </c>
      <c r="K835" s="16">
        <v>0</v>
      </c>
      <c r="L835" s="16">
        <v>0</v>
      </c>
      <c r="M835" s="16">
        <v>0</v>
      </c>
      <c r="N835" s="16">
        <v>0</v>
      </c>
      <c r="O835">
        <v>40</v>
      </c>
      <c r="AA835">
        <v>0</v>
      </c>
      <c r="AB835">
        <v>1</v>
      </c>
      <c r="AC835">
        <v>0</v>
      </c>
      <c r="AD835" s="20">
        <v>45291</v>
      </c>
      <c r="AE835" s="20">
        <v>44044</v>
      </c>
    </row>
    <row r="836" spans="1:31" x14ac:dyDescent="0.25">
      <c r="A836" s="12" t="s">
        <v>1860</v>
      </c>
      <c r="B836" s="11">
        <v>1</v>
      </c>
      <c r="C836" s="13">
        <v>1</v>
      </c>
      <c r="D836" s="13">
        <v>1</v>
      </c>
      <c r="E836" s="28">
        <v>1</v>
      </c>
      <c r="F836">
        <v>0</v>
      </c>
      <c r="G836" s="13">
        <v>0</v>
      </c>
      <c r="H836" s="13">
        <v>1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>
        <v>45</v>
      </c>
      <c r="AA836">
        <v>1</v>
      </c>
      <c r="AB836">
        <v>0</v>
      </c>
      <c r="AC836">
        <v>0</v>
      </c>
      <c r="AD836" s="19">
        <v>55153</v>
      </c>
      <c r="AE836" s="19">
        <v>44044</v>
      </c>
    </row>
    <row r="837" spans="1:31" x14ac:dyDescent="0.25">
      <c r="A837" s="15" t="s">
        <v>1862</v>
      </c>
      <c r="B837" s="14">
        <v>1</v>
      </c>
      <c r="C837" s="16">
        <v>1</v>
      </c>
      <c r="D837" s="16">
        <v>1</v>
      </c>
      <c r="E837">
        <v>0</v>
      </c>
      <c r="F837">
        <v>0</v>
      </c>
      <c r="G837" s="16">
        <v>0</v>
      </c>
      <c r="H837" s="16">
        <v>1</v>
      </c>
      <c r="I837" s="16">
        <v>0</v>
      </c>
      <c r="J837" s="16">
        <v>0</v>
      </c>
      <c r="K837" s="16">
        <v>0</v>
      </c>
      <c r="L837" s="16">
        <v>0</v>
      </c>
      <c r="M837" s="16">
        <v>0</v>
      </c>
      <c r="N837" s="16">
        <v>0</v>
      </c>
      <c r="O837">
        <v>20</v>
      </c>
      <c r="AA837">
        <v>0</v>
      </c>
      <c r="AB837">
        <v>1</v>
      </c>
      <c r="AC837">
        <v>0</v>
      </c>
      <c r="AD837" s="20">
        <v>44926</v>
      </c>
      <c r="AE837" s="20">
        <v>44287</v>
      </c>
    </row>
    <row r="838" spans="1:31" x14ac:dyDescent="0.25">
      <c r="A838" s="12" t="s">
        <v>1864</v>
      </c>
      <c r="B838" s="11">
        <v>1</v>
      </c>
      <c r="C838" s="13">
        <v>1</v>
      </c>
      <c r="D838" s="13">
        <v>1</v>
      </c>
      <c r="E838" s="28">
        <v>0</v>
      </c>
      <c r="F838">
        <v>0</v>
      </c>
      <c r="G838" s="13">
        <v>0</v>
      </c>
      <c r="H838" s="13">
        <v>1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>
        <v>26</v>
      </c>
      <c r="AA838">
        <v>0</v>
      </c>
      <c r="AB838">
        <v>1</v>
      </c>
      <c r="AC838">
        <v>0</v>
      </c>
      <c r="AD838" s="19">
        <v>44926</v>
      </c>
      <c r="AE838" s="19">
        <v>44105</v>
      </c>
    </row>
    <row r="839" spans="1:31" x14ac:dyDescent="0.25">
      <c r="A839" s="15" t="s">
        <v>1866</v>
      </c>
      <c r="B839" s="14">
        <v>1</v>
      </c>
      <c r="C839" s="16">
        <v>1</v>
      </c>
      <c r="D839" s="16">
        <v>1</v>
      </c>
      <c r="E839">
        <v>1</v>
      </c>
      <c r="F839">
        <v>0</v>
      </c>
      <c r="G839" s="16">
        <v>0</v>
      </c>
      <c r="H839" s="16">
        <v>0</v>
      </c>
      <c r="I839" s="16">
        <v>0</v>
      </c>
      <c r="J839" s="16">
        <v>1</v>
      </c>
      <c r="K839" s="16">
        <v>0</v>
      </c>
      <c r="L839" s="16">
        <v>0</v>
      </c>
      <c r="M839" s="16">
        <v>0</v>
      </c>
      <c r="N839" s="16">
        <v>0</v>
      </c>
      <c r="O839">
        <v>44</v>
      </c>
      <c r="AA839">
        <v>1</v>
      </c>
      <c r="AB839">
        <v>0</v>
      </c>
      <c r="AC839">
        <v>0</v>
      </c>
      <c r="AD839" s="20">
        <v>55153</v>
      </c>
      <c r="AE839" s="20">
        <v>44075</v>
      </c>
    </row>
    <row r="840" spans="1:31" x14ac:dyDescent="0.25">
      <c r="A840" s="12" t="s">
        <v>1868</v>
      </c>
      <c r="B840" s="11">
        <v>0</v>
      </c>
      <c r="C840" s="13">
        <v>0</v>
      </c>
      <c r="D840" s="13">
        <v>0</v>
      </c>
      <c r="E840" s="28">
        <v>1</v>
      </c>
      <c r="F840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1</v>
      </c>
      <c r="N840" s="13">
        <v>0</v>
      </c>
      <c r="O840">
        <v>44</v>
      </c>
      <c r="AA840">
        <v>1</v>
      </c>
      <c r="AB840">
        <v>0</v>
      </c>
      <c r="AC840">
        <v>0</v>
      </c>
      <c r="AD840" s="19">
        <v>55153</v>
      </c>
      <c r="AE840" s="19">
        <v>44075</v>
      </c>
    </row>
    <row r="841" spans="1:31" x14ac:dyDescent="0.25">
      <c r="A841" s="15" t="s">
        <v>1870</v>
      </c>
      <c r="B841" s="14">
        <v>1</v>
      </c>
      <c r="C841" s="16">
        <v>1</v>
      </c>
      <c r="D841" s="16">
        <v>1</v>
      </c>
      <c r="E841">
        <v>1</v>
      </c>
      <c r="F841">
        <v>0</v>
      </c>
      <c r="G841" s="16">
        <v>0</v>
      </c>
      <c r="H841" s="16">
        <v>0</v>
      </c>
      <c r="I841" s="16">
        <v>0</v>
      </c>
      <c r="J841" s="16">
        <v>1</v>
      </c>
      <c r="K841" s="16">
        <v>0</v>
      </c>
      <c r="L841" s="16">
        <v>0</v>
      </c>
      <c r="M841" s="16">
        <v>0</v>
      </c>
      <c r="N841" s="16">
        <v>0</v>
      </c>
      <c r="O841">
        <v>39</v>
      </c>
      <c r="AA841">
        <v>1</v>
      </c>
      <c r="AB841">
        <v>0</v>
      </c>
      <c r="AC841">
        <v>0</v>
      </c>
      <c r="AD841" s="20">
        <v>55153</v>
      </c>
      <c r="AE841" s="20">
        <v>44228</v>
      </c>
    </row>
    <row r="842" spans="1:31" x14ac:dyDescent="0.25">
      <c r="A842" s="12" t="s">
        <v>1872</v>
      </c>
      <c r="B842" s="11">
        <v>0</v>
      </c>
      <c r="C842" s="13">
        <v>0</v>
      </c>
      <c r="D842" s="13">
        <v>0</v>
      </c>
      <c r="E842" s="28">
        <v>0</v>
      </c>
      <c r="F842">
        <v>1</v>
      </c>
      <c r="G842" s="13">
        <v>0</v>
      </c>
      <c r="H842" s="13">
        <v>0</v>
      </c>
      <c r="I842" s="13">
        <v>0</v>
      </c>
      <c r="J842" s="13">
        <v>0</v>
      </c>
      <c r="K842" s="13">
        <v>0</v>
      </c>
      <c r="L842" s="13">
        <v>1</v>
      </c>
      <c r="M842" s="13">
        <v>0</v>
      </c>
      <c r="N842" s="13">
        <v>0</v>
      </c>
      <c r="O842">
        <v>44</v>
      </c>
      <c r="AA842">
        <v>1</v>
      </c>
      <c r="AB842">
        <v>0</v>
      </c>
      <c r="AC842">
        <v>0</v>
      </c>
      <c r="AD842" s="19">
        <v>55153</v>
      </c>
      <c r="AE842" s="19">
        <v>44075</v>
      </c>
    </row>
    <row r="843" spans="1:31" x14ac:dyDescent="0.25">
      <c r="A843" s="15" t="s">
        <v>1874</v>
      </c>
      <c r="B843" s="14">
        <v>0</v>
      </c>
      <c r="C843" s="16">
        <v>0</v>
      </c>
      <c r="D843" s="16">
        <v>0</v>
      </c>
      <c r="E843">
        <v>0</v>
      </c>
      <c r="F843">
        <v>1</v>
      </c>
      <c r="G843" s="16">
        <v>0</v>
      </c>
      <c r="H843" s="16">
        <v>0</v>
      </c>
      <c r="I843" s="16">
        <v>1</v>
      </c>
      <c r="J843" s="16">
        <v>0</v>
      </c>
      <c r="K843" s="16">
        <v>0</v>
      </c>
      <c r="L843" s="16">
        <v>0</v>
      </c>
      <c r="M843" s="16">
        <v>0</v>
      </c>
      <c r="N843" s="16">
        <v>0</v>
      </c>
      <c r="O843">
        <v>38</v>
      </c>
      <c r="AA843">
        <v>1</v>
      </c>
      <c r="AB843">
        <v>0</v>
      </c>
      <c r="AC843">
        <v>0</v>
      </c>
      <c r="AD843" s="20">
        <v>55153</v>
      </c>
      <c r="AE843" s="20">
        <v>44256</v>
      </c>
    </row>
    <row r="844" spans="1:31" x14ac:dyDescent="0.25">
      <c r="A844" s="12" t="s">
        <v>1876</v>
      </c>
      <c r="B844" s="11">
        <v>0</v>
      </c>
      <c r="C844" s="13">
        <v>0</v>
      </c>
      <c r="D844" s="13">
        <v>0</v>
      </c>
      <c r="E844" s="28">
        <v>0</v>
      </c>
      <c r="F844">
        <v>1</v>
      </c>
      <c r="G844" s="13">
        <v>0</v>
      </c>
      <c r="H844" s="13">
        <v>0</v>
      </c>
      <c r="I844" s="13">
        <v>1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>
        <v>44</v>
      </c>
      <c r="AA844">
        <v>1</v>
      </c>
      <c r="AB844">
        <v>0</v>
      </c>
      <c r="AC844">
        <v>0</v>
      </c>
      <c r="AD844" s="19">
        <v>55153</v>
      </c>
      <c r="AE844" s="19">
        <v>44075</v>
      </c>
    </row>
    <row r="845" spans="1:31" x14ac:dyDescent="0.25">
      <c r="A845" s="15" t="s">
        <v>1878</v>
      </c>
      <c r="B845" s="14">
        <v>1</v>
      </c>
      <c r="C845" s="16">
        <v>0</v>
      </c>
      <c r="D845" s="16">
        <v>1</v>
      </c>
      <c r="E845">
        <v>1</v>
      </c>
      <c r="F845">
        <v>0</v>
      </c>
      <c r="G845" s="16">
        <v>0</v>
      </c>
      <c r="H845" s="16">
        <v>0</v>
      </c>
      <c r="I845" s="16">
        <v>1</v>
      </c>
      <c r="J845" s="16">
        <v>0</v>
      </c>
      <c r="K845" s="16">
        <v>0</v>
      </c>
      <c r="L845" s="16">
        <v>0</v>
      </c>
      <c r="M845" s="16">
        <v>0</v>
      </c>
      <c r="N845" s="16">
        <v>0</v>
      </c>
      <c r="O845">
        <v>45</v>
      </c>
      <c r="AA845">
        <v>1</v>
      </c>
      <c r="AB845">
        <v>0</v>
      </c>
      <c r="AC845">
        <v>0</v>
      </c>
      <c r="AD845" s="20">
        <v>55153</v>
      </c>
      <c r="AE845" s="20">
        <v>44044</v>
      </c>
    </row>
    <row r="846" spans="1:31" x14ac:dyDescent="0.25">
      <c r="A846" s="12" t="s">
        <v>1880</v>
      </c>
      <c r="B846" s="11">
        <v>1</v>
      </c>
      <c r="C846" s="13">
        <v>0</v>
      </c>
      <c r="D846" s="13">
        <v>0</v>
      </c>
      <c r="E846" s="28">
        <v>0</v>
      </c>
      <c r="F846">
        <v>1</v>
      </c>
      <c r="G846" s="13">
        <v>0</v>
      </c>
      <c r="H846" s="13">
        <v>0</v>
      </c>
      <c r="I846" s="13">
        <v>1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>
        <v>37</v>
      </c>
      <c r="AA846">
        <v>1</v>
      </c>
      <c r="AB846">
        <v>0</v>
      </c>
      <c r="AC846">
        <v>0</v>
      </c>
      <c r="AD846" s="19">
        <v>55153</v>
      </c>
      <c r="AE846" s="19">
        <v>44287</v>
      </c>
    </row>
    <row r="847" spans="1:31" x14ac:dyDescent="0.25">
      <c r="A847" s="15" t="s">
        <v>1882</v>
      </c>
      <c r="B847" s="14">
        <v>0</v>
      </c>
      <c r="C847" s="16">
        <v>0</v>
      </c>
      <c r="D847" s="16">
        <v>0</v>
      </c>
      <c r="E847">
        <v>0</v>
      </c>
      <c r="F847">
        <v>0</v>
      </c>
      <c r="G847" s="16">
        <v>0</v>
      </c>
      <c r="H847" s="16">
        <v>0</v>
      </c>
      <c r="I847" s="16">
        <v>0</v>
      </c>
      <c r="J847" s="16">
        <v>0</v>
      </c>
      <c r="K847" s="16">
        <v>1</v>
      </c>
      <c r="L847" s="16">
        <v>0</v>
      </c>
      <c r="M847" s="16">
        <v>0</v>
      </c>
      <c r="N847" s="16">
        <v>0</v>
      </c>
      <c r="O847">
        <v>60</v>
      </c>
      <c r="AA847">
        <v>0</v>
      </c>
      <c r="AB847">
        <v>0</v>
      </c>
      <c r="AC847">
        <v>1</v>
      </c>
      <c r="AD847" s="20">
        <v>44196</v>
      </c>
      <c r="AE847" s="20">
        <v>42339</v>
      </c>
    </row>
    <row r="848" spans="1:31" x14ac:dyDescent="0.25">
      <c r="A848" s="12" t="s">
        <v>1884</v>
      </c>
      <c r="B848" s="11">
        <v>1</v>
      </c>
      <c r="C848" s="13">
        <v>0</v>
      </c>
      <c r="D848" s="13">
        <v>1</v>
      </c>
      <c r="E848" s="28">
        <v>0</v>
      </c>
      <c r="F848">
        <v>0</v>
      </c>
      <c r="G848" s="13">
        <v>0</v>
      </c>
      <c r="H848" s="13">
        <v>0</v>
      </c>
      <c r="I848" s="13">
        <v>0</v>
      </c>
      <c r="J848" s="13">
        <v>1</v>
      </c>
      <c r="K848" s="13">
        <v>0</v>
      </c>
      <c r="L848" s="13">
        <v>0</v>
      </c>
      <c r="M848" s="13">
        <v>0</v>
      </c>
      <c r="N848" s="13">
        <v>0</v>
      </c>
      <c r="O848">
        <v>20</v>
      </c>
      <c r="AA848">
        <v>0</v>
      </c>
      <c r="AB848">
        <v>0</v>
      </c>
      <c r="AC848">
        <v>1</v>
      </c>
      <c r="AD848" s="19">
        <v>44712</v>
      </c>
      <c r="AE848" s="19">
        <v>44075</v>
      </c>
    </row>
    <row r="849" spans="1:31" x14ac:dyDescent="0.25">
      <c r="A849" s="15" t="s">
        <v>1886</v>
      </c>
      <c r="B849" s="14">
        <v>1</v>
      </c>
      <c r="C849" s="16">
        <v>0</v>
      </c>
      <c r="D849" s="16">
        <v>1</v>
      </c>
      <c r="E849">
        <v>0</v>
      </c>
      <c r="F849">
        <v>0</v>
      </c>
      <c r="G849" s="16">
        <v>0</v>
      </c>
      <c r="H849" s="16">
        <v>0</v>
      </c>
      <c r="I849" s="16">
        <v>0</v>
      </c>
      <c r="J849" s="16">
        <v>1</v>
      </c>
      <c r="K849" s="16">
        <v>0</v>
      </c>
      <c r="L849" s="16">
        <v>0</v>
      </c>
      <c r="M849" s="16">
        <v>0</v>
      </c>
      <c r="N849" s="16">
        <v>0</v>
      </c>
      <c r="O849">
        <v>20</v>
      </c>
      <c r="AA849">
        <v>0</v>
      </c>
      <c r="AB849">
        <v>0</v>
      </c>
      <c r="AC849">
        <v>1</v>
      </c>
      <c r="AD849" s="20">
        <v>44712</v>
      </c>
      <c r="AE849" s="20">
        <v>44075</v>
      </c>
    </row>
    <row r="850" spans="1:31" x14ac:dyDescent="0.25">
      <c r="A850" s="12" t="s">
        <v>1888</v>
      </c>
      <c r="B850" s="11">
        <v>0</v>
      </c>
      <c r="C850" s="13">
        <v>0</v>
      </c>
      <c r="D850" s="13">
        <v>0</v>
      </c>
      <c r="E850" s="28">
        <v>0</v>
      </c>
      <c r="F850">
        <v>1</v>
      </c>
      <c r="G850" s="13">
        <v>0</v>
      </c>
      <c r="H850" s="13">
        <v>0</v>
      </c>
      <c r="I850" s="13">
        <v>1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>
        <v>44</v>
      </c>
      <c r="AA850">
        <v>1</v>
      </c>
      <c r="AB850">
        <v>0</v>
      </c>
      <c r="AC850">
        <v>0</v>
      </c>
      <c r="AD850" s="19">
        <v>55153</v>
      </c>
      <c r="AE850" s="19">
        <v>44075</v>
      </c>
    </row>
    <row r="851" spans="1:31" x14ac:dyDescent="0.25">
      <c r="A851" s="15" t="s">
        <v>1890</v>
      </c>
      <c r="B851" s="14">
        <v>1</v>
      </c>
      <c r="C851" s="16">
        <v>1</v>
      </c>
      <c r="D851" s="16">
        <v>1</v>
      </c>
      <c r="E851">
        <v>1</v>
      </c>
      <c r="F851">
        <v>0</v>
      </c>
      <c r="G851" s="16">
        <v>0</v>
      </c>
      <c r="H851" s="16">
        <v>0</v>
      </c>
      <c r="I851" s="16">
        <v>0</v>
      </c>
      <c r="J851" s="16">
        <v>0</v>
      </c>
      <c r="K851" s="16">
        <v>0</v>
      </c>
      <c r="L851" s="16">
        <v>0</v>
      </c>
      <c r="M851" s="16">
        <v>0</v>
      </c>
      <c r="N851" s="16">
        <v>1</v>
      </c>
      <c r="O851">
        <v>44</v>
      </c>
      <c r="AA851">
        <v>1</v>
      </c>
      <c r="AB851">
        <v>0</v>
      </c>
      <c r="AC851">
        <v>0</v>
      </c>
      <c r="AD851" s="20">
        <v>55153</v>
      </c>
      <c r="AE851" s="20">
        <v>44075</v>
      </c>
    </row>
    <row r="852" spans="1:31" x14ac:dyDescent="0.25">
      <c r="A852" s="12" t="s">
        <v>1892</v>
      </c>
      <c r="B852" s="11">
        <v>1</v>
      </c>
      <c r="C852" s="13">
        <v>1</v>
      </c>
      <c r="D852" s="13">
        <v>1</v>
      </c>
      <c r="E852" s="28">
        <v>1</v>
      </c>
      <c r="F852">
        <v>0</v>
      </c>
      <c r="G852" s="13">
        <v>0</v>
      </c>
      <c r="H852" s="13">
        <v>1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>
        <v>44</v>
      </c>
      <c r="AA852">
        <v>1</v>
      </c>
      <c r="AB852">
        <v>0</v>
      </c>
      <c r="AC852">
        <v>0</v>
      </c>
      <c r="AD852" s="19">
        <v>55153</v>
      </c>
      <c r="AE852" s="19">
        <v>44075</v>
      </c>
    </row>
    <row r="853" spans="1:31" x14ac:dyDescent="0.25">
      <c r="A853" s="15" t="s">
        <v>1894</v>
      </c>
      <c r="B853" s="14">
        <v>1</v>
      </c>
      <c r="C853" s="16">
        <v>0</v>
      </c>
      <c r="D853" s="16">
        <v>1</v>
      </c>
      <c r="E853">
        <v>0</v>
      </c>
      <c r="F853">
        <v>0</v>
      </c>
      <c r="G853" s="16">
        <v>0</v>
      </c>
      <c r="H853" s="16">
        <v>1</v>
      </c>
      <c r="I853" s="16">
        <v>0</v>
      </c>
      <c r="J853" s="16">
        <v>0</v>
      </c>
      <c r="K853" s="16">
        <v>0</v>
      </c>
      <c r="L853" s="16">
        <v>0</v>
      </c>
      <c r="M853" s="16">
        <v>0</v>
      </c>
      <c r="N853" s="16">
        <v>0</v>
      </c>
      <c r="O853">
        <v>20</v>
      </c>
      <c r="AA853">
        <v>0</v>
      </c>
      <c r="AB853">
        <v>0</v>
      </c>
      <c r="AC853">
        <v>1</v>
      </c>
      <c r="AD853" s="20">
        <v>44712</v>
      </c>
      <c r="AE853" s="20">
        <v>44075</v>
      </c>
    </row>
    <row r="854" spans="1:31" x14ac:dyDescent="0.25">
      <c r="A854" s="12" t="s">
        <v>1896</v>
      </c>
      <c r="B854" s="11">
        <v>0</v>
      </c>
      <c r="C854" s="13">
        <v>0</v>
      </c>
      <c r="D854" s="13">
        <v>0</v>
      </c>
      <c r="E854" s="28">
        <v>0</v>
      </c>
      <c r="F854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1</v>
      </c>
      <c r="N854" s="13">
        <v>0</v>
      </c>
      <c r="O854">
        <v>0</v>
      </c>
      <c r="AA854">
        <v>0</v>
      </c>
      <c r="AB854">
        <v>0</v>
      </c>
      <c r="AC854">
        <v>1</v>
      </c>
      <c r="AD854" s="19">
        <v>44926</v>
      </c>
      <c r="AE854" s="19">
        <v>44896</v>
      </c>
    </row>
    <row r="855" spans="1:31" x14ac:dyDescent="0.25">
      <c r="A855" s="15" t="s">
        <v>1898</v>
      </c>
      <c r="B855" s="14">
        <v>0</v>
      </c>
      <c r="C855" s="16">
        <v>0</v>
      </c>
      <c r="D855" s="16">
        <v>0</v>
      </c>
      <c r="E855">
        <v>0</v>
      </c>
      <c r="F855">
        <v>0</v>
      </c>
      <c r="G855" s="16">
        <v>0</v>
      </c>
      <c r="H855" s="16">
        <v>0</v>
      </c>
      <c r="I855" s="16">
        <v>0</v>
      </c>
      <c r="J855" s="16">
        <v>0</v>
      </c>
      <c r="K855" s="16">
        <v>0</v>
      </c>
      <c r="L855" s="16">
        <v>0</v>
      </c>
      <c r="M855" s="16">
        <v>1</v>
      </c>
      <c r="N855" s="16">
        <v>0</v>
      </c>
      <c r="O855">
        <v>0</v>
      </c>
      <c r="AA855">
        <v>0</v>
      </c>
      <c r="AB855">
        <v>0</v>
      </c>
      <c r="AC855">
        <v>1</v>
      </c>
      <c r="AD855" s="20">
        <v>44926</v>
      </c>
      <c r="AE855" s="20">
        <v>44896</v>
      </c>
    </row>
    <row r="856" spans="1:31" x14ac:dyDescent="0.25">
      <c r="A856" s="12" t="s">
        <v>1900</v>
      </c>
      <c r="B856" s="11">
        <v>0</v>
      </c>
      <c r="C856" s="13">
        <v>0</v>
      </c>
      <c r="D856" s="13">
        <v>0</v>
      </c>
      <c r="E856" s="28">
        <v>0</v>
      </c>
      <c r="F856">
        <v>1</v>
      </c>
      <c r="G856" s="13">
        <v>1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>
        <v>35</v>
      </c>
      <c r="AA856">
        <v>1</v>
      </c>
      <c r="AB856">
        <v>0</v>
      </c>
      <c r="AC856">
        <v>0</v>
      </c>
      <c r="AD856" s="19">
        <v>55153</v>
      </c>
      <c r="AE856" s="19">
        <v>44348</v>
      </c>
    </row>
    <row r="857" spans="1:31" x14ac:dyDescent="0.25">
      <c r="A857" s="15" t="s">
        <v>1902</v>
      </c>
      <c r="B857" s="14">
        <v>0</v>
      </c>
      <c r="C857" s="16">
        <v>0</v>
      </c>
      <c r="D857" s="16">
        <v>0</v>
      </c>
      <c r="E857">
        <v>0</v>
      </c>
      <c r="F857">
        <v>1</v>
      </c>
      <c r="G857" s="16">
        <v>1</v>
      </c>
      <c r="H857" s="16">
        <v>0</v>
      </c>
      <c r="I857" s="16">
        <v>0</v>
      </c>
      <c r="J857" s="16">
        <v>0</v>
      </c>
      <c r="K857" s="16">
        <v>0</v>
      </c>
      <c r="L857" s="16">
        <v>0</v>
      </c>
      <c r="M857" s="16">
        <v>0</v>
      </c>
      <c r="N857" s="16">
        <v>0</v>
      </c>
      <c r="O857">
        <v>35</v>
      </c>
      <c r="AA857">
        <v>1</v>
      </c>
      <c r="AB857">
        <v>0</v>
      </c>
      <c r="AC857">
        <v>0</v>
      </c>
      <c r="AD857" s="20">
        <v>55153</v>
      </c>
      <c r="AE857" s="20">
        <v>44348</v>
      </c>
    </row>
    <row r="858" spans="1:31" x14ac:dyDescent="0.25">
      <c r="A858" s="12" t="s">
        <v>1904</v>
      </c>
      <c r="B858" s="11">
        <v>0</v>
      </c>
      <c r="C858" s="13">
        <v>0</v>
      </c>
      <c r="D858" s="13">
        <v>0</v>
      </c>
      <c r="E858" s="28">
        <v>0</v>
      </c>
      <c r="F858">
        <v>1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1</v>
      </c>
      <c r="N858" s="13">
        <v>0</v>
      </c>
      <c r="O858">
        <v>41</v>
      </c>
      <c r="AA858">
        <v>1</v>
      </c>
      <c r="AB858">
        <v>0</v>
      </c>
      <c r="AC858">
        <v>0</v>
      </c>
      <c r="AD858" s="19">
        <v>55153</v>
      </c>
      <c r="AE858" s="19">
        <v>44166</v>
      </c>
    </row>
    <row r="859" spans="1:31" x14ac:dyDescent="0.25">
      <c r="A859" s="15" t="s">
        <v>1906</v>
      </c>
      <c r="B859" s="14">
        <v>1</v>
      </c>
      <c r="C859" s="16">
        <v>0</v>
      </c>
      <c r="D859" s="16">
        <v>1</v>
      </c>
      <c r="E859">
        <v>1</v>
      </c>
      <c r="F859">
        <v>0</v>
      </c>
      <c r="G859" s="16">
        <v>0</v>
      </c>
      <c r="H859" s="16">
        <v>1</v>
      </c>
      <c r="I859" s="16">
        <v>0</v>
      </c>
      <c r="J859" s="16">
        <v>0</v>
      </c>
      <c r="K859" s="16">
        <v>0</v>
      </c>
      <c r="L859" s="16">
        <v>0</v>
      </c>
      <c r="M859" s="16">
        <v>0</v>
      </c>
      <c r="N859" s="16">
        <v>0</v>
      </c>
      <c r="O859">
        <v>41</v>
      </c>
      <c r="AA859">
        <v>1</v>
      </c>
      <c r="AB859">
        <v>0</v>
      </c>
      <c r="AC859">
        <v>0</v>
      </c>
      <c r="AD859" s="20">
        <v>55153</v>
      </c>
      <c r="AE859" s="20">
        <v>44166</v>
      </c>
    </row>
    <row r="860" spans="1:31" x14ac:dyDescent="0.25">
      <c r="A860" s="12" t="s">
        <v>1908</v>
      </c>
      <c r="B860" s="11">
        <v>1</v>
      </c>
      <c r="C860" s="13">
        <v>0</v>
      </c>
      <c r="D860" s="13">
        <v>1</v>
      </c>
      <c r="E860" s="28">
        <v>1</v>
      </c>
      <c r="F860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1</v>
      </c>
      <c r="L860" s="13">
        <v>0</v>
      </c>
      <c r="M860" s="13">
        <v>0</v>
      </c>
      <c r="N860" s="13">
        <v>0</v>
      </c>
      <c r="O860">
        <v>41</v>
      </c>
      <c r="AA860">
        <v>1</v>
      </c>
      <c r="AB860">
        <v>0</v>
      </c>
      <c r="AC860">
        <v>0</v>
      </c>
      <c r="AD860" s="19">
        <v>55153</v>
      </c>
      <c r="AE860" s="19">
        <v>44166</v>
      </c>
    </row>
    <row r="861" spans="1:31" x14ac:dyDescent="0.25">
      <c r="A861" s="15" t="s">
        <v>1910</v>
      </c>
      <c r="B861" s="14">
        <v>0</v>
      </c>
      <c r="C861" s="16">
        <v>0</v>
      </c>
      <c r="D861" s="16">
        <v>0</v>
      </c>
      <c r="E861">
        <v>1</v>
      </c>
      <c r="F861">
        <v>0</v>
      </c>
      <c r="G861" s="16">
        <v>0</v>
      </c>
      <c r="H861" s="16">
        <v>0</v>
      </c>
      <c r="I861" s="16">
        <v>0</v>
      </c>
      <c r="J861" s="16">
        <v>0</v>
      </c>
      <c r="K861" s="16">
        <v>1</v>
      </c>
      <c r="L861" s="16">
        <v>0</v>
      </c>
      <c r="M861" s="16">
        <v>0</v>
      </c>
      <c r="N861" s="16">
        <v>0</v>
      </c>
      <c r="O861">
        <v>41</v>
      </c>
      <c r="AA861">
        <v>1</v>
      </c>
      <c r="AB861">
        <v>0</v>
      </c>
      <c r="AC861">
        <v>0</v>
      </c>
      <c r="AD861" s="20">
        <v>55153</v>
      </c>
      <c r="AE861" s="20">
        <v>44166</v>
      </c>
    </row>
    <row r="862" spans="1:31" x14ac:dyDescent="0.25">
      <c r="A862" s="12" t="s">
        <v>1912</v>
      </c>
      <c r="B862" s="11">
        <v>0</v>
      </c>
      <c r="C862" s="13">
        <v>0</v>
      </c>
      <c r="D862" s="13">
        <v>0</v>
      </c>
      <c r="E862" s="28">
        <v>1</v>
      </c>
      <c r="F862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1</v>
      </c>
      <c r="L862" s="13">
        <v>0</v>
      </c>
      <c r="M862" s="13">
        <v>0</v>
      </c>
      <c r="N862" s="13">
        <v>0</v>
      </c>
      <c r="O862">
        <v>41</v>
      </c>
      <c r="AA862">
        <v>1</v>
      </c>
      <c r="AB862">
        <v>0</v>
      </c>
      <c r="AC862">
        <v>0</v>
      </c>
      <c r="AD862" s="19">
        <v>55153</v>
      </c>
      <c r="AE862" s="19">
        <v>44166</v>
      </c>
    </row>
    <row r="863" spans="1:31" x14ac:dyDescent="0.25">
      <c r="A863" s="15" t="s">
        <v>1914</v>
      </c>
      <c r="B863" s="14">
        <v>1</v>
      </c>
      <c r="C863" s="16">
        <v>0</v>
      </c>
      <c r="D863" s="16">
        <v>1</v>
      </c>
      <c r="E863">
        <v>1</v>
      </c>
      <c r="F863">
        <v>0</v>
      </c>
      <c r="G863" s="16">
        <v>0</v>
      </c>
      <c r="H863" s="16">
        <v>0</v>
      </c>
      <c r="I863" s="16">
        <v>0</v>
      </c>
      <c r="J863" s="16">
        <v>0</v>
      </c>
      <c r="K863" s="16">
        <v>0</v>
      </c>
      <c r="L863" s="16">
        <v>0</v>
      </c>
      <c r="M863" s="16">
        <v>0</v>
      </c>
      <c r="N863" s="16">
        <v>1</v>
      </c>
      <c r="O863">
        <v>42</v>
      </c>
      <c r="AA863">
        <v>1</v>
      </c>
      <c r="AB863">
        <v>0</v>
      </c>
      <c r="AC863">
        <v>0</v>
      </c>
      <c r="AD863" s="20">
        <v>55153</v>
      </c>
      <c r="AE863" s="20">
        <v>44136</v>
      </c>
    </row>
    <row r="864" spans="1:31" x14ac:dyDescent="0.25">
      <c r="A864" s="12" t="s">
        <v>1916</v>
      </c>
      <c r="B864" s="11">
        <v>1</v>
      </c>
      <c r="C864" s="13">
        <v>0</v>
      </c>
      <c r="D864" s="13">
        <v>1</v>
      </c>
      <c r="E864" s="28">
        <v>1</v>
      </c>
      <c r="F864">
        <v>0</v>
      </c>
      <c r="G864" s="13">
        <v>0</v>
      </c>
      <c r="H864" s="13">
        <v>1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>
        <v>42</v>
      </c>
      <c r="AA864">
        <v>1</v>
      </c>
      <c r="AB864">
        <v>0</v>
      </c>
      <c r="AC864">
        <v>0</v>
      </c>
      <c r="AD864" s="19">
        <v>55153</v>
      </c>
      <c r="AE864" s="19">
        <v>44136</v>
      </c>
    </row>
    <row r="865" spans="1:31" x14ac:dyDescent="0.25">
      <c r="A865" s="15" t="s">
        <v>1918</v>
      </c>
      <c r="B865" s="14">
        <v>0</v>
      </c>
      <c r="C865" s="16">
        <v>0</v>
      </c>
      <c r="D865" s="16">
        <v>0</v>
      </c>
      <c r="E865">
        <v>1</v>
      </c>
      <c r="F865">
        <v>0</v>
      </c>
      <c r="G865" s="16">
        <v>0</v>
      </c>
      <c r="H865" s="16">
        <v>0</v>
      </c>
      <c r="I865" s="16">
        <v>1</v>
      </c>
      <c r="J865" s="16">
        <v>0</v>
      </c>
      <c r="K865" s="16">
        <v>0</v>
      </c>
      <c r="L865" s="16">
        <v>0</v>
      </c>
      <c r="M865" s="16">
        <v>0</v>
      </c>
      <c r="N865" s="16">
        <v>0</v>
      </c>
      <c r="O865">
        <v>35</v>
      </c>
      <c r="AA865">
        <v>1</v>
      </c>
      <c r="AB865">
        <v>0</v>
      </c>
      <c r="AC865">
        <v>0</v>
      </c>
      <c r="AD865" s="20">
        <v>55153</v>
      </c>
      <c r="AE865" s="20">
        <v>44348</v>
      </c>
    </row>
    <row r="866" spans="1:31" x14ac:dyDescent="0.25">
      <c r="A866" s="12" t="s">
        <v>1920</v>
      </c>
      <c r="B866" s="11">
        <v>0</v>
      </c>
      <c r="C866" s="13">
        <v>0</v>
      </c>
      <c r="D866" s="13">
        <v>0</v>
      </c>
      <c r="E866" s="28">
        <v>1</v>
      </c>
      <c r="F866">
        <v>0</v>
      </c>
      <c r="G866" s="13">
        <v>0</v>
      </c>
      <c r="H866" s="13">
        <v>0</v>
      </c>
      <c r="I866" s="13">
        <v>1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>
        <v>35</v>
      </c>
      <c r="AA866">
        <v>1</v>
      </c>
      <c r="AB866">
        <v>0</v>
      </c>
      <c r="AC866">
        <v>0</v>
      </c>
      <c r="AD866" s="19">
        <v>55153</v>
      </c>
      <c r="AE866" s="19">
        <v>44348</v>
      </c>
    </row>
    <row r="867" spans="1:31" x14ac:dyDescent="0.25">
      <c r="A867" s="15" t="s">
        <v>1922</v>
      </c>
      <c r="B867" s="14">
        <v>0</v>
      </c>
      <c r="C867" s="16">
        <v>0</v>
      </c>
      <c r="D867" s="16">
        <v>0</v>
      </c>
      <c r="E867">
        <v>1</v>
      </c>
      <c r="F867">
        <v>0</v>
      </c>
      <c r="G867" s="16">
        <v>1</v>
      </c>
      <c r="H867" s="16">
        <v>0</v>
      </c>
      <c r="I867" s="16">
        <v>0</v>
      </c>
      <c r="J867" s="16">
        <v>0</v>
      </c>
      <c r="K867" s="16">
        <v>0</v>
      </c>
      <c r="L867" s="16">
        <v>0</v>
      </c>
      <c r="M867" s="16">
        <v>0</v>
      </c>
      <c r="N867" s="16">
        <v>0</v>
      </c>
      <c r="O867">
        <v>38</v>
      </c>
      <c r="AA867">
        <v>1</v>
      </c>
      <c r="AB867">
        <v>0</v>
      </c>
      <c r="AC867">
        <v>0</v>
      </c>
      <c r="AD867" s="20">
        <v>55153</v>
      </c>
      <c r="AE867" s="20">
        <v>44256</v>
      </c>
    </row>
    <row r="868" spans="1:31" x14ac:dyDescent="0.25">
      <c r="A868" s="12" t="s">
        <v>1924</v>
      </c>
      <c r="B868" s="11">
        <v>1</v>
      </c>
      <c r="C868" s="13">
        <v>0</v>
      </c>
      <c r="D868" s="13">
        <v>1</v>
      </c>
      <c r="E868" s="28">
        <v>0</v>
      </c>
      <c r="F868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1</v>
      </c>
      <c r="M868" s="13">
        <v>0</v>
      </c>
      <c r="N868" s="13">
        <v>0</v>
      </c>
      <c r="O868">
        <v>18</v>
      </c>
      <c r="AA868">
        <v>0</v>
      </c>
      <c r="AB868">
        <v>0</v>
      </c>
      <c r="AC868">
        <v>1</v>
      </c>
      <c r="AD868" s="19">
        <v>44804</v>
      </c>
      <c r="AE868" s="19">
        <v>44197</v>
      </c>
    </row>
    <row r="869" spans="1:31" x14ac:dyDescent="0.25">
      <c r="A869" s="15" t="s">
        <v>1926</v>
      </c>
      <c r="B869" s="14">
        <v>0</v>
      </c>
      <c r="C869" s="16">
        <v>0</v>
      </c>
      <c r="D869" s="16">
        <v>0</v>
      </c>
      <c r="E869">
        <v>0</v>
      </c>
      <c r="F869">
        <v>1</v>
      </c>
      <c r="G869" s="16">
        <v>1</v>
      </c>
      <c r="H869" s="16">
        <v>0</v>
      </c>
      <c r="I869" s="16">
        <v>0</v>
      </c>
      <c r="J869" s="16">
        <v>0</v>
      </c>
      <c r="K869" s="16">
        <v>0</v>
      </c>
      <c r="L869" s="16">
        <v>0</v>
      </c>
      <c r="M869" s="16">
        <v>0</v>
      </c>
      <c r="N869" s="16">
        <v>0</v>
      </c>
      <c r="O869">
        <v>38</v>
      </c>
      <c r="AA869">
        <v>1</v>
      </c>
      <c r="AB869">
        <v>0</v>
      </c>
      <c r="AC869">
        <v>0</v>
      </c>
      <c r="AD869" s="20">
        <v>55153</v>
      </c>
      <c r="AE869" s="20">
        <v>44256</v>
      </c>
    </row>
    <row r="870" spans="1:31" x14ac:dyDescent="0.25">
      <c r="A870" s="12" t="s">
        <v>1928</v>
      </c>
      <c r="B870" s="11">
        <v>0</v>
      </c>
      <c r="C870" s="13">
        <v>0</v>
      </c>
      <c r="D870" s="13">
        <v>0</v>
      </c>
      <c r="E870" s="28">
        <v>0</v>
      </c>
      <c r="F870">
        <v>1</v>
      </c>
      <c r="G870" s="13">
        <v>0</v>
      </c>
      <c r="H870" s="13">
        <v>0</v>
      </c>
      <c r="I870" s="13">
        <v>1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>
        <v>38</v>
      </c>
      <c r="AA870">
        <v>1</v>
      </c>
      <c r="AB870">
        <v>0</v>
      </c>
      <c r="AC870">
        <v>0</v>
      </c>
      <c r="AD870" s="19">
        <v>55153</v>
      </c>
      <c r="AE870" s="19">
        <v>44256</v>
      </c>
    </row>
    <row r="871" spans="1:31" x14ac:dyDescent="0.25">
      <c r="A871" s="15" t="s">
        <v>1930</v>
      </c>
      <c r="B871" s="14">
        <v>1</v>
      </c>
      <c r="C871" s="16">
        <v>0</v>
      </c>
      <c r="D871" s="16">
        <v>1</v>
      </c>
      <c r="E871">
        <v>1</v>
      </c>
      <c r="F871">
        <v>0</v>
      </c>
      <c r="G871" s="16">
        <v>0</v>
      </c>
      <c r="H871" s="16">
        <v>0</v>
      </c>
      <c r="I871" s="16">
        <v>1</v>
      </c>
      <c r="J871" s="16">
        <v>0</v>
      </c>
      <c r="K871" s="16">
        <v>0</v>
      </c>
      <c r="L871" s="16">
        <v>0</v>
      </c>
      <c r="M871" s="16">
        <v>0</v>
      </c>
      <c r="N871" s="16">
        <v>0</v>
      </c>
      <c r="O871">
        <v>37</v>
      </c>
      <c r="AA871">
        <v>1</v>
      </c>
      <c r="AB871">
        <v>0</v>
      </c>
      <c r="AC871">
        <v>0</v>
      </c>
      <c r="AD871" s="20">
        <v>55153</v>
      </c>
      <c r="AE871" s="20">
        <v>44287</v>
      </c>
    </row>
    <row r="872" spans="1:31" x14ac:dyDescent="0.25">
      <c r="A872" s="12" t="s">
        <v>1932</v>
      </c>
      <c r="B872" s="11">
        <v>1</v>
      </c>
      <c r="C872" s="13">
        <v>0</v>
      </c>
      <c r="D872" s="13">
        <v>1</v>
      </c>
      <c r="E872" s="28">
        <v>1</v>
      </c>
      <c r="F872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1</v>
      </c>
      <c r="O872">
        <v>40</v>
      </c>
      <c r="AA872">
        <v>1</v>
      </c>
      <c r="AB872">
        <v>0</v>
      </c>
      <c r="AC872">
        <v>0</v>
      </c>
      <c r="AD872" s="19">
        <v>55153</v>
      </c>
      <c r="AE872" s="19">
        <v>44197</v>
      </c>
    </row>
    <row r="873" spans="1:31" x14ac:dyDescent="0.25">
      <c r="A873" s="15" t="s">
        <v>1934</v>
      </c>
      <c r="B873" s="14">
        <v>1</v>
      </c>
      <c r="C873" s="16">
        <v>0</v>
      </c>
      <c r="D873" s="16">
        <v>1</v>
      </c>
      <c r="E873">
        <v>0</v>
      </c>
      <c r="F873">
        <v>1</v>
      </c>
      <c r="G873" s="16">
        <v>0</v>
      </c>
      <c r="H873" s="16">
        <v>0</v>
      </c>
      <c r="I873" s="16">
        <v>0</v>
      </c>
      <c r="J873" s="16">
        <v>0</v>
      </c>
      <c r="K873" s="16">
        <v>0</v>
      </c>
      <c r="L873" s="16">
        <v>1</v>
      </c>
      <c r="M873" s="16">
        <v>0</v>
      </c>
      <c r="N873" s="16">
        <v>0</v>
      </c>
      <c r="O873">
        <v>41</v>
      </c>
      <c r="AA873">
        <v>1</v>
      </c>
      <c r="AB873">
        <v>0</v>
      </c>
      <c r="AC873">
        <v>0</v>
      </c>
      <c r="AD873" s="20">
        <v>55153</v>
      </c>
      <c r="AE873" s="20">
        <v>44166</v>
      </c>
    </row>
    <row r="874" spans="1:31" x14ac:dyDescent="0.25">
      <c r="A874" s="12" t="s">
        <v>1936</v>
      </c>
      <c r="B874" s="11">
        <v>1</v>
      </c>
      <c r="C874" s="13">
        <v>0</v>
      </c>
      <c r="D874" s="13">
        <v>1</v>
      </c>
      <c r="E874" s="28">
        <v>1</v>
      </c>
      <c r="F874">
        <v>0</v>
      </c>
      <c r="G874" s="13">
        <v>0</v>
      </c>
      <c r="H874" s="13">
        <v>0</v>
      </c>
      <c r="I874" s="13">
        <v>1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>
        <v>41</v>
      </c>
      <c r="AA874">
        <v>1</v>
      </c>
      <c r="AB874">
        <v>0</v>
      </c>
      <c r="AC874">
        <v>0</v>
      </c>
      <c r="AD874" s="19">
        <v>55153</v>
      </c>
      <c r="AE874" s="19">
        <v>44166</v>
      </c>
    </row>
    <row r="875" spans="1:31" x14ac:dyDescent="0.25">
      <c r="A875" s="15" t="s">
        <v>1938</v>
      </c>
      <c r="B875" s="14">
        <v>1</v>
      </c>
      <c r="C875" s="16">
        <v>0</v>
      </c>
      <c r="D875" s="16">
        <v>0</v>
      </c>
      <c r="E875">
        <v>0</v>
      </c>
      <c r="F875">
        <v>1</v>
      </c>
      <c r="G875" s="16">
        <v>0</v>
      </c>
      <c r="H875" s="16">
        <v>0</v>
      </c>
      <c r="I875" s="16">
        <v>1</v>
      </c>
      <c r="J875" s="16">
        <v>0</v>
      </c>
      <c r="K875" s="16">
        <v>0</v>
      </c>
      <c r="L875" s="16">
        <v>0</v>
      </c>
      <c r="M875" s="16">
        <v>0</v>
      </c>
      <c r="N875" s="16">
        <v>0</v>
      </c>
      <c r="O875">
        <v>42</v>
      </c>
      <c r="AA875">
        <v>1</v>
      </c>
      <c r="AB875">
        <v>0</v>
      </c>
      <c r="AC875">
        <v>0</v>
      </c>
      <c r="AD875" s="20">
        <v>55153</v>
      </c>
      <c r="AE875" s="20">
        <v>44136</v>
      </c>
    </row>
    <row r="876" spans="1:31" x14ac:dyDescent="0.25">
      <c r="A876" s="12" t="s">
        <v>1940</v>
      </c>
      <c r="B876" s="11">
        <v>0</v>
      </c>
      <c r="C876" s="13">
        <v>0</v>
      </c>
      <c r="D876" s="13">
        <v>0</v>
      </c>
      <c r="E876" s="28">
        <v>0</v>
      </c>
      <c r="F876">
        <v>1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1</v>
      </c>
      <c r="N876" s="13">
        <v>0</v>
      </c>
      <c r="O876">
        <v>29</v>
      </c>
      <c r="AA876">
        <v>1</v>
      </c>
      <c r="AB876">
        <v>0</v>
      </c>
      <c r="AC876">
        <v>0</v>
      </c>
      <c r="AD876" s="19">
        <v>55153</v>
      </c>
      <c r="AE876" s="19">
        <v>44531</v>
      </c>
    </row>
    <row r="877" spans="1:31" x14ac:dyDescent="0.25">
      <c r="A877" s="15" t="s">
        <v>1942</v>
      </c>
      <c r="B877" s="14">
        <v>1</v>
      </c>
      <c r="C877" s="16">
        <v>0</v>
      </c>
      <c r="D877" s="16">
        <v>0</v>
      </c>
      <c r="E877">
        <v>0</v>
      </c>
      <c r="F877">
        <v>1</v>
      </c>
      <c r="G877" s="16">
        <v>0</v>
      </c>
      <c r="H877" s="16">
        <v>1</v>
      </c>
      <c r="I877" s="16">
        <v>0</v>
      </c>
      <c r="J877" s="16">
        <v>0</v>
      </c>
      <c r="K877" s="16">
        <v>0</v>
      </c>
      <c r="L877" s="16">
        <v>0</v>
      </c>
      <c r="M877" s="16">
        <v>0</v>
      </c>
      <c r="N877" s="16">
        <v>0</v>
      </c>
      <c r="O877">
        <v>29</v>
      </c>
      <c r="AA877">
        <v>1</v>
      </c>
      <c r="AB877">
        <v>0</v>
      </c>
      <c r="AC877">
        <v>0</v>
      </c>
      <c r="AD877" s="20">
        <v>55153</v>
      </c>
      <c r="AE877" s="20">
        <v>44531</v>
      </c>
    </row>
    <row r="878" spans="1:31" x14ac:dyDescent="0.25">
      <c r="A878" s="12" t="s">
        <v>1944</v>
      </c>
      <c r="B878" s="11">
        <v>1</v>
      </c>
      <c r="C878" s="13">
        <v>0</v>
      </c>
      <c r="D878" s="13">
        <v>0</v>
      </c>
      <c r="E878" s="28">
        <v>0</v>
      </c>
      <c r="F878">
        <v>1</v>
      </c>
      <c r="G878" s="13">
        <v>0</v>
      </c>
      <c r="H878" s="13">
        <v>1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>
        <v>38</v>
      </c>
      <c r="AA878">
        <v>1</v>
      </c>
      <c r="AB878">
        <v>0</v>
      </c>
      <c r="AC878">
        <v>0</v>
      </c>
      <c r="AD878" s="19">
        <v>55153</v>
      </c>
      <c r="AE878" s="19">
        <v>44256</v>
      </c>
    </row>
    <row r="879" spans="1:31" x14ac:dyDescent="0.25">
      <c r="A879" s="15" t="s">
        <v>1946</v>
      </c>
      <c r="B879" s="14">
        <v>1</v>
      </c>
      <c r="C879" s="16">
        <v>0</v>
      </c>
      <c r="D879" s="16">
        <v>0</v>
      </c>
      <c r="E879">
        <v>0</v>
      </c>
      <c r="F879">
        <v>1</v>
      </c>
      <c r="G879" s="16">
        <v>0</v>
      </c>
      <c r="H879" s="16">
        <v>1</v>
      </c>
      <c r="I879" s="16">
        <v>0</v>
      </c>
      <c r="J879" s="16">
        <v>0</v>
      </c>
      <c r="K879" s="16">
        <v>0</v>
      </c>
      <c r="L879" s="16">
        <v>0</v>
      </c>
      <c r="M879" s="16">
        <v>0</v>
      </c>
      <c r="N879" s="16">
        <v>0</v>
      </c>
      <c r="O879">
        <v>38</v>
      </c>
      <c r="AA879">
        <v>1</v>
      </c>
      <c r="AB879">
        <v>0</v>
      </c>
      <c r="AC879">
        <v>0</v>
      </c>
      <c r="AD879" s="20">
        <v>55153</v>
      </c>
      <c r="AE879" s="20">
        <v>44256</v>
      </c>
    </row>
    <row r="880" spans="1:31" x14ac:dyDescent="0.25">
      <c r="A880" s="12" t="s">
        <v>1948</v>
      </c>
      <c r="B880" s="11">
        <v>1</v>
      </c>
      <c r="C880" s="13">
        <v>0</v>
      </c>
      <c r="D880" s="13">
        <v>1</v>
      </c>
      <c r="E880" s="28">
        <v>0</v>
      </c>
      <c r="F880">
        <v>0</v>
      </c>
      <c r="G880" s="13">
        <v>0</v>
      </c>
      <c r="H880" s="13">
        <v>1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>
        <v>8</v>
      </c>
      <c r="AA880">
        <v>0</v>
      </c>
      <c r="AB880">
        <v>1</v>
      </c>
      <c r="AC880">
        <v>0</v>
      </c>
      <c r="AD880" s="19">
        <v>44530</v>
      </c>
      <c r="AE880" s="19">
        <v>44256</v>
      </c>
    </row>
    <row r="881" spans="1:31" x14ac:dyDescent="0.25">
      <c r="A881" s="15" t="s">
        <v>1950</v>
      </c>
      <c r="B881" s="14">
        <v>0</v>
      </c>
      <c r="C881" s="16">
        <v>0</v>
      </c>
      <c r="D881" s="16">
        <v>0</v>
      </c>
      <c r="E881">
        <v>0</v>
      </c>
      <c r="F881">
        <v>1</v>
      </c>
      <c r="G881" s="16">
        <v>0</v>
      </c>
      <c r="H881" s="16">
        <v>0</v>
      </c>
      <c r="I881" s="16">
        <v>0</v>
      </c>
      <c r="J881" s="16">
        <v>0</v>
      </c>
      <c r="K881" s="16">
        <v>0</v>
      </c>
      <c r="L881" s="16">
        <v>0</v>
      </c>
      <c r="M881" s="16">
        <v>1</v>
      </c>
      <c r="N881" s="16">
        <v>0</v>
      </c>
      <c r="O881">
        <v>38</v>
      </c>
      <c r="AA881">
        <v>1</v>
      </c>
      <c r="AB881">
        <v>0</v>
      </c>
      <c r="AC881">
        <v>0</v>
      </c>
      <c r="AD881" s="20">
        <v>55153</v>
      </c>
      <c r="AE881" s="20">
        <v>44256</v>
      </c>
    </row>
    <row r="882" spans="1:31" x14ac:dyDescent="0.25">
      <c r="A882" s="12" t="s">
        <v>61</v>
      </c>
      <c r="B882" s="11">
        <v>0</v>
      </c>
      <c r="C882" s="13">
        <v>0</v>
      </c>
      <c r="D882" s="13">
        <v>0</v>
      </c>
      <c r="E882" s="28">
        <v>0</v>
      </c>
      <c r="F882">
        <v>0</v>
      </c>
      <c r="G882" s="13">
        <v>0</v>
      </c>
      <c r="H882" s="13">
        <v>0</v>
      </c>
      <c r="I882" s="13">
        <v>1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>
        <v>27</v>
      </c>
      <c r="AA882">
        <v>0</v>
      </c>
      <c r="AB882">
        <v>0</v>
      </c>
      <c r="AC882">
        <v>1</v>
      </c>
      <c r="AD882" s="19">
        <v>45199</v>
      </c>
      <c r="AE882" s="19">
        <v>44348</v>
      </c>
    </row>
    <row r="883" spans="1:31" x14ac:dyDescent="0.25">
      <c r="A883" s="15" t="s">
        <v>1953</v>
      </c>
      <c r="B883" s="14">
        <v>0</v>
      </c>
      <c r="C883" s="16">
        <v>0</v>
      </c>
      <c r="D883" s="16">
        <v>0</v>
      </c>
      <c r="E883">
        <v>1</v>
      </c>
      <c r="F883">
        <v>0</v>
      </c>
      <c r="G883" s="16">
        <v>1</v>
      </c>
      <c r="H883" s="16">
        <v>0</v>
      </c>
      <c r="I883" s="16">
        <v>0</v>
      </c>
      <c r="J883" s="16">
        <v>0</v>
      </c>
      <c r="K883" s="16">
        <v>0</v>
      </c>
      <c r="L883" s="16">
        <v>0</v>
      </c>
      <c r="M883" s="16">
        <v>0</v>
      </c>
      <c r="N883" s="16">
        <v>0</v>
      </c>
      <c r="O883">
        <v>35</v>
      </c>
      <c r="AA883">
        <v>1</v>
      </c>
      <c r="AB883">
        <v>0</v>
      </c>
      <c r="AC883">
        <v>0</v>
      </c>
      <c r="AD883" s="20">
        <v>55153</v>
      </c>
      <c r="AE883" s="20">
        <v>44348</v>
      </c>
    </row>
    <row r="884" spans="1:31" x14ac:dyDescent="0.25">
      <c r="A884" s="12" t="s">
        <v>1955</v>
      </c>
      <c r="B884" s="11">
        <v>0</v>
      </c>
      <c r="C884" s="13">
        <v>0</v>
      </c>
      <c r="D884" s="13">
        <v>0</v>
      </c>
      <c r="E884" s="28">
        <v>1</v>
      </c>
      <c r="F884">
        <v>0</v>
      </c>
      <c r="G884" s="13">
        <v>1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>
        <v>35</v>
      </c>
      <c r="AA884">
        <v>1</v>
      </c>
      <c r="AB884">
        <v>0</v>
      </c>
      <c r="AC884">
        <v>0</v>
      </c>
      <c r="AD884" s="19">
        <v>55153</v>
      </c>
      <c r="AE884" s="19">
        <v>44348</v>
      </c>
    </row>
    <row r="885" spans="1:31" x14ac:dyDescent="0.25">
      <c r="A885" s="15" t="s">
        <v>1957</v>
      </c>
      <c r="B885" s="14">
        <v>0</v>
      </c>
      <c r="C885" s="16">
        <v>0</v>
      </c>
      <c r="D885" s="16">
        <v>0</v>
      </c>
      <c r="E885">
        <v>1</v>
      </c>
      <c r="F885">
        <v>0</v>
      </c>
      <c r="G885" s="16">
        <v>0</v>
      </c>
      <c r="H885" s="16">
        <v>0</v>
      </c>
      <c r="I885" s="16">
        <v>0</v>
      </c>
      <c r="J885" s="16">
        <v>0</v>
      </c>
      <c r="K885" s="16">
        <v>1</v>
      </c>
      <c r="L885" s="16">
        <v>0</v>
      </c>
      <c r="M885" s="16">
        <v>0</v>
      </c>
      <c r="N885" s="16">
        <v>0</v>
      </c>
      <c r="O885">
        <v>32</v>
      </c>
      <c r="AA885">
        <v>1</v>
      </c>
      <c r="AB885">
        <v>0</v>
      </c>
      <c r="AC885">
        <v>0</v>
      </c>
      <c r="AD885" s="20">
        <v>55153</v>
      </c>
      <c r="AE885" s="20">
        <v>44440</v>
      </c>
    </row>
    <row r="886" spans="1:31" x14ac:dyDescent="0.25">
      <c r="A886" s="12" t="s">
        <v>1959</v>
      </c>
      <c r="B886" s="11">
        <v>0</v>
      </c>
      <c r="C886" s="13">
        <v>0</v>
      </c>
      <c r="D886" s="13">
        <v>0</v>
      </c>
      <c r="E886" s="28">
        <v>0</v>
      </c>
      <c r="F886">
        <v>1</v>
      </c>
      <c r="G886" s="13">
        <v>1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>
        <v>35</v>
      </c>
      <c r="AA886">
        <v>1</v>
      </c>
      <c r="AB886">
        <v>0</v>
      </c>
      <c r="AC886">
        <v>0</v>
      </c>
      <c r="AD886" s="19">
        <v>55153</v>
      </c>
      <c r="AE886" s="19">
        <v>44348</v>
      </c>
    </row>
    <row r="887" spans="1:31" x14ac:dyDescent="0.25">
      <c r="A887" s="15" t="s">
        <v>1961</v>
      </c>
      <c r="B887" s="14">
        <v>0</v>
      </c>
      <c r="C887" s="16">
        <v>0</v>
      </c>
      <c r="D887" s="16">
        <v>0</v>
      </c>
      <c r="E887">
        <v>1</v>
      </c>
      <c r="F887">
        <v>0</v>
      </c>
      <c r="G887" s="16">
        <v>0</v>
      </c>
      <c r="H887" s="16">
        <v>0</v>
      </c>
      <c r="I887" s="16">
        <v>0</v>
      </c>
      <c r="J887" s="16">
        <v>0</v>
      </c>
      <c r="K887" s="16">
        <v>1</v>
      </c>
      <c r="L887" s="16">
        <v>0</v>
      </c>
      <c r="M887" s="16">
        <v>0</v>
      </c>
      <c r="N887" s="16">
        <v>0</v>
      </c>
      <c r="O887">
        <v>35</v>
      </c>
      <c r="AA887">
        <v>1</v>
      </c>
      <c r="AB887">
        <v>0</v>
      </c>
      <c r="AC887">
        <v>0</v>
      </c>
      <c r="AD887" s="20">
        <v>55153</v>
      </c>
      <c r="AE887" s="20">
        <v>44348</v>
      </c>
    </row>
    <row r="888" spans="1:31" x14ac:dyDescent="0.25">
      <c r="A888" s="12" t="s">
        <v>1963</v>
      </c>
      <c r="B888" s="11">
        <v>1</v>
      </c>
      <c r="C888" s="13">
        <v>0</v>
      </c>
      <c r="D888" s="13">
        <v>1</v>
      </c>
      <c r="E888" s="28">
        <v>1</v>
      </c>
      <c r="F888">
        <v>0</v>
      </c>
      <c r="G888" s="13">
        <v>0</v>
      </c>
      <c r="H888" s="13">
        <v>0</v>
      </c>
      <c r="I888" s="13">
        <v>0</v>
      </c>
      <c r="J888" s="13">
        <v>1</v>
      </c>
      <c r="K888" s="13">
        <v>0</v>
      </c>
      <c r="L888" s="13">
        <v>0</v>
      </c>
      <c r="M888" s="13">
        <v>0</v>
      </c>
      <c r="N888" s="13">
        <v>0</v>
      </c>
      <c r="O888">
        <v>33</v>
      </c>
      <c r="AA888">
        <v>1</v>
      </c>
      <c r="AB888">
        <v>0</v>
      </c>
      <c r="AC888">
        <v>0</v>
      </c>
      <c r="AD888" s="19">
        <v>55153</v>
      </c>
      <c r="AE888" s="19">
        <v>44409</v>
      </c>
    </row>
    <row r="889" spans="1:31" x14ac:dyDescent="0.25">
      <c r="A889" s="15" t="s">
        <v>1965</v>
      </c>
      <c r="B889" s="14">
        <v>0</v>
      </c>
      <c r="C889" s="16">
        <v>0</v>
      </c>
      <c r="D889" s="16">
        <v>0</v>
      </c>
      <c r="E889">
        <v>0</v>
      </c>
      <c r="F889">
        <v>1</v>
      </c>
      <c r="G889" s="16">
        <v>0</v>
      </c>
      <c r="H889" s="16">
        <v>0</v>
      </c>
      <c r="I889" s="16">
        <v>0</v>
      </c>
      <c r="J889" s="16">
        <v>0</v>
      </c>
      <c r="K889" s="16">
        <v>1</v>
      </c>
      <c r="L889" s="16">
        <v>0</v>
      </c>
      <c r="M889" s="16">
        <v>0</v>
      </c>
      <c r="N889" s="16">
        <v>0</v>
      </c>
      <c r="O889">
        <v>38</v>
      </c>
      <c r="AA889">
        <v>1</v>
      </c>
      <c r="AB889">
        <v>0</v>
      </c>
      <c r="AC889">
        <v>0</v>
      </c>
      <c r="AD889" s="20">
        <v>55153</v>
      </c>
      <c r="AE889" s="20">
        <v>44256</v>
      </c>
    </row>
    <row r="890" spans="1:31" x14ac:dyDescent="0.25">
      <c r="A890" s="12" t="s">
        <v>1967</v>
      </c>
      <c r="B890" s="11">
        <v>0</v>
      </c>
      <c r="C890" s="13">
        <v>0</v>
      </c>
      <c r="D890" s="13">
        <v>0</v>
      </c>
      <c r="E890" s="28">
        <v>0</v>
      </c>
      <c r="F890">
        <v>1</v>
      </c>
      <c r="G890" s="13">
        <v>0</v>
      </c>
      <c r="H890" s="13">
        <v>0</v>
      </c>
      <c r="I890" s="13">
        <v>0</v>
      </c>
      <c r="J890" s="13">
        <v>0</v>
      </c>
      <c r="K890" s="13">
        <v>1</v>
      </c>
      <c r="L890" s="13">
        <v>0</v>
      </c>
      <c r="M890" s="13">
        <v>0</v>
      </c>
      <c r="N890" s="13">
        <v>0</v>
      </c>
      <c r="O890">
        <v>35</v>
      </c>
      <c r="AA890">
        <v>1</v>
      </c>
      <c r="AB890">
        <v>0</v>
      </c>
      <c r="AC890">
        <v>0</v>
      </c>
      <c r="AD890" s="19">
        <v>55153</v>
      </c>
      <c r="AE890" s="19">
        <v>44348</v>
      </c>
    </row>
    <row r="891" spans="1:31" x14ac:dyDescent="0.25">
      <c r="A891" s="15" t="s">
        <v>1969</v>
      </c>
      <c r="B891" s="14">
        <v>1</v>
      </c>
      <c r="C891" s="16">
        <v>0</v>
      </c>
      <c r="D891" s="16">
        <v>0</v>
      </c>
      <c r="E891">
        <v>0</v>
      </c>
      <c r="F891">
        <v>1</v>
      </c>
      <c r="G891" s="16">
        <v>0</v>
      </c>
      <c r="H891" s="16">
        <v>1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>
        <v>36</v>
      </c>
      <c r="AA891">
        <v>1</v>
      </c>
      <c r="AB891">
        <v>0</v>
      </c>
      <c r="AC891">
        <v>0</v>
      </c>
      <c r="AD891" s="20">
        <v>55153</v>
      </c>
      <c r="AE891" s="20">
        <v>44317</v>
      </c>
    </row>
    <row r="892" spans="1:31" x14ac:dyDescent="0.25">
      <c r="A892" s="12" t="s">
        <v>1971</v>
      </c>
      <c r="B892" s="11">
        <v>1</v>
      </c>
      <c r="C892" s="13">
        <v>0</v>
      </c>
      <c r="D892" s="13">
        <v>0</v>
      </c>
      <c r="E892" s="28">
        <v>0</v>
      </c>
      <c r="F892">
        <v>1</v>
      </c>
      <c r="G892" s="13">
        <v>0</v>
      </c>
      <c r="H892" s="13">
        <v>1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>
        <v>36</v>
      </c>
      <c r="AA892">
        <v>1</v>
      </c>
      <c r="AB892">
        <v>0</v>
      </c>
      <c r="AC892">
        <v>0</v>
      </c>
      <c r="AD892" s="19">
        <v>55153</v>
      </c>
      <c r="AE892" s="19">
        <v>44317</v>
      </c>
    </row>
    <row r="893" spans="1:31" x14ac:dyDescent="0.25">
      <c r="A893" s="15" t="s">
        <v>1973</v>
      </c>
      <c r="B893" s="14">
        <v>0</v>
      </c>
      <c r="C893" s="16">
        <v>0</v>
      </c>
      <c r="D893" s="16">
        <v>0</v>
      </c>
      <c r="E893">
        <v>1</v>
      </c>
      <c r="F893">
        <v>0</v>
      </c>
      <c r="G893" s="16">
        <v>0</v>
      </c>
      <c r="H893" s="16">
        <v>0</v>
      </c>
      <c r="I893" s="16">
        <v>1</v>
      </c>
      <c r="J893" s="16">
        <v>0</v>
      </c>
      <c r="K893" s="16">
        <v>0</v>
      </c>
      <c r="L893" s="16">
        <v>0</v>
      </c>
      <c r="M893" s="16">
        <v>0</v>
      </c>
      <c r="N893" s="16">
        <v>0</v>
      </c>
      <c r="O893">
        <v>35</v>
      </c>
      <c r="AA893">
        <v>1</v>
      </c>
      <c r="AB893">
        <v>0</v>
      </c>
      <c r="AC893">
        <v>0</v>
      </c>
      <c r="AD893" s="20">
        <v>55153</v>
      </c>
      <c r="AE893" s="20">
        <v>44348</v>
      </c>
    </row>
    <row r="894" spans="1:31" x14ac:dyDescent="0.25">
      <c r="A894" s="12" t="s">
        <v>1975</v>
      </c>
      <c r="B894" s="11">
        <v>0</v>
      </c>
      <c r="C894" s="13">
        <v>0</v>
      </c>
      <c r="D894" s="13">
        <v>0</v>
      </c>
      <c r="E894" s="28">
        <v>0</v>
      </c>
      <c r="F894">
        <v>1</v>
      </c>
      <c r="G894" s="13">
        <v>0</v>
      </c>
      <c r="H894" s="13">
        <v>0</v>
      </c>
      <c r="I894" s="13">
        <v>1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>
        <v>35</v>
      </c>
      <c r="AA894">
        <v>1</v>
      </c>
      <c r="AB894">
        <v>0</v>
      </c>
      <c r="AC894">
        <v>0</v>
      </c>
      <c r="AD894" s="19">
        <v>55153</v>
      </c>
      <c r="AE894" s="19">
        <v>44348</v>
      </c>
    </row>
    <row r="895" spans="1:31" x14ac:dyDescent="0.25">
      <c r="A895" s="15" t="s">
        <v>1977</v>
      </c>
      <c r="B895" s="14">
        <v>0</v>
      </c>
      <c r="C895" s="16">
        <v>0</v>
      </c>
      <c r="D895" s="16">
        <v>0</v>
      </c>
      <c r="E895">
        <v>0</v>
      </c>
      <c r="F895">
        <v>1</v>
      </c>
      <c r="G895" s="16">
        <v>0</v>
      </c>
      <c r="H895" s="16">
        <v>0</v>
      </c>
      <c r="I895" s="16">
        <v>1</v>
      </c>
      <c r="J895" s="16">
        <v>0</v>
      </c>
      <c r="K895" s="16">
        <v>0</v>
      </c>
      <c r="L895" s="16">
        <v>0</v>
      </c>
      <c r="M895" s="16">
        <v>0</v>
      </c>
      <c r="N895" s="16">
        <v>0</v>
      </c>
      <c r="O895">
        <v>32</v>
      </c>
      <c r="AA895">
        <v>1</v>
      </c>
      <c r="AB895">
        <v>0</v>
      </c>
      <c r="AC895">
        <v>0</v>
      </c>
      <c r="AD895" s="20">
        <v>55153</v>
      </c>
      <c r="AE895" s="20">
        <v>44440</v>
      </c>
    </row>
    <row r="896" spans="1:31" x14ac:dyDescent="0.25">
      <c r="A896" s="12" t="s">
        <v>1979</v>
      </c>
      <c r="B896" s="11">
        <v>0</v>
      </c>
      <c r="C896" s="13">
        <v>0</v>
      </c>
      <c r="D896" s="13">
        <v>0</v>
      </c>
      <c r="E896" s="28">
        <v>1</v>
      </c>
      <c r="F896">
        <v>0</v>
      </c>
      <c r="G896" s="13">
        <v>1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>
        <v>26</v>
      </c>
      <c r="AA896">
        <v>1</v>
      </c>
      <c r="AB896">
        <v>0</v>
      </c>
      <c r="AC896">
        <v>0</v>
      </c>
      <c r="AD896" s="19">
        <v>55153</v>
      </c>
      <c r="AE896" s="19">
        <v>44621</v>
      </c>
    </row>
    <row r="897" spans="1:31" x14ac:dyDescent="0.25">
      <c r="A897" s="15" t="s">
        <v>1981</v>
      </c>
      <c r="B897" s="14">
        <v>0</v>
      </c>
      <c r="C897" s="16">
        <v>0</v>
      </c>
      <c r="D897" s="16">
        <v>0</v>
      </c>
      <c r="E897">
        <v>0</v>
      </c>
      <c r="F897">
        <v>1</v>
      </c>
      <c r="G897" s="16">
        <v>1</v>
      </c>
      <c r="H897" s="16">
        <v>0</v>
      </c>
      <c r="I897" s="16">
        <v>0</v>
      </c>
      <c r="J897" s="16">
        <v>0</v>
      </c>
      <c r="K897" s="16">
        <v>0</v>
      </c>
      <c r="L897" s="16">
        <v>0</v>
      </c>
      <c r="M897" s="16">
        <v>0</v>
      </c>
      <c r="N897" s="16">
        <v>0</v>
      </c>
      <c r="O897">
        <v>23</v>
      </c>
      <c r="AA897">
        <v>1</v>
      </c>
      <c r="AB897">
        <v>0</v>
      </c>
      <c r="AC897">
        <v>0</v>
      </c>
      <c r="AD897" s="20">
        <v>55153</v>
      </c>
      <c r="AE897" s="20">
        <v>44713</v>
      </c>
    </row>
    <row r="898" spans="1:31" x14ac:dyDescent="0.25">
      <c r="A898" s="12" t="s">
        <v>1983</v>
      </c>
      <c r="B898" s="11">
        <v>1</v>
      </c>
      <c r="C898" s="13">
        <v>1</v>
      </c>
      <c r="D898" s="13">
        <v>1</v>
      </c>
      <c r="E898" s="28">
        <v>1</v>
      </c>
      <c r="F898">
        <v>0</v>
      </c>
      <c r="G898" s="13">
        <v>0</v>
      </c>
      <c r="H898" s="13">
        <v>1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>
        <v>37</v>
      </c>
      <c r="AA898">
        <v>1</v>
      </c>
      <c r="AB898">
        <v>0</v>
      </c>
      <c r="AC898">
        <v>0</v>
      </c>
      <c r="AD898" s="19">
        <v>55153</v>
      </c>
      <c r="AE898" s="19">
        <v>44287</v>
      </c>
    </row>
    <row r="899" spans="1:31" x14ac:dyDescent="0.25">
      <c r="A899" s="15" t="s">
        <v>1985</v>
      </c>
      <c r="B899" s="14">
        <v>1</v>
      </c>
      <c r="C899" s="16">
        <v>0</v>
      </c>
      <c r="D899" s="16">
        <v>1</v>
      </c>
      <c r="E899">
        <v>1</v>
      </c>
      <c r="F899">
        <v>0</v>
      </c>
      <c r="G899" s="16">
        <v>0</v>
      </c>
      <c r="H899" s="16">
        <v>1</v>
      </c>
      <c r="I899" s="16">
        <v>0</v>
      </c>
      <c r="J899" s="16">
        <v>0</v>
      </c>
      <c r="K899" s="16">
        <v>0</v>
      </c>
      <c r="L899" s="16">
        <v>0</v>
      </c>
      <c r="M899" s="16">
        <v>0</v>
      </c>
      <c r="N899" s="16">
        <v>0</v>
      </c>
      <c r="O899">
        <v>38</v>
      </c>
      <c r="AA899">
        <v>1</v>
      </c>
      <c r="AB899">
        <v>0</v>
      </c>
      <c r="AC899">
        <v>0</v>
      </c>
      <c r="AD899" s="20">
        <v>55153</v>
      </c>
      <c r="AE899" s="20">
        <v>44256</v>
      </c>
    </row>
    <row r="900" spans="1:31" x14ac:dyDescent="0.25">
      <c r="A900" s="12" t="s">
        <v>1987</v>
      </c>
      <c r="B900" s="11">
        <v>0</v>
      </c>
      <c r="C900" s="13">
        <v>0</v>
      </c>
      <c r="D900" s="13">
        <v>0</v>
      </c>
      <c r="E900" s="28">
        <v>1</v>
      </c>
      <c r="F900">
        <v>0</v>
      </c>
      <c r="G900" s="13">
        <v>0</v>
      </c>
      <c r="H900" s="13">
        <v>0</v>
      </c>
      <c r="I900" s="13">
        <v>1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>
        <v>35</v>
      </c>
      <c r="AA900">
        <v>1</v>
      </c>
      <c r="AB900">
        <v>0</v>
      </c>
      <c r="AC900">
        <v>0</v>
      </c>
      <c r="AD900" s="19">
        <v>55153</v>
      </c>
      <c r="AE900" s="19">
        <v>44348</v>
      </c>
    </row>
    <row r="901" spans="1:31" x14ac:dyDescent="0.25">
      <c r="A901" s="15" t="s">
        <v>1989</v>
      </c>
      <c r="B901" s="14">
        <v>1</v>
      </c>
      <c r="C901" s="16">
        <v>0</v>
      </c>
      <c r="D901" s="16">
        <v>1</v>
      </c>
      <c r="E901">
        <v>1</v>
      </c>
      <c r="F901">
        <v>0</v>
      </c>
      <c r="G901" s="16">
        <v>0</v>
      </c>
      <c r="H901" s="16">
        <v>0</v>
      </c>
      <c r="I901" s="16">
        <v>1</v>
      </c>
      <c r="J901" s="16">
        <v>0</v>
      </c>
      <c r="K901" s="16">
        <v>0</v>
      </c>
      <c r="L901" s="16">
        <v>0</v>
      </c>
      <c r="M901" s="16">
        <v>0</v>
      </c>
      <c r="N901" s="16">
        <v>0</v>
      </c>
      <c r="O901">
        <v>37</v>
      </c>
      <c r="AA901">
        <v>1</v>
      </c>
      <c r="AB901">
        <v>0</v>
      </c>
      <c r="AC901">
        <v>0</v>
      </c>
      <c r="AD901" s="20">
        <v>55153</v>
      </c>
      <c r="AE901" s="20">
        <v>44287</v>
      </c>
    </row>
    <row r="902" spans="1:31" x14ac:dyDescent="0.25">
      <c r="A902" s="12" t="s">
        <v>1991</v>
      </c>
      <c r="B902" s="11">
        <v>0</v>
      </c>
      <c r="C902" s="13">
        <v>0</v>
      </c>
      <c r="D902" s="13">
        <v>0</v>
      </c>
      <c r="E902" s="28">
        <v>1</v>
      </c>
      <c r="F902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1</v>
      </c>
      <c r="N902" s="13">
        <v>0</v>
      </c>
      <c r="O902">
        <v>29</v>
      </c>
      <c r="AA902">
        <v>1</v>
      </c>
      <c r="AB902">
        <v>0</v>
      </c>
      <c r="AC902">
        <v>0</v>
      </c>
      <c r="AD902" s="19">
        <v>55153</v>
      </c>
      <c r="AE902" s="19">
        <v>44531</v>
      </c>
    </row>
    <row r="903" spans="1:31" x14ac:dyDescent="0.25">
      <c r="A903" s="15" t="s">
        <v>1993</v>
      </c>
      <c r="B903" s="14">
        <v>1</v>
      </c>
      <c r="C903" s="16">
        <v>0</v>
      </c>
      <c r="D903" s="16">
        <v>1</v>
      </c>
      <c r="E903">
        <v>1</v>
      </c>
      <c r="F903">
        <v>0</v>
      </c>
      <c r="G903" s="16">
        <v>0</v>
      </c>
      <c r="H903" s="16">
        <v>0</v>
      </c>
      <c r="I903" s="16">
        <v>0</v>
      </c>
      <c r="J903" s="16">
        <v>0</v>
      </c>
      <c r="K903" s="16">
        <v>1</v>
      </c>
      <c r="L903" s="16">
        <v>0</v>
      </c>
      <c r="M903" s="16">
        <v>0</v>
      </c>
      <c r="N903" s="16">
        <v>0</v>
      </c>
      <c r="O903">
        <v>35</v>
      </c>
      <c r="AA903">
        <v>1</v>
      </c>
      <c r="AB903">
        <v>0</v>
      </c>
      <c r="AC903">
        <v>0</v>
      </c>
      <c r="AD903" s="20">
        <v>55153</v>
      </c>
      <c r="AE903" s="20">
        <v>44348</v>
      </c>
    </row>
    <row r="904" spans="1:31" x14ac:dyDescent="0.25">
      <c r="A904" s="12" t="s">
        <v>1995</v>
      </c>
      <c r="B904" s="11">
        <v>0</v>
      </c>
      <c r="C904" s="13">
        <v>0</v>
      </c>
      <c r="D904" s="13">
        <v>0</v>
      </c>
      <c r="E904" s="28">
        <v>0</v>
      </c>
      <c r="F904">
        <v>1</v>
      </c>
      <c r="G904" s="13">
        <v>1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>
        <v>29</v>
      </c>
      <c r="AA904">
        <v>1</v>
      </c>
      <c r="AB904">
        <v>0</v>
      </c>
      <c r="AC904">
        <v>0</v>
      </c>
      <c r="AD904" s="19">
        <v>55153</v>
      </c>
      <c r="AE904" s="19">
        <v>44531</v>
      </c>
    </row>
    <row r="905" spans="1:31" x14ac:dyDescent="0.25">
      <c r="A905" s="15" t="s">
        <v>1997</v>
      </c>
      <c r="B905" s="14">
        <v>0</v>
      </c>
      <c r="C905" s="16">
        <v>0</v>
      </c>
      <c r="D905" s="16">
        <v>0</v>
      </c>
      <c r="E905">
        <v>1</v>
      </c>
      <c r="F905">
        <v>0</v>
      </c>
      <c r="G905" s="16">
        <v>1</v>
      </c>
      <c r="H905" s="16">
        <v>0</v>
      </c>
      <c r="I905" s="16">
        <v>0</v>
      </c>
      <c r="J905" s="16">
        <v>0</v>
      </c>
      <c r="K905" s="16">
        <v>0</v>
      </c>
      <c r="L905" s="16">
        <v>0</v>
      </c>
      <c r="M905" s="16">
        <v>0</v>
      </c>
      <c r="N905" s="16">
        <v>0</v>
      </c>
      <c r="O905">
        <v>26</v>
      </c>
      <c r="AA905">
        <v>1</v>
      </c>
      <c r="AB905">
        <v>0</v>
      </c>
      <c r="AC905">
        <v>0</v>
      </c>
      <c r="AD905" s="20">
        <v>55153</v>
      </c>
      <c r="AE905" s="20">
        <v>44621</v>
      </c>
    </row>
    <row r="906" spans="1:31" x14ac:dyDescent="0.25">
      <c r="A906" s="12" t="s">
        <v>1999</v>
      </c>
      <c r="B906" s="11">
        <v>0</v>
      </c>
      <c r="C906" s="13">
        <v>0</v>
      </c>
      <c r="D906" s="13">
        <v>0</v>
      </c>
      <c r="E906" s="28">
        <v>0</v>
      </c>
      <c r="F906">
        <v>1</v>
      </c>
      <c r="G906" s="13">
        <v>0</v>
      </c>
      <c r="H906" s="13">
        <v>0</v>
      </c>
      <c r="I906" s="13">
        <v>1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>
        <v>32</v>
      </c>
      <c r="AA906">
        <v>1</v>
      </c>
      <c r="AB906">
        <v>0</v>
      </c>
      <c r="AC906">
        <v>0</v>
      </c>
      <c r="AD906" s="19">
        <v>55153</v>
      </c>
      <c r="AE906" s="19">
        <v>44440</v>
      </c>
    </row>
    <row r="907" spans="1:31" x14ac:dyDescent="0.25">
      <c r="A907" s="15" t="s">
        <v>2001</v>
      </c>
      <c r="B907" s="14">
        <v>1</v>
      </c>
      <c r="C907" s="16">
        <v>0</v>
      </c>
      <c r="D907" s="16">
        <v>0</v>
      </c>
      <c r="E907">
        <v>0</v>
      </c>
      <c r="F907">
        <v>1</v>
      </c>
      <c r="G907" s="16">
        <v>0</v>
      </c>
      <c r="H907" s="16">
        <v>0</v>
      </c>
      <c r="I907" s="16">
        <v>1</v>
      </c>
      <c r="J907" s="16">
        <v>0</v>
      </c>
      <c r="K907" s="16">
        <v>0</v>
      </c>
      <c r="L907" s="16">
        <v>0</v>
      </c>
      <c r="M907" s="16">
        <v>0</v>
      </c>
      <c r="N907" s="16">
        <v>0</v>
      </c>
      <c r="O907">
        <v>20</v>
      </c>
      <c r="AA907">
        <v>1</v>
      </c>
      <c r="AB907">
        <v>0</v>
      </c>
      <c r="AC907">
        <v>0</v>
      </c>
      <c r="AD907" s="20">
        <v>55153</v>
      </c>
      <c r="AE907" s="20">
        <v>44805</v>
      </c>
    </row>
    <row r="908" spans="1:31" x14ac:dyDescent="0.25">
      <c r="A908" s="12" t="s">
        <v>2003</v>
      </c>
      <c r="B908" s="11">
        <v>0</v>
      </c>
      <c r="C908" s="13">
        <v>0</v>
      </c>
      <c r="D908" s="13">
        <v>0</v>
      </c>
      <c r="E908" s="28">
        <v>1</v>
      </c>
      <c r="F908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1</v>
      </c>
      <c r="N908" s="13">
        <v>0</v>
      </c>
      <c r="O908">
        <v>35</v>
      </c>
      <c r="AA908">
        <v>1</v>
      </c>
      <c r="AB908">
        <v>0</v>
      </c>
      <c r="AC908">
        <v>0</v>
      </c>
      <c r="AD908" s="19">
        <v>55153</v>
      </c>
      <c r="AE908" s="19">
        <v>44348</v>
      </c>
    </row>
    <row r="909" spans="1:31" x14ac:dyDescent="0.25">
      <c r="A909" s="15" t="s">
        <v>2005</v>
      </c>
      <c r="B909" s="14">
        <v>1</v>
      </c>
      <c r="C909" s="16">
        <v>0</v>
      </c>
      <c r="D909" s="16">
        <v>1</v>
      </c>
      <c r="E909">
        <v>1</v>
      </c>
      <c r="F909">
        <v>0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6">
        <v>0</v>
      </c>
      <c r="N909" s="16">
        <v>1</v>
      </c>
      <c r="O909">
        <v>33</v>
      </c>
      <c r="AA909">
        <v>1</v>
      </c>
      <c r="AB909">
        <v>0</v>
      </c>
      <c r="AC909">
        <v>0</v>
      </c>
      <c r="AD909" s="20">
        <v>55153</v>
      </c>
      <c r="AE909" s="20">
        <v>44409</v>
      </c>
    </row>
    <row r="910" spans="1:31" x14ac:dyDescent="0.25">
      <c r="A910" s="12" t="s">
        <v>2007</v>
      </c>
      <c r="B910" s="11">
        <v>0</v>
      </c>
      <c r="C910" s="13">
        <v>0</v>
      </c>
      <c r="D910" s="13">
        <v>0</v>
      </c>
      <c r="E910" s="28">
        <v>0</v>
      </c>
      <c r="F910">
        <v>1</v>
      </c>
      <c r="G910" s="13">
        <v>1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>
        <v>29</v>
      </c>
      <c r="AA910">
        <v>1</v>
      </c>
      <c r="AB910">
        <v>0</v>
      </c>
      <c r="AC910">
        <v>0</v>
      </c>
      <c r="AD910" s="19">
        <v>55153</v>
      </c>
      <c r="AE910" s="19">
        <v>44531</v>
      </c>
    </row>
    <row r="911" spans="1:31" x14ac:dyDescent="0.25">
      <c r="A911" s="15" t="s">
        <v>2009</v>
      </c>
      <c r="B911" s="14">
        <v>0</v>
      </c>
      <c r="C911" s="16">
        <v>0</v>
      </c>
      <c r="D911" s="16">
        <v>0</v>
      </c>
      <c r="E911">
        <v>1</v>
      </c>
      <c r="F911">
        <v>0</v>
      </c>
      <c r="G911" s="16">
        <v>0</v>
      </c>
      <c r="H911" s="16">
        <v>0</v>
      </c>
      <c r="I911" s="16">
        <v>1</v>
      </c>
      <c r="J911" s="16">
        <v>0</v>
      </c>
      <c r="K911" s="16">
        <v>0</v>
      </c>
      <c r="L911" s="16">
        <v>0</v>
      </c>
      <c r="M911" s="16">
        <v>0</v>
      </c>
      <c r="N911" s="16">
        <v>0</v>
      </c>
      <c r="O911">
        <v>32</v>
      </c>
      <c r="AA911">
        <v>1</v>
      </c>
      <c r="AB911">
        <v>0</v>
      </c>
      <c r="AC911">
        <v>0</v>
      </c>
      <c r="AD911" s="20">
        <v>55153</v>
      </c>
      <c r="AE911" s="20">
        <v>44440</v>
      </c>
    </row>
    <row r="912" spans="1:31" x14ac:dyDescent="0.25">
      <c r="A912" s="12" t="s">
        <v>2011</v>
      </c>
      <c r="B912" s="11">
        <v>0</v>
      </c>
      <c r="C912" s="13">
        <v>0</v>
      </c>
      <c r="D912" s="13">
        <v>0</v>
      </c>
      <c r="E912" s="28">
        <v>1</v>
      </c>
      <c r="F912">
        <v>0</v>
      </c>
      <c r="G912" s="13">
        <v>0</v>
      </c>
      <c r="H912" s="13">
        <v>0</v>
      </c>
      <c r="I912" s="13">
        <v>1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>
        <v>32</v>
      </c>
      <c r="AA912">
        <v>1</v>
      </c>
      <c r="AB912">
        <v>0</v>
      </c>
      <c r="AC912">
        <v>0</v>
      </c>
      <c r="AD912" s="19">
        <v>55153</v>
      </c>
      <c r="AE912" s="19">
        <v>44440</v>
      </c>
    </row>
    <row r="913" spans="1:31" x14ac:dyDescent="0.25">
      <c r="A913" s="15" t="s">
        <v>2013</v>
      </c>
      <c r="B913" s="14">
        <v>1</v>
      </c>
      <c r="C913" s="16">
        <v>0</v>
      </c>
      <c r="D913" s="16">
        <v>1</v>
      </c>
      <c r="E913">
        <v>1</v>
      </c>
      <c r="F913">
        <v>0</v>
      </c>
      <c r="G913" s="16">
        <v>0</v>
      </c>
      <c r="H913" s="16">
        <v>1</v>
      </c>
      <c r="I913" s="16">
        <v>0</v>
      </c>
      <c r="J913" s="16">
        <v>0</v>
      </c>
      <c r="K913" s="16">
        <v>0</v>
      </c>
      <c r="L913" s="16">
        <v>0</v>
      </c>
      <c r="M913" s="16">
        <v>0</v>
      </c>
      <c r="N913" s="16">
        <v>0</v>
      </c>
      <c r="O913">
        <v>34</v>
      </c>
      <c r="AA913">
        <v>1</v>
      </c>
      <c r="AB913">
        <v>0</v>
      </c>
      <c r="AC913">
        <v>0</v>
      </c>
      <c r="AD913" s="20">
        <v>55153</v>
      </c>
      <c r="AE913" s="20">
        <v>44378</v>
      </c>
    </row>
    <row r="914" spans="1:31" x14ac:dyDescent="0.25">
      <c r="A914" s="12" t="s">
        <v>2015</v>
      </c>
      <c r="B914" s="11">
        <v>0</v>
      </c>
      <c r="C914" s="13">
        <v>0</v>
      </c>
      <c r="D914" s="13">
        <v>0</v>
      </c>
      <c r="E914" s="28">
        <v>1</v>
      </c>
      <c r="F914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1</v>
      </c>
      <c r="N914" s="13">
        <v>0</v>
      </c>
      <c r="O914">
        <v>32</v>
      </c>
      <c r="AA914">
        <v>1</v>
      </c>
      <c r="AB914">
        <v>0</v>
      </c>
      <c r="AC914">
        <v>0</v>
      </c>
      <c r="AD914" s="19">
        <v>55153</v>
      </c>
      <c r="AE914" s="19">
        <v>44440</v>
      </c>
    </row>
    <row r="915" spans="1:31" x14ac:dyDescent="0.25">
      <c r="A915" s="15" t="s">
        <v>2017</v>
      </c>
      <c r="B915" s="14">
        <v>0</v>
      </c>
      <c r="C915" s="16">
        <v>0</v>
      </c>
      <c r="D915" s="16">
        <v>0</v>
      </c>
      <c r="E915">
        <v>1</v>
      </c>
      <c r="F915">
        <v>0</v>
      </c>
      <c r="G915" s="16">
        <v>0</v>
      </c>
      <c r="H915" s="16">
        <v>0</v>
      </c>
      <c r="I915" s="16">
        <v>1</v>
      </c>
      <c r="J915" s="16">
        <v>0</v>
      </c>
      <c r="K915" s="16">
        <v>0</v>
      </c>
      <c r="L915" s="16">
        <v>0</v>
      </c>
      <c r="M915" s="16">
        <v>0</v>
      </c>
      <c r="N915" s="16">
        <v>0</v>
      </c>
      <c r="O915">
        <v>32</v>
      </c>
      <c r="AA915">
        <v>1</v>
      </c>
      <c r="AB915">
        <v>0</v>
      </c>
      <c r="AC915">
        <v>0</v>
      </c>
      <c r="AD915" s="20">
        <v>55153</v>
      </c>
      <c r="AE915" s="20">
        <v>44440</v>
      </c>
    </row>
    <row r="916" spans="1:31" x14ac:dyDescent="0.25">
      <c r="A916" s="12" t="s">
        <v>2019</v>
      </c>
      <c r="B916" s="11">
        <v>1</v>
      </c>
      <c r="C916" s="13">
        <v>0</v>
      </c>
      <c r="D916" s="13">
        <v>1</v>
      </c>
      <c r="E916" s="28">
        <v>0</v>
      </c>
      <c r="F916">
        <v>1</v>
      </c>
      <c r="G916" s="13">
        <v>0</v>
      </c>
      <c r="H916" s="13">
        <v>1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>
        <v>34</v>
      </c>
      <c r="AA916">
        <v>1</v>
      </c>
      <c r="AB916">
        <v>0</v>
      </c>
      <c r="AC916">
        <v>0</v>
      </c>
      <c r="AD916" s="19">
        <v>45412</v>
      </c>
      <c r="AE916" s="19">
        <v>44378</v>
      </c>
    </row>
    <row r="917" spans="1:31" x14ac:dyDescent="0.25">
      <c r="A917" s="15" t="s">
        <v>2021</v>
      </c>
      <c r="B917" s="14">
        <v>0</v>
      </c>
      <c r="C917" s="16">
        <v>0</v>
      </c>
      <c r="D917" s="16">
        <v>0</v>
      </c>
      <c r="E917">
        <v>1</v>
      </c>
      <c r="F917">
        <v>0</v>
      </c>
      <c r="G917" s="16">
        <v>0</v>
      </c>
      <c r="H917" s="16">
        <v>0</v>
      </c>
      <c r="I917" s="16">
        <v>1</v>
      </c>
      <c r="J917" s="16">
        <v>0</v>
      </c>
      <c r="K917" s="16">
        <v>0</v>
      </c>
      <c r="L917" s="16">
        <v>0</v>
      </c>
      <c r="M917" s="16">
        <v>0</v>
      </c>
      <c r="N917" s="16">
        <v>0</v>
      </c>
      <c r="O917">
        <v>29</v>
      </c>
      <c r="AA917">
        <v>1</v>
      </c>
      <c r="AB917">
        <v>0</v>
      </c>
      <c r="AC917">
        <v>0</v>
      </c>
      <c r="AD917" s="20">
        <v>55153</v>
      </c>
      <c r="AE917" s="20">
        <v>44531</v>
      </c>
    </row>
    <row r="918" spans="1:31" x14ac:dyDescent="0.25">
      <c r="A918" s="12" t="s">
        <v>2023</v>
      </c>
      <c r="B918" s="11">
        <v>0</v>
      </c>
      <c r="C918" s="13">
        <v>0</v>
      </c>
      <c r="D918" s="13">
        <v>0</v>
      </c>
      <c r="E918" s="28">
        <v>1</v>
      </c>
      <c r="F918">
        <v>0</v>
      </c>
      <c r="G918" s="13">
        <v>0</v>
      </c>
      <c r="H918" s="13">
        <v>0</v>
      </c>
      <c r="I918" s="13">
        <v>1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>
        <v>29</v>
      </c>
      <c r="AA918">
        <v>1</v>
      </c>
      <c r="AB918">
        <v>0</v>
      </c>
      <c r="AC918">
        <v>0</v>
      </c>
      <c r="AD918" s="19">
        <v>55153</v>
      </c>
      <c r="AE918" s="19">
        <v>44531</v>
      </c>
    </row>
    <row r="919" spans="1:31" x14ac:dyDescent="0.25">
      <c r="A919" s="15" t="s">
        <v>2025</v>
      </c>
      <c r="B919" s="14">
        <v>0</v>
      </c>
      <c r="C919" s="16">
        <v>0</v>
      </c>
      <c r="D919" s="16">
        <v>0</v>
      </c>
      <c r="E919">
        <v>1</v>
      </c>
      <c r="F919">
        <v>0</v>
      </c>
      <c r="G919" s="16">
        <v>0</v>
      </c>
      <c r="H919" s="16">
        <v>0</v>
      </c>
      <c r="I919" s="16">
        <v>0</v>
      </c>
      <c r="J919" s="16">
        <v>0</v>
      </c>
      <c r="K919" s="16">
        <v>0</v>
      </c>
      <c r="L919" s="16">
        <v>0</v>
      </c>
      <c r="M919" s="16">
        <v>1</v>
      </c>
      <c r="N919" s="16">
        <v>0</v>
      </c>
      <c r="O919">
        <v>35</v>
      </c>
      <c r="AA919">
        <v>1</v>
      </c>
      <c r="AB919">
        <v>0</v>
      </c>
      <c r="AC919">
        <v>0</v>
      </c>
      <c r="AD919" s="20">
        <v>55153</v>
      </c>
      <c r="AE919" s="20">
        <v>44348</v>
      </c>
    </row>
    <row r="920" spans="1:31" x14ac:dyDescent="0.25">
      <c r="A920" s="12" t="s">
        <v>2027</v>
      </c>
      <c r="B920" s="11">
        <v>0</v>
      </c>
      <c r="C920" s="13">
        <v>0</v>
      </c>
      <c r="D920" s="13">
        <v>0</v>
      </c>
      <c r="E920" s="28">
        <v>1</v>
      </c>
      <c r="F920">
        <v>0</v>
      </c>
      <c r="G920" s="13">
        <v>0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1</v>
      </c>
      <c r="N920" s="13">
        <v>0</v>
      </c>
      <c r="O920">
        <v>29</v>
      </c>
      <c r="AA920">
        <v>1</v>
      </c>
      <c r="AB920">
        <v>0</v>
      </c>
      <c r="AC920">
        <v>0</v>
      </c>
      <c r="AD920" s="19">
        <v>55153</v>
      </c>
      <c r="AE920" s="19">
        <v>44531</v>
      </c>
    </row>
    <row r="921" spans="1:31" x14ac:dyDescent="0.25">
      <c r="A921" s="15" t="s">
        <v>2029</v>
      </c>
      <c r="B921" s="14">
        <v>0</v>
      </c>
      <c r="C921" s="16">
        <v>0</v>
      </c>
      <c r="D921" s="16">
        <v>0</v>
      </c>
      <c r="E921">
        <v>1</v>
      </c>
      <c r="F921">
        <v>0</v>
      </c>
      <c r="G921" s="16">
        <v>0</v>
      </c>
      <c r="H921" s="16">
        <v>0</v>
      </c>
      <c r="I921" s="16">
        <v>0</v>
      </c>
      <c r="J921" s="16">
        <v>0</v>
      </c>
      <c r="K921" s="16">
        <v>1</v>
      </c>
      <c r="L921" s="16">
        <v>0</v>
      </c>
      <c r="M921" s="16">
        <v>0</v>
      </c>
      <c r="N921" s="16">
        <v>0</v>
      </c>
      <c r="O921">
        <v>32</v>
      </c>
      <c r="AA921">
        <v>1</v>
      </c>
      <c r="AB921">
        <v>0</v>
      </c>
      <c r="AC921">
        <v>0</v>
      </c>
      <c r="AD921" s="20">
        <v>55153</v>
      </c>
      <c r="AE921" s="20">
        <v>44440</v>
      </c>
    </row>
    <row r="922" spans="1:31" x14ac:dyDescent="0.25">
      <c r="A922" s="12" t="s">
        <v>2031</v>
      </c>
      <c r="B922" s="11">
        <v>0</v>
      </c>
      <c r="C922" s="13">
        <v>0</v>
      </c>
      <c r="D922" s="13">
        <v>0</v>
      </c>
      <c r="E922" s="28">
        <v>1</v>
      </c>
      <c r="F922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1</v>
      </c>
      <c r="L922" s="13">
        <v>0</v>
      </c>
      <c r="M922" s="13">
        <v>0</v>
      </c>
      <c r="N922" s="13">
        <v>0</v>
      </c>
      <c r="O922">
        <v>32</v>
      </c>
      <c r="AA922">
        <v>1</v>
      </c>
      <c r="AB922">
        <v>0</v>
      </c>
      <c r="AC922">
        <v>0</v>
      </c>
      <c r="AD922" s="19">
        <v>55153</v>
      </c>
      <c r="AE922" s="19">
        <v>44440</v>
      </c>
    </row>
    <row r="923" spans="1:31" x14ac:dyDescent="0.25">
      <c r="A923" s="15" t="s">
        <v>2033</v>
      </c>
      <c r="B923" s="14">
        <v>1</v>
      </c>
      <c r="C923" s="16">
        <v>0</v>
      </c>
      <c r="D923" s="16">
        <v>0</v>
      </c>
      <c r="E923">
        <v>0</v>
      </c>
      <c r="F923">
        <v>1</v>
      </c>
      <c r="G923" s="16">
        <v>0</v>
      </c>
      <c r="H923" s="16">
        <v>1</v>
      </c>
      <c r="I923" s="16">
        <v>0</v>
      </c>
      <c r="J923" s="16">
        <v>0</v>
      </c>
      <c r="K923" s="16">
        <v>0</v>
      </c>
      <c r="L923" s="16">
        <v>0</v>
      </c>
      <c r="M923" s="16">
        <v>0</v>
      </c>
      <c r="N923" s="16">
        <v>0</v>
      </c>
      <c r="O923">
        <v>35</v>
      </c>
      <c r="AA923">
        <v>1</v>
      </c>
      <c r="AB923">
        <v>0</v>
      </c>
      <c r="AC923">
        <v>0</v>
      </c>
      <c r="AD923" s="20">
        <v>55153</v>
      </c>
      <c r="AE923" s="20">
        <v>44348</v>
      </c>
    </row>
    <row r="924" spans="1:31" x14ac:dyDescent="0.25">
      <c r="A924" s="12" t="s">
        <v>2035</v>
      </c>
      <c r="B924" s="11">
        <v>1</v>
      </c>
      <c r="C924" s="13">
        <v>1</v>
      </c>
      <c r="D924" s="13">
        <v>1</v>
      </c>
      <c r="E924" s="28">
        <v>1</v>
      </c>
      <c r="F924">
        <v>0</v>
      </c>
      <c r="G924" s="13">
        <v>0</v>
      </c>
      <c r="H924" s="13">
        <v>1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>
        <v>32</v>
      </c>
      <c r="AA924">
        <v>1</v>
      </c>
      <c r="AB924">
        <v>0</v>
      </c>
      <c r="AC924">
        <v>0</v>
      </c>
      <c r="AD924" s="19">
        <v>55153</v>
      </c>
      <c r="AE924" s="19">
        <v>44440</v>
      </c>
    </row>
    <row r="925" spans="1:31" x14ac:dyDescent="0.25">
      <c r="A925" s="15" t="s">
        <v>2037</v>
      </c>
      <c r="B925" s="14">
        <v>0</v>
      </c>
      <c r="C925" s="16">
        <v>0</v>
      </c>
      <c r="D925" s="16">
        <v>0</v>
      </c>
      <c r="E925">
        <v>1</v>
      </c>
      <c r="F925">
        <v>0</v>
      </c>
      <c r="G925" s="16">
        <v>1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6">
        <v>0</v>
      </c>
      <c r="N925" s="16">
        <v>0</v>
      </c>
      <c r="O925">
        <v>35</v>
      </c>
      <c r="AA925">
        <v>1</v>
      </c>
      <c r="AB925">
        <v>0</v>
      </c>
      <c r="AC925">
        <v>0</v>
      </c>
      <c r="AD925" s="20">
        <v>55153</v>
      </c>
      <c r="AE925" s="20">
        <v>44348</v>
      </c>
    </row>
    <row r="926" spans="1:31" x14ac:dyDescent="0.25">
      <c r="A926" s="12" t="s">
        <v>2039</v>
      </c>
      <c r="B926" s="11">
        <v>1</v>
      </c>
      <c r="C926" s="13">
        <v>1</v>
      </c>
      <c r="D926" s="13">
        <v>1</v>
      </c>
      <c r="E926" s="28">
        <v>1</v>
      </c>
      <c r="F926">
        <v>0</v>
      </c>
      <c r="G926" s="13">
        <v>0</v>
      </c>
      <c r="H926" s="13">
        <v>1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>
        <v>20</v>
      </c>
      <c r="AA926">
        <v>1</v>
      </c>
      <c r="AB926">
        <v>0</v>
      </c>
      <c r="AC926">
        <v>0</v>
      </c>
      <c r="AD926" s="19">
        <v>55153</v>
      </c>
      <c r="AE926" s="19">
        <v>44805</v>
      </c>
    </row>
    <row r="927" spans="1:31" x14ac:dyDescent="0.25">
      <c r="A927" s="15" t="s">
        <v>2041</v>
      </c>
      <c r="B927" s="14">
        <v>0</v>
      </c>
      <c r="C927" s="16">
        <v>0</v>
      </c>
      <c r="D927" s="16">
        <v>0</v>
      </c>
      <c r="E927">
        <v>1</v>
      </c>
      <c r="F927">
        <v>0</v>
      </c>
      <c r="G927" s="16">
        <v>0</v>
      </c>
      <c r="H927" s="16">
        <v>0</v>
      </c>
      <c r="I927" s="16">
        <v>1</v>
      </c>
      <c r="J927" s="16">
        <v>0</v>
      </c>
      <c r="K927" s="16">
        <v>0</v>
      </c>
      <c r="L927" s="16">
        <v>0</v>
      </c>
      <c r="M927" s="16">
        <v>0</v>
      </c>
      <c r="N927" s="16">
        <v>0</v>
      </c>
      <c r="O927">
        <v>29</v>
      </c>
      <c r="AA927">
        <v>1</v>
      </c>
      <c r="AB927">
        <v>0</v>
      </c>
      <c r="AC927">
        <v>0</v>
      </c>
      <c r="AD927" s="20">
        <v>55153</v>
      </c>
      <c r="AE927" s="20">
        <v>44531</v>
      </c>
    </row>
    <row r="928" spans="1:31" x14ac:dyDescent="0.25">
      <c r="A928" s="12" t="s">
        <v>2043</v>
      </c>
      <c r="B928" s="11">
        <v>1</v>
      </c>
      <c r="C928" s="13">
        <v>0</v>
      </c>
      <c r="D928" s="13">
        <v>1</v>
      </c>
      <c r="E928" s="28">
        <v>0</v>
      </c>
      <c r="F928">
        <v>0</v>
      </c>
      <c r="G928" s="13">
        <v>0</v>
      </c>
      <c r="H928" s="13">
        <v>1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>
        <v>17</v>
      </c>
      <c r="AA928">
        <v>0</v>
      </c>
      <c r="AB928">
        <v>1</v>
      </c>
      <c r="AC928">
        <v>0</v>
      </c>
      <c r="AD928" s="19">
        <v>44926</v>
      </c>
      <c r="AE928" s="19">
        <v>44378</v>
      </c>
    </row>
    <row r="929" spans="1:31" x14ac:dyDescent="0.25">
      <c r="A929" s="15" t="s">
        <v>2045</v>
      </c>
      <c r="B929" s="14">
        <v>1</v>
      </c>
      <c r="C929" s="16">
        <v>0</v>
      </c>
      <c r="D929" s="16">
        <v>1</v>
      </c>
      <c r="E929">
        <v>1</v>
      </c>
      <c r="F929">
        <v>0</v>
      </c>
      <c r="G929" s="16">
        <v>0</v>
      </c>
      <c r="H929" s="16">
        <v>0</v>
      </c>
      <c r="I929" s="16">
        <v>0</v>
      </c>
      <c r="J929" s="16">
        <v>0</v>
      </c>
      <c r="K929" s="16">
        <v>1</v>
      </c>
      <c r="L929" s="16">
        <v>0</v>
      </c>
      <c r="M929" s="16">
        <v>0</v>
      </c>
      <c r="N929" s="16">
        <v>0</v>
      </c>
      <c r="O929">
        <v>29</v>
      </c>
      <c r="AA929">
        <v>1</v>
      </c>
      <c r="AB929">
        <v>0</v>
      </c>
      <c r="AC929">
        <v>0</v>
      </c>
      <c r="AD929" s="20">
        <v>55153</v>
      </c>
      <c r="AE929" s="20">
        <v>44531</v>
      </c>
    </row>
    <row r="930" spans="1:31" x14ac:dyDescent="0.25">
      <c r="A930" s="12" t="s">
        <v>2047</v>
      </c>
      <c r="B930" s="11">
        <v>1</v>
      </c>
      <c r="C930" s="13">
        <v>0</v>
      </c>
      <c r="D930" s="13">
        <v>1</v>
      </c>
      <c r="E930" s="28">
        <v>1</v>
      </c>
      <c r="F930">
        <v>0</v>
      </c>
      <c r="G930" s="13">
        <v>0</v>
      </c>
      <c r="H930" s="13">
        <v>1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>
        <v>32</v>
      </c>
      <c r="AA930">
        <v>1</v>
      </c>
      <c r="AB930">
        <v>0</v>
      </c>
      <c r="AC930">
        <v>0</v>
      </c>
      <c r="AD930" s="19">
        <v>55153</v>
      </c>
      <c r="AE930" s="19">
        <v>44440</v>
      </c>
    </row>
    <row r="931" spans="1:31" x14ac:dyDescent="0.25">
      <c r="A931" s="15" t="s">
        <v>2049</v>
      </c>
      <c r="B931" s="14">
        <v>0</v>
      </c>
      <c r="C931" s="16">
        <v>0</v>
      </c>
      <c r="D931" s="16">
        <v>0</v>
      </c>
      <c r="E931">
        <v>0</v>
      </c>
      <c r="F931">
        <v>1</v>
      </c>
      <c r="G931" s="16">
        <v>0</v>
      </c>
      <c r="H931" s="16">
        <v>0</v>
      </c>
      <c r="I931" s="16">
        <v>0</v>
      </c>
      <c r="J931" s="16">
        <v>0</v>
      </c>
      <c r="K931" s="16">
        <v>1</v>
      </c>
      <c r="L931" s="16">
        <v>0</v>
      </c>
      <c r="M931" s="16">
        <v>0</v>
      </c>
      <c r="N931" s="16">
        <v>0</v>
      </c>
      <c r="O931">
        <v>29</v>
      </c>
      <c r="AA931">
        <v>1</v>
      </c>
      <c r="AB931">
        <v>0</v>
      </c>
      <c r="AC931">
        <v>0</v>
      </c>
      <c r="AD931" s="20">
        <v>55153</v>
      </c>
      <c r="AE931" s="20">
        <v>44531</v>
      </c>
    </row>
    <row r="932" spans="1:31" x14ac:dyDescent="0.25">
      <c r="A932" s="12" t="s">
        <v>2051</v>
      </c>
      <c r="B932" s="11">
        <v>1</v>
      </c>
      <c r="C932" s="13">
        <v>1</v>
      </c>
      <c r="D932" s="13">
        <v>1</v>
      </c>
      <c r="E932" s="28">
        <v>1</v>
      </c>
      <c r="F932">
        <v>0</v>
      </c>
      <c r="G932" s="13">
        <v>0</v>
      </c>
      <c r="H932" s="13">
        <v>1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>
        <v>32</v>
      </c>
      <c r="AA932">
        <v>1</v>
      </c>
      <c r="AB932">
        <v>0</v>
      </c>
      <c r="AC932">
        <v>0</v>
      </c>
      <c r="AD932" s="19">
        <v>55153</v>
      </c>
      <c r="AE932" s="19">
        <v>44440</v>
      </c>
    </row>
    <row r="933" spans="1:31" x14ac:dyDescent="0.25">
      <c r="A933" s="15" t="s">
        <v>2053</v>
      </c>
      <c r="B933" s="14">
        <v>0</v>
      </c>
      <c r="C933" s="16">
        <v>0</v>
      </c>
      <c r="D933" s="16">
        <v>0</v>
      </c>
      <c r="E933">
        <v>1</v>
      </c>
      <c r="F933">
        <v>0</v>
      </c>
      <c r="G933" s="16">
        <v>0</v>
      </c>
      <c r="H933" s="16">
        <v>0</v>
      </c>
      <c r="I933" s="16">
        <v>0</v>
      </c>
      <c r="J933" s="16">
        <v>0</v>
      </c>
      <c r="K933" s="16">
        <v>1</v>
      </c>
      <c r="L933" s="16">
        <v>0</v>
      </c>
      <c r="M933" s="16">
        <v>0</v>
      </c>
      <c r="N933" s="16">
        <v>0</v>
      </c>
      <c r="O933">
        <v>32</v>
      </c>
      <c r="AA933">
        <v>1</v>
      </c>
      <c r="AB933">
        <v>0</v>
      </c>
      <c r="AC933">
        <v>0</v>
      </c>
      <c r="AD933" s="20">
        <v>55153</v>
      </c>
      <c r="AE933" s="20">
        <v>44440</v>
      </c>
    </row>
    <row r="934" spans="1:31" x14ac:dyDescent="0.25">
      <c r="A934" s="12" t="s">
        <v>2055</v>
      </c>
      <c r="B934" s="11">
        <v>1</v>
      </c>
      <c r="C934" s="13">
        <v>0</v>
      </c>
      <c r="D934" s="13">
        <v>1</v>
      </c>
      <c r="E934" s="28">
        <v>1</v>
      </c>
      <c r="F934">
        <v>0</v>
      </c>
      <c r="G934" s="13">
        <v>0</v>
      </c>
      <c r="H934" s="13">
        <v>0</v>
      </c>
      <c r="I934" s="13">
        <v>1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>
        <v>24</v>
      </c>
      <c r="AA934">
        <v>1</v>
      </c>
      <c r="AB934">
        <v>0</v>
      </c>
      <c r="AC934">
        <v>0</v>
      </c>
      <c r="AD934" s="19">
        <v>55153</v>
      </c>
      <c r="AE934" s="19">
        <v>44682</v>
      </c>
    </row>
    <row r="935" spans="1:31" x14ac:dyDescent="0.25">
      <c r="A935" s="15" t="s">
        <v>2057</v>
      </c>
      <c r="B935" s="14">
        <v>0</v>
      </c>
      <c r="C935" s="16">
        <v>0</v>
      </c>
      <c r="D935" s="16">
        <v>0</v>
      </c>
      <c r="E935">
        <v>1</v>
      </c>
      <c r="F935">
        <v>0</v>
      </c>
      <c r="G935" s="16">
        <v>0</v>
      </c>
      <c r="H935" s="16">
        <v>0</v>
      </c>
      <c r="I935" s="16">
        <v>0</v>
      </c>
      <c r="J935" s="16">
        <v>0</v>
      </c>
      <c r="K935" s="16">
        <v>1</v>
      </c>
      <c r="L935" s="16">
        <v>0</v>
      </c>
      <c r="M935" s="16">
        <v>0</v>
      </c>
      <c r="N935" s="16">
        <v>0</v>
      </c>
      <c r="O935">
        <v>29</v>
      </c>
      <c r="AA935">
        <v>1</v>
      </c>
      <c r="AB935">
        <v>0</v>
      </c>
      <c r="AC935">
        <v>0</v>
      </c>
      <c r="AD935" s="20">
        <v>55153</v>
      </c>
      <c r="AE935" s="20">
        <v>44531</v>
      </c>
    </row>
    <row r="936" spans="1:31" x14ac:dyDescent="0.25">
      <c r="A936" s="12" t="s">
        <v>2059</v>
      </c>
      <c r="B936" s="11">
        <v>0</v>
      </c>
      <c r="C936" s="13">
        <v>0</v>
      </c>
      <c r="D936" s="13">
        <v>0</v>
      </c>
      <c r="E936" s="28">
        <v>1</v>
      </c>
      <c r="F936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1</v>
      </c>
      <c r="L936" s="13">
        <v>0</v>
      </c>
      <c r="M936" s="13">
        <v>0</v>
      </c>
      <c r="N936" s="13">
        <v>0</v>
      </c>
      <c r="O936">
        <v>29</v>
      </c>
      <c r="AA936">
        <v>1</v>
      </c>
      <c r="AB936">
        <v>0</v>
      </c>
      <c r="AC936">
        <v>0</v>
      </c>
      <c r="AD936" s="19">
        <v>55153</v>
      </c>
      <c r="AE936" s="19">
        <v>44531</v>
      </c>
    </row>
    <row r="937" spans="1:31" x14ac:dyDescent="0.25">
      <c r="A937" s="15" t="s">
        <v>2061</v>
      </c>
      <c r="B937" s="14">
        <v>0</v>
      </c>
      <c r="C937" s="16">
        <v>0</v>
      </c>
      <c r="D937" s="16">
        <v>0</v>
      </c>
      <c r="E937">
        <v>1</v>
      </c>
      <c r="F937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1</v>
      </c>
      <c r="L937" s="16">
        <v>0</v>
      </c>
      <c r="M937" s="16">
        <v>0</v>
      </c>
      <c r="N937" s="16">
        <v>0</v>
      </c>
      <c r="O937">
        <v>29</v>
      </c>
      <c r="AA937">
        <v>1</v>
      </c>
      <c r="AB937">
        <v>0</v>
      </c>
      <c r="AC937">
        <v>0</v>
      </c>
      <c r="AD937" s="20">
        <v>55153</v>
      </c>
      <c r="AE937" s="20">
        <v>44531</v>
      </c>
    </row>
    <row r="938" spans="1:31" x14ac:dyDescent="0.25">
      <c r="A938" s="12" t="s">
        <v>2063</v>
      </c>
      <c r="B938" s="11">
        <v>0</v>
      </c>
      <c r="C938" s="13">
        <v>0</v>
      </c>
      <c r="D938" s="13">
        <v>0</v>
      </c>
      <c r="E938" s="28">
        <v>1</v>
      </c>
      <c r="F938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1</v>
      </c>
      <c r="L938" s="13">
        <v>0</v>
      </c>
      <c r="M938" s="13">
        <v>0</v>
      </c>
      <c r="N938" s="13">
        <v>0</v>
      </c>
      <c r="O938">
        <v>29</v>
      </c>
      <c r="AA938">
        <v>1</v>
      </c>
      <c r="AB938">
        <v>0</v>
      </c>
      <c r="AC938">
        <v>0</v>
      </c>
      <c r="AD938" s="19">
        <v>55153</v>
      </c>
      <c r="AE938" s="19">
        <v>44531</v>
      </c>
    </row>
    <row r="939" spans="1:31" x14ac:dyDescent="0.25">
      <c r="A939" s="15" t="s">
        <v>2065</v>
      </c>
      <c r="B939" s="14">
        <v>0</v>
      </c>
      <c r="C939" s="16">
        <v>0</v>
      </c>
      <c r="D939" s="16">
        <v>0</v>
      </c>
      <c r="E939">
        <v>1</v>
      </c>
      <c r="F939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1</v>
      </c>
      <c r="L939" s="16">
        <v>0</v>
      </c>
      <c r="M939" s="16">
        <v>0</v>
      </c>
      <c r="N939" s="16">
        <v>0</v>
      </c>
      <c r="O939">
        <v>29</v>
      </c>
      <c r="AA939">
        <v>1</v>
      </c>
      <c r="AB939">
        <v>0</v>
      </c>
      <c r="AC939">
        <v>0</v>
      </c>
      <c r="AD939" s="20">
        <v>55153</v>
      </c>
      <c r="AE939" s="20">
        <v>44531</v>
      </c>
    </row>
    <row r="940" spans="1:31" x14ac:dyDescent="0.25">
      <c r="A940" s="12" t="s">
        <v>2067</v>
      </c>
      <c r="B940" s="11">
        <v>0</v>
      </c>
      <c r="C940" s="13">
        <v>0</v>
      </c>
      <c r="D940" s="13">
        <v>0</v>
      </c>
      <c r="E940" s="28">
        <v>1</v>
      </c>
      <c r="F940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1</v>
      </c>
      <c r="L940" s="13">
        <v>0</v>
      </c>
      <c r="M940" s="13">
        <v>0</v>
      </c>
      <c r="N940" s="13">
        <v>0</v>
      </c>
      <c r="O940">
        <v>23</v>
      </c>
      <c r="AA940">
        <v>1</v>
      </c>
      <c r="AB940">
        <v>0</v>
      </c>
      <c r="AC940">
        <v>0</v>
      </c>
      <c r="AD940" s="19">
        <v>55153</v>
      </c>
      <c r="AE940" s="19">
        <v>44713</v>
      </c>
    </row>
    <row r="941" spans="1:31" x14ac:dyDescent="0.25">
      <c r="A941" s="15" t="s">
        <v>2069</v>
      </c>
      <c r="B941" s="14">
        <v>0</v>
      </c>
      <c r="C941" s="16">
        <v>0</v>
      </c>
      <c r="D941" s="16">
        <v>0</v>
      </c>
      <c r="E941">
        <v>0</v>
      </c>
      <c r="F941">
        <v>1</v>
      </c>
      <c r="G941" s="16">
        <v>0</v>
      </c>
      <c r="H941" s="16">
        <v>0</v>
      </c>
      <c r="I941" s="16">
        <v>0</v>
      </c>
      <c r="J941" s="16">
        <v>0</v>
      </c>
      <c r="K941" s="16">
        <v>0</v>
      </c>
      <c r="L941" s="16">
        <v>0</v>
      </c>
      <c r="M941" s="16">
        <v>1</v>
      </c>
      <c r="N941" s="16">
        <v>0</v>
      </c>
      <c r="O941">
        <v>26</v>
      </c>
      <c r="AA941">
        <v>1</v>
      </c>
      <c r="AB941">
        <v>0</v>
      </c>
      <c r="AC941">
        <v>0</v>
      </c>
      <c r="AD941" s="20">
        <v>55153</v>
      </c>
      <c r="AE941" s="20">
        <v>44621</v>
      </c>
    </row>
    <row r="942" spans="1:31" x14ac:dyDescent="0.25">
      <c r="A942" s="12" t="s">
        <v>2071</v>
      </c>
      <c r="B942" s="11">
        <v>1</v>
      </c>
      <c r="C942" s="13">
        <v>0</v>
      </c>
      <c r="D942" s="13">
        <v>0</v>
      </c>
      <c r="E942" s="28">
        <v>0</v>
      </c>
      <c r="F942">
        <v>1</v>
      </c>
      <c r="G942" s="13">
        <v>0</v>
      </c>
      <c r="H942" s="13">
        <v>1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>
        <v>29</v>
      </c>
      <c r="AA942">
        <v>1</v>
      </c>
      <c r="AB942">
        <v>0</v>
      </c>
      <c r="AC942">
        <v>0</v>
      </c>
      <c r="AD942" s="19">
        <v>55153</v>
      </c>
      <c r="AE942" s="19">
        <v>44531</v>
      </c>
    </row>
    <row r="943" spans="1:31" x14ac:dyDescent="0.25">
      <c r="A943" s="15" t="s">
        <v>2073</v>
      </c>
      <c r="B943" s="14">
        <v>0</v>
      </c>
      <c r="C943" s="16">
        <v>0</v>
      </c>
      <c r="D943" s="16">
        <v>0</v>
      </c>
      <c r="E943">
        <v>1</v>
      </c>
      <c r="F943">
        <v>0</v>
      </c>
      <c r="G943" s="16">
        <v>0</v>
      </c>
      <c r="H943" s="16">
        <v>0</v>
      </c>
      <c r="I943" s="16">
        <v>0</v>
      </c>
      <c r="J943" s="16">
        <v>0</v>
      </c>
      <c r="K943" s="16">
        <v>0</v>
      </c>
      <c r="L943" s="16">
        <v>0</v>
      </c>
      <c r="M943" s="16">
        <v>1</v>
      </c>
      <c r="N943" s="16">
        <v>0</v>
      </c>
      <c r="O943">
        <v>26</v>
      </c>
      <c r="AA943">
        <v>1</v>
      </c>
      <c r="AB943">
        <v>0</v>
      </c>
      <c r="AC943">
        <v>0</v>
      </c>
      <c r="AD943" s="20">
        <v>55153</v>
      </c>
      <c r="AE943" s="20">
        <v>44621</v>
      </c>
    </row>
    <row r="944" spans="1:31" x14ac:dyDescent="0.25">
      <c r="A944" s="12" t="s">
        <v>2075</v>
      </c>
      <c r="B944" s="11">
        <v>0</v>
      </c>
      <c r="C944" s="13">
        <v>0</v>
      </c>
      <c r="D944" s="13">
        <v>0</v>
      </c>
      <c r="E944" s="28">
        <v>1</v>
      </c>
      <c r="F944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1</v>
      </c>
      <c r="N944" s="13">
        <v>0</v>
      </c>
      <c r="O944">
        <v>26</v>
      </c>
      <c r="AA944">
        <v>1</v>
      </c>
      <c r="AB944">
        <v>0</v>
      </c>
      <c r="AC944">
        <v>0</v>
      </c>
      <c r="AD944" s="19">
        <v>55153</v>
      </c>
      <c r="AE944" s="19">
        <v>44621</v>
      </c>
    </row>
    <row r="945" spans="1:31" x14ac:dyDescent="0.25">
      <c r="A945" s="15" t="s">
        <v>2077</v>
      </c>
      <c r="B945" s="14">
        <v>1</v>
      </c>
      <c r="C945" s="16">
        <v>0</v>
      </c>
      <c r="D945" s="16">
        <v>1</v>
      </c>
      <c r="E945">
        <v>1</v>
      </c>
      <c r="F945">
        <v>0</v>
      </c>
      <c r="G945" s="16">
        <v>0</v>
      </c>
      <c r="H945" s="16">
        <v>0</v>
      </c>
      <c r="I945" s="16">
        <v>0</v>
      </c>
      <c r="J945" s="16">
        <v>0</v>
      </c>
      <c r="K945" s="16">
        <v>1</v>
      </c>
      <c r="L945" s="16">
        <v>0</v>
      </c>
      <c r="M945" s="16">
        <v>0</v>
      </c>
      <c r="N945" s="16">
        <v>0</v>
      </c>
      <c r="O945">
        <v>20</v>
      </c>
      <c r="AA945">
        <v>1</v>
      </c>
      <c r="AB945">
        <v>0</v>
      </c>
      <c r="AC945">
        <v>0</v>
      </c>
      <c r="AD945" s="20">
        <v>55153</v>
      </c>
      <c r="AE945" s="20">
        <v>44805</v>
      </c>
    </row>
    <row r="946" spans="1:31" x14ac:dyDescent="0.25">
      <c r="A946" s="12" t="s">
        <v>2079</v>
      </c>
      <c r="B946" s="11">
        <v>1</v>
      </c>
      <c r="C946" s="13">
        <v>0</v>
      </c>
      <c r="D946" s="13">
        <v>1</v>
      </c>
      <c r="E946" s="28">
        <v>0</v>
      </c>
      <c r="F946">
        <v>1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1</v>
      </c>
      <c r="M946" s="13">
        <v>0</v>
      </c>
      <c r="N946" s="13">
        <v>0</v>
      </c>
      <c r="O946">
        <v>30</v>
      </c>
      <c r="AA946">
        <v>1</v>
      </c>
      <c r="AB946">
        <v>0</v>
      </c>
      <c r="AC946">
        <v>0</v>
      </c>
      <c r="AD946" s="19">
        <v>55153</v>
      </c>
      <c r="AE946" s="19">
        <v>44501</v>
      </c>
    </row>
    <row r="947" spans="1:31" x14ac:dyDescent="0.25">
      <c r="A947" s="15" t="s">
        <v>2081</v>
      </c>
      <c r="B947" s="14">
        <v>0</v>
      </c>
      <c r="C947" s="16">
        <v>0</v>
      </c>
      <c r="D947" s="16">
        <v>0</v>
      </c>
      <c r="E947">
        <v>1</v>
      </c>
      <c r="F947">
        <v>0</v>
      </c>
      <c r="G947" s="16">
        <v>0</v>
      </c>
      <c r="H947" s="16">
        <v>0</v>
      </c>
      <c r="I947" s="16">
        <v>1</v>
      </c>
      <c r="J947" s="16">
        <v>0</v>
      </c>
      <c r="K947" s="16">
        <v>0</v>
      </c>
      <c r="L947" s="16">
        <v>0</v>
      </c>
      <c r="M947" s="16">
        <v>0</v>
      </c>
      <c r="N947" s="16">
        <v>0</v>
      </c>
      <c r="O947">
        <v>23</v>
      </c>
      <c r="AA947">
        <v>1</v>
      </c>
      <c r="AB947">
        <v>0</v>
      </c>
      <c r="AC947">
        <v>0</v>
      </c>
      <c r="AD947" s="20">
        <v>55153</v>
      </c>
      <c r="AE947" s="20">
        <v>44713</v>
      </c>
    </row>
    <row r="948" spans="1:31" x14ac:dyDescent="0.25">
      <c r="A948" s="12" t="s">
        <v>2083</v>
      </c>
      <c r="B948" s="11">
        <v>0</v>
      </c>
      <c r="C948" s="13">
        <v>0</v>
      </c>
      <c r="D948" s="13">
        <v>0</v>
      </c>
      <c r="E948" s="28">
        <v>1</v>
      </c>
      <c r="F948">
        <v>0</v>
      </c>
      <c r="G948" s="13">
        <v>1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>
        <v>26</v>
      </c>
      <c r="AA948">
        <v>1</v>
      </c>
      <c r="AB948">
        <v>0</v>
      </c>
      <c r="AC948">
        <v>0</v>
      </c>
      <c r="AD948" s="19">
        <v>55153</v>
      </c>
      <c r="AE948" s="19">
        <v>44621</v>
      </c>
    </row>
    <row r="949" spans="1:31" x14ac:dyDescent="0.25">
      <c r="A949" s="15" t="s">
        <v>2085</v>
      </c>
      <c r="B949" s="14">
        <v>0</v>
      </c>
      <c r="C949" s="16">
        <v>0</v>
      </c>
      <c r="D949" s="16">
        <v>0</v>
      </c>
      <c r="E949">
        <v>1</v>
      </c>
      <c r="F949">
        <v>0</v>
      </c>
      <c r="G949" s="16">
        <v>0</v>
      </c>
      <c r="H949" s="16">
        <v>0</v>
      </c>
      <c r="I949" s="16">
        <v>0</v>
      </c>
      <c r="J949" s="16">
        <v>0</v>
      </c>
      <c r="K949" s="16">
        <v>1</v>
      </c>
      <c r="L949" s="16">
        <v>0</v>
      </c>
      <c r="M949" s="16">
        <v>0</v>
      </c>
      <c r="N949" s="16">
        <v>0</v>
      </c>
      <c r="O949">
        <v>29</v>
      </c>
      <c r="AA949">
        <v>1</v>
      </c>
      <c r="AB949">
        <v>0</v>
      </c>
      <c r="AC949">
        <v>0</v>
      </c>
      <c r="AD949" s="20">
        <v>55153</v>
      </c>
      <c r="AE949" s="20">
        <v>44531</v>
      </c>
    </row>
    <row r="950" spans="1:31" x14ac:dyDescent="0.25">
      <c r="A950" s="12" t="s">
        <v>2087</v>
      </c>
      <c r="B950" s="11">
        <v>0</v>
      </c>
      <c r="C950" s="13">
        <v>0</v>
      </c>
      <c r="D950" s="13">
        <v>0</v>
      </c>
      <c r="E950" s="28">
        <v>1</v>
      </c>
      <c r="F950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1</v>
      </c>
      <c r="L950" s="13">
        <v>0</v>
      </c>
      <c r="M950" s="13">
        <v>0</v>
      </c>
      <c r="N950" s="13">
        <v>0</v>
      </c>
      <c r="O950">
        <v>29</v>
      </c>
      <c r="AA950">
        <v>1</v>
      </c>
      <c r="AB950">
        <v>0</v>
      </c>
      <c r="AC950">
        <v>0</v>
      </c>
      <c r="AD950" s="19">
        <v>55153</v>
      </c>
      <c r="AE950" s="19">
        <v>44531</v>
      </c>
    </row>
    <row r="951" spans="1:31" x14ac:dyDescent="0.25">
      <c r="A951" s="15" t="s">
        <v>2089</v>
      </c>
      <c r="B951" s="14">
        <v>0</v>
      </c>
      <c r="C951" s="16">
        <v>0</v>
      </c>
      <c r="D951" s="16">
        <v>0</v>
      </c>
      <c r="E951">
        <v>1</v>
      </c>
      <c r="F951">
        <v>0</v>
      </c>
      <c r="G951" s="16">
        <v>0</v>
      </c>
      <c r="H951" s="16">
        <v>0</v>
      </c>
      <c r="I951" s="16">
        <v>0</v>
      </c>
      <c r="J951" s="16">
        <v>0</v>
      </c>
      <c r="K951" s="16">
        <v>1</v>
      </c>
      <c r="L951" s="16">
        <v>0</v>
      </c>
      <c r="M951" s="16">
        <v>0</v>
      </c>
      <c r="N951" s="16">
        <v>0</v>
      </c>
      <c r="O951">
        <v>29</v>
      </c>
      <c r="AA951">
        <v>1</v>
      </c>
      <c r="AB951">
        <v>0</v>
      </c>
      <c r="AC951">
        <v>0</v>
      </c>
      <c r="AD951" s="20">
        <v>55153</v>
      </c>
      <c r="AE951" s="20">
        <v>44531</v>
      </c>
    </row>
    <row r="952" spans="1:31" x14ac:dyDescent="0.25">
      <c r="A952" s="12" t="s">
        <v>2091</v>
      </c>
      <c r="B952" s="11">
        <v>0</v>
      </c>
      <c r="C952" s="13">
        <v>0</v>
      </c>
      <c r="D952" s="13">
        <v>0</v>
      </c>
      <c r="E952" s="28">
        <v>0</v>
      </c>
      <c r="F952">
        <v>1</v>
      </c>
      <c r="G952" s="13">
        <v>0</v>
      </c>
      <c r="H952" s="13">
        <v>0</v>
      </c>
      <c r="I952" s="13">
        <v>1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>
        <v>26</v>
      </c>
      <c r="AA952">
        <v>1</v>
      </c>
      <c r="AB952">
        <v>0</v>
      </c>
      <c r="AC952">
        <v>0</v>
      </c>
      <c r="AD952" s="19">
        <v>55153</v>
      </c>
      <c r="AE952" s="19">
        <v>44621</v>
      </c>
    </row>
    <row r="953" spans="1:31" x14ac:dyDescent="0.25">
      <c r="A953" s="15" t="s">
        <v>2093</v>
      </c>
      <c r="B953" s="14">
        <v>0</v>
      </c>
      <c r="C953" s="16">
        <v>0</v>
      </c>
      <c r="D953" s="16">
        <v>0</v>
      </c>
      <c r="E953">
        <v>1</v>
      </c>
      <c r="F953">
        <v>0</v>
      </c>
      <c r="G953" s="16">
        <v>0</v>
      </c>
      <c r="H953" s="16">
        <v>0</v>
      </c>
      <c r="I953" s="16">
        <v>0</v>
      </c>
      <c r="J953" s="16">
        <v>0</v>
      </c>
      <c r="K953" s="16">
        <v>0</v>
      </c>
      <c r="L953" s="16">
        <v>0</v>
      </c>
      <c r="M953" s="16">
        <v>1</v>
      </c>
      <c r="N953" s="16">
        <v>0</v>
      </c>
      <c r="O953">
        <v>23</v>
      </c>
      <c r="AA953">
        <v>1</v>
      </c>
      <c r="AB953">
        <v>0</v>
      </c>
      <c r="AC953">
        <v>0</v>
      </c>
      <c r="AD953" s="20">
        <v>55153</v>
      </c>
      <c r="AE953" s="20">
        <v>44713</v>
      </c>
    </row>
    <row r="954" spans="1:31" x14ac:dyDescent="0.25">
      <c r="A954" s="12" t="s">
        <v>2095</v>
      </c>
      <c r="B954" s="11">
        <v>0</v>
      </c>
      <c r="C954" s="13">
        <v>0</v>
      </c>
      <c r="D954" s="13">
        <v>0</v>
      </c>
      <c r="E954" s="28">
        <v>1</v>
      </c>
      <c r="F954">
        <v>0</v>
      </c>
      <c r="G954" s="13">
        <v>1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>
        <v>29</v>
      </c>
      <c r="AA954">
        <v>1</v>
      </c>
      <c r="AB954">
        <v>0</v>
      </c>
      <c r="AC954">
        <v>0</v>
      </c>
      <c r="AD954" s="19">
        <v>55153</v>
      </c>
      <c r="AE954" s="19">
        <v>44531</v>
      </c>
    </row>
    <row r="955" spans="1:31" x14ac:dyDescent="0.25">
      <c r="A955" s="15" t="s">
        <v>2097</v>
      </c>
      <c r="B955" s="14">
        <v>1</v>
      </c>
      <c r="C955" s="16">
        <v>0</v>
      </c>
      <c r="D955" s="16">
        <v>1</v>
      </c>
      <c r="E955">
        <v>1</v>
      </c>
      <c r="F955">
        <v>0</v>
      </c>
      <c r="G955" s="16">
        <v>0</v>
      </c>
      <c r="H955" s="16">
        <v>1</v>
      </c>
      <c r="I955" s="16">
        <v>0</v>
      </c>
      <c r="J955" s="16">
        <v>0</v>
      </c>
      <c r="K955" s="16">
        <v>0</v>
      </c>
      <c r="L955" s="16">
        <v>0</v>
      </c>
      <c r="M955" s="16">
        <v>0</v>
      </c>
      <c r="N955" s="16">
        <v>0</v>
      </c>
      <c r="O955">
        <v>30</v>
      </c>
      <c r="AA955">
        <v>1</v>
      </c>
      <c r="AB955">
        <v>0</v>
      </c>
      <c r="AC955">
        <v>0</v>
      </c>
      <c r="AD955" s="20">
        <v>55153</v>
      </c>
      <c r="AE955" s="20">
        <v>44501</v>
      </c>
    </row>
    <row r="956" spans="1:31" x14ac:dyDescent="0.25">
      <c r="A956" s="12" t="s">
        <v>2099</v>
      </c>
      <c r="B956" s="11">
        <v>1</v>
      </c>
      <c r="C956" s="13">
        <v>1</v>
      </c>
      <c r="D956" s="13">
        <v>1</v>
      </c>
      <c r="E956" s="28">
        <v>1</v>
      </c>
      <c r="F956">
        <v>0</v>
      </c>
      <c r="G956" s="13">
        <v>0</v>
      </c>
      <c r="H956" s="13">
        <v>1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>
        <v>28</v>
      </c>
      <c r="AA956">
        <v>1</v>
      </c>
      <c r="AB956">
        <v>0</v>
      </c>
      <c r="AC956">
        <v>0</v>
      </c>
      <c r="AD956" s="19">
        <v>55153</v>
      </c>
      <c r="AE956" s="19">
        <v>44562</v>
      </c>
    </row>
    <row r="957" spans="1:31" x14ac:dyDescent="0.25">
      <c r="A957" s="15" t="s">
        <v>2101</v>
      </c>
      <c r="B957" s="14">
        <v>1</v>
      </c>
      <c r="C957" s="16">
        <v>1</v>
      </c>
      <c r="D957" s="16">
        <v>1</v>
      </c>
      <c r="E957">
        <v>1</v>
      </c>
      <c r="F957">
        <v>0</v>
      </c>
      <c r="G957" s="16">
        <v>0</v>
      </c>
      <c r="H957" s="16">
        <v>0</v>
      </c>
      <c r="I957" s="16">
        <v>0</v>
      </c>
      <c r="J957" s="16">
        <v>0</v>
      </c>
      <c r="K957" s="16">
        <v>0</v>
      </c>
      <c r="L957" s="16">
        <v>0</v>
      </c>
      <c r="M957" s="16">
        <v>0</v>
      </c>
      <c r="N957" s="16">
        <v>1</v>
      </c>
      <c r="O957">
        <v>28</v>
      </c>
      <c r="AA957">
        <v>1</v>
      </c>
      <c r="AB957">
        <v>0</v>
      </c>
      <c r="AC957">
        <v>0</v>
      </c>
      <c r="AD957" s="20">
        <v>55153</v>
      </c>
      <c r="AE957" s="20">
        <v>44562</v>
      </c>
    </row>
    <row r="958" spans="1:31" x14ac:dyDescent="0.25">
      <c r="A958" s="12" t="s">
        <v>2103</v>
      </c>
      <c r="B958" s="11">
        <v>1</v>
      </c>
      <c r="C958" s="13">
        <v>1</v>
      </c>
      <c r="D958" s="13">
        <v>1</v>
      </c>
      <c r="E958" s="28">
        <v>1</v>
      </c>
      <c r="F958">
        <v>0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1</v>
      </c>
      <c r="O958">
        <v>28</v>
      </c>
      <c r="AA958">
        <v>1</v>
      </c>
      <c r="AB958">
        <v>0</v>
      </c>
      <c r="AC958">
        <v>0</v>
      </c>
      <c r="AD958" s="19">
        <v>55153</v>
      </c>
      <c r="AE958" s="19">
        <v>44562</v>
      </c>
    </row>
    <row r="959" spans="1:31" x14ac:dyDescent="0.25">
      <c r="A959" s="15" t="s">
        <v>2105</v>
      </c>
      <c r="B959" s="14">
        <v>1</v>
      </c>
      <c r="C959" s="16">
        <v>1</v>
      </c>
      <c r="D959" s="16">
        <v>1</v>
      </c>
      <c r="E959">
        <v>1</v>
      </c>
      <c r="F959">
        <v>0</v>
      </c>
      <c r="G959" s="16">
        <v>0</v>
      </c>
      <c r="H959" s="16">
        <v>0</v>
      </c>
      <c r="I959" s="16">
        <v>0</v>
      </c>
      <c r="J959" s="16">
        <v>1</v>
      </c>
      <c r="K959" s="16">
        <v>0</v>
      </c>
      <c r="L959" s="16">
        <v>0</v>
      </c>
      <c r="M959" s="16">
        <v>0</v>
      </c>
      <c r="N959" s="16">
        <v>0</v>
      </c>
      <c r="O959">
        <v>29</v>
      </c>
      <c r="AA959">
        <v>1</v>
      </c>
      <c r="AB959">
        <v>0</v>
      </c>
      <c r="AC959">
        <v>0</v>
      </c>
      <c r="AD959" s="20">
        <v>55153</v>
      </c>
      <c r="AE959" s="20">
        <v>44531</v>
      </c>
    </row>
    <row r="960" spans="1:31" x14ac:dyDescent="0.25">
      <c r="A960" s="12" t="s">
        <v>2107</v>
      </c>
      <c r="B960" s="11">
        <v>0</v>
      </c>
      <c r="C960" s="13">
        <v>0</v>
      </c>
      <c r="D960" s="13">
        <v>0</v>
      </c>
      <c r="E960" s="28">
        <v>0</v>
      </c>
      <c r="F960">
        <v>1</v>
      </c>
      <c r="G960" s="13">
        <v>1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>
        <v>23</v>
      </c>
      <c r="AA960">
        <v>1</v>
      </c>
      <c r="AB960">
        <v>0</v>
      </c>
      <c r="AC960">
        <v>0</v>
      </c>
      <c r="AD960" s="19">
        <v>55153</v>
      </c>
      <c r="AE960" s="19">
        <v>44713</v>
      </c>
    </row>
    <row r="961" spans="1:31" x14ac:dyDescent="0.25">
      <c r="A961" s="15" t="s">
        <v>2109</v>
      </c>
      <c r="B961" s="14">
        <v>1</v>
      </c>
      <c r="C961" s="16">
        <v>0</v>
      </c>
      <c r="D961" s="16">
        <v>0</v>
      </c>
      <c r="E961">
        <v>0</v>
      </c>
      <c r="F961">
        <v>1</v>
      </c>
      <c r="G961" s="16">
        <v>0</v>
      </c>
      <c r="H961" s="16">
        <v>1</v>
      </c>
      <c r="I961" s="16">
        <v>0</v>
      </c>
      <c r="J961" s="16">
        <v>0</v>
      </c>
      <c r="K961" s="16">
        <v>0</v>
      </c>
      <c r="L961" s="16">
        <v>0</v>
      </c>
      <c r="M961" s="16">
        <v>0</v>
      </c>
      <c r="N961" s="16">
        <v>0</v>
      </c>
      <c r="O961">
        <v>23</v>
      </c>
      <c r="AA961">
        <v>1</v>
      </c>
      <c r="AB961">
        <v>0</v>
      </c>
      <c r="AC961">
        <v>0</v>
      </c>
      <c r="AD961" s="20">
        <v>55153</v>
      </c>
      <c r="AE961" s="20">
        <v>44713</v>
      </c>
    </row>
    <row r="962" spans="1:31" x14ac:dyDescent="0.25">
      <c r="A962" s="12" t="s">
        <v>2111</v>
      </c>
      <c r="B962" s="11">
        <v>0</v>
      </c>
      <c r="C962" s="13">
        <v>0</v>
      </c>
      <c r="D962" s="13">
        <v>0</v>
      </c>
      <c r="E962" s="28">
        <v>0</v>
      </c>
      <c r="F962">
        <v>1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1</v>
      </c>
      <c r="N962" s="13">
        <v>0</v>
      </c>
      <c r="O962">
        <v>26</v>
      </c>
      <c r="AA962">
        <v>1</v>
      </c>
      <c r="AB962">
        <v>0</v>
      </c>
      <c r="AC962">
        <v>0</v>
      </c>
      <c r="AD962" s="19">
        <v>55153</v>
      </c>
      <c r="AE962" s="19">
        <v>44621</v>
      </c>
    </row>
    <row r="963" spans="1:31" x14ac:dyDescent="0.25">
      <c r="A963" s="15" t="s">
        <v>2113</v>
      </c>
      <c r="B963" s="14">
        <v>0</v>
      </c>
      <c r="C963" s="16">
        <v>0</v>
      </c>
      <c r="D963" s="16">
        <v>0</v>
      </c>
      <c r="E963">
        <v>1</v>
      </c>
      <c r="F963">
        <v>0</v>
      </c>
      <c r="G963" s="16">
        <v>0</v>
      </c>
      <c r="H963" s="16">
        <v>0</v>
      </c>
      <c r="I963" s="16">
        <v>0</v>
      </c>
      <c r="J963" s="16">
        <v>0</v>
      </c>
      <c r="K963" s="16">
        <v>1</v>
      </c>
      <c r="L963" s="16">
        <v>0</v>
      </c>
      <c r="M963" s="16">
        <v>0</v>
      </c>
      <c r="N963" s="16">
        <v>0</v>
      </c>
      <c r="O963">
        <v>26</v>
      </c>
      <c r="AA963">
        <v>1</v>
      </c>
      <c r="AB963">
        <v>0</v>
      </c>
      <c r="AC963">
        <v>0</v>
      </c>
      <c r="AD963" s="20">
        <v>55153</v>
      </c>
      <c r="AE963" s="20">
        <v>44621</v>
      </c>
    </row>
    <row r="964" spans="1:31" x14ac:dyDescent="0.25">
      <c r="A964" s="12" t="s">
        <v>2115</v>
      </c>
      <c r="B964" s="11">
        <v>0</v>
      </c>
      <c r="C964" s="13">
        <v>0</v>
      </c>
      <c r="D964" s="13">
        <v>0</v>
      </c>
      <c r="E964" s="28">
        <v>1</v>
      </c>
      <c r="F964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1</v>
      </c>
      <c r="L964" s="13">
        <v>0</v>
      </c>
      <c r="M964" s="13">
        <v>0</v>
      </c>
      <c r="N964" s="13">
        <v>0</v>
      </c>
      <c r="O964">
        <v>26</v>
      </c>
      <c r="AA964">
        <v>1</v>
      </c>
      <c r="AB964">
        <v>0</v>
      </c>
      <c r="AC964">
        <v>0</v>
      </c>
      <c r="AD964" s="19">
        <v>55153</v>
      </c>
      <c r="AE964" s="19">
        <v>44621</v>
      </c>
    </row>
    <row r="965" spans="1:31" x14ac:dyDescent="0.25">
      <c r="A965" s="15" t="s">
        <v>2117</v>
      </c>
      <c r="B965" s="14">
        <v>0</v>
      </c>
      <c r="C965" s="16">
        <v>0</v>
      </c>
      <c r="D965" s="16">
        <v>0</v>
      </c>
      <c r="E965">
        <v>1</v>
      </c>
      <c r="F965">
        <v>0</v>
      </c>
      <c r="G965" s="16">
        <v>0</v>
      </c>
      <c r="H965" s="16">
        <v>0</v>
      </c>
      <c r="I965" s="16">
        <v>0</v>
      </c>
      <c r="J965" s="16">
        <v>0</v>
      </c>
      <c r="K965" s="16">
        <v>0</v>
      </c>
      <c r="L965" s="16">
        <v>0</v>
      </c>
      <c r="M965" s="16">
        <v>1</v>
      </c>
      <c r="N965" s="16">
        <v>0</v>
      </c>
      <c r="O965">
        <v>26</v>
      </c>
      <c r="AA965">
        <v>1</v>
      </c>
      <c r="AB965">
        <v>0</v>
      </c>
      <c r="AC965">
        <v>0</v>
      </c>
      <c r="AD965" s="20">
        <v>55153</v>
      </c>
      <c r="AE965" s="20">
        <v>44621</v>
      </c>
    </row>
    <row r="966" spans="1:31" x14ac:dyDescent="0.25">
      <c r="A966" s="12" t="s">
        <v>2119</v>
      </c>
      <c r="B966" s="11">
        <v>0</v>
      </c>
      <c r="C966" s="13">
        <v>0</v>
      </c>
      <c r="D966" s="13">
        <v>0</v>
      </c>
      <c r="E966" s="28">
        <v>1</v>
      </c>
      <c r="F966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1</v>
      </c>
      <c r="N966" s="13">
        <v>0</v>
      </c>
      <c r="O966">
        <v>26</v>
      </c>
      <c r="AA966">
        <v>1</v>
      </c>
      <c r="AB966">
        <v>0</v>
      </c>
      <c r="AC966">
        <v>0</v>
      </c>
      <c r="AD966" s="19">
        <v>55153</v>
      </c>
      <c r="AE966" s="19">
        <v>44621</v>
      </c>
    </row>
    <row r="967" spans="1:31" x14ac:dyDescent="0.25">
      <c r="A967" s="15" t="s">
        <v>2121</v>
      </c>
      <c r="B967" s="14">
        <v>0</v>
      </c>
      <c r="C967" s="16">
        <v>0</v>
      </c>
      <c r="D967" s="16">
        <v>0</v>
      </c>
      <c r="E967">
        <v>1</v>
      </c>
      <c r="F967">
        <v>0</v>
      </c>
      <c r="G967" s="16">
        <v>0</v>
      </c>
      <c r="H967" s="16">
        <v>0</v>
      </c>
      <c r="I967" s="16">
        <v>0</v>
      </c>
      <c r="J967" s="16">
        <v>0</v>
      </c>
      <c r="K967" s="16">
        <v>0</v>
      </c>
      <c r="L967" s="16">
        <v>0</v>
      </c>
      <c r="M967" s="16">
        <v>1</v>
      </c>
      <c r="N967" s="16">
        <v>0</v>
      </c>
      <c r="O967">
        <v>23</v>
      </c>
      <c r="AA967">
        <v>1</v>
      </c>
      <c r="AB967">
        <v>0</v>
      </c>
      <c r="AC967">
        <v>0</v>
      </c>
      <c r="AD967" s="20">
        <v>55153</v>
      </c>
      <c r="AE967" s="20">
        <v>44713</v>
      </c>
    </row>
    <row r="968" spans="1:31" x14ac:dyDescent="0.25">
      <c r="A968" s="12" t="s">
        <v>2123</v>
      </c>
      <c r="B968" s="11">
        <v>0</v>
      </c>
      <c r="C968" s="13">
        <v>0</v>
      </c>
      <c r="D968" s="13">
        <v>0</v>
      </c>
      <c r="E968" s="28">
        <v>1</v>
      </c>
      <c r="F968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1</v>
      </c>
      <c r="N968" s="13">
        <v>0</v>
      </c>
      <c r="O968">
        <v>23</v>
      </c>
      <c r="AA968">
        <v>1</v>
      </c>
      <c r="AB968">
        <v>0</v>
      </c>
      <c r="AC968">
        <v>0</v>
      </c>
      <c r="AD968" s="19">
        <v>55153</v>
      </c>
      <c r="AE968" s="19">
        <v>44713</v>
      </c>
    </row>
    <row r="969" spans="1:31" x14ac:dyDescent="0.25">
      <c r="A969" s="15" t="s">
        <v>2125</v>
      </c>
      <c r="B969" s="14">
        <v>0</v>
      </c>
      <c r="C969" s="16">
        <v>0</v>
      </c>
      <c r="D969" s="16">
        <v>0</v>
      </c>
      <c r="E969">
        <v>0</v>
      </c>
      <c r="F969">
        <v>1</v>
      </c>
      <c r="G969" s="16">
        <v>0</v>
      </c>
      <c r="H969" s="16">
        <v>0</v>
      </c>
      <c r="I969" s="16">
        <v>0</v>
      </c>
      <c r="J969" s="16">
        <v>0</v>
      </c>
      <c r="K969" s="16">
        <v>0</v>
      </c>
      <c r="L969" s="16">
        <v>0</v>
      </c>
      <c r="M969" s="16">
        <v>1</v>
      </c>
      <c r="N969" s="16">
        <v>0</v>
      </c>
      <c r="O969">
        <v>26</v>
      </c>
      <c r="AA969">
        <v>1</v>
      </c>
      <c r="AB969">
        <v>0</v>
      </c>
      <c r="AC969">
        <v>0</v>
      </c>
      <c r="AD969" s="20">
        <v>55153</v>
      </c>
      <c r="AE969" s="20">
        <v>44621</v>
      </c>
    </row>
    <row r="970" spans="1:31" x14ac:dyDescent="0.25">
      <c r="A970" s="12" t="s">
        <v>2127</v>
      </c>
      <c r="B970" s="11">
        <v>0</v>
      </c>
      <c r="C970" s="13">
        <v>0</v>
      </c>
      <c r="D970" s="13">
        <v>0</v>
      </c>
      <c r="E970" s="28">
        <v>1</v>
      </c>
      <c r="F970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1</v>
      </c>
      <c r="N970" s="13">
        <v>0</v>
      </c>
      <c r="O970">
        <v>23</v>
      </c>
      <c r="AA970">
        <v>1</v>
      </c>
      <c r="AB970">
        <v>0</v>
      </c>
      <c r="AC970">
        <v>0</v>
      </c>
      <c r="AD970" s="19">
        <v>55153</v>
      </c>
      <c r="AE970" s="19">
        <v>44713</v>
      </c>
    </row>
    <row r="971" spans="1:31" x14ac:dyDescent="0.25">
      <c r="A971" s="15" t="s">
        <v>2129</v>
      </c>
      <c r="B971" s="14">
        <v>1</v>
      </c>
      <c r="C971" s="16">
        <v>0</v>
      </c>
      <c r="D971" s="16">
        <v>0</v>
      </c>
      <c r="E971">
        <v>0</v>
      </c>
      <c r="F971">
        <v>1</v>
      </c>
      <c r="G971" s="16">
        <v>0</v>
      </c>
      <c r="H971" s="16">
        <v>1</v>
      </c>
      <c r="I971" s="16">
        <v>0</v>
      </c>
      <c r="J971" s="16">
        <v>0</v>
      </c>
      <c r="K971" s="16">
        <v>0</v>
      </c>
      <c r="L971" s="16">
        <v>0</v>
      </c>
      <c r="M971" s="16">
        <v>0</v>
      </c>
      <c r="N971" s="16">
        <v>0</v>
      </c>
      <c r="O971">
        <v>23</v>
      </c>
      <c r="AA971">
        <v>1</v>
      </c>
      <c r="AB971">
        <v>0</v>
      </c>
      <c r="AC971">
        <v>0</v>
      </c>
      <c r="AD971" s="20">
        <v>55153</v>
      </c>
      <c r="AE971" s="20">
        <v>44713</v>
      </c>
    </row>
    <row r="972" spans="1:31" x14ac:dyDescent="0.25">
      <c r="A972" s="12" t="s">
        <v>2131</v>
      </c>
      <c r="B972" s="11">
        <v>1</v>
      </c>
      <c r="C972" s="13">
        <v>0</v>
      </c>
      <c r="D972" s="13">
        <v>0</v>
      </c>
      <c r="E972" s="28">
        <v>0</v>
      </c>
      <c r="F972">
        <v>1</v>
      </c>
      <c r="G972" s="13">
        <v>0</v>
      </c>
      <c r="H972" s="13">
        <v>1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>
        <v>23</v>
      </c>
      <c r="AA972">
        <v>1</v>
      </c>
      <c r="AB972">
        <v>0</v>
      </c>
      <c r="AC972">
        <v>0</v>
      </c>
      <c r="AD972" s="19">
        <v>55153</v>
      </c>
      <c r="AE972" s="19">
        <v>44713</v>
      </c>
    </row>
    <row r="973" spans="1:31" x14ac:dyDescent="0.25">
      <c r="A973" s="15" t="s">
        <v>2133</v>
      </c>
      <c r="B973" s="14">
        <v>0</v>
      </c>
      <c r="C973" s="16">
        <v>0</v>
      </c>
      <c r="D973" s="16">
        <v>0</v>
      </c>
      <c r="E973">
        <v>1</v>
      </c>
      <c r="F973">
        <v>0</v>
      </c>
      <c r="G973" s="16">
        <v>0</v>
      </c>
      <c r="H973" s="16">
        <v>0</v>
      </c>
      <c r="I973" s="16">
        <v>0</v>
      </c>
      <c r="J973" s="16">
        <v>0</v>
      </c>
      <c r="K973" s="16">
        <v>1</v>
      </c>
      <c r="L973" s="16">
        <v>0</v>
      </c>
      <c r="M973" s="16">
        <v>0</v>
      </c>
      <c r="N973" s="16">
        <v>0</v>
      </c>
      <c r="O973">
        <v>26</v>
      </c>
      <c r="AA973">
        <v>1</v>
      </c>
      <c r="AB973">
        <v>0</v>
      </c>
      <c r="AC973">
        <v>0</v>
      </c>
      <c r="AD973" s="20">
        <v>55153</v>
      </c>
      <c r="AE973" s="20">
        <v>44621</v>
      </c>
    </row>
    <row r="974" spans="1:31" x14ac:dyDescent="0.25">
      <c r="A974" s="12" t="s">
        <v>2135</v>
      </c>
      <c r="B974" s="11">
        <v>0</v>
      </c>
      <c r="C974" s="13">
        <v>0</v>
      </c>
      <c r="D974" s="13">
        <v>0</v>
      </c>
      <c r="E974" s="28">
        <v>1</v>
      </c>
      <c r="F974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1</v>
      </c>
      <c r="N974" s="13">
        <v>0</v>
      </c>
      <c r="O974">
        <v>20</v>
      </c>
      <c r="AA974">
        <v>1</v>
      </c>
      <c r="AB974">
        <v>0</v>
      </c>
      <c r="AC974">
        <v>0</v>
      </c>
      <c r="AD974" s="19">
        <v>55153</v>
      </c>
      <c r="AE974" s="19">
        <v>44805</v>
      </c>
    </row>
    <row r="975" spans="1:31" x14ac:dyDescent="0.25">
      <c r="A975" s="15" t="s">
        <v>2137</v>
      </c>
      <c r="B975" s="14">
        <v>0</v>
      </c>
      <c r="C975" s="16">
        <v>0</v>
      </c>
      <c r="D975" s="16">
        <v>0</v>
      </c>
      <c r="E975">
        <v>0</v>
      </c>
      <c r="F975">
        <v>1</v>
      </c>
      <c r="G975" s="16">
        <v>0</v>
      </c>
      <c r="H975" s="16">
        <v>0</v>
      </c>
      <c r="I975" s="16">
        <v>0</v>
      </c>
      <c r="J975" s="16">
        <v>0</v>
      </c>
      <c r="K975" s="16">
        <v>1</v>
      </c>
      <c r="L975" s="16">
        <v>0</v>
      </c>
      <c r="M975" s="16">
        <v>0</v>
      </c>
      <c r="N975" s="16">
        <v>0</v>
      </c>
      <c r="O975">
        <v>23</v>
      </c>
      <c r="AA975">
        <v>1</v>
      </c>
      <c r="AB975">
        <v>0</v>
      </c>
      <c r="AC975">
        <v>0</v>
      </c>
      <c r="AD975" s="20">
        <v>55153</v>
      </c>
      <c r="AE975" s="20">
        <v>44713</v>
      </c>
    </row>
    <row r="976" spans="1:31" x14ac:dyDescent="0.25">
      <c r="A976" s="12" t="s">
        <v>2139</v>
      </c>
      <c r="B976" s="11">
        <v>1</v>
      </c>
      <c r="C976" s="13">
        <v>0</v>
      </c>
      <c r="D976" s="13">
        <v>0</v>
      </c>
      <c r="E976" s="28">
        <v>0</v>
      </c>
      <c r="F976">
        <v>1</v>
      </c>
      <c r="G976" s="13">
        <v>0</v>
      </c>
      <c r="H976" s="13">
        <v>0</v>
      </c>
      <c r="I976" s="13">
        <v>0</v>
      </c>
      <c r="J976" s="13">
        <v>0</v>
      </c>
      <c r="K976" s="13">
        <v>1</v>
      </c>
      <c r="L976" s="13">
        <v>0</v>
      </c>
      <c r="M976" s="13">
        <v>0</v>
      </c>
      <c r="N976" s="13">
        <v>0</v>
      </c>
      <c r="O976">
        <v>24</v>
      </c>
      <c r="AA976">
        <v>1</v>
      </c>
      <c r="AB976">
        <v>0</v>
      </c>
      <c r="AC976">
        <v>0</v>
      </c>
      <c r="AD976" s="19">
        <v>55153</v>
      </c>
      <c r="AE976" s="19">
        <v>44682</v>
      </c>
    </row>
    <row r="977" spans="1:31" x14ac:dyDescent="0.25">
      <c r="A977" s="15" t="s">
        <v>62</v>
      </c>
      <c r="B977" s="14">
        <v>1</v>
      </c>
      <c r="C977" s="16">
        <v>0</v>
      </c>
      <c r="D977" s="16">
        <v>1</v>
      </c>
      <c r="E977">
        <v>0</v>
      </c>
      <c r="F977">
        <v>0</v>
      </c>
      <c r="G977" s="16">
        <v>0</v>
      </c>
      <c r="H977" s="16">
        <v>1</v>
      </c>
      <c r="I977" s="16">
        <v>0</v>
      </c>
      <c r="J977" s="16">
        <v>0</v>
      </c>
      <c r="K977" s="16">
        <v>0</v>
      </c>
      <c r="L977" s="16">
        <v>0</v>
      </c>
      <c r="M977" s="16">
        <v>0</v>
      </c>
      <c r="N977" s="16">
        <v>0</v>
      </c>
      <c r="O977">
        <v>21</v>
      </c>
      <c r="AA977">
        <v>0</v>
      </c>
      <c r="AB977">
        <v>0</v>
      </c>
      <c r="AC977">
        <v>1</v>
      </c>
      <c r="AD977" s="20">
        <v>45230</v>
      </c>
      <c r="AE977" s="20">
        <v>44562</v>
      </c>
    </row>
    <row r="978" spans="1:31" x14ac:dyDescent="0.25">
      <c r="A978" s="12" t="s">
        <v>2141</v>
      </c>
      <c r="B978" s="11">
        <v>1</v>
      </c>
      <c r="C978" s="13">
        <v>0</v>
      </c>
      <c r="D978" s="13">
        <v>0</v>
      </c>
      <c r="E978" s="28">
        <v>0</v>
      </c>
      <c r="F978">
        <v>1</v>
      </c>
      <c r="G978" s="13">
        <v>0</v>
      </c>
      <c r="H978" s="13">
        <v>1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>
        <v>24</v>
      </c>
      <c r="AA978">
        <v>1</v>
      </c>
      <c r="AB978">
        <v>0</v>
      </c>
      <c r="AC978">
        <v>0</v>
      </c>
      <c r="AD978" s="19">
        <v>55153</v>
      </c>
      <c r="AE978" s="19">
        <v>44682</v>
      </c>
    </row>
    <row r="979" spans="1:31" x14ac:dyDescent="0.25">
      <c r="A979" s="15" t="s">
        <v>2143</v>
      </c>
      <c r="B979" s="14">
        <v>1</v>
      </c>
      <c r="C979" s="16">
        <v>0</v>
      </c>
      <c r="D979" s="16">
        <v>0</v>
      </c>
      <c r="E979">
        <v>0</v>
      </c>
      <c r="F979">
        <v>1</v>
      </c>
      <c r="G979" s="16">
        <v>0</v>
      </c>
      <c r="H979" s="16">
        <v>1</v>
      </c>
      <c r="I979" s="16">
        <v>0</v>
      </c>
      <c r="J979" s="16">
        <v>0</v>
      </c>
      <c r="K979" s="16">
        <v>0</v>
      </c>
      <c r="L979" s="16">
        <v>0</v>
      </c>
      <c r="M979" s="16">
        <v>0</v>
      </c>
      <c r="N979" s="16">
        <v>0</v>
      </c>
      <c r="O979">
        <v>24</v>
      </c>
      <c r="AA979">
        <v>1</v>
      </c>
      <c r="AB979">
        <v>0</v>
      </c>
      <c r="AC979">
        <v>0</v>
      </c>
      <c r="AD979" s="20">
        <v>55153</v>
      </c>
      <c r="AE979" s="20">
        <v>44682</v>
      </c>
    </row>
    <row r="980" spans="1:31" x14ac:dyDescent="0.25">
      <c r="A980" s="12" t="s">
        <v>2145</v>
      </c>
      <c r="B980" s="11">
        <v>0</v>
      </c>
      <c r="C980" s="13">
        <v>0</v>
      </c>
      <c r="D980" s="13">
        <v>0</v>
      </c>
      <c r="E980" s="28">
        <v>1</v>
      </c>
      <c r="F980">
        <v>0</v>
      </c>
      <c r="G980" s="13">
        <v>0</v>
      </c>
      <c r="H980" s="13">
        <v>0</v>
      </c>
      <c r="I980" s="13">
        <v>1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>
        <v>26</v>
      </c>
      <c r="AA980">
        <v>1</v>
      </c>
      <c r="AB980">
        <v>0</v>
      </c>
      <c r="AC980">
        <v>0</v>
      </c>
      <c r="AD980" s="19">
        <v>55153</v>
      </c>
      <c r="AE980" s="19">
        <v>44621</v>
      </c>
    </row>
    <row r="981" spans="1:31" x14ac:dyDescent="0.25">
      <c r="A981" s="15" t="s">
        <v>2147</v>
      </c>
      <c r="B981" s="14">
        <v>0</v>
      </c>
      <c r="C981" s="16">
        <v>0</v>
      </c>
      <c r="D981" s="16">
        <v>0</v>
      </c>
      <c r="E981">
        <v>1</v>
      </c>
      <c r="F981">
        <v>0</v>
      </c>
      <c r="G981" s="16">
        <v>0</v>
      </c>
      <c r="H981" s="16">
        <v>0</v>
      </c>
      <c r="I981" s="16">
        <v>0</v>
      </c>
      <c r="J981" s="16">
        <v>0</v>
      </c>
      <c r="K981" s="16">
        <v>0</v>
      </c>
      <c r="L981" s="16">
        <v>0</v>
      </c>
      <c r="M981" s="16">
        <v>1</v>
      </c>
      <c r="N981" s="16">
        <v>0</v>
      </c>
      <c r="O981">
        <v>23</v>
      </c>
      <c r="AA981">
        <v>1</v>
      </c>
      <c r="AB981">
        <v>0</v>
      </c>
      <c r="AC981">
        <v>0</v>
      </c>
      <c r="AD981" s="20">
        <v>55153</v>
      </c>
      <c r="AE981" s="20">
        <v>44713</v>
      </c>
    </row>
    <row r="982" spans="1:31" x14ac:dyDescent="0.25">
      <c r="A982" s="12" t="s">
        <v>2149</v>
      </c>
      <c r="B982" s="11">
        <v>0</v>
      </c>
      <c r="C982" s="13">
        <v>0</v>
      </c>
      <c r="D982" s="13">
        <v>0</v>
      </c>
      <c r="E982" s="28">
        <v>1</v>
      </c>
      <c r="F982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1</v>
      </c>
      <c r="N982" s="13">
        <v>0</v>
      </c>
      <c r="O982">
        <v>23</v>
      </c>
      <c r="AA982">
        <v>1</v>
      </c>
      <c r="AB982">
        <v>0</v>
      </c>
      <c r="AC982">
        <v>0</v>
      </c>
      <c r="AD982" s="19">
        <v>55153</v>
      </c>
      <c r="AE982" s="19">
        <v>44713</v>
      </c>
    </row>
    <row r="983" spans="1:31" x14ac:dyDescent="0.25">
      <c r="A983" s="15" t="s">
        <v>2151</v>
      </c>
      <c r="B983" s="14">
        <v>0</v>
      </c>
      <c r="C983" s="16">
        <v>0</v>
      </c>
      <c r="D983" s="16">
        <v>0</v>
      </c>
      <c r="E983">
        <v>1</v>
      </c>
      <c r="F983">
        <v>0</v>
      </c>
      <c r="G983" s="16">
        <v>0</v>
      </c>
      <c r="H983" s="16">
        <v>0</v>
      </c>
      <c r="I983" s="16">
        <v>0</v>
      </c>
      <c r="J983" s="16">
        <v>0</v>
      </c>
      <c r="K983" s="16">
        <v>0</v>
      </c>
      <c r="L983" s="16">
        <v>0</v>
      </c>
      <c r="M983" s="16">
        <v>1</v>
      </c>
      <c r="N983" s="16">
        <v>0</v>
      </c>
      <c r="O983">
        <v>23</v>
      </c>
      <c r="AA983">
        <v>1</v>
      </c>
      <c r="AB983">
        <v>0</v>
      </c>
      <c r="AC983">
        <v>0</v>
      </c>
      <c r="AD983" s="20">
        <v>55153</v>
      </c>
      <c r="AE983" s="20">
        <v>44713</v>
      </c>
    </row>
    <row r="984" spans="1:31" x14ac:dyDescent="0.25">
      <c r="A984" s="12" t="s">
        <v>2153</v>
      </c>
      <c r="B984" s="11">
        <v>0</v>
      </c>
      <c r="C984" s="13">
        <v>0</v>
      </c>
      <c r="D984" s="13">
        <v>0</v>
      </c>
      <c r="E984" s="28">
        <v>1</v>
      </c>
      <c r="F984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1</v>
      </c>
      <c r="N984" s="13">
        <v>0</v>
      </c>
      <c r="O984">
        <v>23</v>
      </c>
      <c r="AA984">
        <v>1</v>
      </c>
      <c r="AB984">
        <v>0</v>
      </c>
      <c r="AC984">
        <v>0</v>
      </c>
      <c r="AD984" s="19">
        <v>55153</v>
      </c>
      <c r="AE984" s="19">
        <v>44713</v>
      </c>
    </row>
    <row r="985" spans="1:31" x14ac:dyDescent="0.25">
      <c r="A985" s="15" t="s">
        <v>2155</v>
      </c>
      <c r="B985" s="14">
        <v>0</v>
      </c>
      <c r="C985" s="16">
        <v>0</v>
      </c>
      <c r="D985" s="16">
        <v>0</v>
      </c>
      <c r="E985">
        <v>1</v>
      </c>
      <c r="F985">
        <v>0</v>
      </c>
      <c r="G985" s="16">
        <v>0</v>
      </c>
      <c r="H985" s="16">
        <v>0</v>
      </c>
      <c r="I985" s="16">
        <v>0</v>
      </c>
      <c r="J985" s="16">
        <v>0</v>
      </c>
      <c r="K985" s="16">
        <v>0</v>
      </c>
      <c r="L985" s="16">
        <v>0</v>
      </c>
      <c r="M985" s="16">
        <v>1</v>
      </c>
      <c r="N985" s="16">
        <v>0</v>
      </c>
      <c r="O985">
        <v>23</v>
      </c>
      <c r="AA985">
        <v>1</v>
      </c>
      <c r="AB985">
        <v>0</v>
      </c>
      <c r="AC985">
        <v>0</v>
      </c>
      <c r="AD985" s="20">
        <v>55153</v>
      </c>
      <c r="AE985" s="20">
        <v>44713</v>
      </c>
    </row>
    <row r="986" spans="1:31" x14ac:dyDescent="0.25">
      <c r="A986" s="12" t="s">
        <v>2157</v>
      </c>
      <c r="B986" s="11">
        <v>0</v>
      </c>
      <c r="C986" s="13">
        <v>0</v>
      </c>
      <c r="D986" s="13">
        <v>0</v>
      </c>
      <c r="E986" s="28">
        <v>1</v>
      </c>
      <c r="F986">
        <v>0</v>
      </c>
      <c r="G986" s="13">
        <v>0</v>
      </c>
      <c r="H986" s="13">
        <v>0</v>
      </c>
      <c r="I986" s="13">
        <v>1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>
        <v>26</v>
      </c>
      <c r="AA986">
        <v>1</v>
      </c>
      <c r="AB986">
        <v>0</v>
      </c>
      <c r="AC986">
        <v>0</v>
      </c>
      <c r="AD986" s="19">
        <v>55153</v>
      </c>
      <c r="AE986" s="19">
        <v>44621</v>
      </c>
    </row>
    <row r="987" spans="1:31" x14ac:dyDescent="0.25">
      <c r="A987" s="15" t="s">
        <v>2159</v>
      </c>
      <c r="B987" s="14">
        <v>0</v>
      </c>
      <c r="C987" s="16">
        <v>0</v>
      </c>
      <c r="D987" s="16">
        <v>0</v>
      </c>
      <c r="E987">
        <v>1</v>
      </c>
      <c r="F987">
        <v>0</v>
      </c>
      <c r="G987" s="16">
        <v>0</v>
      </c>
      <c r="H987" s="16">
        <v>0</v>
      </c>
      <c r="I987" s="16">
        <v>1</v>
      </c>
      <c r="J987" s="16">
        <v>0</v>
      </c>
      <c r="K987" s="16">
        <v>0</v>
      </c>
      <c r="L987" s="16">
        <v>0</v>
      </c>
      <c r="M987" s="16">
        <v>0</v>
      </c>
      <c r="N987" s="16">
        <v>0</v>
      </c>
      <c r="O987">
        <v>26</v>
      </c>
      <c r="AA987">
        <v>1</v>
      </c>
      <c r="AB987">
        <v>0</v>
      </c>
      <c r="AC987">
        <v>0</v>
      </c>
      <c r="AD987" s="20">
        <v>55153</v>
      </c>
      <c r="AE987" s="20">
        <v>44621</v>
      </c>
    </row>
    <row r="988" spans="1:31" x14ac:dyDescent="0.25">
      <c r="A988" s="12" t="s">
        <v>2161</v>
      </c>
      <c r="B988" s="11">
        <v>0</v>
      </c>
      <c r="C988" s="13">
        <v>0</v>
      </c>
      <c r="D988" s="13">
        <v>0</v>
      </c>
      <c r="E988" s="28">
        <v>1</v>
      </c>
      <c r="F988">
        <v>0</v>
      </c>
      <c r="G988" s="13">
        <v>0</v>
      </c>
      <c r="H988" s="13">
        <v>0</v>
      </c>
      <c r="I988" s="13">
        <v>1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>
        <v>26</v>
      </c>
      <c r="AA988">
        <v>1</v>
      </c>
      <c r="AB988">
        <v>0</v>
      </c>
      <c r="AC988">
        <v>0</v>
      </c>
      <c r="AD988" s="19">
        <v>55153</v>
      </c>
      <c r="AE988" s="19">
        <v>44621</v>
      </c>
    </row>
    <row r="989" spans="1:31" x14ac:dyDescent="0.25">
      <c r="A989" s="15" t="s">
        <v>2163</v>
      </c>
      <c r="B989" s="14">
        <v>1</v>
      </c>
      <c r="C989" s="16">
        <v>0</v>
      </c>
      <c r="D989" s="16">
        <v>1</v>
      </c>
      <c r="E989">
        <v>1</v>
      </c>
      <c r="F989">
        <v>0</v>
      </c>
      <c r="G989" s="16">
        <v>0</v>
      </c>
      <c r="H989" s="16">
        <v>0</v>
      </c>
      <c r="I989" s="16">
        <v>0</v>
      </c>
      <c r="J989" s="16">
        <v>0</v>
      </c>
      <c r="K989" s="16">
        <v>1</v>
      </c>
      <c r="L989" s="16">
        <v>0</v>
      </c>
      <c r="M989" s="16">
        <v>0</v>
      </c>
      <c r="N989" s="16">
        <v>0</v>
      </c>
      <c r="O989">
        <v>23</v>
      </c>
      <c r="AA989">
        <v>1</v>
      </c>
      <c r="AB989">
        <v>0</v>
      </c>
      <c r="AC989">
        <v>0</v>
      </c>
      <c r="AD989" s="20">
        <v>55153</v>
      </c>
      <c r="AE989" s="20">
        <v>44713</v>
      </c>
    </row>
    <row r="990" spans="1:31" x14ac:dyDescent="0.25">
      <c r="A990" s="12" t="s">
        <v>64</v>
      </c>
      <c r="B990" s="11">
        <v>1</v>
      </c>
      <c r="C990" s="13">
        <v>0</v>
      </c>
      <c r="D990" s="13">
        <v>1</v>
      </c>
      <c r="E990" s="28">
        <v>0</v>
      </c>
      <c r="F990">
        <v>0</v>
      </c>
      <c r="G990" s="13">
        <v>0</v>
      </c>
      <c r="H990" s="13">
        <v>0</v>
      </c>
      <c r="I990" s="13">
        <v>0</v>
      </c>
      <c r="J990" s="13">
        <v>0</v>
      </c>
      <c r="K990" s="13">
        <v>0</v>
      </c>
      <c r="L990" s="13">
        <v>1</v>
      </c>
      <c r="M990" s="13">
        <v>0</v>
      </c>
      <c r="N990" s="13">
        <v>0</v>
      </c>
      <c r="O990">
        <v>20</v>
      </c>
      <c r="AA990">
        <v>0</v>
      </c>
      <c r="AB990">
        <v>0</v>
      </c>
      <c r="AC990">
        <v>1</v>
      </c>
      <c r="AD990" s="19">
        <v>45291</v>
      </c>
      <c r="AE990" s="19">
        <v>44652</v>
      </c>
    </row>
    <row r="991" spans="1:31" x14ac:dyDescent="0.25">
      <c r="A991" s="15" t="s">
        <v>2165</v>
      </c>
      <c r="B991" s="14">
        <v>0</v>
      </c>
      <c r="C991" s="16">
        <v>0</v>
      </c>
      <c r="D991" s="16">
        <v>0</v>
      </c>
      <c r="E991">
        <v>0</v>
      </c>
      <c r="F991">
        <v>1</v>
      </c>
      <c r="G991" s="16">
        <v>0</v>
      </c>
      <c r="H991" s="16">
        <v>0</v>
      </c>
      <c r="I991" s="16">
        <v>0</v>
      </c>
      <c r="J991" s="16">
        <v>0</v>
      </c>
      <c r="K991" s="16">
        <v>0</v>
      </c>
      <c r="L991" s="16">
        <v>0</v>
      </c>
      <c r="M991" s="16">
        <v>1</v>
      </c>
      <c r="N991" s="16">
        <v>0</v>
      </c>
      <c r="O991">
        <v>23</v>
      </c>
      <c r="AA991">
        <v>1</v>
      </c>
      <c r="AB991">
        <v>0</v>
      </c>
      <c r="AC991">
        <v>0</v>
      </c>
      <c r="AD991" s="20">
        <v>55153</v>
      </c>
      <c r="AE991" s="20">
        <v>44713</v>
      </c>
    </row>
    <row r="992" spans="1:31" x14ac:dyDescent="0.25">
      <c r="A992" s="12" t="s">
        <v>2167</v>
      </c>
      <c r="B992" s="11">
        <v>1</v>
      </c>
      <c r="C992" s="13">
        <v>0</v>
      </c>
      <c r="D992" s="13">
        <v>1</v>
      </c>
      <c r="E992" s="28">
        <v>1</v>
      </c>
      <c r="F992">
        <v>0</v>
      </c>
      <c r="G992" s="13">
        <v>0</v>
      </c>
      <c r="H992" s="13">
        <v>0</v>
      </c>
      <c r="I992" s="13">
        <v>0</v>
      </c>
      <c r="J992" s="13">
        <v>0</v>
      </c>
      <c r="K992" s="13">
        <v>1</v>
      </c>
      <c r="L992" s="13">
        <v>0</v>
      </c>
      <c r="M992" s="13">
        <v>0</v>
      </c>
      <c r="N992" s="13">
        <v>0</v>
      </c>
      <c r="O992">
        <v>22</v>
      </c>
      <c r="AA992">
        <v>1</v>
      </c>
      <c r="AB992">
        <v>0</v>
      </c>
      <c r="AC992">
        <v>0</v>
      </c>
      <c r="AD992" s="19">
        <v>55153</v>
      </c>
      <c r="AE992" s="19">
        <v>44743</v>
      </c>
    </row>
    <row r="993" spans="1:31" x14ac:dyDescent="0.25">
      <c r="A993" s="15" t="s">
        <v>2169</v>
      </c>
      <c r="B993" s="14">
        <v>1</v>
      </c>
      <c r="C993" s="16">
        <v>0</v>
      </c>
      <c r="D993" s="16">
        <v>1</v>
      </c>
      <c r="E993">
        <v>1</v>
      </c>
      <c r="F993">
        <v>0</v>
      </c>
      <c r="G993" s="16">
        <v>0</v>
      </c>
      <c r="H993" s="16">
        <v>0</v>
      </c>
      <c r="I993" s="16">
        <v>1</v>
      </c>
      <c r="J993" s="16">
        <v>0</v>
      </c>
      <c r="K993" s="16">
        <v>0</v>
      </c>
      <c r="L993" s="16">
        <v>0</v>
      </c>
      <c r="M993" s="16">
        <v>0</v>
      </c>
      <c r="N993" s="16">
        <v>0</v>
      </c>
      <c r="O993">
        <v>22</v>
      </c>
      <c r="AA993">
        <v>1</v>
      </c>
      <c r="AB993">
        <v>0</v>
      </c>
      <c r="AC993">
        <v>0</v>
      </c>
      <c r="AD993" s="20">
        <v>55153</v>
      </c>
      <c r="AE993" s="20">
        <v>44743</v>
      </c>
    </row>
    <row r="994" spans="1:31" x14ac:dyDescent="0.25">
      <c r="A994" s="12" t="s">
        <v>2171</v>
      </c>
      <c r="B994" s="11">
        <v>1</v>
      </c>
      <c r="C994" s="13">
        <v>0</v>
      </c>
      <c r="D994" s="13">
        <v>1</v>
      </c>
      <c r="E994" s="28">
        <v>1</v>
      </c>
      <c r="F994">
        <v>0</v>
      </c>
      <c r="G994" s="13">
        <v>0</v>
      </c>
      <c r="H994" s="13">
        <v>1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>
        <v>25</v>
      </c>
      <c r="AA994">
        <v>1</v>
      </c>
      <c r="AB994">
        <v>0</v>
      </c>
      <c r="AC994">
        <v>0</v>
      </c>
      <c r="AD994" s="19">
        <v>55153</v>
      </c>
      <c r="AE994" s="19">
        <v>44652</v>
      </c>
    </row>
    <row r="995" spans="1:31" x14ac:dyDescent="0.25">
      <c r="A995" s="15" t="s">
        <v>2173</v>
      </c>
      <c r="B995" s="14">
        <v>1</v>
      </c>
      <c r="C995" s="16">
        <v>1</v>
      </c>
      <c r="D995" s="16">
        <v>1</v>
      </c>
      <c r="E995">
        <v>1</v>
      </c>
      <c r="F995">
        <v>0</v>
      </c>
      <c r="G995" s="16">
        <v>0</v>
      </c>
      <c r="H995" s="16">
        <v>1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>
        <v>23</v>
      </c>
      <c r="AA995">
        <v>1</v>
      </c>
      <c r="AB995">
        <v>0</v>
      </c>
      <c r="AC995">
        <v>0</v>
      </c>
      <c r="AD995" s="20">
        <v>55153</v>
      </c>
      <c r="AE995" s="20">
        <v>44713</v>
      </c>
    </row>
    <row r="996" spans="1:31" x14ac:dyDescent="0.25">
      <c r="A996" s="12" t="s">
        <v>2175</v>
      </c>
      <c r="B996" s="11">
        <v>1</v>
      </c>
      <c r="C996" s="13">
        <v>1</v>
      </c>
      <c r="D996" s="13">
        <v>1</v>
      </c>
      <c r="E996" s="28">
        <v>1</v>
      </c>
      <c r="F996">
        <v>0</v>
      </c>
      <c r="G996" s="13">
        <v>0</v>
      </c>
      <c r="H996" s="13">
        <v>1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>
        <v>24</v>
      </c>
      <c r="AA996">
        <v>1</v>
      </c>
      <c r="AB996">
        <v>0</v>
      </c>
      <c r="AC996">
        <v>0</v>
      </c>
      <c r="AD996" s="19">
        <v>55153</v>
      </c>
      <c r="AE996" s="19">
        <v>44682</v>
      </c>
    </row>
    <row r="997" spans="1:31" x14ac:dyDescent="0.25">
      <c r="A997" s="15" t="s">
        <v>2177</v>
      </c>
      <c r="B997" s="14">
        <v>1</v>
      </c>
      <c r="C997" s="16">
        <v>0</v>
      </c>
      <c r="D997" s="16">
        <v>1</v>
      </c>
      <c r="E997">
        <v>1</v>
      </c>
      <c r="F997">
        <v>0</v>
      </c>
      <c r="G997" s="16">
        <v>0</v>
      </c>
      <c r="H997" s="16">
        <v>1</v>
      </c>
      <c r="I997" s="16">
        <v>0</v>
      </c>
      <c r="J997" s="16">
        <v>0</v>
      </c>
      <c r="K997" s="16">
        <v>0</v>
      </c>
      <c r="L997" s="16">
        <v>0</v>
      </c>
      <c r="M997" s="16">
        <v>0</v>
      </c>
      <c r="N997" s="16">
        <v>0</v>
      </c>
      <c r="O997">
        <v>23</v>
      </c>
      <c r="AA997">
        <v>1</v>
      </c>
      <c r="AB997">
        <v>0</v>
      </c>
      <c r="AC997">
        <v>0</v>
      </c>
      <c r="AD997" s="20">
        <v>55153</v>
      </c>
      <c r="AE997" s="20">
        <v>44713</v>
      </c>
    </row>
    <row r="998" spans="1:31" x14ac:dyDescent="0.25">
      <c r="A998" s="12" t="s">
        <v>2179</v>
      </c>
      <c r="B998" s="11">
        <v>1</v>
      </c>
      <c r="C998" s="13">
        <v>0</v>
      </c>
      <c r="D998" s="13">
        <v>0</v>
      </c>
      <c r="E998" s="28">
        <v>0</v>
      </c>
      <c r="F998">
        <v>1</v>
      </c>
      <c r="G998" s="13">
        <v>0</v>
      </c>
      <c r="H998" s="13">
        <v>1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>
        <v>22</v>
      </c>
      <c r="AA998">
        <v>1</v>
      </c>
      <c r="AB998">
        <v>0</v>
      </c>
      <c r="AC998">
        <v>0</v>
      </c>
      <c r="AD998" s="19">
        <v>55153</v>
      </c>
      <c r="AE998" s="19">
        <v>44743</v>
      </c>
    </row>
    <row r="999" spans="1:31" x14ac:dyDescent="0.25">
      <c r="A999" s="15" t="s">
        <v>2181</v>
      </c>
      <c r="B999" s="14">
        <v>1</v>
      </c>
      <c r="C999" s="16">
        <v>0</v>
      </c>
      <c r="D999" s="16">
        <v>0</v>
      </c>
      <c r="E999">
        <v>0</v>
      </c>
      <c r="F999">
        <v>1</v>
      </c>
      <c r="G999" s="16">
        <v>0</v>
      </c>
      <c r="H999" s="16">
        <v>0</v>
      </c>
      <c r="I999" s="16">
        <v>1</v>
      </c>
      <c r="J999" s="16">
        <v>0</v>
      </c>
      <c r="K999" s="16">
        <v>0</v>
      </c>
      <c r="L999" s="16">
        <v>0</v>
      </c>
      <c r="M999" s="16">
        <v>0</v>
      </c>
      <c r="N999" s="16">
        <v>0</v>
      </c>
      <c r="O999">
        <v>17</v>
      </c>
      <c r="AA999">
        <v>1</v>
      </c>
      <c r="AB999">
        <v>0</v>
      </c>
      <c r="AC999">
        <v>0</v>
      </c>
      <c r="AD999" s="20">
        <v>55153</v>
      </c>
      <c r="AE999" s="20">
        <v>44896</v>
      </c>
    </row>
    <row r="1000" spans="1:31" x14ac:dyDescent="0.25">
      <c r="A1000" s="12" t="s">
        <v>2183</v>
      </c>
      <c r="B1000" s="11">
        <v>0</v>
      </c>
      <c r="C1000" s="13">
        <v>0</v>
      </c>
      <c r="D1000" s="13">
        <v>0</v>
      </c>
      <c r="E1000" s="28">
        <v>0</v>
      </c>
      <c r="F1000">
        <v>1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1</v>
      </c>
      <c r="N1000" s="13">
        <v>0</v>
      </c>
      <c r="O1000">
        <v>26</v>
      </c>
      <c r="AA1000">
        <v>1</v>
      </c>
      <c r="AB1000">
        <v>0</v>
      </c>
      <c r="AC1000">
        <v>0</v>
      </c>
      <c r="AD1000" s="19">
        <v>55153</v>
      </c>
      <c r="AE1000" s="19">
        <v>44621</v>
      </c>
    </row>
    <row r="1001" spans="1:31" x14ac:dyDescent="0.25">
      <c r="A1001" s="15" t="s">
        <v>2185</v>
      </c>
      <c r="B1001" s="14">
        <v>0</v>
      </c>
      <c r="C1001" s="16">
        <v>0</v>
      </c>
      <c r="D1001" s="16">
        <v>0</v>
      </c>
      <c r="E1001">
        <v>1</v>
      </c>
      <c r="F1001">
        <v>0</v>
      </c>
      <c r="G1001" s="16">
        <v>1</v>
      </c>
      <c r="H1001" s="16">
        <v>0</v>
      </c>
      <c r="I1001" s="16">
        <v>0</v>
      </c>
      <c r="J1001" s="16">
        <v>0</v>
      </c>
      <c r="K1001" s="16">
        <v>0</v>
      </c>
      <c r="L1001" s="16">
        <v>0</v>
      </c>
      <c r="M1001" s="16">
        <v>0</v>
      </c>
      <c r="N1001" s="16">
        <v>0</v>
      </c>
      <c r="O1001">
        <v>17</v>
      </c>
      <c r="AA1001">
        <v>1</v>
      </c>
      <c r="AB1001">
        <v>0</v>
      </c>
      <c r="AC1001">
        <v>0</v>
      </c>
      <c r="AD1001" s="20">
        <v>55153</v>
      </c>
      <c r="AE1001" s="20">
        <v>44896</v>
      </c>
    </row>
    <row r="1002" spans="1:31" x14ac:dyDescent="0.25">
      <c r="A1002" s="12" t="s">
        <v>2187</v>
      </c>
      <c r="B1002" s="11">
        <v>0</v>
      </c>
      <c r="C1002" s="13">
        <v>0</v>
      </c>
      <c r="D1002" s="13">
        <v>0</v>
      </c>
      <c r="E1002" s="28">
        <v>1</v>
      </c>
      <c r="F1002">
        <v>0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1</v>
      </c>
      <c r="N1002" s="13">
        <v>0</v>
      </c>
      <c r="O1002">
        <v>17</v>
      </c>
      <c r="AA1002">
        <v>1</v>
      </c>
      <c r="AB1002">
        <v>0</v>
      </c>
      <c r="AC1002">
        <v>0</v>
      </c>
      <c r="AD1002" s="19">
        <v>55153</v>
      </c>
      <c r="AE1002" s="19">
        <v>44896</v>
      </c>
    </row>
    <row r="1003" spans="1:31" x14ac:dyDescent="0.25">
      <c r="A1003" s="15" t="s">
        <v>2189</v>
      </c>
      <c r="B1003" s="14">
        <v>0</v>
      </c>
      <c r="C1003" s="16">
        <v>0</v>
      </c>
      <c r="D1003" s="16">
        <v>0</v>
      </c>
      <c r="E1003">
        <v>0</v>
      </c>
      <c r="F1003">
        <v>1</v>
      </c>
      <c r="G1003" s="16">
        <v>0</v>
      </c>
      <c r="H1003" s="16">
        <v>0</v>
      </c>
      <c r="I1003" s="16">
        <v>0</v>
      </c>
      <c r="J1003" s="16">
        <v>0</v>
      </c>
      <c r="K1003" s="16">
        <v>0</v>
      </c>
      <c r="L1003" s="16">
        <v>0</v>
      </c>
      <c r="M1003" s="16">
        <v>1</v>
      </c>
      <c r="N1003" s="16">
        <v>0</v>
      </c>
      <c r="O1003">
        <v>17</v>
      </c>
      <c r="AA1003">
        <v>1</v>
      </c>
      <c r="AB1003">
        <v>0</v>
      </c>
      <c r="AC1003">
        <v>0</v>
      </c>
      <c r="AD1003" s="20">
        <v>55153</v>
      </c>
      <c r="AE1003" s="20">
        <v>44896</v>
      </c>
    </row>
    <row r="1004" spans="1:31" x14ac:dyDescent="0.25">
      <c r="A1004" s="12" t="s">
        <v>2191</v>
      </c>
      <c r="B1004" s="11">
        <v>1</v>
      </c>
      <c r="C1004" s="13">
        <v>1</v>
      </c>
      <c r="D1004" s="13">
        <v>1</v>
      </c>
      <c r="E1004" s="28">
        <v>1</v>
      </c>
      <c r="F1004">
        <v>0</v>
      </c>
      <c r="G1004" s="13">
        <v>0</v>
      </c>
      <c r="H1004" s="13">
        <v>1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>
        <v>23</v>
      </c>
      <c r="AA1004">
        <v>1</v>
      </c>
      <c r="AB1004">
        <v>0</v>
      </c>
      <c r="AC1004">
        <v>0</v>
      </c>
      <c r="AD1004" s="19">
        <v>55153</v>
      </c>
      <c r="AE1004" s="19">
        <v>44713</v>
      </c>
    </row>
    <row r="1005" spans="1:31" x14ac:dyDescent="0.25">
      <c r="A1005" s="15" t="s">
        <v>76</v>
      </c>
      <c r="B1005" s="14">
        <v>1</v>
      </c>
      <c r="C1005" s="16">
        <v>1</v>
      </c>
      <c r="D1005" s="16">
        <v>1</v>
      </c>
      <c r="E1005">
        <v>1</v>
      </c>
      <c r="F1005">
        <v>0</v>
      </c>
      <c r="G1005" s="16">
        <v>0</v>
      </c>
      <c r="H1005" s="16">
        <v>1</v>
      </c>
      <c r="I1005" s="16">
        <v>0</v>
      </c>
      <c r="J1005" s="16">
        <v>0</v>
      </c>
      <c r="K1005" s="16">
        <v>0</v>
      </c>
      <c r="L1005" s="16">
        <v>0</v>
      </c>
      <c r="M1005" s="16">
        <v>0</v>
      </c>
      <c r="N1005" s="16">
        <v>0</v>
      </c>
      <c r="O1005">
        <v>5</v>
      </c>
      <c r="AA1005">
        <v>1</v>
      </c>
      <c r="AB1005">
        <v>0</v>
      </c>
      <c r="AC1005">
        <v>0</v>
      </c>
      <c r="AD1005" s="20">
        <v>55153</v>
      </c>
      <c r="AE1005" s="20">
        <v>45261</v>
      </c>
    </row>
    <row r="1006" spans="1:31" x14ac:dyDescent="0.25">
      <c r="A1006" s="12" t="s">
        <v>2193</v>
      </c>
      <c r="B1006" s="11">
        <v>0</v>
      </c>
      <c r="C1006" s="13">
        <v>0</v>
      </c>
      <c r="D1006" s="13">
        <v>0</v>
      </c>
      <c r="E1006" s="28">
        <v>1</v>
      </c>
      <c r="F1006">
        <v>0</v>
      </c>
      <c r="G1006" s="13">
        <v>0</v>
      </c>
      <c r="H1006" s="13">
        <v>0</v>
      </c>
      <c r="I1006" s="13">
        <v>1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>
        <v>23</v>
      </c>
      <c r="AA1006">
        <v>1</v>
      </c>
      <c r="AB1006">
        <v>0</v>
      </c>
      <c r="AC1006">
        <v>0</v>
      </c>
      <c r="AD1006" s="19">
        <v>55153</v>
      </c>
      <c r="AE1006" s="19">
        <v>44713</v>
      </c>
    </row>
    <row r="1007" spans="1:31" x14ac:dyDescent="0.25">
      <c r="A1007" s="15" t="s">
        <v>2195</v>
      </c>
      <c r="B1007" s="14">
        <v>0</v>
      </c>
      <c r="C1007" s="16">
        <v>0</v>
      </c>
      <c r="D1007" s="16">
        <v>0</v>
      </c>
      <c r="E1007">
        <v>1</v>
      </c>
      <c r="F1007">
        <v>0</v>
      </c>
      <c r="G1007" s="16">
        <v>0</v>
      </c>
      <c r="H1007" s="16">
        <v>0</v>
      </c>
      <c r="I1007" s="16">
        <v>0</v>
      </c>
      <c r="J1007" s="16">
        <v>0</v>
      </c>
      <c r="K1007" s="16">
        <v>0</v>
      </c>
      <c r="L1007" s="16">
        <v>0</v>
      </c>
      <c r="M1007" s="16">
        <v>1</v>
      </c>
      <c r="N1007" s="16">
        <v>0</v>
      </c>
      <c r="O1007">
        <v>17</v>
      </c>
      <c r="AA1007">
        <v>1</v>
      </c>
      <c r="AB1007">
        <v>0</v>
      </c>
      <c r="AC1007">
        <v>0</v>
      </c>
      <c r="AD1007" s="20">
        <v>55153</v>
      </c>
      <c r="AE1007" s="20">
        <v>44896</v>
      </c>
    </row>
    <row r="1008" spans="1:31" x14ac:dyDescent="0.25">
      <c r="A1008" s="12" t="s">
        <v>2197</v>
      </c>
      <c r="B1008" s="11">
        <v>1</v>
      </c>
      <c r="C1008" s="13">
        <v>1</v>
      </c>
      <c r="D1008" s="13">
        <v>1</v>
      </c>
      <c r="E1008" s="28">
        <v>1</v>
      </c>
      <c r="F1008">
        <v>0</v>
      </c>
      <c r="G1008" s="13">
        <v>0</v>
      </c>
      <c r="H1008" s="13">
        <v>1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>
        <v>18</v>
      </c>
      <c r="AA1008">
        <v>1</v>
      </c>
      <c r="AB1008">
        <v>0</v>
      </c>
      <c r="AC1008">
        <v>0</v>
      </c>
      <c r="AD1008" s="19">
        <v>55153</v>
      </c>
      <c r="AE1008" s="19">
        <v>44866</v>
      </c>
    </row>
    <row r="1009" spans="1:31" x14ac:dyDescent="0.25">
      <c r="A1009" s="15" t="s">
        <v>2199</v>
      </c>
      <c r="B1009" s="14">
        <v>1</v>
      </c>
      <c r="C1009" s="16">
        <v>1</v>
      </c>
      <c r="D1009" s="16">
        <v>1</v>
      </c>
      <c r="E1009">
        <v>1</v>
      </c>
      <c r="F1009">
        <v>0</v>
      </c>
      <c r="G1009" s="16">
        <v>0</v>
      </c>
      <c r="H1009" s="16">
        <v>1</v>
      </c>
      <c r="I1009" s="16">
        <v>0</v>
      </c>
      <c r="J1009" s="16">
        <v>0</v>
      </c>
      <c r="K1009" s="16">
        <v>0</v>
      </c>
      <c r="L1009" s="16">
        <v>0</v>
      </c>
      <c r="M1009" s="16">
        <v>0</v>
      </c>
      <c r="N1009" s="16">
        <v>0</v>
      </c>
      <c r="O1009">
        <v>20</v>
      </c>
      <c r="AA1009">
        <v>1</v>
      </c>
      <c r="AB1009">
        <v>0</v>
      </c>
      <c r="AC1009">
        <v>0</v>
      </c>
      <c r="AD1009" s="20">
        <v>55153</v>
      </c>
      <c r="AE1009" s="20">
        <v>44805</v>
      </c>
    </row>
    <row r="1010" spans="1:31" x14ac:dyDescent="0.25">
      <c r="A1010" s="12" t="s">
        <v>78</v>
      </c>
      <c r="B1010" s="11">
        <v>0</v>
      </c>
      <c r="C1010" s="13">
        <v>0</v>
      </c>
      <c r="D1010" s="13">
        <v>0</v>
      </c>
      <c r="E1010" s="28">
        <v>0</v>
      </c>
      <c r="F1010">
        <v>1</v>
      </c>
      <c r="G1010" s="13">
        <v>1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>
        <v>8</v>
      </c>
      <c r="AA1010">
        <v>1</v>
      </c>
      <c r="AB1010">
        <v>0</v>
      </c>
      <c r="AC1010">
        <v>0</v>
      </c>
      <c r="AD1010" s="19">
        <v>55153</v>
      </c>
      <c r="AE1010" s="19">
        <v>45170</v>
      </c>
    </row>
    <row r="1011" spans="1:31" x14ac:dyDescent="0.25">
      <c r="A1011" s="15" t="s">
        <v>2201</v>
      </c>
      <c r="B1011" s="14">
        <v>0</v>
      </c>
      <c r="C1011" s="16">
        <v>0</v>
      </c>
      <c r="D1011" s="16">
        <v>0</v>
      </c>
      <c r="E1011">
        <v>1</v>
      </c>
      <c r="F1011">
        <v>0</v>
      </c>
      <c r="G1011" s="16">
        <v>1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0</v>
      </c>
      <c r="N1011" s="16">
        <v>0</v>
      </c>
      <c r="O1011">
        <v>17</v>
      </c>
      <c r="AA1011">
        <v>1</v>
      </c>
      <c r="AB1011">
        <v>0</v>
      </c>
      <c r="AC1011">
        <v>0</v>
      </c>
      <c r="AD1011" s="20">
        <v>55153</v>
      </c>
      <c r="AE1011" s="20">
        <v>44896</v>
      </c>
    </row>
    <row r="1012" spans="1:31" x14ac:dyDescent="0.25">
      <c r="A1012" s="12" t="s">
        <v>81</v>
      </c>
      <c r="B1012" s="11">
        <v>0</v>
      </c>
      <c r="C1012" s="13">
        <v>0</v>
      </c>
      <c r="D1012" s="13">
        <v>0</v>
      </c>
      <c r="E1012" s="28">
        <v>1</v>
      </c>
      <c r="F1012">
        <v>0</v>
      </c>
      <c r="G1012" s="13">
        <v>0</v>
      </c>
      <c r="H1012" s="13">
        <v>0</v>
      </c>
      <c r="I1012" s="13">
        <v>1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>
        <v>14</v>
      </c>
      <c r="AA1012">
        <v>1</v>
      </c>
      <c r="AB1012">
        <v>0</v>
      </c>
      <c r="AC1012">
        <v>0</v>
      </c>
      <c r="AD1012" s="19">
        <v>55153</v>
      </c>
      <c r="AE1012" s="19">
        <v>44986</v>
      </c>
    </row>
    <row r="1013" spans="1:31" x14ac:dyDescent="0.25">
      <c r="A1013" s="15" t="s">
        <v>83</v>
      </c>
      <c r="B1013" s="14">
        <v>0</v>
      </c>
      <c r="C1013" s="16">
        <v>0</v>
      </c>
      <c r="D1013" s="16">
        <v>0</v>
      </c>
      <c r="E1013">
        <v>1</v>
      </c>
      <c r="F1013">
        <v>0</v>
      </c>
      <c r="G1013" s="16">
        <v>0</v>
      </c>
      <c r="H1013" s="16">
        <v>0</v>
      </c>
      <c r="I1013" s="16">
        <v>1</v>
      </c>
      <c r="J1013" s="16">
        <v>0</v>
      </c>
      <c r="K1013" s="16">
        <v>0</v>
      </c>
      <c r="L1013" s="16">
        <v>0</v>
      </c>
      <c r="M1013" s="16">
        <v>0</v>
      </c>
      <c r="N1013" s="16">
        <v>0</v>
      </c>
      <c r="O1013">
        <v>14</v>
      </c>
      <c r="AA1013">
        <v>1</v>
      </c>
      <c r="AB1013">
        <v>0</v>
      </c>
      <c r="AC1013">
        <v>0</v>
      </c>
      <c r="AD1013" s="20">
        <v>55153</v>
      </c>
      <c r="AE1013" s="20">
        <v>44986</v>
      </c>
    </row>
    <row r="1014" spans="1:31" x14ac:dyDescent="0.25">
      <c r="A1014" s="12" t="s">
        <v>2203</v>
      </c>
      <c r="B1014" s="11">
        <v>0</v>
      </c>
      <c r="C1014" s="13">
        <v>0</v>
      </c>
      <c r="D1014" s="13">
        <v>0</v>
      </c>
      <c r="E1014" s="28">
        <v>1</v>
      </c>
      <c r="F1014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1</v>
      </c>
      <c r="L1014" s="13">
        <v>0</v>
      </c>
      <c r="M1014" s="13">
        <v>0</v>
      </c>
      <c r="N1014" s="13">
        <v>0</v>
      </c>
      <c r="O1014">
        <v>20</v>
      </c>
      <c r="AA1014">
        <v>1</v>
      </c>
      <c r="AB1014">
        <v>0</v>
      </c>
      <c r="AC1014">
        <v>0</v>
      </c>
      <c r="AD1014" s="19">
        <v>55153</v>
      </c>
      <c r="AE1014" s="19">
        <v>44805</v>
      </c>
    </row>
    <row r="1015" spans="1:31" x14ac:dyDescent="0.25">
      <c r="A1015" s="15" t="s">
        <v>2205</v>
      </c>
      <c r="B1015" s="14">
        <v>0</v>
      </c>
      <c r="C1015" s="16">
        <v>0</v>
      </c>
      <c r="D1015" s="16">
        <v>0</v>
      </c>
      <c r="E1015">
        <v>1</v>
      </c>
      <c r="F1015">
        <v>0</v>
      </c>
      <c r="G1015" s="16">
        <v>0</v>
      </c>
      <c r="H1015" s="16">
        <v>0</v>
      </c>
      <c r="I1015" s="16">
        <v>1</v>
      </c>
      <c r="J1015" s="16">
        <v>0</v>
      </c>
      <c r="K1015" s="16">
        <v>0</v>
      </c>
      <c r="L1015" s="16">
        <v>0</v>
      </c>
      <c r="M1015" s="16">
        <v>0</v>
      </c>
      <c r="N1015" s="16">
        <v>0</v>
      </c>
      <c r="O1015">
        <v>20</v>
      </c>
      <c r="AA1015">
        <v>1</v>
      </c>
      <c r="AB1015">
        <v>0</v>
      </c>
      <c r="AC1015">
        <v>0</v>
      </c>
      <c r="AD1015" s="20">
        <v>55153</v>
      </c>
      <c r="AE1015" s="20">
        <v>44805</v>
      </c>
    </row>
    <row r="1016" spans="1:31" x14ac:dyDescent="0.25">
      <c r="A1016" s="12" t="s">
        <v>85</v>
      </c>
      <c r="B1016" s="11">
        <v>0</v>
      </c>
      <c r="C1016" s="13">
        <v>0</v>
      </c>
      <c r="D1016" s="13">
        <v>0</v>
      </c>
      <c r="E1016" s="28">
        <v>1</v>
      </c>
      <c r="F1016">
        <v>0</v>
      </c>
      <c r="G1016" s="13">
        <v>0</v>
      </c>
      <c r="H1016" s="13">
        <v>0</v>
      </c>
      <c r="I1016" s="13">
        <v>1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>
        <v>14</v>
      </c>
      <c r="AA1016">
        <v>1</v>
      </c>
      <c r="AB1016">
        <v>0</v>
      </c>
      <c r="AC1016">
        <v>0</v>
      </c>
      <c r="AD1016" s="19">
        <v>55153</v>
      </c>
      <c r="AE1016" s="19">
        <v>44986</v>
      </c>
    </row>
    <row r="1017" spans="1:31" x14ac:dyDescent="0.25">
      <c r="A1017" s="15" t="s">
        <v>87</v>
      </c>
      <c r="B1017" s="14">
        <v>0</v>
      </c>
      <c r="C1017" s="16">
        <v>0</v>
      </c>
      <c r="D1017" s="16">
        <v>0</v>
      </c>
      <c r="E1017">
        <v>1</v>
      </c>
      <c r="F1017">
        <v>0</v>
      </c>
      <c r="G1017" s="16">
        <v>0</v>
      </c>
      <c r="H1017" s="16">
        <v>0</v>
      </c>
      <c r="I1017" s="16">
        <v>0</v>
      </c>
      <c r="J1017" s="16">
        <v>0</v>
      </c>
      <c r="K1017" s="16">
        <v>0</v>
      </c>
      <c r="L1017" s="16">
        <v>0</v>
      </c>
      <c r="M1017" s="16">
        <v>1</v>
      </c>
      <c r="N1017" s="16">
        <v>0</v>
      </c>
      <c r="O1017">
        <v>11</v>
      </c>
      <c r="AA1017">
        <v>1</v>
      </c>
      <c r="AB1017">
        <v>0</v>
      </c>
      <c r="AC1017">
        <v>0</v>
      </c>
      <c r="AD1017" s="20">
        <v>55153</v>
      </c>
      <c r="AE1017" s="20">
        <v>45078</v>
      </c>
    </row>
    <row r="1018" spans="1:31" x14ac:dyDescent="0.25">
      <c r="A1018" s="12" t="s">
        <v>89</v>
      </c>
      <c r="B1018" s="11">
        <v>0</v>
      </c>
      <c r="C1018" s="13">
        <v>0</v>
      </c>
      <c r="D1018" s="13">
        <v>0</v>
      </c>
      <c r="E1018" s="28">
        <v>0</v>
      </c>
      <c r="F1018">
        <v>1</v>
      </c>
      <c r="G1018" s="13">
        <v>0</v>
      </c>
      <c r="H1018" s="13">
        <v>0</v>
      </c>
      <c r="I1018" s="13">
        <v>0</v>
      </c>
      <c r="J1018" s="13">
        <v>0</v>
      </c>
      <c r="K1018" s="13">
        <v>1</v>
      </c>
      <c r="L1018" s="13">
        <v>0</v>
      </c>
      <c r="M1018" s="13">
        <v>0</v>
      </c>
      <c r="N1018" s="13">
        <v>0</v>
      </c>
      <c r="O1018">
        <v>11</v>
      </c>
      <c r="AA1018">
        <v>1</v>
      </c>
      <c r="AB1018">
        <v>0</v>
      </c>
      <c r="AC1018">
        <v>0</v>
      </c>
      <c r="AD1018" s="19">
        <v>55153</v>
      </c>
      <c r="AE1018" s="19">
        <v>45078</v>
      </c>
    </row>
    <row r="1019" spans="1:31" x14ac:dyDescent="0.25">
      <c r="A1019" s="15" t="s">
        <v>91</v>
      </c>
      <c r="B1019" s="14">
        <v>0</v>
      </c>
      <c r="C1019" s="16">
        <v>0</v>
      </c>
      <c r="D1019" s="16">
        <v>0</v>
      </c>
      <c r="E1019">
        <v>0</v>
      </c>
      <c r="F1019">
        <v>1</v>
      </c>
      <c r="G1019" s="16">
        <v>0</v>
      </c>
      <c r="H1019" s="16">
        <v>0</v>
      </c>
      <c r="I1019" s="16">
        <v>1</v>
      </c>
      <c r="J1019" s="16">
        <v>0</v>
      </c>
      <c r="K1019" s="16">
        <v>0</v>
      </c>
      <c r="L1019" s="16">
        <v>0</v>
      </c>
      <c r="M1019" s="16">
        <v>0</v>
      </c>
      <c r="N1019" s="16">
        <v>0</v>
      </c>
      <c r="O1019">
        <v>5</v>
      </c>
      <c r="AA1019">
        <v>1</v>
      </c>
      <c r="AB1019">
        <v>0</v>
      </c>
      <c r="AC1019">
        <v>0</v>
      </c>
      <c r="AD1019" s="20">
        <v>55153</v>
      </c>
      <c r="AE1019" s="20">
        <v>45261</v>
      </c>
    </row>
    <row r="1020" spans="1:31" x14ac:dyDescent="0.25">
      <c r="A1020" s="12" t="s">
        <v>211</v>
      </c>
      <c r="B1020" s="11">
        <v>0</v>
      </c>
      <c r="C1020" s="13">
        <v>0</v>
      </c>
      <c r="D1020" s="13">
        <v>0</v>
      </c>
      <c r="E1020" s="28">
        <v>0</v>
      </c>
      <c r="F1020">
        <v>1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1</v>
      </c>
      <c r="N1020" s="13">
        <v>0</v>
      </c>
      <c r="O1020">
        <v>5</v>
      </c>
      <c r="AA1020">
        <v>1</v>
      </c>
      <c r="AB1020">
        <v>0</v>
      </c>
      <c r="AC1020">
        <v>0</v>
      </c>
      <c r="AD1020" s="19">
        <v>55153</v>
      </c>
      <c r="AE1020" s="19">
        <v>45261</v>
      </c>
    </row>
    <row r="1021" spans="1:31" x14ac:dyDescent="0.25">
      <c r="A1021" s="15" t="s">
        <v>93</v>
      </c>
      <c r="B1021" s="14">
        <v>1</v>
      </c>
      <c r="C1021" s="16">
        <v>0</v>
      </c>
      <c r="D1021" s="16">
        <v>0</v>
      </c>
      <c r="E1021">
        <v>0</v>
      </c>
      <c r="F1021">
        <v>1</v>
      </c>
      <c r="G1021" s="16">
        <v>0</v>
      </c>
      <c r="H1021" s="16">
        <v>1</v>
      </c>
      <c r="I1021" s="16">
        <v>0</v>
      </c>
      <c r="J1021" s="16">
        <v>0</v>
      </c>
      <c r="K1021" s="16">
        <v>0</v>
      </c>
      <c r="L1021" s="16">
        <v>0</v>
      </c>
      <c r="M1021" s="16">
        <v>0</v>
      </c>
      <c r="N1021" s="16">
        <v>0</v>
      </c>
      <c r="O1021">
        <v>5</v>
      </c>
      <c r="AA1021">
        <v>1</v>
      </c>
      <c r="AB1021">
        <v>0</v>
      </c>
      <c r="AC1021">
        <v>0</v>
      </c>
      <c r="AD1021" s="20">
        <v>55153</v>
      </c>
      <c r="AE1021" s="20">
        <v>45261</v>
      </c>
    </row>
    <row r="1022" spans="1:31" x14ac:dyDescent="0.25">
      <c r="A1022" s="12" t="s">
        <v>95</v>
      </c>
      <c r="B1022" s="11">
        <v>1</v>
      </c>
      <c r="C1022" s="13">
        <v>0</v>
      </c>
      <c r="D1022" s="13">
        <v>1</v>
      </c>
      <c r="E1022" s="28">
        <v>1</v>
      </c>
      <c r="F1022">
        <v>0</v>
      </c>
      <c r="G1022" s="13">
        <v>0</v>
      </c>
      <c r="H1022" s="13">
        <v>1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>
        <v>11</v>
      </c>
      <c r="AA1022">
        <v>1</v>
      </c>
      <c r="AB1022">
        <v>0</v>
      </c>
      <c r="AC1022">
        <v>0</v>
      </c>
      <c r="AD1022" s="19">
        <v>55153</v>
      </c>
      <c r="AE1022" s="19">
        <v>45078</v>
      </c>
    </row>
    <row r="1023" spans="1:31" x14ac:dyDescent="0.25">
      <c r="A1023" s="15" t="s">
        <v>97</v>
      </c>
      <c r="B1023" s="14">
        <v>0</v>
      </c>
      <c r="C1023" s="16">
        <v>0</v>
      </c>
      <c r="D1023" s="16">
        <v>0</v>
      </c>
      <c r="E1023">
        <v>1</v>
      </c>
      <c r="F1023">
        <v>0</v>
      </c>
      <c r="G1023" s="16">
        <v>0</v>
      </c>
      <c r="H1023" s="16">
        <v>0</v>
      </c>
      <c r="I1023" s="16">
        <v>1</v>
      </c>
      <c r="J1023" s="16">
        <v>0</v>
      </c>
      <c r="K1023" s="16">
        <v>0</v>
      </c>
      <c r="L1023" s="16">
        <v>0</v>
      </c>
      <c r="M1023" s="16">
        <v>0</v>
      </c>
      <c r="N1023" s="16">
        <v>0</v>
      </c>
      <c r="O1023">
        <v>14</v>
      </c>
      <c r="AA1023">
        <v>1</v>
      </c>
      <c r="AB1023">
        <v>0</v>
      </c>
      <c r="AC1023">
        <v>0</v>
      </c>
      <c r="AD1023" s="20">
        <v>55153</v>
      </c>
      <c r="AE1023" s="20">
        <v>44986</v>
      </c>
    </row>
    <row r="1024" spans="1:31" x14ac:dyDescent="0.25">
      <c r="A1024" s="12" t="s">
        <v>99</v>
      </c>
      <c r="B1024" s="11">
        <v>0</v>
      </c>
      <c r="C1024" s="13">
        <v>0</v>
      </c>
      <c r="D1024" s="13">
        <v>0</v>
      </c>
      <c r="E1024" s="28">
        <v>1</v>
      </c>
      <c r="F1024">
        <v>0</v>
      </c>
      <c r="G1024" s="13">
        <v>0</v>
      </c>
      <c r="H1024" s="13">
        <v>0</v>
      </c>
      <c r="I1024" s="13">
        <v>1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>
        <v>14</v>
      </c>
      <c r="AA1024">
        <v>1</v>
      </c>
      <c r="AB1024">
        <v>0</v>
      </c>
      <c r="AC1024">
        <v>0</v>
      </c>
      <c r="AD1024" s="19">
        <v>55153</v>
      </c>
      <c r="AE1024" s="19">
        <v>44986</v>
      </c>
    </row>
    <row r="1025" spans="1:31" x14ac:dyDescent="0.25">
      <c r="A1025" s="15" t="s">
        <v>101</v>
      </c>
      <c r="B1025" s="14">
        <v>0</v>
      </c>
      <c r="C1025" s="16">
        <v>0</v>
      </c>
      <c r="D1025" s="16">
        <v>0</v>
      </c>
      <c r="E1025">
        <v>1</v>
      </c>
      <c r="F1025">
        <v>0</v>
      </c>
      <c r="G1025" s="16">
        <v>0</v>
      </c>
      <c r="H1025" s="16">
        <v>0</v>
      </c>
      <c r="I1025" s="16">
        <v>0</v>
      </c>
      <c r="J1025" s="16">
        <v>0</v>
      </c>
      <c r="K1025" s="16">
        <v>1</v>
      </c>
      <c r="L1025" s="16">
        <v>0</v>
      </c>
      <c r="M1025" s="16">
        <v>0</v>
      </c>
      <c r="N1025" s="16">
        <v>0</v>
      </c>
      <c r="O1025">
        <v>11</v>
      </c>
      <c r="AA1025">
        <v>1</v>
      </c>
      <c r="AB1025">
        <v>0</v>
      </c>
      <c r="AC1025">
        <v>0</v>
      </c>
      <c r="AD1025" s="20">
        <v>55153</v>
      </c>
      <c r="AE1025" s="20">
        <v>45078</v>
      </c>
    </row>
    <row r="1026" spans="1:31" x14ac:dyDescent="0.25">
      <c r="A1026" s="12" t="s">
        <v>2207</v>
      </c>
      <c r="B1026" s="11">
        <v>1</v>
      </c>
      <c r="C1026" s="13">
        <v>0</v>
      </c>
      <c r="D1026" s="13">
        <v>1</v>
      </c>
      <c r="E1026" s="28">
        <v>1</v>
      </c>
      <c r="F1026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1</v>
      </c>
      <c r="O1026">
        <v>17</v>
      </c>
      <c r="AA1026">
        <v>1</v>
      </c>
      <c r="AB1026">
        <v>0</v>
      </c>
      <c r="AC1026">
        <v>0</v>
      </c>
      <c r="AD1026" s="19">
        <v>55153</v>
      </c>
      <c r="AE1026" s="19">
        <v>44896</v>
      </c>
    </row>
    <row r="1027" spans="1:31" x14ac:dyDescent="0.25">
      <c r="A1027" s="15" t="s">
        <v>103</v>
      </c>
      <c r="B1027" s="14">
        <v>0</v>
      </c>
      <c r="C1027" s="16">
        <v>0</v>
      </c>
      <c r="D1027" s="16">
        <v>0</v>
      </c>
      <c r="E1027">
        <v>0</v>
      </c>
      <c r="F1027">
        <v>1</v>
      </c>
      <c r="G1027" s="16">
        <v>0</v>
      </c>
      <c r="H1027" s="16">
        <v>0</v>
      </c>
      <c r="I1027" s="16">
        <v>0</v>
      </c>
      <c r="J1027" s="16">
        <v>0</v>
      </c>
      <c r="K1027" s="16">
        <v>0</v>
      </c>
      <c r="L1027" s="16">
        <v>0</v>
      </c>
      <c r="M1027" s="16">
        <v>1</v>
      </c>
      <c r="N1027" s="16">
        <v>0</v>
      </c>
      <c r="O1027">
        <v>14</v>
      </c>
      <c r="AA1027">
        <v>1</v>
      </c>
      <c r="AB1027">
        <v>0</v>
      </c>
      <c r="AC1027">
        <v>0</v>
      </c>
      <c r="AD1027" s="20">
        <v>55153</v>
      </c>
      <c r="AE1027" s="20">
        <v>44986</v>
      </c>
    </row>
    <row r="1028" spans="1:31" x14ac:dyDescent="0.25">
      <c r="A1028" s="12" t="s">
        <v>105</v>
      </c>
      <c r="B1028" s="11">
        <v>0</v>
      </c>
      <c r="C1028" s="13">
        <v>0</v>
      </c>
      <c r="D1028" s="13">
        <v>0</v>
      </c>
      <c r="E1028" s="28">
        <v>0</v>
      </c>
      <c r="F1028">
        <v>1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1</v>
      </c>
      <c r="N1028" s="13">
        <v>0</v>
      </c>
      <c r="O1028">
        <v>14</v>
      </c>
      <c r="AA1028">
        <v>1</v>
      </c>
      <c r="AB1028">
        <v>0</v>
      </c>
      <c r="AC1028">
        <v>0</v>
      </c>
      <c r="AD1028" s="19">
        <v>55153</v>
      </c>
      <c r="AE1028" s="19">
        <v>44986</v>
      </c>
    </row>
    <row r="1029" spans="1:31" x14ac:dyDescent="0.25">
      <c r="A1029" s="15" t="s">
        <v>107</v>
      </c>
      <c r="B1029" s="14">
        <v>0</v>
      </c>
      <c r="C1029" s="16">
        <v>0</v>
      </c>
      <c r="D1029" s="16">
        <v>0</v>
      </c>
      <c r="E1029">
        <v>0</v>
      </c>
      <c r="F1029">
        <v>1</v>
      </c>
      <c r="G1029" s="16">
        <v>1</v>
      </c>
      <c r="H1029" s="16">
        <v>0</v>
      </c>
      <c r="I1029" s="16">
        <v>0</v>
      </c>
      <c r="J1029" s="16">
        <v>0</v>
      </c>
      <c r="K1029" s="16">
        <v>0</v>
      </c>
      <c r="L1029" s="16">
        <v>0</v>
      </c>
      <c r="M1029" s="16">
        <v>0</v>
      </c>
      <c r="N1029" s="16">
        <v>0</v>
      </c>
      <c r="O1029">
        <v>14</v>
      </c>
      <c r="AA1029">
        <v>1</v>
      </c>
      <c r="AB1029">
        <v>0</v>
      </c>
      <c r="AC1029">
        <v>0</v>
      </c>
      <c r="AD1029" s="20">
        <v>55153</v>
      </c>
      <c r="AE1029" s="20">
        <v>44986</v>
      </c>
    </row>
    <row r="1030" spans="1:31" x14ac:dyDescent="0.25">
      <c r="A1030" s="12" t="s">
        <v>213</v>
      </c>
      <c r="B1030" s="11">
        <v>0</v>
      </c>
      <c r="C1030" s="13">
        <v>0</v>
      </c>
      <c r="D1030" s="13">
        <v>0</v>
      </c>
      <c r="E1030" s="28">
        <v>0</v>
      </c>
      <c r="F1030">
        <v>1</v>
      </c>
      <c r="G1030" s="13">
        <v>1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>
        <v>2</v>
      </c>
      <c r="AA1030">
        <v>1</v>
      </c>
      <c r="AB1030">
        <v>0</v>
      </c>
      <c r="AC1030">
        <v>0</v>
      </c>
      <c r="AD1030" s="19">
        <v>55153</v>
      </c>
      <c r="AE1030" s="19">
        <v>45352</v>
      </c>
    </row>
    <row r="1031" spans="1:31" x14ac:dyDescent="0.25">
      <c r="A1031" s="15" t="s">
        <v>109</v>
      </c>
      <c r="B1031" s="14">
        <v>1</v>
      </c>
      <c r="C1031" s="16">
        <v>0</v>
      </c>
      <c r="D1031" s="16">
        <v>0</v>
      </c>
      <c r="E1031">
        <v>0</v>
      </c>
      <c r="F1031">
        <v>1</v>
      </c>
      <c r="G1031" s="16">
        <v>0</v>
      </c>
      <c r="H1031" s="16">
        <v>1</v>
      </c>
      <c r="I1031" s="16">
        <v>0</v>
      </c>
      <c r="J1031" s="16">
        <v>0</v>
      </c>
      <c r="K1031" s="16">
        <v>0</v>
      </c>
      <c r="L1031" s="16">
        <v>0</v>
      </c>
      <c r="M1031" s="16">
        <v>0</v>
      </c>
      <c r="N1031" s="16">
        <v>0</v>
      </c>
      <c r="O1031">
        <v>16</v>
      </c>
      <c r="AA1031">
        <v>1</v>
      </c>
      <c r="AB1031">
        <v>0</v>
      </c>
      <c r="AC1031">
        <v>0</v>
      </c>
      <c r="AD1031" s="20">
        <v>55153</v>
      </c>
      <c r="AE1031" s="20">
        <v>44927</v>
      </c>
    </row>
    <row r="1032" spans="1:31" x14ac:dyDescent="0.25">
      <c r="A1032" s="12" t="s">
        <v>111</v>
      </c>
      <c r="B1032" s="11">
        <v>1</v>
      </c>
      <c r="C1032" s="13">
        <v>0</v>
      </c>
      <c r="D1032" s="13">
        <v>0</v>
      </c>
      <c r="E1032" s="28">
        <v>0</v>
      </c>
      <c r="F1032">
        <v>1</v>
      </c>
      <c r="G1032" s="13">
        <v>0</v>
      </c>
      <c r="H1032" s="13">
        <v>0</v>
      </c>
      <c r="I1032" s="13">
        <v>1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>
        <v>16</v>
      </c>
      <c r="AA1032">
        <v>1</v>
      </c>
      <c r="AB1032">
        <v>0</v>
      </c>
      <c r="AC1032">
        <v>0</v>
      </c>
      <c r="AD1032" s="19">
        <v>55153</v>
      </c>
      <c r="AE1032" s="19">
        <v>44927</v>
      </c>
    </row>
    <row r="1033" spans="1:31" x14ac:dyDescent="0.25">
      <c r="A1033" s="15" t="s">
        <v>113</v>
      </c>
      <c r="B1033" s="14">
        <v>1</v>
      </c>
      <c r="C1033" s="16">
        <v>0</v>
      </c>
      <c r="D1033" s="16">
        <v>1</v>
      </c>
      <c r="E1033">
        <v>1</v>
      </c>
      <c r="F1033">
        <v>0</v>
      </c>
      <c r="G1033" s="16">
        <v>0</v>
      </c>
      <c r="H1033" s="16">
        <v>0</v>
      </c>
      <c r="I1033" s="16">
        <v>0</v>
      </c>
      <c r="J1033" s="16">
        <v>0</v>
      </c>
      <c r="K1033" s="16">
        <v>0</v>
      </c>
      <c r="L1033" s="16">
        <v>0</v>
      </c>
      <c r="M1033" s="16">
        <v>0</v>
      </c>
      <c r="N1033" s="16">
        <v>1</v>
      </c>
      <c r="O1033">
        <v>14</v>
      </c>
      <c r="AA1033">
        <v>1</v>
      </c>
      <c r="AB1033">
        <v>0</v>
      </c>
      <c r="AC1033">
        <v>0</v>
      </c>
      <c r="AD1033" s="20">
        <v>55153</v>
      </c>
      <c r="AE1033" s="20">
        <v>44986</v>
      </c>
    </row>
    <row r="1034" spans="1:31" x14ac:dyDescent="0.25">
      <c r="A1034" s="12" t="s">
        <v>115</v>
      </c>
      <c r="B1034" s="11">
        <v>1</v>
      </c>
      <c r="C1034" s="13">
        <v>0</v>
      </c>
      <c r="D1034" s="13">
        <v>1</v>
      </c>
      <c r="E1034" s="28">
        <v>1</v>
      </c>
      <c r="F1034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1</v>
      </c>
      <c r="O1034">
        <v>14</v>
      </c>
      <c r="AA1034">
        <v>1</v>
      </c>
      <c r="AB1034">
        <v>0</v>
      </c>
      <c r="AC1034">
        <v>0</v>
      </c>
      <c r="AD1034" s="19">
        <v>55153</v>
      </c>
      <c r="AE1034" s="19">
        <v>44986</v>
      </c>
    </row>
    <row r="1035" spans="1:31" x14ac:dyDescent="0.25">
      <c r="A1035" s="15" t="s">
        <v>117</v>
      </c>
      <c r="B1035" s="14">
        <v>0</v>
      </c>
      <c r="C1035" s="16">
        <v>0</v>
      </c>
      <c r="D1035" s="16">
        <v>0</v>
      </c>
      <c r="E1035">
        <v>1</v>
      </c>
      <c r="F1035">
        <v>0</v>
      </c>
      <c r="G1035" s="16">
        <v>1</v>
      </c>
      <c r="H1035" s="16">
        <v>0</v>
      </c>
      <c r="I1035" s="16">
        <v>0</v>
      </c>
      <c r="J1035" s="16">
        <v>0</v>
      </c>
      <c r="K1035" s="16">
        <v>0</v>
      </c>
      <c r="L1035" s="16">
        <v>0</v>
      </c>
      <c r="M1035" s="16">
        <v>0</v>
      </c>
      <c r="N1035" s="16">
        <v>0</v>
      </c>
      <c r="O1035">
        <v>8</v>
      </c>
      <c r="AA1035">
        <v>1</v>
      </c>
      <c r="AB1035">
        <v>0</v>
      </c>
      <c r="AC1035">
        <v>0</v>
      </c>
      <c r="AD1035" s="20">
        <v>55153</v>
      </c>
      <c r="AE1035" s="20">
        <v>45170</v>
      </c>
    </row>
    <row r="1036" spans="1:31" x14ac:dyDescent="0.25">
      <c r="A1036" s="12" t="s">
        <v>119</v>
      </c>
      <c r="B1036" s="11">
        <v>0</v>
      </c>
      <c r="C1036" s="13">
        <v>0</v>
      </c>
      <c r="D1036" s="13">
        <v>0</v>
      </c>
      <c r="E1036" s="28">
        <v>0</v>
      </c>
      <c r="F1036">
        <v>1</v>
      </c>
      <c r="G1036" s="13">
        <v>1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>
        <v>8</v>
      </c>
      <c r="AA1036">
        <v>1</v>
      </c>
      <c r="AB1036">
        <v>0</v>
      </c>
      <c r="AC1036">
        <v>0</v>
      </c>
      <c r="AD1036" s="19">
        <v>55153</v>
      </c>
      <c r="AE1036" s="19">
        <v>45170</v>
      </c>
    </row>
    <row r="1037" spans="1:31" x14ac:dyDescent="0.25">
      <c r="A1037" s="15" t="s">
        <v>121</v>
      </c>
      <c r="B1037" s="14">
        <v>0</v>
      </c>
      <c r="C1037" s="16">
        <v>0</v>
      </c>
      <c r="D1037" s="16">
        <v>0</v>
      </c>
      <c r="E1037">
        <v>0</v>
      </c>
      <c r="F1037">
        <v>1</v>
      </c>
      <c r="G1037" s="16">
        <v>1</v>
      </c>
      <c r="H1037" s="16">
        <v>0</v>
      </c>
      <c r="I1037" s="16">
        <v>0</v>
      </c>
      <c r="J1037" s="16">
        <v>0</v>
      </c>
      <c r="K1037" s="16">
        <v>0</v>
      </c>
      <c r="L1037" s="16">
        <v>0</v>
      </c>
      <c r="M1037" s="16">
        <v>0</v>
      </c>
      <c r="N1037" s="16">
        <v>0</v>
      </c>
      <c r="O1037">
        <v>11</v>
      </c>
      <c r="AA1037">
        <v>1</v>
      </c>
      <c r="AB1037">
        <v>0</v>
      </c>
      <c r="AC1037">
        <v>0</v>
      </c>
      <c r="AD1037" s="20">
        <v>55153</v>
      </c>
      <c r="AE1037" s="20">
        <v>45078</v>
      </c>
    </row>
    <row r="1038" spans="1:31" x14ac:dyDescent="0.25">
      <c r="A1038" s="12" t="s">
        <v>123</v>
      </c>
      <c r="B1038" s="11">
        <v>0</v>
      </c>
      <c r="C1038" s="13">
        <v>0</v>
      </c>
      <c r="D1038" s="13">
        <v>0</v>
      </c>
      <c r="E1038" s="28">
        <v>0</v>
      </c>
      <c r="F1038">
        <v>1</v>
      </c>
      <c r="G1038" s="13">
        <v>1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>
        <v>14</v>
      </c>
      <c r="AA1038">
        <v>1</v>
      </c>
      <c r="AB1038">
        <v>0</v>
      </c>
      <c r="AC1038">
        <v>0</v>
      </c>
      <c r="AD1038" s="19">
        <v>55153</v>
      </c>
      <c r="AE1038" s="19">
        <v>44986</v>
      </c>
    </row>
    <row r="1039" spans="1:31" x14ac:dyDescent="0.25">
      <c r="A1039" s="15" t="s">
        <v>125</v>
      </c>
      <c r="B1039" s="14">
        <v>1</v>
      </c>
      <c r="C1039" s="16">
        <v>1</v>
      </c>
      <c r="D1039" s="16">
        <v>1</v>
      </c>
      <c r="E1039">
        <v>1</v>
      </c>
      <c r="F1039">
        <v>0</v>
      </c>
      <c r="G1039" s="16">
        <v>0</v>
      </c>
      <c r="H1039" s="16">
        <v>0</v>
      </c>
      <c r="I1039" s="16">
        <v>0</v>
      </c>
      <c r="J1039" s="16">
        <v>1</v>
      </c>
      <c r="K1039" s="16">
        <v>0</v>
      </c>
      <c r="L1039" s="16">
        <v>0</v>
      </c>
      <c r="M1039" s="16">
        <v>0</v>
      </c>
      <c r="N1039" s="16">
        <v>0</v>
      </c>
      <c r="O1039">
        <v>15</v>
      </c>
      <c r="AA1039">
        <v>1</v>
      </c>
      <c r="AB1039">
        <v>0</v>
      </c>
      <c r="AC1039">
        <v>0</v>
      </c>
      <c r="AD1039" s="20">
        <v>55153</v>
      </c>
      <c r="AE1039" s="20">
        <v>44958</v>
      </c>
    </row>
    <row r="1040" spans="1:31" x14ac:dyDescent="0.25">
      <c r="A1040" s="12" t="s">
        <v>127</v>
      </c>
      <c r="B1040" s="11">
        <v>1</v>
      </c>
      <c r="C1040" s="13">
        <v>0</v>
      </c>
      <c r="D1040" s="13">
        <v>1</v>
      </c>
      <c r="E1040" s="28">
        <v>1</v>
      </c>
      <c r="F1040">
        <v>0</v>
      </c>
      <c r="G1040" s="13">
        <v>0</v>
      </c>
      <c r="H1040" s="13">
        <v>1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>
        <v>13</v>
      </c>
      <c r="AA1040">
        <v>1</v>
      </c>
      <c r="AB1040">
        <v>0</v>
      </c>
      <c r="AC1040">
        <v>0</v>
      </c>
      <c r="AD1040" s="19">
        <v>55153</v>
      </c>
      <c r="AE1040" s="19">
        <v>45017</v>
      </c>
    </row>
    <row r="1041" spans="1:31" x14ac:dyDescent="0.25">
      <c r="A1041" s="15" t="s">
        <v>129</v>
      </c>
      <c r="B1041" s="14">
        <v>1</v>
      </c>
      <c r="C1041" s="16">
        <v>0</v>
      </c>
      <c r="D1041" s="16">
        <v>1</v>
      </c>
      <c r="E1041">
        <v>1</v>
      </c>
      <c r="F1041">
        <v>0</v>
      </c>
      <c r="G1041" s="16">
        <v>0</v>
      </c>
      <c r="H1041" s="16">
        <v>1</v>
      </c>
      <c r="I1041" s="16">
        <v>0</v>
      </c>
      <c r="J1041" s="16">
        <v>0</v>
      </c>
      <c r="K1041" s="16">
        <v>0</v>
      </c>
      <c r="L1041" s="16">
        <v>0</v>
      </c>
      <c r="M1041" s="16">
        <v>0</v>
      </c>
      <c r="N1041" s="16">
        <v>0</v>
      </c>
      <c r="O1041">
        <v>13</v>
      </c>
      <c r="AA1041">
        <v>1</v>
      </c>
      <c r="AB1041">
        <v>0</v>
      </c>
      <c r="AC1041">
        <v>0</v>
      </c>
      <c r="AD1041" s="20">
        <v>55153</v>
      </c>
      <c r="AE1041" s="20">
        <v>45017</v>
      </c>
    </row>
    <row r="1042" spans="1:31" x14ac:dyDescent="0.25">
      <c r="A1042" s="12" t="s">
        <v>131</v>
      </c>
      <c r="B1042" s="11">
        <v>0</v>
      </c>
      <c r="C1042" s="13">
        <v>0</v>
      </c>
      <c r="D1042" s="13">
        <v>0</v>
      </c>
      <c r="E1042" s="28">
        <v>0</v>
      </c>
      <c r="F1042">
        <v>1</v>
      </c>
      <c r="G1042" s="13">
        <v>0</v>
      </c>
      <c r="H1042" s="13">
        <v>0</v>
      </c>
      <c r="I1042" s="13">
        <v>1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>
        <v>8</v>
      </c>
      <c r="AA1042">
        <v>1</v>
      </c>
      <c r="AB1042">
        <v>0</v>
      </c>
      <c r="AC1042">
        <v>0</v>
      </c>
      <c r="AD1042" s="19">
        <v>55153</v>
      </c>
      <c r="AE1042" s="19">
        <v>45170</v>
      </c>
    </row>
    <row r="1043" spans="1:31" x14ac:dyDescent="0.25">
      <c r="A1043" s="15" t="s">
        <v>133</v>
      </c>
      <c r="B1043" s="14">
        <v>0</v>
      </c>
      <c r="C1043" s="16">
        <v>0</v>
      </c>
      <c r="D1043" s="16">
        <v>0</v>
      </c>
      <c r="E1043">
        <v>1</v>
      </c>
      <c r="F1043">
        <v>0</v>
      </c>
      <c r="G1043" s="16">
        <v>0</v>
      </c>
      <c r="H1043" s="16">
        <v>0</v>
      </c>
      <c r="I1043" s="16">
        <v>1</v>
      </c>
      <c r="J1043" s="16">
        <v>0</v>
      </c>
      <c r="K1043" s="16">
        <v>0</v>
      </c>
      <c r="L1043" s="16">
        <v>0</v>
      </c>
      <c r="M1043" s="16">
        <v>0</v>
      </c>
      <c r="N1043" s="16">
        <v>0</v>
      </c>
      <c r="O1043">
        <v>8</v>
      </c>
      <c r="AA1043">
        <v>1</v>
      </c>
      <c r="AB1043">
        <v>0</v>
      </c>
      <c r="AC1043">
        <v>0</v>
      </c>
      <c r="AD1043" s="20">
        <v>55153</v>
      </c>
      <c r="AE1043" s="20">
        <v>45170</v>
      </c>
    </row>
    <row r="1044" spans="1:31" x14ac:dyDescent="0.25">
      <c r="A1044" s="12" t="s">
        <v>135</v>
      </c>
      <c r="B1044" s="11">
        <v>0</v>
      </c>
      <c r="C1044" s="13">
        <v>0</v>
      </c>
      <c r="D1044" s="13">
        <v>0</v>
      </c>
      <c r="E1044" s="28">
        <v>1</v>
      </c>
      <c r="F1044">
        <v>0</v>
      </c>
      <c r="G1044" s="13">
        <v>0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1</v>
      </c>
      <c r="N1044" s="13">
        <v>0</v>
      </c>
      <c r="O1044">
        <v>11</v>
      </c>
      <c r="AA1044">
        <v>1</v>
      </c>
      <c r="AB1044">
        <v>0</v>
      </c>
      <c r="AC1044">
        <v>0</v>
      </c>
      <c r="AD1044" s="19">
        <v>55153</v>
      </c>
      <c r="AE1044" s="19">
        <v>45078</v>
      </c>
    </row>
    <row r="1045" spans="1:31" x14ac:dyDescent="0.25">
      <c r="A1045" s="15" t="s">
        <v>137</v>
      </c>
      <c r="B1045" s="14">
        <v>0</v>
      </c>
      <c r="C1045" s="16">
        <v>0</v>
      </c>
      <c r="D1045" s="16">
        <v>0</v>
      </c>
      <c r="E1045">
        <v>1</v>
      </c>
      <c r="F1045">
        <v>0</v>
      </c>
      <c r="G1045" s="16">
        <v>0</v>
      </c>
      <c r="H1045" s="16">
        <v>0</v>
      </c>
      <c r="I1045" s="16">
        <v>0</v>
      </c>
      <c r="J1045" s="16">
        <v>0</v>
      </c>
      <c r="K1045" s="16">
        <v>0</v>
      </c>
      <c r="L1045" s="16">
        <v>0</v>
      </c>
      <c r="M1045" s="16">
        <v>1</v>
      </c>
      <c r="N1045" s="16">
        <v>0</v>
      </c>
      <c r="O1045">
        <v>11</v>
      </c>
      <c r="AA1045">
        <v>1</v>
      </c>
      <c r="AB1045">
        <v>0</v>
      </c>
      <c r="AC1045">
        <v>0</v>
      </c>
      <c r="AD1045" s="20">
        <v>55153</v>
      </c>
      <c r="AE1045" s="20">
        <v>45078</v>
      </c>
    </row>
    <row r="1046" spans="1:31" x14ac:dyDescent="0.25">
      <c r="A1046" s="12" t="s">
        <v>139</v>
      </c>
      <c r="B1046" s="11">
        <v>0</v>
      </c>
      <c r="C1046" s="13">
        <v>0</v>
      </c>
      <c r="D1046" s="13">
        <v>0</v>
      </c>
      <c r="E1046" s="28">
        <v>1</v>
      </c>
      <c r="F1046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1</v>
      </c>
      <c r="N1046" s="13">
        <v>0</v>
      </c>
      <c r="O1046">
        <v>11</v>
      </c>
      <c r="AA1046">
        <v>1</v>
      </c>
      <c r="AB1046">
        <v>0</v>
      </c>
      <c r="AC1046">
        <v>0</v>
      </c>
      <c r="AD1046" s="19">
        <v>55153</v>
      </c>
      <c r="AE1046" s="19">
        <v>45078</v>
      </c>
    </row>
    <row r="1047" spans="1:31" x14ac:dyDescent="0.25">
      <c r="A1047" s="15" t="s">
        <v>141</v>
      </c>
      <c r="B1047" s="14">
        <v>0</v>
      </c>
      <c r="C1047" s="16">
        <v>0</v>
      </c>
      <c r="D1047" s="16">
        <v>0</v>
      </c>
      <c r="E1047">
        <v>1</v>
      </c>
      <c r="F1047">
        <v>0</v>
      </c>
      <c r="G1047" s="16">
        <v>0</v>
      </c>
      <c r="H1047" s="16">
        <v>0</v>
      </c>
      <c r="I1047" s="16">
        <v>0</v>
      </c>
      <c r="J1047" s="16">
        <v>0</v>
      </c>
      <c r="K1047" s="16">
        <v>0</v>
      </c>
      <c r="L1047" s="16">
        <v>0</v>
      </c>
      <c r="M1047" s="16">
        <v>1</v>
      </c>
      <c r="N1047" s="16">
        <v>0</v>
      </c>
      <c r="O1047">
        <v>11</v>
      </c>
      <c r="AA1047">
        <v>1</v>
      </c>
      <c r="AB1047">
        <v>0</v>
      </c>
      <c r="AC1047">
        <v>0</v>
      </c>
      <c r="AD1047" s="20">
        <v>55153</v>
      </c>
      <c r="AE1047" s="20">
        <v>45078</v>
      </c>
    </row>
    <row r="1048" spans="1:31" x14ac:dyDescent="0.25">
      <c r="A1048" s="12" t="s">
        <v>143</v>
      </c>
      <c r="B1048" s="11">
        <v>0</v>
      </c>
      <c r="C1048" s="13">
        <v>0</v>
      </c>
      <c r="D1048" s="13">
        <v>0</v>
      </c>
      <c r="E1048" s="28">
        <v>1</v>
      </c>
      <c r="F1048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1</v>
      </c>
      <c r="N1048" s="13">
        <v>0</v>
      </c>
      <c r="O1048">
        <v>11</v>
      </c>
      <c r="AA1048">
        <v>1</v>
      </c>
      <c r="AB1048">
        <v>0</v>
      </c>
      <c r="AC1048">
        <v>0</v>
      </c>
      <c r="AD1048" s="19">
        <v>55153</v>
      </c>
      <c r="AE1048" s="19">
        <v>45078</v>
      </c>
    </row>
    <row r="1049" spans="1:31" x14ac:dyDescent="0.25">
      <c r="A1049" s="15" t="s">
        <v>145</v>
      </c>
      <c r="B1049" s="14">
        <v>0</v>
      </c>
      <c r="C1049" s="16">
        <v>0</v>
      </c>
      <c r="D1049" s="16">
        <v>0</v>
      </c>
      <c r="E1049">
        <v>1</v>
      </c>
      <c r="F1049">
        <v>0</v>
      </c>
      <c r="G1049" s="16">
        <v>0</v>
      </c>
      <c r="H1049" s="16">
        <v>0</v>
      </c>
      <c r="I1049" s="16">
        <v>0</v>
      </c>
      <c r="J1049" s="16">
        <v>0</v>
      </c>
      <c r="K1049" s="16">
        <v>0</v>
      </c>
      <c r="L1049" s="16">
        <v>0</v>
      </c>
      <c r="M1049" s="16">
        <v>1</v>
      </c>
      <c r="N1049" s="16">
        <v>0</v>
      </c>
      <c r="O1049">
        <v>11</v>
      </c>
      <c r="AA1049">
        <v>1</v>
      </c>
      <c r="AB1049">
        <v>0</v>
      </c>
      <c r="AC1049">
        <v>0</v>
      </c>
      <c r="AD1049" s="20">
        <v>55153</v>
      </c>
      <c r="AE1049" s="20">
        <v>45078</v>
      </c>
    </row>
    <row r="1050" spans="1:31" x14ac:dyDescent="0.25">
      <c r="A1050" s="12" t="s">
        <v>147</v>
      </c>
      <c r="B1050" s="11">
        <v>1</v>
      </c>
      <c r="C1050" s="13">
        <v>0</v>
      </c>
      <c r="D1050" s="13">
        <v>0</v>
      </c>
      <c r="E1050" s="28">
        <v>0</v>
      </c>
      <c r="F1050">
        <v>1</v>
      </c>
      <c r="G1050" s="13">
        <v>0</v>
      </c>
      <c r="H1050" s="13">
        <v>0</v>
      </c>
      <c r="I1050" s="13">
        <v>0</v>
      </c>
      <c r="J1050" s="13">
        <v>1</v>
      </c>
      <c r="K1050" s="13">
        <v>0</v>
      </c>
      <c r="L1050" s="13">
        <v>0</v>
      </c>
      <c r="M1050" s="13">
        <v>0</v>
      </c>
      <c r="N1050" s="13">
        <v>0</v>
      </c>
      <c r="O1050">
        <v>12</v>
      </c>
      <c r="AA1050">
        <v>1</v>
      </c>
      <c r="AB1050">
        <v>0</v>
      </c>
      <c r="AC1050">
        <v>0</v>
      </c>
      <c r="AD1050" s="19">
        <v>55153</v>
      </c>
      <c r="AE1050" s="19">
        <v>45047</v>
      </c>
    </row>
    <row r="1051" spans="1:31" x14ac:dyDescent="0.25">
      <c r="A1051" s="15" t="s">
        <v>149</v>
      </c>
      <c r="B1051" s="14">
        <v>0</v>
      </c>
      <c r="C1051" s="16">
        <v>0</v>
      </c>
      <c r="D1051" s="16">
        <v>0</v>
      </c>
      <c r="E1051">
        <v>0</v>
      </c>
      <c r="F1051">
        <v>1</v>
      </c>
      <c r="G1051" s="16">
        <v>1</v>
      </c>
      <c r="H1051" s="16">
        <v>0</v>
      </c>
      <c r="I1051" s="16">
        <v>0</v>
      </c>
      <c r="J1051" s="16">
        <v>0</v>
      </c>
      <c r="K1051" s="16">
        <v>0</v>
      </c>
      <c r="L1051" s="16">
        <v>0</v>
      </c>
      <c r="M1051" s="16">
        <v>0</v>
      </c>
      <c r="N1051" s="16">
        <v>0</v>
      </c>
      <c r="O1051">
        <v>14</v>
      </c>
      <c r="AA1051">
        <v>1</v>
      </c>
      <c r="AB1051">
        <v>0</v>
      </c>
      <c r="AC1051">
        <v>0</v>
      </c>
      <c r="AD1051" s="20">
        <v>55153</v>
      </c>
      <c r="AE1051" s="20">
        <v>44986</v>
      </c>
    </row>
    <row r="1052" spans="1:31" x14ac:dyDescent="0.25">
      <c r="A1052" s="12" t="s">
        <v>151</v>
      </c>
      <c r="B1052" s="11">
        <v>0</v>
      </c>
      <c r="C1052" s="13">
        <v>0</v>
      </c>
      <c r="D1052" s="13">
        <v>0</v>
      </c>
      <c r="E1052" s="28">
        <v>0</v>
      </c>
      <c r="F1052">
        <v>1</v>
      </c>
      <c r="G1052" s="13">
        <v>0</v>
      </c>
      <c r="H1052" s="13">
        <v>0</v>
      </c>
      <c r="I1052" s="13">
        <v>1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>
        <v>8</v>
      </c>
      <c r="AA1052">
        <v>1</v>
      </c>
      <c r="AB1052">
        <v>0</v>
      </c>
      <c r="AC1052">
        <v>0</v>
      </c>
      <c r="AD1052" s="19">
        <v>55153</v>
      </c>
      <c r="AE1052" s="19">
        <v>45170</v>
      </c>
    </row>
    <row r="1053" spans="1:31" x14ac:dyDescent="0.25">
      <c r="A1053" s="15" t="s">
        <v>153</v>
      </c>
      <c r="B1053" s="14">
        <v>0</v>
      </c>
      <c r="C1053" s="16">
        <v>0</v>
      </c>
      <c r="D1053" s="16">
        <v>0</v>
      </c>
      <c r="E1053">
        <v>1</v>
      </c>
      <c r="F1053">
        <v>0</v>
      </c>
      <c r="G1053" s="16">
        <v>0</v>
      </c>
      <c r="H1053" s="16">
        <v>0</v>
      </c>
      <c r="I1053" s="16">
        <v>0</v>
      </c>
      <c r="J1053" s="16">
        <v>0</v>
      </c>
      <c r="K1053" s="16">
        <v>0</v>
      </c>
      <c r="L1053" s="16">
        <v>0</v>
      </c>
      <c r="M1053" s="16">
        <v>1</v>
      </c>
      <c r="N1053" s="16">
        <v>0</v>
      </c>
      <c r="O1053">
        <v>11</v>
      </c>
      <c r="AA1053">
        <v>1</v>
      </c>
      <c r="AB1053">
        <v>0</v>
      </c>
      <c r="AC1053">
        <v>0</v>
      </c>
      <c r="AD1053" s="20">
        <v>55153</v>
      </c>
      <c r="AE1053" s="20">
        <v>45078</v>
      </c>
    </row>
    <row r="1054" spans="1:31" x14ac:dyDescent="0.25">
      <c r="A1054" s="12" t="s">
        <v>155</v>
      </c>
      <c r="B1054" s="11">
        <v>0</v>
      </c>
      <c r="C1054" s="13">
        <v>0</v>
      </c>
      <c r="D1054" s="13">
        <v>0</v>
      </c>
      <c r="E1054" s="28">
        <v>0</v>
      </c>
      <c r="F1054">
        <v>1</v>
      </c>
      <c r="G1054" s="13">
        <v>1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>
        <v>11</v>
      </c>
      <c r="AA1054">
        <v>1</v>
      </c>
      <c r="AB1054">
        <v>0</v>
      </c>
      <c r="AC1054">
        <v>0</v>
      </c>
      <c r="AD1054" s="19">
        <v>55153</v>
      </c>
      <c r="AE1054" s="19">
        <v>45078</v>
      </c>
    </row>
    <row r="1055" spans="1:31" x14ac:dyDescent="0.25">
      <c r="A1055" s="15" t="s">
        <v>157</v>
      </c>
      <c r="B1055" s="14">
        <v>0</v>
      </c>
      <c r="C1055" s="16">
        <v>0</v>
      </c>
      <c r="D1055" s="16">
        <v>0</v>
      </c>
      <c r="E1055">
        <v>1</v>
      </c>
      <c r="F1055">
        <v>0</v>
      </c>
      <c r="G1055" s="16">
        <v>1</v>
      </c>
      <c r="H1055" s="16">
        <v>0</v>
      </c>
      <c r="I1055" s="16">
        <v>0</v>
      </c>
      <c r="J1055" s="16">
        <v>0</v>
      </c>
      <c r="K1055" s="16">
        <v>0</v>
      </c>
      <c r="L1055" s="16">
        <v>0</v>
      </c>
      <c r="M1055" s="16">
        <v>0</v>
      </c>
      <c r="N1055" s="16">
        <v>0</v>
      </c>
      <c r="O1055">
        <v>11</v>
      </c>
      <c r="AA1055">
        <v>1</v>
      </c>
      <c r="AB1055">
        <v>0</v>
      </c>
      <c r="AC1055">
        <v>0</v>
      </c>
      <c r="AD1055" s="20">
        <v>55153</v>
      </c>
      <c r="AE1055" s="20">
        <v>45078</v>
      </c>
    </row>
    <row r="1056" spans="1:31" x14ac:dyDescent="0.25">
      <c r="A1056" s="12" t="s">
        <v>159</v>
      </c>
      <c r="B1056" s="11">
        <v>0</v>
      </c>
      <c r="C1056" s="13">
        <v>0</v>
      </c>
      <c r="D1056" s="13">
        <v>0</v>
      </c>
      <c r="E1056" s="28">
        <v>0</v>
      </c>
      <c r="F1056">
        <v>1</v>
      </c>
      <c r="G1056" s="13">
        <v>1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>
        <v>5</v>
      </c>
      <c r="AA1056">
        <v>1</v>
      </c>
      <c r="AB1056">
        <v>0</v>
      </c>
      <c r="AC1056">
        <v>0</v>
      </c>
      <c r="AD1056" s="19">
        <v>55153</v>
      </c>
      <c r="AE1056" s="19">
        <v>45261</v>
      </c>
    </row>
    <row r="1057" spans="1:31" x14ac:dyDescent="0.25">
      <c r="A1057" s="15" t="s">
        <v>161</v>
      </c>
      <c r="B1057" s="14">
        <v>0</v>
      </c>
      <c r="C1057" s="16">
        <v>0</v>
      </c>
      <c r="D1057" s="16">
        <v>0</v>
      </c>
      <c r="E1057">
        <v>1</v>
      </c>
      <c r="F1057">
        <v>0</v>
      </c>
      <c r="G1057" s="16">
        <v>0</v>
      </c>
      <c r="H1057" s="16">
        <v>0</v>
      </c>
      <c r="I1057" s="16">
        <v>1</v>
      </c>
      <c r="J1057" s="16">
        <v>0</v>
      </c>
      <c r="K1057" s="16">
        <v>0</v>
      </c>
      <c r="L1057" s="16">
        <v>0</v>
      </c>
      <c r="M1057" s="16">
        <v>0</v>
      </c>
      <c r="N1057" s="16">
        <v>0</v>
      </c>
      <c r="O1057">
        <v>11</v>
      </c>
      <c r="AA1057">
        <v>1</v>
      </c>
      <c r="AB1057">
        <v>0</v>
      </c>
      <c r="AC1057">
        <v>0</v>
      </c>
      <c r="AD1057" s="20">
        <v>55153</v>
      </c>
      <c r="AE1057" s="20">
        <v>45078</v>
      </c>
    </row>
    <row r="1058" spans="1:31" x14ac:dyDescent="0.25">
      <c r="A1058" s="12" t="s">
        <v>163</v>
      </c>
      <c r="B1058" s="11">
        <v>0</v>
      </c>
      <c r="C1058" s="13">
        <v>0</v>
      </c>
      <c r="D1058" s="13">
        <v>0</v>
      </c>
      <c r="E1058" s="28">
        <v>0</v>
      </c>
      <c r="F1058">
        <v>1</v>
      </c>
      <c r="G1058" s="13">
        <v>1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>
        <v>11</v>
      </c>
      <c r="AA1058">
        <v>1</v>
      </c>
      <c r="AB1058">
        <v>0</v>
      </c>
      <c r="AC1058">
        <v>0</v>
      </c>
      <c r="AD1058" s="19">
        <v>55153</v>
      </c>
      <c r="AE1058" s="19">
        <v>45078</v>
      </c>
    </row>
    <row r="1059" spans="1:31" x14ac:dyDescent="0.25">
      <c r="A1059" s="15" t="s">
        <v>215</v>
      </c>
      <c r="B1059" s="14">
        <v>0</v>
      </c>
      <c r="C1059" s="16">
        <v>0</v>
      </c>
      <c r="D1059" s="16">
        <v>0</v>
      </c>
      <c r="E1059">
        <v>0</v>
      </c>
      <c r="F1059">
        <v>1</v>
      </c>
      <c r="G1059" s="16">
        <v>1</v>
      </c>
      <c r="H1059" s="16">
        <v>0</v>
      </c>
      <c r="I1059" s="16">
        <v>0</v>
      </c>
      <c r="J1059" s="16">
        <v>0</v>
      </c>
      <c r="K1059" s="16">
        <v>0</v>
      </c>
      <c r="L1059" s="16">
        <v>0</v>
      </c>
      <c r="M1059" s="16">
        <v>0</v>
      </c>
      <c r="N1059" s="16">
        <v>0</v>
      </c>
      <c r="O1059">
        <v>2</v>
      </c>
      <c r="AA1059">
        <v>1</v>
      </c>
      <c r="AB1059">
        <v>0</v>
      </c>
      <c r="AC1059">
        <v>0</v>
      </c>
      <c r="AD1059" s="20">
        <v>55153</v>
      </c>
      <c r="AE1059" s="20">
        <v>45352</v>
      </c>
    </row>
    <row r="1060" spans="1:31" x14ac:dyDescent="0.25">
      <c r="A1060" s="12" t="s">
        <v>165</v>
      </c>
      <c r="B1060" s="11">
        <v>0</v>
      </c>
      <c r="C1060" s="13">
        <v>0</v>
      </c>
      <c r="D1060" s="13">
        <v>0</v>
      </c>
      <c r="E1060" s="28">
        <v>1</v>
      </c>
      <c r="F1060">
        <v>0</v>
      </c>
      <c r="G1060" s="13">
        <v>1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>
        <v>5</v>
      </c>
      <c r="AA1060">
        <v>1</v>
      </c>
      <c r="AB1060">
        <v>0</v>
      </c>
      <c r="AC1060">
        <v>0</v>
      </c>
      <c r="AD1060" s="19">
        <v>55153</v>
      </c>
      <c r="AE1060" s="19">
        <v>45261</v>
      </c>
    </row>
    <row r="1061" spans="1:31" x14ac:dyDescent="0.25">
      <c r="A1061" s="15" t="s">
        <v>167</v>
      </c>
      <c r="B1061" s="14">
        <v>1</v>
      </c>
      <c r="C1061" s="16">
        <v>0</v>
      </c>
      <c r="D1061" s="16">
        <v>0</v>
      </c>
      <c r="E1061">
        <v>0</v>
      </c>
      <c r="F1061">
        <v>1</v>
      </c>
      <c r="G1061" s="16">
        <v>0</v>
      </c>
      <c r="H1061" s="16">
        <v>1</v>
      </c>
      <c r="I1061" s="16">
        <v>0</v>
      </c>
      <c r="J1061" s="16">
        <v>0</v>
      </c>
      <c r="K1061" s="16">
        <v>0</v>
      </c>
      <c r="L1061" s="16">
        <v>0</v>
      </c>
      <c r="M1061" s="16">
        <v>0</v>
      </c>
      <c r="N1061" s="16">
        <v>0</v>
      </c>
      <c r="O1061">
        <v>8</v>
      </c>
      <c r="AA1061">
        <v>1</v>
      </c>
      <c r="AB1061">
        <v>0</v>
      </c>
      <c r="AC1061">
        <v>0</v>
      </c>
      <c r="AD1061" s="20">
        <v>55153</v>
      </c>
      <c r="AE1061" s="20">
        <v>45170</v>
      </c>
    </row>
    <row r="1062" spans="1:31" x14ac:dyDescent="0.25">
      <c r="A1062" s="12" t="s">
        <v>169</v>
      </c>
      <c r="B1062" s="11">
        <v>0</v>
      </c>
      <c r="C1062" s="13">
        <v>0</v>
      </c>
      <c r="D1062" s="13">
        <v>0</v>
      </c>
      <c r="E1062" s="28">
        <v>0</v>
      </c>
      <c r="F1062">
        <v>1</v>
      </c>
      <c r="G1062" s="13">
        <v>0</v>
      </c>
      <c r="H1062" s="13">
        <v>0</v>
      </c>
      <c r="I1062" s="13">
        <v>1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>
        <v>8</v>
      </c>
      <c r="AA1062">
        <v>1</v>
      </c>
      <c r="AB1062">
        <v>0</v>
      </c>
      <c r="AC1062">
        <v>0</v>
      </c>
      <c r="AD1062" s="19">
        <v>55153</v>
      </c>
      <c r="AE1062" s="19">
        <v>45170</v>
      </c>
    </row>
    <row r="1063" spans="1:31" x14ac:dyDescent="0.25">
      <c r="A1063" s="15" t="s">
        <v>171</v>
      </c>
      <c r="B1063" s="14">
        <v>0</v>
      </c>
      <c r="C1063" s="16">
        <v>0</v>
      </c>
      <c r="D1063" s="16">
        <v>0</v>
      </c>
      <c r="E1063">
        <v>1</v>
      </c>
      <c r="F1063">
        <v>0</v>
      </c>
      <c r="G1063" s="16">
        <v>0</v>
      </c>
      <c r="H1063" s="16">
        <v>0</v>
      </c>
      <c r="I1063" s="16">
        <v>1</v>
      </c>
      <c r="J1063" s="16">
        <v>0</v>
      </c>
      <c r="K1063" s="16">
        <v>0</v>
      </c>
      <c r="L1063" s="16">
        <v>0</v>
      </c>
      <c r="M1063" s="16">
        <v>0</v>
      </c>
      <c r="N1063" s="16">
        <v>0</v>
      </c>
      <c r="O1063">
        <v>8</v>
      </c>
      <c r="AA1063">
        <v>1</v>
      </c>
      <c r="AB1063">
        <v>0</v>
      </c>
      <c r="AC1063">
        <v>0</v>
      </c>
      <c r="AD1063" s="20">
        <v>55153</v>
      </c>
      <c r="AE1063" s="20">
        <v>45170</v>
      </c>
    </row>
    <row r="1064" spans="1:31" x14ac:dyDescent="0.25">
      <c r="A1064" s="12" t="s">
        <v>173</v>
      </c>
      <c r="B1064" s="11">
        <v>0</v>
      </c>
      <c r="C1064" s="13">
        <v>0</v>
      </c>
      <c r="D1064" s="13">
        <v>0</v>
      </c>
      <c r="E1064" s="28">
        <v>1</v>
      </c>
      <c r="F1064">
        <v>0</v>
      </c>
      <c r="G1064" s="13">
        <v>0</v>
      </c>
      <c r="H1064" s="13">
        <v>0</v>
      </c>
      <c r="I1064" s="13">
        <v>1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>
        <v>8</v>
      </c>
      <c r="AA1064">
        <v>1</v>
      </c>
      <c r="AB1064">
        <v>0</v>
      </c>
      <c r="AC1064">
        <v>0</v>
      </c>
      <c r="AD1064" s="19">
        <v>55153</v>
      </c>
      <c r="AE1064" s="19">
        <v>45170</v>
      </c>
    </row>
    <row r="1065" spans="1:31" x14ac:dyDescent="0.25">
      <c r="A1065" s="15" t="s">
        <v>175</v>
      </c>
      <c r="B1065" s="14">
        <v>1</v>
      </c>
      <c r="C1065" s="16">
        <v>1</v>
      </c>
      <c r="D1065" s="16">
        <v>1</v>
      </c>
      <c r="E1065">
        <v>1</v>
      </c>
      <c r="F1065">
        <v>0</v>
      </c>
      <c r="G1065" s="16">
        <v>0</v>
      </c>
      <c r="H1065" s="16">
        <v>0</v>
      </c>
      <c r="I1065" s="16">
        <v>0</v>
      </c>
      <c r="J1065" s="16">
        <v>1</v>
      </c>
      <c r="K1065" s="16">
        <v>0</v>
      </c>
      <c r="L1065" s="16">
        <v>0</v>
      </c>
      <c r="M1065" s="16">
        <v>0</v>
      </c>
      <c r="N1065" s="16">
        <v>0</v>
      </c>
      <c r="O1065">
        <v>11</v>
      </c>
      <c r="AA1065">
        <v>1</v>
      </c>
      <c r="AB1065">
        <v>0</v>
      </c>
      <c r="AC1065">
        <v>0</v>
      </c>
      <c r="AD1065" s="20">
        <v>55153</v>
      </c>
      <c r="AE1065" s="20">
        <v>45078</v>
      </c>
    </row>
    <row r="1066" spans="1:31" x14ac:dyDescent="0.25">
      <c r="A1066" s="12" t="s">
        <v>217</v>
      </c>
      <c r="B1066" s="11">
        <v>0</v>
      </c>
      <c r="C1066" s="13">
        <v>0</v>
      </c>
      <c r="D1066" s="13">
        <v>0</v>
      </c>
      <c r="E1066" s="28">
        <v>0</v>
      </c>
      <c r="F1066">
        <v>1</v>
      </c>
      <c r="G1066" s="13">
        <v>1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>
        <v>2</v>
      </c>
      <c r="AA1066">
        <v>1</v>
      </c>
      <c r="AB1066">
        <v>0</v>
      </c>
      <c r="AC1066">
        <v>0</v>
      </c>
      <c r="AD1066" s="19">
        <v>55153</v>
      </c>
      <c r="AE1066" s="19">
        <v>45352</v>
      </c>
    </row>
    <row r="1067" spans="1:31" x14ac:dyDescent="0.25">
      <c r="A1067" s="15" t="s">
        <v>177</v>
      </c>
      <c r="B1067" s="14">
        <v>1</v>
      </c>
      <c r="C1067" s="16">
        <v>1</v>
      </c>
      <c r="D1067" s="16">
        <v>1</v>
      </c>
      <c r="E1067">
        <v>1</v>
      </c>
      <c r="F1067">
        <v>0</v>
      </c>
      <c r="G1067" s="16">
        <v>0</v>
      </c>
      <c r="H1067" s="16">
        <v>1</v>
      </c>
      <c r="I1067" s="16">
        <v>0</v>
      </c>
      <c r="J1067" s="16">
        <v>0</v>
      </c>
      <c r="K1067" s="16">
        <v>0</v>
      </c>
      <c r="L1067" s="16">
        <v>0</v>
      </c>
      <c r="M1067" s="16">
        <v>0</v>
      </c>
      <c r="N1067" s="16">
        <v>0</v>
      </c>
      <c r="O1067">
        <v>11</v>
      </c>
      <c r="AA1067">
        <v>1</v>
      </c>
      <c r="AB1067">
        <v>0</v>
      </c>
      <c r="AC1067">
        <v>0</v>
      </c>
      <c r="AD1067" s="20">
        <v>55153</v>
      </c>
      <c r="AE1067" s="20">
        <v>45078</v>
      </c>
    </row>
    <row r="1068" spans="1:31" x14ac:dyDescent="0.25">
      <c r="A1068" s="12" t="s">
        <v>179</v>
      </c>
      <c r="B1068" s="11">
        <v>1</v>
      </c>
      <c r="C1068" s="13">
        <v>1</v>
      </c>
      <c r="D1068" s="13">
        <v>1</v>
      </c>
      <c r="E1068" s="28">
        <v>1</v>
      </c>
      <c r="F1068">
        <v>0</v>
      </c>
      <c r="G1068" s="13">
        <v>0</v>
      </c>
      <c r="H1068" s="13">
        <v>1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>
        <v>11</v>
      </c>
      <c r="AA1068">
        <v>1</v>
      </c>
      <c r="AB1068">
        <v>0</v>
      </c>
      <c r="AC1068">
        <v>0</v>
      </c>
      <c r="AD1068" s="19">
        <v>55153</v>
      </c>
      <c r="AE1068" s="19">
        <v>45078</v>
      </c>
    </row>
    <row r="1069" spans="1:31" x14ac:dyDescent="0.25">
      <c r="A1069" s="15" t="s">
        <v>181</v>
      </c>
      <c r="B1069" s="14">
        <v>1</v>
      </c>
      <c r="C1069" s="16">
        <v>1</v>
      </c>
      <c r="D1069" s="16">
        <v>1</v>
      </c>
      <c r="E1069">
        <v>1</v>
      </c>
      <c r="F1069">
        <v>0</v>
      </c>
      <c r="G1069" s="16">
        <v>0</v>
      </c>
      <c r="H1069" s="16">
        <v>1</v>
      </c>
      <c r="I1069" s="16">
        <v>0</v>
      </c>
      <c r="J1069" s="16">
        <v>0</v>
      </c>
      <c r="K1069" s="16">
        <v>0</v>
      </c>
      <c r="L1069" s="16">
        <v>0</v>
      </c>
      <c r="M1069" s="16">
        <v>0</v>
      </c>
      <c r="N1069" s="16">
        <v>0</v>
      </c>
      <c r="O1069">
        <v>11</v>
      </c>
      <c r="AA1069">
        <v>1</v>
      </c>
      <c r="AB1069">
        <v>0</v>
      </c>
      <c r="AC1069">
        <v>0</v>
      </c>
      <c r="AD1069" s="20">
        <v>55153</v>
      </c>
      <c r="AE1069" s="20">
        <v>45078</v>
      </c>
    </row>
    <row r="1070" spans="1:31" x14ac:dyDescent="0.25">
      <c r="A1070" s="12" t="s">
        <v>183</v>
      </c>
      <c r="B1070" s="11">
        <v>1</v>
      </c>
      <c r="C1070" s="13">
        <v>1</v>
      </c>
      <c r="D1070" s="13">
        <v>1</v>
      </c>
      <c r="E1070" s="28">
        <v>1</v>
      </c>
      <c r="F1070">
        <v>0</v>
      </c>
      <c r="G1070" s="13">
        <v>0</v>
      </c>
      <c r="H1070" s="13">
        <v>1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>
        <v>11</v>
      </c>
      <c r="AA1070">
        <v>1</v>
      </c>
      <c r="AB1070">
        <v>0</v>
      </c>
      <c r="AC1070">
        <v>0</v>
      </c>
      <c r="AD1070" s="19">
        <v>55153</v>
      </c>
      <c r="AE1070" s="19">
        <v>45078</v>
      </c>
    </row>
    <row r="1071" spans="1:31" x14ac:dyDescent="0.25">
      <c r="A1071" s="15" t="s">
        <v>185</v>
      </c>
      <c r="B1071" s="14">
        <v>1</v>
      </c>
      <c r="C1071" s="16">
        <v>1</v>
      </c>
      <c r="D1071" s="16">
        <v>1</v>
      </c>
      <c r="E1071">
        <v>1</v>
      </c>
      <c r="F1071">
        <v>0</v>
      </c>
      <c r="G1071" s="16">
        <v>0</v>
      </c>
      <c r="H1071" s="16">
        <v>0</v>
      </c>
      <c r="I1071" s="16">
        <v>0</v>
      </c>
      <c r="J1071" s="16">
        <v>1</v>
      </c>
      <c r="K1071" s="16">
        <v>0</v>
      </c>
      <c r="L1071" s="16">
        <v>0</v>
      </c>
      <c r="M1071" s="16">
        <v>0</v>
      </c>
      <c r="N1071" s="16">
        <v>0</v>
      </c>
      <c r="O1071">
        <v>8</v>
      </c>
      <c r="AA1071">
        <v>1</v>
      </c>
      <c r="AB1071">
        <v>0</v>
      </c>
      <c r="AC1071">
        <v>0</v>
      </c>
      <c r="AD1071" s="20">
        <v>55153</v>
      </c>
      <c r="AE1071" s="20">
        <v>45170</v>
      </c>
    </row>
    <row r="1072" spans="1:31" x14ac:dyDescent="0.25">
      <c r="A1072" s="12" t="s">
        <v>187</v>
      </c>
      <c r="B1072" s="11">
        <v>1</v>
      </c>
      <c r="C1072" s="13">
        <v>0</v>
      </c>
      <c r="D1072" s="13">
        <v>1</v>
      </c>
      <c r="E1072" s="28">
        <v>0</v>
      </c>
      <c r="F1072">
        <v>1</v>
      </c>
      <c r="G1072" s="13">
        <v>0</v>
      </c>
      <c r="H1072" s="13">
        <v>0</v>
      </c>
      <c r="I1072" s="13">
        <v>0</v>
      </c>
      <c r="J1072" s="13">
        <v>0</v>
      </c>
      <c r="K1072" s="13">
        <v>1</v>
      </c>
      <c r="L1072" s="13">
        <v>0</v>
      </c>
      <c r="M1072" s="13">
        <v>0</v>
      </c>
      <c r="N1072" s="13">
        <v>0</v>
      </c>
      <c r="O1072">
        <v>10</v>
      </c>
      <c r="AA1072">
        <v>1</v>
      </c>
      <c r="AB1072">
        <v>0</v>
      </c>
      <c r="AC1072">
        <v>0</v>
      </c>
      <c r="AD1072" s="19">
        <v>55153</v>
      </c>
      <c r="AE1072" s="19">
        <v>45108</v>
      </c>
    </row>
    <row r="1073" spans="1:31" x14ac:dyDescent="0.25">
      <c r="A1073" s="15" t="s">
        <v>219</v>
      </c>
      <c r="B1073" s="14">
        <v>0</v>
      </c>
      <c r="C1073" s="16">
        <v>0</v>
      </c>
      <c r="D1073" s="16">
        <v>0</v>
      </c>
      <c r="E1073">
        <v>0</v>
      </c>
      <c r="F1073">
        <v>1</v>
      </c>
      <c r="G1073" s="16">
        <v>1</v>
      </c>
      <c r="H1073" s="16">
        <v>0</v>
      </c>
      <c r="I1073" s="16">
        <v>0</v>
      </c>
      <c r="J1073" s="16">
        <v>0</v>
      </c>
      <c r="K1073" s="16">
        <v>0</v>
      </c>
      <c r="L1073" s="16">
        <v>0</v>
      </c>
      <c r="M1073" s="16">
        <v>0</v>
      </c>
      <c r="N1073" s="16">
        <v>0</v>
      </c>
      <c r="O1073">
        <v>2</v>
      </c>
      <c r="AA1073">
        <v>1</v>
      </c>
      <c r="AB1073">
        <v>0</v>
      </c>
      <c r="AC1073">
        <v>0</v>
      </c>
      <c r="AD1073" s="20">
        <v>55153</v>
      </c>
      <c r="AE1073" s="20">
        <v>45352</v>
      </c>
    </row>
    <row r="1074" spans="1:31" x14ac:dyDescent="0.25">
      <c r="A1074" s="12" t="s">
        <v>221</v>
      </c>
      <c r="B1074" s="11">
        <v>1</v>
      </c>
      <c r="C1074" s="13">
        <v>0</v>
      </c>
      <c r="D1074" s="13">
        <v>0</v>
      </c>
      <c r="E1074" s="28">
        <v>0</v>
      </c>
      <c r="F1074">
        <v>1</v>
      </c>
      <c r="G1074" s="13">
        <v>0</v>
      </c>
      <c r="H1074" s="13">
        <v>1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>
        <v>2</v>
      </c>
      <c r="AA1074">
        <v>1</v>
      </c>
      <c r="AB1074">
        <v>0</v>
      </c>
      <c r="AC1074">
        <v>0</v>
      </c>
      <c r="AD1074" s="19">
        <v>55153</v>
      </c>
      <c r="AE1074" s="19">
        <v>45352</v>
      </c>
    </row>
    <row r="1075" spans="1:31" x14ac:dyDescent="0.25">
      <c r="A1075" s="15" t="s">
        <v>189</v>
      </c>
      <c r="B1075" s="14">
        <v>1</v>
      </c>
      <c r="C1075" s="16">
        <v>0</v>
      </c>
      <c r="D1075" s="16">
        <v>1</v>
      </c>
      <c r="E1075">
        <v>1</v>
      </c>
      <c r="F1075">
        <v>0</v>
      </c>
      <c r="G1075" s="16">
        <v>0</v>
      </c>
      <c r="H1075" s="16">
        <v>0</v>
      </c>
      <c r="I1075" s="16">
        <v>1</v>
      </c>
      <c r="J1075" s="16">
        <v>0</v>
      </c>
      <c r="K1075" s="16">
        <v>0</v>
      </c>
      <c r="L1075" s="16">
        <v>0</v>
      </c>
      <c r="M1075" s="16">
        <v>0</v>
      </c>
      <c r="N1075" s="16">
        <v>0</v>
      </c>
      <c r="O1075">
        <v>8</v>
      </c>
      <c r="AA1075">
        <v>1</v>
      </c>
      <c r="AB1075">
        <v>0</v>
      </c>
      <c r="AC1075">
        <v>0</v>
      </c>
      <c r="AD1075" s="20">
        <v>55153</v>
      </c>
      <c r="AE1075" s="20">
        <v>45170</v>
      </c>
    </row>
    <row r="1076" spans="1:31" x14ac:dyDescent="0.25">
      <c r="A1076" s="12" t="s">
        <v>223</v>
      </c>
      <c r="B1076" s="11">
        <v>0</v>
      </c>
      <c r="C1076" s="13">
        <v>0</v>
      </c>
      <c r="D1076" s="13">
        <v>0</v>
      </c>
      <c r="E1076" s="28">
        <v>1</v>
      </c>
      <c r="F1076">
        <v>0</v>
      </c>
      <c r="G1076" s="13">
        <v>0</v>
      </c>
      <c r="H1076" s="13">
        <v>0</v>
      </c>
      <c r="I1076" s="13">
        <v>1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>
        <v>2</v>
      </c>
      <c r="AA1076">
        <v>1</v>
      </c>
      <c r="AB1076">
        <v>0</v>
      </c>
      <c r="AC1076">
        <v>0</v>
      </c>
      <c r="AD1076" s="19">
        <v>55153</v>
      </c>
      <c r="AE1076" s="19">
        <v>45352</v>
      </c>
    </row>
    <row r="1077" spans="1:31" x14ac:dyDescent="0.25">
      <c r="A1077" s="15" t="s">
        <v>225</v>
      </c>
      <c r="B1077" s="14">
        <v>0</v>
      </c>
      <c r="C1077" s="16">
        <v>0</v>
      </c>
      <c r="D1077" s="16">
        <v>0</v>
      </c>
      <c r="E1077">
        <v>1</v>
      </c>
      <c r="F1077">
        <v>0</v>
      </c>
      <c r="G1077" s="16">
        <v>0</v>
      </c>
      <c r="H1077" s="16">
        <v>0</v>
      </c>
      <c r="I1077" s="16">
        <v>1</v>
      </c>
      <c r="J1077" s="16">
        <v>0</v>
      </c>
      <c r="K1077" s="16">
        <v>0</v>
      </c>
      <c r="L1077" s="16">
        <v>0</v>
      </c>
      <c r="M1077" s="16">
        <v>0</v>
      </c>
      <c r="N1077" s="16">
        <v>0</v>
      </c>
      <c r="O1077">
        <v>2</v>
      </c>
      <c r="AA1077">
        <v>1</v>
      </c>
      <c r="AB1077">
        <v>0</v>
      </c>
      <c r="AC1077">
        <v>0</v>
      </c>
      <c r="AD1077" s="20">
        <v>55153</v>
      </c>
      <c r="AE1077" s="20">
        <v>45352</v>
      </c>
    </row>
    <row r="1078" spans="1:31" x14ac:dyDescent="0.25">
      <c r="A1078" s="12" t="s">
        <v>191</v>
      </c>
      <c r="B1078" s="11">
        <v>1</v>
      </c>
      <c r="C1078" s="13">
        <v>1</v>
      </c>
      <c r="D1078" s="13">
        <v>1</v>
      </c>
      <c r="E1078" s="28">
        <v>1</v>
      </c>
      <c r="F1078">
        <v>0</v>
      </c>
      <c r="G1078" s="13">
        <v>0</v>
      </c>
      <c r="H1078" s="13">
        <v>1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>
        <v>8</v>
      </c>
      <c r="AA1078">
        <v>1</v>
      </c>
      <c r="AB1078">
        <v>0</v>
      </c>
      <c r="AC1078">
        <v>0</v>
      </c>
      <c r="AD1078" s="19">
        <v>55153</v>
      </c>
      <c r="AE1078" s="19">
        <v>45170</v>
      </c>
    </row>
    <row r="1079" spans="1:31" x14ac:dyDescent="0.25">
      <c r="A1079" s="15" t="s">
        <v>193</v>
      </c>
      <c r="B1079" s="14">
        <v>0</v>
      </c>
      <c r="C1079" s="16">
        <v>0</v>
      </c>
      <c r="D1079" s="16">
        <v>0</v>
      </c>
      <c r="E1079">
        <v>0</v>
      </c>
      <c r="F1079">
        <v>1</v>
      </c>
      <c r="G1079" s="16">
        <v>0</v>
      </c>
      <c r="H1079" s="16">
        <v>0</v>
      </c>
      <c r="I1079" s="16">
        <v>1</v>
      </c>
      <c r="J1079" s="16">
        <v>0</v>
      </c>
      <c r="K1079" s="16">
        <v>0</v>
      </c>
      <c r="L1079" s="16">
        <v>0</v>
      </c>
      <c r="M1079" s="16">
        <v>0</v>
      </c>
      <c r="N1079" s="16">
        <v>0</v>
      </c>
      <c r="O1079">
        <v>8</v>
      </c>
      <c r="AA1079">
        <v>1</v>
      </c>
      <c r="AB1079">
        <v>0</v>
      </c>
      <c r="AC1079">
        <v>0</v>
      </c>
      <c r="AD1079" s="20">
        <v>55153</v>
      </c>
      <c r="AE1079" s="20">
        <v>45170</v>
      </c>
    </row>
    <row r="1080" spans="1:31" x14ac:dyDescent="0.25">
      <c r="A1080" s="12" t="s">
        <v>195</v>
      </c>
      <c r="B1080" s="11">
        <v>0</v>
      </c>
      <c r="C1080" s="13">
        <v>0</v>
      </c>
      <c r="D1080" s="13">
        <v>0</v>
      </c>
      <c r="E1080" s="28">
        <v>1</v>
      </c>
      <c r="F1080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1</v>
      </c>
      <c r="N1080" s="13">
        <v>0</v>
      </c>
      <c r="O1080">
        <v>5</v>
      </c>
      <c r="AA1080">
        <v>1</v>
      </c>
      <c r="AB1080">
        <v>0</v>
      </c>
      <c r="AC1080">
        <v>0</v>
      </c>
      <c r="AD1080" s="19">
        <v>55153</v>
      </c>
      <c r="AE1080" s="19">
        <v>45261</v>
      </c>
    </row>
    <row r="1081" spans="1:31" x14ac:dyDescent="0.25">
      <c r="A1081" s="15" t="s">
        <v>227</v>
      </c>
      <c r="B1081" s="14">
        <v>0</v>
      </c>
      <c r="C1081" s="16">
        <v>0</v>
      </c>
      <c r="D1081" s="16">
        <v>0</v>
      </c>
      <c r="E1081">
        <v>0</v>
      </c>
      <c r="F1081">
        <v>1</v>
      </c>
      <c r="G1081" s="16">
        <v>1</v>
      </c>
      <c r="H1081" s="16">
        <v>0</v>
      </c>
      <c r="I1081" s="16">
        <v>0</v>
      </c>
      <c r="J1081" s="16">
        <v>0</v>
      </c>
      <c r="K1081" s="16">
        <v>0</v>
      </c>
      <c r="L1081" s="16">
        <v>0</v>
      </c>
      <c r="M1081" s="16">
        <v>0</v>
      </c>
      <c r="N1081" s="16">
        <v>0</v>
      </c>
      <c r="O1081">
        <v>2</v>
      </c>
      <c r="AA1081">
        <v>1</v>
      </c>
      <c r="AB1081">
        <v>0</v>
      </c>
      <c r="AC1081">
        <v>0</v>
      </c>
      <c r="AD1081" s="20">
        <v>55153</v>
      </c>
      <c r="AE1081" s="20">
        <v>45352</v>
      </c>
    </row>
    <row r="1082" spans="1:31" x14ac:dyDescent="0.25">
      <c r="A1082" s="12" t="s">
        <v>197</v>
      </c>
      <c r="B1082" s="11">
        <v>0</v>
      </c>
      <c r="C1082" s="13">
        <v>0</v>
      </c>
      <c r="D1082" s="13">
        <v>0</v>
      </c>
      <c r="E1082" s="28">
        <v>1</v>
      </c>
      <c r="F1082">
        <v>0</v>
      </c>
      <c r="G1082" s="13">
        <v>0</v>
      </c>
      <c r="H1082" s="13">
        <v>0</v>
      </c>
      <c r="I1082" s="13">
        <v>1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>
        <v>5</v>
      </c>
      <c r="AA1082">
        <v>1</v>
      </c>
      <c r="AB1082">
        <v>0</v>
      </c>
      <c r="AC1082">
        <v>0</v>
      </c>
      <c r="AD1082" s="19">
        <v>55153</v>
      </c>
      <c r="AE1082" s="19">
        <v>45261</v>
      </c>
    </row>
    <row r="1083" spans="1:31" x14ac:dyDescent="0.25">
      <c r="A1083" s="15" t="s">
        <v>199</v>
      </c>
      <c r="B1083" s="14">
        <v>0</v>
      </c>
      <c r="C1083" s="16">
        <v>0</v>
      </c>
      <c r="D1083" s="16">
        <v>0</v>
      </c>
      <c r="E1083">
        <v>1</v>
      </c>
      <c r="F1083">
        <v>0</v>
      </c>
      <c r="G1083" s="16">
        <v>0</v>
      </c>
      <c r="H1083" s="16">
        <v>0</v>
      </c>
      <c r="I1083" s="16">
        <v>1</v>
      </c>
      <c r="J1083" s="16">
        <v>0</v>
      </c>
      <c r="K1083" s="16">
        <v>0</v>
      </c>
      <c r="L1083" s="16">
        <v>0</v>
      </c>
      <c r="M1083" s="16">
        <v>0</v>
      </c>
      <c r="N1083" s="16">
        <v>0</v>
      </c>
      <c r="O1083">
        <v>5</v>
      </c>
      <c r="AA1083">
        <v>1</v>
      </c>
      <c r="AB1083">
        <v>0</v>
      </c>
      <c r="AC1083">
        <v>0</v>
      </c>
      <c r="AD1083" s="20">
        <v>55153</v>
      </c>
      <c r="AE1083" s="20">
        <v>45261</v>
      </c>
    </row>
    <row r="1084" spans="1:31" x14ac:dyDescent="0.25">
      <c r="A1084" s="12" t="s">
        <v>201</v>
      </c>
      <c r="B1084" s="11">
        <v>0</v>
      </c>
      <c r="C1084" s="13">
        <v>0</v>
      </c>
      <c r="D1084" s="13">
        <v>0</v>
      </c>
      <c r="E1084" s="28">
        <v>1</v>
      </c>
      <c r="F1084">
        <v>0</v>
      </c>
      <c r="G1084" s="13">
        <v>0</v>
      </c>
      <c r="H1084" s="13">
        <v>0</v>
      </c>
      <c r="I1084" s="13">
        <v>1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>
        <v>5</v>
      </c>
      <c r="AA1084">
        <v>1</v>
      </c>
      <c r="AB1084">
        <v>0</v>
      </c>
      <c r="AC1084">
        <v>0</v>
      </c>
      <c r="AD1084" s="19">
        <v>55153</v>
      </c>
      <c r="AE1084" s="19">
        <v>45261</v>
      </c>
    </row>
    <row r="1085" spans="1:31" x14ac:dyDescent="0.25">
      <c r="A1085" s="15" t="s">
        <v>229</v>
      </c>
      <c r="B1085" s="14">
        <v>0</v>
      </c>
      <c r="C1085" s="16">
        <v>0</v>
      </c>
      <c r="D1085" s="16">
        <v>0</v>
      </c>
      <c r="E1085">
        <v>0</v>
      </c>
      <c r="F1085">
        <v>0</v>
      </c>
      <c r="G1085" s="16">
        <v>0</v>
      </c>
      <c r="H1085" s="16">
        <v>0</v>
      </c>
      <c r="I1085" s="16">
        <v>0</v>
      </c>
      <c r="J1085" s="16">
        <v>0</v>
      </c>
      <c r="K1085" s="16">
        <v>0</v>
      </c>
      <c r="L1085" s="16">
        <v>0</v>
      </c>
      <c r="M1085" s="16">
        <v>1</v>
      </c>
      <c r="N1085" s="16">
        <v>0</v>
      </c>
      <c r="O1085">
        <v>2</v>
      </c>
      <c r="AA1085">
        <v>1</v>
      </c>
      <c r="AB1085">
        <v>0</v>
      </c>
      <c r="AC1085">
        <v>0</v>
      </c>
      <c r="AD1085" s="20">
        <v>55153</v>
      </c>
      <c r="AE1085" s="20">
        <v>45352</v>
      </c>
    </row>
    <row r="1086" spans="1:31" x14ac:dyDescent="0.25">
      <c r="A1086" s="12" t="s">
        <v>203</v>
      </c>
      <c r="B1086" s="11">
        <v>1</v>
      </c>
      <c r="C1086" s="13">
        <v>0</v>
      </c>
      <c r="D1086" s="13">
        <v>1</v>
      </c>
      <c r="E1086" s="28">
        <v>1</v>
      </c>
      <c r="F1086">
        <v>0</v>
      </c>
      <c r="G1086" s="13">
        <v>0</v>
      </c>
      <c r="H1086" s="13">
        <v>1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>
        <v>5</v>
      </c>
      <c r="AA1086">
        <v>1</v>
      </c>
      <c r="AB1086">
        <v>0</v>
      </c>
      <c r="AC1086">
        <v>0</v>
      </c>
      <c r="AD1086" s="19">
        <v>55153</v>
      </c>
      <c r="AE1086" s="19">
        <v>45261</v>
      </c>
    </row>
    <row r="1087" spans="1:31" x14ac:dyDescent="0.25">
      <c r="A1087" s="15" t="s">
        <v>205</v>
      </c>
      <c r="B1087" s="14">
        <v>1</v>
      </c>
      <c r="C1087" s="16">
        <v>0</v>
      </c>
      <c r="D1087" s="16">
        <v>1</v>
      </c>
      <c r="E1087">
        <v>1</v>
      </c>
      <c r="F1087">
        <v>0</v>
      </c>
      <c r="G1087" s="16">
        <v>0</v>
      </c>
      <c r="H1087" s="16">
        <v>1</v>
      </c>
      <c r="I1087" s="16">
        <v>0</v>
      </c>
      <c r="J1087" s="16">
        <v>0</v>
      </c>
      <c r="K1087" s="16">
        <v>0</v>
      </c>
      <c r="L1087" s="16">
        <v>0</v>
      </c>
      <c r="M1087" s="16">
        <v>0</v>
      </c>
      <c r="N1087" s="16">
        <v>0</v>
      </c>
      <c r="O1087">
        <v>5</v>
      </c>
      <c r="AA1087">
        <v>1</v>
      </c>
      <c r="AB1087">
        <v>0</v>
      </c>
      <c r="AC1087">
        <v>0</v>
      </c>
      <c r="AD1087" s="20">
        <v>55153</v>
      </c>
      <c r="AE1087" s="20">
        <v>45261</v>
      </c>
    </row>
    <row r="1088" spans="1:31" x14ac:dyDescent="0.25">
      <c r="A1088" s="12" t="s">
        <v>207</v>
      </c>
      <c r="B1088" s="11">
        <v>1</v>
      </c>
      <c r="C1088" s="13">
        <v>1</v>
      </c>
      <c r="D1088" s="13">
        <v>1</v>
      </c>
      <c r="E1088" s="28">
        <v>1</v>
      </c>
      <c r="F1088">
        <v>0</v>
      </c>
      <c r="G1088" s="13">
        <v>0</v>
      </c>
      <c r="H1088" s="13">
        <v>1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>
        <v>6</v>
      </c>
      <c r="AA1088">
        <v>1</v>
      </c>
      <c r="AB1088">
        <v>0</v>
      </c>
      <c r="AC1088">
        <v>0</v>
      </c>
      <c r="AD1088" s="19">
        <v>55153</v>
      </c>
      <c r="AE1088" s="19">
        <v>45231</v>
      </c>
    </row>
    <row r="1089" spans="1:31" x14ac:dyDescent="0.25">
      <c r="A1089" s="15" t="s">
        <v>209</v>
      </c>
      <c r="B1089" s="14">
        <v>0</v>
      </c>
      <c r="C1089" s="16">
        <v>0</v>
      </c>
      <c r="D1089" s="16">
        <v>0</v>
      </c>
      <c r="E1089">
        <v>0</v>
      </c>
      <c r="F1089">
        <v>1</v>
      </c>
      <c r="G1089" s="16">
        <v>1</v>
      </c>
      <c r="H1089" s="16">
        <v>0</v>
      </c>
      <c r="I1089" s="16">
        <v>0</v>
      </c>
      <c r="J1089" s="16">
        <v>0</v>
      </c>
      <c r="K1089" s="16">
        <v>0</v>
      </c>
      <c r="L1089" s="16">
        <v>0</v>
      </c>
      <c r="M1089" s="16">
        <v>0</v>
      </c>
      <c r="N1089" s="16">
        <v>0</v>
      </c>
      <c r="O1089">
        <v>5</v>
      </c>
      <c r="AA1089">
        <v>1</v>
      </c>
      <c r="AB1089">
        <v>0</v>
      </c>
      <c r="AC1089">
        <v>0</v>
      </c>
      <c r="AD1089" s="20">
        <v>55153</v>
      </c>
      <c r="AE1089" s="20">
        <v>45261</v>
      </c>
    </row>
    <row r="1090" spans="1:31" x14ac:dyDescent="0.25">
      <c r="A1090" s="12" t="s">
        <v>231</v>
      </c>
      <c r="B1090" s="11">
        <v>1</v>
      </c>
      <c r="C1090" s="13">
        <v>1</v>
      </c>
      <c r="D1090" s="13">
        <v>1</v>
      </c>
      <c r="E1090" s="28">
        <v>1</v>
      </c>
      <c r="F1090">
        <v>0</v>
      </c>
      <c r="G1090" s="13">
        <v>0</v>
      </c>
      <c r="H1090" s="13">
        <v>1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>
        <v>2</v>
      </c>
      <c r="AA1090">
        <v>1</v>
      </c>
      <c r="AB1090">
        <v>0</v>
      </c>
      <c r="AC1090">
        <v>0</v>
      </c>
      <c r="AD1090" s="19">
        <v>55153</v>
      </c>
      <c r="AE1090" s="19">
        <v>45352</v>
      </c>
    </row>
    <row r="1091" spans="1:31" x14ac:dyDescent="0.25">
      <c r="A1091" s="17" t="s">
        <v>233</v>
      </c>
      <c r="B1091" s="5">
        <v>0</v>
      </c>
      <c r="C1091" s="6">
        <v>0</v>
      </c>
      <c r="D1091" s="6">
        <v>0</v>
      </c>
      <c r="E1091">
        <v>0</v>
      </c>
      <c r="F1091">
        <v>1</v>
      </c>
      <c r="G1091" s="6">
        <v>1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>
        <v>2</v>
      </c>
      <c r="AA1091">
        <v>1</v>
      </c>
      <c r="AB1091">
        <v>0</v>
      </c>
      <c r="AC1091">
        <v>0</v>
      </c>
      <c r="AD1091" s="21">
        <v>55153</v>
      </c>
      <c r="AE1091" s="21">
        <v>45352</v>
      </c>
    </row>
    <row r="1092" spans="1:31" ht="18.75" x14ac:dyDescent="0.3">
      <c r="Q1092" s="26" t="s">
        <v>2898</v>
      </c>
    </row>
    <row r="1093" spans="1:31" ht="15.75" thickBot="1" x14ac:dyDescent="0.3"/>
    <row r="1094" spans="1:31" x14ac:dyDescent="0.25">
      <c r="P1094" s="24"/>
      <c r="Q1094" s="24" t="s">
        <v>2714</v>
      </c>
      <c r="R1094" s="24" t="s">
        <v>2715</v>
      </c>
      <c r="S1094" s="24" t="s">
        <v>2716</v>
      </c>
      <c r="T1094" s="24" t="s">
        <v>2896</v>
      </c>
      <c r="U1094" s="24" t="s">
        <v>2897</v>
      </c>
      <c r="V1094" s="24" t="s">
        <v>5</v>
      </c>
      <c r="W1094" s="24" t="s">
        <v>80</v>
      </c>
      <c r="X1094" s="24" t="s">
        <v>20</v>
      </c>
      <c r="Y1094" s="24" t="s">
        <v>29</v>
      </c>
      <c r="Z1094" s="24" t="s">
        <v>50</v>
      </c>
      <c r="AA1094" s="24" t="s">
        <v>32</v>
      </c>
      <c r="AB1094" s="24" t="s">
        <v>47</v>
      </c>
      <c r="AC1094" s="24" t="s">
        <v>12</v>
      </c>
      <c r="AD1094" s="24" t="s">
        <v>2713</v>
      </c>
    </row>
    <row r="1095" spans="1:31" x14ac:dyDescent="0.25">
      <c r="P1095" t="s">
        <v>2714</v>
      </c>
      <c r="Q1095">
        <v>1</v>
      </c>
    </row>
    <row r="1096" spans="1:31" x14ac:dyDescent="0.25">
      <c r="P1096" t="s">
        <v>2715</v>
      </c>
      <c r="Q1096">
        <v>0.63962746754704292</v>
      </c>
      <c r="R1096">
        <v>1</v>
      </c>
    </row>
    <row r="1097" spans="1:31" x14ac:dyDescent="0.25">
      <c r="P1097" t="s">
        <v>2716</v>
      </c>
      <c r="Q1097">
        <v>0.90024314611179634</v>
      </c>
      <c r="R1097">
        <v>0.70733747477651621</v>
      </c>
      <c r="S1097">
        <v>1</v>
      </c>
    </row>
    <row r="1098" spans="1:31" x14ac:dyDescent="0.25">
      <c r="P1098" t="s">
        <v>2896</v>
      </c>
      <c r="Q1098">
        <v>0.3231791973021923</v>
      </c>
      <c r="R1098">
        <v>0.32210339815291955</v>
      </c>
      <c r="S1098">
        <v>0.4137084067549518</v>
      </c>
      <c r="T1098">
        <v>1</v>
      </c>
    </row>
    <row r="1099" spans="1:31" x14ac:dyDescent="0.25">
      <c r="P1099" t="s">
        <v>2897</v>
      </c>
      <c r="Q1099">
        <v>-0.28326625292358354</v>
      </c>
      <c r="R1099">
        <v>-0.33303899248512153</v>
      </c>
      <c r="S1099">
        <v>-0.43709887026655664</v>
      </c>
      <c r="T1099">
        <v>-0.55594215138299385</v>
      </c>
      <c r="U1099">
        <v>1</v>
      </c>
    </row>
    <row r="1100" spans="1:31" x14ac:dyDescent="0.25">
      <c r="P1100" t="s">
        <v>5</v>
      </c>
      <c r="Q1100">
        <v>0.2646503044477681</v>
      </c>
      <c r="R1100">
        <v>0.16775963250262113</v>
      </c>
      <c r="S1100">
        <v>0.2926657899242765</v>
      </c>
      <c r="T1100">
        <v>0.14346908038934458</v>
      </c>
      <c r="U1100">
        <v>-0.13779719481430963</v>
      </c>
      <c r="V1100">
        <v>1</v>
      </c>
    </row>
    <row r="1101" spans="1:31" x14ac:dyDescent="0.25">
      <c r="P1101" t="s">
        <v>80</v>
      </c>
      <c r="Q1101">
        <v>-0.30838015368603244</v>
      </c>
      <c r="R1101">
        <v>-0.19724841674396026</v>
      </c>
      <c r="S1101">
        <v>-0.27886040790682537</v>
      </c>
      <c r="T1101">
        <v>-0.13896082852133243</v>
      </c>
      <c r="U1101">
        <v>0.17111359186209232</v>
      </c>
      <c r="V1101">
        <v>-8.1612901558657122E-2</v>
      </c>
      <c r="W1101">
        <v>1</v>
      </c>
    </row>
    <row r="1102" spans="1:31" x14ac:dyDescent="0.25">
      <c r="P1102" t="s">
        <v>20</v>
      </c>
      <c r="Q1102">
        <v>0.61917031216432961</v>
      </c>
      <c r="R1102">
        <v>0.51285924408710137</v>
      </c>
      <c r="S1102">
        <v>0.50954598373604032</v>
      </c>
      <c r="T1102">
        <v>0.17283286448774735</v>
      </c>
      <c r="U1102">
        <v>-0.1343793759859139</v>
      </c>
      <c r="V1102">
        <v>-9.841441578898355E-2</v>
      </c>
      <c r="W1102">
        <v>-0.19093983602306339</v>
      </c>
      <c r="X1102">
        <v>1</v>
      </c>
    </row>
    <row r="1103" spans="1:31" x14ac:dyDescent="0.25">
      <c r="P1103" t="s">
        <v>29</v>
      </c>
      <c r="Q1103">
        <v>-0.16838683749467923</v>
      </c>
      <c r="R1103">
        <v>-0.20409660976837721</v>
      </c>
      <c r="S1103">
        <v>-0.17764651642812754</v>
      </c>
      <c r="T1103">
        <v>2.5389086756982648E-2</v>
      </c>
      <c r="U1103">
        <v>8.3657537616951563E-2</v>
      </c>
      <c r="V1103">
        <v>-8.4446388956842616E-2</v>
      </c>
      <c r="W1103">
        <v>-0.16383961161474617</v>
      </c>
      <c r="X1103">
        <v>-0.19756900382435816</v>
      </c>
      <c r="Y1103">
        <v>1</v>
      </c>
    </row>
    <row r="1104" spans="1:31" x14ac:dyDescent="0.25">
      <c r="P1104" t="s">
        <v>50</v>
      </c>
      <c r="Q1104">
        <v>0.36315849577667747</v>
      </c>
      <c r="R1104">
        <v>0.41746996105423517</v>
      </c>
      <c r="S1104">
        <v>0.3941165129428098</v>
      </c>
      <c r="T1104">
        <v>0.14673341973940776</v>
      </c>
      <c r="U1104">
        <v>-0.17388853602543461</v>
      </c>
      <c r="V1104">
        <v>-5.7722456161921384E-2</v>
      </c>
      <c r="W1104">
        <v>-0.1119908727400022</v>
      </c>
      <c r="X1104">
        <v>-0.13504625008932108</v>
      </c>
      <c r="Y1104">
        <v>-0.11587904140647638</v>
      </c>
      <c r="Z1104">
        <v>1</v>
      </c>
    </row>
    <row r="1105" spans="16:30" x14ac:dyDescent="0.25">
      <c r="P1105" t="s">
        <v>32</v>
      </c>
      <c r="Q1105">
        <v>-0.26924571643598844</v>
      </c>
      <c r="R1105">
        <v>-0.26661650271188703</v>
      </c>
      <c r="S1105">
        <v>-0.24565588805801714</v>
      </c>
      <c r="T1105">
        <v>-6.4293747475623844E-2</v>
      </c>
      <c r="U1105">
        <v>1.4590849177720362E-2</v>
      </c>
      <c r="V1105">
        <v>-0.11479107520438246</v>
      </c>
      <c r="W1105">
        <v>-0.22271319603656939</v>
      </c>
      <c r="X1105">
        <v>-0.26856279654122106</v>
      </c>
      <c r="Y1105">
        <v>-0.23044549108217097</v>
      </c>
      <c r="Z1105">
        <v>-0.1575186330761956</v>
      </c>
      <c r="AA1105">
        <v>1</v>
      </c>
    </row>
    <row r="1106" spans="16:30" x14ac:dyDescent="0.25">
      <c r="P1106" t="s">
        <v>47</v>
      </c>
      <c r="Q1106">
        <v>0.12843246391946872</v>
      </c>
      <c r="R1106">
        <v>-6.6023306219235314E-2</v>
      </c>
      <c r="S1106">
        <v>0.13039768410504438</v>
      </c>
      <c r="T1106">
        <v>-8.1667677424630228E-2</v>
      </c>
      <c r="U1106">
        <v>-1.3768362791903939E-2</v>
      </c>
      <c r="V1106">
        <v>-2.7317601225877994E-2</v>
      </c>
      <c r="W1106">
        <v>-5.3000551360246999E-2</v>
      </c>
      <c r="X1106">
        <v>-6.39116879684027E-2</v>
      </c>
      <c r="Y1106">
        <v>-5.4840657415882392E-2</v>
      </c>
      <c r="Z1106">
        <v>-3.7485764432117097E-2</v>
      </c>
      <c r="AA1106">
        <v>-7.4546917961190409E-2</v>
      </c>
      <c r="AB1106">
        <v>1</v>
      </c>
    </row>
    <row r="1107" spans="16:30" x14ac:dyDescent="0.25">
      <c r="P1107" t="s">
        <v>12</v>
      </c>
      <c r="Q1107">
        <v>-0.3400723590562556</v>
      </c>
      <c r="R1107">
        <v>-0.21751962180590065</v>
      </c>
      <c r="S1107">
        <v>-0.30751887120730381</v>
      </c>
      <c r="T1107">
        <v>-0.15497933112366391</v>
      </c>
      <c r="U1107">
        <v>8.7591405593149957E-2</v>
      </c>
      <c r="V1107">
        <v>-9.0000253358508933E-2</v>
      </c>
      <c r="W1107">
        <v>-0.17461500411844563</v>
      </c>
      <c r="X1107">
        <v>-0.21056270871532234</v>
      </c>
      <c r="Y1107">
        <v>-0.18067739626790272</v>
      </c>
      <c r="Z1107">
        <v>-0.12350016637010065</v>
      </c>
      <c r="AA1107">
        <v>-0.24560141456517096</v>
      </c>
      <c r="AB1107">
        <v>-5.844741406644461E-2</v>
      </c>
      <c r="AC1107">
        <v>1</v>
      </c>
    </row>
    <row r="1108" spans="16:30" ht="15.75" thickBot="1" x14ac:dyDescent="0.3">
      <c r="P1108" s="23" t="s">
        <v>2713</v>
      </c>
      <c r="Q1108" s="23">
        <v>2.1121197543928709E-2</v>
      </c>
      <c r="R1108" s="23">
        <v>9.9856467408297275E-2</v>
      </c>
      <c r="S1108" s="23">
        <v>6.2902061978631532E-2</v>
      </c>
      <c r="T1108" s="23">
        <v>2.313249324385374E-2</v>
      </c>
      <c r="U1108" s="23">
        <v>0.21129872461565519</v>
      </c>
      <c r="V1108" s="23">
        <v>9.117661301400507E-4</v>
      </c>
      <c r="W1108" s="23">
        <v>-6.1225722544856094E-2</v>
      </c>
      <c r="X1108" s="23">
        <v>-1.8433217062880723E-2</v>
      </c>
      <c r="Y1108" s="23">
        <v>-9.0101786632561381E-2</v>
      </c>
      <c r="Z1108" s="23">
        <v>8.4542112340039624E-2</v>
      </c>
      <c r="AA1108" s="23">
        <v>9.51043304029216E-2</v>
      </c>
      <c r="AB1108" s="23">
        <v>-8.2108908687305165E-2</v>
      </c>
      <c r="AC1108" s="23">
        <v>2.15513512973643E-2</v>
      </c>
      <c r="AD1108" s="23">
        <v>1</v>
      </c>
    </row>
  </sheetData>
  <sortState xmlns:xlrd2="http://schemas.microsoft.com/office/spreadsheetml/2017/richdata2" ref="S195:T228">
    <sortCondition descending="1" ref="T19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E19-075F-46D4-B2C7-7A8B6FD49C06}">
  <dimension ref="A1:AH569"/>
  <sheetViews>
    <sheetView workbookViewId="0">
      <selection activeCell="O16" sqref="O16"/>
    </sheetView>
  </sheetViews>
  <sheetFormatPr defaultRowHeight="15" x14ac:dyDescent="0.25"/>
  <cols>
    <col min="1" max="1" width="81.28515625" bestFit="1" customWidth="1"/>
    <col min="15" max="15" width="12.140625" customWidth="1"/>
  </cols>
  <sheetData>
    <row r="1" spans="1:34" x14ac:dyDescent="0.25">
      <c r="A1" s="9" t="s">
        <v>69</v>
      </c>
      <c r="B1" s="8" t="s">
        <v>2715</v>
      </c>
      <c r="C1" s="7" t="s">
        <v>2714</v>
      </c>
      <c r="D1" s="8" t="s">
        <v>2716</v>
      </c>
      <c r="E1" s="2" t="s">
        <v>2896</v>
      </c>
      <c r="F1" s="2" t="s">
        <v>2897</v>
      </c>
      <c r="G1" s="8" t="s">
        <v>5</v>
      </c>
      <c r="H1" s="8" t="s">
        <v>80</v>
      </c>
      <c r="I1" s="8" t="s">
        <v>20</v>
      </c>
      <c r="J1" s="8" t="s">
        <v>29</v>
      </c>
      <c r="K1" s="8" t="s">
        <v>50</v>
      </c>
      <c r="L1" s="8" t="s">
        <v>32</v>
      </c>
      <c r="M1" s="8" t="s">
        <v>47</v>
      </c>
      <c r="N1" s="8" t="s">
        <v>12</v>
      </c>
      <c r="O1" s="10" t="s">
        <v>2713</v>
      </c>
      <c r="AD1" s="8" t="s">
        <v>2717</v>
      </c>
      <c r="AE1" s="8" t="s">
        <v>6</v>
      </c>
      <c r="AF1" s="8" t="s">
        <v>13</v>
      </c>
      <c r="AG1" s="18" t="s">
        <v>68</v>
      </c>
      <c r="AH1" s="18" t="s">
        <v>67</v>
      </c>
    </row>
    <row r="2" spans="1:34" ht="18.75" x14ac:dyDescent="0.3">
      <c r="A2" s="12" t="s">
        <v>243</v>
      </c>
      <c r="B2" s="13">
        <v>0</v>
      </c>
      <c r="C2" s="11">
        <v>0</v>
      </c>
      <c r="D2" s="13">
        <v>0</v>
      </c>
      <c r="E2">
        <f>IF($O2="Retail",1,0)</f>
        <v>0</v>
      </c>
      <c r="F2">
        <f>IF($O2="Non-Retail",1,0)</f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1</v>
      </c>
      <c r="O2">
        <v>34</v>
      </c>
      <c r="Q2" s="26" t="s">
        <v>2743</v>
      </c>
      <c r="AD2">
        <v>0</v>
      </c>
      <c r="AE2">
        <v>0</v>
      </c>
      <c r="AF2">
        <v>1</v>
      </c>
      <c r="AG2" s="19">
        <v>43100</v>
      </c>
      <c r="AH2" s="19">
        <v>41974</v>
      </c>
    </row>
    <row r="3" spans="1:34" ht="15.75" thickBot="1" x14ac:dyDescent="0.3">
      <c r="A3" s="15" t="s">
        <v>245</v>
      </c>
      <c r="B3" s="16">
        <v>0</v>
      </c>
      <c r="C3" s="14">
        <v>0</v>
      </c>
      <c r="D3" s="16">
        <v>0</v>
      </c>
      <c r="E3">
        <f t="shared" ref="E3:E66" si="0">IF($O3="Retail",1,0)</f>
        <v>0</v>
      </c>
      <c r="F3">
        <f t="shared" ref="F3:F66" si="1">IF($O3="Non-Retail",1,0)</f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1</v>
      </c>
      <c r="O3">
        <v>24</v>
      </c>
      <c r="AD3">
        <v>0</v>
      </c>
      <c r="AE3">
        <v>0</v>
      </c>
      <c r="AF3">
        <v>1</v>
      </c>
      <c r="AG3" s="20">
        <v>42735</v>
      </c>
      <c r="AH3" s="20">
        <v>41974</v>
      </c>
    </row>
    <row r="4" spans="1:34" x14ac:dyDescent="0.25">
      <c r="A4" s="12" t="s">
        <v>247</v>
      </c>
      <c r="B4" s="13">
        <v>0</v>
      </c>
      <c r="C4" s="11">
        <v>0</v>
      </c>
      <c r="D4" s="13">
        <v>0</v>
      </c>
      <c r="E4">
        <f t="shared" si="0"/>
        <v>0</v>
      </c>
      <c r="F4">
        <f t="shared" si="1"/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>
        <v>12</v>
      </c>
      <c r="Q4" s="25" t="s">
        <v>2718</v>
      </c>
      <c r="R4" s="25"/>
      <c r="AD4">
        <v>0</v>
      </c>
      <c r="AE4">
        <v>0</v>
      </c>
      <c r="AF4">
        <v>1</v>
      </c>
      <c r="AG4" s="19">
        <v>42369</v>
      </c>
      <c r="AH4" s="19">
        <v>41974</v>
      </c>
    </row>
    <row r="5" spans="1:34" x14ac:dyDescent="0.25">
      <c r="A5" s="15" t="s">
        <v>249</v>
      </c>
      <c r="B5" s="16">
        <v>0</v>
      </c>
      <c r="C5" s="14">
        <v>0</v>
      </c>
      <c r="D5" s="16">
        <v>0</v>
      </c>
      <c r="E5">
        <f t="shared" si="0"/>
        <v>0</v>
      </c>
      <c r="F5">
        <f t="shared" si="1"/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1</v>
      </c>
      <c r="O5">
        <v>55</v>
      </c>
      <c r="Q5" t="s">
        <v>2719</v>
      </c>
      <c r="R5">
        <v>0.19688554525060711</v>
      </c>
      <c r="AD5">
        <v>0</v>
      </c>
      <c r="AE5">
        <v>0</v>
      </c>
      <c r="AF5">
        <v>1</v>
      </c>
      <c r="AG5" s="20">
        <v>43738</v>
      </c>
      <c r="AH5" s="20">
        <v>41974</v>
      </c>
    </row>
    <row r="6" spans="1:34" x14ac:dyDescent="0.25">
      <c r="A6" s="12" t="s">
        <v>251</v>
      </c>
      <c r="B6" s="13">
        <v>0</v>
      </c>
      <c r="C6" s="11">
        <v>0</v>
      </c>
      <c r="D6" s="13">
        <v>0</v>
      </c>
      <c r="E6">
        <f t="shared" si="0"/>
        <v>0</v>
      </c>
      <c r="F6">
        <f t="shared" si="1"/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1</v>
      </c>
      <c r="O6">
        <v>11</v>
      </c>
      <c r="Q6" t="s">
        <v>2720</v>
      </c>
      <c r="R6">
        <v>3.8763917928628863E-2</v>
      </c>
      <c r="AD6">
        <v>0</v>
      </c>
      <c r="AE6">
        <v>0</v>
      </c>
      <c r="AF6">
        <v>1</v>
      </c>
      <c r="AG6" s="19">
        <v>42369</v>
      </c>
      <c r="AH6" s="19">
        <v>41974</v>
      </c>
    </row>
    <row r="7" spans="1:34" x14ac:dyDescent="0.25">
      <c r="A7" s="12" t="s">
        <v>255</v>
      </c>
      <c r="B7" s="13">
        <v>0</v>
      </c>
      <c r="C7" s="11">
        <v>0</v>
      </c>
      <c r="D7" s="13">
        <v>0</v>
      </c>
      <c r="E7">
        <f t="shared" si="0"/>
        <v>0</v>
      </c>
      <c r="F7">
        <f t="shared" si="1"/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1</v>
      </c>
      <c r="M7" s="13">
        <v>0</v>
      </c>
      <c r="N7" s="13">
        <v>0</v>
      </c>
      <c r="O7">
        <v>72</v>
      </c>
      <c r="Q7" t="s">
        <v>2721</v>
      </c>
      <c r="R7">
        <v>2.0541432960451213E-2</v>
      </c>
      <c r="AD7">
        <v>0</v>
      </c>
      <c r="AE7">
        <v>0</v>
      </c>
      <c r="AF7">
        <v>1</v>
      </c>
      <c r="AG7" s="19">
        <v>44196</v>
      </c>
      <c r="AH7" s="19">
        <v>41974</v>
      </c>
    </row>
    <row r="8" spans="1:34" x14ac:dyDescent="0.25">
      <c r="A8" s="15" t="s">
        <v>257</v>
      </c>
      <c r="B8" s="16">
        <v>1</v>
      </c>
      <c r="C8" s="14">
        <v>1</v>
      </c>
      <c r="D8" s="16">
        <v>1</v>
      </c>
      <c r="E8">
        <f t="shared" si="0"/>
        <v>0</v>
      </c>
      <c r="F8">
        <f t="shared" si="1"/>
        <v>0</v>
      </c>
      <c r="G8" s="16">
        <v>0</v>
      </c>
      <c r="H8" s="16">
        <v>0</v>
      </c>
      <c r="I8" s="16">
        <v>0</v>
      </c>
      <c r="J8" s="16">
        <v>0</v>
      </c>
      <c r="K8" s="16">
        <v>1</v>
      </c>
      <c r="L8" s="16">
        <v>0</v>
      </c>
      <c r="M8" s="16">
        <v>0</v>
      </c>
      <c r="N8" s="16">
        <v>0</v>
      </c>
      <c r="O8">
        <v>120</v>
      </c>
      <c r="Q8" t="s">
        <v>2722</v>
      </c>
      <c r="R8">
        <v>28.651063955211843</v>
      </c>
      <c r="AD8">
        <v>0</v>
      </c>
      <c r="AE8">
        <v>0</v>
      </c>
      <c r="AF8">
        <v>1</v>
      </c>
      <c r="AG8" s="20">
        <v>55153</v>
      </c>
      <c r="AH8" s="20">
        <v>43466</v>
      </c>
    </row>
    <row r="9" spans="1:34" ht="15.75" thickBot="1" x14ac:dyDescent="0.3">
      <c r="A9" s="12" t="s">
        <v>259</v>
      </c>
      <c r="B9" s="13">
        <v>1</v>
      </c>
      <c r="C9" s="11">
        <v>1</v>
      </c>
      <c r="D9" s="13">
        <v>1</v>
      </c>
      <c r="E9">
        <f t="shared" si="0"/>
        <v>0</v>
      </c>
      <c r="F9">
        <f t="shared" si="1"/>
        <v>0</v>
      </c>
      <c r="G9" s="13">
        <v>0</v>
      </c>
      <c r="H9" s="13">
        <v>0</v>
      </c>
      <c r="I9" s="13">
        <v>0</v>
      </c>
      <c r="J9" s="13">
        <v>0</v>
      </c>
      <c r="K9" s="13">
        <v>1</v>
      </c>
      <c r="L9" s="13">
        <v>0</v>
      </c>
      <c r="M9" s="13">
        <v>0</v>
      </c>
      <c r="N9" s="13">
        <v>0</v>
      </c>
      <c r="O9">
        <v>76</v>
      </c>
      <c r="Q9" s="23" t="s">
        <v>2723</v>
      </c>
      <c r="R9" s="23">
        <v>216</v>
      </c>
      <c r="AD9">
        <v>0</v>
      </c>
      <c r="AE9">
        <v>0</v>
      </c>
      <c r="AF9">
        <v>1</v>
      </c>
      <c r="AG9" s="19">
        <v>55153</v>
      </c>
      <c r="AH9" s="19">
        <v>43466</v>
      </c>
    </row>
    <row r="10" spans="1:34" x14ac:dyDescent="0.25">
      <c r="A10" s="15" t="s">
        <v>261</v>
      </c>
      <c r="B10" s="16">
        <v>0</v>
      </c>
      <c r="C10" s="14">
        <v>0</v>
      </c>
      <c r="D10" s="16">
        <v>0</v>
      </c>
      <c r="E10">
        <f t="shared" si="0"/>
        <v>0</v>
      </c>
      <c r="F10">
        <f t="shared" si="1"/>
        <v>0</v>
      </c>
      <c r="G10" s="16">
        <v>0</v>
      </c>
      <c r="H10" s="16">
        <v>1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>
        <v>81</v>
      </c>
      <c r="AD10">
        <v>0</v>
      </c>
      <c r="AE10">
        <v>0</v>
      </c>
      <c r="AF10">
        <v>1</v>
      </c>
      <c r="AG10" s="20">
        <v>44469</v>
      </c>
      <c r="AH10" s="20">
        <v>41974</v>
      </c>
    </row>
    <row r="11" spans="1:34" ht="15.75" thickBot="1" x14ac:dyDescent="0.3">
      <c r="A11" s="12" t="s">
        <v>263</v>
      </c>
      <c r="B11" s="13">
        <v>0</v>
      </c>
      <c r="C11" s="11">
        <v>0</v>
      </c>
      <c r="D11" s="13">
        <v>0</v>
      </c>
      <c r="E11">
        <f t="shared" si="0"/>
        <v>0</v>
      </c>
      <c r="F11">
        <f t="shared" si="1"/>
        <v>0</v>
      </c>
      <c r="G11" s="13">
        <v>0</v>
      </c>
      <c r="H11" s="13">
        <v>1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>
        <v>34</v>
      </c>
      <c r="Q11" t="s">
        <v>2724</v>
      </c>
      <c r="AD11">
        <v>0</v>
      </c>
      <c r="AE11">
        <v>0</v>
      </c>
      <c r="AF11">
        <v>1</v>
      </c>
      <c r="AG11" s="19">
        <v>43100</v>
      </c>
      <c r="AH11" s="19">
        <v>41974</v>
      </c>
    </row>
    <row r="12" spans="1:34" x14ac:dyDescent="0.25">
      <c r="A12" s="12" t="s">
        <v>267</v>
      </c>
      <c r="B12" s="13">
        <v>1</v>
      </c>
      <c r="C12" s="11">
        <v>1</v>
      </c>
      <c r="D12" s="13">
        <v>1</v>
      </c>
      <c r="E12">
        <f t="shared" si="0"/>
        <v>0</v>
      </c>
      <c r="F12">
        <f t="shared" si="1"/>
        <v>0</v>
      </c>
      <c r="G12" s="13">
        <v>0</v>
      </c>
      <c r="H12" s="13">
        <v>0</v>
      </c>
      <c r="I12" s="13">
        <v>1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>
        <v>100</v>
      </c>
      <c r="Q12" s="24"/>
      <c r="R12" s="24" t="s">
        <v>2729</v>
      </c>
      <c r="S12" s="24" t="s">
        <v>2730</v>
      </c>
      <c r="T12" s="24" t="s">
        <v>2731</v>
      </c>
      <c r="U12" s="24" t="s">
        <v>2732</v>
      </c>
      <c r="V12" s="24" t="s">
        <v>2733</v>
      </c>
      <c r="AD12">
        <v>0</v>
      </c>
      <c r="AE12">
        <v>1</v>
      </c>
      <c r="AF12">
        <v>0</v>
      </c>
      <c r="AG12" s="19">
        <v>44165</v>
      </c>
      <c r="AH12" s="19">
        <v>42856</v>
      </c>
    </row>
    <row r="13" spans="1:34" x14ac:dyDescent="0.25">
      <c r="A13" s="15" t="s">
        <v>269</v>
      </c>
      <c r="B13" s="16">
        <v>1</v>
      </c>
      <c r="C13" s="14">
        <v>1</v>
      </c>
      <c r="D13" s="16">
        <v>1</v>
      </c>
      <c r="E13">
        <f t="shared" si="0"/>
        <v>0</v>
      </c>
      <c r="F13">
        <f t="shared" si="1"/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>
        <v>118</v>
      </c>
      <c r="Q13" t="s">
        <v>2725</v>
      </c>
      <c r="R13">
        <v>4</v>
      </c>
      <c r="S13">
        <v>6984.9220567835437</v>
      </c>
      <c r="T13">
        <v>1746.2305141958859</v>
      </c>
      <c r="U13">
        <v>2.1272575061152854</v>
      </c>
      <c r="V13">
        <v>7.8569664897753203E-2</v>
      </c>
      <c r="AD13">
        <v>0</v>
      </c>
      <c r="AE13">
        <v>0</v>
      </c>
      <c r="AF13">
        <v>1</v>
      </c>
      <c r="AG13" s="20">
        <v>55153</v>
      </c>
      <c r="AH13" s="20">
        <v>43466</v>
      </c>
    </row>
    <row r="14" spans="1:34" x14ac:dyDescent="0.25">
      <c r="A14" s="12" t="s">
        <v>271</v>
      </c>
      <c r="B14" s="13">
        <v>1</v>
      </c>
      <c r="C14" s="11">
        <v>1</v>
      </c>
      <c r="D14" s="13">
        <v>1</v>
      </c>
      <c r="E14">
        <f t="shared" si="0"/>
        <v>0</v>
      </c>
      <c r="F14">
        <f t="shared" si="1"/>
        <v>0</v>
      </c>
      <c r="G14" s="13">
        <v>0</v>
      </c>
      <c r="H14" s="13">
        <v>0</v>
      </c>
      <c r="I14" s="13">
        <v>0</v>
      </c>
      <c r="J14" s="13">
        <v>0</v>
      </c>
      <c r="K14" s="13">
        <v>1</v>
      </c>
      <c r="L14" s="13">
        <v>0</v>
      </c>
      <c r="M14" s="13">
        <v>0</v>
      </c>
      <c r="N14" s="13">
        <v>0</v>
      </c>
      <c r="O14">
        <v>115</v>
      </c>
      <c r="Q14" t="s">
        <v>2726</v>
      </c>
      <c r="R14">
        <v>211</v>
      </c>
      <c r="S14">
        <v>173206.41127654989</v>
      </c>
      <c r="T14">
        <v>820.88346576563924</v>
      </c>
      <c r="AD14">
        <v>0</v>
      </c>
      <c r="AE14">
        <v>0</v>
      </c>
      <c r="AF14">
        <v>1</v>
      </c>
      <c r="AG14" s="19">
        <v>55153</v>
      </c>
      <c r="AH14" s="19">
        <v>43466</v>
      </c>
    </row>
    <row r="15" spans="1:34" ht="15.75" thickBot="1" x14ac:dyDescent="0.3">
      <c r="A15" s="15" t="s">
        <v>277</v>
      </c>
      <c r="B15" s="16">
        <v>0</v>
      </c>
      <c r="C15" s="14">
        <v>0</v>
      </c>
      <c r="D15" s="16">
        <v>0</v>
      </c>
      <c r="E15">
        <f t="shared" si="0"/>
        <v>0</v>
      </c>
      <c r="F15">
        <f t="shared" si="1"/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1</v>
      </c>
      <c r="M15" s="16">
        <v>0</v>
      </c>
      <c r="N15" s="16">
        <v>0</v>
      </c>
      <c r="O15">
        <v>18</v>
      </c>
      <c r="Q15" s="23" t="s">
        <v>2727</v>
      </c>
      <c r="R15" s="23">
        <v>215</v>
      </c>
      <c r="S15" s="23">
        <v>180191.33333333343</v>
      </c>
      <c r="T15" s="23"/>
      <c r="U15" s="23"/>
      <c r="V15" s="23"/>
      <c r="AD15">
        <v>0</v>
      </c>
      <c r="AE15">
        <v>0</v>
      </c>
      <c r="AF15">
        <v>1</v>
      </c>
      <c r="AG15" s="20">
        <v>42643</v>
      </c>
      <c r="AH15" s="20">
        <v>41974</v>
      </c>
    </row>
    <row r="16" spans="1:34" ht="15.75" thickBot="1" x14ac:dyDescent="0.3">
      <c r="A16" s="12" t="s">
        <v>279</v>
      </c>
      <c r="B16" s="13">
        <v>0</v>
      </c>
      <c r="C16" s="11">
        <v>0</v>
      </c>
      <c r="D16" s="13">
        <v>0</v>
      </c>
      <c r="E16">
        <f t="shared" si="0"/>
        <v>0</v>
      </c>
      <c r="F16">
        <f t="shared" si="1"/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1</v>
      </c>
      <c r="M16" s="13">
        <v>0</v>
      </c>
      <c r="N16" s="13">
        <v>0</v>
      </c>
      <c r="O16">
        <v>22</v>
      </c>
      <c r="AD16">
        <v>0</v>
      </c>
      <c r="AE16">
        <v>0</v>
      </c>
      <c r="AF16">
        <v>1</v>
      </c>
      <c r="AG16" s="19">
        <v>42735</v>
      </c>
      <c r="AH16" s="19">
        <v>41974</v>
      </c>
    </row>
    <row r="17" spans="1:34" x14ac:dyDescent="0.25">
      <c r="A17" s="15" t="s">
        <v>281</v>
      </c>
      <c r="B17" s="16">
        <v>0</v>
      </c>
      <c r="C17" s="14">
        <v>0</v>
      </c>
      <c r="D17" s="16">
        <v>0</v>
      </c>
      <c r="E17">
        <f t="shared" si="0"/>
        <v>0</v>
      </c>
      <c r="F17">
        <f t="shared" si="1"/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1</v>
      </c>
      <c r="M17" s="16">
        <v>0</v>
      </c>
      <c r="N17" s="16">
        <v>0</v>
      </c>
      <c r="O17">
        <v>48</v>
      </c>
      <c r="Q17" s="24"/>
      <c r="R17" s="24" t="s">
        <v>2734</v>
      </c>
      <c r="S17" s="24" t="s">
        <v>2722</v>
      </c>
      <c r="T17" s="24" t="s">
        <v>2735</v>
      </c>
      <c r="U17" s="24" t="s">
        <v>2736</v>
      </c>
      <c r="V17" s="24" t="s">
        <v>2737</v>
      </c>
      <c r="W17" s="24" t="s">
        <v>2738</v>
      </c>
      <c r="X17" s="24" t="s">
        <v>2739</v>
      </c>
      <c r="Y17" s="24" t="s">
        <v>2740</v>
      </c>
      <c r="AD17">
        <v>0</v>
      </c>
      <c r="AE17">
        <v>0</v>
      </c>
      <c r="AF17">
        <v>1</v>
      </c>
      <c r="AG17" s="20">
        <v>43465</v>
      </c>
      <c r="AH17" s="20">
        <v>41974</v>
      </c>
    </row>
    <row r="18" spans="1:34" x14ac:dyDescent="0.25">
      <c r="A18" s="12" t="s">
        <v>283</v>
      </c>
      <c r="B18" s="13">
        <v>0</v>
      </c>
      <c r="C18" s="11">
        <v>0</v>
      </c>
      <c r="D18" s="13">
        <v>0</v>
      </c>
      <c r="E18">
        <f t="shared" si="0"/>
        <v>0</v>
      </c>
      <c r="F18">
        <f t="shared" si="1"/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>
        <v>9</v>
      </c>
      <c r="Q18" t="s">
        <v>2728</v>
      </c>
      <c r="R18">
        <v>47.775620896374555</v>
      </c>
      <c r="S18">
        <v>3.0806914059251085</v>
      </c>
      <c r="T18">
        <v>15.508083933524622</v>
      </c>
      <c r="U18">
        <v>1.0462188753086536E-36</v>
      </c>
      <c r="V18">
        <v>41.702744358340205</v>
      </c>
      <c r="W18">
        <v>53.848497434408905</v>
      </c>
      <c r="X18">
        <v>41.702744358340205</v>
      </c>
      <c r="Y18">
        <v>53.848497434408905</v>
      </c>
      <c r="AD18">
        <v>0</v>
      </c>
      <c r="AE18">
        <v>0</v>
      </c>
      <c r="AF18">
        <v>1</v>
      </c>
      <c r="AG18" s="19">
        <v>42277</v>
      </c>
      <c r="AH18" s="19">
        <v>41974</v>
      </c>
    </row>
    <row r="19" spans="1:34" x14ac:dyDescent="0.25">
      <c r="A19" s="15" t="s">
        <v>285</v>
      </c>
      <c r="B19" s="16">
        <v>0</v>
      </c>
      <c r="C19" s="14">
        <v>0</v>
      </c>
      <c r="D19" s="16">
        <v>0</v>
      </c>
      <c r="E19">
        <f t="shared" si="0"/>
        <v>0</v>
      </c>
      <c r="F19">
        <f t="shared" si="1"/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1</v>
      </c>
      <c r="M19" s="16">
        <v>0</v>
      </c>
      <c r="N19" s="16">
        <v>0</v>
      </c>
      <c r="O19">
        <v>63</v>
      </c>
      <c r="Q19" t="s">
        <v>2715</v>
      </c>
      <c r="R19">
        <v>14.778906300864941</v>
      </c>
      <c r="S19">
        <v>5.8882627648416435</v>
      </c>
      <c r="T19">
        <v>2.509892457433903</v>
      </c>
      <c r="U19">
        <v>1.2827860801727167E-2</v>
      </c>
      <c r="V19">
        <v>3.1715467563116579</v>
      </c>
      <c r="W19">
        <v>26.386265845418222</v>
      </c>
      <c r="X19">
        <v>3.1715467563116579</v>
      </c>
      <c r="Y19">
        <v>26.386265845418222</v>
      </c>
      <c r="AD19">
        <v>0</v>
      </c>
      <c r="AE19">
        <v>0</v>
      </c>
      <c r="AF19">
        <v>1</v>
      </c>
      <c r="AG19" s="20">
        <v>44104</v>
      </c>
      <c r="AH19" s="20">
        <v>41974</v>
      </c>
    </row>
    <row r="20" spans="1:34" x14ac:dyDescent="0.25">
      <c r="A20" s="12" t="s">
        <v>287</v>
      </c>
      <c r="B20" s="13">
        <v>0</v>
      </c>
      <c r="C20" s="11">
        <v>0</v>
      </c>
      <c r="D20" s="13">
        <v>0</v>
      </c>
      <c r="E20">
        <f t="shared" si="0"/>
        <v>0</v>
      </c>
      <c r="F20">
        <f t="shared" si="1"/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1</v>
      </c>
      <c r="O20">
        <v>84</v>
      </c>
      <c r="Q20" t="s">
        <v>2714</v>
      </c>
      <c r="R20">
        <v>-19.479017984584686</v>
      </c>
      <c r="S20">
        <v>20.443593754636922</v>
      </c>
      <c r="T20">
        <v>-0.95281770017399925</v>
      </c>
      <c r="U20">
        <v>0.34177267055074201</v>
      </c>
      <c r="V20">
        <v>-59.778874252842868</v>
      </c>
      <c r="W20">
        <v>20.820838283673496</v>
      </c>
      <c r="X20">
        <v>-59.778874252842868</v>
      </c>
      <c r="Y20">
        <v>20.820838283673496</v>
      </c>
      <c r="AD20">
        <v>0</v>
      </c>
      <c r="AE20">
        <v>0</v>
      </c>
      <c r="AF20">
        <v>1</v>
      </c>
      <c r="AG20" s="19">
        <v>44561</v>
      </c>
      <c r="AH20" s="19">
        <v>41974</v>
      </c>
    </row>
    <row r="21" spans="1:34" x14ac:dyDescent="0.25">
      <c r="A21" s="15" t="s">
        <v>289</v>
      </c>
      <c r="B21" s="16">
        <v>0</v>
      </c>
      <c r="C21" s="14">
        <v>0</v>
      </c>
      <c r="D21" s="16">
        <v>0</v>
      </c>
      <c r="E21">
        <f t="shared" si="0"/>
        <v>0</v>
      </c>
      <c r="F21">
        <f t="shared" si="1"/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1</v>
      </c>
      <c r="O21">
        <v>63</v>
      </c>
      <c r="Q21" t="s">
        <v>2716</v>
      </c>
      <c r="R21">
        <v>10.520982015415351</v>
      </c>
      <c r="S21">
        <v>20.443593754636925</v>
      </c>
      <c r="T21">
        <v>0.51463466461365326</v>
      </c>
      <c r="U21">
        <v>0.60734697880196942</v>
      </c>
      <c r="V21">
        <v>-29.77887425284284</v>
      </c>
      <c r="W21">
        <v>50.820838283673538</v>
      </c>
      <c r="X21">
        <v>-29.77887425284284</v>
      </c>
      <c r="Y21">
        <v>50.820838283673538</v>
      </c>
      <c r="AD21">
        <v>0</v>
      </c>
      <c r="AE21">
        <v>0</v>
      </c>
      <c r="AF21">
        <v>1</v>
      </c>
      <c r="AG21" s="20">
        <v>43921</v>
      </c>
      <c r="AH21" s="20">
        <v>41974</v>
      </c>
    </row>
    <row r="22" spans="1:34" ht="15.75" thickBot="1" x14ac:dyDescent="0.3">
      <c r="A22" s="12" t="s">
        <v>291</v>
      </c>
      <c r="B22" s="13">
        <v>0</v>
      </c>
      <c r="C22" s="11">
        <v>0</v>
      </c>
      <c r="D22" s="13">
        <v>0</v>
      </c>
      <c r="E22">
        <f t="shared" si="0"/>
        <v>0</v>
      </c>
      <c r="F22">
        <f t="shared" si="1"/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0</v>
      </c>
      <c r="N22" s="13">
        <v>0</v>
      </c>
      <c r="O22">
        <v>24</v>
      </c>
      <c r="Q22" s="23" t="s">
        <v>12</v>
      </c>
      <c r="R22" s="23">
        <v>6.9663145874964512</v>
      </c>
      <c r="S22" s="23">
        <v>5.9975637835234723</v>
      </c>
      <c r="T22" s="23">
        <v>1.1615240519216044</v>
      </c>
      <c r="U22" s="23">
        <v>0.24674110861413423</v>
      </c>
      <c r="V22" s="23">
        <v>-4.8565068467675294</v>
      </c>
      <c r="W22" s="23">
        <v>18.789136021760431</v>
      </c>
      <c r="X22" s="23">
        <v>-4.8565068467675294</v>
      </c>
      <c r="Y22" s="23">
        <v>18.789136021760431</v>
      </c>
      <c r="AD22">
        <v>0</v>
      </c>
      <c r="AE22">
        <v>0</v>
      </c>
      <c r="AF22">
        <v>1</v>
      </c>
      <c r="AG22" s="19">
        <v>42735</v>
      </c>
      <c r="AH22" s="19">
        <v>41974</v>
      </c>
    </row>
    <row r="23" spans="1:34" x14ac:dyDescent="0.25">
      <c r="A23" s="15" t="s">
        <v>297</v>
      </c>
      <c r="B23" s="16">
        <v>0</v>
      </c>
      <c r="C23" s="14">
        <v>0</v>
      </c>
      <c r="D23" s="16">
        <v>0</v>
      </c>
      <c r="E23">
        <f t="shared" si="0"/>
        <v>0</v>
      </c>
      <c r="F23">
        <f t="shared" si="1"/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1</v>
      </c>
      <c r="M23" s="16">
        <v>0</v>
      </c>
      <c r="N23" s="16">
        <v>0</v>
      </c>
      <c r="O23">
        <v>64</v>
      </c>
      <c r="AD23">
        <v>0</v>
      </c>
      <c r="AE23">
        <v>0</v>
      </c>
      <c r="AF23">
        <v>1</v>
      </c>
      <c r="AG23" s="20">
        <v>44012</v>
      </c>
      <c r="AH23" s="20">
        <v>41974</v>
      </c>
    </row>
    <row r="24" spans="1:34" ht="18.75" x14ac:dyDescent="0.3">
      <c r="A24" s="12" t="s">
        <v>299</v>
      </c>
      <c r="B24" s="13">
        <v>0</v>
      </c>
      <c r="C24" s="11">
        <v>0</v>
      </c>
      <c r="D24" s="13">
        <v>0</v>
      </c>
      <c r="E24">
        <f t="shared" si="0"/>
        <v>0</v>
      </c>
      <c r="F24">
        <f t="shared" si="1"/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>
        <v>72</v>
      </c>
      <c r="Q24" s="26" t="s">
        <v>2742</v>
      </c>
      <c r="AD24">
        <v>0</v>
      </c>
      <c r="AE24">
        <v>0</v>
      </c>
      <c r="AF24">
        <v>1</v>
      </c>
      <c r="AG24" s="19">
        <v>44196</v>
      </c>
      <c r="AH24" s="19">
        <v>41974</v>
      </c>
    </row>
    <row r="25" spans="1:34" ht="15.75" thickBot="1" x14ac:dyDescent="0.3">
      <c r="A25" s="15" t="s">
        <v>301</v>
      </c>
      <c r="B25" s="16">
        <v>0</v>
      </c>
      <c r="C25" s="14">
        <v>0</v>
      </c>
      <c r="D25" s="16">
        <v>0</v>
      </c>
      <c r="E25">
        <f t="shared" si="0"/>
        <v>0</v>
      </c>
      <c r="F25">
        <f t="shared" si="1"/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1</v>
      </c>
      <c r="M25" s="16">
        <v>0</v>
      </c>
      <c r="N25" s="16">
        <v>0</v>
      </c>
      <c r="O25">
        <v>36</v>
      </c>
      <c r="AD25">
        <v>0</v>
      </c>
      <c r="AE25">
        <v>0</v>
      </c>
      <c r="AF25">
        <v>1</v>
      </c>
      <c r="AG25" s="20">
        <v>43190</v>
      </c>
      <c r="AH25" s="20">
        <v>41974</v>
      </c>
    </row>
    <row r="26" spans="1:34" x14ac:dyDescent="0.25">
      <c r="A26" s="15" t="s">
        <v>305</v>
      </c>
      <c r="B26" s="16">
        <v>0</v>
      </c>
      <c r="C26" s="14">
        <v>0</v>
      </c>
      <c r="D26" s="16">
        <v>0</v>
      </c>
      <c r="E26">
        <f t="shared" si="0"/>
        <v>0</v>
      </c>
      <c r="F26">
        <f t="shared" si="1"/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>
        <v>18</v>
      </c>
      <c r="Q26" s="25" t="s">
        <v>2718</v>
      </c>
      <c r="R26" s="25"/>
      <c r="AD26">
        <v>0</v>
      </c>
      <c r="AE26">
        <v>0</v>
      </c>
      <c r="AF26">
        <v>1</v>
      </c>
      <c r="AG26" s="20">
        <v>42551</v>
      </c>
      <c r="AH26" s="20">
        <v>41974</v>
      </c>
    </row>
    <row r="27" spans="1:34" x14ac:dyDescent="0.25">
      <c r="A27" s="12" t="s">
        <v>307</v>
      </c>
      <c r="B27" s="13">
        <v>1</v>
      </c>
      <c r="C27" s="11">
        <v>1</v>
      </c>
      <c r="D27" s="13">
        <v>1</v>
      </c>
      <c r="E27">
        <f t="shared" si="0"/>
        <v>0</v>
      </c>
      <c r="F27">
        <f t="shared" si="1"/>
        <v>0</v>
      </c>
      <c r="G27" s="13">
        <v>0</v>
      </c>
      <c r="H27" s="13">
        <v>0</v>
      </c>
      <c r="I27" s="13">
        <v>0</v>
      </c>
      <c r="J27" s="13">
        <v>0</v>
      </c>
      <c r="K27" s="13">
        <v>1</v>
      </c>
      <c r="L27" s="13">
        <v>0</v>
      </c>
      <c r="M27" s="13">
        <v>0</v>
      </c>
      <c r="N27" s="13">
        <v>0</v>
      </c>
      <c r="O27">
        <v>81</v>
      </c>
      <c r="Q27" t="s">
        <v>2719</v>
      </c>
      <c r="R27">
        <v>0.22297701614449011</v>
      </c>
      <c r="AD27">
        <v>0</v>
      </c>
      <c r="AE27">
        <v>1</v>
      </c>
      <c r="AF27">
        <v>0</v>
      </c>
      <c r="AG27" s="19">
        <v>43799</v>
      </c>
      <c r="AH27" s="19">
        <v>43466</v>
      </c>
    </row>
    <row r="28" spans="1:34" x14ac:dyDescent="0.25">
      <c r="A28" s="15" t="s">
        <v>309</v>
      </c>
      <c r="B28" s="16">
        <v>0</v>
      </c>
      <c r="C28" s="14">
        <v>1</v>
      </c>
      <c r="D28" s="16">
        <v>1</v>
      </c>
      <c r="E28">
        <f t="shared" si="0"/>
        <v>0</v>
      </c>
      <c r="F28">
        <f t="shared" si="1"/>
        <v>0</v>
      </c>
      <c r="G28" s="16">
        <v>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>
        <v>26</v>
      </c>
      <c r="Q28" t="s">
        <v>2720</v>
      </c>
      <c r="R28">
        <v>4.9718749728700204E-2</v>
      </c>
      <c r="AD28">
        <v>0</v>
      </c>
      <c r="AE28">
        <v>0</v>
      </c>
      <c r="AF28">
        <v>1</v>
      </c>
      <c r="AG28" s="20">
        <v>42521</v>
      </c>
      <c r="AH28" s="20">
        <v>41699</v>
      </c>
    </row>
    <row r="29" spans="1:34" x14ac:dyDescent="0.25">
      <c r="A29" s="15" t="s">
        <v>313</v>
      </c>
      <c r="B29" s="16">
        <v>1</v>
      </c>
      <c r="C29" s="14">
        <v>1</v>
      </c>
      <c r="D29" s="16">
        <v>1</v>
      </c>
      <c r="E29">
        <f t="shared" si="0"/>
        <v>0</v>
      </c>
      <c r="F29">
        <f t="shared" si="1"/>
        <v>0</v>
      </c>
      <c r="G29" s="16">
        <v>0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>
        <v>102</v>
      </c>
      <c r="Q29" t="s">
        <v>2721</v>
      </c>
      <c r="R29">
        <v>3.1703939297016794E-2</v>
      </c>
      <c r="AD29">
        <v>0</v>
      </c>
      <c r="AE29">
        <v>1</v>
      </c>
      <c r="AF29">
        <v>0</v>
      </c>
      <c r="AG29" s="20">
        <v>44439</v>
      </c>
      <c r="AH29" s="20">
        <v>41306</v>
      </c>
    </row>
    <row r="30" spans="1:34" x14ac:dyDescent="0.25">
      <c r="A30" s="12" t="s">
        <v>315</v>
      </c>
      <c r="B30" s="13">
        <v>1</v>
      </c>
      <c r="C30" s="11">
        <v>1</v>
      </c>
      <c r="D30" s="13">
        <v>1</v>
      </c>
      <c r="E30">
        <f t="shared" si="0"/>
        <v>0</v>
      </c>
      <c r="F30">
        <f t="shared" si="1"/>
        <v>0</v>
      </c>
      <c r="G30" s="13">
        <v>0</v>
      </c>
      <c r="H30" s="13">
        <v>0</v>
      </c>
      <c r="I30" s="13">
        <v>1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>
        <v>68</v>
      </c>
      <c r="Q30" t="s">
        <v>2722</v>
      </c>
      <c r="R30">
        <v>28.487333638971361</v>
      </c>
      <c r="AD30">
        <v>0</v>
      </c>
      <c r="AE30">
        <v>1</v>
      </c>
      <c r="AF30">
        <v>0</v>
      </c>
      <c r="AG30" s="19">
        <v>43496</v>
      </c>
      <c r="AH30" s="19">
        <v>41395</v>
      </c>
    </row>
    <row r="31" spans="1:34" ht="15.75" thickBot="1" x14ac:dyDescent="0.3">
      <c r="A31" s="15" t="s">
        <v>8</v>
      </c>
      <c r="B31" s="16">
        <v>0</v>
      </c>
      <c r="C31" s="14">
        <v>0</v>
      </c>
      <c r="D31" s="16">
        <v>0</v>
      </c>
      <c r="E31">
        <f t="shared" si="0"/>
        <v>0</v>
      </c>
      <c r="F31">
        <f t="shared" si="1"/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1</v>
      </c>
      <c r="O31">
        <v>101</v>
      </c>
      <c r="Q31" s="23" t="s">
        <v>2723</v>
      </c>
      <c r="R31" s="23">
        <v>216</v>
      </c>
      <c r="AD31">
        <v>0</v>
      </c>
      <c r="AE31">
        <v>0</v>
      </c>
      <c r="AF31">
        <v>1</v>
      </c>
      <c r="AG31" s="20">
        <v>45107</v>
      </c>
      <c r="AH31" s="20">
        <v>41974</v>
      </c>
    </row>
    <row r="32" spans="1:34" x14ac:dyDescent="0.25">
      <c r="A32" s="15" t="s">
        <v>327</v>
      </c>
      <c r="B32" s="16">
        <v>0</v>
      </c>
      <c r="C32" s="14">
        <v>0</v>
      </c>
      <c r="D32" s="16">
        <v>0</v>
      </c>
      <c r="E32">
        <f t="shared" si="0"/>
        <v>0</v>
      </c>
      <c r="F32">
        <f t="shared" si="1"/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1</v>
      </c>
      <c r="O32">
        <v>93</v>
      </c>
      <c r="AD32">
        <v>0</v>
      </c>
      <c r="AE32">
        <v>0</v>
      </c>
      <c r="AF32">
        <v>1</v>
      </c>
      <c r="AG32" s="20">
        <v>44834</v>
      </c>
      <c r="AH32" s="20">
        <v>41974</v>
      </c>
    </row>
    <row r="33" spans="1:34" ht="15.75" thickBot="1" x14ac:dyDescent="0.3">
      <c r="A33" s="12" t="s">
        <v>333</v>
      </c>
      <c r="B33" s="13">
        <v>1</v>
      </c>
      <c r="C33" s="11">
        <v>1</v>
      </c>
      <c r="D33" s="13">
        <v>1</v>
      </c>
      <c r="E33">
        <f t="shared" si="0"/>
        <v>0</v>
      </c>
      <c r="F33">
        <f t="shared" si="1"/>
        <v>0</v>
      </c>
      <c r="G33" s="13">
        <v>0</v>
      </c>
      <c r="H33" s="13">
        <v>0</v>
      </c>
      <c r="I33" s="13">
        <v>1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>
        <v>105</v>
      </c>
      <c r="Q33" t="s">
        <v>2724</v>
      </c>
      <c r="AD33">
        <v>0</v>
      </c>
      <c r="AE33">
        <v>1</v>
      </c>
      <c r="AF33">
        <v>0</v>
      </c>
      <c r="AG33" s="19">
        <v>44592</v>
      </c>
      <c r="AH33" s="19">
        <v>41365</v>
      </c>
    </row>
    <row r="34" spans="1:34" x14ac:dyDescent="0.25">
      <c r="A34" s="15" t="s">
        <v>335</v>
      </c>
      <c r="B34" s="16">
        <v>1</v>
      </c>
      <c r="C34" s="14">
        <v>1</v>
      </c>
      <c r="D34" s="16">
        <v>1</v>
      </c>
      <c r="E34">
        <f t="shared" si="0"/>
        <v>0</v>
      </c>
      <c r="F34">
        <f t="shared" si="1"/>
        <v>0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0</v>
      </c>
      <c r="M34" s="16">
        <v>0</v>
      </c>
      <c r="N34" s="16">
        <v>0</v>
      </c>
      <c r="O34">
        <v>105</v>
      </c>
      <c r="Q34" s="24"/>
      <c r="R34" s="24" t="s">
        <v>2729</v>
      </c>
      <c r="S34" s="24" t="s">
        <v>2730</v>
      </c>
      <c r="T34" s="24" t="s">
        <v>2731</v>
      </c>
      <c r="U34" s="24" t="s">
        <v>2732</v>
      </c>
      <c r="V34" s="24" t="s">
        <v>2733</v>
      </c>
      <c r="AD34">
        <v>0</v>
      </c>
      <c r="AE34">
        <v>1</v>
      </c>
      <c r="AF34">
        <v>0</v>
      </c>
      <c r="AG34" s="20">
        <v>44592</v>
      </c>
      <c r="AH34" s="20">
        <v>41365</v>
      </c>
    </row>
    <row r="35" spans="1:34" x14ac:dyDescent="0.25">
      <c r="A35" s="12" t="s">
        <v>337</v>
      </c>
      <c r="B35" s="13">
        <v>1</v>
      </c>
      <c r="C35" s="11">
        <v>1</v>
      </c>
      <c r="D35" s="13">
        <v>1</v>
      </c>
      <c r="E35">
        <f t="shared" si="0"/>
        <v>0</v>
      </c>
      <c r="F35">
        <f t="shared" si="1"/>
        <v>0</v>
      </c>
      <c r="G35" s="13">
        <v>0</v>
      </c>
      <c r="H35" s="13">
        <v>0</v>
      </c>
      <c r="I35" s="13">
        <v>1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>
        <v>77</v>
      </c>
      <c r="Q35" t="s">
        <v>2725</v>
      </c>
      <c r="R35">
        <v>4</v>
      </c>
      <c r="S35">
        <v>8958.8878052807995</v>
      </c>
      <c r="T35">
        <v>2239.7219513201999</v>
      </c>
      <c r="U35">
        <v>2.7598819269981183</v>
      </c>
      <c r="V35">
        <v>2.8771213643621563E-2</v>
      </c>
      <c r="AD35">
        <v>0</v>
      </c>
      <c r="AE35">
        <v>1</v>
      </c>
      <c r="AF35">
        <v>0</v>
      </c>
      <c r="AG35" s="19">
        <v>43738</v>
      </c>
      <c r="AH35" s="19">
        <v>41365</v>
      </c>
    </row>
    <row r="36" spans="1:34" x14ac:dyDescent="0.25">
      <c r="A36" s="12" t="s">
        <v>353</v>
      </c>
      <c r="B36" s="13">
        <v>0</v>
      </c>
      <c r="C36" s="11">
        <v>1</v>
      </c>
      <c r="D36" s="13">
        <v>1</v>
      </c>
      <c r="E36">
        <f t="shared" si="0"/>
        <v>0</v>
      </c>
      <c r="F36">
        <f t="shared" si="1"/>
        <v>0</v>
      </c>
      <c r="G36" s="13">
        <v>0</v>
      </c>
      <c r="H36" s="13">
        <v>0</v>
      </c>
      <c r="I36" s="13">
        <v>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>
        <v>34</v>
      </c>
      <c r="Q36" t="s">
        <v>2726</v>
      </c>
      <c r="R36">
        <v>211</v>
      </c>
      <c r="S36">
        <v>171232.44552805263</v>
      </c>
      <c r="T36">
        <v>811.52817785806928</v>
      </c>
      <c r="AD36">
        <v>0</v>
      </c>
      <c r="AE36">
        <v>1</v>
      </c>
      <c r="AF36">
        <v>0</v>
      </c>
      <c r="AG36" s="19">
        <v>42551</v>
      </c>
      <c r="AH36" s="19">
        <v>41487</v>
      </c>
    </row>
    <row r="37" spans="1:34" ht="15.75" thickBot="1" x14ac:dyDescent="0.3">
      <c r="A37" s="15" t="s">
        <v>355</v>
      </c>
      <c r="B37" s="16">
        <v>1</v>
      </c>
      <c r="C37" s="14">
        <v>1</v>
      </c>
      <c r="D37" s="16">
        <v>1</v>
      </c>
      <c r="E37">
        <f t="shared" si="0"/>
        <v>0</v>
      </c>
      <c r="F37">
        <f t="shared" si="1"/>
        <v>0</v>
      </c>
      <c r="G37" s="16">
        <v>0</v>
      </c>
      <c r="H37" s="16">
        <v>0</v>
      </c>
      <c r="I37" s="16">
        <v>1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>
        <v>37</v>
      </c>
      <c r="Q37" s="23" t="s">
        <v>2727</v>
      </c>
      <c r="R37" s="23">
        <v>215</v>
      </c>
      <c r="S37" s="23">
        <v>180191.33333333343</v>
      </c>
      <c r="T37" s="23"/>
      <c r="U37" s="23"/>
      <c r="V37" s="23"/>
      <c r="AD37">
        <v>0</v>
      </c>
      <c r="AE37">
        <v>0</v>
      </c>
      <c r="AF37">
        <v>1</v>
      </c>
      <c r="AG37" s="20">
        <v>42674</v>
      </c>
      <c r="AH37" s="20">
        <v>41518</v>
      </c>
    </row>
    <row r="38" spans="1:34" ht="15.75" thickBot="1" x14ac:dyDescent="0.3">
      <c r="A38" s="15" t="s">
        <v>363</v>
      </c>
      <c r="B38" s="16">
        <v>1</v>
      </c>
      <c r="C38" s="14">
        <v>1</v>
      </c>
      <c r="D38" s="16">
        <v>1</v>
      </c>
      <c r="E38">
        <f t="shared" si="0"/>
        <v>0</v>
      </c>
      <c r="F38">
        <f t="shared" si="1"/>
        <v>0</v>
      </c>
      <c r="G38" s="16">
        <v>0</v>
      </c>
      <c r="H38" s="16">
        <v>0</v>
      </c>
      <c r="I38" s="16">
        <v>0</v>
      </c>
      <c r="J38" s="16">
        <v>0</v>
      </c>
      <c r="K38" s="16">
        <v>1</v>
      </c>
      <c r="L38" s="16">
        <v>0</v>
      </c>
      <c r="M38" s="16">
        <v>0</v>
      </c>
      <c r="N38" s="16">
        <v>0</v>
      </c>
      <c r="O38">
        <v>49</v>
      </c>
      <c r="AD38">
        <v>0</v>
      </c>
      <c r="AE38">
        <v>0</v>
      </c>
      <c r="AF38">
        <v>1</v>
      </c>
      <c r="AG38" s="20">
        <v>43069</v>
      </c>
      <c r="AH38" s="20">
        <v>41548</v>
      </c>
    </row>
    <row r="39" spans="1:34" x14ac:dyDescent="0.25">
      <c r="A39" s="12" t="s">
        <v>365</v>
      </c>
      <c r="B39" s="13">
        <v>1</v>
      </c>
      <c r="C39" s="11">
        <v>1</v>
      </c>
      <c r="D39" s="13">
        <v>1</v>
      </c>
      <c r="E39">
        <f t="shared" si="0"/>
        <v>0</v>
      </c>
      <c r="F39">
        <f t="shared" si="1"/>
        <v>0</v>
      </c>
      <c r="G39" s="13">
        <v>0</v>
      </c>
      <c r="H39" s="13">
        <v>0</v>
      </c>
      <c r="I39" s="13">
        <v>1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>
        <v>40</v>
      </c>
      <c r="Q39" s="24"/>
      <c r="R39" s="24" t="s">
        <v>2734</v>
      </c>
      <c r="S39" s="24" t="s">
        <v>2722</v>
      </c>
      <c r="T39" s="24" t="s">
        <v>2735</v>
      </c>
      <c r="U39" s="24" t="s">
        <v>2736</v>
      </c>
      <c r="V39" s="24" t="s">
        <v>2737</v>
      </c>
      <c r="W39" s="24" t="s">
        <v>2738</v>
      </c>
      <c r="X39" s="24" t="s">
        <v>2739</v>
      </c>
      <c r="Y39" s="24" t="s">
        <v>2740</v>
      </c>
      <c r="AD39">
        <v>0</v>
      </c>
      <c r="AE39">
        <v>0</v>
      </c>
      <c r="AF39">
        <v>1</v>
      </c>
      <c r="AG39" s="19">
        <v>42794</v>
      </c>
      <c r="AH39" s="19">
        <v>41548</v>
      </c>
    </row>
    <row r="40" spans="1:34" x14ac:dyDescent="0.25">
      <c r="A40" s="15" t="s">
        <v>371</v>
      </c>
      <c r="B40" s="16">
        <v>0</v>
      </c>
      <c r="C40" s="14">
        <v>1</v>
      </c>
      <c r="D40" s="16">
        <v>1</v>
      </c>
      <c r="E40">
        <f t="shared" si="0"/>
        <v>0</v>
      </c>
      <c r="F40">
        <f t="shared" si="1"/>
        <v>0</v>
      </c>
      <c r="G40" s="16">
        <v>0</v>
      </c>
      <c r="H40" s="16">
        <v>0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0</v>
      </c>
      <c r="O40">
        <v>77</v>
      </c>
      <c r="Q40" t="s">
        <v>2728</v>
      </c>
      <c r="R40">
        <v>49.984312697942556</v>
      </c>
      <c r="S40">
        <v>2.6349897479686137</v>
      </c>
      <c r="T40">
        <v>18.969452437709421</v>
      </c>
      <c r="U40">
        <v>1.7290962884007091E-47</v>
      </c>
      <c r="V40">
        <v>44.790034755133036</v>
      </c>
      <c r="W40">
        <v>55.178590640752077</v>
      </c>
      <c r="X40">
        <v>44.790034755133036</v>
      </c>
      <c r="Y40">
        <v>55.178590640752077</v>
      </c>
      <c r="AD40">
        <v>0</v>
      </c>
      <c r="AE40">
        <v>1</v>
      </c>
      <c r="AF40">
        <v>0</v>
      </c>
      <c r="AG40" s="20">
        <v>43982</v>
      </c>
      <c r="AH40" s="20">
        <v>41609</v>
      </c>
    </row>
    <row r="41" spans="1:34" x14ac:dyDescent="0.25">
      <c r="A41" s="12" t="s">
        <v>377</v>
      </c>
      <c r="B41" s="13">
        <v>1</v>
      </c>
      <c r="C41" s="11">
        <v>1</v>
      </c>
      <c r="D41" s="13">
        <v>1</v>
      </c>
      <c r="E41">
        <f t="shared" si="0"/>
        <v>0</v>
      </c>
      <c r="F41">
        <f t="shared" si="1"/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3">
        <v>0</v>
      </c>
      <c r="M41" s="13">
        <v>0</v>
      </c>
      <c r="N41" s="13">
        <v>0</v>
      </c>
      <c r="O41">
        <v>43</v>
      </c>
      <c r="Q41" t="s">
        <v>2715</v>
      </c>
      <c r="R41">
        <v>10.51868129847508</v>
      </c>
      <c r="S41">
        <v>6.2535603271881053</v>
      </c>
      <c r="T41">
        <v>1.6820308349379551</v>
      </c>
      <c r="U41">
        <v>9.4042179192569575E-2</v>
      </c>
      <c r="V41">
        <v>-1.8087786078048893</v>
      </c>
      <c r="W41">
        <v>22.84614120475505</v>
      </c>
      <c r="X41">
        <v>-1.8087786078048893</v>
      </c>
      <c r="Y41">
        <v>22.84614120475505</v>
      </c>
      <c r="AD41">
        <v>0</v>
      </c>
      <c r="AE41">
        <v>0</v>
      </c>
      <c r="AF41">
        <v>1</v>
      </c>
      <c r="AG41" s="19">
        <v>43069</v>
      </c>
      <c r="AH41" s="19">
        <v>41730</v>
      </c>
    </row>
    <row r="42" spans="1:34" x14ac:dyDescent="0.25">
      <c r="A42" s="15" t="s">
        <v>379</v>
      </c>
      <c r="B42" s="16">
        <v>0</v>
      </c>
      <c r="C42" s="14">
        <v>1</v>
      </c>
      <c r="D42" s="16">
        <v>1</v>
      </c>
      <c r="E42">
        <f t="shared" si="0"/>
        <v>0</v>
      </c>
      <c r="F42">
        <f t="shared" si="1"/>
        <v>0</v>
      </c>
      <c r="G42" s="16">
        <v>0</v>
      </c>
      <c r="H42" s="16">
        <v>0</v>
      </c>
      <c r="I42" s="16">
        <v>0</v>
      </c>
      <c r="J42" s="16">
        <v>1</v>
      </c>
      <c r="K42" s="16">
        <v>0</v>
      </c>
      <c r="L42" s="16">
        <v>0</v>
      </c>
      <c r="M42" s="16">
        <v>0</v>
      </c>
      <c r="N42" s="16">
        <v>0</v>
      </c>
      <c r="O42">
        <v>60</v>
      </c>
      <c r="Q42" t="s">
        <v>2714</v>
      </c>
      <c r="R42">
        <v>-9.3141219895645158</v>
      </c>
      <c r="S42">
        <v>21.094167023899516</v>
      </c>
      <c r="T42">
        <v>-0.44154964635539734</v>
      </c>
      <c r="U42">
        <v>0.65926728839979543</v>
      </c>
      <c r="V42">
        <v>-50.896434246623912</v>
      </c>
      <c r="W42">
        <v>32.268190267494887</v>
      </c>
      <c r="X42">
        <v>-50.896434246623912</v>
      </c>
      <c r="Y42">
        <v>32.268190267494887</v>
      </c>
      <c r="AD42">
        <v>0</v>
      </c>
      <c r="AE42">
        <v>0</v>
      </c>
      <c r="AF42">
        <v>1</v>
      </c>
      <c r="AG42" s="20">
        <v>43496</v>
      </c>
      <c r="AH42" s="20">
        <v>41640</v>
      </c>
    </row>
    <row r="43" spans="1:34" x14ac:dyDescent="0.25">
      <c r="A43" s="15" t="s">
        <v>383</v>
      </c>
      <c r="B43" s="16">
        <v>0</v>
      </c>
      <c r="C43" s="14">
        <v>1</v>
      </c>
      <c r="D43" s="16">
        <v>1</v>
      </c>
      <c r="E43">
        <f t="shared" si="0"/>
        <v>0</v>
      </c>
      <c r="F43">
        <f t="shared" si="1"/>
        <v>0</v>
      </c>
      <c r="G43" s="16">
        <v>0</v>
      </c>
      <c r="H43" s="16">
        <v>0</v>
      </c>
      <c r="I43" s="16">
        <v>1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>
        <v>57</v>
      </c>
      <c r="Q43" t="s">
        <v>2716</v>
      </c>
      <c r="R43">
        <v>2.4076192212170553</v>
      </c>
      <c r="S43">
        <v>20.642948920367331</v>
      </c>
      <c r="T43">
        <v>0.1166315544598176</v>
      </c>
      <c r="U43">
        <v>0.90726296596661726</v>
      </c>
      <c r="V43">
        <v>-38.285220033383638</v>
      </c>
      <c r="W43">
        <v>43.100458475817746</v>
      </c>
      <c r="X43">
        <v>-38.285220033383638</v>
      </c>
      <c r="Y43">
        <v>43.100458475817746</v>
      </c>
      <c r="AD43">
        <v>0</v>
      </c>
      <c r="AE43">
        <v>1</v>
      </c>
      <c r="AF43">
        <v>0</v>
      </c>
      <c r="AG43" s="20">
        <v>43404</v>
      </c>
      <c r="AH43" s="20">
        <v>41640</v>
      </c>
    </row>
    <row r="44" spans="1:34" ht="15.75" thickBot="1" x14ac:dyDescent="0.3">
      <c r="A44" s="12" t="s">
        <v>385</v>
      </c>
      <c r="B44" s="13">
        <v>0</v>
      </c>
      <c r="C44" s="11">
        <v>0</v>
      </c>
      <c r="D44" s="13">
        <v>0</v>
      </c>
      <c r="E44">
        <f t="shared" si="0"/>
        <v>0</v>
      </c>
      <c r="F44">
        <f t="shared" si="1"/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1</v>
      </c>
      <c r="O44">
        <v>18</v>
      </c>
      <c r="Q44" s="23" t="s">
        <v>47</v>
      </c>
      <c r="R44" s="23">
        <v>-18.278258789218278</v>
      </c>
      <c r="S44" s="23">
        <v>9.3801329944073135</v>
      </c>
      <c r="T44" s="23">
        <v>-1.9486140335234334</v>
      </c>
      <c r="U44" s="23">
        <v>5.266739294394477E-2</v>
      </c>
      <c r="V44" s="23">
        <v>-36.769039617125344</v>
      </c>
      <c r="W44" s="23">
        <v>0.21252203868878539</v>
      </c>
      <c r="X44" s="23">
        <v>-36.769039617125344</v>
      </c>
      <c r="Y44" s="23">
        <v>0.21252203868878539</v>
      </c>
      <c r="AD44">
        <v>0</v>
      </c>
      <c r="AE44">
        <v>0</v>
      </c>
      <c r="AF44">
        <v>1</v>
      </c>
      <c r="AG44" s="19">
        <v>42643</v>
      </c>
      <c r="AH44" s="19">
        <v>41974</v>
      </c>
    </row>
    <row r="45" spans="1:34" x14ac:dyDescent="0.25">
      <c r="A45" s="15" t="s">
        <v>391</v>
      </c>
      <c r="B45" s="16">
        <v>0</v>
      </c>
      <c r="C45" s="14">
        <v>0</v>
      </c>
      <c r="D45" s="16">
        <v>0</v>
      </c>
      <c r="E45">
        <f t="shared" si="0"/>
        <v>0</v>
      </c>
      <c r="F45">
        <f t="shared" si="1"/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1</v>
      </c>
      <c r="O45">
        <v>17</v>
      </c>
      <c r="AD45">
        <v>0</v>
      </c>
      <c r="AE45">
        <v>0</v>
      </c>
      <c r="AF45">
        <v>1</v>
      </c>
      <c r="AG45" s="20">
        <v>42825</v>
      </c>
      <c r="AH45" s="20">
        <v>41974</v>
      </c>
    </row>
    <row r="46" spans="1:34" ht="18.75" x14ac:dyDescent="0.3">
      <c r="A46" s="12" t="s">
        <v>393</v>
      </c>
      <c r="B46" s="13">
        <v>0</v>
      </c>
      <c r="C46" s="11">
        <v>0</v>
      </c>
      <c r="D46" s="13">
        <v>0</v>
      </c>
      <c r="E46">
        <f t="shared" si="0"/>
        <v>0</v>
      </c>
      <c r="F46">
        <f t="shared" si="1"/>
        <v>0</v>
      </c>
      <c r="G46" s="13">
        <v>0</v>
      </c>
      <c r="H46" s="13">
        <v>0</v>
      </c>
      <c r="I46" s="13">
        <v>0</v>
      </c>
      <c r="J46" s="13">
        <v>1</v>
      </c>
      <c r="K46" s="13">
        <v>0</v>
      </c>
      <c r="L46" s="13">
        <v>0</v>
      </c>
      <c r="M46" s="13">
        <v>0</v>
      </c>
      <c r="N46" s="13">
        <v>0</v>
      </c>
      <c r="O46">
        <v>72</v>
      </c>
      <c r="Q46" s="26" t="s">
        <v>2741</v>
      </c>
      <c r="AD46">
        <v>0</v>
      </c>
      <c r="AE46">
        <v>0</v>
      </c>
      <c r="AF46">
        <v>1</v>
      </c>
      <c r="AG46" s="19">
        <v>44196</v>
      </c>
      <c r="AH46" s="19">
        <v>41974</v>
      </c>
    </row>
    <row r="47" spans="1:34" ht="15.75" thickBot="1" x14ac:dyDescent="0.3">
      <c r="A47" s="15" t="s">
        <v>399</v>
      </c>
      <c r="B47" s="16">
        <v>0</v>
      </c>
      <c r="C47" s="14">
        <v>0</v>
      </c>
      <c r="D47" s="16">
        <v>0</v>
      </c>
      <c r="E47">
        <f t="shared" si="0"/>
        <v>0</v>
      </c>
      <c r="F47">
        <f t="shared" si="1"/>
        <v>0</v>
      </c>
      <c r="G47" s="16">
        <v>0</v>
      </c>
      <c r="H47" s="16">
        <v>1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>
        <v>56</v>
      </c>
      <c r="AD47">
        <v>0</v>
      </c>
      <c r="AE47">
        <v>0</v>
      </c>
      <c r="AF47">
        <v>1</v>
      </c>
      <c r="AG47" s="20">
        <v>43738</v>
      </c>
      <c r="AH47" s="20">
        <v>41974</v>
      </c>
    </row>
    <row r="48" spans="1:34" x14ac:dyDescent="0.25">
      <c r="A48" s="12" t="s">
        <v>401</v>
      </c>
      <c r="B48" s="13">
        <v>0</v>
      </c>
      <c r="C48" s="11">
        <v>0</v>
      </c>
      <c r="D48" s="13">
        <v>0</v>
      </c>
      <c r="E48">
        <f t="shared" si="0"/>
        <v>0</v>
      </c>
      <c r="F48">
        <f t="shared" si="1"/>
        <v>0</v>
      </c>
      <c r="G48" s="13">
        <v>0</v>
      </c>
      <c r="H48" s="13">
        <v>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>
        <v>72</v>
      </c>
      <c r="Q48" s="25" t="s">
        <v>2718</v>
      </c>
      <c r="R48" s="25"/>
      <c r="AD48">
        <v>0</v>
      </c>
      <c r="AE48">
        <v>0</v>
      </c>
      <c r="AF48">
        <v>1</v>
      </c>
      <c r="AG48" s="19">
        <v>44196</v>
      </c>
      <c r="AH48" s="19">
        <v>41974</v>
      </c>
    </row>
    <row r="49" spans="1:34" x14ac:dyDescent="0.25">
      <c r="A49" s="15" t="s">
        <v>411</v>
      </c>
      <c r="B49" s="16">
        <v>0</v>
      </c>
      <c r="C49" s="14">
        <v>0</v>
      </c>
      <c r="D49" s="16">
        <v>0</v>
      </c>
      <c r="E49">
        <f t="shared" si="0"/>
        <v>0</v>
      </c>
      <c r="F49">
        <f t="shared" si="1"/>
        <v>0</v>
      </c>
      <c r="G49" s="16">
        <v>0</v>
      </c>
      <c r="H49" s="16">
        <v>1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>
        <v>51</v>
      </c>
      <c r="Q49" t="s">
        <v>2719</v>
      </c>
      <c r="R49">
        <v>0.18101844013212356</v>
      </c>
      <c r="AD49">
        <v>0</v>
      </c>
      <c r="AE49">
        <v>0</v>
      </c>
      <c r="AF49">
        <v>1</v>
      </c>
      <c r="AG49" s="20">
        <v>43555</v>
      </c>
      <c r="AH49" s="20">
        <v>41974</v>
      </c>
    </row>
    <row r="50" spans="1:34" x14ac:dyDescent="0.25">
      <c r="A50" s="12" t="s">
        <v>425</v>
      </c>
      <c r="B50" s="13">
        <v>0</v>
      </c>
      <c r="C50" s="11">
        <v>0</v>
      </c>
      <c r="D50" s="13">
        <v>0</v>
      </c>
      <c r="E50">
        <f t="shared" si="0"/>
        <v>0</v>
      </c>
      <c r="F50">
        <f t="shared" si="1"/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1</v>
      </c>
      <c r="O50">
        <v>48</v>
      </c>
      <c r="Q50" t="s">
        <v>2720</v>
      </c>
      <c r="R50">
        <v>3.2767675667867202E-2</v>
      </c>
      <c r="AD50">
        <v>0</v>
      </c>
      <c r="AE50">
        <v>0</v>
      </c>
      <c r="AF50">
        <v>1</v>
      </c>
      <c r="AG50" s="19">
        <v>43465</v>
      </c>
      <c r="AH50" s="19">
        <v>41974</v>
      </c>
    </row>
    <row r="51" spans="1:34" x14ac:dyDescent="0.25">
      <c r="A51" s="12" t="s">
        <v>437</v>
      </c>
      <c r="B51" s="13">
        <v>0</v>
      </c>
      <c r="C51" s="11">
        <v>0</v>
      </c>
      <c r="D51" s="13">
        <v>0</v>
      </c>
      <c r="E51">
        <f t="shared" si="0"/>
        <v>0</v>
      </c>
      <c r="F51">
        <f t="shared" si="1"/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1</v>
      </c>
      <c r="O51">
        <v>40</v>
      </c>
      <c r="Q51" t="s">
        <v>2721</v>
      </c>
      <c r="R51">
        <v>1.4431517860622979E-2</v>
      </c>
      <c r="AD51">
        <v>0</v>
      </c>
      <c r="AE51">
        <v>0</v>
      </c>
      <c r="AF51">
        <v>1</v>
      </c>
      <c r="AG51" s="19">
        <v>43281</v>
      </c>
      <c r="AH51" s="19">
        <v>41974</v>
      </c>
    </row>
    <row r="52" spans="1:34" x14ac:dyDescent="0.25">
      <c r="A52" s="15" t="s">
        <v>439</v>
      </c>
      <c r="B52" s="16">
        <v>0</v>
      </c>
      <c r="C52" s="14">
        <v>0</v>
      </c>
      <c r="D52" s="16">
        <v>0</v>
      </c>
      <c r="E52">
        <f t="shared" si="0"/>
        <v>0</v>
      </c>
      <c r="F52">
        <f t="shared" si="1"/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</v>
      </c>
      <c r="O52">
        <v>35</v>
      </c>
      <c r="Q52" t="s">
        <v>2722</v>
      </c>
      <c r="R52">
        <v>28.740288461921132</v>
      </c>
      <c r="AD52">
        <v>0</v>
      </c>
      <c r="AE52">
        <v>0</v>
      </c>
      <c r="AF52">
        <v>1</v>
      </c>
      <c r="AG52" s="20">
        <v>43100</v>
      </c>
      <c r="AH52" s="20">
        <v>41974</v>
      </c>
    </row>
    <row r="53" spans="1:34" ht="15.75" thickBot="1" x14ac:dyDescent="0.3">
      <c r="A53" s="12" t="s">
        <v>445</v>
      </c>
      <c r="B53" s="13">
        <v>0</v>
      </c>
      <c r="C53" s="11">
        <v>0</v>
      </c>
      <c r="D53" s="13">
        <v>0</v>
      </c>
      <c r="E53">
        <f t="shared" si="0"/>
        <v>0</v>
      </c>
      <c r="F53">
        <f t="shared" si="1"/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>
        <v>57</v>
      </c>
      <c r="Q53" s="23" t="s">
        <v>2723</v>
      </c>
      <c r="R53" s="23">
        <v>216</v>
      </c>
      <c r="AD53">
        <v>0</v>
      </c>
      <c r="AE53">
        <v>0</v>
      </c>
      <c r="AF53">
        <v>1</v>
      </c>
      <c r="AG53" s="19">
        <v>43738</v>
      </c>
      <c r="AH53" s="19">
        <v>41974</v>
      </c>
    </row>
    <row r="54" spans="1:34" x14ac:dyDescent="0.25">
      <c r="A54" s="12" t="s">
        <v>457</v>
      </c>
      <c r="B54" s="13">
        <v>0</v>
      </c>
      <c r="C54" s="11">
        <v>0</v>
      </c>
      <c r="D54" s="13">
        <v>0</v>
      </c>
      <c r="E54">
        <f t="shared" si="0"/>
        <v>0</v>
      </c>
      <c r="F54">
        <f t="shared" si="1"/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1</v>
      </c>
      <c r="O54">
        <v>69</v>
      </c>
      <c r="AD54">
        <v>0</v>
      </c>
      <c r="AE54">
        <v>0</v>
      </c>
      <c r="AF54">
        <v>1</v>
      </c>
      <c r="AG54" s="19">
        <v>44104</v>
      </c>
      <c r="AH54" s="19">
        <v>41974</v>
      </c>
    </row>
    <row r="55" spans="1:34" ht="15.75" thickBot="1" x14ac:dyDescent="0.3">
      <c r="A55" s="15" t="s">
        <v>463</v>
      </c>
      <c r="B55" s="16">
        <v>0</v>
      </c>
      <c r="C55" s="14">
        <v>0</v>
      </c>
      <c r="D55" s="16">
        <v>0</v>
      </c>
      <c r="E55">
        <f t="shared" si="0"/>
        <v>0</v>
      </c>
      <c r="F55">
        <f t="shared" si="1"/>
        <v>0</v>
      </c>
      <c r="G55" s="16">
        <v>0</v>
      </c>
      <c r="H55" s="16">
        <v>1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>
        <v>96</v>
      </c>
      <c r="Q55" t="s">
        <v>2724</v>
      </c>
      <c r="AD55">
        <v>0</v>
      </c>
      <c r="AE55">
        <v>0</v>
      </c>
      <c r="AF55">
        <v>1</v>
      </c>
      <c r="AG55" s="20">
        <v>44926</v>
      </c>
      <c r="AH55" s="20">
        <v>41974</v>
      </c>
    </row>
    <row r="56" spans="1:34" x14ac:dyDescent="0.25">
      <c r="A56" s="12" t="s">
        <v>477</v>
      </c>
      <c r="B56" s="13">
        <v>0</v>
      </c>
      <c r="C56" s="11">
        <v>0</v>
      </c>
      <c r="D56" s="13">
        <v>0</v>
      </c>
      <c r="E56">
        <f t="shared" si="0"/>
        <v>0</v>
      </c>
      <c r="F56">
        <f t="shared" si="1"/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1</v>
      </c>
      <c r="M56" s="13">
        <v>0</v>
      </c>
      <c r="N56" s="13">
        <v>0</v>
      </c>
      <c r="O56">
        <v>12</v>
      </c>
      <c r="Q56" s="24"/>
      <c r="R56" s="24" t="s">
        <v>2729</v>
      </c>
      <c r="S56" s="24" t="s">
        <v>2730</v>
      </c>
      <c r="T56" s="24" t="s">
        <v>2731</v>
      </c>
      <c r="U56" s="24" t="s">
        <v>2732</v>
      </c>
      <c r="V56" s="24" t="s">
        <v>2733</v>
      </c>
      <c r="AD56">
        <v>0</v>
      </c>
      <c r="AE56">
        <v>0</v>
      </c>
      <c r="AF56">
        <v>1</v>
      </c>
      <c r="AG56" s="19">
        <v>42369</v>
      </c>
      <c r="AH56" s="19">
        <v>41974</v>
      </c>
    </row>
    <row r="57" spans="1:34" x14ac:dyDescent="0.25">
      <c r="A57" s="15" t="s">
        <v>479</v>
      </c>
      <c r="B57" s="16">
        <v>0</v>
      </c>
      <c r="C57" s="14">
        <v>0</v>
      </c>
      <c r="D57" s="16">
        <v>0</v>
      </c>
      <c r="E57">
        <f t="shared" si="0"/>
        <v>0</v>
      </c>
      <c r="F57">
        <f t="shared" si="1"/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1</v>
      </c>
      <c r="O57">
        <v>47</v>
      </c>
      <c r="Q57" t="s">
        <v>2725</v>
      </c>
      <c r="R57">
        <v>4</v>
      </c>
      <c r="S57">
        <v>5904.4511688272178</v>
      </c>
      <c r="T57">
        <v>1476.1127922068044</v>
      </c>
      <c r="U57">
        <v>1.7870524464466266</v>
      </c>
      <c r="V57">
        <v>0.13259930424157279</v>
      </c>
      <c r="AD57">
        <v>0</v>
      </c>
      <c r="AE57">
        <v>0</v>
      </c>
      <c r="AF57">
        <v>1</v>
      </c>
      <c r="AG57" s="20">
        <v>43465</v>
      </c>
      <c r="AH57" s="20">
        <v>41974</v>
      </c>
    </row>
    <row r="58" spans="1:34" x14ac:dyDescent="0.25">
      <c r="A58" s="12" t="s">
        <v>481</v>
      </c>
      <c r="B58" s="13">
        <v>0</v>
      </c>
      <c r="C58" s="11">
        <v>0</v>
      </c>
      <c r="D58" s="13">
        <v>0</v>
      </c>
      <c r="E58">
        <f t="shared" si="0"/>
        <v>0</v>
      </c>
      <c r="F58">
        <f t="shared" si="1"/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0</v>
      </c>
      <c r="M58" s="13">
        <v>0</v>
      </c>
      <c r="N58" s="13">
        <v>0</v>
      </c>
      <c r="O58">
        <v>96</v>
      </c>
      <c r="Q58" t="s">
        <v>2726</v>
      </c>
      <c r="R58">
        <v>211</v>
      </c>
      <c r="S58">
        <v>174286.88216450621</v>
      </c>
      <c r="T58">
        <v>826.004180874437</v>
      </c>
      <c r="AD58">
        <v>0</v>
      </c>
      <c r="AE58">
        <v>0</v>
      </c>
      <c r="AF58">
        <v>1</v>
      </c>
      <c r="AG58" s="19">
        <v>44926</v>
      </c>
      <c r="AH58" s="19">
        <v>41974</v>
      </c>
    </row>
    <row r="59" spans="1:34" ht="15.75" thickBot="1" x14ac:dyDescent="0.3">
      <c r="A59" s="12" t="s">
        <v>489</v>
      </c>
      <c r="B59" s="13">
        <v>0</v>
      </c>
      <c r="C59" s="11">
        <v>0</v>
      </c>
      <c r="D59" s="13">
        <v>0</v>
      </c>
      <c r="E59">
        <f t="shared" si="0"/>
        <v>0</v>
      </c>
      <c r="F59">
        <f t="shared" si="1"/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0</v>
      </c>
      <c r="N59" s="13">
        <v>0</v>
      </c>
      <c r="O59">
        <v>60</v>
      </c>
      <c r="Q59" s="23" t="s">
        <v>2727</v>
      </c>
      <c r="R59" s="23">
        <v>215</v>
      </c>
      <c r="S59" s="23">
        <v>180191.33333333343</v>
      </c>
      <c r="T59" s="23"/>
      <c r="U59" s="23"/>
      <c r="V59" s="23"/>
      <c r="AD59">
        <v>0</v>
      </c>
      <c r="AE59">
        <v>0</v>
      </c>
      <c r="AF59">
        <v>1</v>
      </c>
      <c r="AG59" s="19">
        <v>43830</v>
      </c>
      <c r="AH59" s="19">
        <v>41974</v>
      </c>
    </row>
    <row r="60" spans="1:34" ht="15.75" thickBot="1" x14ac:dyDescent="0.3">
      <c r="A60" s="12" t="s">
        <v>15</v>
      </c>
      <c r="B60" s="13">
        <v>0</v>
      </c>
      <c r="C60" s="11">
        <v>0</v>
      </c>
      <c r="D60" s="13">
        <v>0</v>
      </c>
      <c r="E60">
        <f t="shared" si="0"/>
        <v>0</v>
      </c>
      <c r="F60">
        <f t="shared" si="1"/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1</v>
      </c>
      <c r="O60">
        <v>97</v>
      </c>
      <c r="AD60">
        <v>0</v>
      </c>
      <c r="AE60">
        <v>0</v>
      </c>
      <c r="AF60">
        <v>1</v>
      </c>
      <c r="AG60" s="19">
        <v>45016</v>
      </c>
      <c r="AH60" s="19">
        <v>41974</v>
      </c>
    </row>
    <row r="61" spans="1:34" x14ac:dyDescent="0.25">
      <c r="A61" s="12" t="s">
        <v>17</v>
      </c>
      <c r="B61" s="13">
        <v>0</v>
      </c>
      <c r="C61" s="11">
        <v>0</v>
      </c>
      <c r="D61" s="13">
        <v>0</v>
      </c>
      <c r="E61">
        <f t="shared" si="0"/>
        <v>0</v>
      </c>
      <c r="F61">
        <f t="shared" si="1"/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1</v>
      </c>
      <c r="O61">
        <v>102</v>
      </c>
      <c r="Q61" s="24"/>
      <c r="R61" s="24" t="s">
        <v>2734</v>
      </c>
      <c r="S61" s="24" t="s">
        <v>2722</v>
      </c>
      <c r="T61" s="24" t="s">
        <v>2735</v>
      </c>
      <c r="U61" s="24" t="s">
        <v>2736</v>
      </c>
      <c r="V61" s="24" t="s">
        <v>2737</v>
      </c>
      <c r="W61" s="24" t="s">
        <v>2738</v>
      </c>
      <c r="X61" s="24" t="s">
        <v>2739</v>
      </c>
      <c r="Y61" s="24" t="s">
        <v>2740</v>
      </c>
      <c r="AD61">
        <v>0</v>
      </c>
      <c r="AE61">
        <v>0</v>
      </c>
      <c r="AF61">
        <v>1</v>
      </c>
      <c r="AG61" s="19">
        <v>45107</v>
      </c>
      <c r="AH61" s="19">
        <v>41974</v>
      </c>
    </row>
    <row r="62" spans="1:34" x14ac:dyDescent="0.25">
      <c r="A62" s="15" t="s">
        <v>524</v>
      </c>
      <c r="B62" s="16">
        <v>0</v>
      </c>
      <c r="C62" s="14">
        <v>0</v>
      </c>
      <c r="D62" s="16">
        <v>0</v>
      </c>
      <c r="E62">
        <f t="shared" si="0"/>
        <v>0</v>
      </c>
      <c r="F62">
        <f t="shared" si="1"/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1</v>
      </c>
      <c r="O62">
        <v>96</v>
      </c>
      <c r="Q62" t="s">
        <v>2728</v>
      </c>
      <c r="R62">
        <v>49.235712213519029</v>
      </c>
      <c r="S62">
        <v>3.3760029552455446</v>
      </c>
      <c r="T62">
        <v>14.584025211535398</v>
      </c>
      <c r="U62">
        <v>8.8051237608263598E-34</v>
      </c>
      <c r="V62">
        <v>42.580696686870169</v>
      </c>
      <c r="W62">
        <v>55.89072774016789</v>
      </c>
      <c r="X62">
        <v>42.580696686870169</v>
      </c>
      <c r="Y62">
        <v>55.89072774016789</v>
      </c>
      <c r="AD62">
        <v>0</v>
      </c>
      <c r="AE62">
        <v>0</v>
      </c>
      <c r="AF62">
        <v>1</v>
      </c>
      <c r="AG62" s="20">
        <v>44926</v>
      </c>
      <c r="AH62" s="20">
        <v>41974</v>
      </c>
    </row>
    <row r="63" spans="1:34" x14ac:dyDescent="0.25">
      <c r="A63" s="12" t="s">
        <v>538</v>
      </c>
      <c r="B63" s="13">
        <v>0</v>
      </c>
      <c r="C63" s="11">
        <v>1</v>
      </c>
      <c r="D63" s="13">
        <v>1</v>
      </c>
      <c r="E63">
        <f t="shared" si="0"/>
        <v>0</v>
      </c>
      <c r="F63">
        <f t="shared" si="1"/>
        <v>0</v>
      </c>
      <c r="G63" s="13">
        <v>0</v>
      </c>
      <c r="H63" s="13">
        <v>0</v>
      </c>
      <c r="I63" s="13">
        <v>1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>
        <v>69</v>
      </c>
      <c r="Q63" t="s">
        <v>2715</v>
      </c>
      <c r="R63">
        <v>14.820773212404426</v>
      </c>
      <c r="S63">
        <v>5.9075189963096504</v>
      </c>
      <c r="T63">
        <v>2.5087982318233371</v>
      </c>
      <c r="U63">
        <v>1.2866481195989935E-2</v>
      </c>
      <c r="V63">
        <v>3.1754544240047444</v>
      </c>
      <c r="W63">
        <v>26.466092000804107</v>
      </c>
      <c r="X63">
        <v>3.1754544240047444</v>
      </c>
      <c r="Y63">
        <v>26.466092000804107</v>
      </c>
      <c r="AD63">
        <v>0</v>
      </c>
      <c r="AE63">
        <v>1</v>
      </c>
      <c r="AF63">
        <v>0</v>
      </c>
      <c r="AG63" s="19">
        <v>43799</v>
      </c>
      <c r="AH63" s="19">
        <v>41671</v>
      </c>
    </row>
    <row r="64" spans="1:34" x14ac:dyDescent="0.25">
      <c r="A64" s="15" t="s">
        <v>548</v>
      </c>
      <c r="B64" s="16">
        <v>0</v>
      </c>
      <c r="C64" s="14">
        <v>1</v>
      </c>
      <c r="D64" s="16">
        <v>1</v>
      </c>
      <c r="E64">
        <f t="shared" si="0"/>
        <v>0</v>
      </c>
      <c r="F64">
        <f t="shared" si="1"/>
        <v>0</v>
      </c>
      <c r="G64" s="16">
        <v>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>
        <v>58</v>
      </c>
      <c r="Q64" t="s">
        <v>2714</v>
      </c>
      <c r="R64">
        <v>-20.229997098926646</v>
      </c>
      <c r="S64">
        <v>20.515504218551786</v>
      </c>
      <c r="T64">
        <v>-0.9860833486428785</v>
      </c>
      <c r="U64">
        <v>0.32522159822034402</v>
      </c>
      <c r="V64">
        <v>-60.671608353843936</v>
      </c>
      <c r="W64">
        <v>20.211614155990645</v>
      </c>
      <c r="X64">
        <v>-60.671608353843936</v>
      </c>
      <c r="Y64">
        <v>20.211614155990645</v>
      </c>
      <c r="AD64">
        <v>0</v>
      </c>
      <c r="AE64">
        <v>1</v>
      </c>
      <c r="AF64">
        <v>0</v>
      </c>
      <c r="AG64" s="20">
        <v>43524</v>
      </c>
      <c r="AH64" s="20">
        <v>41730</v>
      </c>
    </row>
    <row r="65" spans="1:34" x14ac:dyDescent="0.25">
      <c r="A65" s="15" t="s">
        <v>235</v>
      </c>
      <c r="B65" s="16">
        <v>0</v>
      </c>
      <c r="C65" s="14">
        <v>1</v>
      </c>
      <c r="D65" s="16">
        <v>1</v>
      </c>
      <c r="E65">
        <f t="shared" si="0"/>
        <v>0</v>
      </c>
      <c r="F65">
        <f t="shared" si="1"/>
        <v>0</v>
      </c>
      <c r="G65" s="16">
        <v>0</v>
      </c>
      <c r="H65" s="16">
        <v>0</v>
      </c>
      <c r="I65" s="16">
        <v>1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>
        <v>117</v>
      </c>
      <c r="Q65" t="s">
        <v>2716</v>
      </c>
      <c r="R65">
        <v>9.7700029010733633</v>
      </c>
      <c r="S65">
        <v>20.515504218551786</v>
      </c>
      <c r="T65">
        <v>0.47622533655490334</v>
      </c>
      <c r="U65">
        <v>0.63440659396232557</v>
      </c>
      <c r="V65">
        <v>-30.671608353843929</v>
      </c>
      <c r="W65">
        <v>50.211614155990652</v>
      </c>
      <c r="X65">
        <v>-30.671608353843929</v>
      </c>
      <c r="Y65">
        <v>50.211614155990652</v>
      </c>
      <c r="AD65">
        <v>0</v>
      </c>
      <c r="AE65">
        <v>1</v>
      </c>
      <c r="AF65">
        <v>0</v>
      </c>
      <c r="AG65" s="20">
        <v>45382</v>
      </c>
      <c r="AH65" s="20">
        <v>41791</v>
      </c>
    </row>
    <row r="66" spans="1:34" ht="15.75" thickBot="1" x14ac:dyDescent="0.3">
      <c r="A66" s="15" t="s">
        <v>554</v>
      </c>
      <c r="B66" s="16">
        <v>1</v>
      </c>
      <c r="C66" s="14">
        <v>1</v>
      </c>
      <c r="D66" s="16">
        <v>1</v>
      </c>
      <c r="E66">
        <f t="shared" si="0"/>
        <v>0</v>
      </c>
      <c r="F66">
        <f t="shared" si="1"/>
        <v>0</v>
      </c>
      <c r="G66" s="16">
        <v>0</v>
      </c>
      <c r="H66" s="16">
        <v>0</v>
      </c>
      <c r="I66" s="16">
        <v>1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>
        <v>59</v>
      </c>
      <c r="Q66" s="23" t="s">
        <v>32</v>
      </c>
      <c r="R66" s="23">
        <v>0.96556425877573038</v>
      </c>
      <c r="S66" s="23">
        <v>5.3391917988646753</v>
      </c>
      <c r="T66" s="23">
        <v>0.18084464749534709</v>
      </c>
      <c r="U66" s="23">
        <v>0.85666310246361199</v>
      </c>
      <c r="V66" s="23">
        <v>-9.5594278079496071</v>
      </c>
      <c r="W66" s="23">
        <v>11.490556325501068</v>
      </c>
      <c r="X66" s="23">
        <v>-9.5594278079496071</v>
      </c>
      <c r="Y66" s="23">
        <v>11.490556325501068</v>
      </c>
      <c r="AD66">
        <v>0</v>
      </c>
      <c r="AE66">
        <v>1</v>
      </c>
      <c r="AF66">
        <v>0</v>
      </c>
      <c r="AG66" s="20">
        <v>43708</v>
      </c>
      <c r="AH66" s="20">
        <v>41883</v>
      </c>
    </row>
    <row r="67" spans="1:34" x14ac:dyDescent="0.25">
      <c r="A67" s="12" t="s">
        <v>18</v>
      </c>
      <c r="B67" s="13">
        <v>1</v>
      </c>
      <c r="C67" s="11">
        <v>1</v>
      </c>
      <c r="D67" s="13">
        <v>1</v>
      </c>
      <c r="E67">
        <f t="shared" ref="E67:E130" si="2">IF($O67="Retail",1,0)</f>
        <v>0</v>
      </c>
      <c r="F67">
        <f t="shared" ref="F67:F130" si="3">IF($O67="Non-Retail",1,0)</f>
        <v>0</v>
      </c>
      <c r="G67" s="13">
        <v>0</v>
      </c>
      <c r="H67" s="13">
        <v>0</v>
      </c>
      <c r="I67" s="13">
        <v>1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>
        <v>114</v>
      </c>
      <c r="AD67">
        <v>0</v>
      </c>
      <c r="AE67">
        <v>1</v>
      </c>
      <c r="AF67">
        <v>0</v>
      </c>
      <c r="AG67" s="19">
        <v>45291</v>
      </c>
      <c r="AH67" s="19">
        <v>41791</v>
      </c>
    </row>
    <row r="68" spans="1:34" ht="18.75" x14ac:dyDescent="0.3">
      <c r="A68" s="15" t="s">
        <v>560</v>
      </c>
      <c r="B68" s="16">
        <v>1</v>
      </c>
      <c r="C68" s="14">
        <v>1</v>
      </c>
      <c r="D68" s="16">
        <v>1</v>
      </c>
      <c r="E68">
        <f t="shared" si="2"/>
        <v>0</v>
      </c>
      <c r="F68">
        <f t="shared" si="3"/>
        <v>0</v>
      </c>
      <c r="G68" s="16">
        <v>0</v>
      </c>
      <c r="H68" s="16">
        <v>0</v>
      </c>
      <c r="I68" s="16">
        <v>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>
        <v>62</v>
      </c>
      <c r="Q68" s="26" t="s">
        <v>2744</v>
      </c>
      <c r="AD68">
        <v>0</v>
      </c>
      <c r="AE68">
        <v>1</v>
      </c>
      <c r="AF68">
        <v>0</v>
      </c>
      <c r="AG68" s="20">
        <v>43799</v>
      </c>
      <c r="AH68" s="20">
        <v>41883</v>
      </c>
    </row>
    <row r="69" spans="1:34" ht="15.75" thickBot="1" x14ac:dyDescent="0.3">
      <c r="A69" s="12" t="s">
        <v>562</v>
      </c>
      <c r="B69" s="13">
        <v>0</v>
      </c>
      <c r="C69" s="11">
        <v>1</v>
      </c>
      <c r="D69" s="13">
        <v>1</v>
      </c>
      <c r="E69">
        <f t="shared" si="2"/>
        <v>0</v>
      </c>
      <c r="F69">
        <f t="shared" si="3"/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1</v>
      </c>
      <c r="N69" s="13">
        <v>0</v>
      </c>
      <c r="O69">
        <v>50</v>
      </c>
      <c r="AD69">
        <v>0</v>
      </c>
      <c r="AE69">
        <v>0</v>
      </c>
      <c r="AF69">
        <v>1</v>
      </c>
      <c r="AG69" s="19">
        <v>43404</v>
      </c>
      <c r="AH69" s="19">
        <v>41852</v>
      </c>
    </row>
    <row r="70" spans="1:34" x14ac:dyDescent="0.25">
      <c r="A70" s="12" t="s">
        <v>570</v>
      </c>
      <c r="B70" s="13">
        <v>0</v>
      </c>
      <c r="C70" s="11">
        <v>0</v>
      </c>
      <c r="D70" s="13">
        <v>0</v>
      </c>
      <c r="E70">
        <f t="shared" si="2"/>
        <v>0</v>
      </c>
      <c r="F70">
        <f t="shared" si="3"/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1</v>
      </c>
      <c r="N70" s="13">
        <v>0</v>
      </c>
      <c r="O70">
        <v>17</v>
      </c>
      <c r="Q70" s="25" t="s">
        <v>2718</v>
      </c>
      <c r="R70" s="25"/>
      <c r="AD70">
        <v>0</v>
      </c>
      <c r="AE70">
        <v>0</v>
      </c>
      <c r="AF70">
        <v>1</v>
      </c>
      <c r="AG70" s="19">
        <v>42521</v>
      </c>
      <c r="AH70" s="19">
        <v>41974</v>
      </c>
    </row>
    <row r="71" spans="1:34" x14ac:dyDescent="0.25">
      <c r="A71" s="12" t="s">
        <v>574</v>
      </c>
      <c r="B71" s="13">
        <v>1</v>
      </c>
      <c r="C71" s="11">
        <v>1</v>
      </c>
      <c r="D71" s="13">
        <v>1</v>
      </c>
      <c r="E71">
        <f t="shared" si="2"/>
        <v>0</v>
      </c>
      <c r="F71">
        <f t="shared" si="3"/>
        <v>0</v>
      </c>
      <c r="G71" s="13">
        <v>0</v>
      </c>
      <c r="H71" s="13">
        <v>0</v>
      </c>
      <c r="I71" s="13">
        <v>0</v>
      </c>
      <c r="J71" s="13">
        <v>0</v>
      </c>
      <c r="K71" s="13">
        <v>1</v>
      </c>
      <c r="L71" s="13">
        <v>0</v>
      </c>
      <c r="M71" s="13">
        <v>0</v>
      </c>
      <c r="N71" s="13">
        <v>0</v>
      </c>
      <c r="O71">
        <v>51</v>
      </c>
      <c r="Q71" t="s">
        <v>2719</v>
      </c>
      <c r="R71">
        <v>0.21372803269710605</v>
      </c>
      <c r="AD71">
        <v>0</v>
      </c>
      <c r="AE71">
        <v>1</v>
      </c>
      <c r="AF71">
        <v>0</v>
      </c>
      <c r="AG71" s="19">
        <v>43465</v>
      </c>
      <c r="AH71" s="19">
        <v>41883</v>
      </c>
    </row>
    <row r="72" spans="1:34" x14ac:dyDescent="0.25">
      <c r="A72" s="15" t="s">
        <v>576</v>
      </c>
      <c r="B72" s="16">
        <v>1</v>
      </c>
      <c r="C72" s="14">
        <v>1</v>
      </c>
      <c r="D72" s="16">
        <v>1</v>
      </c>
      <c r="E72">
        <f t="shared" si="2"/>
        <v>0</v>
      </c>
      <c r="F72">
        <f t="shared" si="3"/>
        <v>0</v>
      </c>
      <c r="G72" s="16">
        <v>0</v>
      </c>
      <c r="H72" s="16">
        <v>0</v>
      </c>
      <c r="I72" s="16">
        <v>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>
        <v>51</v>
      </c>
      <c r="Q72" t="s">
        <v>2720</v>
      </c>
      <c r="R72">
        <v>4.5679671960575235E-2</v>
      </c>
      <c r="AD72">
        <v>0</v>
      </c>
      <c r="AE72">
        <v>1</v>
      </c>
      <c r="AF72">
        <v>0</v>
      </c>
      <c r="AG72" s="20">
        <v>43465</v>
      </c>
      <c r="AH72" s="20">
        <v>41883</v>
      </c>
    </row>
    <row r="73" spans="1:34" x14ac:dyDescent="0.25">
      <c r="A73" s="15" t="s">
        <v>580</v>
      </c>
      <c r="B73" s="16">
        <v>1</v>
      </c>
      <c r="C73" s="14">
        <v>1</v>
      </c>
      <c r="D73" s="16">
        <v>1</v>
      </c>
      <c r="E73">
        <f t="shared" si="2"/>
        <v>0</v>
      </c>
      <c r="F73">
        <f t="shared" si="3"/>
        <v>0</v>
      </c>
      <c r="G73" s="16">
        <v>0</v>
      </c>
      <c r="H73" s="16">
        <v>0</v>
      </c>
      <c r="I73" s="16">
        <v>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>
        <v>73</v>
      </c>
      <c r="Q73" t="s">
        <v>2721</v>
      </c>
      <c r="R73">
        <v>2.7588291334235432E-2</v>
      </c>
      <c r="AD73">
        <v>0</v>
      </c>
      <c r="AE73">
        <v>1</v>
      </c>
      <c r="AF73">
        <v>0</v>
      </c>
      <c r="AG73" s="20">
        <v>44255</v>
      </c>
      <c r="AH73" s="20">
        <v>42005</v>
      </c>
    </row>
    <row r="74" spans="1:34" x14ac:dyDescent="0.25">
      <c r="A74" s="15" t="s">
        <v>584</v>
      </c>
      <c r="B74" s="16">
        <v>1</v>
      </c>
      <c r="C74" s="14">
        <v>1</v>
      </c>
      <c r="D74" s="16">
        <v>1</v>
      </c>
      <c r="E74">
        <f t="shared" si="2"/>
        <v>0</v>
      </c>
      <c r="F74">
        <f t="shared" si="3"/>
        <v>0</v>
      </c>
      <c r="G74" s="16">
        <v>0</v>
      </c>
      <c r="H74" s="16">
        <v>0</v>
      </c>
      <c r="I74" s="16">
        <v>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>
        <v>47</v>
      </c>
      <c r="Q74" t="s">
        <v>2722</v>
      </c>
      <c r="R74">
        <v>28.547810760638928</v>
      </c>
      <c r="AD74">
        <v>0</v>
      </c>
      <c r="AE74">
        <v>1</v>
      </c>
      <c r="AF74">
        <v>0</v>
      </c>
      <c r="AG74" s="20">
        <v>43434</v>
      </c>
      <c r="AH74" s="20">
        <v>41974</v>
      </c>
    </row>
    <row r="75" spans="1:34" ht="15.75" thickBot="1" x14ac:dyDescent="0.3">
      <c r="A75" s="12" t="s">
        <v>586</v>
      </c>
      <c r="B75" s="13">
        <v>1</v>
      </c>
      <c r="C75" s="11">
        <v>1</v>
      </c>
      <c r="D75" s="13">
        <v>1</v>
      </c>
      <c r="E75">
        <f t="shared" si="2"/>
        <v>0</v>
      </c>
      <c r="F75">
        <f t="shared" si="3"/>
        <v>0</v>
      </c>
      <c r="G75" s="13">
        <v>0</v>
      </c>
      <c r="H75" s="13">
        <v>0</v>
      </c>
      <c r="I75" s="13">
        <v>1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>
        <v>45</v>
      </c>
      <c r="Q75" s="23" t="s">
        <v>2723</v>
      </c>
      <c r="R75" s="23">
        <v>216</v>
      </c>
      <c r="AD75">
        <v>0</v>
      </c>
      <c r="AE75">
        <v>1</v>
      </c>
      <c r="AF75">
        <v>0</v>
      </c>
      <c r="AG75" s="19">
        <v>43465</v>
      </c>
      <c r="AH75" s="19">
        <v>42064</v>
      </c>
    </row>
    <row r="76" spans="1:34" x14ac:dyDescent="0.25">
      <c r="A76" s="15" t="s">
        <v>588</v>
      </c>
      <c r="B76" s="16">
        <v>0</v>
      </c>
      <c r="C76" s="14">
        <v>0</v>
      </c>
      <c r="D76" s="16">
        <v>0</v>
      </c>
      <c r="E76">
        <f t="shared" si="2"/>
        <v>0</v>
      </c>
      <c r="F76">
        <f t="shared" si="3"/>
        <v>0</v>
      </c>
      <c r="G76" s="16">
        <v>0</v>
      </c>
      <c r="H76" s="16">
        <v>1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>
        <v>39</v>
      </c>
      <c r="AD76">
        <v>0</v>
      </c>
      <c r="AE76">
        <v>0</v>
      </c>
      <c r="AF76">
        <v>1</v>
      </c>
      <c r="AG76" s="20">
        <v>43190</v>
      </c>
      <c r="AH76" s="20">
        <v>41974</v>
      </c>
    </row>
    <row r="77" spans="1:34" ht="15.75" thickBot="1" x14ac:dyDescent="0.3">
      <c r="A77" s="12" t="s">
        <v>598</v>
      </c>
      <c r="B77" s="13">
        <v>0</v>
      </c>
      <c r="C77" s="11">
        <v>1</v>
      </c>
      <c r="D77" s="13">
        <v>1</v>
      </c>
      <c r="E77">
        <f t="shared" si="2"/>
        <v>0</v>
      </c>
      <c r="F77">
        <f t="shared" si="3"/>
        <v>0</v>
      </c>
      <c r="G77" s="13">
        <v>1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>
        <v>83</v>
      </c>
      <c r="Q77" t="s">
        <v>2724</v>
      </c>
      <c r="AD77">
        <v>0</v>
      </c>
      <c r="AE77">
        <v>1</v>
      </c>
      <c r="AF77">
        <v>0</v>
      </c>
      <c r="AG77" s="19">
        <v>44439</v>
      </c>
      <c r="AH77" s="19">
        <v>41883</v>
      </c>
    </row>
    <row r="78" spans="1:34" x14ac:dyDescent="0.25">
      <c r="A78" s="15" t="s">
        <v>604</v>
      </c>
      <c r="B78" s="16">
        <v>1</v>
      </c>
      <c r="C78" s="14">
        <v>1</v>
      </c>
      <c r="D78" s="16">
        <v>1</v>
      </c>
      <c r="E78">
        <f t="shared" si="2"/>
        <v>0</v>
      </c>
      <c r="F78">
        <f t="shared" si="3"/>
        <v>0</v>
      </c>
      <c r="G78" s="16">
        <v>0</v>
      </c>
      <c r="H78" s="16">
        <v>0</v>
      </c>
      <c r="I78" s="16">
        <v>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>
        <v>84</v>
      </c>
      <c r="Q78" s="24"/>
      <c r="R78" s="24" t="s">
        <v>2729</v>
      </c>
      <c r="S78" s="24" t="s">
        <v>2730</v>
      </c>
      <c r="T78" s="24" t="s">
        <v>2731</v>
      </c>
      <c r="U78" s="24" t="s">
        <v>2732</v>
      </c>
      <c r="V78" s="24" t="s">
        <v>2733</v>
      </c>
      <c r="AD78">
        <v>0</v>
      </c>
      <c r="AE78">
        <v>1</v>
      </c>
      <c r="AF78">
        <v>0</v>
      </c>
      <c r="AG78" s="20">
        <v>44530</v>
      </c>
      <c r="AH78" s="20">
        <v>41944</v>
      </c>
    </row>
    <row r="79" spans="1:34" x14ac:dyDescent="0.25">
      <c r="A79" s="15" t="s">
        <v>614</v>
      </c>
      <c r="B79" s="16">
        <v>0</v>
      </c>
      <c r="C79" s="14">
        <v>1</v>
      </c>
      <c r="D79" s="16">
        <v>1</v>
      </c>
      <c r="E79">
        <f t="shared" si="2"/>
        <v>0</v>
      </c>
      <c r="F79">
        <f t="shared" si="3"/>
        <v>0</v>
      </c>
      <c r="G79" s="16">
        <v>0</v>
      </c>
      <c r="H79" s="16">
        <v>0</v>
      </c>
      <c r="I79" s="16">
        <v>0</v>
      </c>
      <c r="J79" s="16">
        <v>1</v>
      </c>
      <c r="K79" s="16">
        <v>0</v>
      </c>
      <c r="L79" s="16">
        <v>0</v>
      </c>
      <c r="M79" s="16">
        <v>0</v>
      </c>
      <c r="N79" s="16">
        <v>0</v>
      </c>
      <c r="O79">
        <v>35</v>
      </c>
      <c r="Q79" t="s">
        <v>2725</v>
      </c>
      <c r="R79">
        <v>4</v>
      </c>
      <c r="S79">
        <v>8231.0809968053363</v>
      </c>
      <c r="T79">
        <v>2057.7702492013341</v>
      </c>
      <c r="U79">
        <v>2.5249411807780313</v>
      </c>
      <c r="V79">
        <v>4.1937171332730214E-2</v>
      </c>
      <c r="AD79">
        <v>0</v>
      </c>
      <c r="AE79">
        <v>0</v>
      </c>
      <c r="AF79">
        <v>1</v>
      </c>
      <c r="AG79" s="20">
        <v>43039</v>
      </c>
      <c r="AH79" s="20">
        <v>41944</v>
      </c>
    </row>
    <row r="80" spans="1:34" x14ac:dyDescent="0.25">
      <c r="A80" s="12" t="s">
        <v>624</v>
      </c>
      <c r="B80" s="13">
        <v>0</v>
      </c>
      <c r="C80" s="11">
        <v>0</v>
      </c>
      <c r="D80" s="13">
        <v>0</v>
      </c>
      <c r="E80">
        <f t="shared" si="2"/>
        <v>0</v>
      </c>
      <c r="F80">
        <f t="shared" si="3"/>
        <v>0</v>
      </c>
      <c r="G80" s="13">
        <v>0</v>
      </c>
      <c r="H80" s="13">
        <v>1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>
        <v>57</v>
      </c>
      <c r="Q80" t="s">
        <v>2726</v>
      </c>
      <c r="R80">
        <v>211</v>
      </c>
      <c r="S80">
        <v>171960.25233652809</v>
      </c>
      <c r="T80">
        <v>814.97749922525168</v>
      </c>
      <c r="AD80">
        <v>0</v>
      </c>
      <c r="AE80">
        <v>0</v>
      </c>
      <c r="AF80">
        <v>1</v>
      </c>
      <c r="AG80" s="19">
        <v>43738</v>
      </c>
      <c r="AH80" s="19">
        <v>41974</v>
      </c>
    </row>
    <row r="81" spans="1:34" ht="15.75" thickBot="1" x14ac:dyDescent="0.3">
      <c r="A81" s="12" t="s">
        <v>628</v>
      </c>
      <c r="B81" s="13">
        <v>0</v>
      </c>
      <c r="C81" s="11">
        <v>0</v>
      </c>
      <c r="D81" s="13">
        <v>0</v>
      </c>
      <c r="E81">
        <f t="shared" si="2"/>
        <v>0</v>
      </c>
      <c r="F81">
        <f t="shared" si="3"/>
        <v>0</v>
      </c>
      <c r="G81" s="13">
        <v>0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>
        <v>62</v>
      </c>
      <c r="Q81" s="23" t="s">
        <v>2727</v>
      </c>
      <c r="R81" s="23">
        <v>215</v>
      </c>
      <c r="S81" s="23">
        <v>180191.33333333343</v>
      </c>
      <c r="T81" s="23"/>
      <c r="U81" s="23"/>
      <c r="V81" s="23"/>
      <c r="AD81">
        <v>0</v>
      </c>
      <c r="AE81">
        <v>0</v>
      </c>
      <c r="AF81">
        <v>1</v>
      </c>
      <c r="AG81" s="19">
        <v>43890</v>
      </c>
      <c r="AH81" s="19">
        <v>41974</v>
      </c>
    </row>
    <row r="82" spans="1:34" ht="15.75" thickBot="1" x14ac:dyDescent="0.3">
      <c r="A82" s="15" t="s">
        <v>27</v>
      </c>
      <c r="B82" s="16">
        <v>0</v>
      </c>
      <c r="C82" s="14">
        <v>0</v>
      </c>
      <c r="D82" s="16">
        <v>0</v>
      </c>
      <c r="E82">
        <f t="shared" si="2"/>
        <v>0</v>
      </c>
      <c r="F82">
        <f t="shared" si="3"/>
        <v>0</v>
      </c>
      <c r="G82" s="16">
        <v>0</v>
      </c>
      <c r="H82" s="16">
        <v>0</v>
      </c>
      <c r="I82" s="16">
        <v>0</v>
      </c>
      <c r="J82" s="16">
        <v>1</v>
      </c>
      <c r="K82" s="16">
        <v>0</v>
      </c>
      <c r="L82" s="16">
        <v>0</v>
      </c>
      <c r="M82" s="16">
        <v>0</v>
      </c>
      <c r="N82" s="16">
        <v>0</v>
      </c>
      <c r="O82">
        <v>102</v>
      </c>
      <c r="AD82">
        <v>0</v>
      </c>
      <c r="AE82">
        <v>0</v>
      </c>
      <c r="AF82">
        <v>1</v>
      </c>
      <c r="AG82" s="20">
        <v>45107</v>
      </c>
      <c r="AH82" s="20">
        <v>41974</v>
      </c>
    </row>
    <row r="83" spans="1:34" x14ac:dyDescent="0.25">
      <c r="A83" s="12" t="s">
        <v>634</v>
      </c>
      <c r="B83" s="13">
        <v>0</v>
      </c>
      <c r="C83" s="11">
        <v>1</v>
      </c>
      <c r="D83" s="13">
        <v>1</v>
      </c>
      <c r="E83">
        <f t="shared" si="2"/>
        <v>0</v>
      </c>
      <c r="F83">
        <f t="shared" si="3"/>
        <v>0</v>
      </c>
      <c r="G83" s="13">
        <v>0</v>
      </c>
      <c r="H83" s="13">
        <v>0</v>
      </c>
      <c r="I83" s="13">
        <v>1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>
        <v>89</v>
      </c>
      <c r="Q83" s="24"/>
      <c r="R83" s="24" t="s">
        <v>2734</v>
      </c>
      <c r="S83" s="24" t="s">
        <v>2722</v>
      </c>
      <c r="T83" s="24" t="s">
        <v>2735</v>
      </c>
      <c r="U83" s="24" t="s">
        <v>2736</v>
      </c>
      <c r="V83" s="24" t="s">
        <v>2737</v>
      </c>
      <c r="W83" s="24" t="s">
        <v>2738</v>
      </c>
      <c r="X83" s="24" t="s">
        <v>2739</v>
      </c>
      <c r="Y83" s="24" t="s">
        <v>2740</v>
      </c>
      <c r="AD83">
        <v>0</v>
      </c>
      <c r="AE83">
        <v>1</v>
      </c>
      <c r="AF83">
        <v>0</v>
      </c>
      <c r="AG83" s="19">
        <v>44773</v>
      </c>
      <c r="AH83" s="19">
        <v>42005</v>
      </c>
    </row>
    <row r="84" spans="1:34" x14ac:dyDescent="0.25">
      <c r="A84" s="12" t="s">
        <v>642</v>
      </c>
      <c r="B84" s="13">
        <v>0</v>
      </c>
      <c r="C84" s="11">
        <v>0</v>
      </c>
      <c r="D84" s="13">
        <v>0</v>
      </c>
      <c r="E84">
        <f t="shared" si="2"/>
        <v>0</v>
      </c>
      <c r="F84">
        <f t="shared" si="3"/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0</v>
      </c>
      <c r="N84" s="13">
        <v>0</v>
      </c>
      <c r="O84">
        <v>30</v>
      </c>
      <c r="Q84" t="s">
        <v>2728</v>
      </c>
      <c r="R84">
        <v>49.618567748059355</v>
      </c>
      <c r="S84">
        <v>2.6336954130414756</v>
      </c>
      <c r="T84">
        <v>18.839903620729721</v>
      </c>
      <c r="U84">
        <v>4.3028003536439179E-47</v>
      </c>
      <c r="V84">
        <v>44.426841289697862</v>
      </c>
      <c r="W84">
        <v>54.810294206420849</v>
      </c>
      <c r="X84">
        <v>44.426841289697862</v>
      </c>
      <c r="Y84">
        <v>54.810294206420849</v>
      </c>
      <c r="AD84">
        <v>0</v>
      </c>
      <c r="AE84">
        <v>0</v>
      </c>
      <c r="AF84">
        <v>1</v>
      </c>
      <c r="AG84" s="19">
        <v>42916</v>
      </c>
      <c r="AH84" s="19">
        <v>41974</v>
      </c>
    </row>
    <row r="85" spans="1:34" x14ac:dyDescent="0.25">
      <c r="A85" s="12" t="s">
        <v>674</v>
      </c>
      <c r="B85" s="13">
        <v>0</v>
      </c>
      <c r="C85" s="11">
        <v>0</v>
      </c>
      <c r="D85" s="13">
        <v>0</v>
      </c>
      <c r="E85">
        <f t="shared" si="2"/>
        <v>0</v>
      </c>
      <c r="F85">
        <f t="shared" si="3"/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0</v>
      </c>
      <c r="N85" s="13">
        <v>0</v>
      </c>
      <c r="O85">
        <v>39</v>
      </c>
      <c r="Q85" t="s">
        <v>2715</v>
      </c>
      <c r="R85">
        <v>11.433580082652886</v>
      </c>
      <c r="S85">
        <v>6.1927092115655835</v>
      </c>
      <c r="T85">
        <v>1.8462969424269728</v>
      </c>
      <c r="U85">
        <v>6.624977237588861E-2</v>
      </c>
      <c r="V85">
        <v>-0.77392580562109714</v>
      </c>
      <c r="W85">
        <v>23.64108597092687</v>
      </c>
      <c r="X85">
        <v>-0.77392580562109714</v>
      </c>
      <c r="Y85">
        <v>23.64108597092687</v>
      </c>
      <c r="AD85">
        <v>0</v>
      </c>
      <c r="AE85">
        <v>1</v>
      </c>
      <c r="AF85">
        <v>0</v>
      </c>
      <c r="AG85" s="19">
        <v>43251</v>
      </c>
      <c r="AH85" s="19">
        <v>41974</v>
      </c>
    </row>
    <row r="86" spans="1:34" x14ac:dyDescent="0.25">
      <c r="A86" s="15" t="s">
        <v>676</v>
      </c>
      <c r="B86" s="16">
        <v>0</v>
      </c>
      <c r="C86" s="14">
        <v>0</v>
      </c>
      <c r="D86" s="16">
        <v>0</v>
      </c>
      <c r="E86">
        <f t="shared" si="2"/>
        <v>0</v>
      </c>
      <c r="F86">
        <f t="shared" si="3"/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1</v>
      </c>
      <c r="M86" s="16">
        <v>0</v>
      </c>
      <c r="N86" s="16">
        <v>0</v>
      </c>
      <c r="O86">
        <v>87</v>
      </c>
      <c r="Q86" t="s">
        <v>2714</v>
      </c>
      <c r="R86">
        <v>-20.990994271000872</v>
      </c>
      <c r="S86">
        <v>20.357155417708331</v>
      </c>
      <c r="T86">
        <v>-1.0311359244593268</v>
      </c>
      <c r="U86">
        <v>0.30365756225075158</v>
      </c>
      <c r="V86">
        <v>-61.120457182978463</v>
      </c>
      <c r="W86">
        <v>19.138468640976718</v>
      </c>
      <c r="X86">
        <v>-61.120457182978463</v>
      </c>
      <c r="Y86">
        <v>19.138468640976718</v>
      </c>
      <c r="AD86">
        <v>0</v>
      </c>
      <c r="AE86">
        <v>1</v>
      </c>
      <c r="AF86">
        <v>0</v>
      </c>
      <c r="AG86" s="20">
        <v>44651</v>
      </c>
      <c r="AH86" s="20">
        <v>41974</v>
      </c>
    </row>
    <row r="87" spans="1:34" x14ac:dyDescent="0.25">
      <c r="A87" s="15" t="s">
        <v>680</v>
      </c>
      <c r="B87" s="16">
        <v>0</v>
      </c>
      <c r="C87" s="14">
        <v>0</v>
      </c>
      <c r="D87" s="16">
        <v>0</v>
      </c>
      <c r="E87">
        <f t="shared" si="2"/>
        <v>0</v>
      </c>
      <c r="F87">
        <f t="shared" si="3"/>
        <v>0</v>
      </c>
      <c r="G87" s="16">
        <v>0</v>
      </c>
      <c r="H87" s="16">
        <v>1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>
        <v>18</v>
      </c>
      <c r="Q87" t="s">
        <v>2716</v>
      </c>
      <c r="R87">
        <v>9.009005728999103</v>
      </c>
      <c r="S87">
        <v>20.357155417708334</v>
      </c>
      <c r="T87">
        <v>0.4425473767893095</v>
      </c>
      <c r="U87">
        <v>0.65854647099470087</v>
      </c>
      <c r="V87">
        <v>-31.120457182978495</v>
      </c>
      <c r="W87">
        <v>49.138468640976697</v>
      </c>
      <c r="X87">
        <v>-31.120457182978495</v>
      </c>
      <c r="Y87">
        <v>49.138468640976697</v>
      </c>
      <c r="AD87">
        <v>0</v>
      </c>
      <c r="AE87">
        <v>0</v>
      </c>
      <c r="AF87">
        <v>1</v>
      </c>
      <c r="AG87" s="20">
        <v>42551</v>
      </c>
      <c r="AH87" s="20">
        <v>41974</v>
      </c>
    </row>
    <row r="88" spans="1:34" ht="15.75" thickBot="1" x14ac:dyDescent="0.3">
      <c r="A88" s="12" t="s">
        <v>682</v>
      </c>
      <c r="B88" s="13">
        <v>0</v>
      </c>
      <c r="C88" s="11">
        <v>0</v>
      </c>
      <c r="D88" s="13">
        <v>0</v>
      </c>
      <c r="E88">
        <f t="shared" si="2"/>
        <v>0</v>
      </c>
      <c r="F88">
        <f t="shared" si="3"/>
        <v>0</v>
      </c>
      <c r="G88" s="13">
        <v>0</v>
      </c>
      <c r="H88" s="13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>
        <v>12</v>
      </c>
      <c r="Q88" s="23" t="s">
        <v>50</v>
      </c>
      <c r="R88" s="23">
        <v>11.7273145701592</v>
      </c>
      <c r="S88" s="23">
        <v>6.9008245499778731</v>
      </c>
      <c r="T88" s="23">
        <v>1.6994077280513968</v>
      </c>
      <c r="U88" s="23">
        <v>9.0716116669399938E-2</v>
      </c>
      <c r="V88" s="23">
        <v>-1.8760782987436997</v>
      </c>
      <c r="W88" s="23">
        <v>25.330707439062099</v>
      </c>
      <c r="X88" s="23">
        <v>-1.8760782987436997</v>
      </c>
      <c r="Y88" s="23">
        <v>25.330707439062099</v>
      </c>
      <c r="AD88">
        <v>0</v>
      </c>
      <c r="AE88">
        <v>0</v>
      </c>
      <c r="AF88">
        <v>1</v>
      </c>
      <c r="AG88" s="19">
        <v>42369</v>
      </c>
      <c r="AH88" s="19">
        <v>41974</v>
      </c>
    </row>
    <row r="89" spans="1:34" x14ac:dyDescent="0.25">
      <c r="A89" s="12" t="s">
        <v>690</v>
      </c>
      <c r="B89" s="13">
        <v>0</v>
      </c>
      <c r="C89" s="11">
        <v>0</v>
      </c>
      <c r="D89" s="13">
        <v>0</v>
      </c>
      <c r="E89">
        <f t="shared" si="2"/>
        <v>0</v>
      </c>
      <c r="F89">
        <f t="shared" si="3"/>
        <v>0</v>
      </c>
      <c r="G89" s="13">
        <v>0</v>
      </c>
      <c r="H89" s="13">
        <v>0</v>
      </c>
      <c r="I89" s="13">
        <v>0</v>
      </c>
      <c r="J89" s="13">
        <v>1</v>
      </c>
      <c r="K89" s="13">
        <v>0</v>
      </c>
      <c r="L89" s="13">
        <v>0</v>
      </c>
      <c r="M89" s="13">
        <v>0</v>
      </c>
      <c r="N89" s="13">
        <v>0</v>
      </c>
      <c r="O89">
        <v>84</v>
      </c>
      <c r="AD89">
        <v>0</v>
      </c>
      <c r="AE89">
        <v>0</v>
      </c>
      <c r="AF89">
        <v>1</v>
      </c>
      <c r="AG89" s="19">
        <v>44561</v>
      </c>
      <c r="AH89" s="19">
        <v>41974</v>
      </c>
    </row>
    <row r="90" spans="1:34" ht="18.75" x14ac:dyDescent="0.3">
      <c r="A90" s="12" t="s">
        <v>694</v>
      </c>
      <c r="B90" s="13">
        <v>0</v>
      </c>
      <c r="C90" s="11">
        <v>0</v>
      </c>
      <c r="D90" s="13">
        <v>0</v>
      </c>
      <c r="E90">
        <f t="shared" si="2"/>
        <v>0</v>
      </c>
      <c r="F90">
        <f t="shared" si="3"/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0</v>
      </c>
      <c r="N90" s="13">
        <v>0</v>
      </c>
      <c r="O90">
        <v>84</v>
      </c>
      <c r="Q90" s="26" t="s">
        <v>2745</v>
      </c>
      <c r="AD90">
        <v>0</v>
      </c>
      <c r="AE90">
        <v>0</v>
      </c>
      <c r="AF90">
        <v>1</v>
      </c>
      <c r="AG90" s="19">
        <v>44561</v>
      </c>
      <c r="AH90" s="19">
        <v>41974</v>
      </c>
    </row>
    <row r="91" spans="1:34" ht="15.75" thickBot="1" x14ac:dyDescent="0.3">
      <c r="A91" s="12" t="s">
        <v>702</v>
      </c>
      <c r="B91" s="13">
        <v>0</v>
      </c>
      <c r="C91" s="11">
        <v>0</v>
      </c>
      <c r="D91" s="13">
        <v>0</v>
      </c>
      <c r="E91">
        <f t="shared" si="2"/>
        <v>0</v>
      </c>
      <c r="F91">
        <f t="shared" si="3"/>
        <v>0</v>
      </c>
      <c r="G91" s="13">
        <v>0</v>
      </c>
      <c r="H91" s="13">
        <v>0</v>
      </c>
      <c r="I91" s="13">
        <v>0</v>
      </c>
      <c r="J91" s="13">
        <v>1</v>
      </c>
      <c r="K91" s="13">
        <v>0</v>
      </c>
      <c r="L91" s="13">
        <v>0</v>
      </c>
      <c r="M91" s="13">
        <v>0</v>
      </c>
      <c r="N91" s="13">
        <v>0</v>
      </c>
      <c r="O91">
        <v>36</v>
      </c>
      <c r="AD91">
        <v>0</v>
      </c>
      <c r="AE91">
        <v>0</v>
      </c>
      <c r="AF91">
        <v>1</v>
      </c>
      <c r="AG91" s="19">
        <v>43100</v>
      </c>
      <c r="AH91" s="19">
        <v>41974</v>
      </c>
    </row>
    <row r="92" spans="1:34" x14ac:dyDescent="0.25">
      <c r="A92" s="12" t="s">
        <v>706</v>
      </c>
      <c r="B92" s="13">
        <v>0</v>
      </c>
      <c r="C92" s="11">
        <v>0</v>
      </c>
      <c r="D92" s="13">
        <v>0</v>
      </c>
      <c r="E92">
        <f t="shared" si="2"/>
        <v>0</v>
      </c>
      <c r="F92">
        <f t="shared" si="3"/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0</v>
      </c>
      <c r="N92" s="13">
        <v>0</v>
      </c>
      <c r="O92">
        <v>93</v>
      </c>
      <c r="Q92" s="25" t="s">
        <v>2718</v>
      </c>
      <c r="R92" s="25"/>
      <c r="AD92">
        <v>0</v>
      </c>
      <c r="AE92">
        <v>0</v>
      </c>
      <c r="AF92">
        <v>1</v>
      </c>
      <c r="AG92" s="19">
        <v>44834</v>
      </c>
      <c r="AH92" s="19">
        <v>41974</v>
      </c>
    </row>
    <row r="93" spans="1:34" x14ac:dyDescent="0.25">
      <c r="A93" s="12" t="s">
        <v>710</v>
      </c>
      <c r="B93" s="13">
        <v>0</v>
      </c>
      <c r="C93" s="11">
        <v>0</v>
      </c>
      <c r="D93" s="13">
        <v>0</v>
      </c>
      <c r="E93">
        <f t="shared" si="2"/>
        <v>0</v>
      </c>
      <c r="F93">
        <f t="shared" si="3"/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0</v>
      </c>
      <c r="N93" s="13">
        <v>0</v>
      </c>
      <c r="O93">
        <v>81</v>
      </c>
      <c r="Q93" t="s">
        <v>2719</v>
      </c>
      <c r="R93">
        <v>0.19958540983599751</v>
      </c>
      <c r="AD93">
        <v>0</v>
      </c>
      <c r="AE93">
        <v>0</v>
      </c>
      <c r="AF93">
        <v>1</v>
      </c>
      <c r="AG93" s="19">
        <v>44469</v>
      </c>
      <c r="AH93" s="19">
        <v>41974</v>
      </c>
    </row>
    <row r="94" spans="1:34" x14ac:dyDescent="0.25">
      <c r="A94" s="12" t="s">
        <v>726</v>
      </c>
      <c r="B94" s="13">
        <v>0</v>
      </c>
      <c r="C94" s="11">
        <v>0</v>
      </c>
      <c r="D94" s="13">
        <v>0</v>
      </c>
      <c r="E94">
        <f t="shared" si="2"/>
        <v>0</v>
      </c>
      <c r="F94">
        <f t="shared" si="3"/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0</v>
      </c>
      <c r="N94" s="13">
        <v>0</v>
      </c>
      <c r="O94">
        <v>92</v>
      </c>
      <c r="Q94" t="s">
        <v>2720</v>
      </c>
      <c r="R94">
        <v>3.9834335819403092E-2</v>
      </c>
      <c r="AD94">
        <v>0</v>
      </c>
      <c r="AE94">
        <v>0</v>
      </c>
      <c r="AF94">
        <v>1</v>
      </c>
      <c r="AG94" s="19">
        <v>44834</v>
      </c>
      <c r="AH94" s="19">
        <v>41974</v>
      </c>
    </row>
    <row r="95" spans="1:34" x14ac:dyDescent="0.25">
      <c r="A95" s="15" t="s">
        <v>736</v>
      </c>
      <c r="B95" s="16">
        <v>0</v>
      </c>
      <c r="C95" s="14">
        <v>0</v>
      </c>
      <c r="D95" s="16">
        <v>0</v>
      </c>
      <c r="E95">
        <f t="shared" si="2"/>
        <v>0</v>
      </c>
      <c r="F95">
        <f t="shared" si="3"/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1</v>
      </c>
      <c r="M95" s="16">
        <v>0</v>
      </c>
      <c r="N95" s="16">
        <v>0</v>
      </c>
      <c r="O95">
        <v>54</v>
      </c>
      <c r="Q95" t="s">
        <v>2721</v>
      </c>
      <c r="R95">
        <v>2.1632143133514997E-2</v>
      </c>
      <c r="AD95">
        <v>0</v>
      </c>
      <c r="AE95">
        <v>0</v>
      </c>
      <c r="AF95">
        <v>1</v>
      </c>
      <c r="AG95" s="20">
        <v>43646</v>
      </c>
      <c r="AH95" s="20">
        <v>41974</v>
      </c>
    </row>
    <row r="96" spans="1:34" x14ac:dyDescent="0.25">
      <c r="A96" s="12" t="s">
        <v>742</v>
      </c>
      <c r="B96" s="13">
        <v>0</v>
      </c>
      <c r="C96" s="11">
        <v>0</v>
      </c>
      <c r="D96" s="13">
        <v>0</v>
      </c>
      <c r="E96">
        <f t="shared" si="2"/>
        <v>0</v>
      </c>
      <c r="F96">
        <f t="shared" si="3"/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0</v>
      </c>
      <c r="N96" s="13">
        <v>0</v>
      </c>
      <c r="O96">
        <v>73</v>
      </c>
      <c r="Q96" t="s">
        <v>2722</v>
      </c>
      <c r="R96">
        <v>28.635106816897093</v>
      </c>
      <c r="AD96">
        <v>0</v>
      </c>
      <c r="AE96">
        <v>0</v>
      </c>
      <c r="AF96">
        <v>1</v>
      </c>
      <c r="AG96" s="19">
        <v>44286</v>
      </c>
      <c r="AH96" s="19">
        <v>41974</v>
      </c>
    </row>
    <row r="97" spans="1:34" ht="15.75" thickBot="1" x14ac:dyDescent="0.3">
      <c r="A97" s="12" t="s">
        <v>754</v>
      </c>
      <c r="B97" s="13">
        <v>0</v>
      </c>
      <c r="C97" s="11">
        <v>0</v>
      </c>
      <c r="D97" s="13">
        <v>0</v>
      </c>
      <c r="E97">
        <f t="shared" si="2"/>
        <v>0</v>
      </c>
      <c r="F97">
        <f t="shared" si="3"/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0</v>
      </c>
      <c r="N97" s="13">
        <v>0</v>
      </c>
      <c r="O97">
        <v>36</v>
      </c>
      <c r="Q97" s="23" t="s">
        <v>2723</v>
      </c>
      <c r="R97" s="23">
        <v>216</v>
      </c>
      <c r="AD97">
        <v>0</v>
      </c>
      <c r="AE97">
        <v>0</v>
      </c>
      <c r="AF97">
        <v>1</v>
      </c>
      <c r="AG97" s="19">
        <v>43100</v>
      </c>
      <c r="AH97" s="19">
        <v>41974</v>
      </c>
    </row>
    <row r="98" spans="1:34" x14ac:dyDescent="0.25">
      <c r="A98" s="15" t="s">
        <v>776</v>
      </c>
      <c r="B98" s="16">
        <v>0</v>
      </c>
      <c r="C98" s="14">
        <v>0</v>
      </c>
      <c r="D98" s="16">
        <v>0</v>
      </c>
      <c r="E98">
        <f t="shared" si="2"/>
        <v>0</v>
      </c>
      <c r="F98">
        <f t="shared" si="3"/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</v>
      </c>
      <c r="M98" s="16">
        <v>0</v>
      </c>
      <c r="N98" s="16">
        <v>0</v>
      </c>
      <c r="O98">
        <v>57</v>
      </c>
      <c r="AD98">
        <v>0</v>
      </c>
      <c r="AE98">
        <v>0</v>
      </c>
      <c r="AF98">
        <v>1</v>
      </c>
      <c r="AG98" s="20">
        <v>43830</v>
      </c>
      <c r="AH98" s="20">
        <v>41974</v>
      </c>
    </row>
    <row r="99" spans="1:34" ht="15.75" thickBot="1" x14ac:dyDescent="0.3">
      <c r="A99" s="15" t="s">
        <v>784</v>
      </c>
      <c r="B99" s="16">
        <v>0</v>
      </c>
      <c r="C99" s="14">
        <v>0</v>
      </c>
      <c r="D99" s="16">
        <v>0</v>
      </c>
      <c r="E99">
        <f t="shared" si="2"/>
        <v>0</v>
      </c>
      <c r="F99">
        <f t="shared" si="3"/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</v>
      </c>
      <c r="M99" s="16">
        <v>0</v>
      </c>
      <c r="N99" s="16">
        <v>0</v>
      </c>
      <c r="O99">
        <v>54</v>
      </c>
      <c r="Q99" t="s">
        <v>2724</v>
      </c>
      <c r="AD99">
        <v>0</v>
      </c>
      <c r="AE99">
        <v>0</v>
      </c>
      <c r="AF99">
        <v>1</v>
      </c>
      <c r="AG99" s="20">
        <v>43830</v>
      </c>
      <c r="AH99" s="20">
        <v>41974</v>
      </c>
    </row>
    <row r="100" spans="1:34" x14ac:dyDescent="0.25">
      <c r="A100" s="15" t="s">
        <v>788</v>
      </c>
      <c r="B100" s="16">
        <v>0</v>
      </c>
      <c r="C100" s="14">
        <v>0</v>
      </c>
      <c r="D100" s="16">
        <v>0</v>
      </c>
      <c r="E100">
        <f t="shared" si="2"/>
        <v>0</v>
      </c>
      <c r="F100">
        <f t="shared" si="3"/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</v>
      </c>
      <c r="M100" s="16">
        <v>0</v>
      </c>
      <c r="N100" s="16">
        <v>0</v>
      </c>
      <c r="O100">
        <v>63</v>
      </c>
      <c r="Q100" s="24"/>
      <c r="R100" s="24" t="s">
        <v>2729</v>
      </c>
      <c r="S100" s="24" t="s">
        <v>2730</v>
      </c>
      <c r="T100" s="24" t="s">
        <v>2731</v>
      </c>
      <c r="U100" s="24" t="s">
        <v>2732</v>
      </c>
      <c r="V100" s="24" t="s">
        <v>2733</v>
      </c>
      <c r="AD100">
        <v>0</v>
      </c>
      <c r="AE100">
        <v>0</v>
      </c>
      <c r="AF100">
        <v>1</v>
      </c>
      <c r="AG100" s="20">
        <v>43921</v>
      </c>
      <c r="AH100" s="20">
        <v>41974</v>
      </c>
    </row>
    <row r="101" spans="1:34" x14ac:dyDescent="0.25">
      <c r="A101" s="15" t="s">
        <v>30</v>
      </c>
      <c r="B101" s="16">
        <v>0</v>
      </c>
      <c r="C101" s="14">
        <v>0</v>
      </c>
      <c r="D101" s="16">
        <v>0</v>
      </c>
      <c r="E101">
        <f t="shared" si="2"/>
        <v>0</v>
      </c>
      <c r="F101">
        <f t="shared" si="3"/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</v>
      </c>
      <c r="M101" s="16">
        <v>0</v>
      </c>
      <c r="N101" s="16">
        <v>0</v>
      </c>
      <c r="O101">
        <v>108</v>
      </c>
      <c r="Q101" t="s">
        <v>2725</v>
      </c>
      <c r="R101">
        <v>4</v>
      </c>
      <c r="S101">
        <v>7177.8020837460062</v>
      </c>
      <c r="T101">
        <v>1794.4505209365016</v>
      </c>
      <c r="U101">
        <v>2.1884361135395571</v>
      </c>
      <c r="V101">
        <v>7.1406055741784671E-2</v>
      </c>
      <c r="AD101">
        <v>0</v>
      </c>
      <c r="AE101">
        <v>0</v>
      </c>
      <c r="AF101">
        <v>1</v>
      </c>
      <c r="AG101" s="20">
        <v>45291</v>
      </c>
      <c r="AH101" s="20">
        <v>41974</v>
      </c>
    </row>
    <row r="102" spans="1:34" x14ac:dyDescent="0.25">
      <c r="A102" s="12" t="s">
        <v>804</v>
      </c>
      <c r="B102" s="13">
        <v>0</v>
      </c>
      <c r="C102" s="11">
        <v>0</v>
      </c>
      <c r="D102" s="13">
        <v>0</v>
      </c>
      <c r="E102">
        <f t="shared" si="2"/>
        <v>0</v>
      </c>
      <c r="F102">
        <f t="shared" si="3"/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0</v>
      </c>
      <c r="N102" s="13">
        <v>0</v>
      </c>
      <c r="O102">
        <v>12</v>
      </c>
      <c r="Q102" t="s">
        <v>2726</v>
      </c>
      <c r="R102">
        <v>211</v>
      </c>
      <c r="S102">
        <v>173013.53124958742</v>
      </c>
      <c r="T102">
        <v>819.96934241510633</v>
      </c>
      <c r="AD102">
        <v>0</v>
      </c>
      <c r="AE102">
        <v>0</v>
      </c>
      <c r="AF102">
        <v>1</v>
      </c>
      <c r="AG102" s="19">
        <v>42460</v>
      </c>
      <c r="AH102" s="19">
        <v>41974</v>
      </c>
    </row>
    <row r="103" spans="1:34" ht="15.75" thickBot="1" x14ac:dyDescent="0.3">
      <c r="A103" s="15" t="s">
        <v>806</v>
      </c>
      <c r="B103" s="16">
        <v>0</v>
      </c>
      <c r="C103" s="14">
        <v>0</v>
      </c>
      <c r="D103" s="16">
        <v>0</v>
      </c>
      <c r="E103">
        <f t="shared" si="2"/>
        <v>0</v>
      </c>
      <c r="F103">
        <f t="shared" si="3"/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1</v>
      </c>
      <c r="N103" s="16">
        <v>0</v>
      </c>
      <c r="O103">
        <v>36</v>
      </c>
      <c r="Q103" s="23" t="s">
        <v>2727</v>
      </c>
      <c r="R103" s="23">
        <v>215</v>
      </c>
      <c r="S103" s="23">
        <v>180191.33333333343</v>
      </c>
      <c r="T103" s="23"/>
      <c r="U103" s="23"/>
      <c r="V103" s="23"/>
      <c r="AD103">
        <v>0</v>
      </c>
      <c r="AE103">
        <v>0</v>
      </c>
      <c r="AF103">
        <v>1</v>
      </c>
      <c r="AG103" s="20">
        <v>43100</v>
      </c>
      <c r="AH103" s="20">
        <v>41974</v>
      </c>
    </row>
    <row r="104" spans="1:34" ht="15.75" thickBot="1" x14ac:dyDescent="0.3">
      <c r="A104" s="12" t="s">
        <v>808</v>
      </c>
      <c r="B104" s="13">
        <v>0</v>
      </c>
      <c r="C104" s="11">
        <v>0</v>
      </c>
      <c r="D104" s="13">
        <v>0</v>
      </c>
      <c r="E104">
        <f t="shared" si="2"/>
        <v>0</v>
      </c>
      <c r="F104">
        <f t="shared" si="3"/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1</v>
      </c>
      <c r="O104">
        <v>44</v>
      </c>
      <c r="AD104">
        <v>0</v>
      </c>
      <c r="AE104">
        <v>0</v>
      </c>
      <c r="AF104">
        <v>1</v>
      </c>
      <c r="AG104" s="19">
        <v>43373</v>
      </c>
      <c r="AH104" s="19">
        <v>41974</v>
      </c>
    </row>
    <row r="105" spans="1:34" x14ac:dyDescent="0.25">
      <c r="A105" s="15" t="s">
        <v>814</v>
      </c>
      <c r="B105" s="16">
        <v>0</v>
      </c>
      <c r="C105" s="14">
        <v>0</v>
      </c>
      <c r="D105" s="16">
        <v>0</v>
      </c>
      <c r="E105">
        <f t="shared" si="2"/>
        <v>0</v>
      </c>
      <c r="F105">
        <f t="shared" si="3"/>
        <v>0</v>
      </c>
      <c r="G105" s="16">
        <v>0</v>
      </c>
      <c r="H105" s="16">
        <v>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>
        <v>52</v>
      </c>
      <c r="Q105" s="24"/>
      <c r="R105" s="24" t="s">
        <v>2734</v>
      </c>
      <c r="S105" s="24" t="s">
        <v>2722</v>
      </c>
      <c r="T105" s="24" t="s">
        <v>2735</v>
      </c>
      <c r="U105" s="24" t="s">
        <v>2736</v>
      </c>
      <c r="V105" s="24" t="s">
        <v>2737</v>
      </c>
      <c r="W105" s="24" t="s">
        <v>2738</v>
      </c>
      <c r="X105" s="24" t="s">
        <v>2739</v>
      </c>
      <c r="Y105" s="24" t="s">
        <v>2740</v>
      </c>
      <c r="AD105">
        <v>0</v>
      </c>
      <c r="AE105">
        <v>0</v>
      </c>
      <c r="AF105">
        <v>1</v>
      </c>
      <c r="AG105" s="20">
        <v>43646</v>
      </c>
      <c r="AH105" s="20">
        <v>41974</v>
      </c>
    </row>
    <row r="106" spans="1:34" x14ac:dyDescent="0.25">
      <c r="A106" s="15" t="s">
        <v>818</v>
      </c>
      <c r="B106" s="16">
        <v>0</v>
      </c>
      <c r="C106" s="14">
        <v>0</v>
      </c>
      <c r="D106" s="16">
        <v>0</v>
      </c>
      <c r="E106">
        <f t="shared" si="2"/>
        <v>0</v>
      </c>
      <c r="F106">
        <f t="shared" si="3"/>
        <v>0</v>
      </c>
      <c r="G106" s="16">
        <v>0</v>
      </c>
      <c r="H106" s="16">
        <v>1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>
        <v>24</v>
      </c>
      <c r="Q106" t="s">
        <v>2728</v>
      </c>
      <c r="R106">
        <v>48.511349385502911</v>
      </c>
      <c r="S106">
        <v>2.7829833344720813</v>
      </c>
      <c r="T106">
        <v>17.431419291882062</v>
      </c>
      <c r="U106">
        <v>9.5825880970314332E-43</v>
      </c>
      <c r="V106">
        <v>43.025336029815655</v>
      </c>
      <c r="W106">
        <v>53.997362741190166</v>
      </c>
      <c r="X106">
        <v>43.025336029815655</v>
      </c>
      <c r="Y106">
        <v>53.997362741190166</v>
      </c>
      <c r="AD106">
        <v>0</v>
      </c>
      <c r="AE106">
        <v>0</v>
      </c>
      <c r="AF106">
        <v>1</v>
      </c>
      <c r="AG106" s="20">
        <v>42735</v>
      </c>
      <c r="AH106" s="20">
        <v>41974</v>
      </c>
    </row>
    <row r="107" spans="1:34" x14ac:dyDescent="0.25">
      <c r="A107" s="12" t="s">
        <v>824</v>
      </c>
      <c r="B107" s="13">
        <v>0</v>
      </c>
      <c r="C107" s="11">
        <v>0</v>
      </c>
      <c r="D107" s="13">
        <v>0</v>
      </c>
      <c r="E107">
        <f t="shared" si="2"/>
        <v>0</v>
      </c>
      <c r="F107">
        <f t="shared" si="3"/>
        <v>0</v>
      </c>
      <c r="G107" s="13">
        <v>0</v>
      </c>
      <c r="H107" s="13">
        <v>1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>
        <v>36</v>
      </c>
      <c r="Q107" t="s">
        <v>2715</v>
      </c>
      <c r="R107">
        <v>16.135994614074704</v>
      </c>
      <c r="S107">
        <v>5.9795858435333713</v>
      </c>
      <c r="T107">
        <v>2.6985137493301465</v>
      </c>
      <c r="U107">
        <v>7.5289005228436458E-3</v>
      </c>
      <c r="V107">
        <v>4.348612565189633</v>
      </c>
      <c r="W107">
        <v>27.923376662959775</v>
      </c>
      <c r="X107">
        <v>4.348612565189633</v>
      </c>
      <c r="Y107">
        <v>27.923376662959775</v>
      </c>
      <c r="AD107">
        <v>0</v>
      </c>
      <c r="AE107">
        <v>0</v>
      </c>
      <c r="AF107">
        <v>1</v>
      </c>
      <c r="AG107" s="19">
        <v>43100</v>
      </c>
      <c r="AH107" s="19">
        <v>41974</v>
      </c>
    </row>
    <row r="108" spans="1:34" x14ac:dyDescent="0.25">
      <c r="A108" s="15" t="s">
        <v>826</v>
      </c>
      <c r="B108" s="16">
        <v>0</v>
      </c>
      <c r="C108" s="14">
        <v>0</v>
      </c>
      <c r="D108" s="16">
        <v>0</v>
      </c>
      <c r="E108">
        <f t="shared" si="2"/>
        <v>0</v>
      </c>
      <c r="F108">
        <f t="shared" si="3"/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1</v>
      </c>
      <c r="O108">
        <v>90</v>
      </c>
      <c r="Q108" t="s">
        <v>2714</v>
      </c>
      <c r="R108">
        <v>-16.325871582643618</v>
      </c>
      <c r="S108">
        <v>20.672420777987394</v>
      </c>
      <c r="T108">
        <v>-0.78974164457932716</v>
      </c>
      <c r="U108">
        <v>0.43056525711967308</v>
      </c>
      <c r="V108">
        <v>-57.076807845055257</v>
      </c>
      <c r="W108">
        <v>24.425064679768024</v>
      </c>
      <c r="X108">
        <v>-57.076807845055257</v>
      </c>
      <c r="Y108">
        <v>24.425064679768024</v>
      </c>
      <c r="AD108">
        <v>0</v>
      </c>
      <c r="AE108">
        <v>0</v>
      </c>
      <c r="AF108">
        <v>1</v>
      </c>
      <c r="AG108" s="20">
        <v>44742</v>
      </c>
      <c r="AH108" s="20">
        <v>41974</v>
      </c>
    </row>
    <row r="109" spans="1:34" x14ac:dyDescent="0.25">
      <c r="A109" s="12" t="s">
        <v>828</v>
      </c>
      <c r="B109" s="13">
        <v>0</v>
      </c>
      <c r="C109" s="11">
        <v>0</v>
      </c>
      <c r="D109" s="13">
        <v>0</v>
      </c>
      <c r="E109">
        <f t="shared" si="2"/>
        <v>0</v>
      </c>
      <c r="F109">
        <f t="shared" si="3"/>
        <v>0</v>
      </c>
      <c r="G109" s="13">
        <v>0</v>
      </c>
      <c r="H109" s="13">
        <v>1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>
        <v>33</v>
      </c>
      <c r="Q109" t="s">
        <v>2716</v>
      </c>
      <c r="R109">
        <v>5.2750188111361638</v>
      </c>
      <c r="S109">
        <v>20.702132042678915</v>
      </c>
      <c r="T109">
        <v>0.25480558235554374</v>
      </c>
      <c r="U109">
        <v>0.79912143723458662</v>
      </c>
      <c r="V109">
        <v>-35.534486395218856</v>
      </c>
      <c r="W109">
        <v>46.084524017491184</v>
      </c>
      <c r="X109">
        <v>-35.534486395218856</v>
      </c>
      <c r="Y109">
        <v>46.084524017491184</v>
      </c>
      <c r="AD109">
        <v>0</v>
      </c>
      <c r="AE109">
        <v>0</v>
      </c>
      <c r="AF109">
        <v>1</v>
      </c>
      <c r="AG109" s="19">
        <v>43008</v>
      </c>
      <c r="AH109" s="19">
        <v>41974</v>
      </c>
    </row>
    <row r="110" spans="1:34" ht="15.75" thickBot="1" x14ac:dyDescent="0.3">
      <c r="A110" s="12" t="s">
        <v>840</v>
      </c>
      <c r="B110" s="13">
        <v>0</v>
      </c>
      <c r="C110" s="11">
        <v>0</v>
      </c>
      <c r="D110" s="13">
        <v>0</v>
      </c>
      <c r="E110">
        <f t="shared" si="2"/>
        <v>0</v>
      </c>
      <c r="F110">
        <f t="shared" si="3"/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0</v>
      </c>
      <c r="N110" s="13">
        <v>0</v>
      </c>
      <c r="O110">
        <v>38</v>
      </c>
      <c r="Q110" s="23" t="s">
        <v>29</v>
      </c>
      <c r="R110" s="23">
        <v>8.3991096062202235</v>
      </c>
      <c r="S110" s="23">
        <v>6.6695938199679139</v>
      </c>
      <c r="T110" s="23">
        <v>1.2593135103781523</v>
      </c>
      <c r="U110" s="23">
        <v>0.20930841480447263</v>
      </c>
      <c r="V110" s="23">
        <v>-4.7484649121496538</v>
      </c>
      <c r="W110" s="23">
        <v>21.546684124590101</v>
      </c>
      <c r="X110" s="23">
        <v>-4.7484649121496538</v>
      </c>
      <c r="Y110" s="23">
        <v>21.546684124590101</v>
      </c>
      <c r="AD110">
        <v>0</v>
      </c>
      <c r="AE110">
        <v>0</v>
      </c>
      <c r="AF110">
        <v>1</v>
      </c>
      <c r="AG110" s="19">
        <v>43190</v>
      </c>
      <c r="AH110" s="19">
        <v>41974</v>
      </c>
    </row>
    <row r="111" spans="1:34" x14ac:dyDescent="0.25">
      <c r="A111" s="15" t="s">
        <v>842</v>
      </c>
      <c r="B111" s="16">
        <v>0</v>
      </c>
      <c r="C111" s="14">
        <v>0</v>
      </c>
      <c r="D111" s="16">
        <v>0</v>
      </c>
      <c r="E111">
        <f t="shared" si="2"/>
        <v>0</v>
      </c>
      <c r="F111">
        <f t="shared" si="3"/>
        <v>0</v>
      </c>
      <c r="G111" s="16">
        <v>0</v>
      </c>
      <c r="H111" s="16">
        <v>0</v>
      </c>
      <c r="I111" s="16">
        <v>0</v>
      </c>
      <c r="J111" s="16">
        <v>1</v>
      </c>
      <c r="K111" s="16">
        <v>0</v>
      </c>
      <c r="L111" s="16">
        <v>0</v>
      </c>
      <c r="M111" s="16">
        <v>0</v>
      </c>
      <c r="N111" s="16">
        <v>0</v>
      </c>
      <c r="O111">
        <v>39</v>
      </c>
      <c r="AD111">
        <v>0</v>
      </c>
      <c r="AE111">
        <v>0</v>
      </c>
      <c r="AF111">
        <v>1</v>
      </c>
      <c r="AG111" s="20">
        <v>43190</v>
      </c>
      <c r="AH111" s="20">
        <v>41974</v>
      </c>
    </row>
    <row r="112" spans="1:34" ht="18.75" x14ac:dyDescent="0.3">
      <c r="A112" s="12" t="s">
        <v>844</v>
      </c>
      <c r="B112" s="13">
        <v>0</v>
      </c>
      <c r="C112" s="11">
        <v>0</v>
      </c>
      <c r="D112" s="13">
        <v>0</v>
      </c>
      <c r="E112">
        <f t="shared" si="2"/>
        <v>0</v>
      </c>
      <c r="F112">
        <f t="shared" si="3"/>
        <v>0</v>
      </c>
      <c r="G112" s="13">
        <v>0</v>
      </c>
      <c r="H112" s="13">
        <v>0</v>
      </c>
      <c r="I112" s="13">
        <v>0</v>
      </c>
      <c r="J112" s="13">
        <v>1</v>
      </c>
      <c r="K112" s="13">
        <v>0</v>
      </c>
      <c r="L112" s="13">
        <v>0</v>
      </c>
      <c r="M112" s="13">
        <v>0</v>
      </c>
      <c r="N112" s="13">
        <v>0</v>
      </c>
      <c r="O112">
        <v>66</v>
      </c>
      <c r="Q112" s="26" t="s">
        <v>2747</v>
      </c>
      <c r="AD112">
        <v>0</v>
      </c>
      <c r="AE112">
        <v>0</v>
      </c>
      <c r="AF112">
        <v>1</v>
      </c>
      <c r="AG112" s="19">
        <v>44012</v>
      </c>
      <c r="AH112" s="19">
        <v>41974</v>
      </c>
    </row>
    <row r="113" spans="1:34" ht="15.75" thickBot="1" x14ac:dyDescent="0.3">
      <c r="A113" s="15" t="s">
        <v>850</v>
      </c>
      <c r="B113" s="16">
        <v>0</v>
      </c>
      <c r="C113" s="14">
        <v>0</v>
      </c>
      <c r="D113" s="16">
        <v>0</v>
      </c>
      <c r="E113">
        <f t="shared" si="2"/>
        <v>0</v>
      </c>
      <c r="F113">
        <f t="shared" si="3"/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</v>
      </c>
      <c r="M113" s="16">
        <v>0</v>
      </c>
      <c r="N113" s="16">
        <v>0</v>
      </c>
      <c r="O113">
        <v>57</v>
      </c>
      <c r="AD113">
        <v>0</v>
      </c>
      <c r="AE113">
        <v>0</v>
      </c>
      <c r="AF113">
        <v>1</v>
      </c>
      <c r="AG113" s="20">
        <v>43738</v>
      </c>
      <c r="AH113" s="20">
        <v>41974</v>
      </c>
    </row>
    <row r="114" spans="1:34" x14ac:dyDescent="0.25">
      <c r="A114" s="15" t="s">
        <v>854</v>
      </c>
      <c r="B114" s="16">
        <v>0</v>
      </c>
      <c r="C114" s="14">
        <v>0</v>
      </c>
      <c r="D114" s="16">
        <v>0</v>
      </c>
      <c r="E114">
        <f t="shared" si="2"/>
        <v>0</v>
      </c>
      <c r="F114">
        <f t="shared" si="3"/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</v>
      </c>
      <c r="O114">
        <v>87</v>
      </c>
      <c r="Q114" s="25" t="s">
        <v>2718</v>
      </c>
      <c r="R114" s="25"/>
      <c r="AD114">
        <v>0</v>
      </c>
      <c r="AE114">
        <v>0</v>
      </c>
      <c r="AF114">
        <v>1</v>
      </c>
      <c r="AG114" s="20">
        <v>44651</v>
      </c>
      <c r="AH114" s="20">
        <v>41974</v>
      </c>
    </row>
    <row r="115" spans="1:34" x14ac:dyDescent="0.25">
      <c r="A115" s="15" t="s">
        <v>858</v>
      </c>
      <c r="B115" s="16">
        <v>0</v>
      </c>
      <c r="C115" s="14">
        <v>0</v>
      </c>
      <c r="D115" s="16">
        <v>0</v>
      </c>
      <c r="E115">
        <f t="shared" si="2"/>
        <v>0</v>
      </c>
      <c r="F115">
        <f t="shared" si="3"/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</v>
      </c>
      <c r="M115" s="16">
        <v>0</v>
      </c>
      <c r="N115" s="16">
        <v>0</v>
      </c>
      <c r="O115">
        <v>15</v>
      </c>
      <c r="Q115" t="s">
        <v>2719</v>
      </c>
      <c r="R115">
        <v>0.19447886336268469</v>
      </c>
      <c r="AD115">
        <v>0</v>
      </c>
      <c r="AE115">
        <v>0</v>
      </c>
      <c r="AF115">
        <v>1</v>
      </c>
      <c r="AG115" s="20">
        <v>42460</v>
      </c>
      <c r="AH115" s="20">
        <v>41974</v>
      </c>
    </row>
    <row r="116" spans="1:34" x14ac:dyDescent="0.25">
      <c r="A116" s="12" t="s">
        <v>864</v>
      </c>
      <c r="B116" s="13">
        <v>1</v>
      </c>
      <c r="C116" s="11">
        <v>1</v>
      </c>
      <c r="D116" s="13">
        <v>1</v>
      </c>
      <c r="E116">
        <f t="shared" si="2"/>
        <v>0</v>
      </c>
      <c r="F116">
        <f t="shared" si="3"/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1</v>
      </c>
      <c r="L116" s="13">
        <v>0</v>
      </c>
      <c r="M116" s="13">
        <v>0</v>
      </c>
      <c r="N116" s="13">
        <v>0</v>
      </c>
      <c r="O116">
        <v>62</v>
      </c>
      <c r="Q116" t="s">
        <v>2720</v>
      </c>
      <c r="R116">
        <v>3.7822028294841777E-2</v>
      </c>
      <c r="AD116">
        <v>0</v>
      </c>
      <c r="AE116">
        <v>0</v>
      </c>
      <c r="AF116">
        <v>1</v>
      </c>
      <c r="AG116" s="19">
        <v>44012</v>
      </c>
      <c r="AH116" s="19">
        <v>42064</v>
      </c>
    </row>
    <row r="117" spans="1:34" x14ac:dyDescent="0.25">
      <c r="A117" s="12" t="s">
        <v>33</v>
      </c>
      <c r="B117" s="13">
        <v>1</v>
      </c>
      <c r="C117" s="11">
        <v>1</v>
      </c>
      <c r="D117" s="13">
        <v>1</v>
      </c>
      <c r="E117">
        <f t="shared" si="2"/>
        <v>0</v>
      </c>
      <c r="F117">
        <f t="shared" si="3"/>
        <v>0</v>
      </c>
      <c r="G117" s="13">
        <v>1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>
        <v>98</v>
      </c>
      <c r="Q117" t="s">
        <v>2721</v>
      </c>
      <c r="R117">
        <v>1.9581687599009391E-2</v>
      </c>
      <c r="AD117">
        <v>0</v>
      </c>
      <c r="AE117">
        <v>0</v>
      </c>
      <c r="AF117">
        <v>1</v>
      </c>
      <c r="AG117" s="19">
        <v>55153</v>
      </c>
      <c r="AH117" s="19">
        <v>42095</v>
      </c>
    </row>
    <row r="118" spans="1:34" x14ac:dyDescent="0.25">
      <c r="A118" s="15" t="s">
        <v>881</v>
      </c>
      <c r="B118" s="16">
        <v>0</v>
      </c>
      <c r="C118" s="14">
        <v>0</v>
      </c>
      <c r="D118" s="16">
        <v>0</v>
      </c>
      <c r="E118">
        <f t="shared" si="2"/>
        <v>0</v>
      </c>
      <c r="F118">
        <f t="shared" si="3"/>
        <v>0</v>
      </c>
      <c r="G118" s="16">
        <v>0</v>
      </c>
      <c r="H118" s="16">
        <v>1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>
        <v>44</v>
      </c>
      <c r="Q118" t="s">
        <v>2722</v>
      </c>
      <c r="R118">
        <v>28.665097725440866</v>
      </c>
      <c r="AD118">
        <v>0</v>
      </c>
      <c r="AE118">
        <v>0</v>
      </c>
      <c r="AF118">
        <v>1</v>
      </c>
      <c r="AG118" s="20">
        <v>43373</v>
      </c>
      <c r="AH118" s="20">
        <v>41974</v>
      </c>
    </row>
    <row r="119" spans="1:34" ht="15.75" thickBot="1" x14ac:dyDescent="0.3">
      <c r="A119" s="12" t="s">
        <v>895</v>
      </c>
      <c r="B119" s="13">
        <v>0</v>
      </c>
      <c r="C119" s="11">
        <v>0</v>
      </c>
      <c r="D119" s="13">
        <v>0</v>
      </c>
      <c r="E119">
        <f t="shared" si="2"/>
        <v>0</v>
      </c>
      <c r="F119">
        <f t="shared" si="3"/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0</v>
      </c>
      <c r="N119" s="13">
        <v>0</v>
      </c>
      <c r="O119">
        <v>74</v>
      </c>
      <c r="Q119" s="23" t="s">
        <v>2723</v>
      </c>
      <c r="R119" s="23">
        <v>216</v>
      </c>
      <c r="AD119">
        <v>0</v>
      </c>
      <c r="AE119">
        <v>0</v>
      </c>
      <c r="AF119">
        <v>1</v>
      </c>
      <c r="AG119" s="19">
        <v>44377</v>
      </c>
      <c r="AH119" s="19">
        <v>42095</v>
      </c>
    </row>
    <row r="120" spans="1:34" x14ac:dyDescent="0.25">
      <c r="A120" s="12" t="s">
        <v>899</v>
      </c>
      <c r="B120" s="13">
        <v>0</v>
      </c>
      <c r="C120" s="11">
        <v>0</v>
      </c>
      <c r="D120" s="13">
        <v>0</v>
      </c>
      <c r="E120">
        <f t="shared" si="2"/>
        <v>0</v>
      </c>
      <c r="F120">
        <f t="shared" si="3"/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0</v>
      </c>
      <c r="N120" s="13">
        <v>0</v>
      </c>
      <c r="O120">
        <v>19</v>
      </c>
      <c r="AD120">
        <v>0</v>
      </c>
      <c r="AE120">
        <v>0</v>
      </c>
      <c r="AF120">
        <v>1</v>
      </c>
      <c r="AG120" s="19">
        <v>43465</v>
      </c>
      <c r="AH120" s="19">
        <v>42795</v>
      </c>
    </row>
    <row r="121" spans="1:34" ht="15.75" thickBot="1" x14ac:dyDescent="0.3">
      <c r="A121" s="15" t="s">
        <v>917</v>
      </c>
      <c r="B121" s="16">
        <v>0</v>
      </c>
      <c r="C121" s="14">
        <v>0</v>
      </c>
      <c r="D121" s="16">
        <v>0</v>
      </c>
      <c r="E121">
        <f t="shared" si="2"/>
        <v>0</v>
      </c>
      <c r="F121">
        <f t="shared" si="3"/>
        <v>0</v>
      </c>
      <c r="G121" s="16">
        <v>0</v>
      </c>
      <c r="H121" s="16">
        <v>0</v>
      </c>
      <c r="I121" s="16">
        <v>0</v>
      </c>
      <c r="J121" s="16">
        <v>1</v>
      </c>
      <c r="K121" s="16">
        <v>0</v>
      </c>
      <c r="L121" s="16">
        <v>0</v>
      </c>
      <c r="M121" s="16">
        <v>0</v>
      </c>
      <c r="N121" s="16">
        <v>0</v>
      </c>
      <c r="O121">
        <v>63</v>
      </c>
      <c r="Q121" t="s">
        <v>2724</v>
      </c>
      <c r="AD121">
        <v>0</v>
      </c>
      <c r="AE121">
        <v>0</v>
      </c>
      <c r="AF121">
        <v>1</v>
      </c>
      <c r="AG121" s="20">
        <v>44104</v>
      </c>
      <c r="AH121" s="20">
        <v>42156</v>
      </c>
    </row>
    <row r="122" spans="1:34" x14ac:dyDescent="0.25">
      <c r="A122" s="12" t="s">
        <v>237</v>
      </c>
      <c r="B122" s="13">
        <v>0</v>
      </c>
      <c r="C122" s="11">
        <v>0</v>
      </c>
      <c r="D122" s="13">
        <v>0</v>
      </c>
      <c r="E122">
        <f t="shared" si="2"/>
        <v>0</v>
      </c>
      <c r="F122">
        <f t="shared" si="3"/>
        <v>0</v>
      </c>
      <c r="G122" s="13">
        <v>0</v>
      </c>
      <c r="H122" s="13">
        <v>0</v>
      </c>
      <c r="I122" s="13">
        <v>0</v>
      </c>
      <c r="J122" s="13">
        <v>1</v>
      </c>
      <c r="K122" s="13">
        <v>0</v>
      </c>
      <c r="L122" s="13">
        <v>0</v>
      </c>
      <c r="M122" s="13">
        <v>0</v>
      </c>
      <c r="N122" s="13">
        <v>0</v>
      </c>
      <c r="O122">
        <v>105</v>
      </c>
      <c r="Q122" s="24"/>
      <c r="R122" s="24" t="s">
        <v>2729</v>
      </c>
      <c r="S122" s="24" t="s">
        <v>2730</v>
      </c>
      <c r="T122" s="24" t="s">
        <v>2731</v>
      </c>
      <c r="U122" s="24" t="s">
        <v>2732</v>
      </c>
      <c r="V122" s="24" t="s">
        <v>2733</v>
      </c>
      <c r="AD122">
        <v>0</v>
      </c>
      <c r="AE122">
        <v>0</v>
      </c>
      <c r="AF122">
        <v>1</v>
      </c>
      <c r="AG122" s="19">
        <v>45382</v>
      </c>
      <c r="AH122" s="19">
        <v>42156</v>
      </c>
    </row>
    <row r="123" spans="1:34" x14ac:dyDescent="0.25">
      <c r="A123" s="15" t="s">
        <v>935</v>
      </c>
      <c r="B123" s="16">
        <v>0</v>
      </c>
      <c r="C123" s="14">
        <v>0</v>
      </c>
      <c r="D123" s="16">
        <v>0</v>
      </c>
      <c r="E123">
        <f t="shared" si="2"/>
        <v>0</v>
      </c>
      <c r="F123">
        <f t="shared" si="3"/>
        <v>0</v>
      </c>
      <c r="G123" s="16">
        <v>0</v>
      </c>
      <c r="H123" s="16">
        <v>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>
        <v>10</v>
      </c>
      <c r="Q123" t="s">
        <v>2725</v>
      </c>
      <c r="R123">
        <v>4</v>
      </c>
      <c r="S123">
        <v>6815.2017078186036</v>
      </c>
      <c r="T123">
        <v>1703.8004269546509</v>
      </c>
      <c r="U123">
        <v>2.0735373820886736</v>
      </c>
      <c r="V123">
        <v>8.5421221818464302E-2</v>
      </c>
      <c r="AD123">
        <v>0</v>
      </c>
      <c r="AE123">
        <v>0</v>
      </c>
      <c r="AF123">
        <v>1</v>
      </c>
      <c r="AG123" s="20">
        <v>42551</v>
      </c>
      <c r="AH123" s="20">
        <v>42186</v>
      </c>
    </row>
    <row r="124" spans="1:34" x14ac:dyDescent="0.25">
      <c r="A124" s="12" t="s">
        <v>937</v>
      </c>
      <c r="B124" s="13">
        <v>0</v>
      </c>
      <c r="C124" s="11">
        <v>0</v>
      </c>
      <c r="D124" s="13">
        <v>0</v>
      </c>
      <c r="E124">
        <f t="shared" si="2"/>
        <v>0</v>
      </c>
      <c r="F124">
        <f t="shared" si="3"/>
        <v>0</v>
      </c>
      <c r="G124" s="13">
        <v>0</v>
      </c>
      <c r="H124" s="13">
        <v>1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>
        <v>10</v>
      </c>
      <c r="Q124" t="s">
        <v>2726</v>
      </c>
      <c r="R124">
        <v>211</v>
      </c>
      <c r="S124">
        <v>173376.13162551483</v>
      </c>
      <c r="T124">
        <v>821.68782760907504</v>
      </c>
      <c r="AD124">
        <v>0</v>
      </c>
      <c r="AE124">
        <v>0</v>
      </c>
      <c r="AF124">
        <v>1</v>
      </c>
      <c r="AG124" s="19">
        <v>42521</v>
      </c>
      <c r="AH124" s="19">
        <v>42186</v>
      </c>
    </row>
    <row r="125" spans="1:34" ht="15.75" thickBot="1" x14ac:dyDescent="0.3">
      <c r="A125" s="15" t="s">
        <v>951</v>
      </c>
      <c r="B125" s="16">
        <v>1</v>
      </c>
      <c r="C125" s="14">
        <v>1</v>
      </c>
      <c r="D125" s="16">
        <v>1</v>
      </c>
      <c r="E125">
        <f t="shared" si="2"/>
        <v>0</v>
      </c>
      <c r="F125">
        <f t="shared" si="3"/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1</v>
      </c>
      <c r="L125" s="16">
        <v>0</v>
      </c>
      <c r="M125" s="16">
        <v>0</v>
      </c>
      <c r="N125" s="16">
        <v>0</v>
      </c>
      <c r="O125">
        <v>38</v>
      </c>
      <c r="Q125" s="23" t="s">
        <v>2727</v>
      </c>
      <c r="R125" s="23">
        <v>215</v>
      </c>
      <c r="S125" s="23">
        <v>180191.33333333343</v>
      </c>
      <c r="T125" s="23"/>
      <c r="U125" s="23"/>
      <c r="V125" s="23"/>
      <c r="AD125">
        <v>0</v>
      </c>
      <c r="AE125">
        <v>1</v>
      </c>
      <c r="AF125">
        <v>0</v>
      </c>
      <c r="AG125" s="20">
        <v>43434</v>
      </c>
      <c r="AH125" s="20">
        <v>42248</v>
      </c>
    </row>
    <row r="126" spans="1:34" ht="15.75" thickBot="1" x14ac:dyDescent="0.3">
      <c r="A126" s="12" t="s">
        <v>953</v>
      </c>
      <c r="B126" s="13">
        <v>1</v>
      </c>
      <c r="C126" s="11">
        <v>1</v>
      </c>
      <c r="D126" s="13">
        <v>1</v>
      </c>
      <c r="E126">
        <f t="shared" si="2"/>
        <v>0</v>
      </c>
      <c r="F126">
        <f t="shared" si="3"/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1</v>
      </c>
      <c r="L126" s="13">
        <v>0</v>
      </c>
      <c r="M126" s="13">
        <v>0</v>
      </c>
      <c r="N126" s="13">
        <v>0</v>
      </c>
      <c r="O126">
        <v>35</v>
      </c>
      <c r="AD126">
        <v>0</v>
      </c>
      <c r="AE126">
        <v>1</v>
      </c>
      <c r="AF126">
        <v>0</v>
      </c>
      <c r="AG126" s="19">
        <v>43404</v>
      </c>
      <c r="AH126" s="19">
        <v>42309</v>
      </c>
    </row>
    <row r="127" spans="1:34" x14ac:dyDescent="0.25">
      <c r="A127" s="15" t="s">
        <v>967</v>
      </c>
      <c r="B127" s="16">
        <v>0</v>
      </c>
      <c r="C127" s="14">
        <v>0</v>
      </c>
      <c r="D127" s="16">
        <v>0</v>
      </c>
      <c r="E127">
        <f t="shared" si="2"/>
        <v>0</v>
      </c>
      <c r="F127">
        <f t="shared" si="3"/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1</v>
      </c>
      <c r="O127">
        <v>81</v>
      </c>
      <c r="Q127" s="24"/>
      <c r="R127" s="24" t="s">
        <v>2734</v>
      </c>
      <c r="S127" s="24" t="s">
        <v>2722</v>
      </c>
      <c r="T127" s="24" t="s">
        <v>2735</v>
      </c>
      <c r="U127" s="24" t="s">
        <v>2736</v>
      </c>
      <c r="V127" s="24" t="s">
        <v>2737</v>
      </c>
      <c r="W127" s="24" t="s">
        <v>2738</v>
      </c>
      <c r="X127" s="24" t="s">
        <v>2739</v>
      </c>
      <c r="Y127" s="24" t="s">
        <v>2740</v>
      </c>
      <c r="AD127">
        <v>0</v>
      </c>
      <c r="AE127">
        <v>0</v>
      </c>
      <c r="AF127">
        <v>1</v>
      </c>
      <c r="AG127" s="20">
        <v>44742</v>
      </c>
      <c r="AH127" s="20">
        <v>42248</v>
      </c>
    </row>
    <row r="128" spans="1:34" x14ac:dyDescent="0.25">
      <c r="A128" s="15" t="s">
        <v>971</v>
      </c>
      <c r="B128" s="16">
        <v>1</v>
      </c>
      <c r="C128" s="14">
        <v>1</v>
      </c>
      <c r="D128" s="16">
        <v>1</v>
      </c>
      <c r="E128">
        <f t="shared" si="2"/>
        <v>0</v>
      </c>
      <c r="F128">
        <f t="shared" si="3"/>
        <v>0</v>
      </c>
      <c r="G128" s="16">
        <v>0</v>
      </c>
      <c r="H128" s="16">
        <v>0</v>
      </c>
      <c r="I128" s="16">
        <v>1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>
        <v>84</v>
      </c>
      <c r="Q128" t="s">
        <v>2728</v>
      </c>
      <c r="R128">
        <v>49.604890266379265</v>
      </c>
      <c r="S128">
        <v>2.644526868209554</v>
      </c>
      <c r="T128">
        <v>18.757567133346495</v>
      </c>
      <c r="U128">
        <v>7.6870519549912902E-47</v>
      </c>
      <c r="V128">
        <v>44.391812078390942</v>
      </c>
      <c r="W128">
        <v>54.817968454367588</v>
      </c>
      <c r="X128">
        <v>44.391812078390942</v>
      </c>
      <c r="Y128">
        <v>54.817968454367588</v>
      </c>
      <c r="AD128">
        <v>0</v>
      </c>
      <c r="AE128">
        <v>0</v>
      </c>
      <c r="AF128">
        <v>1</v>
      </c>
      <c r="AG128" s="20">
        <v>55153</v>
      </c>
      <c r="AH128" s="20">
        <v>42309</v>
      </c>
    </row>
    <row r="129" spans="1:34" x14ac:dyDescent="0.25">
      <c r="A129" s="12" t="s">
        <v>981</v>
      </c>
      <c r="B129" s="13">
        <v>0</v>
      </c>
      <c r="C129" s="11">
        <v>0</v>
      </c>
      <c r="D129" s="13">
        <v>0</v>
      </c>
      <c r="E129">
        <f t="shared" si="2"/>
        <v>0</v>
      </c>
      <c r="F129">
        <f t="shared" si="3"/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1</v>
      </c>
      <c r="M129" s="13">
        <v>0</v>
      </c>
      <c r="N129" s="13">
        <v>0</v>
      </c>
      <c r="O129">
        <v>50</v>
      </c>
      <c r="Q129" t="s">
        <v>2715</v>
      </c>
      <c r="R129">
        <v>16.341248652831975</v>
      </c>
      <c r="S129">
        <v>6.0648437706243588</v>
      </c>
      <c r="T129">
        <v>2.6944220281456137</v>
      </c>
      <c r="U129">
        <v>7.6187894919012879E-3</v>
      </c>
      <c r="V129">
        <v>4.3858001549294876</v>
      </c>
      <c r="W129">
        <v>28.296697150734463</v>
      </c>
      <c r="X129">
        <v>4.3858001549294876</v>
      </c>
      <c r="Y129">
        <v>28.296697150734463</v>
      </c>
      <c r="AD129">
        <v>0</v>
      </c>
      <c r="AE129">
        <v>0</v>
      </c>
      <c r="AF129">
        <v>1</v>
      </c>
      <c r="AG129" s="19">
        <v>43830</v>
      </c>
      <c r="AH129" s="19">
        <v>42278</v>
      </c>
    </row>
    <row r="130" spans="1:34" x14ac:dyDescent="0.25">
      <c r="A130" s="15" t="s">
        <v>983</v>
      </c>
      <c r="B130" s="16">
        <v>0</v>
      </c>
      <c r="C130" s="14">
        <v>0</v>
      </c>
      <c r="D130" s="16">
        <v>0</v>
      </c>
      <c r="E130">
        <f t="shared" si="2"/>
        <v>0</v>
      </c>
      <c r="F130">
        <f t="shared" si="3"/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1</v>
      </c>
      <c r="O130">
        <v>80</v>
      </c>
      <c r="Q130" t="s">
        <v>2714</v>
      </c>
      <c r="R130">
        <v>-19.377051432751443</v>
      </c>
      <c r="S130">
        <v>20.460734018408338</v>
      </c>
      <c r="T130">
        <v>-0.94703598684769008</v>
      </c>
      <c r="U130">
        <v>0.34470375223644556</v>
      </c>
      <c r="V130">
        <v>-59.710695799847748</v>
      </c>
      <c r="W130">
        <v>20.956592934344862</v>
      </c>
      <c r="X130">
        <v>-59.710695799847748</v>
      </c>
      <c r="Y130">
        <v>20.956592934344862</v>
      </c>
      <c r="AD130">
        <v>0</v>
      </c>
      <c r="AE130">
        <v>0</v>
      </c>
      <c r="AF130">
        <v>1</v>
      </c>
      <c r="AG130" s="20">
        <v>44742</v>
      </c>
      <c r="AH130" s="20">
        <v>42278</v>
      </c>
    </row>
    <row r="131" spans="1:34" x14ac:dyDescent="0.25">
      <c r="A131" s="15" t="s">
        <v>991</v>
      </c>
      <c r="B131" s="16">
        <v>0</v>
      </c>
      <c r="C131" s="14">
        <v>0</v>
      </c>
      <c r="D131" s="16">
        <v>0</v>
      </c>
      <c r="E131">
        <f t="shared" ref="E131:E194" si="4">IF($O131="Retail",1,0)</f>
        <v>0</v>
      </c>
      <c r="F131">
        <f t="shared" ref="F131:F194" si="5">IF($O131="Non-Retail",1,0)</f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</v>
      </c>
      <c r="M131" s="16">
        <v>0</v>
      </c>
      <c r="N131" s="16">
        <v>0</v>
      </c>
      <c r="O131">
        <v>43</v>
      </c>
      <c r="Q131" t="s">
        <v>2716</v>
      </c>
      <c r="R131">
        <v>10.622948567248551</v>
      </c>
      <c r="S131">
        <v>20.460734018408338</v>
      </c>
      <c r="T131">
        <v>0.51918707108411555</v>
      </c>
      <c r="U131">
        <v>0.60417443888612965</v>
      </c>
      <c r="V131">
        <v>-29.710695799847755</v>
      </c>
      <c r="W131">
        <v>50.956592934344854</v>
      </c>
      <c r="X131">
        <v>-29.710695799847755</v>
      </c>
      <c r="Y131">
        <v>50.956592934344854</v>
      </c>
      <c r="AD131">
        <v>0</v>
      </c>
      <c r="AE131">
        <v>0</v>
      </c>
      <c r="AF131">
        <v>1</v>
      </c>
      <c r="AG131" s="20">
        <v>43465</v>
      </c>
      <c r="AH131" s="20">
        <v>42064</v>
      </c>
    </row>
    <row r="132" spans="1:34" ht="15.75" thickBot="1" x14ac:dyDescent="0.3">
      <c r="A132" s="15" t="s">
        <v>995</v>
      </c>
      <c r="B132" s="16">
        <v>0</v>
      </c>
      <c r="C132" s="14">
        <v>1</v>
      </c>
      <c r="D132" s="16">
        <v>1</v>
      </c>
      <c r="E132">
        <f t="shared" si="4"/>
        <v>0</v>
      </c>
      <c r="F132">
        <f t="shared" si="5"/>
        <v>0</v>
      </c>
      <c r="G132" s="16">
        <v>1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>
        <v>56</v>
      </c>
      <c r="Q132" s="23" t="s">
        <v>20</v>
      </c>
      <c r="R132" s="23">
        <v>-6.4045642206680107</v>
      </c>
      <c r="S132" s="23">
        <v>5.9950946105137337</v>
      </c>
      <c r="T132" s="23">
        <v>-1.0683007753432583</v>
      </c>
      <c r="U132" s="23">
        <v>0.28660554245876624</v>
      </c>
      <c r="V132" s="23">
        <v>-18.222518246657877</v>
      </c>
      <c r="W132" s="23">
        <v>5.4133898053218577</v>
      </c>
      <c r="X132" s="23">
        <v>-18.222518246657877</v>
      </c>
      <c r="Y132" s="23">
        <v>5.4133898053218577</v>
      </c>
      <c r="AD132">
        <v>0</v>
      </c>
      <c r="AE132">
        <v>1</v>
      </c>
      <c r="AF132">
        <v>0</v>
      </c>
      <c r="AG132" s="20">
        <v>44074</v>
      </c>
      <c r="AH132" s="20">
        <v>42339</v>
      </c>
    </row>
    <row r="133" spans="1:34" x14ac:dyDescent="0.25">
      <c r="A133" s="15" t="s">
        <v>1007</v>
      </c>
      <c r="B133" s="16">
        <v>0</v>
      </c>
      <c r="C133" s="14">
        <v>0</v>
      </c>
      <c r="D133" s="16">
        <v>0</v>
      </c>
      <c r="E133">
        <f t="shared" si="4"/>
        <v>0</v>
      </c>
      <c r="F133">
        <f t="shared" si="5"/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0</v>
      </c>
      <c r="O133">
        <v>48</v>
      </c>
      <c r="AD133">
        <v>0</v>
      </c>
      <c r="AE133">
        <v>0</v>
      </c>
      <c r="AF133">
        <v>1</v>
      </c>
      <c r="AG133" s="20">
        <v>43830</v>
      </c>
      <c r="AH133" s="20">
        <v>42339</v>
      </c>
    </row>
    <row r="134" spans="1:34" ht="18.75" x14ac:dyDescent="0.3">
      <c r="A134" s="12" t="s">
        <v>34</v>
      </c>
      <c r="B134" s="13">
        <v>0</v>
      </c>
      <c r="C134" s="11">
        <v>0</v>
      </c>
      <c r="D134" s="13">
        <v>0</v>
      </c>
      <c r="E134">
        <f t="shared" si="4"/>
        <v>0</v>
      </c>
      <c r="F134">
        <f t="shared" si="5"/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1</v>
      </c>
      <c r="M134" s="13">
        <v>0</v>
      </c>
      <c r="N134" s="13">
        <v>0</v>
      </c>
      <c r="O134">
        <v>90</v>
      </c>
      <c r="Q134" s="26" t="s">
        <v>2746</v>
      </c>
      <c r="AD134">
        <v>0</v>
      </c>
      <c r="AE134">
        <v>0</v>
      </c>
      <c r="AF134">
        <v>1</v>
      </c>
      <c r="AG134" s="19">
        <v>45199</v>
      </c>
      <c r="AH134" s="19">
        <v>42430</v>
      </c>
    </row>
    <row r="135" spans="1:34" ht="15.75" thickBot="1" x14ac:dyDescent="0.3">
      <c r="A135" s="15" t="s">
        <v>1025</v>
      </c>
      <c r="B135" s="16">
        <v>0</v>
      </c>
      <c r="C135" s="14">
        <v>0</v>
      </c>
      <c r="D135" s="16">
        <v>0</v>
      </c>
      <c r="E135">
        <f t="shared" si="4"/>
        <v>0</v>
      </c>
      <c r="F135">
        <f t="shared" si="5"/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1</v>
      </c>
      <c r="O135">
        <v>21</v>
      </c>
      <c r="AD135">
        <v>0</v>
      </c>
      <c r="AE135">
        <v>0</v>
      </c>
      <c r="AF135">
        <v>1</v>
      </c>
      <c r="AG135" s="20">
        <v>43251</v>
      </c>
      <c r="AH135" s="20">
        <v>42430</v>
      </c>
    </row>
    <row r="136" spans="1:34" x14ac:dyDescent="0.25">
      <c r="A136" s="12" t="s">
        <v>36</v>
      </c>
      <c r="B136" s="13">
        <v>0</v>
      </c>
      <c r="C136" s="11">
        <v>1</v>
      </c>
      <c r="D136" s="13">
        <v>1</v>
      </c>
      <c r="E136">
        <f t="shared" si="4"/>
        <v>0</v>
      </c>
      <c r="F136">
        <f t="shared" si="5"/>
        <v>0</v>
      </c>
      <c r="G136" s="13">
        <v>0</v>
      </c>
      <c r="H136" s="13">
        <v>0</v>
      </c>
      <c r="I136" s="13">
        <v>0</v>
      </c>
      <c r="J136" s="13">
        <v>1</v>
      </c>
      <c r="K136" s="13">
        <v>0</v>
      </c>
      <c r="L136" s="13">
        <v>0</v>
      </c>
      <c r="M136" s="13">
        <v>0</v>
      </c>
      <c r="N136" s="13">
        <v>0</v>
      </c>
      <c r="O136">
        <v>92</v>
      </c>
      <c r="Q136" s="25" t="s">
        <v>2718</v>
      </c>
      <c r="R136" s="25"/>
      <c r="AD136">
        <v>0</v>
      </c>
      <c r="AE136">
        <v>1</v>
      </c>
      <c r="AF136">
        <v>0</v>
      </c>
      <c r="AG136" s="19">
        <v>45230</v>
      </c>
      <c r="AH136" s="19">
        <v>42401</v>
      </c>
    </row>
    <row r="137" spans="1:34" x14ac:dyDescent="0.25">
      <c r="A137" s="12" t="s">
        <v>1030</v>
      </c>
      <c r="B137" s="13">
        <v>1</v>
      </c>
      <c r="C137" s="11">
        <v>1</v>
      </c>
      <c r="D137" s="13">
        <v>1</v>
      </c>
      <c r="E137">
        <f t="shared" si="4"/>
        <v>0</v>
      </c>
      <c r="F137">
        <f t="shared" si="5"/>
        <v>0</v>
      </c>
      <c r="G137" s="13">
        <v>0</v>
      </c>
      <c r="H137" s="13">
        <v>0</v>
      </c>
      <c r="I137" s="13">
        <v>1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>
        <v>36</v>
      </c>
      <c r="Q137" t="s">
        <v>2719</v>
      </c>
      <c r="R137">
        <v>0.23768838778654203</v>
      </c>
      <c r="AD137">
        <v>0</v>
      </c>
      <c r="AE137">
        <v>0</v>
      </c>
      <c r="AF137">
        <v>1</v>
      </c>
      <c r="AG137" s="19">
        <v>43677</v>
      </c>
      <c r="AH137" s="19">
        <v>42522</v>
      </c>
    </row>
    <row r="138" spans="1:34" x14ac:dyDescent="0.25">
      <c r="A138" s="15" t="s">
        <v>1032</v>
      </c>
      <c r="B138" s="16">
        <v>1</v>
      </c>
      <c r="C138" s="14">
        <v>1</v>
      </c>
      <c r="D138" s="16">
        <v>1</v>
      </c>
      <c r="E138">
        <f t="shared" si="4"/>
        <v>0</v>
      </c>
      <c r="F138">
        <f t="shared" si="5"/>
        <v>0</v>
      </c>
      <c r="G138" s="16">
        <v>0</v>
      </c>
      <c r="H138" s="16">
        <v>0</v>
      </c>
      <c r="I138" s="16">
        <v>1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>
        <v>29</v>
      </c>
      <c r="Q138" t="s">
        <v>2720</v>
      </c>
      <c r="R138">
        <v>5.6495769688565581E-2</v>
      </c>
      <c r="AD138">
        <v>0</v>
      </c>
      <c r="AE138">
        <v>0</v>
      </c>
      <c r="AF138">
        <v>1</v>
      </c>
      <c r="AG138" s="20">
        <v>43404</v>
      </c>
      <c r="AH138" s="20">
        <v>42491</v>
      </c>
    </row>
    <row r="139" spans="1:34" x14ac:dyDescent="0.25">
      <c r="A139" s="12" t="s">
        <v>1034</v>
      </c>
      <c r="B139" s="13">
        <v>1</v>
      </c>
      <c r="C139" s="11">
        <v>1</v>
      </c>
      <c r="D139" s="13">
        <v>1</v>
      </c>
      <c r="E139">
        <f t="shared" si="4"/>
        <v>0</v>
      </c>
      <c r="F139">
        <f t="shared" si="5"/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1</v>
      </c>
      <c r="L139" s="13">
        <v>0</v>
      </c>
      <c r="M139" s="13">
        <v>0</v>
      </c>
      <c r="N139" s="13">
        <v>0</v>
      </c>
      <c r="O139">
        <v>29</v>
      </c>
      <c r="Q139" t="s">
        <v>2721</v>
      </c>
      <c r="R139">
        <v>3.860943356891753E-2</v>
      </c>
      <c r="AD139">
        <v>0</v>
      </c>
      <c r="AE139">
        <v>0</v>
      </c>
      <c r="AF139">
        <v>1</v>
      </c>
      <c r="AG139" s="19">
        <v>43404</v>
      </c>
      <c r="AH139" s="19">
        <v>42491</v>
      </c>
    </row>
    <row r="140" spans="1:34" x14ac:dyDescent="0.25">
      <c r="A140" s="12" t="s">
        <v>1046</v>
      </c>
      <c r="B140" s="13">
        <v>0</v>
      </c>
      <c r="C140" s="11">
        <v>1</v>
      </c>
      <c r="D140" s="13">
        <v>1</v>
      </c>
      <c r="E140">
        <f t="shared" si="4"/>
        <v>0</v>
      </c>
      <c r="F140">
        <f t="shared" si="5"/>
        <v>0</v>
      </c>
      <c r="G140" s="13">
        <v>0</v>
      </c>
      <c r="H140" s="13">
        <v>0</v>
      </c>
      <c r="I140" s="13">
        <v>0</v>
      </c>
      <c r="J140" s="13">
        <v>1</v>
      </c>
      <c r="K140" s="13">
        <v>0</v>
      </c>
      <c r="L140" s="13">
        <v>0</v>
      </c>
      <c r="M140" s="13">
        <v>0</v>
      </c>
      <c r="N140" s="13">
        <v>0</v>
      </c>
      <c r="O140">
        <v>32</v>
      </c>
      <c r="Q140" t="s">
        <v>2722</v>
      </c>
      <c r="R140">
        <v>28.385571836091053</v>
      </c>
      <c r="AD140">
        <v>0</v>
      </c>
      <c r="AE140">
        <v>1</v>
      </c>
      <c r="AF140">
        <v>0</v>
      </c>
      <c r="AG140" s="19">
        <v>43465</v>
      </c>
      <c r="AH140" s="19">
        <v>42461</v>
      </c>
    </row>
    <row r="141" spans="1:34" ht="15.75" thickBot="1" x14ac:dyDescent="0.3">
      <c r="A141" s="12" t="s">
        <v>1066</v>
      </c>
      <c r="B141" s="13">
        <v>0</v>
      </c>
      <c r="C141" s="11">
        <v>0</v>
      </c>
      <c r="D141" s="13">
        <v>0</v>
      </c>
      <c r="E141">
        <f t="shared" si="4"/>
        <v>0</v>
      </c>
      <c r="F141">
        <f t="shared" si="5"/>
        <v>0</v>
      </c>
      <c r="G141" s="13">
        <v>0</v>
      </c>
      <c r="H141" s="13">
        <v>1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>
        <v>10</v>
      </c>
      <c r="Q141" s="23" t="s">
        <v>2723</v>
      </c>
      <c r="R141" s="23">
        <v>216</v>
      </c>
      <c r="AD141">
        <v>0</v>
      </c>
      <c r="AE141">
        <v>0</v>
      </c>
      <c r="AF141">
        <v>1</v>
      </c>
      <c r="AG141" s="19">
        <v>43100</v>
      </c>
      <c r="AH141" s="19">
        <v>42705</v>
      </c>
    </row>
    <row r="142" spans="1:34" x14ac:dyDescent="0.25">
      <c r="A142" s="15" t="s">
        <v>1068</v>
      </c>
      <c r="B142" s="16">
        <v>0</v>
      </c>
      <c r="C142" s="14">
        <v>1</v>
      </c>
      <c r="D142" s="16">
        <v>1</v>
      </c>
      <c r="E142">
        <f t="shared" si="4"/>
        <v>0</v>
      </c>
      <c r="F142">
        <f t="shared" si="5"/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0</v>
      </c>
      <c r="L142" s="16">
        <v>0</v>
      </c>
      <c r="M142" s="16">
        <v>0</v>
      </c>
      <c r="N142" s="16">
        <v>0</v>
      </c>
      <c r="O142">
        <v>18</v>
      </c>
      <c r="AD142">
        <v>0</v>
      </c>
      <c r="AE142">
        <v>0</v>
      </c>
      <c r="AF142">
        <v>1</v>
      </c>
      <c r="AG142" s="20">
        <v>43190</v>
      </c>
      <c r="AH142" s="20">
        <v>42583</v>
      </c>
    </row>
    <row r="143" spans="1:34" ht="15.75" thickBot="1" x14ac:dyDescent="0.3">
      <c r="A143" s="12" t="s">
        <v>1070</v>
      </c>
      <c r="B143" s="13">
        <v>0</v>
      </c>
      <c r="C143" s="11">
        <v>1</v>
      </c>
      <c r="D143" s="13">
        <v>1</v>
      </c>
      <c r="E143">
        <f t="shared" si="4"/>
        <v>0</v>
      </c>
      <c r="F143">
        <f t="shared" si="5"/>
        <v>0</v>
      </c>
      <c r="G143" s="13">
        <v>1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>
        <v>20</v>
      </c>
      <c r="Q143" t="s">
        <v>2724</v>
      </c>
      <c r="AD143">
        <v>0</v>
      </c>
      <c r="AE143">
        <v>0</v>
      </c>
      <c r="AF143">
        <v>1</v>
      </c>
      <c r="AG143" s="19">
        <v>43190</v>
      </c>
      <c r="AH143" s="19">
        <v>42552</v>
      </c>
    </row>
    <row r="144" spans="1:34" x14ac:dyDescent="0.25">
      <c r="A144" s="12" t="s">
        <v>37</v>
      </c>
      <c r="B144" s="13">
        <v>0</v>
      </c>
      <c r="C144" s="11">
        <v>0</v>
      </c>
      <c r="D144" s="13">
        <v>0</v>
      </c>
      <c r="E144">
        <f t="shared" si="4"/>
        <v>0</v>
      </c>
      <c r="F144">
        <f t="shared" si="5"/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0</v>
      </c>
      <c r="N144" s="13">
        <v>0</v>
      </c>
      <c r="O144">
        <v>86</v>
      </c>
      <c r="Q144" s="24"/>
      <c r="R144" s="24" t="s">
        <v>2729</v>
      </c>
      <c r="S144" s="24" t="s">
        <v>2730</v>
      </c>
      <c r="T144" s="24" t="s">
        <v>2731</v>
      </c>
      <c r="U144" s="24" t="s">
        <v>2732</v>
      </c>
      <c r="V144" s="24" t="s">
        <v>2733</v>
      </c>
      <c r="AD144">
        <v>0</v>
      </c>
      <c r="AE144">
        <v>0</v>
      </c>
      <c r="AF144">
        <v>1</v>
      </c>
      <c r="AG144" s="19">
        <v>45199</v>
      </c>
      <c r="AH144" s="19">
        <v>42552</v>
      </c>
    </row>
    <row r="145" spans="1:34" x14ac:dyDescent="0.25">
      <c r="A145" s="15" t="s">
        <v>1086</v>
      </c>
      <c r="B145" s="16">
        <v>0</v>
      </c>
      <c r="C145" s="14">
        <v>0</v>
      </c>
      <c r="D145" s="16">
        <v>0</v>
      </c>
      <c r="E145">
        <f t="shared" si="4"/>
        <v>0</v>
      </c>
      <c r="F145">
        <f t="shared" si="5"/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</v>
      </c>
      <c r="M145" s="16">
        <v>0</v>
      </c>
      <c r="N145" s="16">
        <v>0</v>
      </c>
      <c r="O145">
        <v>20</v>
      </c>
      <c r="Q145" t="s">
        <v>2725</v>
      </c>
      <c r="R145">
        <v>4</v>
      </c>
      <c r="S145">
        <v>10180.048067875556</v>
      </c>
      <c r="T145">
        <v>2545.0120169688889</v>
      </c>
      <c r="U145">
        <v>3.158599352636859</v>
      </c>
      <c r="V145">
        <v>1.5069697886156988E-2</v>
      </c>
      <c r="AD145">
        <v>0</v>
      </c>
      <c r="AE145">
        <v>0</v>
      </c>
      <c r="AF145">
        <v>1</v>
      </c>
      <c r="AG145" s="20">
        <v>43343</v>
      </c>
      <c r="AH145" s="20">
        <v>42705</v>
      </c>
    </row>
    <row r="146" spans="1:34" x14ac:dyDescent="0.25">
      <c r="A146" s="12" t="s">
        <v>1104</v>
      </c>
      <c r="B146" s="13">
        <v>0</v>
      </c>
      <c r="C146" s="11">
        <v>0</v>
      </c>
      <c r="D146" s="13">
        <v>0</v>
      </c>
      <c r="E146">
        <f t="shared" si="4"/>
        <v>0</v>
      </c>
      <c r="F146">
        <f t="shared" si="5"/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1</v>
      </c>
      <c r="O146">
        <v>39</v>
      </c>
      <c r="Q146" t="s">
        <v>2726</v>
      </c>
      <c r="R146">
        <v>211</v>
      </c>
      <c r="S146">
        <v>170011.28526545787</v>
      </c>
      <c r="T146">
        <v>805.74068846188561</v>
      </c>
      <c r="AD146">
        <v>0</v>
      </c>
      <c r="AE146">
        <v>0</v>
      </c>
      <c r="AF146">
        <v>1</v>
      </c>
      <c r="AG146" s="19">
        <v>43830</v>
      </c>
      <c r="AH146" s="19">
        <v>42614</v>
      </c>
    </row>
    <row r="147" spans="1:34" ht="15.75" thickBot="1" x14ac:dyDescent="0.3">
      <c r="A147" s="15" t="s">
        <v>1110</v>
      </c>
      <c r="B147" s="16">
        <v>0</v>
      </c>
      <c r="C147" s="14">
        <v>1</v>
      </c>
      <c r="D147" s="16">
        <v>1</v>
      </c>
      <c r="E147">
        <f t="shared" si="4"/>
        <v>0</v>
      </c>
      <c r="F147">
        <f t="shared" si="5"/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1</v>
      </c>
      <c r="N147" s="16">
        <v>0</v>
      </c>
      <c r="O147">
        <v>16</v>
      </c>
      <c r="Q147" s="23" t="s">
        <v>2727</v>
      </c>
      <c r="R147" s="23">
        <v>215</v>
      </c>
      <c r="S147" s="23">
        <v>180191.33333333343</v>
      </c>
      <c r="T147" s="23"/>
      <c r="U147" s="23"/>
      <c r="V147" s="23"/>
      <c r="AD147">
        <v>0</v>
      </c>
      <c r="AE147">
        <v>0</v>
      </c>
      <c r="AF147">
        <v>1</v>
      </c>
      <c r="AG147" s="20">
        <v>43708</v>
      </c>
      <c r="AH147" s="20">
        <v>43191</v>
      </c>
    </row>
    <row r="148" spans="1:34" ht="15.75" thickBot="1" x14ac:dyDescent="0.3">
      <c r="A148" s="15" t="s">
        <v>1130</v>
      </c>
      <c r="B148" s="16">
        <v>0</v>
      </c>
      <c r="C148" s="14">
        <v>0</v>
      </c>
      <c r="D148" s="16">
        <v>0</v>
      </c>
      <c r="E148">
        <f t="shared" si="4"/>
        <v>0</v>
      </c>
      <c r="F148">
        <f t="shared" si="5"/>
        <v>0</v>
      </c>
      <c r="G148" s="16">
        <v>0</v>
      </c>
      <c r="H148" s="16">
        <v>1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>
        <v>39</v>
      </c>
      <c r="AD148">
        <v>0</v>
      </c>
      <c r="AE148">
        <v>0</v>
      </c>
      <c r="AF148">
        <v>1</v>
      </c>
      <c r="AG148" s="20">
        <v>43921</v>
      </c>
      <c r="AH148" s="20">
        <v>42705</v>
      </c>
    </row>
    <row r="149" spans="1:34" x14ac:dyDescent="0.25">
      <c r="A149" s="12" t="s">
        <v>1132</v>
      </c>
      <c r="B149" s="13">
        <v>0</v>
      </c>
      <c r="C149" s="11">
        <v>0</v>
      </c>
      <c r="D149" s="13">
        <v>0</v>
      </c>
      <c r="E149">
        <f t="shared" si="4"/>
        <v>0</v>
      </c>
      <c r="F149">
        <f t="shared" si="5"/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1</v>
      </c>
      <c r="M149" s="13">
        <v>0</v>
      </c>
      <c r="N149" s="13">
        <v>0</v>
      </c>
      <c r="O149">
        <v>39</v>
      </c>
      <c r="Q149" s="24"/>
      <c r="R149" s="24" t="s">
        <v>2734</v>
      </c>
      <c r="S149" s="24" t="s">
        <v>2722</v>
      </c>
      <c r="T149" s="24" t="s">
        <v>2735</v>
      </c>
      <c r="U149" s="24" t="s">
        <v>2736</v>
      </c>
      <c r="V149" s="24" t="s">
        <v>2737</v>
      </c>
      <c r="W149" s="24" t="s">
        <v>2738</v>
      </c>
      <c r="X149" s="24" t="s">
        <v>2739</v>
      </c>
      <c r="Y149" s="24" t="s">
        <v>2740</v>
      </c>
      <c r="AD149">
        <v>0</v>
      </c>
      <c r="AE149">
        <v>0</v>
      </c>
      <c r="AF149">
        <v>1</v>
      </c>
      <c r="AG149" s="19">
        <v>43921</v>
      </c>
      <c r="AH149" s="19">
        <v>42705</v>
      </c>
    </row>
    <row r="150" spans="1:34" x14ac:dyDescent="0.25">
      <c r="A150" s="15" t="s">
        <v>1134</v>
      </c>
      <c r="B150" s="16">
        <v>0</v>
      </c>
      <c r="C150" s="14">
        <v>0</v>
      </c>
      <c r="D150" s="16">
        <v>0</v>
      </c>
      <c r="E150">
        <f t="shared" si="4"/>
        <v>0</v>
      </c>
      <c r="F150">
        <f t="shared" si="5"/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1</v>
      </c>
      <c r="M150" s="16">
        <v>0</v>
      </c>
      <c r="N150" s="16">
        <v>0</v>
      </c>
      <c r="O150">
        <v>72</v>
      </c>
      <c r="Q150" t="s">
        <v>2728</v>
      </c>
      <c r="R150">
        <v>52.599163835902829</v>
      </c>
      <c r="S150">
        <v>2.9200879230987562</v>
      </c>
      <c r="T150">
        <v>18.012869893343943</v>
      </c>
      <c r="U150">
        <v>1.5050442570210443E-44</v>
      </c>
      <c r="V150">
        <v>46.842880229217236</v>
      </c>
      <c r="W150">
        <v>58.355447442588421</v>
      </c>
      <c r="X150">
        <v>46.842880229217236</v>
      </c>
      <c r="Y150">
        <v>58.355447442588421</v>
      </c>
      <c r="AD150">
        <v>0</v>
      </c>
      <c r="AE150">
        <v>0</v>
      </c>
      <c r="AF150">
        <v>1</v>
      </c>
      <c r="AG150" s="20">
        <v>44926</v>
      </c>
      <c r="AH150" s="20">
        <v>42705</v>
      </c>
    </row>
    <row r="151" spans="1:34" x14ac:dyDescent="0.25">
      <c r="A151" s="12" t="s">
        <v>1136</v>
      </c>
      <c r="B151" s="13">
        <v>0</v>
      </c>
      <c r="C151" s="11">
        <v>0</v>
      </c>
      <c r="D151" s="13">
        <v>0</v>
      </c>
      <c r="E151">
        <f t="shared" si="4"/>
        <v>0</v>
      </c>
      <c r="F151">
        <f t="shared" si="5"/>
        <v>0</v>
      </c>
      <c r="G151" s="13">
        <v>0</v>
      </c>
      <c r="H151" s="13">
        <v>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>
        <v>0</v>
      </c>
      <c r="Q151" t="s">
        <v>2715</v>
      </c>
      <c r="R151">
        <v>14.838456213698629</v>
      </c>
      <c r="S151">
        <v>5.8336894845451859</v>
      </c>
      <c r="T151">
        <v>2.5435800539279962</v>
      </c>
      <c r="U151">
        <v>1.1688307348233789E-2</v>
      </c>
      <c r="V151">
        <v>3.3386753746523361</v>
      </c>
      <c r="W151">
        <v>26.338237052744923</v>
      </c>
      <c r="X151">
        <v>3.3386753746523361</v>
      </c>
      <c r="Y151">
        <v>26.338237052744923</v>
      </c>
      <c r="AD151">
        <v>0</v>
      </c>
      <c r="AE151">
        <v>0</v>
      </c>
      <c r="AF151">
        <v>1</v>
      </c>
      <c r="AG151" s="19">
        <v>42827</v>
      </c>
      <c r="AH151" s="19">
        <v>42826</v>
      </c>
    </row>
    <row r="152" spans="1:34" x14ac:dyDescent="0.25">
      <c r="A152" s="12" t="s">
        <v>1148</v>
      </c>
      <c r="B152" s="13">
        <v>0</v>
      </c>
      <c r="C152" s="11">
        <v>0</v>
      </c>
      <c r="D152" s="13">
        <v>0</v>
      </c>
      <c r="E152">
        <f t="shared" si="4"/>
        <v>0</v>
      </c>
      <c r="F152">
        <f t="shared" si="5"/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1</v>
      </c>
      <c r="O152">
        <v>62</v>
      </c>
      <c r="Q152" t="s">
        <v>2714</v>
      </c>
      <c r="R152">
        <v>-21.920564410765618</v>
      </c>
      <c r="S152">
        <v>20.249166420658376</v>
      </c>
      <c r="T152">
        <v>-1.0825415701261691</v>
      </c>
      <c r="U152">
        <v>0.28024752565549116</v>
      </c>
      <c r="V152">
        <v>-61.837151782762405</v>
      </c>
      <c r="W152">
        <v>17.996022961231173</v>
      </c>
      <c r="X152">
        <v>-61.837151782762405</v>
      </c>
      <c r="Y152">
        <v>17.996022961231173</v>
      </c>
      <c r="AD152">
        <v>0</v>
      </c>
      <c r="AE152">
        <v>0</v>
      </c>
      <c r="AF152">
        <v>1</v>
      </c>
      <c r="AG152" s="19">
        <v>44469</v>
      </c>
      <c r="AH152" s="19">
        <v>42552</v>
      </c>
    </row>
    <row r="153" spans="1:34" x14ac:dyDescent="0.25">
      <c r="A153" s="15" t="s">
        <v>39</v>
      </c>
      <c r="B153" s="16">
        <v>0</v>
      </c>
      <c r="C153" s="14">
        <v>0</v>
      </c>
      <c r="D153" s="16">
        <v>0</v>
      </c>
      <c r="E153">
        <f t="shared" si="4"/>
        <v>0</v>
      </c>
      <c r="F153">
        <f t="shared" si="5"/>
        <v>0</v>
      </c>
      <c r="G153" s="16">
        <v>0</v>
      </c>
      <c r="H153" s="16">
        <v>0</v>
      </c>
      <c r="I153" s="16">
        <v>0</v>
      </c>
      <c r="J153" s="16">
        <v>1</v>
      </c>
      <c r="K153" s="16">
        <v>0</v>
      </c>
      <c r="L153" s="16">
        <v>0</v>
      </c>
      <c r="M153" s="16">
        <v>0</v>
      </c>
      <c r="N153" s="16">
        <v>0</v>
      </c>
      <c r="O153">
        <v>81</v>
      </c>
      <c r="Q153" t="s">
        <v>2716</v>
      </c>
      <c r="R153">
        <v>8.0794355892343273</v>
      </c>
      <c r="S153">
        <v>20.24916642065838</v>
      </c>
      <c r="T153">
        <v>0.39900089817976975</v>
      </c>
      <c r="U153">
        <v>0.69029606312245906</v>
      </c>
      <c r="V153">
        <v>-31.837151782762469</v>
      </c>
      <c r="W153">
        <v>47.996022961231127</v>
      </c>
      <c r="X153">
        <v>-31.837151782762469</v>
      </c>
      <c r="Y153">
        <v>47.996022961231127</v>
      </c>
      <c r="AD153">
        <v>0</v>
      </c>
      <c r="AE153">
        <v>0</v>
      </c>
      <c r="AF153">
        <v>1</v>
      </c>
      <c r="AG153" s="20">
        <v>45199</v>
      </c>
      <c r="AH153" s="20">
        <v>42644</v>
      </c>
    </row>
    <row r="154" spans="1:34" ht="15.75" thickBot="1" x14ac:dyDescent="0.3">
      <c r="A154" s="12" t="s">
        <v>1158</v>
      </c>
      <c r="B154" s="13">
        <v>1</v>
      </c>
      <c r="C154" s="11">
        <v>1</v>
      </c>
      <c r="D154" s="13">
        <v>1</v>
      </c>
      <c r="E154">
        <f t="shared" si="4"/>
        <v>0</v>
      </c>
      <c r="F154">
        <f t="shared" si="5"/>
        <v>0</v>
      </c>
      <c r="G154" s="13">
        <v>0</v>
      </c>
      <c r="H154" s="13">
        <v>0</v>
      </c>
      <c r="I154" s="13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>
        <v>36</v>
      </c>
      <c r="Q154" s="23" t="s">
        <v>80</v>
      </c>
      <c r="R154" s="23">
        <v>-15.251337748946282</v>
      </c>
      <c r="S154" s="23">
        <v>6.5999331303276199</v>
      </c>
      <c r="T154" s="23">
        <v>-2.3108321626569581</v>
      </c>
      <c r="U154" s="23">
        <v>2.1808015597762381E-2</v>
      </c>
      <c r="V154" s="23">
        <v>-28.261592194644749</v>
      </c>
      <c r="W154" s="23">
        <v>-2.2410833032478177</v>
      </c>
      <c r="X154" s="23">
        <v>-28.261592194644749</v>
      </c>
      <c r="Y154" s="23">
        <v>-2.2410833032478177</v>
      </c>
      <c r="AD154">
        <v>0</v>
      </c>
      <c r="AE154">
        <v>1</v>
      </c>
      <c r="AF154">
        <v>0</v>
      </c>
      <c r="AG154" s="19">
        <v>43830</v>
      </c>
      <c r="AH154" s="19">
        <v>42705</v>
      </c>
    </row>
    <row r="155" spans="1:34" x14ac:dyDescent="0.25">
      <c r="A155" s="15" t="s">
        <v>1164</v>
      </c>
      <c r="B155" s="16">
        <v>1</v>
      </c>
      <c r="C155" s="14">
        <v>1</v>
      </c>
      <c r="D155" s="16">
        <v>1</v>
      </c>
      <c r="E155">
        <f t="shared" si="4"/>
        <v>0</v>
      </c>
      <c r="F155">
        <f t="shared" si="5"/>
        <v>0</v>
      </c>
      <c r="G155" s="16">
        <v>0</v>
      </c>
      <c r="H155" s="16">
        <v>0</v>
      </c>
      <c r="I155" s="16">
        <v>1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>
        <v>47</v>
      </c>
      <c r="AD155">
        <v>0</v>
      </c>
      <c r="AE155">
        <v>1</v>
      </c>
      <c r="AF155">
        <v>0</v>
      </c>
      <c r="AG155" s="20">
        <v>44255</v>
      </c>
      <c r="AH155" s="20">
        <v>42795</v>
      </c>
    </row>
    <row r="156" spans="1:34" ht="18.75" x14ac:dyDescent="0.3">
      <c r="A156" s="12" t="s">
        <v>1194</v>
      </c>
      <c r="B156" s="13">
        <v>0</v>
      </c>
      <c r="C156" s="11">
        <v>1</v>
      </c>
      <c r="D156" s="13">
        <v>1</v>
      </c>
      <c r="E156">
        <f t="shared" si="4"/>
        <v>0</v>
      </c>
      <c r="F156">
        <f t="shared" si="5"/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1</v>
      </c>
      <c r="N156" s="13">
        <v>0</v>
      </c>
      <c r="O156">
        <v>19</v>
      </c>
      <c r="Q156" s="26" t="s">
        <v>2748</v>
      </c>
      <c r="AD156">
        <v>0</v>
      </c>
      <c r="AE156">
        <v>0</v>
      </c>
      <c r="AF156">
        <v>1</v>
      </c>
      <c r="AG156" s="19">
        <v>43404</v>
      </c>
      <c r="AH156" s="19">
        <v>42795</v>
      </c>
    </row>
    <row r="157" spans="1:34" ht="15.75" thickBot="1" x14ac:dyDescent="0.3">
      <c r="A157" s="15" t="s">
        <v>1196</v>
      </c>
      <c r="B157" s="16">
        <v>0</v>
      </c>
      <c r="C157" s="14">
        <v>1</v>
      </c>
      <c r="D157" s="16">
        <v>1</v>
      </c>
      <c r="E157">
        <f t="shared" si="4"/>
        <v>0</v>
      </c>
      <c r="F157">
        <f t="shared" si="5"/>
        <v>0</v>
      </c>
      <c r="G157" s="16">
        <v>0</v>
      </c>
      <c r="H157" s="16">
        <v>0</v>
      </c>
      <c r="I157" s="16">
        <v>1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>
        <v>34</v>
      </c>
      <c r="AD157">
        <v>0</v>
      </c>
      <c r="AE157">
        <v>1</v>
      </c>
      <c r="AF157">
        <v>0</v>
      </c>
      <c r="AG157" s="20">
        <v>43830</v>
      </c>
      <c r="AH157" s="20">
        <v>42767</v>
      </c>
    </row>
    <row r="158" spans="1:34" x14ac:dyDescent="0.25">
      <c r="A158" s="12" t="s">
        <v>1210</v>
      </c>
      <c r="B158" s="13">
        <v>0</v>
      </c>
      <c r="C158" s="11">
        <v>0</v>
      </c>
      <c r="D158" s="13">
        <v>0</v>
      </c>
      <c r="E158">
        <f t="shared" si="4"/>
        <v>0</v>
      </c>
      <c r="F158">
        <f t="shared" si="5"/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0</v>
      </c>
      <c r="N158" s="13">
        <v>0</v>
      </c>
      <c r="O158">
        <v>69</v>
      </c>
      <c r="Q158" s="25" t="s">
        <v>2718</v>
      </c>
      <c r="R158" s="25"/>
      <c r="AD158">
        <v>0</v>
      </c>
      <c r="AE158">
        <v>0</v>
      </c>
      <c r="AF158">
        <v>1</v>
      </c>
      <c r="AG158" s="19">
        <v>44926</v>
      </c>
      <c r="AH158" s="19">
        <v>42795</v>
      </c>
    </row>
    <row r="159" spans="1:34" x14ac:dyDescent="0.25">
      <c r="A159" s="12" t="s">
        <v>1226</v>
      </c>
      <c r="B159" s="13">
        <v>1</v>
      </c>
      <c r="C159" s="11">
        <v>1</v>
      </c>
      <c r="D159" s="13">
        <v>1</v>
      </c>
      <c r="E159">
        <f t="shared" si="4"/>
        <v>0</v>
      </c>
      <c r="F159">
        <f t="shared" si="5"/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1</v>
      </c>
      <c r="L159" s="13">
        <v>0</v>
      </c>
      <c r="M159" s="13">
        <v>0</v>
      </c>
      <c r="N159" s="13">
        <v>0</v>
      </c>
      <c r="O159">
        <v>20</v>
      </c>
      <c r="Q159" t="s">
        <v>2719</v>
      </c>
      <c r="R159">
        <v>0.18584296145125842</v>
      </c>
      <c r="AD159">
        <v>0</v>
      </c>
      <c r="AE159">
        <v>1</v>
      </c>
      <c r="AF159">
        <v>0</v>
      </c>
      <c r="AG159" s="19">
        <v>43434</v>
      </c>
      <c r="AH159" s="19">
        <v>42795</v>
      </c>
    </row>
    <row r="160" spans="1:34" x14ac:dyDescent="0.25">
      <c r="A160" s="15" t="s">
        <v>1228</v>
      </c>
      <c r="B160" s="16">
        <v>0</v>
      </c>
      <c r="C160" s="14">
        <v>1</v>
      </c>
      <c r="D160" s="16">
        <v>1</v>
      </c>
      <c r="E160">
        <f t="shared" si="4"/>
        <v>0</v>
      </c>
      <c r="F160">
        <f t="shared" si="5"/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1</v>
      </c>
      <c r="M160" s="16">
        <v>0</v>
      </c>
      <c r="N160" s="16">
        <v>0</v>
      </c>
      <c r="O160">
        <v>33</v>
      </c>
      <c r="Q160" t="s">
        <v>2720</v>
      </c>
      <c r="R160">
        <v>3.4537606320973926E-2</v>
      </c>
      <c r="AD160">
        <v>0</v>
      </c>
      <c r="AE160">
        <v>1</v>
      </c>
      <c r="AF160">
        <v>0</v>
      </c>
      <c r="AG160" s="20">
        <v>43830</v>
      </c>
      <c r="AH160" s="20">
        <v>42795</v>
      </c>
    </row>
    <row r="161" spans="1:34" x14ac:dyDescent="0.25">
      <c r="A161" s="15" t="s">
        <v>1244</v>
      </c>
      <c r="B161" s="16">
        <v>1</v>
      </c>
      <c r="C161" s="14">
        <v>1</v>
      </c>
      <c r="D161" s="16">
        <v>1</v>
      </c>
      <c r="E161">
        <f t="shared" si="4"/>
        <v>0</v>
      </c>
      <c r="F161">
        <f t="shared" si="5"/>
        <v>0</v>
      </c>
      <c r="G161" s="16">
        <v>0</v>
      </c>
      <c r="H161" s="16">
        <v>0</v>
      </c>
      <c r="I161" s="16">
        <v>1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>
        <v>18</v>
      </c>
      <c r="Q161" t="s">
        <v>2721</v>
      </c>
      <c r="R161">
        <v>1.6235001701466325E-2</v>
      </c>
      <c r="AD161">
        <v>0</v>
      </c>
      <c r="AE161">
        <v>1</v>
      </c>
      <c r="AF161">
        <v>0</v>
      </c>
      <c r="AG161" s="20">
        <v>43465</v>
      </c>
      <c r="AH161" s="20">
        <v>42887</v>
      </c>
    </row>
    <row r="162" spans="1:34" x14ac:dyDescent="0.25">
      <c r="A162" s="12" t="s">
        <v>1250</v>
      </c>
      <c r="B162" s="13">
        <v>1</v>
      </c>
      <c r="C162" s="11">
        <v>1</v>
      </c>
      <c r="D162" s="13">
        <v>1</v>
      </c>
      <c r="E162">
        <f t="shared" si="4"/>
        <v>0</v>
      </c>
      <c r="F162">
        <f t="shared" si="5"/>
        <v>0</v>
      </c>
      <c r="G162" s="13">
        <v>0</v>
      </c>
      <c r="H162" s="13">
        <v>0</v>
      </c>
      <c r="I162" s="13">
        <v>1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>
        <v>37</v>
      </c>
      <c r="Q162" t="s">
        <v>2722</v>
      </c>
      <c r="R162">
        <v>28.713980609895863</v>
      </c>
      <c r="AD162">
        <v>0</v>
      </c>
      <c r="AE162">
        <v>1</v>
      </c>
      <c r="AF162">
        <v>0</v>
      </c>
      <c r="AG162" s="19">
        <v>44377</v>
      </c>
      <c r="AH162" s="19">
        <v>43221</v>
      </c>
    </row>
    <row r="163" spans="1:34" ht="15.75" thickBot="1" x14ac:dyDescent="0.3">
      <c r="A163" s="15" t="s">
        <v>1264</v>
      </c>
      <c r="B163" s="16">
        <v>0</v>
      </c>
      <c r="C163" s="14">
        <v>0</v>
      </c>
      <c r="D163" s="16">
        <v>0</v>
      </c>
      <c r="E163">
        <f t="shared" si="4"/>
        <v>0</v>
      </c>
      <c r="F163">
        <f t="shared" si="5"/>
        <v>0</v>
      </c>
      <c r="G163" s="16">
        <v>0</v>
      </c>
      <c r="H163" s="16">
        <v>1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>
        <v>8</v>
      </c>
      <c r="Q163" s="23" t="s">
        <v>2723</v>
      </c>
      <c r="R163" s="23">
        <v>216</v>
      </c>
      <c r="AD163">
        <v>0</v>
      </c>
      <c r="AE163">
        <v>0</v>
      </c>
      <c r="AF163">
        <v>1</v>
      </c>
      <c r="AG163" s="20">
        <v>43281</v>
      </c>
      <c r="AH163" s="20">
        <v>42979</v>
      </c>
    </row>
    <row r="164" spans="1:34" x14ac:dyDescent="0.25">
      <c r="A164" s="12" t="s">
        <v>1282</v>
      </c>
      <c r="B164" s="13">
        <v>0</v>
      </c>
      <c r="C164" s="11">
        <v>1</v>
      </c>
      <c r="D164" s="13">
        <v>1</v>
      </c>
      <c r="E164">
        <f t="shared" si="4"/>
        <v>0</v>
      </c>
      <c r="F164">
        <f t="shared" si="5"/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1</v>
      </c>
      <c r="N164" s="13">
        <v>0</v>
      </c>
      <c r="O164">
        <v>15</v>
      </c>
      <c r="AD164">
        <v>0</v>
      </c>
      <c r="AE164">
        <v>0</v>
      </c>
      <c r="AF164">
        <v>1</v>
      </c>
      <c r="AG164" s="19">
        <v>43496</v>
      </c>
      <c r="AH164" s="19">
        <v>43009</v>
      </c>
    </row>
    <row r="165" spans="1:34" ht="15.75" thickBot="1" x14ac:dyDescent="0.3">
      <c r="A165" s="15" t="s">
        <v>1292</v>
      </c>
      <c r="B165" s="16">
        <v>0</v>
      </c>
      <c r="C165" s="14">
        <v>1</v>
      </c>
      <c r="D165" s="16">
        <v>1</v>
      </c>
      <c r="E165">
        <f t="shared" si="4"/>
        <v>0</v>
      </c>
      <c r="F165">
        <f t="shared" si="5"/>
        <v>0</v>
      </c>
      <c r="G165" s="16">
        <v>1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>
        <v>12</v>
      </c>
      <c r="Q165" t="s">
        <v>2724</v>
      </c>
      <c r="AD165">
        <v>0</v>
      </c>
      <c r="AE165">
        <v>0</v>
      </c>
      <c r="AF165">
        <v>1</v>
      </c>
      <c r="AG165" s="20">
        <v>43465</v>
      </c>
      <c r="AH165" s="20">
        <v>43070</v>
      </c>
    </row>
    <row r="166" spans="1:34" x14ac:dyDescent="0.25">
      <c r="A166" s="15" t="s">
        <v>41</v>
      </c>
      <c r="B166" s="16">
        <v>0</v>
      </c>
      <c r="C166" s="14">
        <v>0</v>
      </c>
      <c r="D166" s="16">
        <v>0</v>
      </c>
      <c r="E166">
        <f t="shared" si="4"/>
        <v>0</v>
      </c>
      <c r="F166">
        <f t="shared" si="5"/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0</v>
      </c>
      <c r="N166" s="16">
        <v>0</v>
      </c>
      <c r="O166">
        <v>49</v>
      </c>
      <c r="Q166" s="24"/>
      <c r="R166" s="24" t="s">
        <v>2729</v>
      </c>
      <c r="S166" s="24" t="s">
        <v>2730</v>
      </c>
      <c r="T166" s="24" t="s">
        <v>2731</v>
      </c>
      <c r="U166" s="24" t="s">
        <v>2732</v>
      </c>
      <c r="V166" s="24" t="s">
        <v>2733</v>
      </c>
      <c r="AD166">
        <v>0</v>
      </c>
      <c r="AE166">
        <v>0</v>
      </c>
      <c r="AF166">
        <v>1</v>
      </c>
      <c r="AG166" s="20">
        <v>45199</v>
      </c>
      <c r="AH166" s="20">
        <v>43617</v>
      </c>
    </row>
    <row r="167" spans="1:34" x14ac:dyDescent="0.25">
      <c r="A167" s="12" t="s">
        <v>1300</v>
      </c>
      <c r="B167" s="13">
        <v>1</v>
      </c>
      <c r="C167" s="11">
        <v>1</v>
      </c>
      <c r="D167" s="13">
        <v>1</v>
      </c>
      <c r="E167">
        <f t="shared" si="4"/>
        <v>0</v>
      </c>
      <c r="F167">
        <f t="shared" si="5"/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1</v>
      </c>
      <c r="L167" s="13">
        <v>0</v>
      </c>
      <c r="M167" s="13">
        <v>0</v>
      </c>
      <c r="N167" s="13">
        <v>0</v>
      </c>
      <c r="O167">
        <v>47</v>
      </c>
      <c r="Q167" t="s">
        <v>2725</v>
      </c>
      <c r="R167">
        <v>4</v>
      </c>
      <c r="S167">
        <v>6223.3773331180564</v>
      </c>
      <c r="T167">
        <v>1555.8443332795141</v>
      </c>
      <c r="U167">
        <v>1.8870323125574406</v>
      </c>
      <c r="V167">
        <v>0.11387974254535149</v>
      </c>
      <c r="AD167">
        <v>0</v>
      </c>
      <c r="AE167">
        <v>1</v>
      </c>
      <c r="AF167">
        <v>0</v>
      </c>
      <c r="AG167" s="19">
        <v>44439</v>
      </c>
      <c r="AH167" s="19">
        <v>42979</v>
      </c>
    </row>
    <row r="168" spans="1:34" x14ac:dyDescent="0.25">
      <c r="A168" s="12" t="s">
        <v>1320</v>
      </c>
      <c r="B168" s="13">
        <v>1</v>
      </c>
      <c r="C168" s="11">
        <v>1</v>
      </c>
      <c r="D168" s="13">
        <v>1</v>
      </c>
      <c r="E168">
        <f t="shared" si="4"/>
        <v>0</v>
      </c>
      <c r="F168">
        <f t="shared" si="5"/>
        <v>0</v>
      </c>
      <c r="G168" s="13">
        <v>1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>
        <v>19</v>
      </c>
      <c r="Q168" t="s">
        <v>2726</v>
      </c>
      <c r="R168">
        <v>211</v>
      </c>
      <c r="S168">
        <v>173967.95600021537</v>
      </c>
      <c r="T168">
        <v>824.4926824654757</v>
      </c>
      <c r="AD168">
        <v>0</v>
      </c>
      <c r="AE168">
        <v>0</v>
      </c>
      <c r="AF168">
        <v>1</v>
      </c>
      <c r="AG168" s="19">
        <v>43616</v>
      </c>
      <c r="AH168" s="19">
        <v>43009</v>
      </c>
    </row>
    <row r="169" spans="1:34" ht="15.75" thickBot="1" x14ac:dyDescent="0.3">
      <c r="A169" s="15" t="s">
        <v>1322</v>
      </c>
      <c r="B169" s="16">
        <v>0</v>
      </c>
      <c r="C169" s="14">
        <v>1</v>
      </c>
      <c r="D169" s="16">
        <v>1</v>
      </c>
      <c r="E169">
        <f t="shared" si="4"/>
        <v>0</v>
      </c>
      <c r="F169">
        <f t="shared" si="5"/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</v>
      </c>
      <c r="N169" s="16">
        <v>0</v>
      </c>
      <c r="O169">
        <v>48</v>
      </c>
      <c r="Q169" s="23" t="s">
        <v>2727</v>
      </c>
      <c r="R169" s="23">
        <v>215</v>
      </c>
      <c r="S169" s="23">
        <v>180191.33333333343</v>
      </c>
      <c r="T169" s="23"/>
      <c r="U169" s="23"/>
      <c r="V169" s="23"/>
      <c r="AD169">
        <v>0</v>
      </c>
      <c r="AE169">
        <v>0</v>
      </c>
      <c r="AF169">
        <v>1</v>
      </c>
      <c r="AG169" s="20">
        <v>44530</v>
      </c>
      <c r="AH169" s="20">
        <v>43040</v>
      </c>
    </row>
    <row r="170" spans="1:34" ht="15.75" thickBot="1" x14ac:dyDescent="0.3">
      <c r="A170" s="12" t="s">
        <v>1332</v>
      </c>
      <c r="B170" s="13">
        <v>0</v>
      </c>
      <c r="C170" s="11">
        <v>1</v>
      </c>
      <c r="D170" s="13">
        <v>1</v>
      </c>
      <c r="E170">
        <f t="shared" si="4"/>
        <v>0</v>
      </c>
      <c r="F170">
        <f t="shared" si="5"/>
        <v>0</v>
      </c>
      <c r="G170" s="13">
        <v>1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>
        <v>54</v>
      </c>
      <c r="AD170">
        <v>0</v>
      </c>
      <c r="AE170">
        <v>0</v>
      </c>
      <c r="AF170">
        <v>1</v>
      </c>
      <c r="AG170" s="19">
        <v>44712</v>
      </c>
      <c r="AH170" s="19">
        <v>43040</v>
      </c>
    </row>
    <row r="171" spans="1:34" x14ac:dyDescent="0.25">
      <c r="A171" s="15" t="s">
        <v>1334</v>
      </c>
      <c r="B171" s="16">
        <v>0</v>
      </c>
      <c r="C171" s="14">
        <v>1</v>
      </c>
      <c r="D171" s="16">
        <v>1</v>
      </c>
      <c r="E171">
        <f t="shared" si="4"/>
        <v>0</v>
      </c>
      <c r="F171">
        <f t="shared" si="5"/>
        <v>0</v>
      </c>
      <c r="G171" s="16">
        <v>0</v>
      </c>
      <c r="H171" s="16">
        <v>0</v>
      </c>
      <c r="I171" s="16">
        <v>0</v>
      </c>
      <c r="J171" s="16">
        <v>1</v>
      </c>
      <c r="K171" s="16">
        <v>0</v>
      </c>
      <c r="L171" s="16">
        <v>0</v>
      </c>
      <c r="M171" s="16">
        <v>0</v>
      </c>
      <c r="N171" s="16">
        <v>0</v>
      </c>
      <c r="O171">
        <v>15</v>
      </c>
      <c r="Q171" s="24"/>
      <c r="R171" s="24" t="s">
        <v>2734</v>
      </c>
      <c r="S171" s="24" t="s">
        <v>2722</v>
      </c>
      <c r="T171" s="24" t="s">
        <v>2735</v>
      </c>
      <c r="U171" s="24" t="s">
        <v>2736</v>
      </c>
      <c r="V171" s="24" t="s">
        <v>2737</v>
      </c>
      <c r="W171" s="24" t="s">
        <v>2738</v>
      </c>
      <c r="X171" s="24" t="s">
        <v>2739</v>
      </c>
      <c r="Y171" s="24" t="s">
        <v>2740</v>
      </c>
      <c r="AD171">
        <v>0</v>
      </c>
      <c r="AE171">
        <v>0</v>
      </c>
      <c r="AF171">
        <v>1</v>
      </c>
      <c r="AG171" s="20">
        <v>43496</v>
      </c>
      <c r="AH171" s="20">
        <v>43009</v>
      </c>
    </row>
    <row r="172" spans="1:34" x14ac:dyDescent="0.25">
      <c r="A172" s="12" t="s">
        <v>1336</v>
      </c>
      <c r="B172" s="13">
        <v>1</v>
      </c>
      <c r="C172" s="11">
        <v>1</v>
      </c>
      <c r="D172" s="13">
        <v>1</v>
      </c>
      <c r="E172">
        <f t="shared" si="4"/>
        <v>0</v>
      </c>
      <c r="F172">
        <f t="shared" si="5"/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1</v>
      </c>
      <c r="L172" s="13">
        <v>0</v>
      </c>
      <c r="M172" s="13">
        <v>0</v>
      </c>
      <c r="N172" s="13">
        <v>0</v>
      </c>
      <c r="O172">
        <v>36</v>
      </c>
      <c r="Q172" t="s">
        <v>2728</v>
      </c>
      <c r="R172">
        <v>49.618295028361977</v>
      </c>
      <c r="S172">
        <v>2.6490336590087855</v>
      </c>
      <c r="T172">
        <v>18.730715202361051</v>
      </c>
      <c r="U172">
        <v>9.2898204398883132E-47</v>
      </c>
      <c r="V172">
        <v>44.396332735963249</v>
      </c>
      <c r="W172">
        <v>54.840257320760706</v>
      </c>
      <c r="X172">
        <v>44.396332735963249</v>
      </c>
      <c r="Y172">
        <v>54.840257320760706</v>
      </c>
      <c r="AD172">
        <v>0</v>
      </c>
      <c r="AE172">
        <v>0</v>
      </c>
      <c r="AF172">
        <v>1</v>
      </c>
      <c r="AG172" s="19">
        <v>44196</v>
      </c>
      <c r="AH172" s="19">
        <v>43070</v>
      </c>
    </row>
    <row r="173" spans="1:34" x14ac:dyDescent="0.25">
      <c r="A173" s="15" t="s">
        <v>1346</v>
      </c>
      <c r="B173" s="16">
        <v>1</v>
      </c>
      <c r="C173" s="14">
        <v>1</v>
      </c>
      <c r="D173" s="16">
        <v>1</v>
      </c>
      <c r="E173">
        <f t="shared" si="4"/>
        <v>0</v>
      </c>
      <c r="F173">
        <f t="shared" si="5"/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1</v>
      </c>
      <c r="L173" s="16">
        <v>0</v>
      </c>
      <c r="M173" s="16">
        <v>0</v>
      </c>
      <c r="N173" s="16">
        <v>0</v>
      </c>
      <c r="O173">
        <v>33</v>
      </c>
      <c r="Q173" t="s">
        <v>2715</v>
      </c>
      <c r="R173">
        <v>15.562636540341645</v>
      </c>
      <c r="S173">
        <v>6.0169824839122388</v>
      </c>
      <c r="T173">
        <v>2.5864520267346411</v>
      </c>
      <c r="U173">
        <v>1.036928551856991E-2</v>
      </c>
      <c r="V173">
        <v>3.7015355920168762</v>
      </c>
      <c r="W173">
        <v>27.423737488666411</v>
      </c>
      <c r="X173">
        <v>3.7015355920168762</v>
      </c>
      <c r="Y173">
        <v>27.423737488666411</v>
      </c>
      <c r="AD173">
        <v>0</v>
      </c>
      <c r="AE173">
        <v>0</v>
      </c>
      <c r="AF173">
        <v>1</v>
      </c>
      <c r="AG173" s="20">
        <v>44196</v>
      </c>
      <c r="AH173" s="20">
        <v>43160</v>
      </c>
    </row>
    <row r="174" spans="1:34" x14ac:dyDescent="0.25">
      <c r="A174" s="12" t="s">
        <v>239</v>
      </c>
      <c r="B174" s="13">
        <v>1</v>
      </c>
      <c r="C174" s="11">
        <v>1</v>
      </c>
      <c r="D174" s="13">
        <v>1</v>
      </c>
      <c r="E174">
        <f t="shared" si="4"/>
        <v>0</v>
      </c>
      <c r="F174">
        <f t="shared" si="5"/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1</v>
      </c>
      <c r="L174" s="13">
        <v>0</v>
      </c>
      <c r="M174" s="13">
        <v>0</v>
      </c>
      <c r="N174" s="13">
        <v>0</v>
      </c>
      <c r="O174">
        <v>72</v>
      </c>
      <c r="Q174" t="s">
        <v>2714</v>
      </c>
      <c r="R174">
        <v>-20.958813346710325</v>
      </c>
      <c r="S174">
        <v>20.490319961284769</v>
      </c>
      <c r="T174">
        <v>-1.0228641322493133</v>
      </c>
      <c r="U174">
        <v>0.30754337138951193</v>
      </c>
      <c r="V174">
        <v>-61.350779614534602</v>
      </c>
      <c r="W174">
        <v>19.433152921113955</v>
      </c>
      <c r="X174">
        <v>-61.350779614534602</v>
      </c>
      <c r="Y174">
        <v>19.433152921113955</v>
      </c>
      <c r="AD174">
        <v>0</v>
      </c>
      <c r="AE174">
        <v>0</v>
      </c>
      <c r="AF174">
        <v>1</v>
      </c>
      <c r="AG174" s="19">
        <v>45382</v>
      </c>
      <c r="AH174" s="19">
        <v>43160</v>
      </c>
    </row>
    <row r="175" spans="1:34" x14ac:dyDescent="0.25">
      <c r="A175" s="12" t="s">
        <v>1354</v>
      </c>
      <c r="B175" s="13">
        <v>1</v>
      </c>
      <c r="C175" s="11">
        <v>1</v>
      </c>
      <c r="D175" s="13">
        <v>1</v>
      </c>
      <c r="E175">
        <f t="shared" si="4"/>
        <v>0</v>
      </c>
      <c r="F175">
        <f t="shared" si="5"/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1</v>
      </c>
      <c r="L175" s="13">
        <v>0</v>
      </c>
      <c r="M175" s="13">
        <v>0</v>
      </c>
      <c r="N175" s="13">
        <v>0</v>
      </c>
      <c r="O175">
        <v>32</v>
      </c>
      <c r="Q175" t="s">
        <v>2716</v>
      </c>
      <c r="R175">
        <v>9.0411866532896941</v>
      </c>
      <c r="S175">
        <v>20.490319961284769</v>
      </c>
      <c r="T175">
        <v>0.44124184836412872</v>
      </c>
      <c r="U175">
        <v>0.65948972361335167</v>
      </c>
      <c r="V175">
        <v>-31.350779614534588</v>
      </c>
      <c r="W175">
        <v>49.433152921113972</v>
      </c>
      <c r="X175">
        <v>-31.350779614534588</v>
      </c>
      <c r="Y175">
        <v>49.433152921113972</v>
      </c>
      <c r="AD175">
        <v>0</v>
      </c>
      <c r="AE175">
        <v>0</v>
      </c>
      <c r="AF175">
        <v>1</v>
      </c>
      <c r="AG175" s="19">
        <v>44196</v>
      </c>
      <c r="AH175" s="19">
        <v>43191</v>
      </c>
    </row>
    <row r="176" spans="1:34" ht="15.75" thickBot="1" x14ac:dyDescent="0.3">
      <c r="A176" s="15" t="s">
        <v>241</v>
      </c>
      <c r="B176" s="16">
        <v>1</v>
      </c>
      <c r="C176" s="14">
        <v>1</v>
      </c>
      <c r="D176" s="16">
        <v>1</v>
      </c>
      <c r="E176">
        <f t="shared" si="4"/>
        <v>0</v>
      </c>
      <c r="F176">
        <f t="shared" si="5"/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</v>
      </c>
      <c r="L176" s="16">
        <v>0</v>
      </c>
      <c r="M176" s="16">
        <v>0</v>
      </c>
      <c r="N176" s="16">
        <v>0</v>
      </c>
      <c r="O176">
        <v>71</v>
      </c>
      <c r="Q176" s="23" t="s">
        <v>5</v>
      </c>
      <c r="R176" s="23">
        <v>6.3305407029561414</v>
      </c>
      <c r="S176" s="23">
        <v>9.7731267730755533</v>
      </c>
      <c r="T176" s="23">
        <v>0.64774977854543392</v>
      </c>
      <c r="U176" s="23">
        <v>0.51785098284990638</v>
      </c>
      <c r="V176" s="23">
        <v>-12.934937224919342</v>
      </c>
      <c r="W176" s="23">
        <v>25.596018630831626</v>
      </c>
      <c r="X176" s="23">
        <v>-12.934937224919342</v>
      </c>
      <c r="Y176" s="23">
        <v>25.596018630831626</v>
      </c>
      <c r="AD176">
        <v>0</v>
      </c>
      <c r="AE176">
        <v>0</v>
      </c>
      <c r="AF176">
        <v>1</v>
      </c>
      <c r="AG176" s="20">
        <v>45382</v>
      </c>
      <c r="AH176" s="20">
        <v>43191</v>
      </c>
    </row>
    <row r="177" spans="1:34" ht="15.75" thickBot="1" x14ac:dyDescent="0.3">
      <c r="A177" s="12" t="s">
        <v>1360</v>
      </c>
      <c r="B177" s="13">
        <v>1</v>
      </c>
      <c r="C177" s="11">
        <v>1</v>
      </c>
      <c r="D177" s="13">
        <v>1</v>
      </c>
      <c r="E177">
        <f t="shared" si="4"/>
        <v>0</v>
      </c>
      <c r="F177">
        <f t="shared" si="5"/>
        <v>0</v>
      </c>
      <c r="G177" s="13">
        <v>0</v>
      </c>
      <c r="H177" s="13">
        <v>0</v>
      </c>
      <c r="I177" s="13">
        <v>1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>
        <v>13</v>
      </c>
      <c r="AD177">
        <v>0</v>
      </c>
      <c r="AE177">
        <v>0</v>
      </c>
      <c r="AF177">
        <v>1</v>
      </c>
      <c r="AG177" s="19">
        <v>43646</v>
      </c>
      <c r="AH177" s="19">
        <v>43191</v>
      </c>
    </row>
    <row r="178" spans="1:34" x14ac:dyDescent="0.25">
      <c r="A178" s="12" t="s">
        <v>1400</v>
      </c>
      <c r="B178" s="13">
        <v>0</v>
      </c>
      <c r="C178" s="11">
        <v>0</v>
      </c>
      <c r="D178" s="13">
        <v>0</v>
      </c>
      <c r="E178">
        <f t="shared" si="4"/>
        <v>0</v>
      </c>
      <c r="F178">
        <f t="shared" si="5"/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0</v>
      </c>
      <c r="N178" s="13">
        <v>0</v>
      </c>
      <c r="O178">
        <v>21</v>
      </c>
      <c r="Q178" s="24"/>
      <c r="R178" s="24" t="s">
        <v>2715</v>
      </c>
      <c r="S178" s="24" t="s">
        <v>2714</v>
      </c>
      <c r="T178" s="24" t="s">
        <v>2716</v>
      </c>
      <c r="U178" s="24" t="s">
        <v>5</v>
      </c>
      <c r="V178" s="24" t="s">
        <v>80</v>
      </c>
      <c r="W178" s="24" t="s">
        <v>20</v>
      </c>
      <c r="X178" s="24" t="s">
        <v>29</v>
      </c>
      <c r="Y178" s="24" t="s">
        <v>50</v>
      </c>
      <c r="Z178" s="24" t="s">
        <v>32</v>
      </c>
      <c r="AA178" s="24" t="s">
        <v>47</v>
      </c>
      <c r="AB178" s="24" t="s">
        <v>12</v>
      </c>
      <c r="AC178" s="24" t="s">
        <v>2713</v>
      </c>
      <c r="AD178">
        <v>0</v>
      </c>
      <c r="AE178">
        <v>0</v>
      </c>
      <c r="AF178">
        <v>1</v>
      </c>
      <c r="AG178" s="19">
        <v>43830</v>
      </c>
      <c r="AH178" s="19">
        <v>43160</v>
      </c>
    </row>
    <row r="179" spans="1:34" x14ac:dyDescent="0.25">
      <c r="A179" s="12" t="s">
        <v>1424</v>
      </c>
      <c r="B179" s="13">
        <v>0</v>
      </c>
      <c r="C179" s="11">
        <v>1</v>
      </c>
      <c r="D179" s="13">
        <v>1</v>
      </c>
      <c r="E179">
        <f t="shared" si="4"/>
        <v>0</v>
      </c>
      <c r="F179">
        <f t="shared" si="5"/>
        <v>0</v>
      </c>
      <c r="G179" s="13">
        <v>0</v>
      </c>
      <c r="H179" s="13">
        <v>0</v>
      </c>
      <c r="I179" s="13">
        <v>1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>
        <v>24</v>
      </c>
      <c r="Q179" t="s">
        <v>2715</v>
      </c>
      <c r="R179">
        <v>1</v>
      </c>
      <c r="AD179">
        <v>0</v>
      </c>
      <c r="AE179">
        <v>0</v>
      </c>
      <c r="AF179">
        <v>1</v>
      </c>
      <c r="AG179" s="19">
        <v>43921</v>
      </c>
      <c r="AH179" s="19">
        <v>43160</v>
      </c>
    </row>
    <row r="180" spans="1:34" x14ac:dyDescent="0.25">
      <c r="A180" s="12" t="s">
        <v>1428</v>
      </c>
      <c r="B180" s="13">
        <v>0</v>
      </c>
      <c r="C180" s="11">
        <v>1</v>
      </c>
      <c r="D180" s="13">
        <v>0</v>
      </c>
      <c r="E180">
        <f t="shared" si="4"/>
        <v>0</v>
      </c>
      <c r="F180">
        <f t="shared" si="5"/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1</v>
      </c>
      <c r="N180" s="13">
        <v>0</v>
      </c>
      <c r="O180">
        <v>6</v>
      </c>
      <c r="Q180" t="s">
        <v>2714</v>
      </c>
      <c r="R180">
        <v>0.65700221159859074</v>
      </c>
      <c r="S180">
        <v>1</v>
      </c>
      <c r="AD180">
        <v>0</v>
      </c>
      <c r="AE180">
        <v>0</v>
      </c>
      <c r="AF180">
        <v>1</v>
      </c>
      <c r="AG180" s="19">
        <v>43404</v>
      </c>
      <c r="AH180" s="19">
        <v>43191</v>
      </c>
    </row>
    <row r="181" spans="1:34" x14ac:dyDescent="0.25">
      <c r="A181" s="12" t="s">
        <v>43</v>
      </c>
      <c r="B181" s="13">
        <v>1</v>
      </c>
      <c r="C181" s="11">
        <v>1</v>
      </c>
      <c r="D181" s="13">
        <v>1</v>
      </c>
      <c r="E181">
        <f t="shared" si="4"/>
        <v>0</v>
      </c>
      <c r="F181">
        <f t="shared" si="5"/>
        <v>0</v>
      </c>
      <c r="G181" s="13">
        <v>1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>
        <v>61</v>
      </c>
      <c r="Q181" t="s">
        <v>2716</v>
      </c>
      <c r="R181">
        <v>0.65700221159859074</v>
      </c>
      <c r="S181">
        <v>0.98132134209616062</v>
      </c>
      <c r="T181">
        <v>1</v>
      </c>
      <c r="AD181">
        <v>0</v>
      </c>
      <c r="AE181">
        <v>0</v>
      </c>
      <c r="AF181">
        <v>1</v>
      </c>
      <c r="AG181" s="19">
        <v>45107</v>
      </c>
      <c r="AH181" s="19">
        <v>43221</v>
      </c>
    </row>
    <row r="182" spans="1:34" x14ac:dyDescent="0.25">
      <c r="A182" s="12" t="s">
        <v>1438</v>
      </c>
      <c r="B182" s="13">
        <v>0</v>
      </c>
      <c r="C182" s="11">
        <v>0</v>
      </c>
      <c r="D182" s="13">
        <v>0</v>
      </c>
      <c r="E182">
        <f t="shared" si="4"/>
        <v>0</v>
      </c>
      <c r="F182">
        <f t="shared" si="5"/>
        <v>0</v>
      </c>
      <c r="G182" s="13">
        <v>0</v>
      </c>
      <c r="H182" s="13">
        <v>1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>
        <v>15</v>
      </c>
      <c r="Q182" t="s">
        <v>5</v>
      </c>
      <c r="R182">
        <v>1.8051986601589722E-2</v>
      </c>
      <c r="S182">
        <v>0.24176551592792572</v>
      </c>
      <c r="T182">
        <v>0.24176551592792572</v>
      </c>
      <c r="U182">
        <v>1</v>
      </c>
      <c r="AD182">
        <v>0</v>
      </c>
      <c r="AE182">
        <v>0</v>
      </c>
      <c r="AF182">
        <v>1</v>
      </c>
      <c r="AG182" s="19">
        <v>43738</v>
      </c>
      <c r="AH182" s="19">
        <v>43252</v>
      </c>
    </row>
    <row r="183" spans="1:34" x14ac:dyDescent="0.25">
      <c r="A183" s="12" t="s">
        <v>1446</v>
      </c>
      <c r="B183" s="13">
        <v>0</v>
      </c>
      <c r="C183" s="11">
        <v>1</v>
      </c>
      <c r="D183" s="13">
        <v>1</v>
      </c>
      <c r="E183">
        <f t="shared" si="4"/>
        <v>0</v>
      </c>
      <c r="F183">
        <f t="shared" si="5"/>
        <v>0</v>
      </c>
      <c r="G183" s="13">
        <v>0</v>
      </c>
      <c r="H183" s="13">
        <v>0</v>
      </c>
      <c r="I183" s="13">
        <v>1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>
        <v>55</v>
      </c>
      <c r="Q183" t="s">
        <v>80</v>
      </c>
      <c r="R183">
        <v>-0.20669221967188581</v>
      </c>
      <c r="S183">
        <v>-0.31459897093644512</v>
      </c>
      <c r="T183">
        <v>-0.31459897093644512</v>
      </c>
      <c r="U183">
        <v>-7.6059182518844137E-2</v>
      </c>
      <c r="V183">
        <v>1</v>
      </c>
      <c r="AD183">
        <v>0</v>
      </c>
      <c r="AE183">
        <v>1</v>
      </c>
      <c r="AF183">
        <v>0</v>
      </c>
      <c r="AG183" s="19">
        <v>44926</v>
      </c>
      <c r="AH183" s="19">
        <v>43221</v>
      </c>
    </row>
    <row r="184" spans="1:34" x14ac:dyDescent="0.25">
      <c r="A184" s="15" t="s">
        <v>1448</v>
      </c>
      <c r="B184" s="16">
        <v>0</v>
      </c>
      <c r="C184" s="14">
        <v>1</v>
      </c>
      <c r="D184" s="16">
        <v>1</v>
      </c>
      <c r="E184">
        <f t="shared" si="4"/>
        <v>0</v>
      </c>
      <c r="F184">
        <f t="shared" si="5"/>
        <v>0</v>
      </c>
      <c r="G184" s="16">
        <v>0</v>
      </c>
      <c r="H184" s="16">
        <v>0</v>
      </c>
      <c r="I184" s="16">
        <v>1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>
        <v>41</v>
      </c>
      <c r="Q184" t="s">
        <v>20</v>
      </c>
      <c r="R184">
        <v>0.52053428321192463</v>
      </c>
      <c r="S184">
        <v>0.56290637546600764</v>
      </c>
      <c r="T184">
        <v>0.56290637546600764</v>
      </c>
      <c r="U184">
        <v>-0.11302501972710596</v>
      </c>
      <c r="V184">
        <v>-0.17708976645517091</v>
      </c>
      <c r="W184">
        <v>1</v>
      </c>
      <c r="AD184">
        <v>0</v>
      </c>
      <c r="AE184">
        <v>1</v>
      </c>
      <c r="AF184">
        <v>0</v>
      </c>
      <c r="AG184" s="20">
        <v>44530</v>
      </c>
      <c r="AH184" s="20">
        <v>43252</v>
      </c>
    </row>
    <row r="185" spans="1:34" x14ac:dyDescent="0.25">
      <c r="A185" s="12" t="s">
        <v>1450</v>
      </c>
      <c r="B185" s="13">
        <v>0</v>
      </c>
      <c r="C185" s="11">
        <v>1</v>
      </c>
      <c r="D185" s="13">
        <v>1</v>
      </c>
      <c r="E185">
        <f t="shared" si="4"/>
        <v>0</v>
      </c>
      <c r="F185">
        <f t="shared" si="5"/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1</v>
      </c>
      <c r="N185" s="13">
        <v>0</v>
      </c>
      <c r="O185">
        <v>16</v>
      </c>
      <c r="Q185" t="s">
        <v>29</v>
      </c>
      <c r="R185">
        <v>-0.2016273030729851</v>
      </c>
      <c r="S185">
        <v>-0.12241431433854244</v>
      </c>
      <c r="T185">
        <v>-9.1668393527931796E-2</v>
      </c>
      <c r="U185">
        <v>-7.4195380307759615E-2</v>
      </c>
      <c r="V185">
        <v>-0.11625074344138896</v>
      </c>
      <c r="W185">
        <v>-0.17275024705266032</v>
      </c>
      <c r="X185">
        <v>1</v>
      </c>
      <c r="AD185">
        <v>0</v>
      </c>
      <c r="AE185">
        <v>0</v>
      </c>
      <c r="AF185">
        <v>1</v>
      </c>
      <c r="AG185" s="19">
        <v>43738</v>
      </c>
      <c r="AH185" s="19">
        <v>43221</v>
      </c>
    </row>
    <row r="186" spans="1:34" x14ac:dyDescent="0.25">
      <c r="A186" s="12" t="s">
        <v>1454</v>
      </c>
      <c r="B186" s="13">
        <v>1</v>
      </c>
      <c r="C186" s="11">
        <v>1</v>
      </c>
      <c r="D186" s="13">
        <v>1</v>
      </c>
      <c r="E186">
        <f t="shared" si="4"/>
        <v>0</v>
      </c>
      <c r="F186">
        <f t="shared" si="5"/>
        <v>0</v>
      </c>
      <c r="G186" s="13">
        <v>0</v>
      </c>
      <c r="H186" s="13">
        <v>0</v>
      </c>
      <c r="I186" s="13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>
        <v>14</v>
      </c>
      <c r="Q186" t="s">
        <v>50</v>
      </c>
      <c r="R186">
        <v>0.48870669449251591</v>
      </c>
      <c r="S186">
        <v>0.40591756000565582</v>
      </c>
      <c r="T186">
        <v>0.40591756000565582</v>
      </c>
      <c r="U186">
        <v>-8.1503500807281928E-2</v>
      </c>
      <c r="V186">
        <v>-0.1277012466628128</v>
      </c>
      <c r="W186">
        <v>-0.18976585660336812</v>
      </c>
      <c r="X186">
        <v>-0.12457197471948786</v>
      </c>
      <c r="Y186">
        <v>1</v>
      </c>
      <c r="AD186">
        <v>0</v>
      </c>
      <c r="AE186">
        <v>1</v>
      </c>
      <c r="AF186">
        <v>0</v>
      </c>
      <c r="AG186" s="19">
        <v>43799</v>
      </c>
      <c r="AH186" s="19">
        <v>43344</v>
      </c>
    </row>
    <row r="187" spans="1:34" x14ac:dyDescent="0.25">
      <c r="A187" s="12" t="s">
        <v>1466</v>
      </c>
      <c r="B187" s="13">
        <v>1</v>
      </c>
      <c r="C187" s="11">
        <v>1</v>
      </c>
      <c r="D187" s="13">
        <v>1</v>
      </c>
      <c r="E187">
        <f t="shared" si="4"/>
        <v>0</v>
      </c>
      <c r="F187">
        <f t="shared" si="5"/>
        <v>0</v>
      </c>
      <c r="G187" s="13">
        <v>0</v>
      </c>
      <c r="H187" s="13">
        <v>0</v>
      </c>
      <c r="I187" s="13">
        <v>1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>
        <v>16</v>
      </c>
      <c r="Q187" t="s">
        <v>32</v>
      </c>
      <c r="R187">
        <v>-0.31575078746638496</v>
      </c>
      <c r="S187">
        <v>-0.45805560047667027</v>
      </c>
      <c r="T187">
        <v>-0.45805560047667027</v>
      </c>
      <c r="U187">
        <v>-0.11619086007445581</v>
      </c>
      <c r="V187">
        <v>-0.18205006576854577</v>
      </c>
      <c r="W187">
        <v>-0.27052896959171069</v>
      </c>
      <c r="X187">
        <v>-0.17758899606110473</v>
      </c>
      <c r="Y187">
        <v>-0.19508121427227029</v>
      </c>
      <c r="Z187">
        <v>1</v>
      </c>
      <c r="AD187">
        <v>0</v>
      </c>
      <c r="AE187">
        <v>1</v>
      </c>
      <c r="AF187">
        <v>0</v>
      </c>
      <c r="AG187" s="19">
        <v>43982</v>
      </c>
      <c r="AH187" s="19">
        <v>43466</v>
      </c>
    </row>
    <row r="188" spans="1:34" x14ac:dyDescent="0.25">
      <c r="A188" s="15" t="s">
        <v>45</v>
      </c>
      <c r="B188" s="16">
        <v>0</v>
      </c>
      <c r="C188" s="14">
        <v>1</v>
      </c>
      <c r="D188" s="16">
        <v>1</v>
      </c>
      <c r="E188">
        <f t="shared" si="4"/>
        <v>0</v>
      </c>
      <c r="F188">
        <f t="shared" si="5"/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1</v>
      </c>
      <c r="N188" s="16">
        <v>0</v>
      </c>
      <c r="O188">
        <v>48</v>
      </c>
      <c r="Q188" t="s">
        <v>47</v>
      </c>
      <c r="R188">
        <v>-0.1452159783052846</v>
      </c>
      <c r="S188">
        <v>0.18494191497126852</v>
      </c>
      <c r="T188">
        <v>0.14434490924586812</v>
      </c>
      <c r="U188">
        <v>-5.3436982853576585E-2</v>
      </c>
      <c r="V188">
        <v>-8.3726088581600855E-2</v>
      </c>
      <c r="W188">
        <v>-0.12441815044835959</v>
      </c>
      <c r="X188">
        <v>-8.1674411665599203E-2</v>
      </c>
      <c r="Y188">
        <v>-8.9719204207990969E-2</v>
      </c>
      <c r="Z188">
        <v>-0.12790311334934451</v>
      </c>
      <c r="AA188">
        <v>1</v>
      </c>
      <c r="AD188">
        <v>0</v>
      </c>
      <c r="AE188">
        <v>1</v>
      </c>
      <c r="AF188">
        <v>0</v>
      </c>
      <c r="AG188" s="20">
        <v>44985</v>
      </c>
      <c r="AH188" s="20">
        <v>43497</v>
      </c>
    </row>
    <row r="189" spans="1:34" x14ac:dyDescent="0.25">
      <c r="A189" s="15" t="s">
        <v>1474</v>
      </c>
      <c r="B189" s="16">
        <v>1</v>
      </c>
      <c r="C189" s="14">
        <v>1</v>
      </c>
      <c r="D189" s="16">
        <v>1</v>
      </c>
      <c r="E189">
        <f t="shared" si="4"/>
        <v>0</v>
      </c>
      <c r="F189">
        <f t="shared" si="5"/>
        <v>0</v>
      </c>
      <c r="G189" s="16">
        <v>0</v>
      </c>
      <c r="H189" s="16">
        <v>0</v>
      </c>
      <c r="I189" s="16">
        <v>1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>
        <v>34</v>
      </c>
      <c r="Q189" t="s">
        <v>12</v>
      </c>
      <c r="R189">
        <v>-0.24509465956414511</v>
      </c>
      <c r="S189">
        <v>-0.37304997644953158</v>
      </c>
      <c r="T189">
        <v>-0.37304997644953158</v>
      </c>
      <c r="U189">
        <v>-9.0190620023221452E-2</v>
      </c>
      <c r="V189">
        <v>-0.14131239149457903</v>
      </c>
      <c r="W189">
        <v>-0.20999221011088645</v>
      </c>
      <c r="X189">
        <v>-0.13784958346800083</v>
      </c>
      <c r="Y189">
        <v>-0.15142753620056137</v>
      </c>
      <c r="Z189">
        <v>-0.2158741096496202</v>
      </c>
      <c r="AA189">
        <v>-9.9282001084126992E-2</v>
      </c>
      <c r="AB189">
        <v>1</v>
      </c>
      <c r="AD189">
        <v>0</v>
      </c>
      <c r="AE189">
        <v>1</v>
      </c>
      <c r="AF189">
        <v>0</v>
      </c>
      <c r="AG189" s="20">
        <v>44592</v>
      </c>
      <c r="AH189" s="20">
        <v>43525</v>
      </c>
    </row>
    <row r="190" spans="1:34" ht="15.75" thickBot="1" x14ac:dyDescent="0.3">
      <c r="A190" s="12" t="s">
        <v>1508</v>
      </c>
      <c r="B190" s="13">
        <v>0</v>
      </c>
      <c r="C190" s="11">
        <v>0</v>
      </c>
      <c r="D190" s="13">
        <v>0</v>
      </c>
      <c r="E190">
        <f t="shared" si="4"/>
        <v>0</v>
      </c>
      <c r="F190">
        <f t="shared" si="5"/>
        <v>0</v>
      </c>
      <c r="G190" s="13">
        <v>0</v>
      </c>
      <c r="H190" s="13">
        <v>0</v>
      </c>
      <c r="I190" s="13">
        <v>0</v>
      </c>
      <c r="J190" s="13">
        <v>1</v>
      </c>
      <c r="K190" s="13">
        <v>0</v>
      </c>
      <c r="L190" s="13">
        <v>0</v>
      </c>
      <c r="M190" s="13">
        <v>0</v>
      </c>
      <c r="N190" s="13">
        <v>0</v>
      </c>
      <c r="O190">
        <v>36</v>
      </c>
      <c r="Q190" s="23" t="s">
        <v>2713</v>
      </c>
      <c r="R190" s="23">
        <v>0.10334680839597826</v>
      </c>
      <c r="S190" s="23">
        <v>-4.1175482674006038E-2</v>
      </c>
      <c r="T190" s="23">
        <v>-3.1516594470720506E-2</v>
      </c>
      <c r="U190" s="23">
        <v>6.7806884976661004E-4</v>
      </c>
      <c r="V190" s="23">
        <v>-0.13462021008701699</v>
      </c>
      <c r="W190" s="23">
        <v>-4.5191952029348337E-2</v>
      </c>
      <c r="X190" s="23">
        <v>6.4420268903230452E-2</v>
      </c>
      <c r="Y190" s="23">
        <v>0.13354996193601101</v>
      </c>
      <c r="Z190" s="23">
        <v>2.4970572453010303E-2</v>
      </c>
      <c r="AA190" s="23">
        <v>-0.19196975025726898</v>
      </c>
      <c r="AB190" s="23">
        <v>8.6890797664957789E-2</v>
      </c>
      <c r="AC190" s="23">
        <v>1</v>
      </c>
      <c r="AD190">
        <v>0</v>
      </c>
      <c r="AE190">
        <v>0</v>
      </c>
      <c r="AF190">
        <v>1</v>
      </c>
      <c r="AG190" s="19">
        <v>44561</v>
      </c>
      <c r="AH190" s="19">
        <v>43435</v>
      </c>
    </row>
    <row r="191" spans="1:34" x14ac:dyDescent="0.25">
      <c r="A191" s="15" t="s">
        <v>1510</v>
      </c>
      <c r="B191" s="16">
        <v>0</v>
      </c>
      <c r="C191" s="14">
        <v>0</v>
      </c>
      <c r="D191" s="16">
        <v>1</v>
      </c>
      <c r="E191">
        <f t="shared" si="4"/>
        <v>0</v>
      </c>
      <c r="F191">
        <f t="shared" si="5"/>
        <v>0</v>
      </c>
      <c r="G191" s="16">
        <v>0</v>
      </c>
      <c r="H191" s="16">
        <v>0</v>
      </c>
      <c r="I191" s="16">
        <v>0</v>
      </c>
      <c r="J191" s="16">
        <v>1</v>
      </c>
      <c r="K191" s="16">
        <v>0</v>
      </c>
      <c r="L191" s="16">
        <v>0</v>
      </c>
      <c r="M191" s="16">
        <v>0</v>
      </c>
      <c r="N191" s="16">
        <v>0</v>
      </c>
      <c r="O191">
        <v>36</v>
      </c>
      <c r="AD191">
        <v>0</v>
      </c>
      <c r="AE191">
        <v>0</v>
      </c>
      <c r="AF191">
        <v>1</v>
      </c>
      <c r="AG191" s="20">
        <v>44561</v>
      </c>
      <c r="AH191" s="20">
        <v>43435</v>
      </c>
    </row>
    <row r="192" spans="1:34" ht="15.75" thickBot="1" x14ac:dyDescent="0.3">
      <c r="A192" s="15" t="s">
        <v>48</v>
      </c>
      <c r="B192" s="16">
        <v>1</v>
      </c>
      <c r="C192" s="14">
        <v>1</v>
      </c>
      <c r="D192" s="16">
        <v>1</v>
      </c>
      <c r="E192">
        <f t="shared" si="4"/>
        <v>0</v>
      </c>
      <c r="F192">
        <f t="shared" si="5"/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1</v>
      </c>
      <c r="L192" s="16">
        <v>0</v>
      </c>
      <c r="M192" s="16">
        <v>0</v>
      </c>
      <c r="N192" s="16">
        <v>0</v>
      </c>
      <c r="O192">
        <v>55</v>
      </c>
      <c r="AD192">
        <v>0</v>
      </c>
      <c r="AE192">
        <v>1</v>
      </c>
      <c r="AF192">
        <v>0</v>
      </c>
      <c r="AG192" s="20">
        <v>45291</v>
      </c>
      <c r="AH192" s="20">
        <v>43586</v>
      </c>
    </row>
    <row r="193" spans="1:34" x14ac:dyDescent="0.25">
      <c r="A193" s="15" t="s">
        <v>1528</v>
      </c>
      <c r="B193" s="16">
        <v>0</v>
      </c>
      <c r="C193" s="14">
        <v>1</v>
      </c>
      <c r="D193" s="16">
        <v>1</v>
      </c>
      <c r="E193">
        <f t="shared" si="4"/>
        <v>0</v>
      </c>
      <c r="F193">
        <f t="shared" si="5"/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1</v>
      </c>
      <c r="L193" s="16">
        <v>0</v>
      </c>
      <c r="M193" s="16">
        <v>0</v>
      </c>
      <c r="N193" s="16">
        <v>0</v>
      </c>
      <c r="O193">
        <v>19</v>
      </c>
      <c r="Q193" s="25" t="s">
        <v>2713</v>
      </c>
      <c r="R193" s="25"/>
      <c r="T193" s="24" t="s">
        <v>2890</v>
      </c>
      <c r="U193" s="24" t="s">
        <v>2892</v>
      </c>
      <c r="AD193">
        <v>0</v>
      </c>
      <c r="AE193">
        <v>0</v>
      </c>
      <c r="AF193">
        <v>1</v>
      </c>
      <c r="AG193" s="20">
        <v>44012</v>
      </c>
      <c r="AH193" s="20">
        <v>43405</v>
      </c>
    </row>
    <row r="194" spans="1:34" x14ac:dyDescent="0.25">
      <c r="A194" s="15" t="s">
        <v>1536</v>
      </c>
      <c r="B194" s="16">
        <v>1</v>
      </c>
      <c r="C194" s="14">
        <v>1</v>
      </c>
      <c r="D194" s="16">
        <v>1</v>
      </c>
      <c r="E194">
        <f t="shared" si="4"/>
        <v>0</v>
      </c>
      <c r="F194">
        <f t="shared" si="5"/>
        <v>0</v>
      </c>
      <c r="G194" s="16">
        <v>0</v>
      </c>
      <c r="H194" s="16">
        <v>0</v>
      </c>
      <c r="I194" s="16">
        <v>1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>
        <v>18</v>
      </c>
      <c r="T194">
        <v>0</v>
      </c>
      <c r="U194">
        <v>2</v>
      </c>
      <c r="AD194">
        <v>0</v>
      </c>
      <c r="AE194">
        <v>0</v>
      </c>
      <c r="AF194">
        <v>1</v>
      </c>
      <c r="AG194" s="20">
        <v>44012</v>
      </c>
      <c r="AH194" s="20">
        <v>43405</v>
      </c>
    </row>
    <row r="195" spans="1:34" x14ac:dyDescent="0.25">
      <c r="A195" s="15" t="s">
        <v>1548</v>
      </c>
      <c r="B195" s="16">
        <v>1</v>
      </c>
      <c r="C195" s="14">
        <v>1</v>
      </c>
      <c r="D195" s="16">
        <v>1</v>
      </c>
      <c r="E195">
        <f t="shared" ref="E195:E258" si="6">IF($O195="Retail",1,0)</f>
        <v>0</v>
      </c>
      <c r="F195">
        <f t="shared" ref="F195:F258" si="7">IF($O195="Non-Retail",1,0)</f>
        <v>0</v>
      </c>
      <c r="G195" s="16">
        <v>0</v>
      </c>
      <c r="H195" s="16">
        <v>0</v>
      </c>
      <c r="I195" s="16">
        <v>1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>
        <v>12</v>
      </c>
      <c r="Q195" t="s">
        <v>2749</v>
      </c>
      <c r="R195">
        <v>48.611111111111114</v>
      </c>
      <c r="T195">
        <v>8.5714285714285712</v>
      </c>
      <c r="U195">
        <v>4</v>
      </c>
      <c r="AD195">
        <v>0</v>
      </c>
      <c r="AE195">
        <v>1</v>
      </c>
      <c r="AF195">
        <v>0</v>
      </c>
      <c r="AG195" s="20">
        <v>43830</v>
      </c>
      <c r="AH195" s="20">
        <v>43435</v>
      </c>
    </row>
    <row r="196" spans="1:34" x14ac:dyDescent="0.25">
      <c r="A196" s="15" t="s">
        <v>1568</v>
      </c>
      <c r="B196" s="16">
        <v>0</v>
      </c>
      <c r="C196" s="14">
        <v>0</v>
      </c>
      <c r="D196" s="16">
        <v>0</v>
      </c>
      <c r="E196">
        <f t="shared" si="6"/>
        <v>0</v>
      </c>
      <c r="F196">
        <f t="shared" si="7"/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1</v>
      </c>
      <c r="M196" s="16">
        <v>0</v>
      </c>
      <c r="N196" s="16">
        <v>0</v>
      </c>
      <c r="O196">
        <v>35</v>
      </c>
      <c r="Q196" t="s">
        <v>2722</v>
      </c>
      <c r="R196">
        <v>1.9697941526292573</v>
      </c>
      <c r="T196">
        <v>17.142857142857142</v>
      </c>
      <c r="U196">
        <v>23</v>
      </c>
      <c r="AD196">
        <v>0</v>
      </c>
      <c r="AE196">
        <v>0</v>
      </c>
      <c r="AF196">
        <v>1</v>
      </c>
      <c r="AG196" s="20">
        <v>44561</v>
      </c>
      <c r="AH196" s="20">
        <v>43435</v>
      </c>
    </row>
    <row r="197" spans="1:34" x14ac:dyDescent="0.25">
      <c r="A197" s="12" t="s">
        <v>1582</v>
      </c>
      <c r="B197" s="13">
        <v>0</v>
      </c>
      <c r="C197" s="11">
        <v>0</v>
      </c>
      <c r="D197" s="13">
        <v>0</v>
      </c>
      <c r="E197">
        <f t="shared" si="6"/>
        <v>0</v>
      </c>
      <c r="F197">
        <f t="shared" si="7"/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0</v>
      </c>
      <c r="N197" s="13">
        <v>0</v>
      </c>
      <c r="O197">
        <v>18</v>
      </c>
      <c r="Q197" t="s">
        <v>2750</v>
      </c>
      <c r="R197">
        <v>43</v>
      </c>
      <c r="T197">
        <v>25.714285714285715</v>
      </c>
      <c r="U197">
        <v>30</v>
      </c>
      <c r="AD197">
        <v>0</v>
      </c>
      <c r="AE197">
        <v>0</v>
      </c>
      <c r="AF197">
        <v>1</v>
      </c>
      <c r="AG197" s="19">
        <v>44104</v>
      </c>
      <c r="AH197" s="19">
        <v>43525</v>
      </c>
    </row>
    <row r="198" spans="1:34" x14ac:dyDescent="0.25">
      <c r="A198" s="12" t="s">
        <v>1586</v>
      </c>
      <c r="B198" s="13">
        <v>0</v>
      </c>
      <c r="C198" s="11">
        <v>1</v>
      </c>
      <c r="D198" s="13">
        <v>1</v>
      </c>
      <c r="E198">
        <f t="shared" si="6"/>
        <v>0</v>
      </c>
      <c r="F198">
        <f t="shared" si="7"/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1</v>
      </c>
      <c r="L198" s="13">
        <v>0</v>
      </c>
      <c r="M198" s="13">
        <v>0</v>
      </c>
      <c r="N198" s="13">
        <v>0</v>
      </c>
      <c r="O198">
        <v>29</v>
      </c>
      <c r="Q198" t="s">
        <v>2751</v>
      </c>
      <c r="R198">
        <v>36</v>
      </c>
      <c r="T198">
        <v>34.285714285714285</v>
      </c>
      <c r="U198">
        <v>18</v>
      </c>
      <c r="AD198">
        <v>0</v>
      </c>
      <c r="AE198">
        <v>1</v>
      </c>
      <c r="AF198">
        <v>0</v>
      </c>
      <c r="AG198" s="19">
        <v>44439</v>
      </c>
      <c r="AH198" s="19">
        <v>43525</v>
      </c>
    </row>
    <row r="199" spans="1:34" x14ac:dyDescent="0.25">
      <c r="A199" s="12" t="s">
        <v>1654</v>
      </c>
      <c r="B199" s="13">
        <v>0</v>
      </c>
      <c r="C199" s="11">
        <v>0</v>
      </c>
      <c r="D199" s="13">
        <v>0</v>
      </c>
      <c r="E199">
        <f t="shared" si="6"/>
        <v>0</v>
      </c>
      <c r="F199">
        <f t="shared" si="7"/>
        <v>0</v>
      </c>
      <c r="G199" s="13">
        <v>0</v>
      </c>
      <c r="H199" s="13">
        <v>0</v>
      </c>
      <c r="I199" s="13">
        <v>0</v>
      </c>
      <c r="J199" s="13">
        <v>1</v>
      </c>
      <c r="K199" s="13">
        <v>0</v>
      </c>
      <c r="L199" s="13">
        <v>0</v>
      </c>
      <c r="M199" s="13">
        <v>0</v>
      </c>
      <c r="N199" s="13">
        <v>0</v>
      </c>
      <c r="O199">
        <v>23</v>
      </c>
      <c r="Q199" t="s">
        <v>2752</v>
      </c>
      <c r="R199">
        <v>28.949943433557888</v>
      </c>
      <c r="T199">
        <v>42.857142857142854</v>
      </c>
      <c r="U199">
        <v>30</v>
      </c>
      <c r="AD199">
        <v>0</v>
      </c>
      <c r="AE199">
        <v>0</v>
      </c>
      <c r="AF199">
        <v>1</v>
      </c>
      <c r="AG199" s="19">
        <v>44377</v>
      </c>
      <c r="AH199" s="19">
        <v>43617</v>
      </c>
    </row>
    <row r="200" spans="1:34" x14ac:dyDescent="0.25">
      <c r="A200" s="12" t="s">
        <v>1662</v>
      </c>
      <c r="B200" s="13">
        <v>0</v>
      </c>
      <c r="C200" s="11">
        <v>0</v>
      </c>
      <c r="D200" s="13">
        <v>0</v>
      </c>
      <c r="E200">
        <f t="shared" si="6"/>
        <v>0</v>
      </c>
      <c r="F200">
        <f t="shared" si="7"/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0</v>
      </c>
      <c r="N200" s="13">
        <v>0</v>
      </c>
      <c r="O200">
        <v>39</v>
      </c>
      <c r="Q200" t="s">
        <v>2753</v>
      </c>
      <c r="R200">
        <v>838.09922480620151</v>
      </c>
      <c r="T200">
        <v>51.428571428571431</v>
      </c>
      <c r="U200">
        <v>21</v>
      </c>
      <c r="AD200">
        <v>0</v>
      </c>
      <c r="AE200">
        <v>0</v>
      </c>
      <c r="AF200">
        <v>1</v>
      </c>
      <c r="AG200" s="19">
        <v>44834</v>
      </c>
      <c r="AH200" s="19">
        <v>43617</v>
      </c>
    </row>
    <row r="201" spans="1:34" x14ac:dyDescent="0.25">
      <c r="A201" s="12" t="s">
        <v>1730</v>
      </c>
      <c r="B201" s="13">
        <v>0</v>
      </c>
      <c r="C201" s="11">
        <v>0</v>
      </c>
      <c r="D201" s="13">
        <v>0</v>
      </c>
      <c r="E201">
        <f t="shared" si="6"/>
        <v>0</v>
      </c>
      <c r="F201">
        <f t="shared" si="7"/>
        <v>0</v>
      </c>
      <c r="G201" s="13">
        <v>0</v>
      </c>
      <c r="H201" s="13">
        <v>0</v>
      </c>
      <c r="I201" s="13">
        <v>0</v>
      </c>
      <c r="J201" s="13">
        <v>1</v>
      </c>
      <c r="K201" s="13">
        <v>0</v>
      </c>
      <c r="L201" s="13">
        <v>0</v>
      </c>
      <c r="M201" s="13">
        <v>0</v>
      </c>
      <c r="N201" s="13">
        <v>0</v>
      </c>
      <c r="O201">
        <v>24</v>
      </c>
      <c r="Q201" t="s">
        <v>2754</v>
      </c>
      <c r="R201">
        <v>-0.64584178964965266</v>
      </c>
      <c r="T201">
        <v>60</v>
      </c>
      <c r="U201">
        <v>19</v>
      </c>
      <c r="AD201">
        <v>0</v>
      </c>
      <c r="AE201">
        <v>0</v>
      </c>
      <c r="AF201">
        <v>1</v>
      </c>
      <c r="AG201" s="19">
        <v>44561</v>
      </c>
      <c r="AH201" s="19">
        <v>43800</v>
      </c>
    </row>
    <row r="202" spans="1:34" x14ac:dyDescent="0.25">
      <c r="A202" s="12" t="s">
        <v>1790</v>
      </c>
      <c r="B202" s="13">
        <v>1</v>
      </c>
      <c r="C202" s="11">
        <v>1</v>
      </c>
      <c r="D202" s="13">
        <v>1</v>
      </c>
      <c r="E202">
        <f t="shared" si="6"/>
        <v>0</v>
      </c>
      <c r="F202">
        <f t="shared" si="7"/>
        <v>0</v>
      </c>
      <c r="G202" s="13">
        <v>0</v>
      </c>
      <c r="H202" s="13">
        <v>0</v>
      </c>
      <c r="I202" s="13">
        <v>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>
        <v>3</v>
      </c>
      <c r="Q202" t="s">
        <v>2755</v>
      </c>
      <c r="R202">
        <v>0.51736379936843757</v>
      </c>
      <c r="T202">
        <v>68.571428571428569</v>
      </c>
      <c r="U202">
        <v>12</v>
      </c>
      <c r="AD202">
        <v>0</v>
      </c>
      <c r="AE202">
        <v>0</v>
      </c>
      <c r="AF202">
        <v>1</v>
      </c>
      <c r="AG202" s="19">
        <v>44012</v>
      </c>
      <c r="AH202" s="19">
        <v>43862</v>
      </c>
    </row>
    <row r="203" spans="1:34" x14ac:dyDescent="0.25">
      <c r="A203" s="15" t="s">
        <v>51</v>
      </c>
      <c r="B203" s="16">
        <v>0</v>
      </c>
      <c r="C203" s="14">
        <v>0</v>
      </c>
      <c r="D203" s="16">
        <v>0</v>
      </c>
      <c r="E203">
        <f t="shared" si="6"/>
        <v>0</v>
      </c>
      <c r="F203">
        <f t="shared" si="7"/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1</v>
      </c>
      <c r="M203" s="16">
        <v>0</v>
      </c>
      <c r="N203" s="16">
        <v>0</v>
      </c>
      <c r="O203">
        <v>32</v>
      </c>
      <c r="Q203" t="s">
        <v>2756</v>
      </c>
      <c r="R203">
        <v>120</v>
      </c>
      <c r="T203">
        <v>77.142857142857139</v>
      </c>
      <c r="U203">
        <v>16</v>
      </c>
      <c r="AD203">
        <v>0</v>
      </c>
      <c r="AE203">
        <v>0</v>
      </c>
      <c r="AF203">
        <v>1</v>
      </c>
      <c r="AG203" s="20">
        <v>45107</v>
      </c>
      <c r="AH203" s="20">
        <v>44075</v>
      </c>
    </row>
    <row r="204" spans="1:34" x14ac:dyDescent="0.25">
      <c r="A204" s="12" t="s">
        <v>53</v>
      </c>
      <c r="B204" s="13">
        <v>1</v>
      </c>
      <c r="C204" s="11">
        <v>1</v>
      </c>
      <c r="D204" s="13">
        <v>1</v>
      </c>
      <c r="E204">
        <f t="shared" si="6"/>
        <v>0</v>
      </c>
      <c r="F204">
        <f t="shared" si="7"/>
        <v>0</v>
      </c>
      <c r="G204" s="13">
        <v>0</v>
      </c>
      <c r="H204" s="13">
        <v>0</v>
      </c>
      <c r="I204" s="13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>
        <v>42</v>
      </c>
      <c r="Q204" t="s">
        <v>2757</v>
      </c>
      <c r="R204">
        <v>0</v>
      </c>
      <c r="T204">
        <v>85.714285714285708</v>
      </c>
      <c r="U204">
        <v>12</v>
      </c>
      <c r="AD204">
        <v>0</v>
      </c>
      <c r="AE204">
        <v>1</v>
      </c>
      <c r="AF204">
        <v>0</v>
      </c>
      <c r="AG204" s="19">
        <v>45291</v>
      </c>
      <c r="AH204" s="19">
        <v>43983</v>
      </c>
    </row>
    <row r="205" spans="1:34" x14ac:dyDescent="0.25">
      <c r="A205" s="12" t="s">
        <v>57</v>
      </c>
      <c r="B205" s="13">
        <v>1</v>
      </c>
      <c r="C205" s="11">
        <v>1</v>
      </c>
      <c r="D205" s="13">
        <v>1</v>
      </c>
      <c r="E205">
        <f t="shared" si="6"/>
        <v>0</v>
      </c>
      <c r="F205">
        <f t="shared" si="7"/>
        <v>0</v>
      </c>
      <c r="G205" s="13">
        <v>0</v>
      </c>
      <c r="H205" s="13">
        <v>0</v>
      </c>
      <c r="I205" s="13">
        <v>1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>
        <v>40</v>
      </c>
      <c r="Q205" t="s">
        <v>2758</v>
      </c>
      <c r="R205">
        <v>120</v>
      </c>
      <c r="T205">
        <v>94.285714285714278</v>
      </c>
      <c r="U205">
        <v>10</v>
      </c>
      <c r="AD205">
        <v>0</v>
      </c>
      <c r="AE205">
        <v>1</v>
      </c>
      <c r="AF205">
        <v>0</v>
      </c>
      <c r="AG205" s="19">
        <v>45291</v>
      </c>
      <c r="AH205" s="19">
        <v>44044</v>
      </c>
    </row>
    <row r="206" spans="1:34" x14ac:dyDescent="0.25">
      <c r="A206" s="15" t="s">
        <v>1862</v>
      </c>
      <c r="B206" s="16">
        <v>1</v>
      </c>
      <c r="C206" s="14">
        <v>1</v>
      </c>
      <c r="D206" s="16">
        <v>1</v>
      </c>
      <c r="E206">
        <f t="shared" si="6"/>
        <v>0</v>
      </c>
      <c r="F206">
        <f t="shared" si="7"/>
        <v>0</v>
      </c>
      <c r="G206" s="16">
        <v>0</v>
      </c>
      <c r="H206" s="16">
        <v>0</v>
      </c>
      <c r="I206" s="16">
        <v>1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>
        <v>20</v>
      </c>
      <c r="Q206" t="s">
        <v>2759</v>
      </c>
      <c r="R206">
        <v>10500</v>
      </c>
      <c r="T206">
        <v>102.85714285714286</v>
      </c>
      <c r="U206">
        <v>10</v>
      </c>
      <c r="AD206">
        <v>0</v>
      </c>
      <c r="AE206">
        <v>1</v>
      </c>
      <c r="AF206">
        <v>0</v>
      </c>
      <c r="AG206" s="20">
        <v>44926</v>
      </c>
      <c r="AH206" s="20">
        <v>44287</v>
      </c>
    </row>
    <row r="207" spans="1:34" x14ac:dyDescent="0.25">
      <c r="A207" s="12" t="s">
        <v>1864</v>
      </c>
      <c r="B207" s="13">
        <v>1</v>
      </c>
      <c r="C207" s="11">
        <v>1</v>
      </c>
      <c r="D207" s="13">
        <v>1</v>
      </c>
      <c r="E207">
        <f t="shared" si="6"/>
        <v>0</v>
      </c>
      <c r="F207">
        <f t="shared" si="7"/>
        <v>0</v>
      </c>
      <c r="G207" s="13">
        <v>0</v>
      </c>
      <c r="H207" s="13">
        <v>0</v>
      </c>
      <c r="I207" s="13">
        <v>1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>
        <v>26</v>
      </c>
      <c r="Q207" t="s">
        <v>2760</v>
      </c>
      <c r="R207">
        <v>216</v>
      </c>
      <c r="T207">
        <v>111.42857142857143</v>
      </c>
      <c r="U207">
        <v>4</v>
      </c>
      <c r="AD207">
        <v>0</v>
      </c>
      <c r="AE207">
        <v>1</v>
      </c>
      <c r="AF207">
        <v>0</v>
      </c>
      <c r="AG207" s="19">
        <v>44926</v>
      </c>
      <c r="AH207" s="19">
        <v>44105</v>
      </c>
    </row>
    <row r="208" spans="1:34" ht="15.75" thickBot="1" x14ac:dyDescent="0.3">
      <c r="A208" s="15" t="s">
        <v>1882</v>
      </c>
      <c r="B208" s="16">
        <v>0</v>
      </c>
      <c r="C208" s="14">
        <v>0</v>
      </c>
      <c r="D208" s="16">
        <v>0</v>
      </c>
      <c r="E208">
        <f t="shared" si="6"/>
        <v>0</v>
      </c>
      <c r="F208">
        <f t="shared" si="7"/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1</v>
      </c>
      <c r="M208" s="16">
        <v>0</v>
      </c>
      <c r="N208" s="16">
        <v>0</v>
      </c>
      <c r="O208">
        <v>60</v>
      </c>
      <c r="Q208" s="23" t="s">
        <v>2761</v>
      </c>
      <c r="R208" s="23">
        <v>3.8825807332654163</v>
      </c>
      <c r="T208" s="23" t="s">
        <v>2891</v>
      </c>
      <c r="U208" s="23">
        <v>5</v>
      </c>
      <c r="AD208">
        <v>0</v>
      </c>
      <c r="AE208">
        <v>0</v>
      </c>
      <c r="AF208">
        <v>1</v>
      </c>
      <c r="AG208" s="20">
        <v>44196</v>
      </c>
      <c r="AH208" s="20">
        <v>42339</v>
      </c>
    </row>
    <row r="209" spans="1:34" x14ac:dyDescent="0.25">
      <c r="A209" s="12" t="s">
        <v>1884</v>
      </c>
      <c r="B209" s="13">
        <v>0</v>
      </c>
      <c r="C209" s="11">
        <v>1</v>
      </c>
      <c r="D209" s="13">
        <v>1</v>
      </c>
      <c r="E209">
        <f t="shared" si="6"/>
        <v>0</v>
      </c>
      <c r="F209">
        <f t="shared" si="7"/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1</v>
      </c>
      <c r="L209" s="13">
        <v>0</v>
      </c>
      <c r="M209" s="13">
        <v>0</v>
      </c>
      <c r="N209" s="13">
        <v>0</v>
      </c>
      <c r="O209">
        <v>20</v>
      </c>
      <c r="AD209">
        <v>0</v>
      </c>
      <c r="AE209">
        <v>0</v>
      </c>
      <c r="AF209">
        <v>1</v>
      </c>
      <c r="AG209" s="19">
        <v>44712</v>
      </c>
      <c r="AH209" s="19">
        <v>44075</v>
      </c>
    </row>
    <row r="210" spans="1:34" x14ac:dyDescent="0.25">
      <c r="A210" s="15" t="s">
        <v>1894</v>
      </c>
      <c r="B210" s="16">
        <v>0</v>
      </c>
      <c r="C210" s="14">
        <v>1</v>
      </c>
      <c r="D210" s="16">
        <v>1</v>
      </c>
      <c r="E210">
        <f t="shared" si="6"/>
        <v>0</v>
      </c>
      <c r="F210">
        <f t="shared" si="7"/>
        <v>0</v>
      </c>
      <c r="G210" s="16">
        <v>0</v>
      </c>
      <c r="H210" s="16">
        <v>0</v>
      </c>
      <c r="I210" s="16">
        <v>1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>
        <v>20</v>
      </c>
      <c r="AD210">
        <v>0</v>
      </c>
      <c r="AE210">
        <v>0</v>
      </c>
      <c r="AF210">
        <v>1</v>
      </c>
      <c r="AG210" s="20">
        <v>44712</v>
      </c>
      <c r="AH210" s="20">
        <v>44075</v>
      </c>
    </row>
    <row r="211" spans="1:34" x14ac:dyDescent="0.25">
      <c r="A211" s="12" t="s">
        <v>1896</v>
      </c>
      <c r="B211" s="13">
        <v>0</v>
      </c>
      <c r="C211" s="11">
        <v>0</v>
      </c>
      <c r="D211" s="13">
        <v>0</v>
      </c>
      <c r="E211">
        <f t="shared" si="6"/>
        <v>0</v>
      </c>
      <c r="F211">
        <f t="shared" si="7"/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1</v>
      </c>
      <c r="O211">
        <v>0</v>
      </c>
      <c r="AD211">
        <v>0</v>
      </c>
      <c r="AE211">
        <v>0</v>
      </c>
      <c r="AF211">
        <v>1</v>
      </c>
      <c r="AG211" s="19">
        <v>44926</v>
      </c>
      <c r="AH211" s="19">
        <v>44896</v>
      </c>
    </row>
    <row r="212" spans="1:34" x14ac:dyDescent="0.25">
      <c r="A212" s="12" t="s">
        <v>1924</v>
      </c>
      <c r="B212" s="13">
        <v>0</v>
      </c>
      <c r="C212" s="11">
        <v>1</v>
      </c>
      <c r="D212" s="13">
        <v>1</v>
      </c>
      <c r="E212">
        <f t="shared" si="6"/>
        <v>0</v>
      </c>
      <c r="F212">
        <f t="shared" si="7"/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1</v>
      </c>
      <c r="N212" s="13">
        <v>0</v>
      </c>
      <c r="O212">
        <v>18</v>
      </c>
      <c r="AD212">
        <v>0</v>
      </c>
      <c r="AE212">
        <v>0</v>
      </c>
      <c r="AF212">
        <v>1</v>
      </c>
      <c r="AG212" s="19">
        <v>44804</v>
      </c>
      <c r="AH212" s="19">
        <v>44197</v>
      </c>
    </row>
    <row r="213" spans="1:34" x14ac:dyDescent="0.25">
      <c r="A213" s="12" t="s">
        <v>1948</v>
      </c>
      <c r="B213" s="13">
        <v>0</v>
      </c>
      <c r="C213" s="11">
        <v>1</v>
      </c>
      <c r="D213" s="13">
        <v>1</v>
      </c>
      <c r="E213">
        <f t="shared" si="6"/>
        <v>0</v>
      </c>
      <c r="F213">
        <f t="shared" si="7"/>
        <v>0</v>
      </c>
      <c r="G213" s="13">
        <v>0</v>
      </c>
      <c r="H213" s="13">
        <v>0</v>
      </c>
      <c r="I213" s="13">
        <v>1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>
        <v>8</v>
      </c>
      <c r="AD213">
        <v>0</v>
      </c>
      <c r="AE213">
        <v>1</v>
      </c>
      <c r="AF213">
        <v>0</v>
      </c>
      <c r="AG213" s="19">
        <v>44530</v>
      </c>
      <c r="AH213" s="19">
        <v>44256</v>
      </c>
    </row>
    <row r="214" spans="1:34" x14ac:dyDescent="0.25">
      <c r="A214" s="12" t="s">
        <v>61</v>
      </c>
      <c r="B214" s="13">
        <v>0</v>
      </c>
      <c r="C214" s="11">
        <v>0</v>
      </c>
      <c r="D214" s="13">
        <v>0</v>
      </c>
      <c r="E214">
        <f t="shared" si="6"/>
        <v>0</v>
      </c>
      <c r="F214">
        <f t="shared" si="7"/>
        <v>0</v>
      </c>
      <c r="G214" s="13">
        <v>0</v>
      </c>
      <c r="H214" s="13">
        <v>0</v>
      </c>
      <c r="I214" s="13">
        <v>0</v>
      </c>
      <c r="J214" s="13">
        <v>1</v>
      </c>
      <c r="K214" s="13">
        <v>0</v>
      </c>
      <c r="L214" s="13">
        <v>0</v>
      </c>
      <c r="M214" s="13">
        <v>0</v>
      </c>
      <c r="N214" s="13">
        <v>0</v>
      </c>
      <c r="O214">
        <v>27</v>
      </c>
      <c r="AD214">
        <v>0</v>
      </c>
      <c r="AE214">
        <v>0</v>
      </c>
      <c r="AF214">
        <v>1</v>
      </c>
      <c r="AG214" s="19">
        <v>45199</v>
      </c>
      <c r="AH214" s="19">
        <v>44348</v>
      </c>
    </row>
    <row r="215" spans="1:34" x14ac:dyDescent="0.25">
      <c r="A215" s="12" t="s">
        <v>2043</v>
      </c>
      <c r="B215" s="13">
        <v>0</v>
      </c>
      <c r="C215" s="11">
        <v>1</v>
      </c>
      <c r="D215" s="13">
        <v>1</v>
      </c>
      <c r="E215">
        <f t="shared" si="6"/>
        <v>0</v>
      </c>
      <c r="F215">
        <f t="shared" si="7"/>
        <v>0</v>
      </c>
      <c r="G215" s="13">
        <v>0</v>
      </c>
      <c r="H215" s="13">
        <v>0</v>
      </c>
      <c r="I215" s="13">
        <v>1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>
        <v>17</v>
      </c>
      <c r="AD215">
        <v>0</v>
      </c>
      <c r="AE215">
        <v>1</v>
      </c>
      <c r="AF215">
        <v>0</v>
      </c>
      <c r="AG215" s="19">
        <v>44926</v>
      </c>
      <c r="AH215" s="19">
        <v>44378</v>
      </c>
    </row>
    <row r="216" spans="1:34" x14ac:dyDescent="0.25">
      <c r="A216" s="15" t="s">
        <v>62</v>
      </c>
      <c r="B216" s="16">
        <v>0</v>
      </c>
      <c r="C216" s="14">
        <v>1</v>
      </c>
      <c r="D216" s="16">
        <v>1</v>
      </c>
      <c r="E216">
        <f t="shared" si="6"/>
        <v>0</v>
      </c>
      <c r="F216">
        <f t="shared" si="7"/>
        <v>0</v>
      </c>
      <c r="G216" s="16">
        <v>0</v>
      </c>
      <c r="H216" s="16">
        <v>0</v>
      </c>
      <c r="I216" s="16">
        <v>1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>
        <v>21</v>
      </c>
      <c r="AD216">
        <v>0</v>
      </c>
      <c r="AE216">
        <v>0</v>
      </c>
      <c r="AF216">
        <v>1</v>
      </c>
      <c r="AG216" s="20">
        <v>45230</v>
      </c>
      <c r="AH216" s="20">
        <v>44562</v>
      </c>
    </row>
    <row r="217" spans="1:34" x14ac:dyDescent="0.25">
      <c r="A217" s="12" t="s">
        <v>64</v>
      </c>
      <c r="B217" s="13">
        <v>0</v>
      </c>
      <c r="C217" s="11">
        <v>1</v>
      </c>
      <c r="D217" s="13">
        <v>1</v>
      </c>
      <c r="E217">
        <f t="shared" si="6"/>
        <v>0</v>
      </c>
      <c r="F217">
        <f t="shared" si="7"/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1</v>
      </c>
      <c r="N217" s="13">
        <v>0</v>
      </c>
      <c r="O217">
        <v>20</v>
      </c>
      <c r="AD217">
        <v>0</v>
      </c>
      <c r="AE217">
        <v>0</v>
      </c>
      <c r="AF217">
        <v>1</v>
      </c>
      <c r="AG217" s="19">
        <v>45291</v>
      </c>
      <c r="AH217" s="19">
        <v>44652</v>
      </c>
    </row>
    <row r="218" spans="1:34" x14ac:dyDescent="0.25">
      <c r="E218">
        <f t="shared" si="6"/>
        <v>0</v>
      </c>
      <c r="F218">
        <f t="shared" si="7"/>
        <v>0</v>
      </c>
    </row>
    <row r="219" spans="1:34" x14ac:dyDescent="0.25">
      <c r="E219">
        <f t="shared" si="6"/>
        <v>0</v>
      </c>
      <c r="F219">
        <f t="shared" si="7"/>
        <v>0</v>
      </c>
    </row>
    <row r="220" spans="1:34" x14ac:dyDescent="0.25">
      <c r="E220">
        <f t="shared" si="6"/>
        <v>0</v>
      </c>
      <c r="F220">
        <f t="shared" si="7"/>
        <v>0</v>
      </c>
    </row>
    <row r="221" spans="1:34" x14ac:dyDescent="0.25">
      <c r="E221">
        <f t="shared" si="6"/>
        <v>0</v>
      </c>
      <c r="F221">
        <f t="shared" si="7"/>
        <v>0</v>
      </c>
    </row>
    <row r="222" spans="1:34" x14ac:dyDescent="0.25">
      <c r="E222">
        <f t="shared" si="6"/>
        <v>0</v>
      </c>
      <c r="F222">
        <f t="shared" si="7"/>
        <v>0</v>
      </c>
    </row>
    <row r="223" spans="1:34" x14ac:dyDescent="0.25">
      <c r="E223">
        <f t="shared" si="6"/>
        <v>0</v>
      </c>
      <c r="F223">
        <f t="shared" si="7"/>
        <v>0</v>
      </c>
    </row>
    <row r="224" spans="1:34" x14ac:dyDescent="0.25">
      <c r="E224">
        <f t="shared" si="6"/>
        <v>0</v>
      </c>
      <c r="F224">
        <f t="shared" si="7"/>
        <v>0</v>
      </c>
    </row>
    <row r="225" spans="5:6" x14ac:dyDescent="0.25">
      <c r="E225">
        <f t="shared" si="6"/>
        <v>0</v>
      </c>
      <c r="F225">
        <f t="shared" si="7"/>
        <v>0</v>
      </c>
    </row>
    <row r="226" spans="5:6" x14ac:dyDescent="0.25">
      <c r="E226">
        <f t="shared" si="6"/>
        <v>0</v>
      </c>
      <c r="F226">
        <f t="shared" si="7"/>
        <v>0</v>
      </c>
    </row>
    <row r="227" spans="5:6" x14ac:dyDescent="0.25">
      <c r="E227">
        <f t="shared" si="6"/>
        <v>0</v>
      </c>
      <c r="F227">
        <f t="shared" si="7"/>
        <v>0</v>
      </c>
    </row>
    <row r="228" spans="5:6" x14ac:dyDescent="0.25">
      <c r="E228">
        <f t="shared" si="6"/>
        <v>0</v>
      </c>
      <c r="F228">
        <f t="shared" si="7"/>
        <v>0</v>
      </c>
    </row>
    <row r="229" spans="5:6" x14ac:dyDescent="0.25">
      <c r="E229">
        <f t="shared" si="6"/>
        <v>0</v>
      </c>
      <c r="F229">
        <f t="shared" si="7"/>
        <v>0</v>
      </c>
    </row>
    <row r="230" spans="5:6" x14ac:dyDescent="0.25">
      <c r="E230">
        <f t="shared" si="6"/>
        <v>0</v>
      </c>
      <c r="F230">
        <f t="shared" si="7"/>
        <v>0</v>
      </c>
    </row>
    <row r="231" spans="5:6" x14ac:dyDescent="0.25">
      <c r="E231">
        <f t="shared" si="6"/>
        <v>0</v>
      </c>
      <c r="F231">
        <f t="shared" si="7"/>
        <v>0</v>
      </c>
    </row>
    <row r="232" spans="5:6" x14ac:dyDescent="0.25">
      <c r="E232">
        <f t="shared" si="6"/>
        <v>0</v>
      </c>
      <c r="F232">
        <f t="shared" si="7"/>
        <v>0</v>
      </c>
    </row>
    <row r="233" spans="5:6" x14ac:dyDescent="0.25">
      <c r="E233">
        <f t="shared" si="6"/>
        <v>0</v>
      </c>
      <c r="F233">
        <f t="shared" si="7"/>
        <v>0</v>
      </c>
    </row>
    <row r="234" spans="5:6" x14ac:dyDescent="0.25">
      <c r="E234">
        <f t="shared" si="6"/>
        <v>0</v>
      </c>
      <c r="F234">
        <f t="shared" si="7"/>
        <v>0</v>
      </c>
    </row>
    <row r="235" spans="5:6" x14ac:dyDescent="0.25">
      <c r="E235">
        <f t="shared" si="6"/>
        <v>0</v>
      </c>
      <c r="F235">
        <f t="shared" si="7"/>
        <v>0</v>
      </c>
    </row>
    <row r="236" spans="5:6" x14ac:dyDescent="0.25">
      <c r="E236">
        <f t="shared" si="6"/>
        <v>0</v>
      </c>
      <c r="F236">
        <f t="shared" si="7"/>
        <v>0</v>
      </c>
    </row>
    <row r="237" spans="5:6" x14ac:dyDescent="0.25">
      <c r="E237">
        <f t="shared" si="6"/>
        <v>0</v>
      </c>
      <c r="F237">
        <f t="shared" si="7"/>
        <v>0</v>
      </c>
    </row>
    <row r="238" spans="5:6" x14ac:dyDescent="0.25">
      <c r="E238">
        <f t="shared" si="6"/>
        <v>0</v>
      </c>
      <c r="F238">
        <f t="shared" si="7"/>
        <v>0</v>
      </c>
    </row>
    <row r="239" spans="5:6" x14ac:dyDescent="0.25">
      <c r="E239">
        <f t="shared" si="6"/>
        <v>0</v>
      </c>
      <c r="F239">
        <f t="shared" si="7"/>
        <v>0</v>
      </c>
    </row>
    <row r="240" spans="5:6" x14ac:dyDescent="0.25">
      <c r="E240">
        <f t="shared" si="6"/>
        <v>0</v>
      </c>
      <c r="F240">
        <f t="shared" si="7"/>
        <v>0</v>
      </c>
    </row>
    <row r="241" spans="5:22" x14ac:dyDescent="0.25">
      <c r="E241">
        <f t="shared" si="6"/>
        <v>0</v>
      </c>
      <c r="F241">
        <f t="shared" si="7"/>
        <v>0</v>
      </c>
    </row>
    <row r="242" spans="5:22" x14ac:dyDescent="0.25">
      <c r="E242">
        <f t="shared" si="6"/>
        <v>0</v>
      </c>
      <c r="F242">
        <f t="shared" si="7"/>
        <v>0</v>
      </c>
    </row>
    <row r="243" spans="5:22" x14ac:dyDescent="0.25">
      <c r="E243">
        <f t="shared" si="6"/>
        <v>0</v>
      </c>
      <c r="F243">
        <f t="shared" si="7"/>
        <v>0</v>
      </c>
    </row>
    <row r="244" spans="5:22" x14ac:dyDescent="0.25">
      <c r="E244">
        <f t="shared" si="6"/>
        <v>0</v>
      </c>
      <c r="F244">
        <f t="shared" si="7"/>
        <v>0</v>
      </c>
    </row>
    <row r="245" spans="5:22" x14ac:dyDescent="0.25">
      <c r="E245">
        <f t="shared" si="6"/>
        <v>0</v>
      </c>
      <c r="F245">
        <f t="shared" si="7"/>
        <v>0</v>
      </c>
    </row>
    <row r="246" spans="5:22" x14ac:dyDescent="0.25">
      <c r="E246">
        <f t="shared" si="6"/>
        <v>0</v>
      </c>
      <c r="F246">
        <f t="shared" si="7"/>
        <v>0</v>
      </c>
    </row>
    <row r="247" spans="5:22" x14ac:dyDescent="0.25">
      <c r="E247">
        <f t="shared" si="6"/>
        <v>0</v>
      </c>
      <c r="F247">
        <f t="shared" si="7"/>
        <v>0</v>
      </c>
      <c r="S247" s="22"/>
      <c r="V247" s="22"/>
    </row>
    <row r="248" spans="5:22" x14ac:dyDescent="0.25">
      <c r="E248">
        <f t="shared" si="6"/>
        <v>0</v>
      </c>
      <c r="F248">
        <f t="shared" si="7"/>
        <v>0</v>
      </c>
      <c r="S248" s="22"/>
    </row>
    <row r="249" spans="5:22" x14ac:dyDescent="0.25">
      <c r="E249">
        <f t="shared" si="6"/>
        <v>0</v>
      </c>
      <c r="F249">
        <f t="shared" si="7"/>
        <v>0</v>
      </c>
      <c r="S249" s="22"/>
    </row>
    <row r="250" spans="5:22" x14ac:dyDescent="0.25">
      <c r="E250">
        <f t="shared" si="6"/>
        <v>0</v>
      </c>
      <c r="F250">
        <f t="shared" si="7"/>
        <v>0</v>
      </c>
      <c r="S250" s="22"/>
    </row>
    <row r="251" spans="5:22" x14ac:dyDescent="0.25">
      <c r="E251">
        <f t="shared" si="6"/>
        <v>0</v>
      </c>
      <c r="F251">
        <f t="shared" si="7"/>
        <v>0</v>
      </c>
      <c r="S251" s="22"/>
    </row>
    <row r="252" spans="5:22" x14ac:dyDescent="0.25">
      <c r="E252">
        <f t="shared" si="6"/>
        <v>0</v>
      </c>
      <c r="F252">
        <f t="shared" si="7"/>
        <v>0</v>
      </c>
      <c r="S252" s="22"/>
    </row>
    <row r="253" spans="5:22" x14ac:dyDescent="0.25">
      <c r="E253">
        <f t="shared" si="6"/>
        <v>0</v>
      </c>
      <c r="F253">
        <f t="shared" si="7"/>
        <v>0</v>
      </c>
      <c r="S253" s="22"/>
    </row>
    <row r="254" spans="5:22" x14ac:dyDescent="0.25">
      <c r="E254">
        <f t="shared" si="6"/>
        <v>0</v>
      </c>
      <c r="F254">
        <f t="shared" si="7"/>
        <v>0</v>
      </c>
      <c r="S254" s="22"/>
    </row>
    <row r="255" spans="5:22" x14ac:dyDescent="0.25">
      <c r="E255">
        <f t="shared" si="6"/>
        <v>0</v>
      </c>
      <c r="F255">
        <f t="shared" si="7"/>
        <v>0</v>
      </c>
    </row>
    <row r="256" spans="5:22" x14ac:dyDescent="0.25">
      <c r="E256">
        <f t="shared" si="6"/>
        <v>0</v>
      </c>
      <c r="F256">
        <f t="shared" si="7"/>
        <v>0</v>
      </c>
    </row>
    <row r="257" spans="5:6" x14ac:dyDescent="0.25">
      <c r="E257">
        <f t="shared" si="6"/>
        <v>0</v>
      </c>
      <c r="F257">
        <f t="shared" si="7"/>
        <v>0</v>
      </c>
    </row>
    <row r="258" spans="5:6" x14ac:dyDescent="0.25">
      <c r="E258">
        <f t="shared" si="6"/>
        <v>0</v>
      </c>
      <c r="F258">
        <f t="shared" si="7"/>
        <v>0</v>
      </c>
    </row>
    <row r="259" spans="5:6" x14ac:dyDescent="0.25">
      <c r="E259">
        <f t="shared" ref="E259:E322" si="8">IF($O259="Retail",1,0)</f>
        <v>0</v>
      </c>
      <c r="F259">
        <f t="shared" ref="F259:F322" si="9">IF($O259="Non-Retail",1,0)</f>
        <v>0</v>
      </c>
    </row>
    <row r="260" spans="5:6" x14ac:dyDescent="0.25">
      <c r="E260">
        <f t="shared" si="8"/>
        <v>0</v>
      </c>
      <c r="F260">
        <f t="shared" si="9"/>
        <v>0</v>
      </c>
    </row>
    <row r="261" spans="5:6" x14ac:dyDescent="0.25">
      <c r="E261">
        <f t="shared" si="8"/>
        <v>0</v>
      </c>
      <c r="F261">
        <f t="shared" si="9"/>
        <v>0</v>
      </c>
    </row>
    <row r="262" spans="5:6" x14ac:dyDescent="0.25">
      <c r="E262">
        <f t="shared" si="8"/>
        <v>0</v>
      </c>
      <c r="F262">
        <f t="shared" si="9"/>
        <v>0</v>
      </c>
    </row>
    <row r="263" spans="5:6" x14ac:dyDescent="0.25">
      <c r="E263">
        <f t="shared" si="8"/>
        <v>0</v>
      </c>
      <c r="F263">
        <f t="shared" si="9"/>
        <v>0</v>
      </c>
    </row>
    <row r="264" spans="5:6" x14ac:dyDescent="0.25">
      <c r="E264">
        <f t="shared" si="8"/>
        <v>0</v>
      </c>
      <c r="F264">
        <f t="shared" si="9"/>
        <v>0</v>
      </c>
    </row>
    <row r="265" spans="5:6" x14ac:dyDescent="0.25">
      <c r="E265">
        <f t="shared" si="8"/>
        <v>0</v>
      </c>
      <c r="F265">
        <f t="shared" si="9"/>
        <v>0</v>
      </c>
    </row>
    <row r="266" spans="5:6" x14ac:dyDescent="0.25">
      <c r="E266">
        <f t="shared" si="8"/>
        <v>0</v>
      </c>
      <c r="F266">
        <f t="shared" si="9"/>
        <v>0</v>
      </c>
    </row>
    <row r="267" spans="5:6" x14ac:dyDescent="0.25">
      <c r="E267">
        <f t="shared" si="8"/>
        <v>0</v>
      </c>
      <c r="F267">
        <f t="shared" si="9"/>
        <v>0</v>
      </c>
    </row>
    <row r="268" spans="5:6" x14ac:dyDescent="0.25">
      <c r="E268">
        <f t="shared" si="8"/>
        <v>0</v>
      </c>
      <c r="F268">
        <f t="shared" si="9"/>
        <v>0</v>
      </c>
    </row>
    <row r="269" spans="5:6" x14ac:dyDescent="0.25">
      <c r="E269">
        <f t="shared" si="8"/>
        <v>0</v>
      </c>
      <c r="F269">
        <f t="shared" si="9"/>
        <v>0</v>
      </c>
    </row>
    <row r="270" spans="5:6" x14ac:dyDescent="0.25">
      <c r="E270">
        <f t="shared" si="8"/>
        <v>0</v>
      </c>
      <c r="F270">
        <f t="shared" si="9"/>
        <v>0</v>
      </c>
    </row>
    <row r="271" spans="5:6" x14ac:dyDescent="0.25">
      <c r="E271">
        <f t="shared" si="8"/>
        <v>0</v>
      </c>
      <c r="F271">
        <f t="shared" si="9"/>
        <v>0</v>
      </c>
    </row>
    <row r="272" spans="5:6" x14ac:dyDescent="0.25">
      <c r="E272">
        <f t="shared" si="8"/>
        <v>0</v>
      </c>
      <c r="F272">
        <f t="shared" si="9"/>
        <v>0</v>
      </c>
    </row>
    <row r="273" spans="5:6" x14ac:dyDescent="0.25">
      <c r="E273">
        <f t="shared" si="8"/>
        <v>0</v>
      </c>
      <c r="F273">
        <f t="shared" si="9"/>
        <v>0</v>
      </c>
    </row>
    <row r="274" spans="5:6" x14ac:dyDescent="0.25">
      <c r="E274">
        <f t="shared" si="8"/>
        <v>0</v>
      </c>
      <c r="F274">
        <f t="shared" si="9"/>
        <v>0</v>
      </c>
    </row>
    <row r="275" spans="5:6" x14ac:dyDescent="0.25">
      <c r="E275">
        <f t="shared" si="8"/>
        <v>0</v>
      </c>
      <c r="F275">
        <f t="shared" si="9"/>
        <v>0</v>
      </c>
    </row>
    <row r="276" spans="5:6" x14ac:dyDescent="0.25">
      <c r="E276">
        <f t="shared" si="8"/>
        <v>0</v>
      </c>
      <c r="F276">
        <f t="shared" si="9"/>
        <v>0</v>
      </c>
    </row>
    <row r="277" spans="5:6" x14ac:dyDescent="0.25">
      <c r="E277">
        <f t="shared" si="8"/>
        <v>0</v>
      </c>
      <c r="F277">
        <f t="shared" si="9"/>
        <v>0</v>
      </c>
    </row>
    <row r="278" spans="5:6" x14ac:dyDescent="0.25">
      <c r="E278">
        <f t="shared" si="8"/>
        <v>0</v>
      </c>
      <c r="F278">
        <f t="shared" si="9"/>
        <v>0</v>
      </c>
    </row>
    <row r="279" spans="5:6" x14ac:dyDescent="0.25">
      <c r="E279">
        <f t="shared" si="8"/>
        <v>0</v>
      </c>
      <c r="F279">
        <f t="shared" si="9"/>
        <v>0</v>
      </c>
    </row>
    <row r="280" spans="5:6" x14ac:dyDescent="0.25">
      <c r="E280">
        <f t="shared" si="8"/>
        <v>0</v>
      </c>
      <c r="F280">
        <f t="shared" si="9"/>
        <v>0</v>
      </c>
    </row>
    <row r="281" spans="5:6" x14ac:dyDescent="0.25">
      <c r="E281">
        <f t="shared" si="8"/>
        <v>0</v>
      </c>
      <c r="F281">
        <f t="shared" si="9"/>
        <v>0</v>
      </c>
    </row>
    <row r="282" spans="5:6" x14ac:dyDescent="0.25">
      <c r="E282">
        <f t="shared" si="8"/>
        <v>0</v>
      </c>
      <c r="F282">
        <f t="shared" si="9"/>
        <v>0</v>
      </c>
    </row>
    <row r="283" spans="5:6" x14ac:dyDescent="0.25">
      <c r="E283">
        <f t="shared" si="8"/>
        <v>0</v>
      </c>
      <c r="F283">
        <f t="shared" si="9"/>
        <v>0</v>
      </c>
    </row>
    <row r="284" spans="5:6" x14ac:dyDescent="0.25">
      <c r="E284">
        <f t="shared" si="8"/>
        <v>0</v>
      </c>
      <c r="F284">
        <f t="shared" si="9"/>
        <v>0</v>
      </c>
    </row>
    <row r="285" spans="5:6" x14ac:dyDescent="0.25">
      <c r="E285">
        <f t="shared" si="8"/>
        <v>0</v>
      </c>
      <c r="F285">
        <f t="shared" si="9"/>
        <v>0</v>
      </c>
    </row>
    <row r="286" spans="5:6" x14ac:dyDescent="0.25">
      <c r="E286">
        <f t="shared" si="8"/>
        <v>0</v>
      </c>
      <c r="F286">
        <f t="shared" si="9"/>
        <v>0</v>
      </c>
    </row>
    <row r="287" spans="5:6" x14ac:dyDescent="0.25">
      <c r="E287">
        <f t="shared" si="8"/>
        <v>0</v>
      </c>
      <c r="F287">
        <f t="shared" si="9"/>
        <v>0</v>
      </c>
    </row>
    <row r="288" spans="5:6" x14ac:dyDescent="0.25">
      <c r="E288">
        <f t="shared" si="8"/>
        <v>0</v>
      </c>
      <c r="F288">
        <f t="shared" si="9"/>
        <v>0</v>
      </c>
    </row>
    <row r="289" spans="5:6" x14ac:dyDescent="0.25">
      <c r="E289">
        <f t="shared" si="8"/>
        <v>0</v>
      </c>
      <c r="F289">
        <f t="shared" si="9"/>
        <v>0</v>
      </c>
    </row>
    <row r="290" spans="5:6" x14ac:dyDescent="0.25">
      <c r="E290">
        <f t="shared" si="8"/>
        <v>0</v>
      </c>
      <c r="F290">
        <f t="shared" si="9"/>
        <v>0</v>
      </c>
    </row>
    <row r="291" spans="5:6" x14ac:dyDescent="0.25">
      <c r="E291">
        <f t="shared" si="8"/>
        <v>0</v>
      </c>
      <c r="F291">
        <f t="shared" si="9"/>
        <v>0</v>
      </c>
    </row>
    <row r="292" spans="5:6" x14ac:dyDescent="0.25">
      <c r="E292">
        <f t="shared" si="8"/>
        <v>0</v>
      </c>
      <c r="F292">
        <f t="shared" si="9"/>
        <v>0</v>
      </c>
    </row>
    <row r="293" spans="5:6" x14ac:dyDescent="0.25">
      <c r="E293">
        <f t="shared" si="8"/>
        <v>0</v>
      </c>
      <c r="F293">
        <f t="shared" si="9"/>
        <v>0</v>
      </c>
    </row>
    <row r="294" spans="5:6" x14ac:dyDescent="0.25">
      <c r="E294">
        <f t="shared" si="8"/>
        <v>0</v>
      </c>
      <c r="F294">
        <f t="shared" si="9"/>
        <v>0</v>
      </c>
    </row>
    <row r="295" spans="5:6" x14ac:dyDescent="0.25">
      <c r="E295">
        <f t="shared" si="8"/>
        <v>0</v>
      </c>
      <c r="F295">
        <f t="shared" si="9"/>
        <v>0</v>
      </c>
    </row>
    <row r="296" spans="5:6" x14ac:dyDescent="0.25">
      <c r="E296">
        <f t="shared" si="8"/>
        <v>0</v>
      </c>
      <c r="F296">
        <f t="shared" si="9"/>
        <v>0</v>
      </c>
    </row>
    <row r="297" spans="5:6" x14ac:dyDescent="0.25">
      <c r="E297">
        <f t="shared" si="8"/>
        <v>0</v>
      </c>
      <c r="F297">
        <f t="shared" si="9"/>
        <v>0</v>
      </c>
    </row>
    <row r="298" spans="5:6" x14ac:dyDescent="0.25">
      <c r="E298">
        <f t="shared" si="8"/>
        <v>0</v>
      </c>
      <c r="F298">
        <f t="shared" si="9"/>
        <v>0</v>
      </c>
    </row>
    <row r="299" spans="5:6" x14ac:dyDescent="0.25">
      <c r="E299">
        <f t="shared" si="8"/>
        <v>0</v>
      </c>
      <c r="F299">
        <f t="shared" si="9"/>
        <v>0</v>
      </c>
    </row>
    <row r="300" spans="5:6" x14ac:dyDescent="0.25">
      <c r="E300">
        <f t="shared" si="8"/>
        <v>0</v>
      </c>
      <c r="F300">
        <f t="shared" si="9"/>
        <v>0</v>
      </c>
    </row>
    <row r="301" spans="5:6" x14ac:dyDescent="0.25">
      <c r="E301">
        <f t="shared" si="8"/>
        <v>0</v>
      </c>
      <c r="F301">
        <f t="shared" si="9"/>
        <v>0</v>
      </c>
    </row>
    <row r="302" spans="5:6" x14ac:dyDescent="0.25">
      <c r="E302">
        <f t="shared" si="8"/>
        <v>0</v>
      </c>
      <c r="F302">
        <f t="shared" si="9"/>
        <v>0</v>
      </c>
    </row>
    <row r="303" spans="5:6" x14ac:dyDescent="0.25">
      <c r="E303">
        <f t="shared" si="8"/>
        <v>0</v>
      </c>
      <c r="F303">
        <f t="shared" si="9"/>
        <v>0</v>
      </c>
    </row>
    <row r="304" spans="5:6" x14ac:dyDescent="0.25">
      <c r="E304">
        <f t="shared" si="8"/>
        <v>0</v>
      </c>
      <c r="F304">
        <f t="shared" si="9"/>
        <v>0</v>
      </c>
    </row>
    <row r="305" spans="5:6" x14ac:dyDescent="0.25">
      <c r="E305">
        <f t="shared" si="8"/>
        <v>0</v>
      </c>
      <c r="F305">
        <f t="shared" si="9"/>
        <v>0</v>
      </c>
    </row>
    <row r="306" spans="5:6" x14ac:dyDescent="0.25">
      <c r="E306">
        <f t="shared" si="8"/>
        <v>0</v>
      </c>
      <c r="F306">
        <f t="shared" si="9"/>
        <v>0</v>
      </c>
    </row>
    <row r="307" spans="5:6" x14ac:dyDescent="0.25">
      <c r="E307">
        <f t="shared" si="8"/>
        <v>0</v>
      </c>
      <c r="F307">
        <f t="shared" si="9"/>
        <v>0</v>
      </c>
    </row>
    <row r="308" spans="5:6" x14ac:dyDescent="0.25">
      <c r="E308">
        <f t="shared" si="8"/>
        <v>0</v>
      </c>
      <c r="F308">
        <f t="shared" si="9"/>
        <v>0</v>
      </c>
    </row>
    <row r="309" spans="5:6" x14ac:dyDescent="0.25">
      <c r="E309">
        <f t="shared" si="8"/>
        <v>0</v>
      </c>
      <c r="F309">
        <f t="shared" si="9"/>
        <v>0</v>
      </c>
    </row>
    <row r="310" spans="5:6" x14ac:dyDescent="0.25">
      <c r="E310">
        <f t="shared" si="8"/>
        <v>0</v>
      </c>
      <c r="F310">
        <f t="shared" si="9"/>
        <v>0</v>
      </c>
    </row>
    <row r="311" spans="5:6" x14ac:dyDescent="0.25">
      <c r="E311">
        <f t="shared" si="8"/>
        <v>0</v>
      </c>
      <c r="F311">
        <f t="shared" si="9"/>
        <v>0</v>
      </c>
    </row>
    <row r="312" spans="5:6" x14ac:dyDescent="0.25">
      <c r="E312">
        <f t="shared" si="8"/>
        <v>0</v>
      </c>
      <c r="F312">
        <f t="shared" si="9"/>
        <v>0</v>
      </c>
    </row>
    <row r="313" spans="5:6" x14ac:dyDescent="0.25">
      <c r="E313">
        <f t="shared" si="8"/>
        <v>0</v>
      </c>
      <c r="F313">
        <f t="shared" si="9"/>
        <v>0</v>
      </c>
    </row>
    <row r="314" spans="5:6" x14ac:dyDescent="0.25">
      <c r="E314">
        <f t="shared" si="8"/>
        <v>0</v>
      </c>
      <c r="F314">
        <f t="shared" si="9"/>
        <v>0</v>
      </c>
    </row>
    <row r="315" spans="5:6" x14ac:dyDescent="0.25">
      <c r="E315">
        <f t="shared" si="8"/>
        <v>0</v>
      </c>
      <c r="F315">
        <f t="shared" si="9"/>
        <v>0</v>
      </c>
    </row>
    <row r="316" spans="5:6" x14ac:dyDescent="0.25">
      <c r="E316">
        <f t="shared" si="8"/>
        <v>0</v>
      </c>
      <c r="F316">
        <f t="shared" si="9"/>
        <v>0</v>
      </c>
    </row>
    <row r="317" spans="5:6" x14ac:dyDescent="0.25">
      <c r="E317">
        <f t="shared" si="8"/>
        <v>0</v>
      </c>
      <c r="F317">
        <f t="shared" si="9"/>
        <v>0</v>
      </c>
    </row>
    <row r="318" spans="5:6" x14ac:dyDescent="0.25">
      <c r="E318">
        <f t="shared" si="8"/>
        <v>0</v>
      </c>
      <c r="F318">
        <f t="shared" si="9"/>
        <v>0</v>
      </c>
    </row>
    <row r="319" spans="5:6" x14ac:dyDescent="0.25">
      <c r="E319">
        <f t="shared" si="8"/>
        <v>0</v>
      </c>
      <c r="F319">
        <f t="shared" si="9"/>
        <v>0</v>
      </c>
    </row>
    <row r="320" spans="5:6" x14ac:dyDescent="0.25">
      <c r="E320">
        <f t="shared" si="8"/>
        <v>0</v>
      </c>
      <c r="F320">
        <f t="shared" si="9"/>
        <v>0</v>
      </c>
    </row>
    <row r="321" spans="5:6" x14ac:dyDescent="0.25">
      <c r="E321">
        <f t="shared" si="8"/>
        <v>0</v>
      </c>
      <c r="F321">
        <f t="shared" si="9"/>
        <v>0</v>
      </c>
    </row>
    <row r="322" spans="5:6" x14ac:dyDescent="0.25">
      <c r="E322">
        <f t="shared" si="8"/>
        <v>0</v>
      </c>
      <c r="F322">
        <f t="shared" si="9"/>
        <v>0</v>
      </c>
    </row>
    <row r="323" spans="5:6" x14ac:dyDescent="0.25">
      <c r="E323">
        <f t="shared" ref="E323:E386" si="10">IF($O323="Retail",1,0)</f>
        <v>0</v>
      </c>
      <c r="F323">
        <f t="shared" ref="F323:F386" si="11">IF($O323="Non-Retail",1,0)</f>
        <v>0</v>
      </c>
    </row>
    <row r="324" spans="5:6" x14ac:dyDescent="0.25">
      <c r="E324">
        <f t="shared" si="10"/>
        <v>0</v>
      </c>
      <c r="F324">
        <f t="shared" si="11"/>
        <v>0</v>
      </c>
    </row>
    <row r="325" spans="5:6" x14ac:dyDescent="0.25">
      <c r="E325">
        <f t="shared" si="10"/>
        <v>0</v>
      </c>
      <c r="F325">
        <f t="shared" si="11"/>
        <v>0</v>
      </c>
    </row>
    <row r="326" spans="5:6" x14ac:dyDescent="0.25">
      <c r="E326">
        <f t="shared" si="10"/>
        <v>0</v>
      </c>
      <c r="F326">
        <f t="shared" si="11"/>
        <v>0</v>
      </c>
    </row>
    <row r="327" spans="5:6" x14ac:dyDescent="0.25">
      <c r="E327">
        <f t="shared" si="10"/>
        <v>0</v>
      </c>
      <c r="F327">
        <f t="shared" si="11"/>
        <v>0</v>
      </c>
    </row>
    <row r="328" spans="5:6" x14ac:dyDescent="0.25">
      <c r="E328">
        <f t="shared" si="10"/>
        <v>0</v>
      </c>
      <c r="F328">
        <f t="shared" si="11"/>
        <v>0</v>
      </c>
    </row>
    <row r="329" spans="5:6" x14ac:dyDescent="0.25">
      <c r="E329">
        <f t="shared" si="10"/>
        <v>0</v>
      </c>
      <c r="F329">
        <f t="shared" si="11"/>
        <v>0</v>
      </c>
    </row>
    <row r="330" spans="5:6" x14ac:dyDescent="0.25">
      <c r="E330">
        <f t="shared" si="10"/>
        <v>0</v>
      </c>
      <c r="F330">
        <f t="shared" si="11"/>
        <v>0</v>
      </c>
    </row>
    <row r="331" spans="5:6" x14ac:dyDescent="0.25">
      <c r="E331">
        <f t="shared" si="10"/>
        <v>0</v>
      </c>
      <c r="F331">
        <f t="shared" si="11"/>
        <v>0</v>
      </c>
    </row>
    <row r="332" spans="5:6" x14ac:dyDescent="0.25">
      <c r="E332">
        <f t="shared" si="10"/>
        <v>0</v>
      </c>
      <c r="F332">
        <f t="shared" si="11"/>
        <v>0</v>
      </c>
    </row>
    <row r="333" spans="5:6" x14ac:dyDescent="0.25">
      <c r="E333">
        <f t="shared" si="10"/>
        <v>0</v>
      </c>
      <c r="F333">
        <f t="shared" si="11"/>
        <v>0</v>
      </c>
    </row>
    <row r="334" spans="5:6" x14ac:dyDescent="0.25">
      <c r="E334">
        <f t="shared" si="10"/>
        <v>0</v>
      </c>
      <c r="F334">
        <f t="shared" si="11"/>
        <v>0</v>
      </c>
    </row>
    <row r="335" spans="5:6" x14ac:dyDescent="0.25">
      <c r="E335">
        <f t="shared" si="10"/>
        <v>0</v>
      </c>
      <c r="F335">
        <f t="shared" si="11"/>
        <v>0</v>
      </c>
    </row>
    <row r="336" spans="5:6" x14ac:dyDescent="0.25">
      <c r="E336">
        <f t="shared" si="10"/>
        <v>0</v>
      </c>
      <c r="F336">
        <f t="shared" si="11"/>
        <v>0</v>
      </c>
    </row>
    <row r="337" spans="5:6" x14ac:dyDescent="0.25">
      <c r="E337">
        <f t="shared" si="10"/>
        <v>0</v>
      </c>
      <c r="F337">
        <f t="shared" si="11"/>
        <v>0</v>
      </c>
    </row>
    <row r="338" spans="5:6" x14ac:dyDescent="0.25">
      <c r="E338">
        <f t="shared" si="10"/>
        <v>0</v>
      </c>
      <c r="F338">
        <f t="shared" si="11"/>
        <v>0</v>
      </c>
    </row>
    <row r="339" spans="5:6" x14ac:dyDescent="0.25">
      <c r="E339">
        <f t="shared" si="10"/>
        <v>0</v>
      </c>
      <c r="F339">
        <f t="shared" si="11"/>
        <v>0</v>
      </c>
    </row>
    <row r="340" spans="5:6" x14ac:dyDescent="0.25">
      <c r="E340">
        <f t="shared" si="10"/>
        <v>0</v>
      </c>
      <c r="F340">
        <f t="shared" si="11"/>
        <v>0</v>
      </c>
    </row>
    <row r="341" spans="5:6" x14ac:dyDescent="0.25">
      <c r="E341">
        <f t="shared" si="10"/>
        <v>0</v>
      </c>
      <c r="F341">
        <f t="shared" si="11"/>
        <v>0</v>
      </c>
    </row>
    <row r="342" spans="5:6" x14ac:dyDescent="0.25">
      <c r="E342">
        <f t="shared" si="10"/>
        <v>0</v>
      </c>
      <c r="F342">
        <f t="shared" si="11"/>
        <v>0</v>
      </c>
    </row>
    <row r="343" spans="5:6" x14ac:dyDescent="0.25">
      <c r="E343">
        <f t="shared" si="10"/>
        <v>0</v>
      </c>
      <c r="F343">
        <f t="shared" si="11"/>
        <v>0</v>
      </c>
    </row>
    <row r="344" spans="5:6" x14ac:dyDescent="0.25">
      <c r="E344">
        <f t="shared" si="10"/>
        <v>0</v>
      </c>
      <c r="F344">
        <f t="shared" si="11"/>
        <v>0</v>
      </c>
    </row>
    <row r="345" spans="5:6" x14ac:dyDescent="0.25">
      <c r="E345">
        <f t="shared" si="10"/>
        <v>0</v>
      </c>
      <c r="F345">
        <f t="shared" si="11"/>
        <v>0</v>
      </c>
    </row>
    <row r="346" spans="5:6" x14ac:dyDescent="0.25">
      <c r="E346">
        <f t="shared" si="10"/>
        <v>0</v>
      </c>
      <c r="F346">
        <f t="shared" si="11"/>
        <v>0</v>
      </c>
    </row>
    <row r="347" spans="5:6" x14ac:dyDescent="0.25">
      <c r="E347">
        <f t="shared" si="10"/>
        <v>0</v>
      </c>
      <c r="F347">
        <f t="shared" si="11"/>
        <v>0</v>
      </c>
    </row>
    <row r="348" spans="5:6" x14ac:dyDescent="0.25">
      <c r="E348">
        <f t="shared" si="10"/>
        <v>0</v>
      </c>
      <c r="F348">
        <f t="shared" si="11"/>
        <v>0</v>
      </c>
    </row>
    <row r="349" spans="5:6" x14ac:dyDescent="0.25">
      <c r="E349">
        <f t="shared" si="10"/>
        <v>0</v>
      </c>
      <c r="F349">
        <f t="shared" si="11"/>
        <v>0</v>
      </c>
    </row>
    <row r="350" spans="5:6" x14ac:dyDescent="0.25">
      <c r="E350">
        <f t="shared" si="10"/>
        <v>0</v>
      </c>
      <c r="F350">
        <f t="shared" si="11"/>
        <v>0</v>
      </c>
    </row>
    <row r="351" spans="5:6" x14ac:dyDescent="0.25">
      <c r="E351">
        <f t="shared" si="10"/>
        <v>0</v>
      </c>
      <c r="F351">
        <f t="shared" si="11"/>
        <v>0</v>
      </c>
    </row>
    <row r="352" spans="5:6" x14ac:dyDescent="0.25">
      <c r="E352">
        <f t="shared" si="10"/>
        <v>0</v>
      </c>
      <c r="F352">
        <f t="shared" si="11"/>
        <v>0</v>
      </c>
    </row>
    <row r="353" spans="5:6" x14ac:dyDescent="0.25">
      <c r="E353">
        <f t="shared" si="10"/>
        <v>0</v>
      </c>
      <c r="F353">
        <f t="shared" si="11"/>
        <v>0</v>
      </c>
    </row>
    <row r="354" spans="5:6" x14ac:dyDescent="0.25">
      <c r="E354">
        <f t="shared" si="10"/>
        <v>0</v>
      </c>
      <c r="F354">
        <f t="shared" si="11"/>
        <v>0</v>
      </c>
    </row>
    <row r="355" spans="5:6" x14ac:dyDescent="0.25">
      <c r="E355">
        <f t="shared" si="10"/>
        <v>0</v>
      </c>
      <c r="F355">
        <f t="shared" si="11"/>
        <v>0</v>
      </c>
    </row>
    <row r="356" spans="5:6" x14ac:dyDescent="0.25">
      <c r="E356">
        <f t="shared" si="10"/>
        <v>0</v>
      </c>
      <c r="F356">
        <f t="shared" si="11"/>
        <v>0</v>
      </c>
    </row>
    <row r="357" spans="5:6" x14ac:dyDescent="0.25">
      <c r="E357">
        <f t="shared" si="10"/>
        <v>0</v>
      </c>
      <c r="F357">
        <f t="shared" si="11"/>
        <v>0</v>
      </c>
    </row>
    <row r="358" spans="5:6" x14ac:dyDescent="0.25">
      <c r="E358">
        <f t="shared" si="10"/>
        <v>0</v>
      </c>
      <c r="F358">
        <f t="shared" si="11"/>
        <v>0</v>
      </c>
    </row>
    <row r="359" spans="5:6" x14ac:dyDescent="0.25">
      <c r="E359">
        <f t="shared" si="10"/>
        <v>0</v>
      </c>
      <c r="F359">
        <f t="shared" si="11"/>
        <v>0</v>
      </c>
    </row>
    <row r="360" spans="5:6" x14ac:dyDescent="0.25">
      <c r="E360">
        <f t="shared" si="10"/>
        <v>0</v>
      </c>
      <c r="F360">
        <f t="shared" si="11"/>
        <v>0</v>
      </c>
    </row>
    <row r="361" spans="5:6" x14ac:dyDescent="0.25">
      <c r="E361">
        <f t="shared" si="10"/>
        <v>0</v>
      </c>
      <c r="F361">
        <f t="shared" si="11"/>
        <v>0</v>
      </c>
    </row>
    <row r="362" spans="5:6" x14ac:dyDescent="0.25">
      <c r="E362">
        <f t="shared" si="10"/>
        <v>0</v>
      </c>
      <c r="F362">
        <f t="shared" si="11"/>
        <v>0</v>
      </c>
    </row>
    <row r="363" spans="5:6" x14ac:dyDescent="0.25">
      <c r="E363">
        <f t="shared" si="10"/>
        <v>0</v>
      </c>
      <c r="F363">
        <f t="shared" si="11"/>
        <v>0</v>
      </c>
    </row>
    <row r="364" spans="5:6" x14ac:dyDescent="0.25">
      <c r="E364">
        <f t="shared" si="10"/>
        <v>0</v>
      </c>
      <c r="F364">
        <f t="shared" si="11"/>
        <v>0</v>
      </c>
    </row>
    <row r="365" spans="5:6" x14ac:dyDescent="0.25">
      <c r="E365">
        <f t="shared" si="10"/>
        <v>0</v>
      </c>
      <c r="F365">
        <f t="shared" si="11"/>
        <v>0</v>
      </c>
    </row>
    <row r="366" spans="5:6" x14ac:dyDescent="0.25">
      <c r="E366">
        <f t="shared" si="10"/>
        <v>0</v>
      </c>
      <c r="F366">
        <f t="shared" si="11"/>
        <v>0</v>
      </c>
    </row>
    <row r="367" spans="5:6" x14ac:dyDescent="0.25">
      <c r="E367">
        <f t="shared" si="10"/>
        <v>0</v>
      </c>
      <c r="F367">
        <f t="shared" si="11"/>
        <v>0</v>
      </c>
    </row>
    <row r="368" spans="5:6" x14ac:dyDescent="0.25">
      <c r="E368">
        <f t="shared" si="10"/>
        <v>0</v>
      </c>
      <c r="F368">
        <f t="shared" si="11"/>
        <v>0</v>
      </c>
    </row>
    <row r="369" spans="5:6" x14ac:dyDescent="0.25">
      <c r="E369">
        <f t="shared" si="10"/>
        <v>0</v>
      </c>
      <c r="F369">
        <f t="shared" si="11"/>
        <v>0</v>
      </c>
    </row>
    <row r="370" spans="5:6" x14ac:dyDescent="0.25">
      <c r="E370">
        <f t="shared" si="10"/>
        <v>0</v>
      </c>
      <c r="F370">
        <f t="shared" si="11"/>
        <v>0</v>
      </c>
    </row>
    <row r="371" spans="5:6" x14ac:dyDescent="0.25">
      <c r="E371">
        <f t="shared" si="10"/>
        <v>0</v>
      </c>
      <c r="F371">
        <f t="shared" si="11"/>
        <v>0</v>
      </c>
    </row>
    <row r="372" spans="5:6" x14ac:dyDescent="0.25">
      <c r="E372">
        <f t="shared" si="10"/>
        <v>0</v>
      </c>
      <c r="F372">
        <f t="shared" si="11"/>
        <v>0</v>
      </c>
    </row>
    <row r="373" spans="5:6" x14ac:dyDescent="0.25">
      <c r="E373">
        <f t="shared" si="10"/>
        <v>0</v>
      </c>
      <c r="F373">
        <f t="shared" si="11"/>
        <v>0</v>
      </c>
    </row>
    <row r="374" spans="5:6" x14ac:dyDescent="0.25">
      <c r="E374">
        <f t="shared" si="10"/>
        <v>0</v>
      </c>
      <c r="F374">
        <f t="shared" si="11"/>
        <v>0</v>
      </c>
    </row>
    <row r="375" spans="5:6" x14ac:dyDescent="0.25">
      <c r="E375">
        <f t="shared" si="10"/>
        <v>0</v>
      </c>
      <c r="F375">
        <f t="shared" si="11"/>
        <v>0</v>
      </c>
    </row>
    <row r="376" spans="5:6" x14ac:dyDescent="0.25">
      <c r="E376">
        <f t="shared" si="10"/>
        <v>0</v>
      </c>
      <c r="F376">
        <f t="shared" si="11"/>
        <v>0</v>
      </c>
    </row>
    <row r="377" spans="5:6" x14ac:dyDescent="0.25">
      <c r="E377">
        <f t="shared" si="10"/>
        <v>0</v>
      </c>
      <c r="F377">
        <f t="shared" si="11"/>
        <v>0</v>
      </c>
    </row>
    <row r="378" spans="5:6" x14ac:dyDescent="0.25">
      <c r="E378">
        <f t="shared" si="10"/>
        <v>0</v>
      </c>
      <c r="F378">
        <f t="shared" si="11"/>
        <v>0</v>
      </c>
    </row>
    <row r="379" spans="5:6" x14ac:dyDescent="0.25">
      <c r="E379">
        <f t="shared" si="10"/>
        <v>0</v>
      </c>
      <c r="F379">
        <f t="shared" si="11"/>
        <v>0</v>
      </c>
    </row>
    <row r="380" spans="5:6" x14ac:dyDescent="0.25">
      <c r="E380">
        <f t="shared" si="10"/>
        <v>0</v>
      </c>
      <c r="F380">
        <f t="shared" si="11"/>
        <v>0</v>
      </c>
    </row>
    <row r="381" spans="5:6" x14ac:dyDescent="0.25">
      <c r="E381">
        <f t="shared" si="10"/>
        <v>0</v>
      </c>
      <c r="F381">
        <f t="shared" si="11"/>
        <v>0</v>
      </c>
    </row>
    <row r="382" spans="5:6" x14ac:dyDescent="0.25">
      <c r="E382">
        <f t="shared" si="10"/>
        <v>0</v>
      </c>
      <c r="F382">
        <f t="shared" si="11"/>
        <v>0</v>
      </c>
    </row>
    <row r="383" spans="5:6" x14ac:dyDescent="0.25">
      <c r="E383">
        <f t="shared" si="10"/>
        <v>0</v>
      </c>
      <c r="F383">
        <f t="shared" si="11"/>
        <v>0</v>
      </c>
    </row>
    <row r="384" spans="5:6" x14ac:dyDescent="0.25">
      <c r="E384">
        <f t="shared" si="10"/>
        <v>0</v>
      </c>
      <c r="F384">
        <f t="shared" si="11"/>
        <v>0</v>
      </c>
    </row>
    <row r="385" spans="5:6" x14ac:dyDescent="0.25">
      <c r="E385">
        <f t="shared" si="10"/>
        <v>0</v>
      </c>
      <c r="F385">
        <f t="shared" si="11"/>
        <v>0</v>
      </c>
    </row>
    <row r="386" spans="5:6" x14ac:dyDescent="0.25">
      <c r="E386">
        <f t="shared" si="10"/>
        <v>0</v>
      </c>
      <c r="F386">
        <f t="shared" si="11"/>
        <v>0</v>
      </c>
    </row>
    <row r="387" spans="5:6" x14ac:dyDescent="0.25">
      <c r="E387">
        <f t="shared" ref="E387:E450" si="12">IF($O387="Retail",1,0)</f>
        <v>0</v>
      </c>
      <c r="F387">
        <f t="shared" ref="F387:F450" si="13">IF($O387="Non-Retail",1,0)</f>
        <v>0</v>
      </c>
    </row>
    <row r="388" spans="5:6" x14ac:dyDescent="0.25">
      <c r="E388">
        <f t="shared" si="12"/>
        <v>0</v>
      </c>
      <c r="F388">
        <f t="shared" si="13"/>
        <v>0</v>
      </c>
    </row>
    <row r="389" spans="5:6" x14ac:dyDescent="0.25">
      <c r="E389">
        <f t="shared" si="12"/>
        <v>0</v>
      </c>
      <c r="F389">
        <f t="shared" si="13"/>
        <v>0</v>
      </c>
    </row>
    <row r="390" spans="5:6" x14ac:dyDescent="0.25">
      <c r="E390">
        <f t="shared" si="12"/>
        <v>0</v>
      </c>
      <c r="F390">
        <f t="shared" si="13"/>
        <v>0</v>
      </c>
    </row>
    <row r="391" spans="5:6" x14ac:dyDescent="0.25">
      <c r="E391">
        <f t="shared" si="12"/>
        <v>0</v>
      </c>
      <c r="F391">
        <f t="shared" si="13"/>
        <v>0</v>
      </c>
    </row>
    <row r="392" spans="5:6" x14ac:dyDescent="0.25">
      <c r="E392">
        <f t="shared" si="12"/>
        <v>0</v>
      </c>
      <c r="F392">
        <f t="shared" si="13"/>
        <v>0</v>
      </c>
    </row>
    <row r="393" spans="5:6" x14ac:dyDescent="0.25">
      <c r="E393">
        <f t="shared" si="12"/>
        <v>0</v>
      </c>
      <c r="F393">
        <f t="shared" si="13"/>
        <v>0</v>
      </c>
    </row>
    <row r="394" spans="5:6" x14ac:dyDescent="0.25">
      <c r="E394">
        <f t="shared" si="12"/>
        <v>0</v>
      </c>
      <c r="F394">
        <f t="shared" si="13"/>
        <v>0</v>
      </c>
    </row>
    <row r="395" spans="5:6" x14ac:dyDescent="0.25">
      <c r="E395">
        <f t="shared" si="12"/>
        <v>0</v>
      </c>
      <c r="F395">
        <f t="shared" si="13"/>
        <v>0</v>
      </c>
    </row>
    <row r="396" spans="5:6" x14ac:dyDescent="0.25">
      <c r="E396">
        <f t="shared" si="12"/>
        <v>0</v>
      </c>
      <c r="F396">
        <f t="shared" si="13"/>
        <v>0</v>
      </c>
    </row>
    <row r="397" spans="5:6" x14ac:dyDescent="0.25">
      <c r="E397">
        <f t="shared" si="12"/>
        <v>0</v>
      </c>
      <c r="F397">
        <f t="shared" si="13"/>
        <v>0</v>
      </c>
    </row>
    <row r="398" spans="5:6" x14ac:dyDescent="0.25">
      <c r="E398">
        <f t="shared" si="12"/>
        <v>0</v>
      </c>
      <c r="F398">
        <f t="shared" si="13"/>
        <v>0</v>
      </c>
    </row>
    <row r="399" spans="5:6" x14ac:dyDescent="0.25">
      <c r="E399">
        <f t="shared" si="12"/>
        <v>0</v>
      </c>
      <c r="F399">
        <f t="shared" si="13"/>
        <v>0</v>
      </c>
    </row>
    <row r="400" spans="5:6" x14ac:dyDescent="0.25">
      <c r="E400">
        <f t="shared" si="12"/>
        <v>0</v>
      </c>
      <c r="F400">
        <f t="shared" si="13"/>
        <v>0</v>
      </c>
    </row>
    <row r="401" spans="5:6" x14ac:dyDescent="0.25">
      <c r="E401">
        <f t="shared" si="12"/>
        <v>0</v>
      </c>
      <c r="F401">
        <f t="shared" si="13"/>
        <v>0</v>
      </c>
    </row>
    <row r="402" spans="5:6" x14ac:dyDescent="0.25">
      <c r="E402">
        <f t="shared" si="12"/>
        <v>0</v>
      </c>
      <c r="F402">
        <f t="shared" si="13"/>
        <v>0</v>
      </c>
    </row>
    <row r="403" spans="5:6" x14ac:dyDescent="0.25">
      <c r="E403">
        <f t="shared" si="12"/>
        <v>0</v>
      </c>
      <c r="F403">
        <f t="shared" si="13"/>
        <v>0</v>
      </c>
    </row>
    <row r="404" spans="5:6" x14ac:dyDescent="0.25">
      <c r="E404">
        <f t="shared" si="12"/>
        <v>0</v>
      </c>
      <c r="F404">
        <f t="shared" si="13"/>
        <v>0</v>
      </c>
    </row>
    <row r="405" spans="5:6" x14ac:dyDescent="0.25">
      <c r="E405">
        <f t="shared" si="12"/>
        <v>0</v>
      </c>
      <c r="F405">
        <f t="shared" si="13"/>
        <v>0</v>
      </c>
    </row>
    <row r="406" spans="5:6" x14ac:dyDescent="0.25">
      <c r="E406">
        <f t="shared" si="12"/>
        <v>0</v>
      </c>
      <c r="F406">
        <f t="shared" si="13"/>
        <v>0</v>
      </c>
    </row>
    <row r="407" spans="5:6" x14ac:dyDescent="0.25">
      <c r="E407">
        <f t="shared" si="12"/>
        <v>0</v>
      </c>
      <c r="F407">
        <f t="shared" si="13"/>
        <v>0</v>
      </c>
    </row>
    <row r="408" spans="5:6" x14ac:dyDescent="0.25">
      <c r="E408">
        <f t="shared" si="12"/>
        <v>0</v>
      </c>
      <c r="F408">
        <f t="shared" si="13"/>
        <v>0</v>
      </c>
    </row>
    <row r="409" spans="5:6" x14ac:dyDescent="0.25">
      <c r="E409">
        <f t="shared" si="12"/>
        <v>0</v>
      </c>
      <c r="F409">
        <f t="shared" si="13"/>
        <v>0</v>
      </c>
    </row>
    <row r="410" spans="5:6" x14ac:dyDescent="0.25">
      <c r="E410">
        <f t="shared" si="12"/>
        <v>0</v>
      </c>
      <c r="F410">
        <f t="shared" si="13"/>
        <v>0</v>
      </c>
    </row>
    <row r="411" spans="5:6" x14ac:dyDescent="0.25">
      <c r="E411">
        <f t="shared" si="12"/>
        <v>0</v>
      </c>
      <c r="F411">
        <f t="shared" si="13"/>
        <v>0</v>
      </c>
    </row>
    <row r="412" spans="5:6" x14ac:dyDescent="0.25">
      <c r="E412">
        <f t="shared" si="12"/>
        <v>0</v>
      </c>
      <c r="F412">
        <f t="shared" si="13"/>
        <v>0</v>
      </c>
    </row>
    <row r="413" spans="5:6" x14ac:dyDescent="0.25">
      <c r="E413">
        <f t="shared" si="12"/>
        <v>0</v>
      </c>
      <c r="F413">
        <f t="shared" si="13"/>
        <v>0</v>
      </c>
    </row>
    <row r="414" spans="5:6" x14ac:dyDescent="0.25">
      <c r="E414">
        <f t="shared" si="12"/>
        <v>0</v>
      </c>
      <c r="F414">
        <f t="shared" si="13"/>
        <v>0</v>
      </c>
    </row>
    <row r="415" spans="5:6" x14ac:dyDescent="0.25">
      <c r="E415">
        <f t="shared" si="12"/>
        <v>0</v>
      </c>
      <c r="F415">
        <f t="shared" si="13"/>
        <v>0</v>
      </c>
    </row>
    <row r="416" spans="5:6" x14ac:dyDescent="0.25">
      <c r="E416">
        <f t="shared" si="12"/>
        <v>0</v>
      </c>
      <c r="F416">
        <f t="shared" si="13"/>
        <v>0</v>
      </c>
    </row>
    <row r="417" spans="5:6" x14ac:dyDescent="0.25">
      <c r="E417">
        <f t="shared" si="12"/>
        <v>0</v>
      </c>
      <c r="F417">
        <f t="shared" si="13"/>
        <v>0</v>
      </c>
    </row>
    <row r="418" spans="5:6" x14ac:dyDescent="0.25">
      <c r="E418">
        <f t="shared" si="12"/>
        <v>0</v>
      </c>
      <c r="F418">
        <f t="shared" si="13"/>
        <v>0</v>
      </c>
    </row>
    <row r="419" spans="5:6" x14ac:dyDescent="0.25">
      <c r="E419">
        <f t="shared" si="12"/>
        <v>0</v>
      </c>
      <c r="F419">
        <f t="shared" si="13"/>
        <v>0</v>
      </c>
    </row>
    <row r="420" spans="5:6" x14ac:dyDescent="0.25">
      <c r="E420">
        <f t="shared" si="12"/>
        <v>0</v>
      </c>
      <c r="F420">
        <f t="shared" si="13"/>
        <v>0</v>
      </c>
    </row>
    <row r="421" spans="5:6" x14ac:dyDescent="0.25">
      <c r="E421">
        <f t="shared" si="12"/>
        <v>0</v>
      </c>
      <c r="F421">
        <f t="shared" si="13"/>
        <v>0</v>
      </c>
    </row>
    <row r="422" spans="5:6" x14ac:dyDescent="0.25">
      <c r="E422">
        <f t="shared" si="12"/>
        <v>0</v>
      </c>
      <c r="F422">
        <f t="shared" si="13"/>
        <v>0</v>
      </c>
    </row>
    <row r="423" spans="5:6" x14ac:dyDescent="0.25">
      <c r="E423">
        <f t="shared" si="12"/>
        <v>0</v>
      </c>
      <c r="F423">
        <f t="shared" si="13"/>
        <v>0</v>
      </c>
    </row>
    <row r="424" spans="5:6" x14ac:dyDescent="0.25">
      <c r="E424">
        <f t="shared" si="12"/>
        <v>0</v>
      </c>
      <c r="F424">
        <f t="shared" si="13"/>
        <v>0</v>
      </c>
    </row>
    <row r="425" spans="5:6" x14ac:dyDescent="0.25">
      <c r="E425">
        <f t="shared" si="12"/>
        <v>0</v>
      </c>
      <c r="F425">
        <f t="shared" si="13"/>
        <v>0</v>
      </c>
    </row>
    <row r="426" spans="5:6" x14ac:dyDescent="0.25">
      <c r="E426">
        <f t="shared" si="12"/>
        <v>0</v>
      </c>
      <c r="F426">
        <f t="shared" si="13"/>
        <v>0</v>
      </c>
    </row>
    <row r="427" spans="5:6" x14ac:dyDescent="0.25">
      <c r="E427">
        <f t="shared" si="12"/>
        <v>0</v>
      </c>
      <c r="F427">
        <f t="shared" si="13"/>
        <v>0</v>
      </c>
    </row>
    <row r="428" spans="5:6" x14ac:dyDescent="0.25">
      <c r="E428">
        <f t="shared" si="12"/>
        <v>0</v>
      </c>
      <c r="F428">
        <f t="shared" si="13"/>
        <v>0</v>
      </c>
    </row>
    <row r="429" spans="5:6" x14ac:dyDescent="0.25">
      <c r="E429">
        <f t="shared" si="12"/>
        <v>0</v>
      </c>
      <c r="F429">
        <f t="shared" si="13"/>
        <v>0</v>
      </c>
    </row>
    <row r="430" spans="5:6" x14ac:dyDescent="0.25">
      <c r="E430">
        <f t="shared" si="12"/>
        <v>0</v>
      </c>
      <c r="F430">
        <f t="shared" si="13"/>
        <v>0</v>
      </c>
    </row>
    <row r="431" spans="5:6" x14ac:dyDescent="0.25">
      <c r="E431">
        <f t="shared" si="12"/>
        <v>0</v>
      </c>
      <c r="F431">
        <f t="shared" si="13"/>
        <v>0</v>
      </c>
    </row>
    <row r="432" spans="5:6" x14ac:dyDescent="0.25">
      <c r="E432">
        <f t="shared" si="12"/>
        <v>0</v>
      </c>
      <c r="F432">
        <f t="shared" si="13"/>
        <v>0</v>
      </c>
    </row>
    <row r="433" spans="5:6" x14ac:dyDescent="0.25">
      <c r="E433">
        <f t="shared" si="12"/>
        <v>0</v>
      </c>
      <c r="F433">
        <f t="shared" si="13"/>
        <v>0</v>
      </c>
    </row>
    <row r="434" spans="5:6" x14ac:dyDescent="0.25">
      <c r="E434">
        <f t="shared" si="12"/>
        <v>0</v>
      </c>
      <c r="F434">
        <f t="shared" si="13"/>
        <v>0</v>
      </c>
    </row>
    <row r="435" spans="5:6" x14ac:dyDescent="0.25">
      <c r="E435">
        <f t="shared" si="12"/>
        <v>0</v>
      </c>
      <c r="F435">
        <f t="shared" si="13"/>
        <v>0</v>
      </c>
    </row>
    <row r="436" spans="5:6" x14ac:dyDescent="0.25">
      <c r="E436">
        <f t="shared" si="12"/>
        <v>0</v>
      </c>
      <c r="F436">
        <f t="shared" si="13"/>
        <v>0</v>
      </c>
    </row>
    <row r="437" spans="5:6" x14ac:dyDescent="0.25">
      <c r="E437">
        <f t="shared" si="12"/>
        <v>0</v>
      </c>
      <c r="F437">
        <f t="shared" si="13"/>
        <v>0</v>
      </c>
    </row>
    <row r="438" spans="5:6" x14ac:dyDescent="0.25">
      <c r="E438">
        <f t="shared" si="12"/>
        <v>0</v>
      </c>
      <c r="F438">
        <f t="shared" si="13"/>
        <v>0</v>
      </c>
    </row>
    <row r="439" spans="5:6" x14ac:dyDescent="0.25">
      <c r="E439">
        <f t="shared" si="12"/>
        <v>0</v>
      </c>
      <c r="F439">
        <f t="shared" si="13"/>
        <v>0</v>
      </c>
    </row>
    <row r="440" spans="5:6" x14ac:dyDescent="0.25">
      <c r="E440">
        <f t="shared" si="12"/>
        <v>0</v>
      </c>
      <c r="F440">
        <f t="shared" si="13"/>
        <v>0</v>
      </c>
    </row>
    <row r="441" spans="5:6" x14ac:dyDescent="0.25">
      <c r="E441">
        <f t="shared" si="12"/>
        <v>0</v>
      </c>
      <c r="F441">
        <f t="shared" si="13"/>
        <v>0</v>
      </c>
    </row>
    <row r="442" spans="5:6" x14ac:dyDescent="0.25">
      <c r="E442">
        <f t="shared" si="12"/>
        <v>0</v>
      </c>
      <c r="F442">
        <f t="shared" si="13"/>
        <v>0</v>
      </c>
    </row>
    <row r="443" spans="5:6" x14ac:dyDescent="0.25">
      <c r="E443">
        <f t="shared" si="12"/>
        <v>0</v>
      </c>
      <c r="F443">
        <f t="shared" si="13"/>
        <v>0</v>
      </c>
    </row>
    <row r="444" spans="5:6" x14ac:dyDescent="0.25">
      <c r="E444">
        <f t="shared" si="12"/>
        <v>0</v>
      </c>
      <c r="F444">
        <f t="shared" si="13"/>
        <v>0</v>
      </c>
    </row>
    <row r="445" spans="5:6" x14ac:dyDescent="0.25">
      <c r="E445">
        <f t="shared" si="12"/>
        <v>0</v>
      </c>
      <c r="F445">
        <f t="shared" si="13"/>
        <v>0</v>
      </c>
    </row>
    <row r="446" spans="5:6" x14ac:dyDescent="0.25">
      <c r="E446">
        <f t="shared" si="12"/>
        <v>0</v>
      </c>
      <c r="F446">
        <f t="shared" si="13"/>
        <v>0</v>
      </c>
    </row>
    <row r="447" spans="5:6" x14ac:dyDescent="0.25">
      <c r="E447">
        <f t="shared" si="12"/>
        <v>0</v>
      </c>
      <c r="F447">
        <f t="shared" si="13"/>
        <v>0</v>
      </c>
    </row>
    <row r="448" spans="5:6" x14ac:dyDescent="0.25">
      <c r="E448">
        <f t="shared" si="12"/>
        <v>0</v>
      </c>
      <c r="F448">
        <f t="shared" si="13"/>
        <v>0</v>
      </c>
    </row>
    <row r="449" spans="5:6" x14ac:dyDescent="0.25">
      <c r="E449">
        <f t="shared" si="12"/>
        <v>0</v>
      </c>
      <c r="F449">
        <f t="shared" si="13"/>
        <v>0</v>
      </c>
    </row>
    <row r="450" spans="5:6" x14ac:dyDescent="0.25">
      <c r="E450">
        <f t="shared" si="12"/>
        <v>0</v>
      </c>
      <c r="F450">
        <f t="shared" si="13"/>
        <v>0</v>
      </c>
    </row>
    <row r="451" spans="5:6" x14ac:dyDescent="0.25">
      <c r="E451">
        <f t="shared" ref="E451:E514" si="14">IF($O451="Retail",1,0)</f>
        <v>0</v>
      </c>
      <c r="F451">
        <f t="shared" ref="F451:F514" si="15">IF($O451="Non-Retail",1,0)</f>
        <v>0</v>
      </c>
    </row>
    <row r="452" spans="5:6" x14ac:dyDescent="0.25">
      <c r="E452">
        <f t="shared" si="14"/>
        <v>0</v>
      </c>
      <c r="F452">
        <f t="shared" si="15"/>
        <v>0</v>
      </c>
    </row>
    <row r="453" spans="5:6" x14ac:dyDescent="0.25">
      <c r="E453">
        <f t="shared" si="14"/>
        <v>0</v>
      </c>
      <c r="F453">
        <f t="shared" si="15"/>
        <v>0</v>
      </c>
    </row>
    <row r="454" spans="5:6" x14ac:dyDescent="0.25">
      <c r="E454">
        <f t="shared" si="14"/>
        <v>0</v>
      </c>
      <c r="F454">
        <f t="shared" si="15"/>
        <v>0</v>
      </c>
    </row>
    <row r="455" spans="5:6" x14ac:dyDescent="0.25">
      <c r="E455">
        <f t="shared" si="14"/>
        <v>0</v>
      </c>
      <c r="F455">
        <f t="shared" si="15"/>
        <v>0</v>
      </c>
    </row>
    <row r="456" spans="5:6" x14ac:dyDescent="0.25">
      <c r="E456">
        <f t="shared" si="14"/>
        <v>0</v>
      </c>
      <c r="F456">
        <f t="shared" si="15"/>
        <v>0</v>
      </c>
    </row>
    <row r="457" spans="5:6" x14ac:dyDescent="0.25">
      <c r="E457">
        <f t="shared" si="14"/>
        <v>0</v>
      </c>
      <c r="F457">
        <f t="shared" si="15"/>
        <v>0</v>
      </c>
    </row>
    <row r="458" spans="5:6" x14ac:dyDescent="0.25">
      <c r="E458">
        <f t="shared" si="14"/>
        <v>0</v>
      </c>
      <c r="F458">
        <f t="shared" si="15"/>
        <v>0</v>
      </c>
    </row>
    <row r="459" spans="5:6" x14ac:dyDescent="0.25">
      <c r="E459">
        <f t="shared" si="14"/>
        <v>0</v>
      </c>
      <c r="F459">
        <f t="shared" si="15"/>
        <v>0</v>
      </c>
    </row>
    <row r="460" spans="5:6" x14ac:dyDescent="0.25">
      <c r="E460">
        <f t="shared" si="14"/>
        <v>0</v>
      </c>
      <c r="F460">
        <f t="shared" si="15"/>
        <v>0</v>
      </c>
    </row>
    <row r="461" spans="5:6" x14ac:dyDescent="0.25">
      <c r="E461">
        <f t="shared" si="14"/>
        <v>0</v>
      </c>
      <c r="F461">
        <f t="shared" si="15"/>
        <v>0</v>
      </c>
    </row>
    <row r="462" spans="5:6" x14ac:dyDescent="0.25">
      <c r="E462">
        <f t="shared" si="14"/>
        <v>0</v>
      </c>
      <c r="F462">
        <f t="shared" si="15"/>
        <v>0</v>
      </c>
    </row>
    <row r="463" spans="5:6" x14ac:dyDescent="0.25">
      <c r="E463">
        <f t="shared" si="14"/>
        <v>0</v>
      </c>
      <c r="F463">
        <f t="shared" si="15"/>
        <v>0</v>
      </c>
    </row>
    <row r="464" spans="5:6" x14ac:dyDescent="0.25">
      <c r="E464">
        <f t="shared" si="14"/>
        <v>0</v>
      </c>
      <c r="F464">
        <f t="shared" si="15"/>
        <v>0</v>
      </c>
    </row>
    <row r="465" spans="5:6" x14ac:dyDescent="0.25">
      <c r="E465">
        <f t="shared" si="14"/>
        <v>0</v>
      </c>
      <c r="F465">
        <f t="shared" si="15"/>
        <v>0</v>
      </c>
    </row>
    <row r="466" spans="5:6" x14ac:dyDescent="0.25">
      <c r="E466">
        <f t="shared" si="14"/>
        <v>0</v>
      </c>
      <c r="F466">
        <f t="shared" si="15"/>
        <v>0</v>
      </c>
    </row>
    <row r="467" spans="5:6" x14ac:dyDescent="0.25">
      <c r="E467">
        <f t="shared" si="14"/>
        <v>0</v>
      </c>
      <c r="F467">
        <f t="shared" si="15"/>
        <v>0</v>
      </c>
    </row>
    <row r="468" spans="5:6" x14ac:dyDescent="0.25">
      <c r="E468">
        <f t="shared" si="14"/>
        <v>0</v>
      </c>
      <c r="F468">
        <f t="shared" si="15"/>
        <v>0</v>
      </c>
    </row>
    <row r="469" spans="5:6" x14ac:dyDescent="0.25">
      <c r="E469">
        <f t="shared" si="14"/>
        <v>0</v>
      </c>
      <c r="F469">
        <f t="shared" si="15"/>
        <v>0</v>
      </c>
    </row>
    <row r="470" spans="5:6" x14ac:dyDescent="0.25">
      <c r="E470">
        <f t="shared" si="14"/>
        <v>0</v>
      </c>
      <c r="F470">
        <f t="shared" si="15"/>
        <v>0</v>
      </c>
    </row>
    <row r="471" spans="5:6" x14ac:dyDescent="0.25">
      <c r="E471">
        <f t="shared" si="14"/>
        <v>0</v>
      </c>
      <c r="F471">
        <f t="shared" si="15"/>
        <v>0</v>
      </c>
    </row>
    <row r="472" spans="5:6" x14ac:dyDescent="0.25">
      <c r="E472">
        <f t="shared" si="14"/>
        <v>0</v>
      </c>
      <c r="F472">
        <f t="shared" si="15"/>
        <v>0</v>
      </c>
    </row>
    <row r="473" spans="5:6" x14ac:dyDescent="0.25">
      <c r="E473">
        <f t="shared" si="14"/>
        <v>0</v>
      </c>
      <c r="F473">
        <f t="shared" si="15"/>
        <v>0</v>
      </c>
    </row>
    <row r="474" spans="5:6" x14ac:dyDescent="0.25">
      <c r="E474">
        <f t="shared" si="14"/>
        <v>0</v>
      </c>
      <c r="F474">
        <f t="shared" si="15"/>
        <v>0</v>
      </c>
    </row>
    <row r="475" spans="5:6" x14ac:dyDescent="0.25">
      <c r="E475">
        <f t="shared" si="14"/>
        <v>0</v>
      </c>
      <c r="F475">
        <f t="shared" si="15"/>
        <v>0</v>
      </c>
    </row>
    <row r="476" spans="5:6" x14ac:dyDescent="0.25">
      <c r="E476">
        <f t="shared" si="14"/>
        <v>0</v>
      </c>
      <c r="F476">
        <f t="shared" si="15"/>
        <v>0</v>
      </c>
    </row>
    <row r="477" spans="5:6" x14ac:dyDescent="0.25">
      <c r="E477">
        <f t="shared" si="14"/>
        <v>0</v>
      </c>
      <c r="F477">
        <f t="shared" si="15"/>
        <v>0</v>
      </c>
    </row>
    <row r="478" spans="5:6" x14ac:dyDescent="0.25">
      <c r="E478">
        <f t="shared" si="14"/>
        <v>0</v>
      </c>
      <c r="F478">
        <f t="shared" si="15"/>
        <v>0</v>
      </c>
    </row>
    <row r="479" spans="5:6" x14ac:dyDescent="0.25">
      <c r="E479">
        <f t="shared" si="14"/>
        <v>0</v>
      </c>
      <c r="F479">
        <f t="shared" si="15"/>
        <v>0</v>
      </c>
    </row>
    <row r="480" spans="5:6" x14ac:dyDescent="0.25">
      <c r="E480">
        <f t="shared" si="14"/>
        <v>0</v>
      </c>
      <c r="F480">
        <f t="shared" si="15"/>
        <v>0</v>
      </c>
    </row>
    <row r="481" spans="5:6" x14ac:dyDescent="0.25">
      <c r="E481">
        <f t="shared" si="14"/>
        <v>0</v>
      </c>
      <c r="F481">
        <f t="shared" si="15"/>
        <v>0</v>
      </c>
    </row>
    <row r="482" spans="5:6" x14ac:dyDescent="0.25">
      <c r="E482">
        <f t="shared" si="14"/>
        <v>0</v>
      </c>
      <c r="F482">
        <f t="shared" si="15"/>
        <v>0</v>
      </c>
    </row>
    <row r="483" spans="5:6" x14ac:dyDescent="0.25">
      <c r="E483">
        <f t="shared" si="14"/>
        <v>0</v>
      </c>
      <c r="F483">
        <f t="shared" si="15"/>
        <v>0</v>
      </c>
    </row>
    <row r="484" spans="5:6" x14ac:dyDescent="0.25">
      <c r="E484">
        <f t="shared" si="14"/>
        <v>0</v>
      </c>
      <c r="F484">
        <f t="shared" si="15"/>
        <v>0</v>
      </c>
    </row>
    <row r="485" spans="5:6" x14ac:dyDescent="0.25">
      <c r="E485">
        <f t="shared" si="14"/>
        <v>0</v>
      </c>
      <c r="F485">
        <f t="shared" si="15"/>
        <v>0</v>
      </c>
    </row>
    <row r="486" spans="5:6" x14ac:dyDescent="0.25">
      <c r="E486">
        <f t="shared" si="14"/>
        <v>0</v>
      </c>
      <c r="F486">
        <f t="shared" si="15"/>
        <v>0</v>
      </c>
    </row>
    <row r="487" spans="5:6" x14ac:dyDescent="0.25">
      <c r="E487">
        <f t="shared" si="14"/>
        <v>0</v>
      </c>
      <c r="F487">
        <f t="shared" si="15"/>
        <v>0</v>
      </c>
    </row>
    <row r="488" spans="5:6" x14ac:dyDescent="0.25">
      <c r="E488">
        <f t="shared" si="14"/>
        <v>0</v>
      </c>
      <c r="F488">
        <f t="shared" si="15"/>
        <v>0</v>
      </c>
    </row>
    <row r="489" spans="5:6" x14ac:dyDescent="0.25">
      <c r="E489">
        <f t="shared" si="14"/>
        <v>0</v>
      </c>
      <c r="F489">
        <f t="shared" si="15"/>
        <v>0</v>
      </c>
    </row>
    <row r="490" spans="5:6" x14ac:dyDescent="0.25">
      <c r="E490">
        <f t="shared" si="14"/>
        <v>0</v>
      </c>
      <c r="F490">
        <f t="shared" si="15"/>
        <v>0</v>
      </c>
    </row>
    <row r="491" spans="5:6" x14ac:dyDescent="0.25">
      <c r="E491">
        <f t="shared" si="14"/>
        <v>0</v>
      </c>
      <c r="F491">
        <f t="shared" si="15"/>
        <v>0</v>
      </c>
    </row>
    <row r="492" spans="5:6" x14ac:dyDescent="0.25">
      <c r="E492">
        <f t="shared" si="14"/>
        <v>0</v>
      </c>
      <c r="F492">
        <f t="shared" si="15"/>
        <v>0</v>
      </c>
    </row>
    <row r="493" spans="5:6" x14ac:dyDescent="0.25">
      <c r="E493">
        <f t="shared" si="14"/>
        <v>0</v>
      </c>
      <c r="F493">
        <f t="shared" si="15"/>
        <v>0</v>
      </c>
    </row>
    <row r="494" spans="5:6" x14ac:dyDescent="0.25">
      <c r="E494">
        <f t="shared" si="14"/>
        <v>0</v>
      </c>
      <c r="F494">
        <f t="shared" si="15"/>
        <v>0</v>
      </c>
    </row>
    <row r="495" spans="5:6" x14ac:dyDescent="0.25">
      <c r="E495">
        <f t="shared" si="14"/>
        <v>0</v>
      </c>
      <c r="F495">
        <f t="shared" si="15"/>
        <v>0</v>
      </c>
    </row>
    <row r="496" spans="5:6" x14ac:dyDescent="0.25">
      <c r="E496">
        <f t="shared" si="14"/>
        <v>0</v>
      </c>
      <c r="F496">
        <f t="shared" si="15"/>
        <v>0</v>
      </c>
    </row>
    <row r="497" spans="5:6" x14ac:dyDescent="0.25">
      <c r="E497">
        <f t="shared" si="14"/>
        <v>0</v>
      </c>
      <c r="F497">
        <f t="shared" si="15"/>
        <v>0</v>
      </c>
    </row>
    <row r="498" spans="5:6" x14ac:dyDescent="0.25">
      <c r="E498">
        <f t="shared" si="14"/>
        <v>0</v>
      </c>
      <c r="F498">
        <f t="shared" si="15"/>
        <v>0</v>
      </c>
    </row>
    <row r="499" spans="5:6" x14ac:dyDescent="0.25">
      <c r="E499">
        <f t="shared" si="14"/>
        <v>0</v>
      </c>
      <c r="F499">
        <f t="shared" si="15"/>
        <v>0</v>
      </c>
    </row>
    <row r="500" spans="5:6" x14ac:dyDescent="0.25">
      <c r="E500">
        <f t="shared" si="14"/>
        <v>0</v>
      </c>
      <c r="F500">
        <f t="shared" si="15"/>
        <v>0</v>
      </c>
    </row>
    <row r="501" spans="5:6" x14ac:dyDescent="0.25">
      <c r="E501">
        <f t="shared" si="14"/>
        <v>0</v>
      </c>
      <c r="F501">
        <f t="shared" si="15"/>
        <v>0</v>
      </c>
    </row>
    <row r="502" spans="5:6" x14ac:dyDescent="0.25">
      <c r="E502">
        <f t="shared" si="14"/>
        <v>0</v>
      </c>
      <c r="F502">
        <f t="shared" si="15"/>
        <v>0</v>
      </c>
    </row>
    <row r="503" spans="5:6" x14ac:dyDescent="0.25">
      <c r="E503">
        <f t="shared" si="14"/>
        <v>0</v>
      </c>
      <c r="F503">
        <f t="shared" si="15"/>
        <v>0</v>
      </c>
    </row>
    <row r="504" spans="5:6" x14ac:dyDescent="0.25">
      <c r="E504">
        <f t="shared" si="14"/>
        <v>0</v>
      </c>
      <c r="F504">
        <f t="shared" si="15"/>
        <v>0</v>
      </c>
    </row>
    <row r="505" spans="5:6" x14ac:dyDescent="0.25">
      <c r="E505">
        <f t="shared" si="14"/>
        <v>0</v>
      </c>
      <c r="F505">
        <f t="shared" si="15"/>
        <v>0</v>
      </c>
    </row>
    <row r="506" spans="5:6" x14ac:dyDescent="0.25">
      <c r="E506">
        <f t="shared" si="14"/>
        <v>0</v>
      </c>
      <c r="F506">
        <f t="shared" si="15"/>
        <v>0</v>
      </c>
    </row>
    <row r="507" spans="5:6" x14ac:dyDescent="0.25">
      <c r="E507">
        <f t="shared" si="14"/>
        <v>0</v>
      </c>
      <c r="F507">
        <f t="shared" si="15"/>
        <v>0</v>
      </c>
    </row>
    <row r="508" spans="5:6" x14ac:dyDescent="0.25">
      <c r="E508">
        <f t="shared" si="14"/>
        <v>0</v>
      </c>
      <c r="F508">
        <f t="shared" si="15"/>
        <v>0</v>
      </c>
    </row>
    <row r="509" spans="5:6" x14ac:dyDescent="0.25">
      <c r="E509">
        <f t="shared" si="14"/>
        <v>0</v>
      </c>
      <c r="F509">
        <f t="shared" si="15"/>
        <v>0</v>
      </c>
    </row>
    <row r="510" spans="5:6" x14ac:dyDescent="0.25">
      <c r="E510">
        <f t="shared" si="14"/>
        <v>0</v>
      </c>
      <c r="F510">
        <f t="shared" si="15"/>
        <v>0</v>
      </c>
    </row>
    <row r="511" spans="5:6" x14ac:dyDescent="0.25">
      <c r="E511">
        <f t="shared" si="14"/>
        <v>0</v>
      </c>
      <c r="F511">
        <f t="shared" si="15"/>
        <v>0</v>
      </c>
    </row>
    <row r="512" spans="5:6" x14ac:dyDescent="0.25">
      <c r="E512">
        <f t="shared" si="14"/>
        <v>0</v>
      </c>
      <c r="F512">
        <f t="shared" si="15"/>
        <v>0</v>
      </c>
    </row>
    <row r="513" spans="5:6" x14ac:dyDescent="0.25">
      <c r="E513">
        <f t="shared" si="14"/>
        <v>0</v>
      </c>
      <c r="F513">
        <f t="shared" si="15"/>
        <v>0</v>
      </c>
    </row>
    <row r="514" spans="5:6" x14ac:dyDescent="0.25">
      <c r="E514">
        <f t="shared" si="14"/>
        <v>0</v>
      </c>
      <c r="F514">
        <f t="shared" si="15"/>
        <v>0</v>
      </c>
    </row>
    <row r="515" spans="5:6" x14ac:dyDescent="0.25">
      <c r="E515">
        <f t="shared" ref="E515:E569" si="16">IF($O515="Retail",1,0)</f>
        <v>0</v>
      </c>
      <c r="F515">
        <f t="shared" ref="F515:F569" si="17">IF($O515="Non-Retail",1,0)</f>
        <v>0</v>
      </c>
    </row>
    <row r="516" spans="5:6" x14ac:dyDescent="0.25">
      <c r="E516">
        <f t="shared" si="16"/>
        <v>0</v>
      </c>
      <c r="F516">
        <f t="shared" si="17"/>
        <v>0</v>
      </c>
    </row>
    <row r="517" spans="5:6" x14ac:dyDescent="0.25">
      <c r="E517">
        <f t="shared" si="16"/>
        <v>0</v>
      </c>
      <c r="F517">
        <f t="shared" si="17"/>
        <v>0</v>
      </c>
    </row>
    <row r="518" spans="5:6" x14ac:dyDescent="0.25">
      <c r="E518">
        <f t="shared" si="16"/>
        <v>0</v>
      </c>
      <c r="F518">
        <f t="shared" si="17"/>
        <v>0</v>
      </c>
    </row>
    <row r="519" spans="5:6" x14ac:dyDescent="0.25">
      <c r="E519">
        <f t="shared" si="16"/>
        <v>0</v>
      </c>
      <c r="F519">
        <f t="shared" si="17"/>
        <v>0</v>
      </c>
    </row>
    <row r="520" spans="5:6" x14ac:dyDescent="0.25">
      <c r="E520">
        <f t="shared" si="16"/>
        <v>0</v>
      </c>
      <c r="F520">
        <f t="shared" si="17"/>
        <v>0</v>
      </c>
    </row>
    <row r="521" spans="5:6" x14ac:dyDescent="0.25">
      <c r="E521">
        <f t="shared" si="16"/>
        <v>0</v>
      </c>
      <c r="F521">
        <f t="shared" si="17"/>
        <v>0</v>
      </c>
    </row>
    <row r="522" spans="5:6" x14ac:dyDescent="0.25">
      <c r="E522">
        <f t="shared" si="16"/>
        <v>0</v>
      </c>
      <c r="F522">
        <f t="shared" si="17"/>
        <v>0</v>
      </c>
    </row>
    <row r="523" spans="5:6" x14ac:dyDescent="0.25">
      <c r="E523">
        <f t="shared" si="16"/>
        <v>0</v>
      </c>
      <c r="F523">
        <f t="shared" si="17"/>
        <v>0</v>
      </c>
    </row>
    <row r="524" spans="5:6" x14ac:dyDescent="0.25">
      <c r="E524">
        <f t="shared" si="16"/>
        <v>0</v>
      </c>
      <c r="F524">
        <f t="shared" si="17"/>
        <v>0</v>
      </c>
    </row>
    <row r="525" spans="5:6" x14ac:dyDescent="0.25">
      <c r="E525">
        <f t="shared" si="16"/>
        <v>0</v>
      </c>
      <c r="F525">
        <f t="shared" si="17"/>
        <v>0</v>
      </c>
    </row>
    <row r="526" spans="5:6" x14ac:dyDescent="0.25">
      <c r="E526">
        <f t="shared" si="16"/>
        <v>0</v>
      </c>
      <c r="F526">
        <f t="shared" si="17"/>
        <v>0</v>
      </c>
    </row>
    <row r="527" spans="5:6" x14ac:dyDescent="0.25">
      <c r="E527">
        <f t="shared" si="16"/>
        <v>0</v>
      </c>
      <c r="F527">
        <f t="shared" si="17"/>
        <v>0</v>
      </c>
    </row>
    <row r="528" spans="5:6" x14ac:dyDescent="0.25">
      <c r="E528">
        <f t="shared" si="16"/>
        <v>0</v>
      </c>
      <c r="F528">
        <f t="shared" si="17"/>
        <v>0</v>
      </c>
    </row>
    <row r="529" spans="5:6" x14ac:dyDescent="0.25">
      <c r="E529">
        <f t="shared" si="16"/>
        <v>0</v>
      </c>
      <c r="F529">
        <f t="shared" si="17"/>
        <v>0</v>
      </c>
    </row>
    <row r="530" spans="5:6" x14ac:dyDescent="0.25">
      <c r="E530">
        <f t="shared" si="16"/>
        <v>0</v>
      </c>
      <c r="F530">
        <f t="shared" si="17"/>
        <v>0</v>
      </c>
    </row>
    <row r="531" spans="5:6" x14ac:dyDescent="0.25">
      <c r="E531">
        <f t="shared" si="16"/>
        <v>0</v>
      </c>
      <c r="F531">
        <f t="shared" si="17"/>
        <v>0</v>
      </c>
    </row>
    <row r="532" spans="5:6" x14ac:dyDescent="0.25">
      <c r="E532">
        <f t="shared" si="16"/>
        <v>0</v>
      </c>
      <c r="F532">
        <f t="shared" si="17"/>
        <v>0</v>
      </c>
    </row>
    <row r="533" spans="5:6" x14ac:dyDescent="0.25">
      <c r="E533">
        <f t="shared" si="16"/>
        <v>0</v>
      </c>
      <c r="F533">
        <f t="shared" si="17"/>
        <v>0</v>
      </c>
    </row>
    <row r="534" spans="5:6" x14ac:dyDescent="0.25">
      <c r="E534">
        <f t="shared" si="16"/>
        <v>0</v>
      </c>
      <c r="F534">
        <f t="shared" si="17"/>
        <v>0</v>
      </c>
    </row>
    <row r="535" spans="5:6" x14ac:dyDescent="0.25">
      <c r="E535">
        <f t="shared" si="16"/>
        <v>0</v>
      </c>
      <c r="F535">
        <f t="shared" si="17"/>
        <v>0</v>
      </c>
    </row>
    <row r="536" spans="5:6" x14ac:dyDescent="0.25">
      <c r="E536">
        <f t="shared" si="16"/>
        <v>0</v>
      </c>
      <c r="F536">
        <f t="shared" si="17"/>
        <v>0</v>
      </c>
    </row>
    <row r="537" spans="5:6" x14ac:dyDescent="0.25">
      <c r="E537">
        <f t="shared" si="16"/>
        <v>0</v>
      </c>
      <c r="F537">
        <f t="shared" si="17"/>
        <v>0</v>
      </c>
    </row>
    <row r="538" spans="5:6" x14ac:dyDescent="0.25">
      <c r="E538">
        <f t="shared" si="16"/>
        <v>0</v>
      </c>
      <c r="F538">
        <f t="shared" si="17"/>
        <v>0</v>
      </c>
    </row>
    <row r="539" spans="5:6" x14ac:dyDescent="0.25">
      <c r="E539">
        <f t="shared" si="16"/>
        <v>0</v>
      </c>
      <c r="F539">
        <f t="shared" si="17"/>
        <v>0</v>
      </c>
    </row>
    <row r="540" spans="5:6" x14ac:dyDescent="0.25">
      <c r="E540">
        <f t="shared" si="16"/>
        <v>0</v>
      </c>
      <c r="F540">
        <f t="shared" si="17"/>
        <v>0</v>
      </c>
    </row>
    <row r="541" spans="5:6" x14ac:dyDescent="0.25">
      <c r="E541">
        <f t="shared" si="16"/>
        <v>0</v>
      </c>
      <c r="F541">
        <f t="shared" si="17"/>
        <v>0</v>
      </c>
    </row>
    <row r="542" spans="5:6" x14ac:dyDescent="0.25">
      <c r="E542">
        <f t="shared" si="16"/>
        <v>0</v>
      </c>
      <c r="F542">
        <f t="shared" si="17"/>
        <v>0</v>
      </c>
    </row>
    <row r="543" spans="5:6" x14ac:dyDescent="0.25">
      <c r="E543">
        <f t="shared" si="16"/>
        <v>0</v>
      </c>
      <c r="F543">
        <f t="shared" si="17"/>
        <v>0</v>
      </c>
    </row>
    <row r="544" spans="5:6" x14ac:dyDescent="0.25">
      <c r="E544">
        <f t="shared" si="16"/>
        <v>0</v>
      </c>
      <c r="F544">
        <f t="shared" si="17"/>
        <v>0</v>
      </c>
    </row>
    <row r="545" spans="5:6" x14ac:dyDescent="0.25">
      <c r="E545">
        <f t="shared" si="16"/>
        <v>0</v>
      </c>
      <c r="F545">
        <f t="shared" si="17"/>
        <v>0</v>
      </c>
    </row>
    <row r="546" spans="5:6" x14ac:dyDescent="0.25">
      <c r="E546">
        <f t="shared" si="16"/>
        <v>0</v>
      </c>
      <c r="F546">
        <f t="shared" si="17"/>
        <v>0</v>
      </c>
    </row>
    <row r="547" spans="5:6" x14ac:dyDescent="0.25">
      <c r="E547">
        <f t="shared" si="16"/>
        <v>0</v>
      </c>
      <c r="F547">
        <f t="shared" si="17"/>
        <v>0</v>
      </c>
    </row>
    <row r="548" spans="5:6" x14ac:dyDescent="0.25">
      <c r="E548">
        <f t="shared" si="16"/>
        <v>0</v>
      </c>
      <c r="F548">
        <f t="shared" si="17"/>
        <v>0</v>
      </c>
    </row>
    <row r="549" spans="5:6" x14ac:dyDescent="0.25">
      <c r="E549">
        <f t="shared" si="16"/>
        <v>0</v>
      </c>
      <c r="F549">
        <f t="shared" si="17"/>
        <v>0</v>
      </c>
    </row>
    <row r="550" spans="5:6" x14ac:dyDescent="0.25">
      <c r="E550">
        <f t="shared" si="16"/>
        <v>0</v>
      </c>
      <c r="F550">
        <f t="shared" si="17"/>
        <v>0</v>
      </c>
    </row>
    <row r="551" spans="5:6" x14ac:dyDescent="0.25">
      <c r="E551">
        <f t="shared" si="16"/>
        <v>0</v>
      </c>
      <c r="F551">
        <f t="shared" si="17"/>
        <v>0</v>
      </c>
    </row>
    <row r="552" spans="5:6" x14ac:dyDescent="0.25">
      <c r="E552">
        <f t="shared" si="16"/>
        <v>0</v>
      </c>
      <c r="F552">
        <f t="shared" si="17"/>
        <v>0</v>
      </c>
    </row>
    <row r="553" spans="5:6" x14ac:dyDescent="0.25">
      <c r="E553">
        <f t="shared" si="16"/>
        <v>0</v>
      </c>
      <c r="F553">
        <f t="shared" si="17"/>
        <v>0</v>
      </c>
    </row>
    <row r="554" spans="5:6" x14ac:dyDescent="0.25">
      <c r="E554">
        <f t="shared" si="16"/>
        <v>0</v>
      </c>
      <c r="F554">
        <f t="shared" si="17"/>
        <v>0</v>
      </c>
    </row>
    <row r="555" spans="5:6" x14ac:dyDescent="0.25">
      <c r="E555">
        <f t="shared" si="16"/>
        <v>0</v>
      </c>
      <c r="F555">
        <f t="shared" si="17"/>
        <v>0</v>
      </c>
    </row>
    <row r="556" spans="5:6" x14ac:dyDescent="0.25">
      <c r="E556">
        <f t="shared" si="16"/>
        <v>0</v>
      </c>
      <c r="F556">
        <f t="shared" si="17"/>
        <v>0</v>
      </c>
    </row>
    <row r="557" spans="5:6" x14ac:dyDescent="0.25">
      <c r="E557">
        <f t="shared" si="16"/>
        <v>0</v>
      </c>
      <c r="F557">
        <f t="shared" si="17"/>
        <v>0</v>
      </c>
    </row>
    <row r="558" spans="5:6" x14ac:dyDescent="0.25">
      <c r="E558">
        <f t="shared" si="16"/>
        <v>0</v>
      </c>
      <c r="F558">
        <f t="shared" si="17"/>
        <v>0</v>
      </c>
    </row>
    <row r="559" spans="5:6" x14ac:dyDescent="0.25">
      <c r="E559">
        <f t="shared" si="16"/>
        <v>0</v>
      </c>
      <c r="F559">
        <f t="shared" si="17"/>
        <v>0</v>
      </c>
    </row>
    <row r="560" spans="5:6" x14ac:dyDescent="0.25">
      <c r="E560">
        <f t="shared" si="16"/>
        <v>0</v>
      </c>
      <c r="F560">
        <f t="shared" si="17"/>
        <v>0</v>
      </c>
    </row>
    <row r="561" spans="5:6" x14ac:dyDescent="0.25">
      <c r="E561">
        <f t="shared" si="16"/>
        <v>0</v>
      </c>
      <c r="F561">
        <f t="shared" si="17"/>
        <v>0</v>
      </c>
    </row>
    <row r="562" spans="5:6" x14ac:dyDescent="0.25">
      <c r="E562">
        <f t="shared" si="16"/>
        <v>0</v>
      </c>
      <c r="F562">
        <f t="shared" si="17"/>
        <v>0</v>
      </c>
    </row>
    <row r="563" spans="5:6" x14ac:dyDescent="0.25">
      <c r="E563">
        <f t="shared" si="16"/>
        <v>0</v>
      </c>
      <c r="F563">
        <f t="shared" si="17"/>
        <v>0</v>
      </c>
    </row>
    <row r="564" spans="5:6" x14ac:dyDescent="0.25">
      <c r="E564">
        <f t="shared" si="16"/>
        <v>0</v>
      </c>
      <c r="F564">
        <f t="shared" si="17"/>
        <v>0</v>
      </c>
    </row>
    <row r="565" spans="5:6" x14ac:dyDescent="0.25">
      <c r="E565">
        <f t="shared" si="16"/>
        <v>0</v>
      </c>
      <c r="F565">
        <f t="shared" si="17"/>
        <v>0</v>
      </c>
    </row>
    <row r="566" spans="5:6" x14ac:dyDescent="0.25">
      <c r="E566">
        <f t="shared" si="16"/>
        <v>0</v>
      </c>
      <c r="F566">
        <f t="shared" si="17"/>
        <v>0</v>
      </c>
    </row>
    <row r="567" spans="5:6" x14ac:dyDescent="0.25">
      <c r="E567">
        <f t="shared" si="16"/>
        <v>0</v>
      </c>
      <c r="F567">
        <f t="shared" si="17"/>
        <v>0</v>
      </c>
    </row>
    <row r="568" spans="5:6" x14ac:dyDescent="0.25">
      <c r="E568">
        <f t="shared" si="16"/>
        <v>0</v>
      </c>
      <c r="F568">
        <f t="shared" si="17"/>
        <v>0</v>
      </c>
    </row>
    <row r="569" spans="5:6" x14ac:dyDescent="0.25">
      <c r="E569">
        <f t="shared" si="16"/>
        <v>0</v>
      </c>
      <c r="F569">
        <f t="shared" si="17"/>
        <v>0</v>
      </c>
    </row>
  </sheetData>
  <autoFilter ref="AD1:AD217" xr:uid="{9C978E19-075F-46D4-B2C7-7A8B6FD49C06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48C7-50BF-41F7-B729-9F8B1CBB3124}">
  <dimension ref="A1:L1091"/>
  <sheetViews>
    <sheetView topLeftCell="A586" workbookViewId="0">
      <selection activeCell="R675" sqref="R675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26.140625" bestFit="1" customWidth="1"/>
    <col min="4" max="4" width="81.28515625" bestFit="1" customWidth="1"/>
    <col min="8" max="8" width="41.85546875" bestFit="1" customWidth="1"/>
  </cols>
  <sheetData>
    <row r="1" spans="1:12" x14ac:dyDescent="0.25">
      <c r="A1" s="2" t="s">
        <v>2908</v>
      </c>
      <c r="B1" s="2" t="s">
        <v>2907</v>
      </c>
      <c r="C1" s="2" t="s">
        <v>2906</v>
      </c>
      <c r="D1" s="3" t="s">
        <v>2902</v>
      </c>
      <c r="E1" s="2" t="s">
        <v>2903</v>
      </c>
      <c r="F1" s="2" t="s">
        <v>2901</v>
      </c>
      <c r="G1" s="2" t="s">
        <v>2900</v>
      </c>
      <c r="H1" s="2" t="s">
        <v>2899</v>
      </c>
      <c r="I1" s="2" t="s">
        <v>2893</v>
      </c>
      <c r="J1" s="2" t="s">
        <v>2712</v>
      </c>
      <c r="K1" s="2" t="s">
        <v>2905</v>
      </c>
      <c r="L1" s="2" t="s">
        <v>2904</v>
      </c>
    </row>
    <row r="2" spans="1:12" x14ac:dyDescent="0.25">
      <c r="A2" t="s">
        <v>7</v>
      </c>
      <c r="B2" s="1">
        <v>41974</v>
      </c>
      <c r="C2" s="1">
        <v>43100</v>
      </c>
      <c r="D2" s="4" t="s">
        <v>243</v>
      </c>
      <c r="E2" t="s">
        <v>10</v>
      </c>
      <c r="F2" t="s">
        <v>11</v>
      </c>
      <c r="G2" t="s">
        <v>12</v>
      </c>
      <c r="H2" t="s">
        <v>2763</v>
      </c>
      <c r="I2" t="s">
        <v>2763</v>
      </c>
      <c r="J2" t="str">
        <f>IF(ISNUMBER(MATCH($D2,'Lopettaneet 2013-&gt;'!$D:$D,0)),INDEX('Lopettaneet 2013-&gt;'!$K:$K,MATCH($D2,'Lopettaneet 2013-&gt;'!$D:$D,0)),"Jatkaa")</f>
        <v>Closed</v>
      </c>
      <c r="K2">
        <f ca="1">IF($J2="Jatkaa",DATEDIF($B2,TODAY(),"Y"),INDEX('Lopettaneet 2013-&gt;'!$L:$L,MATCH($D2,'Lopettaneet 2013-&gt;'!$D:$D,0)))</f>
        <v>3</v>
      </c>
      <c r="L2">
        <v>1</v>
      </c>
    </row>
    <row r="3" spans="1:12" x14ac:dyDescent="0.25">
      <c r="A3" t="s">
        <v>7</v>
      </c>
      <c r="B3" s="1">
        <v>41974</v>
      </c>
      <c r="C3" s="1">
        <v>42735</v>
      </c>
      <c r="D3" s="4" t="s">
        <v>245</v>
      </c>
      <c r="E3" t="s">
        <v>10</v>
      </c>
      <c r="F3" t="s">
        <v>11</v>
      </c>
      <c r="G3" t="s">
        <v>12</v>
      </c>
      <c r="H3" t="s">
        <v>2763</v>
      </c>
      <c r="I3" t="s">
        <v>2763</v>
      </c>
      <c r="J3" t="str">
        <f>IF(ISNUMBER(MATCH($D3,'Lopettaneet 2013-&gt;'!$D:$D,0)),INDEX('Lopettaneet 2013-&gt;'!$K:$K,MATCH($D3,'Lopettaneet 2013-&gt;'!$D:$D,0)),"Jatkaa")</f>
        <v>Closed</v>
      </c>
      <c r="K3">
        <f ca="1">IF($J3="Jatkaa",DATEDIF($B3,TODAY(),"Y"),INDEX('Lopettaneet 2013-&gt;'!$L:$L,MATCH($D3,'Lopettaneet 2013-&gt;'!$D:$D,0)))</f>
        <v>2</v>
      </c>
      <c r="L3">
        <v>2</v>
      </c>
    </row>
    <row r="4" spans="1:12" x14ac:dyDescent="0.25">
      <c r="A4" t="s">
        <v>7</v>
      </c>
      <c r="B4" s="1">
        <v>41974</v>
      </c>
      <c r="C4" s="1">
        <v>42369</v>
      </c>
      <c r="D4" s="4" t="s">
        <v>247</v>
      </c>
      <c r="E4" t="s">
        <v>10</v>
      </c>
      <c r="F4" t="s">
        <v>11</v>
      </c>
      <c r="G4" t="s">
        <v>12</v>
      </c>
      <c r="H4" t="s">
        <v>2763</v>
      </c>
      <c r="I4" t="s">
        <v>2763</v>
      </c>
      <c r="J4" t="str">
        <f>IF(ISNUMBER(MATCH($D4,'Lopettaneet 2013-&gt;'!$D:$D,0)),INDEX('Lopettaneet 2013-&gt;'!$K:$K,MATCH($D4,'Lopettaneet 2013-&gt;'!$D:$D,0)),"Jatkaa")</f>
        <v>Closed</v>
      </c>
      <c r="K4">
        <f ca="1">IF($J4="Jatkaa",DATEDIF($B4,TODAY(),"Y"),INDEX('Lopettaneet 2013-&gt;'!$L:$L,MATCH($D4,'Lopettaneet 2013-&gt;'!$D:$D,0)))</f>
        <v>1</v>
      </c>
      <c r="L4">
        <v>3</v>
      </c>
    </row>
    <row r="5" spans="1:12" x14ac:dyDescent="0.25">
      <c r="A5" t="s">
        <v>7</v>
      </c>
      <c r="B5" s="1">
        <v>41974</v>
      </c>
      <c r="C5" s="1">
        <v>43738</v>
      </c>
      <c r="D5" s="4" t="s">
        <v>249</v>
      </c>
      <c r="E5" t="s">
        <v>10</v>
      </c>
      <c r="F5" t="s">
        <v>11</v>
      </c>
      <c r="G5" t="s">
        <v>12</v>
      </c>
      <c r="H5" t="s">
        <v>2763</v>
      </c>
      <c r="I5" t="s">
        <v>2763</v>
      </c>
      <c r="J5" t="str">
        <f>IF(ISNUMBER(MATCH($D5,'Lopettaneet 2013-&gt;'!$D:$D,0)),INDEX('Lopettaneet 2013-&gt;'!$K:$K,MATCH($D5,'Lopettaneet 2013-&gt;'!$D:$D,0)),"Jatkaa")</f>
        <v>Closed</v>
      </c>
      <c r="K5">
        <f ca="1">IF($J5="Jatkaa",DATEDIF($B5,TODAY(),"Y"),INDEX('Lopettaneet 2013-&gt;'!$L:$L,MATCH($D5,'Lopettaneet 2013-&gt;'!$D:$D,0)))</f>
        <v>4</v>
      </c>
      <c r="L5">
        <v>4</v>
      </c>
    </row>
    <row r="6" spans="1:12" x14ac:dyDescent="0.25">
      <c r="A6" t="s">
        <v>7</v>
      </c>
      <c r="B6" s="1">
        <v>41974</v>
      </c>
      <c r="C6" s="1">
        <v>42369</v>
      </c>
      <c r="D6" s="4" t="s">
        <v>251</v>
      </c>
      <c r="E6" t="s">
        <v>10</v>
      </c>
      <c r="F6" t="s">
        <v>11</v>
      </c>
      <c r="G6" t="s">
        <v>12</v>
      </c>
      <c r="H6" t="s">
        <v>2763</v>
      </c>
      <c r="I6" t="s">
        <v>2763</v>
      </c>
      <c r="J6" t="str">
        <f>IF(ISNUMBER(MATCH($D6,'Lopettaneet 2013-&gt;'!$D:$D,0)),INDEX('Lopettaneet 2013-&gt;'!$K:$K,MATCH($D6,'Lopettaneet 2013-&gt;'!$D:$D,0)),"Jatkaa")</f>
        <v>Closed</v>
      </c>
      <c r="K6">
        <f ca="1">IF($J6="Jatkaa",DATEDIF($B6,TODAY(),"Y"),INDEX('Lopettaneet 2013-&gt;'!$L:$L,MATCH($D6,'Lopettaneet 2013-&gt;'!$D:$D,0)))</f>
        <v>1</v>
      </c>
      <c r="L6">
        <v>5</v>
      </c>
    </row>
    <row r="7" spans="1:12" x14ac:dyDescent="0.25">
      <c r="A7" t="s">
        <v>7</v>
      </c>
      <c r="B7" s="1">
        <v>41974</v>
      </c>
      <c r="C7" s="1">
        <v>43738</v>
      </c>
      <c r="D7" s="4" t="s">
        <v>253</v>
      </c>
      <c r="E7" t="s">
        <v>10</v>
      </c>
      <c r="F7" t="s">
        <v>11</v>
      </c>
      <c r="G7" t="s">
        <v>12</v>
      </c>
      <c r="H7" t="s">
        <v>2763</v>
      </c>
      <c r="I7" t="s">
        <v>2763</v>
      </c>
      <c r="J7" t="str">
        <f>IF(ISNUMBER(MATCH($D7,'Lopettaneet 2013-&gt;'!$D:$D,0)),INDEX('Lopettaneet 2013-&gt;'!$K:$K,MATCH($D7,'Lopettaneet 2013-&gt;'!$D:$D,0)),"Jatkaa")</f>
        <v>Closed</v>
      </c>
      <c r="K7">
        <f ca="1">IF($J7="Jatkaa",DATEDIF($B7,TODAY(),"Y"),INDEX('Lopettaneet 2013-&gt;'!$L:$L,MATCH($D7,'Lopettaneet 2013-&gt;'!$D:$D,0)))</f>
        <v>4</v>
      </c>
      <c r="L7">
        <v>6</v>
      </c>
    </row>
    <row r="8" spans="1:12" x14ac:dyDescent="0.25">
      <c r="A8" t="s">
        <v>7</v>
      </c>
      <c r="B8" s="1">
        <v>41974</v>
      </c>
      <c r="C8" s="1">
        <v>44196</v>
      </c>
      <c r="D8" s="4" t="s">
        <v>255</v>
      </c>
      <c r="E8" t="s">
        <v>10</v>
      </c>
      <c r="F8" t="s">
        <v>11</v>
      </c>
      <c r="G8" t="s">
        <v>32</v>
      </c>
      <c r="H8" t="s">
        <v>2763</v>
      </c>
      <c r="I8" t="s">
        <v>2763</v>
      </c>
      <c r="J8" t="str">
        <f>IF(ISNUMBER(MATCH($D8,'Lopettaneet 2013-&gt;'!$D:$D,0)),INDEX('Lopettaneet 2013-&gt;'!$K:$K,MATCH($D8,'Lopettaneet 2013-&gt;'!$D:$D,0)),"Jatkaa")</f>
        <v>Closed</v>
      </c>
      <c r="K8">
        <f ca="1">IF($J8="Jatkaa",DATEDIF($B8,TODAY(),"Y"),INDEX('Lopettaneet 2013-&gt;'!$L:$L,MATCH($D8,'Lopettaneet 2013-&gt;'!$D:$D,0)))</f>
        <v>6</v>
      </c>
      <c r="L8">
        <v>7</v>
      </c>
    </row>
    <row r="9" spans="1:12" x14ac:dyDescent="0.25">
      <c r="A9" t="s">
        <v>0</v>
      </c>
      <c r="B9" s="1">
        <v>43466</v>
      </c>
      <c r="C9" s="1">
        <v>55153</v>
      </c>
      <c r="D9" s="4" t="s">
        <v>257</v>
      </c>
      <c r="E9" t="s">
        <v>3</v>
      </c>
      <c r="F9" t="s">
        <v>4</v>
      </c>
      <c r="G9" t="s">
        <v>50</v>
      </c>
      <c r="H9" t="s">
        <v>2764</v>
      </c>
      <c r="I9" t="s">
        <v>2894</v>
      </c>
      <c r="J9" t="str">
        <f>IF(ISNUMBER(MATCH($D9,'Lopettaneet 2013-&gt;'!$D:$D,0)),INDEX('Lopettaneet 2013-&gt;'!$K:$K,MATCH($D9,'Lopettaneet 2013-&gt;'!$D:$D,0)),"Jatkaa")</f>
        <v>Closed</v>
      </c>
      <c r="K9">
        <f ca="1">IF($J9="Jatkaa",DATEDIF($B9,TODAY(),"Y"),INDEX('Lopettaneet 2013-&gt;'!$L:$L,MATCH($D9,'Lopettaneet 2013-&gt;'!$D:$D,0)))</f>
        <v>10</v>
      </c>
      <c r="L9">
        <v>8</v>
      </c>
    </row>
    <row r="10" spans="1:12" x14ac:dyDescent="0.25">
      <c r="A10" t="s">
        <v>0</v>
      </c>
      <c r="B10" s="1">
        <v>43466</v>
      </c>
      <c r="C10" s="1">
        <v>55153</v>
      </c>
      <c r="D10" s="4" t="s">
        <v>259</v>
      </c>
      <c r="E10" t="s">
        <v>3</v>
      </c>
      <c r="F10" t="s">
        <v>4</v>
      </c>
      <c r="G10" t="s">
        <v>50</v>
      </c>
      <c r="H10" t="s">
        <v>2765</v>
      </c>
      <c r="I10" t="s">
        <v>2894</v>
      </c>
      <c r="J10" t="str">
        <f>IF(ISNUMBER(MATCH($D10,'Lopettaneet 2013-&gt;'!$D:$D,0)),INDEX('Lopettaneet 2013-&gt;'!$K:$K,MATCH($D10,'Lopettaneet 2013-&gt;'!$D:$D,0)),"Jatkaa")</f>
        <v>Closed</v>
      </c>
      <c r="K10">
        <f ca="1">IF($J10="Jatkaa",DATEDIF($B10,TODAY(),"Y"),INDEX('Lopettaneet 2013-&gt;'!$L:$L,MATCH($D10,'Lopettaneet 2013-&gt;'!$D:$D,0)))</f>
        <v>6</v>
      </c>
      <c r="L10">
        <v>9</v>
      </c>
    </row>
    <row r="11" spans="1:12" x14ac:dyDescent="0.25">
      <c r="A11" t="s">
        <v>7</v>
      </c>
      <c r="B11" s="1">
        <v>41974</v>
      </c>
      <c r="C11" s="1">
        <v>44469</v>
      </c>
      <c r="D11" s="4" t="s">
        <v>261</v>
      </c>
      <c r="E11" t="s">
        <v>10</v>
      </c>
      <c r="F11" t="s">
        <v>11</v>
      </c>
      <c r="G11" t="s">
        <v>80</v>
      </c>
      <c r="H11" t="s">
        <v>2763</v>
      </c>
      <c r="I11" t="s">
        <v>2763</v>
      </c>
      <c r="J11" t="str">
        <f>IF(ISNUMBER(MATCH($D11,'Lopettaneet 2013-&gt;'!$D:$D,0)),INDEX('Lopettaneet 2013-&gt;'!$K:$K,MATCH($D11,'Lopettaneet 2013-&gt;'!$D:$D,0)),"Jatkaa")</f>
        <v>Closed</v>
      </c>
      <c r="K11">
        <f ca="1">IF($J11="Jatkaa",DATEDIF($B11,TODAY(),"Y"),INDEX('Lopettaneet 2013-&gt;'!$L:$L,MATCH($D11,'Lopettaneet 2013-&gt;'!$D:$D,0)))</f>
        <v>6</v>
      </c>
      <c r="L11">
        <v>10</v>
      </c>
    </row>
    <row r="12" spans="1:12" x14ac:dyDescent="0.25">
      <c r="A12" t="s">
        <v>7</v>
      </c>
      <c r="B12" s="1">
        <v>41974</v>
      </c>
      <c r="C12" s="1">
        <v>43100</v>
      </c>
      <c r="D12" s="4" t="s">
        <v>263</v>
      </c>
      <c r="E12" t="s">
        <v>10</v>
      </c>
      <c r="F12" t="s">
        <v>11</v>
      </c>
      <c r="G12" t="s">
        <v>80</v>
      </c>
      <c r="H12" t="s">
        <v>2763</v>
      </c>
      <c r="I12" t="s">
        <v>2763</v>
      </c>
      <c r="J12" t="str">
        <f>IF(ISNUMBER(MATCH($D12,'Lopettaneet 2013-&gt;'!$D:$D,0)),INDEX('Lopettaneet 2013-&gt;'!$K:$K,MATCH($D12,'Lopettaneet 2013-&gt;'!$D:$D,0)),"Jatkaa")</f>
        <v>Closed</v>
      </c>
      <c r="K12">
        <f ca="1">IF($J12="Jatkaa",DATEDIF($B12,TODAY(),"Y"),INDEX('Lopettaneet 2013-&gt;'!$L:$L,MATCH($D12,'Lopettaneet 2013-&gt;'!$D:$D,0)))</f>
        <v>3</v>
      </c>
      <c r="L12">
        <v>11</v>
      </c>
    </row>
    <row r="13" spans="1:12" x14ac:dyDescent="0.25">
      <c r="A13" t="s">
        <v>0</v>
      </c>
      <c r="B13" s="1">
        <v>43466</v>
      </c>
      <c r="C13" s="1">
        <v>55153</v>
      </c>
      <c r="D13" s="4" t="s">
        <v>265</v>
      </c>
      <c r="E13" t="s">
        <v>3</v>
      </c>
      <c r="F13" t="s">
        <v>4</v>
      </c>
      <c r="G13" t="s">
        <v>50</v>
      </c>
      <c r="H13" t="s">
        <v>2766</v>
      </c>
      <c r="I13" t="s">
        <v>2894</v>
      </c>
      <c r="J13" t="str">
        <f>IF(ISNUMBER(MATCH($D13,'Lopettaneet 2013-&gt;'!$D:$D,0)),INDEX('Lopettaneet 2013-&gt;'!$K:$K,MATCH($D13,'Lopettaneet 2013-&gt;'!$D:$D,0)),"Jatkaa")</f>
        <v>Closed</v>
      </c>
      <c r="K13">
        <f ca="1">IF($J13="Jatkaa",DATEDIF($B13,TODAY(),"Y"),INDEX('Lopettaneet 2013-&gt;'!$L:$L,MATCH($D13,'Lopettaneet 2013-&gt;'!$D:$D,0)))</f>
        <v>10</v>
      </c>
      <c r="L13">
        <v>12</v>
      </c>
    </row>
    <row r="14" spans="1:12" x14ac:dyDescent="0.25">
      <c r="A14" t="s">
        <v>0</v>
      </c>
      <c r="B14" s="1">
        <v>42856</v>
      </c>
      <c r="C14" s="1">
        <v>44165</v>
      </c>
      <c r="D14" s="4" t="s">
        <v>267</v>
      </c>
      <c r="E14" t="s">
        <v>3</v>
      </c>
      <c r="F14" t="s">
        <v>4</v>
      </c>
      <c r="G14" t="s">
        <v>20</v>
      </c>
      <c r="H14" t="s">
        <v>2763</v>
      </c>
      <c r="I14" t="s">
        <v>2763</v>
      </c>
      <c r="J14" t="str">
        <f>IF(ISNUMBER(MATCH($D14,'Lopettaneet 2013-&gt;'!$D:$D,0)),INDEX('Lopettaneet 2013-&gt;'!$K:$K,MATCH($D14,'Lopettaneet 2013-&gt;'!$D:$D,0)),"Jatkaa")</f>
        <v>Merged</v>
      </c>
      <c r="K14">
        <f ca="1">IF($J14="Jatkaa",DATEDIF($B14,TODAY(),"Y"),INDEX('Lopettaneet 2013-&gt;'!$L:$L,MATCH($D14,'Lopettaneet 2013-&gt;'!$D:$D,0)))</f>
        <v>8</v>
      </c>
      <c r="L14">
        <v>13</v>
      </c>
    </row>
    <row r="15" spans="1:12" x14ac:dyDescent="0.25">
      <c r="A15" t="s">
        <v>0</v>
      </c>
      <c r="B15" s="1">
        <v>43466</v>
      </c>
      <c r="C15" s="1">
        <v>55153</v>
      </c>
      <c r="D15" s="4" t="s">
        <v>269</v>
      </c>
      <c r="E15" t="s">
        <v>3</v>
      </c>
      <c r="F15" t="s">
        <v>4</v>
      </c>
      <c r="G15" t="s">
        <v>50</v>
      </c>
      <c r="H15" t="s">
        <v>2767</v>
      </c>
      <c r="I15" t="s">
        <v>2894</v>
      </c>
      <c r="J15" t="str">
        <f>IF(ISNUMBER(MATCH($D15,'Lopettaneet 2013-&gt;'!$D:$D,0)),INDEX('Lopettaneet 2013-&gt;'!$K:$K,MATCH($D15,'Lopettaneet 2013-&gt;'!$D:$D,0)),"Jatkaa")</f>
        <v>Closed</v>
      </c>
      <c r="K15">
        <f ca="1">IF($J15="Jatkaa",DATEDIF($B15,TODAY(),"Y"),INDEX('Lopettaneet 2013-&gt;'!$L:$L,MATCH($D15,'Lopettaneet 2013-&gt;'!$D:$D,0)))</f>
        <v>9</v>
      </c>
      <c r="L15">
        <v>14</v>
      </c>
    </row>
    <row r="16" spans="1:12" x14ac:dyDescent="0.25">
      <c r="A16" t="s">
        <v>0</v>
      </c>
      <c r="B16" s="1">
        <v>43466</v>
      </c>
      <c r="C16" s="1">
        <v>55153</v>
      </c>
      <c r="D16" s="4" t="s">
        <v>271</v>
      </c>
      <c r="E16" t="s">
        <v>3</v>
      </c>
      <c r="F16" t="s">
        <v>4</v>
      </c>
      <c r="G16" t="s">
        <v>50</v>
      </c>
      <c r="H16" t="s">
        <v>2767</v>
      </c>
      <c r="I16" t="s">
        <v>2894</v>
      </c>
      <c r="J16" t="str">
        <f>IF(ISNUMBER(MATCH($D16,'Lopettaneet 2013-&gt;'!$D:$D,0)),INDEX('Lopettaneet 2013-&gt;'!$K:$K,MATCH($D16,'Lopettaneet 2013-&gt;'!$D:$D,0)),"Jatkaa")</f>
        <v>Closed</v>
      </c>
      <c r="K16">
        <f ca="1">IF($J16="Jatkaa",DATEDIF($B16,TODAY(),"Y"),INDEX('Lopettaneet 2013-&gt;'!$L:$L,MATCH($D16,'Lopettaneet 2013-&gt;'!$D:$D,0)))</f>
        <v>9</v>
      </c>
      <c r="L16">
        <v>15</v>
      </c>
    </row>
    <row r="17" spans="1:12" x14ac:dyDescent="0.25">
      <c r="A17" t="s">
        <v>7</v>
      </c>
      <c r="B17" s="1">
        <v>41974</v>
      </c>
      <c r="C17" s="1">
        <v>55153</v>
      </c>
      <c r="D17" s="4" t="s">
        <v>273</v>
      </c>
      <c r="E17" t="s">
        <v>10</v>
      </c>
      <c r="F17" t="s">
        <v>11</v>
      </c>
      <c r="G17" t="s">
        <v>32</v>
      </c>
      <c r="H17" t="s">
        <v>2763</v>
      </c>
      <c r="I17" t="s">
        <v>2895</v>
      </c>
      <c r="J17" t="str">
        <f>IF(ISNUMBER(MATCH($D17,'Lopettaneet 2013-&gt;'!$D:$D,0)),INDEX('Lopettaneet 2013-&gt;'!$K:$K,MATCH($D17,'Lopettaneet 2013-&gt;'!$D:$D,0)),"Jatkaa")</f>
        <v>Jatkaa</v>
      </c>
      <c r="K17">
        <f ca="1">IF($J17="Jatkaa",DATEDIF($B17,TODAY(),"Y"),INDEX('Lopettaneet 2013-&gt;'!$L:$L,MATCH($D17,'Lopettaneet 2013-&gt;'!$D:$D,0)))</f>
        <v>10</v>
      </c>
      <c r="L17">
        <v>16</v>
      </c>
    </row>
    <row r="18" spans="1:12" x14ac:dyDescent="0.25">
      <c r="A18" t="s">
        <v>7</v>
      </c>
      <c r="B18" s="1">
        <v>41974</v>
      </c>
      <c r="C18" s="1">
        <v>55153</v>
      </c>
      <c r="D18" s="4" t="s">
        <v>275</v>
      </c>
      <c r="E18" t="s">
        <v>10</v>
      </c>
      <c r="F18" t="s">
        <v>11</v>
      </c>
      <c r="G18" t="s">
        <v>12</v>
      </c>
      <c r="H18" t="s">
        <v>2766</v>
      </c>
      <c r="I18" t="s">
        <v>2895</v>
      </c>
      <c r="J18" t="str">
        <f>IF(ISNUMBER(MATCH($D18,'Lopettaneet 2013-&gt;'!$D:$D,0)),INDEX('Lopettaneet 2013-&gt;'!$K:$K,MATCH($D18,'Lopettaneet 2013-&gt;'!$D:$D,0)),"Jatkaa")</f>
        <v>Jatkaa</v>
      </c>
      <c r="K18">
        <f ca="1">IF($J18="Jatkaa",DATEDIF($B18,TODAY(),"Y"),INDEX('Lopettaneet 2013-&gt;'!$L:$L,MATCH($D18,'Lopettaneet 2013-&gt;'!$D:$D,0)))</f>
        <v>10</v>
      </c>
      <c r="L18">
        <v>17</v>
      </c>
    </row>
    <row r="19" spans="1:12" x14ac:dyDescent="0.25">
      <c r="A19" t="s">
        <v>7</v>
      </c>
      <c r="B19" s="1">
        <v>41974</v>
      </c>
      <c r="C19" s="1">
        <v>42643</v>
      </c>
      <c r="D19" s="4" t="s">
        <v>277</v>
      </c>
      <c r="E19" t="s">
        <v>10</v>
      </c>
      <c r="F19" t="s">
        <v>11</v>
      </c>
      <c r="G19" t="s">
        <v>32</v>
      </c>
      <c r="H19" t="s">
        <v>2763</v>
      </c>
      <c r="I19" t="s">
        <v>2763</v>
      </c>
      <c r="J19" t="str">
        <f>IF(ISNUMBER(MATCH($D19,'Lopettaneet 2013-&gt;'!$D:$D,0)),INDEX('Lopettaneet 2013-&gt;'!$K:$K,MATCH($D19,'Lopettaneet 2013-&gt;'!$D:$D,0)),"Jatkaa")</f>
        <v>Closed</v>
      </c>
      <c r="K19">
        <f ca="1">IF($J19="Jatkaa",DATEDIF($B19,TODAY(),"Y"),INDEX('Lopettaneet 2013-&gt;'!$L:$L,MATCH($D19,'Lopettaneet 2013-&gt;'!$D:$D,0)))</f>
        <v>1</v>
      </c>
      <c r="L19">
        <v>18</v>
      </c>
    </row>
    <row r="20" spans="1:12" x14ac:dyDescent="0.25">
      <c r="A20" t="s">
        <v>7</v>
      </c>
      <c r="B20" s="1">
        <v>41974</v>
      </c>
      <c r="C20" s="1">
        <v>42735</v>
      </c>
      <c r="D20" s="4" t="s">
        <v>279</v>
      </c>
      <c r="E20" t="s">
        <v>10</v>
      </c>
      <c r="F20" t="s">
        <v>11</v>
      </c>
      <c r="G20" t="s">
        <v>32</v>
      </c>
      <c r="H20" t="s">
        <v>2763</v>
      </c>
      <c r="I20" t="s">
        <v>2763</v>
      </c>
      <c r="J20" t="str">
        <f>IF(ISNUMBER(MATCH($D20,'Lopettaneet 2013-&gt;'!$D:$D,0)),INDEX('Lopettaneet 2013-&gt;'!$K:$K,MATCH($D20,'Lopettaneet 2013-&gt;'!$D:$D,0)),"Jatkaa")</f>
        <v>Closed</v>
      </c>
      <c r="K20">
        <f ca="1">IF($J20="Jatkaa",DATEDIF($B20,TODAY(),"Y"),INDEX('Lopettaneet 2013-&gt;'!$L:$L,MATCH($D20,'Lopettaneet 2013-&gt;'!$D:$D,0)))</f>
        <v>2</v>
      </c>
      <c r="L20">
        <v>19</v>
      </c>
    </row>
    <row r="21" spans="1:12" x14ac:dyDescent="0.25">
      <c r="A21" t="s">
        <v>7</v>
      </c>
      <c r="B21" s="1">
        <v>41974</v>
      </c>
      <c r="C21" s="1">
        <v>43465</v>
      </c>
      <c r="D21" s="4" t="s">
        <v>281</v>
      </c>
      <c r="E21" t="s">
        <v>10</v>
      </c>
      <c r="F21" t="s">
        <v>11</v>
      </c>
      <c r="G21" t="s">
        <v>32</v>
      </c>
      <c r="H21" t="s">
        <v>2763</v>
      </c>
      <c r="I21" t="s">
        <v>2763</v>
      </c>
      <c r="J21" t="str">
        <f>IF(ISNUMBER(MATCH($D21,'Lopettaneet 2013-&gt;'!$D:$D,0)),INDEX('Lopettaneet 2013-&gt;'!$K:$K,MATCH($D21,'Lopettaneet 2013-&gt;'!$D:$D,0)),"Jatkaa")</f>
        <v>Closed</v>
      </c>
      <c r="K21">
        <f ca="1">IF($J21="Jatkaa",DATEDIF($B21,TODAY(),"Y"),INDEX('Lopettaneet 2013-&gt;'!$L:$L,MATCH($D21,'Lopettaneet 2013-&gt;'!$D:$D,0)))</f>
        <v>4</v>
      </c>
      <c r="L21">
        <v>20</v>
      </c>
    </row>
    <row r="22" spans="1:12" x14ac:dyDescent="0.25">
      <c r="A22" t="s">
        <v>7</v>
      </c>
      <c r="B22" s="1">
        <v>41974</v>
      </c>
      <c r="C22" s="1">
        <v>42277</v>
      </c>
      <c r="D22" s="4" t="s">
        <v>283</v>
      </c>
      <c r="E22" t="s">
        <v>10</v>
      </c>
      <c r="F22" t="s">
        <v>11</v>
      </c>
      <c r="G22" t="s">
        <v>32</v>
      </c>
      <c r="H22" t="s">
        <v>2763</v>
      </c>
      <c r="I22" t="s">
        <v>2763</v>
      </c>
      <c r="J22" t="str">
        <f>IF(ISNUMBER(MATCH($D22,'Lopettaneet 2013-&gt;'!$D:$D,0)),INDEX('Lopettaneet 2013-&gt;'!$K:$K,MATCH($D22,'Lopettaneet 2013-&gt;'!$D:$D,0)),"Jatkaa")</f>
        <v>Closed</v>
      </c>
      <c r="K22">
        <f ca="1">IF($J22="Jatkaa",DATEDIF($B22,TODAY(),"Y"),INDEX('Lopettaneet 2013-&gt;'!$L:$L,MATCH($D22,'Lopettaneet 2013-&gt;'!$D:$D,0)))</f>
        <v>0</v>
      </c>
      <c r="L22">
        <v>21</v>
      </c>
    </row>
    <row r="23" spans="1:12" x14ac:dyDescent="0.25">
      <c r="A23" t="s">
        <v>7</v>
      </c>
      <c r="B23" s="1">
        <v>41974</v>
      </c>
      <c r="C23" s="1">
        <v>44104</v>
      </c>
      <c r="D23" s="4" t="s">
        <v>285</v>
      </c>
      <c r="E23" t="s">
        <v>10</v>
      </c>
      <c r="F23" t="s">
        <v>11</v>
      </c>
      <c r="G23" t="s">
        <v>32</v>
      </c>
      <c r="H23" t="s">
        <v>2763</v>
      </c>
      <c r="I23" t="s">
        <v>2763</v>
      </c>
      <c r="J23" t="str">
        <f>IF(ISNUMBER(MATCH($D23,'Lopettaneet 2013-&gt;'!$D:$D,0)),INDEX('Lopettaneet 2013-&gt;'!$K:$K,MATCH($D23,'Lopettaneet 2013-&gt;'!$D:$D,0)),"Jatkaa")</f>
        <v>Closed</v>
      </c>
      <c r="K23">
        <f ca="1">IF($J23="Jatkaa",DATEDIF($B23,TODAY(),"Y"),INDEX('Lopettaneet 2013-&gt;'!$L:$L,MATCH($D23,'Lopettaneet 2013-&gt;'!$D:$D,0)))</f>
        <v>5</v>
      </c>
      <c r="L23">
        <v>22</v>
      </c>
    </row>
    <row r="24" spans="1:12" x14ac:dyDescent="0.25">
      <c r="A24" t="s">
        <v>7</v>
      </c>
      <c r="B24" s="1">
        <v>41974</v>
      </c>
      <c r="C24" s="1">
        <v>44561</v>
      </c>
      <c r="D24" s="4" t="s">
        <v>287</v>
      </c>
      <c r="E24" t="s">
        <v>10</v>
      </c>
      <c r="F24" t="s">
        <v>11</v>
      </c>
      <c r="G24" t="s">
        <v>12</v>
      </c>
      <c r="H24" t="s">
        <v>2763</v>
      </c>
      <c r="I24" t="s">
        <v>2763</v>
      </c>
      <c r="J24" t="str">
        <f>IF(ISNUMBER(MATCH($D24,'Lopettaneet 2013-&gt;'!$D:$D,0)),INDEX('Lopettaneet 2013-&gt;'!$K:$K,MATCH($D24,'Lopettaneet 2013-&gt;'!$D:$D,0)),"Jatkaa")</f>
        <v>Closed</v>
      </c>
      <c r="K24">
        <f ca="1">IF($J24="Jatkaa",DATEDIF($B24,TODAY(),"Y"),INDEX('Lopettaneet 2013-&gt;'!$L:$L,MATCH($D24,'Lopettaneet 2013-&gt;'!$D:$D,0)))</f>
        <v>7</v>
      </c>
      <c r="L24">
        <v>23</v>
      </c>
    </row>
    <row r="25" spans="1:12" x14ac:dyDescent="0.25">
      <c r="A25" t="s">
        <v>7</v>
      </c>
      <c r="B25" s="1">
        <v>41974</v>
      </c>
      <c r="C25" s="1">
        <v>43921</v>
      </c>
      <c r="D25" s="4" t="s">
        <v>289</v>
      </c>
      <c r="E25" t="s">
        <v>10</v>
      </c>
      <c r="F25" t="s">
        <v>11</v>
      </c>
      <c r="G25" t="s">
        <v>12</v>
      </c>
      <c r="H25" t="s">
        <v>2763</v>
      </c>
      <c r="I25" t="s">
        <v>2763</v>
      </c>
      <c r="J25" t="str">
        <f>IF(ISNUMBER(MATCH($D25,'Lopettaneet 2013-&gt;'!$D:$D,0)),INDEX('Lopettaneet 2013-&gt;'!$K:$K,MATCH($D25,'Lopettaneet 2013-&gt;'!$D:$D,0)),"Jatkaa")</f>
        <v>Closed</v>
      </c>
      <c r="K25">
        <f ca="1">IF($J25="Jatkaa",DATEDIF($B25,TODAY(),"Y"),INDEX('Lopettaneet 2013-&gt;'!$L:$L,MATCH($D25,'Lopettaneet 2013-&gt;'!$D:$D,0)))</f>
        <v>5</v>
      </c>
      <c r="L25">
        <v>24</v>
      </c>
    </row>
    <row r="26" spans="1:12" x14ac:dyDescent="0.25">
      <c r="A26" t="s">
        <v>7</v>
      </c>
      <c r="B26" s="1">
        <v>41974</v>
      </c>
      <c r="C26" s="1">
        <v>42735</v>
      </c>
      <c r="D26" s="4" t="s">
        <v>291</v>
      </c>
      <c r="E26" t="s">
        <v>10</v>
      </c>
      <c r="F26" t="s">
        <v>11</v>
      </c>
      <c r="G26" t="s">
        <v>32</v>
      </c>
      <c r="H26" t="s">
        <v>2763</v>
      </c>
      <c r="I26" t="s">
        <v>2763</v>
      </c>
      <c r="J26" t="str">
        <f>IF(ISNUMBER(MATCH($D26,'Lopettaneet 2013-&gt;'!$D:$D,0)),INDEX('Lopettaneet 2013-&gt;'!$K:$K,MATCH($D26,'Lopettaneet 2013-&gt;'!$D:$D,0)),"Jatkaa")</f>
        <v>Closed</v>
      </c>
      <c r="K26">
        <f ca="1">IF($J26="Jatkaa",DATEDIF($B26,TODAY(),"Y"),INDEX('Lopettaneet 2013-&gt;'!$L:$L,MATCH($D26,'Lopettaneet 2013-&gt;'!$D:$D,0)))</f>
        <v>2</v>
      </c>
      <c r="L26">
        <v>25</v>
      </c>
    </row>
    <row r="27" spans="1:12" x14ac:dyDescent="0.25">
      <c r="A27" t="s">
        <v>7</v>
      </c>
      <c r="B27" s="1">
        <v>41974</v>
      </c>
      <c r="C27" s="1">
        <v>55153</v>
      </c>
      <c r="D27" s="4" t="s">
        <v>293</v>
      </c>
      <c r="E27" t="s">
        <v>10</v>
      </c>
      <c r="F27" t="s">
        <v>11</v>
      </c>
      <c r="G27" t="s">
        <v>12</v>
      </c>
      <c r="H27" t="s">
        <v>2768</v>
      </c>
      <c r="I27" t="s">
        <v>2895</v>
      </c>
      <c r="J27" t="str">
        <f>IF(ISNUMBER(MATCH($D27,'Lopettaneet 2013-&gt;'!$D:$D,0)),INDEX('Lopettaneet 2013-&gt;'!$K:$K,MATCH($D27,'Lopettaneet 2013-&gt;'!$D:$D,0)),"Jatkaa")</f>
        <v>Jatkaa</v>
      </c>
      <c r="K27">
        <f ca="1">IF($J27="Jatkaa",DATEDIF($B27,TODAY(),"Y"),INDEX('Lopettaneet 2013-&gt;'!$L:$L,MATCH($D27,'Lopettaneet 2013-&gt;'!$D:$D,0)))</f>
        <v>10</v>
      </c>
      <c r="L27">
        <v>26</v>
      </c>
    </row>
    <row r="28" spans="1:12" x14ac:dyDescent="0.25">
      <c r="A28" t="s">
        <v>7</v>
      </c>
      <c r="B28" s="1">
        <v>41974</v>
      </c>
      <c r="C28" s="1">
        <v>55153</v>
      </c>
      <c r="D28" s="4" t="s">
        <v>295</v>
      </c>
      <c r="E28" t="s">
        <v>10</v>
      </c>
      <c r="F28" t="s">
        <v>11</v>
      </c>
      <c r="G28" t="s">
        <v>32</v>
      </c>
      <c r="H28" t="s">
        <v>2769</v>
      </c>
      <c r="I28" t="s">
        <v>2895</v>
      </c>
      <c r="J28" t="str">
        <f>IF(ISNUMBER(MATCH($D28,'Lopettaneet 2013-&gt;'!$D:$D,0)),INDEX('Lopettaneet 2013-&gt;'!$K:$K,MATCH($D28,'Lopettaneet 2013-&gt;'!$D:$D,0)),"Jatkaa")</f>
        <v>Jatkaa</v>
      </c>
      <c r="K28">
        <f ca="1">IF($J28="Jatkaa",DATEDIF($B28,TODAY(),"Y"),INDEX('Lopettaneet 2013-&gt;'!$L:$L,MATCH($D28,'Lopettaneet 2013-&gt;'!$D:$D,0)))</f>
        <v>10</v>
      </c>
      <c r="L28">
        <v>27</v>
      </c>
    </row>
    <row r="29" spans="1:12" x14ac:dyDescent="0.25">
      <c r="A29" t="s">
        <v>7</v>
      </c>
      <c r="B29" s="1">
        <v>41974</v>
      </c>
      <c r="C29" s="1">
        <v>44012</v>
      </c>
      <c r="D29" s="4" t="s">
        <v>297</v>
      </c>
      <c r="E29" t="s">
        <v>10</v>
      </c>
      <c r="F29" t="s">
        <v>11</v>
      </c>
      <c r="G29" t="s">
        <v>32</v>
      </c>
      <c r="H29" t="s">
        <v>2763</v>
      </c>
      <c r="I29" t="s">
        <v>2763</v>
      </c>
      <c r="J29" t="str">
        <f>IF(ISNUMBER(MATCH($D29,'Lopettaneet 2013-&gt;'!$D:$D,0)),INDEX('Lopettaneet 2013-&gt;'!$K:$K,MATCH($D29,'Lopettaneet 2013-&gt;'!$D:$D,0)),"Jatkaa")</f>
        <v>Closed</v>
      </c>
      <c r="K29">
        <f ca="1">IF($J29="Jatkaa",DATEDIF($B29,TODAY(),"Y"),INDEX('Lopettaneet 2013-&gt;'!$L:$L,MATCH($D29,'Lopettaneet 2013-&gt;'!$D:$D,0)))</f>
        <v>5</v>
      </c>
      <c r="L29">
        <v>28</v>
      </c>
    </row>
    <row r="30" spans="1:12" x14ac:dyDescent="0.25">
      <c r="A30" t="s">
        <v>7</v>
      </c>
      <c r="B30" s="1">
        <v>41974</v>
      </c>
      <c r="C30" s="1">
        <v>44196</v>
      </c>
      <c r="D30" s="4" t="s">
        <v>299</v>
      </c>
      <c r="E30" t="s">
        <v>10</v>
      </c>
      <c r="F30" t="s">
        <v>11</v>
      </c>
      <c r="G30" t="s">
        <v>12</v>
      </c>
      <c r="H30" t="s">
        <v>2763</v>
      </c>
      <c r="I30" t="s">
        <v>2763</v>
      </c>
      <c r="J30" t="str">
        <f>IF(ISNUMBER(MATCH($D30,'Lopettaneet 2013-&gt;'!$D:$D,0)),INDEX('Lopettaneet 2013-&gt;'!$K:$K,MATCH($D30,'Lopettaneet 2013-&gt;'!$D:$D,0)),"Jatkaa")</f>
        <v>Closed</v>
      </c>
      <c r="K30">
        <f ca="1">IF($J30="Jatkaa",DATEDIF($B30,TODAY(),"Y"),INDEX('Lopettaneet 2013-&gt;'!$L:$L,MATCH($D30,'Lopettaneet 2013-&gt;'!$D:$D,0)))</f>
        <v>6</v>
      </c>
      <c r="L30">
        <v>29</v>
      </c>
    </row>
    <row r="31" spans="1:12" x14ac:dyDescent="0.25">
      <c r="A31" t="s">
        <v>7</v>
      </c>
      <c r="B31" s="1">
        <v>41974</v>
      </c>
      <c r="C31" s="1">
        <v>43190</v>
      </c>
      <c r="D31" s="4" t="s">
        <v>301</v>
      </c>
      <c r="E31" t="s">
        <v>10</v>
      </c>
      <c r="F31" t="s">
        <v>11</v>
      </c>
      <c r="G31" t="s">
        <v>32</v>
      </c>
      <c r="H31" t="s">
        <v>2763</v>
      </c>
      <c r="I31" t="s">
        <v>2763</v>
      </c>
      <c r="J31" t="str">
        <f>IF(ISNUMBER(MATCH($D31,'Lopettaneet 2013-&gt;'!$D:$D,0)),INDEX('Lopettaneet 2013-&gt;'!$K:$K,MATCH($D31,'Lopettaneet 2013-&gt;'!$D:$D,0)),"Jatkaa")</f>
        <v>Closed</v>
      </c>
      <c r="K31">
        <f ca="1">IF($J31="Jatkaa",DATEDIF($B31,TODAY(),"Y"),INDEX('Lopettaneet 2013-&gt;'!$L:$L,MATCH($D31,'Lopettaneet 2013-&gt;'!$D:$D,0)))</f>
        <v>3</v>
      </c>
      <c r="L31">
        <v>30</v>
      </c>
    </row>
    <row r="32" spans="1:12" x14ac:dyDescent="0.25">
      <c r="A32" t="s">
        <v>7</v>
      </c>
      <c r="B32" s="1">
        <v>41974</v>
      </c>
      <c r="C32" s="1">
        <v>55153</v>
      </c>
      <c r="D32" s="4" t="s">
        <v>303</v>
      </c>
      <c r="E32" t="s">
        <v>10</v>
      </c>
      <c r="F32" t="s">
        <v>11</v>
      </c>
      <c r="G32" t="s">
        <v>12</v>
      </c>
      <c r="H32" t="s">
        <v>2768</v>
      </c>
      <c r="I32" t="s">
        <v>2895</v>
      </c>
      <c r="J32" t="str">
        <f>IF(ISNUMBER(MATCH($D32,'Lopettaneet 2013-&gt;'!$D:$D,0)),INDEX('Lopettaneet 2013-&gt;'!$K:$K,MATCH($D32,'Lopettaneet 2013-&gt;'!$D:$D,0)),"Jatkaa")</f>
        <v>Jatkaa</v>
      </c>
      <c r="K32">
        <f ca="1">IF($J32="Jatkaa",DATEDIF($B32,TODAY(),"Y"),INDEX('Lopettaneet 2013-&gt;'!$L:$L,MATCH($D32,'Lopettaneet 2013-&gt;'!$D:$D,0)))</f>
        <v>10</v>
      </c>
      <c r="L32">
        <v>31</v>
      </c>
    </row>
    <row r="33" spans="1:12" x14ac:dyDescent="0.25">
      <c r="A33" t="s">
        <v>7</v>
      </c>
      <c r="B33" s="1">
        <v>41974</v>
      </c>
      <c r="C33" s="1">
        <v>42551</v>
      </c>
      <c r="D33" s="4" t="s">
        <v>305</v>
      </c>
      <c r="E33" t="s">
        <v>10</v>
      </c>
      <c r="F33" t="s">
        <v>11</v>
      </c>
      <c r="G33" t="s">
        <v>12</v>
      </c>
      <c r="H33" t="s">
        <v>2763</v>
      </c>
      <c r="I33" t="s">
        <v>2763</v>
      </c>
      <c r="J33" t="str">
        <f>IF(ISNUMBER(MATCH($D33,'Lopettaneet 2013-&gt;'!$D:$D,0)),INDEX('Lopettaneet 2013-&gt;'!$K:$K,MATCH($D33,'Lopettaneet 2013-&gt;'!$D:$D,0)),"Jatkaa")</f>
        <v>Closed</v>
      </c>
      <c r="K33">
        <f ca="1">IF($J33="Jatkaa",DATEDIF($B33,TODAY(),"Y"),INDEX('Lopettaneet 2013-&gt;'!$L:$L,MATCH($D33,'Lopettaneet 2013-&gt;'!$D:$D,0)))</f>
        <v>1</v>
      </c>
      <c r="L33">
        <v>32</v>
      </c>
    </row>
    <row r="34" spans="1:12" x14ac:dyDescent="0.25">
      <c r="A34" t="s">
        <v>0</v>
      </c>
      <c r="B34" s="1">
        <v>43466</v>
      </c>
      <c r="C34" s="1">
        <v>43799</v>
      </c>
      <c r="D34" s="4" t="s">
        <v>307</v>
      </c>
      <c r="E34" t="s">
        <v>3</v>
      </c>
      <c r="F34" t="s">
        <v>4</v>
      </c>
      <c r="G34" t="s">
        <v>50</v>
      </c>
      <c r="H34" t="s">
        <v>2763</v>
      </c>
      <c r="I34" t="s">
        <v>2763</v>
      </c>
      <c r="J34" t="str">
        <f>IF(ISNUMBER(MATCH($D34,'Lopettaneet 2013-&gt;'!$D:$D,0)),INDEX('Lopettaneet 2013-&gt;'!$K:$K,MATCH($D34,'Lopettaneet 2013-&gt;'!$D:$D,0)),"Jatkaa")</f>
        <v>Merged</v>
      </c>
      <c r="K34">
        <f ca="1">IF($J34="Jatkaa",DATEDIF($B34,TODAY(),"Y"),INDEX('Lopettaneet 2013-&gt;'!$L:$L,MATCH($D34,'Lopettaneet 2013-&gt;'!$D:$D,0)))</f>
        <v>6</v>
      </c>
      <c r="L34">
        <v>33</v>
      </c>
    </row>
    <row r="35" spans="1:12" x14ac:dyDescent="0.25">
      <c r="A35" t="s">
        <v>0</v>
      </c>
      <c r="B35" s="1">
        <v>41699</v>
      </c>
      <c r="C35" s="1">
        <v>42521</v>
      </c>
      <c r="D35" s="4" t="s">
        <v>309</v>
      </c>
      <c r="E35" t="s">
        <v>10</v>
      </c>
      <c r="F35" t="s">
        <v>4</v>
      </c>
      <c r="G35" t="s">
        <v>5</v>
      </c>
      <c r="H35" t="s">
        <v>2763</v>
      </c>
      <c r="I35" t="s">
        <v>2763</v>
      </c>
      <c r="J35" t="str">
        <f>IF(ISNUMBER(MATCH($D35,'Lopettaneet 2013-&gt;'!$D:$D,0)),INDEX('Lopettaneet 2013-&gt;'!$K:$K,MATCH($D35,'Lopettaneet 2013-&gt;'!$D:$D,0)),"Jatkaa")</f>
        <v>Closed</v>
      </c>
      <c r="K35">
        <f ca="1">IF($J35="Jatkaa",DATEDIF($B35,TODAY(),"Y"),INDEX('Lopettaneet 2013-&gt;'!$L:$L,MATCH($D35,'Lopettaneet 2013-&gt;'!$D:$D,0)))</f>
        <v>2</v>
      </c>
      <c r="L35">
        <v>34</v>
      </c>
    </row>
    <row r="36" spans="1:12" x14ac:dyDescent="0.25">
      <c r="A36" t="s">
        <v>0</v>
      </c>
      <c r="B36" s="1">
        <v>41275</v>
      </c>
      <c r="C36" s="1">
        <v>55153</v>
      </c>
      <c r="D36" s="4" t="s">
        <v>311</v>
      </c>
      <c r="E36" t="s">
        <v>10</v>
      </c>
      <c r="F36" t="s">
        <v>4</v>
      </c>
      <c r="G36" t="s">
        <v>32</v>
      </c>
      <c r="H36" t="s">
        <v>2770</v>
      </c>
      <c r="I36" t="s">
        <v>2894</v>
      </c>
      <c r="J36" t="str">
        <f>IF(ISNUMBER(MATCH($D36,'Lopettaneet 2013-&gt;'!$D:$D,0)),INDEX('Lopettaneet 2013-&gt;'!$K:$K,MATCH($D36,'Lopettaneet 2013-&gt;'!$D:$D,0)),"Jatkaa")</f>
        <v>Jatkaa</v>
      </c>
      <c r="K36">
        <f ca="1">IF($J36="Jatkaa",DATEDIF($B36,TODAY(),"Y"),INDEX('Lopettaneet 2013-&gt;'!$L:$L,MATCH($D36,'Lopettaneet 2013-&gt;'!$D:$D,0)))</f>
        <v>12</v>
      </c>
      <c r="L36">
        <v>35</v>
      </c>
    </row>
    <row r="37" spans="1:12" x14ac:dyDescent="0.25">
      <c r="A37" t="s">
        <v>0</v>
      </c>
      <c r="B37" s="1">
        <v>41306</v>
      </c>
      <c r="C37" s="1">
        <v>44439</v>
      </c>
      <c r="D37" s="4" t="s">
        <v>313</v>
      </c>
      <c r="E37" t="s">
        <v>3</v>
      </c>
      <c r="F37" t="s">
        <v>4</v>
      </c>
      <c r="G37" t="s">
        <v>50</v>
      </c>
      <c r="H37" t="s">
        <v>2763</v>
      </c>
      <c r="I37" t="s">
        <v>2763</v>
      </c>
      <c r="J37" t="str">
        <f>IF(ISNUMBER(MATCH($D37,'Lopettaneet 2013-&gt;'!$D:$D,0)),INDEX('Lopettaneet 2013-&gt;'!$K:$K,MATCH($D37,'Lopettaneet 2013-&gt;'!$D:$D,0)),"Jatkaa")</f>
        <v>Merged</v>
      </c>
      <c r="K37">
        <f ca="1">IF($J37="Jatkaa",DATEDIF($B37,TODAY(),"Y"),INDEX('Lopettaneet 2013-&gt;'!$L:$L,MATCH($D37,'Lopettaneet 2013-&gt;'!$D:$D,0)))</f>
        <v>8</v>
      </c>
      <c r="L37">
        <v>36</v>
      </c>
    </row>
    <row r="38" spans="1:12" x14ac:dyDescent="0.25">
      <c r="A38" t="s">
        <v>0</v>
      </c>
      <c r="B38" s="1">
        <v>41395</v>
      </c>
      <c r="C38" s="1">
        <v>43496</v>
      </c>
      <c r="D38" s="4" t="s">
        <v>315</v>
      </c>
      <c r="E38" t="s">
        <v>3</v>
      </c>
      <c r="F38" t="s">
        <v>4</v>
      </c>
      <c r="G38" t="s">
        <v>20</v>
      </c>
      <c r="H38" t="s">
        <v>2763</v>
      </c>
      <c r="I38" t="s">
        <v>2763</v>
      </c>
      <c r="J38" t="str">
        <f>IF(ISNUMBER(MATCH($D38,'Lopettaneet 2013-&gt;'!$D:$D,0)),INDEX('Lopettaneet 2013-&gt;'!$K:$K,MATCH($D38,'Lopettaneet 2013-&gt;'!$D:$D,0)),"Jatkaa")</f>
        <v>Merged</v>
      </c>
      <c r="K38">
        <f ca="1">IF($J38="Jatkaa",DATEDIF($B38,TODAY(),"Y"),INDEX('Lopettaneet 2013-&gt;'!$L:$L,MATCH($D38,'Lopettaneet 2013-&gt;'!$D:$D,0)))</f>
        <v>5</v>
      </c>
      <c r="L38">
        <v>37</v>
      </c>
    </row>
    <row r="39" spans="1:12" x14ac:dyDescent="0.25">
      <c r="A39" t="s">
        <v>0</v>
      </c>
      <c r="B39" s="1">
        <v>41395</v>
      </c>
      <c r="C39" s="1">
        <v>55153</v>
      </c>
      <c r="D39" s="4" t="s">
        <v>317</v>
      </c>
      <c r="E39" t="s">
        <v>3</v>
      </c>
      <c r="F39" t="s">
        <v>4</v>
      </c>
      <c r="G39" t="s">
        <v>20</v>
      </c>
      <c r="H39" t="s">
        <v>2771</v>
      </c>
      <c r="I39" t="s">
        <v>2894</v>
      </c>
      <c r="J39" t="str">
        <f>IF(ISNUMBER(MATCH($D39,'Lopettaneet 2013-&gt;'!$D:$D,0)),INDEX('Lopettaneet 2013-&gt;'!$K:$K,MATCH($D39,'Lopettaneet 2013-&gt;'!$D:$D,0)),"Jatkaa")</f>
        <v>Jatkaa</v>
      </c>
      <c r="K39">
        <f ca="1">IF($J39="Jatkaa",DATEDIF($B39,TODAY(),"Y"),INDEX('Lopettaneet 2013-&gt;'!$L:$L,MATCH($D39,'Lopettaneet 2013-&gt;'!$D:$D,0)))</f>
        <v>12</v>
      </c>
      <c r="L39">
        <v>38</v>
      </c>
    </row>
    <row r="40" spans="1:12" x14ac:dyDescent="0.25">
      <c r="A40" t="s">
        <v>7</v>
      </c>
      <c r="B40" s="1">
        <v>41974</v>
      </c>
      <c r="C40" s="1">
        <v>55153</v>
      </c>
      <c r="D40" s="4" t="s">
        <v>319</v>
      </c>
      <c r="E40" t="s">
        <v>10</v>
      </c>
      <c r="F40" t="s">
        <v>11</v>
      </c>
      <c r="G40" t="s">
        <v>32</v>
      </c>
      <c r="H40" t="s">
        <v>2772</v>
      </c>
      <c r="I40" t="s">
        <v>2895</v>
      </c>
      <c r="J40" t="str">
        <f>IF(ISNUMBER(MATCH($D40,'Lopettaneet 2013-&gt;'!$D:$D,0)),INDEX('Lopettaneet 2013-&gt;'!$K:$K,MATCH($D40,'Lopettaneet 2013-&gt;'!$D:$D,0)),"Jatkaa")</f>
        <v>Jatkaa</v>
      </c>
      <c r="K40">
        <f ca="1">IF($J40="Jatkaa",DATEDIF($B40,TODAY(),"Y"),INDEX('Lopettaneet 2013-&gt;'!$L:$L,MATCH($D40,'Lopettaneet 2013-&gt;'!$D:$D,0)))</f>
        <v>10</v>
      </c>
      <c r="L40">
        <v>39</v>
      </c>
    </row>
    <row r="41" spans="1:12" x14ac:dyDescent="0.25">
      <c r="A41" t="s">
        <v>0</v>
      </c>
      <c r="B41" s="1">
        <v>41334</v>
      </c>
      <c r="C41" s="1">
        <v>55153</v>
      </c>
      <c r="D41" s="4" t="s">
        <v>321</v>
      </c>
      <c r="E41" t="s">
        <v>3</v>
      </c>
      <c r="F41" t="s">
        <v>4</v>
      </c>
      <c r="G41" t="s">
        <v>20</v>
      </c>
      <c r="H41" t="s">
        <v>2773</v>
      </c>
      <c r="I41" t="s">
        <v>2894</v>
      </c>
      <c r="J41" t="str">
        <f>IF(ISNUMBER(MATCH($D41,'Lopettaneet 2013-&gt;'!$D:$D,0)),INDEX('Lopettaneet 2013-&gt;'!$K:$K,MATCH($D41,'Lopettaneet 2013-&gt;'!$D:$D,0)),"Jatkaa")</f>
        <v>Jatkaa</v>
      </c>
      <c r="K41">
        <f ca="1">IF($J41="Jatkaa",DATEDIF($B41,TODAY(),"Y"),INDEX('Lopettaneet 2013-&gt;'!$L:$L,MATCH($D41,'Lopettaneet 2013-&gt;'!$D:$D,0)))</f>
        <v>12</v>
      </c>
      <c r="L41">
        <v>40</v>
      </c>
    </row>
    <row r="42" spans="1:12" x14ac:dyDescent="0.25">
      <c r="A42" t="s">
        <v>0</v>
      </c>
      <c r="B42" s="1">
        <v>41334</v>
      </c>
      <c r="C42" s="1">
        <v>55153</v>
      </c>
      <c r="D42" s="4" t="s">
        <v>323</v>
      </c>
      <c r="E42" t="s">
        <v>3</v>
      </c>
      <c r="F42" t="s">
        <v>4</v>
      </c>
      <c r="G42" t="s">
        <v>50</v>
      </c>
      <c r="H42" t="s">
        <v>2774</v>
      </c>
      <c r="I42" t="s">
        <v>2894</v>
      </c>
      <c r="J42" t="str">
        <f>IF(ISNUMBER(MATCH($D42,'Lopettaneet 2013-&gt;'!$D:$D,0)),INDEX('Lopettaneet 2013-&gt;'!$K:$K,MATCH($D42,'Lopettaneet 2013-&gt;'!$D:$D,0)),"Jatkaa")</f>
        <v>Jatkaa</v>
      </c>
      <c r="K42">
        <f ca="1">IF($J42="Jatkaa",DATEDIF($B42,TODAY(),"Y"),INDEX('Lopettaneet 2013-&gt;'!$L:$L,MATCH($D42,'Lopettaneet 2013-&gt;'!$D:$D,0)))</f>
        <v>12</v>
      </c>
      <c r="L42">
        <v>41</v>
      </c>
    </row>
    <row r="43" spans="1:12" x14ac:dyDescent="0.25">
      <c r="A43" t="s">
        <v>7</v>
      </c>
      <c r="B43" s="1">
        <v>41974</v>
      </c>
      <c r="C43" s="1">
        <v>45107</v>
      </c>
      <c r="D43" s="4" t="s">
        <v>8</v>
      </c>
      <c r="E43" t="s">
        <v>10</v>
      </c>
      <c r="F43" t="s">
        <v>11</v>
      </c>
      <c r="G43" t="s">
        <v>12</v>
      </c>
      <c r="H43" t="s">
        <v>2763</v>
      </c>
      <c r="I43" t="s">
        <v>2763</v>
      </c>
      <c r="J43" t="str">
        <f>IF(ISNUMBER(MATCH($D43,'Lopettaneet 2013-&gt;'!$D:$D,0)),INDEX('Lopettaneet 2013-&gt;'!$K:$K,MATCH($D43,'Lopettaneet 2013-&gt;'!$D:$D,0)),"Jatkaa")</f>
        <v>Closed</v>
      </c>
      <c r="K43">
        <f ca="1">IF($J43="Jatkaa",DATEDIF($B43,TODAY(),"Y"),INDEX('Lopettaneet 2013-&gt;'!$L:$L,MATCH($D43,'Lopettaneet 2013-&gt;'!$D:$D,0)))</f>
        <v>8</v>
      </c>
      <c r="L43">
        <v>42</v>
      </c>
    </row>
    <row r="44" spans="1:12" x14ac:dyDescent="0.25">
      <c r="A44" t="s">
        <v>7</v>
      </c>
      <c r="B44" s="1">
        <v>41974</v>
      </c>
      <c r="C44" s="1">
        <v>42643</v>
      </c>
      <c r="D44" s="4" t="s">
        <v>325</v>
      </c>
      <c r="E44" t="s">
        <v>10</v>
      </c>
      <c r="F44" t="s">
        <v>11</v>
      </c>
      <c r="G44" t="s">
        <v>32</v>
      </c>
      <c r="H44" t="s">
        <v>2763</v>
      </c>
      <c r="I44" t="s">
        <v>2763</v>
      </c>
      <c r="J44" t="str">
        <f>IF(ISNUMBER(MATCH($D44,'Lopettaneet 2013-&gt;'!$D:$D,0)),INDEX('Lopettaneet 2013-&gt;'!$K:$K,MATCH($D44,'Lopettaneet 2013-&gt;'!$D:$D,0)),"Jatkaa")</f>
        <v>Closed</v>
      </c>
      <c r="K44">
        <f ca="1">IF($J44="Jatkaa",DATEDIF($B44,TODAY(),"Y"),INDEX('Lopettaneet 2013-&gt;'!$L:$L,MATCH($D44,'Lopettaneet 2013-&gt;'!$D:$D,0)))</f>
        <v>1</v>
      </c>
      <c r="L44">
        <v>43</v>
      </c>
    </row>
    <row r="45" spans="1:12" x14ac:dyDescent="0.25">
      <c r="A45" t="s">
        <v>7</v>
      </c>
      <c r="B45" s="1">
        <v>41974</v>
      </c>
      <c r="C45" s="1">
        <v>44834</v>
      </c>
      <c r="D45" s="4" t="s">
        <v>327</v>
      </c>
      <c r="E45" t="s">
        <v>10</v>
      </c>
      <c r="F45" t="s">
        <v>11</v>
      </c>
      <c r="G45" t="s">
        <v>12</v>
      </c>
      <c r="H45" t="s">
        <v>2763</v>
      </c>
      <c r="I45" t="s">
        <v>2763</v>
      </c>
      <c r="J45" t="str">
        <f>IF(ISNUMBER(MATCH($D45,'Lopettaneet 2013-&gt;'!$D:$D,0)),INDEX('Lopettaneet 2013-&gt;'!$K:$K,MATCH($D45,'Lopettaneet 2013-&gt;'!$D:$D,0)),"Jatkaa")</f>
        <v>Closed</v>
      </c>
      <c r="K45">
        <f ca="1">IF($J45="Jatkaa",DATEDIF($B45,TODAY(),"Y"),INDEX('Lopettaneet 2013-&gt;'!$L:$L,MATCH($D45,'Lopettaneet 2013-&gt;'!$D:$D,0)))</f>
        <v>7</v>
      </c>
      <c r="L45">
        <v>44</v>
      </c>
    </row>
    <row r="46" spans="1:12" x14ac:dyDescent="0.25">
      <c r="A46" t="s">
        <v>7</v>
      </c>
      <c r="B46" s="1">
        <v>41974</v>
      </c>
      <c r="C46" s="1">
        <v>44196</v>
      </c>
      <c r="D46" s="4" t="s">
        <v>329</v>
      </c>
      <c r="E46" t="s">
        <v>10</v>
      </c>
      <c r="F46" t="s">
        <v>11</v>
      </c>
      <c r="G46" t="s">
        <v>12</v>
      </c>
      <c r="H46" t="s">
        <v>2763</v>
      </c>
      <c r="I46" t="s">
        <v>2763</v>
      </c>
      <c r="J46" t="str">
        <f>IF(ISNUMBER(MATCH($D46,'Lopettaneet 2013-&gt;'!$D:$D,0)),INDEX('Lopettaneet 2013-&gt;'!$K:$K,MATCH($D46,'Lopettaneet 2013-&gt;'!$D:$D,0)),"Jatkaa")</f>
        <v>Closed</v>
      </c>
      <c r="K46">
        <f ca="1">IF($J46="Jatkaa",DATEDIF($B46,TODAY(),"Y"),INDEX('Lopettaneet 2013-&gt;'!$L:$L,MATCH($D46,'Lopettaneet 2013-&gt;'!$D:$D,0)))</f>
        <v>6</v>
      </c>
      <c r="L46">
        <v>45</v>
      </c>
    </row>
    <row r="47" spans="1:12" x14ac:dyDescent="0.25">
      <c r="A47" t="s">
        <v>7</v>
      </c>
      <c r="B47" s="1">
        <v>41974</v>
      </c>
      <c r="C47" s="1">
        <v>55153</v>
      </c>
      <c r="D47" s="4" t="s">
        <v>331</v>
      </c>
      <c r="E47" t="s">
        <v>10</v>
      </c>
      <c r="F47" t="s">
        <v>11</v>
      </c>
      <c r="G47" t="s">
        <v>32</v>
      </c>
      <c r="H47" t="s">
        <v>2769</v>
      </c>
      <c r="I47" t="s">
        <v>2895</v>
      </c>
      <c r="J47" t="str">
        <f>IF(ISNUMBER(MATCH($D47,'Lopettaneet 2013-&gt;'!$D:$D,0)),INDEX('Lopettaneet 2013-&gt;'!$K:$K,MATCH($D47,'Lopettaneet 2013-&gt;'!$D:$D,0)),"Jatkaa")</f>
        <v>Jatkaa</v>
      </c>
      <c r="K47">
        <f ca="1">IF($J47="Jatkaa",DATEDIF($B47,TODAY(),"Y"),INDEX('Lopettaneet 2013-&gt;'!$L:$L,MATCH($D47,'Lopettaneet 2013-&gt;'!$D:$D,0)))</f>
        <v>10</v>
      </c>
      <c r="L47">
        <v>46</v>
      </c>
    </row>
    <row r="48" spans="1:12" x14ac:dyDescent="0.25">
      <c r="A48" t="s">
        <v>0</v>
      </c>
      <c r="B48" s="1">
        <v>41365</v>
      </c>
      <c r="C48" s="1">
        <v>44592</v>
      </c>
      <c r="D48" s="4" t="s">
        <v>333</v>
      </c>
      <c r="E48" t="s">
        <v>3</v>
      </c>
      <c r="F48" t="s">
        <v>4</v>
      </c>
      <c r="G48" t="s">
        <v>20</v>
      </c>
      <c r="H48" t="s">
        <v>2763</v>
      </c>
      <c r="I48" t="s">
        <v>2763</v>
      </c>
      <c r="J48" t="str">
        <f>IF(ISNUMBER(MATCH($D48,'Lopettaneet 2013-&gt;'!$D:$D,0)),INDEX('Lopettaneet 2013-&gt;'!$K:$K,MATCH($D48,'Lopettaneet 2013-&gt;'!$D:$D,0)),"Jatkaa")</f>
        <v>Merged</v>
      </c>
      <c r="K48">
        <f ca="1">IF($J48="Jatkaa",DATEDIF($B48,TODAY(),"Y"),INDEX('Lopettaneet 2013-&gt;'!$L:$L,MATCH($D48,'Lopettaneet 2013-&gt;'!$D:$D,0)))</f>
        <v>8</v>
      </c>
      <c r="L48">
        <v>47</v>
      </c>
    </row>
    <row r="49" spans="1:12" x14ac:dyDescent="0.25">
      <c r="A49" t="s">
        <v>0</v>
      </c>
      <c r="B49" s="1">
        <v>41365</v>
      </c>
      <c r="C49" s="1">
        <v>44592</v>
      </c>
      <c r="D49" s="4" t="s">
        <v>335</v>
      </c>
      <c r="E49" t="s">
        <v>3</v>
      </c>
      <c r="F49" t="s">
        <v>4</v>
      </c>
      <c r="G49" t="s">
        <v>50</v>
      </c>
      <c r="H49" t="s">
        <v>2763</v>
      </c>
      <c r="I49" t="s">
        <v>2763</v>
      </c>
      <c r="J49" t="str">
        <f>IF(ISNUMBER(MATCH($D49,'Lopettaneet 2013-&gt;'!$D:$D,0)),INDEX('Lopettaneet 2013-&gt;'!$K:$K,MATCH($D49,'Lopettaneet 2013-&gt;'!$D:$D,0)),"Jatkaa")</f>
        <v>Merged</v>
      </c>
      <c r="K49">
        <f ca="1">IF($J49="Jatkaa",DATEDIF($B49,TODAY(),"Y"),INDEX('Lopettaneet 2013-&gt;'!$L:$L,MATCH($D49,'Lopettaneet 2013-&gt;'!$D:$D,0)))</f>
        <v>8</v>
      </c>
      <c r="L49">
        <v>48</v>
      </c>
    </row>
    <row r="50" spans="1:12" x14ac:dyDescent="0.25">
      <c r="A50" t="s">
        <v>0</v>
      </c>
      <c r="B50" s="1">
        <v>41365</v>
      </c>
      <c r="C50" s="1">
        <v>43738</v>
      </c>
      <c r="D50" s="4" t="s">
        <v>337</v>
      </c>
      <c r="E50" t="s">
        <v>3</v>
      </c>
      <c r="F50" t="s">
        <v>4</v>
      </c>
      <c r="G50" t="s">
        <v>20</v>
      </c>
      <c r="H50" t="s">
        <v>2763</v>
      </c>
      <c r="I50" t="s">
        <v>2763</v>
      </c>
      <c r="J50" t="str">
        <f>IF(ISNUMBER(MATCH($D50,'Lopettaneet 2013-&gt;'!$D:$D,0)),INDEX('Lopettaneet 2013-&gt;'!$K:$K,MATCH($D50,'Lopettaneet 2013-&gt;'!$D:$D,0)),"Jatkaa")</f>
        <v>Merged</v>
      </c>
      <c r="K50">
        <f ca="1">IF($J50="Jatkaa",DATEDIF($B50,TODAY(),"Y"),INDEX('Lopettaneet 2013-&gt;'!$L:$L,MATCH($D50,'Lopettaneet 2013-&gt;'!$D:$D,0)))</f>
        <v>6</v>
      </c>
      <c r="L50">
        <v>49</v>
      </c>
    </row>
    <row r="51" spans="1:12" x14ac:dyDescent="0.25">
      <c r="A51" t="s">
        <v>0</v>
      </c>
      <c r="B51" s="1">
        <v>41365</v>
      </c>
      <c r="C51" s="1">
        <v>55153</v>
      </c>
      <c r="D51" s="4" t="s">
        <v>339</v>
      </c>
      <c r="E51" t="s">
        <v>3</v>
      </c>
      <c r="F51" t="s">
        <v>4</v>
      </c>
      <c r="G51" t="s">
        <v>20</v>
      </c>
      <c r="H51" t="s">
        <v>2773</v>
      </c>
      <c r="I51" t="s">
        <v>2894</v>
      </c>
      <c r="J51" t="str">
        <f>IF(ISNUMBER(MATCH($D51,'Lopettaneet 2013-&gt;'!$D:$D,0)),INDEX('Lopettaneet 2013-&gt;'!$K:$K,MATCH($D51,'Lopettaneet 2013-&gt;'!$D:$D,0)),"Jatkaa")</f>
        <v>Merged</v>
      </c>
      <c r="K51">
        <f ca="1">IF($J51="Jatkaa",DATEDIF($B51,TODAY(),"Y"),INDEX('Lopettaneet 2013-&gt;'!$L:$L,MATCH($D51,'Lopettaneet 2013-&gt;'!$D:$D,0)))</f>
        <v>11</v>
      </c>
      <c r="L51">
        <v>50</v>
      </c>
    </row>
    <row r="52" spans="1:12" x14ac:dyDescent="0.25">
      <c r="A52" t="s">
        <v>0</v>
      </c>
      <c r="B52" s="1">
        <v>41426</v>
      </c>
      <c r="C52" s="1">
        <v>55153</v>
      </c>
      <c r="D52" s="4" t="s">
        <v>341</v>
      </c>
      <c r="E52" t="s">
        <v>10</v>
      </c>
      <c r="F52" t="s">
        <v>4</v>
      </c>
      <c r="G52" t="s">
        <v>32</v>
      </c>
      <c r="H52" t="s">
        <v>2764</v>
      </c>
      <c r="I52" t="s">
        <v>2894</v>
      </c>
      <c r="J52" t="str">
        <f>IF(ISNUMBER(MATCH($D52,'Lopettaneet 2013-&gt;'!$D:$D,0)),INDEX('Lopettaneet 2013-&gt;'!$K:$K,MATCH($D52,'Lopettaneet 2013-&gt;'!$D:$D,0)),"Jatkaa")</f>
        <v>Jatkaa</v>
      </c>
      <c r="K52">
        <f ca="1">IF($J52="Jatkaa",DATEDIF($B52,TODAY(),"Y"),INDEX('Lopettaneet 2013-&gt;'!$L:$L,MATCH($D52,'Lopettaneet 2013-&gt;'!$D:$D,0)))</f>
        <v>11</v>
      </c>
      <c r="L52">
        <v>51</v>
      </c>
    </row>
    <row r="53" spans="1:12" x14ac:dyDescent="0.25">
      <c r="A53" t="s">
        <v>0</v>
      </c>
      <c r="B53" s="1">
        <v>41426</v>
      </c>
      <c r="C53" s="1">
        <v>55153</v>
      </c>
      <c r="D53" s="4" t="s">
        <v>343</v>
      </c>
      <c r="E53" t="s">
        <v>10</v>
      </c>
      <c r="F53" t="s">
        <v>4</v>
      </c>
      <c r="G53" t="s">
        <v>32</v>
      </c>
      <c r="H53" t="s">
        <v>2775</v>
      </c>
      <c r="I53" t="s">
        <v>2894</v>
      </c>
      <c r="J53" t="str">
        <f>IF(ISNUMBER(MATCH($D53,'Lopettaneet 2013-&gt;'!$D:$D,0)),INDEX('Lopettaneet 2013-&gt;'!$K:$K,MATCH($D53,'Lopettaneet 2013-&gt;'!$D:$D,0)),"Jatkaa")</f>
        <v>Jatkaa</v>
      </c>
      <c r="K53">
        <f ca="1">IF($J53="Jatkaa",DATEDIF($B53,TODAY(),"Y"),INDEX('Lopettaneet 2013-&gt;'!$L:$L,MATCH($D53,'Lopettaneet 2013-&gt;'!$D:$D,0)))</f>
        <v>11</v>
      </c>
      <c r="L53">
        <v>52</v>
      </c>
    </row>
    <row r="54" spans="1:12" x14ac:dyDescent="0.25">
      <c r="A54" t="s">
        <v>0</v>
      </c>
      <c r="B54" s="1">
        <v>41518</v>
      </c>
      <c r="C54" s="1">
        <v>55153</v>
      </c>
      <c r="D54" s="4" t="s">
        <v>345</v>
      </c>
      <c r="E54" t="s">
        <v>3</v>
      </c>
      <c r="F54" t="s">
        <v>4</v>
      </c>
      <c r="G54" t="s">
        <v>20</v>
      </c>
      <c r="H54" t="s">
        <v>2765</v>
      </c>
      <c r="I54" t="s">
        <v>2894</v>
      </c>
      <c r="J54" t="str">
        <f>IF(ISNUMBER(MATCH($D54,'Lopettaneet 2013-&gt;'!$D:$D,0)),INDEX('Lopettaneet 2013-&gt;'!$K:$K,MATCH($D54,'Lopettaneet 2013-&gt;'!$D:$D,0)),"Jatkaa")</f>
        <v>Jatkaa</v>
      </c>
      <c r="K54">
        <f ca="1">IF($J54="Jatkaa",DATEDIF($B54,TODAY(),"Y"),INDEX('Lopettaneet 2013-&gt;'!$L:$L,MATCH($D54,'Lopettaneet 2013-&gt;'!$D:$D,0)))</f>
        <v>11</v>
      </c>
      <c r="L54">
        <v>53</v>
      </c>
    </row>
    <row r="55" spans="1:12" x14ac:dyDescent="0.25">
      <c r="A55" t="s">
        <v>0</v>
      </c>
      <c r="B55" s="1">
        <v>41456</v>
      </c>
      <c r="C55" s="1">
        <v>55153</v>
      </c>
      <c r="D55" s="4" t="s">
        <v>347</v>
      </c>
      <c r="E55" t="s">
        <v>3</v>
      </c>
      <c r="F55" t="s">
        <v>4</v>
      </c>
      <c r="G55" t="s">
        <v>20</v>
      </c>
      <c r="H55" t="s">
        <v>2764</v>
      </c>
      <c r="I55" t="s">
        <v>2894</v>
      </c>
      <c r="J55" t="str">
        <f>IF(ISNUMBER(MATCH($D55,'Lopettaneet 2013-&gt;'!$D:$D,0)),INDEX('Lopettaneet 2013-&gt;'!$K:$K,MATCH($D55,'Lopettaneet 2013-&gt;'!$D:$D,0)),"Jatkaa")</f>
        <v>Jatkaa</v>
      </c>
      <c r="K55">
        <f ca="1">IF($J55="Jatkaa",DATEDIF($B55,TODAY(),"Y"),INDEX('Lopettaneet 2013-&gt;'!$L:$L,MATCH($D55,'Lopettaneet 2013-&gt;'!$D:$D,0)))</f>
        <v>11</v>
      </c>
      <c r="L55">
        <v>54</v>
      </c>
    </row>
    <row r="56" spans="1:12" x14ac:dyDescent="0.25">
      <c r="A56" t="s">
        <v>0</v>
      </c>
      <c r="B56" s="1">
        <v>41548</v>
      </c>
      <c r="C56" s="1">
        <v>55153</v>
      </c>
      <c r="D56" s="4" t="s">
        <v>349</v>
      </c>
      <c r="E56" t="s">
        <v>3</v>
      </c>
      <c r="F56" t="s">
        <v>4</v>
      </c>
      <c r="G56" t="s">
        <v>50</v>
      </c>
      <c r="H56" t="s">
        <v>2771</v>
      </c>
      <c r="I56" t="s">
        <v>2894</v>
      </c>
      <c r="J56" t="str">
        <f>IF(ISNUMBER(MATCH($D56,'Lopettaneet 2013-&gt;'!$D:$D,0)),INDEX('Lopettaneet 2013-&gt;'!$K:$K,MATCH($D56,'Lopettaneet 2013-&gt;'!$D:$D,0)),"Jatkaa")</f>
        <v>Jatkaa</v>
      </c>
      <c r="K56">
        <f ca="1">IF($J56="Jatkaa",DATEDIF($B56,TODAY(),"Y"),INDEX('Lopettaneet 2013-&gt;'!$L:$L,MATCH($D56,'Lopettaneet 2013-&gt;'!$D:$D,0)))</f>
        <v>11</v>
      </c>
      <c r="L56">
        <v>55</v>
      </c>
    </row>
    <row r="57" spans="1:12" x14ac:dyDescent="0.25">
      <c r="A57" t="s">
        <v>0</v>
      </c>
      <c r="B57" s="1">
        <v>41548</v>
      </c>
      <c r="C57" s="1">
        <v>55153</v>
      </c>
      <c r="D57" s="4" t="s">
        <v>351</v>
      </c>
      <c r="E57" t="s">
        <v>3</v>
      </c>
      <c r="F57" t="s">
        <v>4</v>
      </c>
      <c r="G57" t="s">
        <v>20</v>
      </c>
      <c r="H57" t="s">
        <v>2771</v>
      </c>
      <c r="I57" t="s">
        <v>2894</v>
      </c>
      <c r="J57" t="str">
        <f>IF(ISNUMBER(MATCH($D57,'Lopettaneet 2013-&gt;'!$D:$D,0)),INDEX('Lopettaneet 2013-&gt;'!$K:$K,MATCH($D57,'Lopettaneet 2013-&gt;'!$D:$D,0)),"Jatkaa")</f>
        <v>Jatkaa</v>
      </c>
      <c r="K57">
        <f ca="1">IF($J57="Jatkaa",DATEDIF($B57,TODAY(),"Y"),INDEX('Lopettaneet 2013-&gt;'!$L:$L,MATCH($D57,'Lopettaneet 2013-&gt;'!$D:$D,0)))</f>
        <v>11</v>
      </c>
      <c r="L57">
        <v>56</v>
      </c>
    </row>
    <row r="58" spans="1:12" x14ac:dyDescent="0.25">
      <c r="A58" t="s">
        <v>0</v>
      </c>
      <c r="B58" s="1">
        <v>41487</v>
      </c>
      <c r="C58" s="1">
        <v>42551</v>
      </c>
      <c r="D58" s="4" t="s">
        <v>353</v>
      </c>
      <c r="E58" t="s">
        <v>10</v>
      </c>
      <c r="F58" t="s">
        <v>4</v>
      </c>
      <c r="G58" t="s">
        <v>20</v>
      </c>
      <c r="H58" t="s">
        <v>2763</v>
      </c>
      <c r="I58" t="s">
        <v>2763</v>
      </c>
      <c r="J58" t="str">
        <f>IF(ISNUMBER(MATCH($D58,'Lopettaneet 2013-&gt;'!$D:$D,0)),INDEX('Lopettaneet 2013-&gt;'!$K:$K,MATCH($D58,'Lopettaneet 2013-&gt;'!$D:$D,0)),"Jatkaa")</f>
        <v>Merged</v>
      </c>
      <c r="K58">
        <f ca="1">IF($J58="Jatkaa",DATEDIF($B58,TODAY(),"Y"),INDEX('Lopettaneet 2013-&gt;'!$L:$L,MATCH($D58,'Lopettaneet 2013-&gt;'!$D:$D,0)))</f>
        <v>2</v>
      </c>
      <c r="L58">
        <v>57</v>
      </c>
    </row>
    <row r="59" spans="1:12" x14ac:dyDescent="0.25">
      <c r="A59" t="s">
        <v>0</v>
      </c>
      <c r="B59" s="1">
        <v>41518</v>
      </c>
      <c r="C59" s="1">
        <v>42674</v>
      </c>
      <c r="D59" s="4" t="s">
        <v>355</v>
      </c>
      <c r="E59" t="s">
        <v>3</v>
      </c>
      <c r="F59" t="s">
        <v>4</v>
      </c>
      <c r="G59" t="s">
        <v>20</v>
      </c>
      <c r="H59" t="s">
        <v>2763</v>
      </c>
      <c r="I59" t="s">
        <v>2763</v>
      </c>
      <c r="J59" t="str">
        <f>IF(ISNUMBER(MATCH($D59,'Lopettaneet 2013-&gt;'!$D:$D,0)),INDEX('Lopettaneet 2013-&gt;'!$K:$K,MATCH($D59,'Lopettaneet 2013-&gt;'!$D:$D,0)),"Jatkaa")</f>
        <v>Closed</v>
      </c>
      <c r="K59">
        <f ca="1">IF($J59="Jatkaa",DATEDIF($B59,TODAY(),"Y"),INDEX('Lopettaneet 2013-&gt;'!$L:$L,MATCH($D59,'Lopettaneet 2013-&gt;'!$D:$D,0)))</f>
        <v>3</v>
      </c>
      <c r="L59">
        <v>58</v>
      </c>
    </row>
    <row r="60" spans="1:12" x14ac:dyDescent="0.25">
      <c r="A60" t="s">
        <v>0</v>
      </c>
      <c r="B60" s="1">
        <v>41518</v>
      </c>
      <c r="C60" s="1">
        <v>42674</v>
      </c>
      <c r="D60" s="4" t="s">
        <v>357</v>
      </c>
      <c r="E60" t="s">
        <v>3</v>
      </c>
      <c r="F60" t="s">
        <v>4</v>
      </c>
      <c r="G60" t="s">
        <v>20</v>
      </c>
      <c r="H60" t="s">
        <v>2763</v>
      </c>
      <c r="I60" t="s">
        <v>2763</v>
      </c>
      <c r="J60" t="str">
        <f>IF(ISNUMBER(MATCH($D60,'Lopettaneet 2013-&gt;'!$D:$D,0)),INDEX('Lopettaneet 2013-&gt;'!$K:$K,MATCH($D60,'Lopettaneet 2013-&gt;'!$D:$D,0)),"Jatkaa")</f>
        <v>Closed</v>
      </c>
      <c r="K60">
        <f ca="1">IF($J60="Jatkaa",DATEDIF($B60,TODAY(),"Y"),INDEX('Lopettaneet 2013-&gt;'!$L:$L,MATCH($D60,'Lopettaneet 2013-&gt;'!$D:$D,0)))</f>
        <v>3</v>
      </c>
      <c r="L60">
        <v>59</v>
      </c>
    </row>
    <row r="61" spans="1:12" x14ac:dyDescent="0.25">
      <c r="A61" t="s">
        <v>0</v>
      </c>
      <c r="B61" s="1">
        <v>41548</v>
      </c>
      <c r="C61" s="1">
        <v>55153</v>
      </c>
      <c r="D61" s="4" t="s">
        <v>359</v>
      </c>
      <c r="E61" t="s">
        <v>3</v>
      </c>
      <c r="F61" t="s">
        <v>4</v>
      </c>
      <c r="G61" t="s">
        <v>20</v>
      </c>
      <c r="H61" t="s">
        <v>2767</v>
      </c>
      <c r="I61" t="s">
        <v>2894</v>
      </c>
      <c r="J61" t="str">
        <f>IF(ISNUMBER(MATCH($D61,'Lopettaneet 2013-&gt;'!$D:$D,0)),INDEX('Lopettaneet 2013-&gt;'!$K:$K,MATCH($D61,'Lopettaneet 2013-&gt;'!$D:$D,0)),"Jatkaa")</f>
        <v>Jatkaa</v>
      </c>
      <c r="K61">
        <f ca="1">IF($J61="Jatkaa",DATEDIF($B61,TODAY(),"Y"),INDEX('Lopettaneet 2013-&gt;'!$L:$L,MATCH($D61,'Lopettaneet 2013-&gt;'!$D:$D,0)))</f>
        <v>11</v>
      </c>
      <c r="L61">
        <v>60</v>
      </c>
    </row>
    <row r="62" spans="1:12" x14ac:dyDescent="0.25">
      <c r="A62" t="s">
        <v>0</v>
      </c>
      <c r="B62" s="1">
        <v>41548</v>
      </c>
      <c r="C62" s="1">
        <v>55153</v>
      </c>
      <c r="D62" s="4" t="s">
        <v>361</v>
      </c>
      <c r="E62" t="s">
        <v>3</v>
      </c>
      <c r="F62" t="s">
        <v>4</v>
      </c>
      <c r="G62" t="s">
        <v>50</v>
      </c>
      <c r="H62" t="s">
        <v>2776</v>
      </c>
      <c r="I62" t="s">
        <v>2894</v>
      </c>
      <c r="J62" t="str">
        <f>IF(ISNUMBER(MATCH($D62,'Lopettaneet 2013-&gt;'!$D:$D,0)),INDEX('Lopettaneet 2013-&gt;'!$K:$K,MATCH($D62,'Lopettaneet 2013-&gt;'!$D:$D,0)),"Jatkaa")</f>
        <v>Jatkaa</v>
      </c>
      <c r="K62">
        <f ca="1">IF($J62="Jatkaa",DATEDIF($B62,TODAY(),"Y"),INDEX('Lopettaneet 2013-&gt;'!$L:$L,MATCH($D62,'Lopettaneet 2013-&gt;'!$D:$D,0)))</f>
        <v>11</v>
      </c>
      <c r="L62">
        <v>61</v>
      </c>
    </row>
    <row r="63" spans="1:12" x14ac:dyDescent="0.25">
      <c r="A63" t="s">
        <v>0</v>
      </c>
      <c r="B63" s="1">
        <v>41548</v>
      </c>
      <c r="C63" s="1">
        <v>43069</v>
      </c>
      <c r="D63" s="4" t="s">
        <v>363</v>
      </c>
      <c r="E63" t="s">
        <v>3</v>
      </c>
      <c r="F63" t="s">
        <v>4</v>
      </c>
      <c r="G63" t="s">
        <v>50</v>
      </c>
      <c r="H63" t="s">
        <v>2763</v>
      </c>
      <c r="I63" t="s">
        <v>2763</v>
      </c>
      <c r="J63" t="str">
        <f>IF(ISNUMBER(MATCH($D63,'Lopettaneet 2013-&gt;'!$D:$D,0)),INDEX('Lopettaneet 2013-&gt;'!$K:$K,MATCH($D63,'Lopettaneet 2013-&gt;'!$D:$D,0)),"Jatkaa")</f>
        <v>Closed</v>
      </c>
      <c r="K63">
        <f ca="1">IF($J63="Jatkaa",DATEDIF($B63,TODAY(),"Y"),INDEX('Lopettaneet 2013-&gt;'!$L:$L,MATCH($D63,'Lopettaneet 2013-&gt;'!$D:$D,0)))</f>
        <v>4</v>
      </c>
      <c r="L63">
        <v>62</v>
      </c>
    </row>
    <row r="64" spans="1:12" x14ac:dyDescent="0.25">
      <c r="A64" t="s">
        <v>0</v>
      </c>
      <c r="B64" s="1">
        <v>41548</v>
      </c>
      <c r="C64" s="1">
        <v>42794</v>
      </c>
      <c r="D64" s="4" t="s">
        <v>365</v>
      </c>
      <c r="E64" t="s">
        <v>3</v>
      </c>
      <c r="F64" t="s">
        <v>4</v>
      </c>
      <c r="G64" t="s">
        <v>20</v>
      </c>
      <c r="H64" t="s">
        <v>2763</v>
      </c>
      <c r="I64" t="s">
        <v>2763</v>
      </c>
      <c r="J64" t="str">
        <f>IF(ISNUMBER(MATCH($D64,'Lopettaneet 2013-&gt;'!$D:$D,0)),INDEX('Lopettaneet 2013-&gt;'!$K:$K,MATCH($D64,'Lopettaneet 2013-&gt;'!$D:$D,0)),"Jatkaa")</f>
        <v>Closed</v>
      </c>
      <c r="K64">
        <f ca="1">IF($J64="Jatkaa",DATEDIF($B64,TODAY(),"Y"),INDEX('Lopettaneet 2013-&gt;'!$L:$L,MATCH($D64,'Lopettaneet 2013-&gt;'!$D:$D,0)))</f>
        <v>3</v>
      </c>
      <c r="L64">
        <v>63</v>
      </c>
    </row>
    <row r="65" spans="1:12" x14ac:dyDescent="0.25">
      <c r="A65" t="s">
        <v>0</v>
      </c>
      <c r="B65" s="1">
        <v>41579</v>
      </c>
      <c r="C65" s="1">
        <v>55153</v>
      </c>
      <c r="D65" s="4" t="s">
        <v>367</v>
      </c>
      <c r="E65" t="s">
        <v>3</v>
      </c>
      <c r="F65" t="s">
        <v>4</v>
      </c>
      <c r="G65" t="s">
        <v>50</v>
      </c>
      <c r="H65" t="s">
        <v>2767</v>
      </c>
      <c r="I65" t="s">
        <v>2763</v>
      </c>
      <c r="J65" t="str">
        <f>IF(ISNUMBER(MATCH($D65,'Lopettaneet 2013-&gt;'!$D:$D,0)),INDEX('Lopettaneet 2013-&gt;'!$K:$K,MATCH($D65,'Lopettaneet 2013-&gt;'!$D:$D,0)),"Jatkaa")</f>
        <v>Jatkaa</v>
      </c>
      <c r="K65">
        <f ca="1">IF($J65="Jatkaa",DATEDIF($B65,TODAY(),"Y"),INDEX('Lopettaneet 2013-&gt;'!$L:$L,MATCH($D65,'Lopettaneet 2013-&gt;'!$D:$D,0)))</f>
        <v>11</v>
      </c>
      <c r="L65">
        <v>64</v>
      </c>
    </row>
    <row r="66" spans="1:12" x14ac:dyDescent="0.25">
      <c r="A66" t="s">
        <v>0</v>
      </c>
      <c r="B66" s="1">
        <v>41609</v>
      </c>
      <c r="C66" s="1">
        <v>55153</v>
      </c>
      <c r="D66" s="4" t="s">
        <v>369</v>
      </c>
      <c r="E66" t="s">
        <v>10</v>
      </c>
      <c r="F66" t="s">
        <v>4</v>
      </c>
      <c r="G66" t="s">
        <v>20</v>
      </c>
      <c r="H66" t="s">
        <v>2777</v>
      </c>
      <c r="I66" t="s">
        <v>2894</v>
      </c>
      <c r="J66" t="str">
        <f>IF(ISNUMBER(MATCH($D66,'Lopettaneet 2013-&gt;'!$D:$D,0)),INDEX('Lopettaneet 2013-&gt;'!$K:$K,MATCH($D66,'Lopettaneet 2013-&gt;'!$D:$D,0)),"Jatkaa")</f>
        <v>Jatkaa</v>
      </c>
      <c r="K66">
        <f ca="1">IF($J66="Jatkaa",DATEDIF($B66,TODAY(),"Y"),INDEX('Lopettaneet 2013-&gt;'!$L:$L,MATCH($D66,'Lopettaneet 2013-&gt;'!$D:$D,0)))</f>
        <v>11</v>
      </c>
      <c r="L66">
        <v>65</v>
      </c>
    </row>
    <row r="67" spans="1:12" x14ac:dyDescent="0.25">
      <c r="A67" t="s">
        <v>0</v>
      </c>
      <c r="B67" s="1">
        <v>41609</v>
      </c>
      <c r="C67" s="1">
        <v>43982</v>
      </c>
      <c r="D67" s="4" t="s">
        <v>371</v>
      </c>
      <c r="E67" t="s">
        <v>10</v>
      </c>
      <c r="F67" t="s">
        <v>4</v>
      </c>
      <c r="G67" t="s">
        <v>50</v>
      </c>
      <c r="H67" t="s">
        <v>2763</v>
      </c>
      <c r="I67" t="s">
        <v>2763</v>
      </c>
      <c r="J67" t="str">
        <f>IF(ISNUMBER(MATCH($D67,'Lopettaneet 2013-&gt;'!$D:$D,0)),INDEX('Lopettaneet 2013-&gt;'!$K:$K,MATCH($D67,'Lopettaneet 2013-&gt;'!$D:$D,0)),"Jatkaa")</f>
        <v>Merged</v>
      </c>
      <c r="K67">
        <f ca="1">IF($J67="Jatkaa",DATEDIF($B67,TODAY(),"Y"),INDEX('Lopettaneet 2013-&gt;'!$L:$L,MATCH($D67,'Lopettaneet 2013-&gt;'!$D:$D,0)))</f>
        <v>6</v>
      </c>
      <c r="L67">
        <v>66</v>
      </c>
    </row>
    <row r="68" spans="1:12" x14ac:dyDescent="0.25">
      <c r="A68" t="s">
        <v>0</v>
      </c>
      <c r="B68" s="1">
        <v>41609</v>
      </c>
      <c r="C68" s="1">
        <v>55153</v>
      </c>
      <c r="D68" s="4" t="s">
        <v>373</v>
      </c>
      <c r="E68" t="s">
        <v>10</v>
      </c>
      <c r="F68" t="s">
        <v>4</v>
      </c>
      <c r="G68" t="s">
        <v>32</v>
      </c>
      <c r="H68" t="s">
        <v>2765</v>
      </c>
      <c r="I68" t="s">
        <v>2894</v>
      </c>
      <c r="J68" t="str">
        <f>IF(ISNUMBER(MATCH($D68,'Lopettaneet 2013-&gt;'!$D:$D,0)),INDEX('Lopettaneet 2013-&gt;'!$K:$K,MATCH($D68,'Lopettaneet 2013-&gt;'!$D:$D,0)),"Jatkaa")</f>
        <v>Jatkaa</v>
      </c>
      <c r="K68">
        <f ca="1">IF($J68="Jatkaa",DATEDIF($B68,TODAY(),"Y"),INDEX('Lopettaneet 2013-&gt;'!$L:$L,MATCH($D68,'Lopettaneet 2013-&gt;'!$D:$D,0)))</f>
        <v>11</v>
      </c>
      <c r="L68">
        <v>67</v>
      </c>
    </row>
    <row r="69" spans="1:12" x14ac:dyDescent="0.25">
      <c r="A69" t="s">
        <v>0</v>
      </c>
      <c r="B69" s="1">
        <v>41671</v>
      </c>
      <c r="C69" s="1">
        <v>55153</v>
      </c>
      <c r="D69" s="4" t="s">
        <v>375</v>
      </c>
      <c r="E69" t="s">
        <v>3</v>
      </c>
      <c r="F69" t="s">
        <v>4</v>
      </c>
      <c r="G69" t="s">
        <v>20</v>
      </c>
      <c r="H69" t="s">
        <v>2764</v>
      </c>
      <c r="I69" t="s">
        <v>2894</v>
      </c>
      <c r="J69" t="str">
        <f>IF(ISNUMBER(MATCH($D69,'Lopettaneet 2013-&gt;'!$D:$D,0)),INDEX('Lopettaneet 2013-&gt;'!$K:$K,MATCH($D69,'Lopettaneet 2013-&gt;'!$D:$D,0)),"Jatkaa")</f>
        <v>Jatkaa</v>
      </c>
      <c r="K69">
        <f ca="1">IF($J69="Jatkaa",DATEDIF($B69,TODAY(),"Y"),INDEX('Lopettaneet 2013-&gt;'!$L:$L,MATCH($D69,'Lopettaneet 2013-&gt;'!$D:$D,0)))</f>
        <v>11</v>
      </c>
      <c r="L69">
        <v>68</v>
      </c>
    </row>
    <row r="70" spans="1:12" x14ac:dyDescent="0.25">
      <c r="A70" t="s">
        <v>0</v>
      </c>
      <c r="B70" s="1">
        <v>41730</v>
      </c>
      <c r="C70" s="1">
        <v>43069</v>
      </c>
      <c r="D70" s="4" t="s">
        <v>377</v>
      </c>
      <c r="E70" t="s">
        <v>3</v>
      </c>
      <c r="F70" t="s">
        <v>4</v>
      </c>
      <c r="G70" t="s">
        <v>50</v>
      </c>
      <c r="H70" t="s">
        <v>2763</v>
      </c>
      <c r="I70" t="s">
        <v>2763</v>
      </c>
      <c r="J70" t="str">
        <f>IF(ISNUMBER(MATCH($D70,'Lopettaneet 2013-&gt;'!$D:$D,0)),INDEX('Lopettaneet 2013-&gt;'!$K:$K,MATCH($D70,'Lopettaneet 2013-&gt;'!$D:$D,0)),"Jatkaa")</f>
        <v>Closed</v>
      </c>
      <c r="K70">
        <f ca="1">IF($J70="Jatkaa",DATEDIF($B70,TODAY(),"Y"),INDEX('Lopettaneet 2013-&gt;'!$L:$L,MATCH($D70,'Lopettaneet 2013-&gt;'!$D:$D,0)))</f>
        <v>3</v>
      </c>
      <c r="L70">
        <v>69</v>
      </c>
    </row>
    <row r="71" spans="1:12" x14ac:dyDescent="0.25">
      <c r="A71" t="s">
        <v>0</v>
      </c>
      <c r="B71" s="1">
        <v>41640</v>
      </c>
      <c r="C71" s="1">
        <v>43496</v>
      </c>
      <c r="D71" s="4" t="s">
        <v>379</v>
      </c>
      <c r="E71" t="s">
        <v>10</v>
      </c>
      <c r="F71" t="s">
        <v>4</v>
      </c>
      <c r="G71" t="s">
        <v>29</v>
      </c>
      <c r="H71" t="s">
        <v>2763</v>
      </c>
      <c r="I71" t="s">
        <v>2763</v>
      </c>
      <c r="J71" t="str">
        <f>IF(ISNUMBER(MATCH($D71,'Lopettaneet 2013-&gt;'!$D:$D,0)),INDEX('Lopettaneet 2013-&gt;'!$K:$K,MATCH($D71,'Lopettaneet 2013-&gt;'!$D:$D,0)),"Jatkaa")</f>
        <v>Closed</v>
      </c>
      <c r="K71">
        <f ca="1">IF($J71="Jatkaa",DATEDIF($B71,TODAY(),"Y"),INDEX('Lopettaneet 2013-&gt;'!$L:$L,MATCH($D71,'Lopettaneet 2013-&gt;'!$D:$D,0)))</f>
        <v>5</v>
      </c>
      <c r="L71">
        <v>70</v>
      </c>
    </row>
    <row r="72" spans="1:12" x14ac:dyDescent="0.25">
      <c r="A72" t="s">
        <v>0</v>
      </c>
      <c r="B72" s="1">
        <v>41640</v>
      </c>
      <c r="C72" s="1">
        <v>55153</v>
      </c>
      <c r="D72" s="4" t="s">
        <v>381</v>
      </c>
      <c r="E72" t="s">
        <v>3</v>
      </c>
      <c r="F72" t="s">
        <v>4</v>
      </c>
      <c r="G72" t="s">
        <v>50</v>
      </c>
      <c r="H72" t="s">
        <v>2778</v>
      </c>
      <c r="I72" t="s">
        <v>2894</v>
      </c>
      <c r="J72" t="str">
        <f>IF(ISNUMBER(MATCH($D72,'Lopettaneet 2013-&gt;'!$D:$D,0)),INDEX('Lopettaneet 2013-&gt;'!$K:$K,MATCH($D72,'Lopettaneet 2013-&gt;'!$D:$D,0)),"Jatkaa")</f>
        <v>Jatkaa</v>
      </c>
      <c r="K72">
        <f ca="1">IF($J72="Jatkaa",DATEDIF($B72,TODAY(),"Y"),INDEX('Lopettaneet 2013-&gt;'!$L:$L,MATCH($D72,'Lopettaneet 2013-&gt;'!$D:$D,0)))</f>
        <v>11</v>
      </c>
      <c r="L72">
        <v>71</v>
      </c>
    </row>
    <row r="73" spans="1:12" x14ac:dyDescent="0.25">
      <c r="A73" t="s">
        <v>0</v>
      </c>
      <c r="B73" s="1">
        <v>41640</v>
      </c>
      <c r="C73" s="1">
        <v>43404</v>
      </c>
      <c r="D73" s="4" t="s">
        <v>383</v>
      </c>
      <c r="E73" t="s">
        <v>10</v>
      </c>
      <c r="F73" t="s">
        <v>4</v>
      </c>
      <c r="G73" t="s">
        <v>20</v>
      </c>
      <c r="H73" t="s">
        <v>2763</v>
      </c>
      <c r="I73" t="s">
        <v>2763</v>
      </c>
      <c r="J73" t="str">
        <f>IF(ISNUMBER(MATCH($D73,'Lopettaneet 2013-&gt;'!$D:$D,0)),INDEX('Lopettaneet 2013-&gt;'!$K:$K,MATCH($D73,'Lopettaneet 2013-&gt;'!$D:$D,0)),"Jatkaa")</f>
        <v>Merged</v>
      </c>
      <c r="K73">
        <f ca="1">IF($J73="Jatkaa",DATEDIF($B73,TODAY(),"Y"),INDEX('Lopettaneet 2013-&gt;'!$L:$L,MATCH($D73,'Lopettaneet 2013-&gt;'!$D:$D,0)))</f>
        <v>4</v>
      </c>
      <c r="L73">
        <v>72</v>
      </c>
    </row>
    <row r="74" spans="1:12" x14ac:dyDescent="0.25">
      <c r="A74" t="s">
        <v>7</v>
      </c>
      <c r="B74" s="1">
        <v>41974</v>
      </c>
      <c r="C74" s="1">
        <v>42643</v>
      </c>
      <c r="D74" s="4" t="s">
        <v>385</v>
      </c>
      <c r="E74" t="s">
        <v>10</v>
      </c>
      <c r="F74" t="s">
        <v>11</v>
      </c>
      <c r="G74" t="s">
        <v>12</v>
      </c>
      <c r="H74" t="s">
        <v>2763</v>
      </c>
      <c r="I74" t="s">
        <v>2763</v>
      </c>
      <c r="J74" t="str">
        <f>IF(ISNUMBER(MATCH($D74,'Lopettaneet 2013-&gt;'!$D:$D,0)),INDEX('Lopettaneet 2013-&gt;'!$K:$K,MATCH($D74,'Lopettaneet 2013-&gt;'!$D:$D,0)),"Jatkaa")</f>
        <v>Closed</v>
      </c>
      <c r="K74">
        <f ca="1">IF($J74="Jatkaa",DATEDIF($B74,TODAY(),"Y"),INDEX('Lopettaneet 2013-&gt;'!$L:$L,MATCH($D74,'Lopettaneet 2013-&gt;'!$D:$D,0)))</f>
        <v>1</v>
      </c>
      <c r="L74">
        <v>73</v>
      </c>
    </row>
    <row r="75" spans="1:12" x14ac:dyDescent="0.25">
      <c r="A75" t="s">
        <v>7</v>
      </c>
      <c r="B75" s="1">
        <v>41974</v>
      </c>
      <c r="C75" s="1">
        <v>55153</v>
      </c>
      <c r="D75" s="4" t="s">
        <v>387</v>
      </c>
      <c r="E75" t="s">
        <v>10</v>
      </c>
      <c r="F75" t="s">
        <v>11</v>
      </c>
      <c r="G75" t="s">
        <v>80</v>
      </c>
      <c r="H75" t="s">
        <v>2779</v>
      </c>
      <c r="I75" t="s">
        <v>2895</v>
      </c>
      <c r="J75" t="str">
        <f>IF(ISNUMBER(MATCH($D75,'Lopettaneet 2013-&gt;'!$D:$D,0)),INDEX('Lopettaneet 2013-&gt;'!$K:$K,MATCH($D75,'Lopettaneet 2013-&gt;'!$D:$D,0)),"Jatkaa")</f>
        <v>Jatkaa</v>
      </c>
      <c r="K75">
        <f ca="1">IF($J75="Jatkaa",DATEDIF($B75,TODAY(),"Y"),INDEX('Lopettaneet 2013-&gt;'!$L:$L,MATCH($D75,'Lopettaneet 2013-&gt;'!$D:$D,0)))</f>
        <v>10</v>
      </c>
      <c r="L75">
        <v>74</v>
      </c>
    </row>
    <row r="76" spans="1:12" x14ac:dyDescent="0.25">
      <c r="A76" t="s">
        <v>7</v>
      </c>
      <c r="B76" s="1">
        <v>41974</v>
      </c>
      <c r="C76" s="1">
        <v>55153</v>
      </c>
      <c r="D76" s="4" t="s">
        <v>389</v>
      </c>
      <c r="E76" t="s">
        <v>10</v>
      </c>
      <c r="F76" t="s">
        <v>11</v>
      </c>
      <c r="G76" t="s">
        <v>12</v>
      </c>
      <c r="H76" t="s">
        <v>2780</v>
      </c>
      <c r="I76" t="s">
        <v>2895</v>
      </c>
      <c r="J76" t="str">
        <f>IF(ISNUMBER(MATCH($D76,'Lopettaneet 2013-&gt;'!$D:$D,0)),INDEX('Lopettaneet 2013-&gt;'!$K:$K,MATCH($D76,'Lopettaneet 2013-&gt;'!$D:$D,0)),"Jatkaa")</f>
        <v>Jatkaa</v>
      </c>
      <c r="K76">
        <f ca="1">IF($J76="Jatkaa",DATEDIF($B76,TODAY(),"Y"),INDEX('Lopettaneet 2013-&gt;'!$L:$L,MATCH($D76,'Lopettaneet 2013-&gt;'!$D:$D,0)))</f>
        <v>10</v>
      </c>
      <c r="L76">
        <v>75</v>
      </c>
    </row>
    <row r="77" spans="1:12" x14ac:dyDescent="0.25">
      <c r="A77" t="s">
        <v>7</v>
      </c>
      <c r="B77" s="1">
        <v>41974</v>
      </c>
      <c r="C77" s="1">
        <v>42825</v>
      </c>
      <c r="D77" s="4" t="s">
        <v>391</v>
      </c>
      <c r="E77" t="s">
        <v>10</v>
      </c>
      <c r="F77" t="s">
        <v>11</v>
      </c>
      <c r="G77" t="s">
        <v>12</v>
      </c>
      <c r="H77" t="s">
        <v>2763</v>
      </c>
      <c r="I77" t="s">
        <v>2763</v>
      </c>
      <c r="J77" t="str">
        <f>IF(ISNUMBER(MATCH($D77,'Lopettaneet 2013-&gt;'!$D:$D,0)),INDEX('Lopettaneet 2013-&gt;'!$K:$K,MATCH($D77,'Lopettaneet 2013-&gt;'!$D:$D,0)),"Jatkaa")</f>
        <v>Closed</v>
      </c>
      <c r="K77">
        <f ca="1">IF($J77="Jatkaa",DATEDIF($B77,TODAY(),"Y"),INDEX('Lopettaneet 2013-&gt;'!$L:$L,MATCH($D77,'Lopettaneet 2013-&gt;'!$D:$D,0)))</f>
        <v>2</v>
      </c>
      <c r="L77">
        <v>76</v>
      </c>
    </row>
    <row r="78" spans="1:12" x14ac:dyDescent="0.25">
      <c r="A78" t="s">
        <v>7</v>
      </c>
      <c r="B78" s="1">
        <v>41974</v>
      </c>
      <c r="C78" s="1">
        <v>44196</v>
      </c>
      <c r="D78" s="4" t="s">
        <v>393</v>
      </c>
      <c r="E78" t="s">
        <v>10</v>
      </c>
      <c r="F78" t="s">
        <v>11</v>
      </c>
      <c r="G78" t="s">
        <v>29</v>
      </c>
      <c r="H78" t="s">
        <v>2763</v>
      </c>
      <c r="I78" t="s">
        <v>2763</v>
      </c>
      <c r="J78" t="str">
        <f>IF(ISNUMBER(MATCH($D78,'Lopettaneet 2013-&gt;'!$D:$D,0)),INDEX('Lopettaneet 2013-&gt;'!$K:$K,MATCH($D78,'Lopettaneet 2013-&gt;'!$D:$D,0)),"Jatkaa")</f>
        <v>Closed</v>
      </c>
      <c r="K78">
        <f ca="1">IF($J78="Jatkaa",DATEDIF($B78,TODAY(),"Y"),INDEX('Lopettaneet 2013-&gt;'!$L:$L,MATCH($D78,'Lopettaneet 2013-&gt;'!$D:$D,0)))</f>
        <v>6</v>
      </c>
      <c r="L78">
        <v>77</v>
      </c>
    </row>
    <row r="79" spans="1:12" x14ac:dyDescent="0.25">
      <c r="A79" t="s">
        <v>7</v>
      </c>
      <c r="B79" s="1">
        <v>41974</v>
      </c>
      <c r="C79" s="1">
        <v>55153</v>
      </c>
      <c r="D79" s="4" t="s">
        <v>395</v>
      </c>
      <c r="E79" t="s">
        <v>10</v>
      </c>
      <c r="F79" t="s">
        <v>11</v>
      </c>
      <c r="G79" t="s">
        <v>12</v>
      </c>
      <c r="H79" t="s">
        <v>2781</v>
      </c>
      <c r="I79" t="s">
        <v>2895</v>
      </c>
      <c r="J79" t="str">
        <f>IF(ISNUMBER(MATCH($D79,'Lopettaneet 2013-&gt;'!$D:$D,0)),INDEX('Lopettaneet 2013-&gt;'!$K:$K,MATCH($D79,'Lopettaneet 2013-&gt;'!$D:$D,0)),"Jatkaa")</f>
        <v>Jatkaa</v>
      </c>
      <c r="K79">
        <f ca="1">IF($J79="Jatkaa",DATEDIF($B79,TODAY(),"Y"),INDEX('Lopettaneet 2013-&gt;'!$L:$L,MATCH($D79,'Lopettaneet 2013-&gt;'!$D:$D,0)))</f>
        <v>10</v>
      </c>
      <c r="L79">
        <v>78</v>
      </c>
    </row>
    <row r="80" spans="1:12" x14ac:dyDescent="0.25">
      <c r="A80" t="s">
        <v>7</v>
      </c>
      <c r="B80" s="1">
        <v>41974</v>
      </c>
      <c r="C80" s="1">
        <v>42735</v>
      </c>
      <c r="D80" s="4" t="s">
        <v>397</v>
      </c>
      <c r="E80" t="s">
        <v>10</v>
      </c>
      <c r="F80" t="s">
        <v>11</v>
      </c>
      <c r="G80" t="s">
        <v>12</v>
      </c>
      <c r="H80" t="s">
        <v>2763</v>
      </c>
      <c r="I80" t="s">
        <v>2763</v>
      </c>
      <c r="J80" t="str">
        <f>IF(ISNUMBER(MATCH($D80,'Lopettaneet 2013-&gt;'!$D:$D,0)),INDEX('Lopettaneet 2013-&gt;'!$K:$K,MATCH($D80,'Lopettaneet 2013-&gt;'!$D:$D,0)),"Jatkaa")</f>
        <v>Closed</v>
      </c>
      <c r="K80">
        <f ca="1">IF($J80="Jatkaa",DATEDIF($B80,TODAY(),"Y"),INDEX('Lopettaneet 2013-&gt;'!$L:$L,MATCH($D80,'Lopettaneet 2013-&gt;'!$D:$D,0)))</f>
        <v>2</v>
      </c>
      <c r="L80">
        <v>79</v>
      </c>
    </row>
    <row r="81" spans="1:12" x14ac:dyDescent="0.25">
      <c r="A81" t="s">
        <v>7</v>
      </c>
      <c r="B81" s="1">
        <v>41974</v>
      </c>
      <c r="C81" s="1">
        <v>43738</v>
      </c>
      <c r="D81" s="4" t="s">
        <v>399</v>
      </c>
      <c r="E81" t="s">
        <v>10</v>
      </c>
      <c r="F81" t="s">
        <v>11</v>
      </c>
      <c r="G81" t="s">
        <v>80</v>
      </c>
      <c r="H81" t="s">
        <v>2763</v>
      </c>
      <c r="I81" t="s">
        <v>2763</v>
      </c>
      <c r="J81" t="str">
        <f>IF(ISNUMBER(MATCH($D81,'Lopettaneet 2013-&gt;'!$D:$D,0)),INDEX('Lopettaneet 2013-&gt;'!$K:$K,MATCH($D81,'Lopettaneet 2013-&gt;'!$D:$D,0)),"Jatkaa")</f>
        <v>Closed</v>
      </c>
      <c r="K81">
        <f ca="1">IF($J81="Jatkaa",DATEDIF($B81,TODAY(),"Y"),INDEX('Lopettaneet 2013-&gt;'!$L:$L,MATCH($D81,'Lopettaneet 2013-&gt;'!$D:$D,0)))</f>
        <v>4</v>
      </c>
      <c r="L81">
        <v>80</v>
      </c>
    </row>
    <row r="82" spans="1:12" x14ac:dyDescent="0.25">
      <c r="A82" t="s">
        <v>7</v>
      </c>
      <c r="B82" s="1">
        <v>41974</v>
      </c>
      <c r="C82" s="1">
        <v>44196</v>
      </c>
      <c r="D82" s="4" t="s">
        <v>401</v>
      </c>
      <c r="E82" t="s">
        <v>10</v>
      </c>
      <c r="F82" t="s">
        <v>11</v>
      </c>
      <c r="G82" t="s">
        <v>80</v>
      </c>
      <c r="H82" t="s">
        <v>2763</v>
      </c>
      <c r="I82" t="s">
        <v>2763</v>
      </c>
      <c r="J82" t="str">
        <f>IF(ISNUMBER(MATCH($D82,'Lopettaneet 2013-&gt;'!$D:$D,0)),INDEX('Lopettaneet 2013-&gt;'!$K:$K,MATCH($D82,'Lopettaneet 2013-&gt;'!$D:$D,0)),"Jatkaa")</f>
        <v>Closed</v>
      </c>
      <c r="K82">
        <f ca="1">IF($J82="Jatkaa",DATEDIF($B82,TODAY(),"Y"),INDEX('Lopettaneet 2013-&gt;'!$L:$L,MATCH($D82,'Lopettaneet 2013-&gt;'!$D:$D,0)))</f>
        <v>6</v>
      </c>
      <c r="L82">
        <v>81</v>
      </c>
    </row>
    <row r="83" spans="1:12" x14ac:dyDescent="0.25">
      <c r="A83" t="s">
        <v>7</v>
      </c>
      <c r="B83" s="1">
        <v>41974</v>
      </c>
      <c r="C83" s="1">
        <v>42369</v>
      </c>
      <c r="D83" s="4" t="s">
        <v>403</v>
      </c>
      <c r="E83" t="s">
        <v>10</v>
      </c>
      <c r="F83" t="s">
        <v>11</v>
      </c>
      <c r="G83" t="s">
        <v>12</v>
      </c>
      <c r="H83" t="s">
        <v>2763</v>
      </c>
      <c r="I83" t="s">
        <v>2763</v>
      </c>
      <c r="J83" t="str">
        <f>IF(ISNUMBER(MATCH($D83,'Lopettaneet 2013-&gt;'!$D:$D,0)),INDEX('Lopettaneet 2013-&gt;'!$K:$K,MATCH($D83,'Lopettaneet 2013-&gt;'!$D:$D,0)),"Jatkaa")</f>
        <v>Closed</v>
      </c>
      <c r="K83">
        <f ca="1">IF($J83="Jatkaa",DATEDIF($B83,TODAY(),"Y"),INDEX('Lopettaneet 2013-&gt;'!$L:$L,MATCH($D83,'Lopettaneet 2013-&gt;'!$D:$D,0)))</f>
        <v>1</v>
      </c>
      <c r="L83">
        <v>82</v>
      </c>
    </row>
    <row r="84" spans="1:12" x14ac:dyDescent="0.25">
      <c r="A84" t="s">
        <v>7</v>
      </c>
      <c r="B84" s="1">
        <v>41974</v>
      </c>
      <c r="C84" s="1">
        <v>42369</v>
      </c>
      <c r="D84" s="4" t="s">
        <v>405</v>
      </c>
      <c r="E84" t="s">
        <v>10</v>
      </c>
      <c r="F84" t="s">
        <v>11</v>
      </c>
      <c r="G84" t="s">
        <v>12</v>
      </c>
      <c r="H84" t="s">
        <v>2763</v>
      </c>
      <c r="I84" t="s">
        <v>2763</v>
      </c>
      <c r="J84" t="str">
        <f>IF(ISNUMBER(MATCH($D84,'Lopettaneet 2013-&gt;'!$D:$D,0)),INDEX('Lopettaneet 2013-&gt;'!$K:$K,MATCH($D84,'Lopettaneet 2013-&gt;'!$D:$D,0)),"Jatkaa")</f>
        <v>Closed</v>
      </c>
      <c r="K84">
        <f ca="1">IF($J84="Jatkaa",DATEDIF($B84,TODAY(),"Y"),INDEX('Lopettaneet 2013-&gt;'!$L:$L,MATCH($D84,'Lopettaneet 2013-&gt;'!$D:$D,0)))</f>
        <v>1</v>
      </c>
      <c r="L84">
        <v>83</v>
      </c>
    </row>
    <row r="85" spans="1:12" x14ac:dyDescent="0.25">
      <c r="A85" t="s">
        <v>7</v>
      </c>
      <c r="B85" s="1">
        <v>41974</v>
      </c>
      <c r="C85" s="1">
        <v>42369</v>
      </c>
      <c r="D85" s="4" t="s">
        <v>407</v>
      </c>
      <c r="E85" t="s">
        <v>10</v>
      </c>
      <c r="F85" t="s">
        <v>11</v>
      </c>
      <c r="G85" t="s">
        <v>12</v>
      </c>
      <c r="H85" t="s">
        <v>2763</v>
      </c>
      <c r="I85" t="s">
        <v>2763</v>
      </c>
      <c r="J85" t="str">
        <f>IF(ISNUMBER(MATCH($D85,'Lopettaneet 2013-&gt;'!$D:$D,0)),INDEX('Lopettaneet 2013-&gt;'!$K:$K,MATCH($D85,'Lopettaneet 2013-&gt;'!$D:$D,0)),"Jatkaa")</f>
        <v>Closed</v>
      </c>
      <c r="K85">
        <f ca="1">IF($J85="Jatkaa",DATEDIF($B85,TODAY(),"Y"),INDEX('Lopettaneet 2013-&gt;'!$L:$L,MATCH($D85,'Lopettaneet 2013-&gt;'!$D:$D,0)))</f>
        <v>1</v>
      </c>
      <c r="L85">
        <v>84</v>
      </c>
    </row>
    <row r="86" spans="1:12" x14ac:dyDescent="0.25">
      <c r="A86" t="s">
        <v>7</v>
      </c>
      <c r="B86" s="1">
        <v>41974</v>
      </c>
      <c r="C86" s="1">
        <v>42369</v>
      </c>
      <c r="D86" s="4" t="s">
        <v>409</v>
      </c>
      <c r="E86" t="s">
        <v>10</v>
      </c>
      <c r="F86" t="s">
        <v>11</v>
      </c>
      <c r="G86" t="s">
        <v>12</v>
      </c>
      <c r="H86" t="s">
        <v>2763</v>
      </c>
      <c r="I86" t="s">
        <v>2763</v>
      </c>
      <c r="J86" t="str">
        <f>IF(ISNUMBER(MATCH($D86,'Lopettaneet 2013-&gt;'!$D:$D,0)),INDEX('Lopettaneet 2013-&gt;'!$K:$K,MATCH($D86,'Lopettaneet 2013-&gt;'!$D:$D,0)),"Jatkaa")</f>
        <v>Closed</v>
      </c>
      <c r="K86">
        <f ca="1">IF($J86="Jatkaa",DATEDIF($B86,TODAY(),"Y"),INDEX('Lopettaneet 2013-&gt;'!$L:$L,MATCH($D86,'Lopettaneet 2013-&gt;'!$D:$D,0)))</f>
        <v>1</v>
      </c>
      <c r="L86">
        <v>85</v>
      </c>
    </row>
    <row r="87" spans="1:12" x14ac:dyDescent="0.25">
      <c r="A87" t="s">
        <v>7</v>
      </c>
      <c r="B87" s="1">
        <v>41974</v>
      </c>
      <c r="C87" s="1">
        <v>43555</v>
      </c>
      <c r="D87" s="4" t="s">
        <v>411</v>
      </c>
      <c r="E87" t="s">
        <v>10</v>
      </c>
      <c r="F87" t="s">
        <v>11</v>
      </c>
      <c r="G87" t="s">
        <v>80</v>
      </c>
      <c r="H87" t="s">
        <v>2763</v>
      </c>
      <c r="I87" t="s">
        <v>2763</v>
      </c>
      <c r="J87" t="str">
        <f>IF(ISNUMBER(MATCH($D87,'Lopettaneet 2013-&gt;'!$D:$D,0)),INDEX('Lopettaneet 2013-&gt;'!$K:$K,MATCH($D87,'Lopettaneet 2013-&gt;'!$D:$D,0)),"Jatkaa")</f>
        <v>Closed</v>
      </c>
      <c r="K87">
        <f ca="1">IF($J87="Jatkaa",DATEDIF($B87,TODAY(),"Y"),INDEX('Lopettaneet 2013-&gt;'!$L:$L,MATCH($D87,'Lopettaneet 2013-&gt;'!$D:$D,0)))</f>
        <v>4</v>
      </c>
      <c r="L87">
        <v>86</v>
      </c>
    </row>
    <row r="88" spans="1:12" x14ac:dyDescent="0.25">
      <c r="A88" t="s">
        <v>7</v>
      </c>
      <c r="B88" s="1">
        <v>41974</v>
      </c>
      <c r="C88" s="1">
        <v>42735</v>
      </c>
      <c r="D88" s="4" t="s">
        <v>413</v>
      </c>
      <c r="E88" t="s">
        <v>10</v>
      </c>
      <c r="F88" t="s">
        <v>11</v>
      </c>
      <c r="G88" t="s">
        <v>12</v>
      </c>
      <c r="H88" t="s">
        <v>2763</v>
      </c>
      <c r="I88" t="s">
        <v>2763</v>
      </c>
      <c r="J88" t="str">
        <f>IF(ISNUMBER(MATCH($D88,'Lopettaneet 2013-&gt;'!$D:$D,0)),INDEX('Lopettaneet 2013-&gt;'!$K:$K,MATCH($D88,'Lopettaneet 2013-&gt;'!$D:$D,0)),"Jatkaa")</f>
        <v>Closed</v>
      </c>
      <c r="K88">
        <f ca="1">IF($J88="Jatkaa",DATEDIF($B88,TODAY(),"Y"),INDEX('Lopettaneet 2013-&gt;'!$L:$L,MATCH($D88,'Lopettaneet 2013-&gt;'!$D:$D,0)))</f>
        <v>2</v>
      </c>
      <c r="L88">
        <v>87</v>
      </c>
    </row>
    <row r="89" spans="1:12" x14ac:dyDescent="0.25">
      <c r="A89" t="s">
        <v>7</v>
      </c>
      <c r="B89" s="1">
        <v>41974</v>
      </c>
      <c r="C89" s="1">
        <v>55153</v>
      </c>
      <c r="D89" s="4" t="s">
        <v>415</v>
      </c>
      <c r="E89" t="s">
        <v>10</v>
      </c>
      <c r="F89" t="s">
        <v>11</v>
      </c>
      <c r="G89" t="s">
        <v>12</v>
      </c>
      <c r="H89" t="s">
        <v>2782</v>
      </c>
      <c r="I89" t="s">
        <v>2895</v>
      </c>
      <c r="J89" t="str">
        <f>IF(ISNUMBER(MATCH($D89,'Lopettaneet 2013-&gt;'!$D:$D,0)),INDEX('Lopettaneet 2013-&gt;'!$K:$K,MATCH($D89,'Lopettaneet 2013-&gt;'!$D:$D,0)),"Jatkaa")</f>
        <v>Jatkaa</v>
      </c>
      <c r="K89">
        <f ca="1">IF($J89="Jatkaa",DATEDIF($B89,TODAY(),"Y"),INDEX('Lopettaneet 2013-&gt;'!$L:$L,MATCH($D89,'Lopettaneet 2013-&gt;'!$D:$D,0)))</f>
        <v>10</v>
      </c>
      <c r="L89">
        <v>88</v>
      </c>
    </row>
    <row r="90" spans="1:12" x14ac:dyDescent="0.25">
      <c r="A90" t="s">
        <v>7</v>
      </c>
      <c r="B90" s="1">
        <v>41974</v>
      </c>
      <c r="C90" s="1">
        <v>55153</v>
      </c>
      <c r="D90" s="4" t="s">
        <v>417</v>
      </c>
      <c r="E90" t="s">
        <v>10</v>
      </c>
      <c r="F90" t="s">
        <v>11</v>
      </c>
      <c r="G90" t="s">
        <v>12</v>
      </c>
      <c r="H90" t="s">
        <v>2783</v>
      </c>
      <c r="I90" t="s">
        <v>2895</v>
      </c>
      <c r="J90" t="str">
        <f>IF(ISNUMBER(MATCH($D90,'Lopettaneet 2013-&gt;'!$D:$D,0)),INDEX('Lopettaneet 2013-&gt;'!$K:$K,MATCH($D90,'Lopettaneet 2013-&gt;'!$D:$D,0)),"Jatkaa")</f>
        <v>Jatkaa</v>
      </c>
      <c r="K90">
        <f ca="1">IF($J90="Jatkaa",DATEDIF($B90,TODAY(),"Y"),INDEX('Lopettaneet 2013-&gt;'!$L:$L,MATCH($D90,'Lopettaneet 2013-&gt;'!$D:$D,0)))</f>
        <v>10</v>
      </c>
      <c r="L90">
        <v>89</v>
      </c>
    </row>
    <row r="91" spans="1:12" x14ac:dyDescent="0.25">
      <c r="A91" t="s">
        <v>7</v>
      </c>
      <c r="B91" s="1">
        <v>41974</v>
      </c>
      <c r="C91" s="1">
        <v>44834</v>
      </c>
      <c r="D91" s="4" t="s">
        <v>419</v>
      </c>
      <c r="E91" t="s">
        <v>10</v>
      </c>
      <c r="F91" t="s">
        <v>11</v>
      </c>
      <c r="G91" t="s">
        <v>12</v>
      </c>
      <c r="H91" t="s">
        <v>2763</v>
      </c>
      <c r="I91" t="s">
        <v>2763</v>
      </c>
      <c r="J91" t="str">
        <f>IF(ISNUMBER(MATCH($D91,'Lopettaneet 2013-&gt;'!$D:$D,0)),INDEX('Lopettaneet 2013-&gt;'!$K:$K,MATCH($D91,'Lopettaneet 2013-&gt;'!$D:$D,0)),"Jatkaa")</f>
        <v>Closed</v>
      </c>
      <c r="K91">
        <f ca="1">IF($J91="Jatkaa",DATEDIF($B91,TODAY(),"Y"),INDEX('Lopettaneet 2013-&gt;'!$L:$L,MATCH($D91,'Lopettaneet 2013-&gt;'!$D:$D,0)))</f>
        <v>7</v>
      </c>
      <c r="L91">
        <v>90</v>
      </c>
    </row>
    <row r="92" spans="1:12" x14ac:dyDescent="0.25">
      <c r="A92" t="s">
        <v>7</v>
      </c>
      <c r="B92" s="1">
        <v>41974</v>
      </c>
      <c r="C92" s="1">
        <v>42735</v>
      </c>
      <c r="D92" s="4" t="s">
        <v>421</v>
      </c>
      <c r="E92" t="s">
        <v>10</v>
      </c>
      <c r="F92" t="s">
        <v>11</v>
      </c>
      <c r="G92" t="s">
        <v>12</v>
      </c>
      <c r="H92" t="s">
        <v>2763</v>
      </c>
      <c r="I92" t="s">
        <v>2763</v>
      </c>
      <c r="J92" t="str">
        <f>IF(ISNUMBER(MATCH($D92,'Lopettaneet 2013-&gt;'!$D:$D,0)),INDEX('Lopettaneet 2013-&gt;'!$K:$K,MATCH($D92,'Lopettaneet 2013-&gt;'!$D:$D,0)),"Jatkaa")</f>
        <v>Closed</v>
      </c>
      <c r="K92">
        <f ca="1">IF($J92="Jatkaa",DATEDIF($B92,TODAY(),"Y"),INDEX('Lopettaneet 2013-&gt;'!$L:$L,MATCH($D92,'Lopettaneet 2013-&gt;'!$D:$D,0)))</f>
        <v>2</v>
      </c>
      <c r="L92">
        <v>91</v>
      </c>
    </row>
    <row r="93" spans="1:12" x14ac:dyDescent="0.25">
      <c r="A93" t="s">
        <v>7</v>
      </c>
      <c r="B93" s="1">
        <v>41974</v>
      </c>
      <c r="C93" s="1">
        <v>42735</v>
      </c>
      <c r="D93" s="4" t="s">
        <v>423</v>
      </c>
      <c r="E93" t="s">
        <v>10</v>
      </c>
      <c r="F93" t="s">
        <v>11</v>
      </c>
      <c r="G93" t="s">
        <v>12</v>
      </c>
      <c r="H93" t="s">
        <v>2763</v>
      </c>
      <c r="I93" t="s">
        <v>2763</v>
      </c>
      <c r="J93" t="str">
        <f>IF(ISNUMBER(MATCH($D93,'Lopettaneet 2013-&gt;'!$D:$D,0)),INDEX('Lopettaneet 2013-&gt;'!$K:$K,MATCH($D93,'Lopettaneet 2013-&gt;'!$D:$D,0)),"Jatkaa")</f>
        <v>Closed</v>
      </c>
      <c r="K93">
        <f ca="1">IF($J93="Jatkaa",DATEDIF($B93,TODAY(),"Y"),INDEX('Lopettaneet 2013-&gt;'!$L:$L,MATCH($D93,'Lopettaneet 2013-&gt;'!$D:$D,0)))</f>
        <v>2</v>
      </c>
      <c r="L93">
        <v>92</v>
      </c>
    </row>
    <row r="94" spans="1:12" x14ac:dyDescent="0.25">
      <c r="A94" t="s">
        <v>7</v>
      </c>
      <c r="B94" s="1">
        <v>41974</v>
      </c>
      <c r="C94" s="1">
        <v>43465</v>
      </c>
      <c r="D94" s="4" t="s">
        <v>425</v>
      </c>
      <c r="E94" t="s">
        <v>10</v>
      </c>
      <c r="F94" t="s">
        <v>11</v>
      </c>
      <c r="G94" t="s">
        <v>12</v>
      </c>
      <c r="H94" t="s">
        <v>2763</v>
      </c>
      <c r="I94" t="s">
        <v>2763</v>
      </c>
      <c r="J94" t="str">
        <f>IF(ISNUMBER(MATCH($D94,'Lopettaneet 2013-&gt;'!$D:$D,0)),INDEX('Lopettaneet 2013-&gt;'!$K:$K,MATCH($D94,'Lopettaneet 2013-&gt;'!$D:$D,0)),"Jatkaa")</f>
        <v>Closed</v>
      </c>
      <c r="K94">
        <f ca="1">IF($J94="Jatkaa",DATEDIF($B94,TODAY(),"Y"),INDEX('Lopettaneet 2013-&gt;'!$L:$L,MATCH($D94,'Lopettaneet 2013-&gt;'!$D:$D,0)))</f>
        <v>4</v>
      </c>
      <c r="L94">
        <v>93</v>
      </c>
    </row>
    <row r="95" spans="1:12" x14ac:dyDescent="0.25">
      <c r="A95" t="s">
        <v>7</v>
      </c>
      <c r="B95" s="1">
        <v>41974</v>
      </c>
      <c r="C95" s="1">
        <v>55153</v>
      </c>
      <c r="D95" s="4" t="s">
        <v>427</v>
      </c>
      <c r="E95" t="s">
        <v>10</v>
      </c>
      <c r="F95" t="s">
        <v>11</v>
      </c>
      <c r="G95" t="s">
        <v>80</v>
      </c>
      <c r="H95" t="s">
        <v>2784</v>
      </c>
      <c r="I95" t="s">
        <v>2895</v>
      </c>
      <c r="J95" t="str">
        <f>IF(ISNUMBER(MATCH($D95,'Lopettaneet 2013-&gt;'!$D:$D,0)),INDEX('Lopettaneet 2013-&gt;'!$K:$K,MATCH($D95,'Lopettaneet 2013-&gt;'!$D:$D,0)),"Jatkaa")</f>
        <v>Jatkaa</v>
      </c>
      <c r="K95">
        <f ca="1">IF($J95="Jatkaa",DATEDIF($B95,TODAY(),"Y"),INDEX('Lopettaneet 2013-&gt;'!$L:$L,MATCH($D95,'Lopettaneet 2013-&gt;'!$D:$D,0)))</f>
        <v>10</v>
      </c>
      <c r="L95">
        <v>94</v>
      </c>
    </row>
    <row r="96" spans="1:12" x14ac:dyDescent="0.25">
      <c r="A96" t="s">
        <v>7</v>
      </c>
      <c r="B96" s="1">
        <v>41974</v>
      </c>
      <c r="C96" s="1">
        <v>55153</v>
      </c>
      <c r="D96" s="4" t="s">
        <v>429</v>
      </c>
      <c r="E96" t="s">
        <v>10</v>
      </c>
      <c r="F96" t="s">
        <v>11</v>
      </c>
      <c r="G96" t="s">
        <v>12</v>
      </c>
      <c r="H96" t="s">
        <v>2785</v>
      </c>
      <c r="I96" t="s">
        <v>2895</v>
      </c>
      <c r="J96" t="str">
        <f>IF(ISNUMBER(MATCH($D96,'Lopettaneet 2013-&gt;'!$D:$D,0)),INDEX('Lopettaneet 2013-&gt;'!$K:$K,MATCH($D96,'Lopettaneet 2013-&gt;'!$D:$D,0)),"Jatkaa")</f>
        <v>Jatkaa</v>
      </c>
      <c r="K96">
        <f ca="1">IF($J96="Jatkaa",DATEDIF($B96,TODAY(),"Y"),INDEX('Lopettaneet 2013-&gt;'!$L:$L,MATCH($D96,'Lopettaneet 2013-&gt;'!$D:$D,0)))</f>
        <v>10</v>
      </c>
      <c r="L96">
        <v>95</v>
      </c>
    </row>
    <row r="97" spans="1:12" x14ac:dyDescent="0.25">
      <c r="A97" t="s">
        <v>7</v>
      </c>
      <c r="B97" s="1">
        <v>41974</v>
      </c>
      <c r="C97" s="1">
        <v>55153</v>
      </c>
      <c r="D97" s="4" t="s">
        <v>431</v>
      </c>
      <c r="E97" t="s">
        <v>10</v>
      </c>
      <c r="F97" t="s">
        <v>11</v>
      </c>
      <c r="G97" t="s">
        <v>12</v>
      </c>
      <c r="H97" t="s">
        <v>2786</v>
      </c>
      <c r="I97" t="s">
        <v>2895</v>
      </c>
      <c r="J97" t="str">
        <f>IF(ISNUMBER(MATCH($D97,'Lopettaneet 2013-&gt;'!$D:$D,0)),INDEX('Lopettaneet 2013-&gt;'!$K:$K,MATCH($D97,'Lopettaneet 2013-&gt;'!$D:$D,0)),"Jatkaa")</f>
        <v>Jatkaa</v>
      </c>
      <c r="K97">
        <f ca="1">IF($J97="Jatkaa",DATEDIF($B97,TODAY(),"Y"),INDEX('Lopettaneet 2013-&gt;'!$L:$L,MATCH($D97,'Lopettaneet 2013-&gt;'!$D:$D,0)))</f>
        <v>10</v>
      </c>
      <c r="L97">
        <v>96</v>
      </c>
    </row>
    <row r="98" spans="1:12" x14ac:dyDescent="0.25">
      <c r="A98" t="s">
        <v>7</v>
      </c>
      <c r="B98" s="1">
        <v>41974</v>
      </c>
      <c r="C98" s="1">
        <v>42735</v>
      </c>
      <c r="D98" s="4" t="s">
        <v>433</v>
      </c>
      <c r="E98" t="s">
        <v>10</v>
      </c>
      <c r="F98" t="s">
        <v>11</v>
      </c>
      <c r="G98" t="s">
        <v>12</v>
      </c>
      <c r="H98" t="s">
        <v>2763</v>
      </c>
      <c r="I98" t="s">
        <v>2763</v>
      </c>
      <c r="J98" t="str">
        <f>IF(ISNUMBER(MATCH($D98,'Lopettaneet 2013-&gt;'!$D:$D,0)),INDEX('Lopettaneet 2013-&gt;'!$K:$K,MATCH($D98,'Lopettaneet 2013-&gt;'!$D:$D,0)),"Jatkaa")</f>
        <v>Closed</v>
      </c>
      <c r="K98">
        <f ca="1">IF($J98="Jatkaa",DATEDIF($B98,TODAY(),"Y"),INDEX('Lopettaneet 2013-&gt;'!$L:$L,MATCH($D98,'Lopettaneet 2013-&gt;'!$D:$D,0)))</f>
        <v>2</v>
      </c>
      <c r="L98">
        <v>97</v>
      </c>
    </row>
    <row r="99" spans="1:12" x14ac:dyDescent="0.25">
      <c r="A99" t="s">
        <v>7</v>
      </c>
      <c r="B99" s="1">
        <v>41974</v>
      </c>
      <c r="C99" s="1">
        <v>55153</v>
      </c>
      <c r="D99" s="4" t="s">
        <v>435</v>
      </c>
      <c r="E99" t="s">
        <v>10</v>
      </c>
      <c r="F99" t="s">
        <v>11</v>
      </c>
      <c r="G99" t="s">
        <v>12</v>
      </c>
      <c r="H99" t="s">
        <v>2766</v>
      </c>
      <c r="I99" t="s">
        <v>2763</v>
      </c>
      <c r="J99" t="str">
        <f>IF(ISNUMBER(MATCH($D99,'Lopettaneet 2013-&gt;'!$D:$D,0)),INDEX('Lopettaneet 2013-&gt;'!$K:$K,MATCH($D99,'Lopettaneet 2013-&gt;'!$D:$D,0)),"Jatkaa")</f>
        <v>Jatkaa</v>
      </c>
      <c r="K99">
        <f ca="1">IF($J99="Jatkaa",DATEDIF($B99,TODAY(),"Y"),INDEX('Lopettaneet 2013-&gt;'!$L:$L,MATCH($D99,'Lopettaneet 2013-&gt;'!$D:$D,0)))</f>
        <v>10</v>
      </c>
      <c r="L99">
        <v>98</v>
      </c>
    </row>
    <row r="100" spans="1:12" x14ac:dyDescent="0.25">
      <c r="A100" t="s">
        <v>7</v>
      </c>
      <c r="B100" s="1">
        <v>41974</v>
      </c>
      <c r="C100" s="1">
        <v>43281</v>
      </c>
      <c r="D100" s="4" t="s">
        <v>437</v>
      </c>
      <c r="E100" t="s">
        <v>10</v>
      </c>
      <c r="F100" t="s">
        <v>11</v>
      </c>
      <c r="G100" t="s">
        <v>12</v>
      </c>
      <c r="H100" t="s">
        <v>2763</v>
      </c>
      <c r="I100" t="s">
        <v>2763</v>
      </c>
      <c r="J100" t="str">
        <f>IF(ISNUMBER(MATCH($D100,'Lopettaneet 2013-&gt;'!$D:$D,0)),INDEX('Lopettaneet 2013-&gt;'!$K:$K,MATCH($D100,'Lopettaneet 2013-&gt;'!$D:$D,0)),"Jatkaa")</f>
        <v>Closed</v>
      </c>
      <c r="K100">
        <f ca="1">IF($J100="Jatkaa",DATEDIF($B100,TODAY(),"Y"),INDEX('Lopettaneet 2013-&gt;'!$L:$L,MATCH($D100,'Lopettaneet 2013-&gt;'!$D:$D,0)))</f>
        <v>3</v>
      </c>
      <c r="L100">
        <v>99</v>
      </c>
    </row>
    <row r="101" spans="1:12" x14ac:dyDescent="0.25">
      <c r="A101" t="s">
        <v>7</v>
      </c>
      <c r="B101" s="1">
        <v>41974</v>
      </c>
      <c r="C101" s="1">
        <v>43100</v>
      </c>
      <c r="D101" s="4" t="s">
        <v>439</v>
      </c>
      <c r="E101" t="s">
        <v>10</v>
      </c>
      <c r="F101" t="s">
        <v>11</v>
      </c>
      <c r="G101" t="s">
        <v>12</v>
      </c>
      <c r="H101" t="s">
        <v>2763</v>
      </c>
      <c r="I101" t="s">
        <v>2763</v>
      </c>
      <c r="J101" t="str">
        <f>IF(ISNUMBER(MATCH($D101,'Lopettaneet 2013-&gt;'!$D:$D,0)),INDEX('Lopettaneet 2013-&gt;'!$K:$K,MATCH($D101,'Lopettaneet 2013-&gt;'!$D:$D,0)),"Jatkaa")</f>
        <v>Closed</v>
      </c>
      <c r="K101">
        <f ca="1">IF($J101="Jatkaa",DATEDIF($B101,TODAY(),"Y"),INDEX('Lopettaneet 2013-&gt;'!$L:$L,MATCH($D101,'Lopettaneet 2013-&gt;'!$D:$D,0)))</f>
        <v>3</v>
      </c>
      <c r="L101">
        <v>100</v>
      </c>
    </row>
    <row r="102" spans="1:12" x14ac:dyDescent="0.25">
      <c r="A102" t="s">
        <v>7</v>
      </c>
      <c r="B102" s="1">
        <v>41974</v>
      </c>
      <c r="C102" s="1">
        <v>44196</v>
      </c>
      <c r="D102" s="4" t="s">
        <v>441</v>
      </c>
      <c r="E102" t="s">
        <v>10</v>
      </c>
      <c r="F102" t="s">
        <v>11</v>
      </c>
      <c r="G102" t="s">
        <v>12</v>
      </c>
      <c r="H102" t="s">
        <v>2763</v>
      </c>
      <c r="I102" t="s">
        <v>2763</v>
      </c>
      <c r="J102" t="str">
        <f>IF(ISNUMBER(MATCH($D102,'Lopettaneet 2013-&gt;'!$D:$D,0)),INDEX('Lopettaneet 2013-&gt;'!$K:$K,MATCH($D102,'Lopettaneet 2013-&gt;'!$D:$D,0)),"Jatkaa")</f>
        <v>Closed</v>
      </c>
      <c r="K102">
        <f ca="1">IF($J102="Jatkaa",DATEDIF($B102,TODAY(),"Y"),INDEX('Lopettaneet 2013-&gt;'!$L:$L,MATCH($D102,'Lopettaneet 2013-&gt;'!$D:$D,0)))</f>
        <v>6</v>
      </c>
      <c r="L102">
        <v>101</v>
      </c>
    </row>
    <row r="103" spans="1:12" x14ac:dyDescent="0.25">
      <c r="A103" t="s">
        <v>7</v>
      </c>
      <c r="B103" s="1">
        <v>41974</v>
      </c>
      <c r="C103" s="1">
        <v>55153</v>
      </c>
      <c r="D103" s="4" t="s">
        <v>443</v>
      </c>
      <c r="E103" t="s">
        <v>10</v>
      </c>
      <c r="F103" t="s">
        <v>11</v>
      </c>
      <c r="G103" t="s">
        <v>12</v>
      </c>
      <c r="H103" t="s">
        <v>2779</v>
      </c>
      <c r="I103" t="s">
        <v>2895</v>
      </c>
      <c r="J103" t="str">
        <f>IF(ISNUMBER(MATCH($D103,'Lopettaneet 2013-&gt;'!$D:$D,0)),INDEX('Lopettaneet 2013-&gt;'!$K:$K,MATCH($D103,'Lopettaneet 2013-&gt;'!$D:$D,0)),"Jatkaa")</f>
        <v>Jatkaa</v>
      </c>
      <c r="K103">
        <f ca="1">IF($J103="Jatkaa",DATEDIF($B103,TODAY(),"Y"),INDEX('Lopettaneet 2013-&gt;'!$L:$L,MATCH($D103,'Lopettaneet 2013-&gt;'!$D:$D,0)))</f>
        <v>10</v>
      </c>
      <c r="L103">
        <v>102</v>
      </c>
    </row>
    <row r="104" spans="1:12" x14ac:dyDescent="0.25">
      <c r="A104" t="s">
        <v>7</v>
      </c>
      <c r="B104" s="1">
        <v>41974</v>
      </c>
      <c r="C104" s="1">
        <v>43738</v>
      </c>
      <c r="D104" s="4" t="s">
        <v>445</v>
      </c>
      <c r="E104" t="s">
        <v>10</v>
      </c>
      <c r="F104" t="s">
        <v>11</v>
      </c>
      <c r="G104" t="s">
        <v>12</v>
      </c>
      <c r="H104" t="s">
        <v>2763</v>
      </c>
      <c r="I104" t="s">
        <v>2763</v>
      </c>
      <c r="J104" t="str">
        <f>IF(ISNUMBER(MATCH($D104,'Lopettaneet 2013-&gt;'!$D:$D,0)),INDEX('Lopettaneet 2013-&gt;'!$K:$K,MATCH($D104,'Lopettaneet 2013-&gt;'!$D:$D,0)),"Jatkaa")</f>
        <v>Closed</v>
      </c>
      <c r="K104">
        <f ca="1">IF($J104="Jatkaa",DATEDIF($B104,TODAY(),"Y"),INDEX('Lopettaneet 2013-&gt;'!$L:$L,MATCH($D104,'Lopettaneet 2013-&gt;'!$D:$D,0)))</f>
        <v>4</v>
      </c>
      <c r="L104">
        <v>103</v>
      </c>
    </row>
    <row r="105" spans="1:12" x14ac:dyDescent="0.25">
      <c r="A105" t="s">
        <v>7</v>
      </c>
      <c r="B105" s="1">
        <v>41974</v>
      </c>
      <c r="C105" s="1">
        <v>55153</v>
      </c>
      <c r="D105" s="4" t="s">
        <v>447</v>
      </c>
      <c r="E105" t="s">
        <v>10</v>
      </c>
      <c r="F105" t="s">
        <v>11</v>
      </c>
      <c r="G105" t="s">
        <v>12</v>
      </c>
      <c r="H105" t="s">
        <v>2781</v>
      </c>
      <c r="I105" t="s">
        <v>2763</v>
      </c>
      <c r="J105" t="str">
        <f>IF(ISNUMBER(MATCH($D105,'Lopettaneet 2013-&gt;'!$D:$D,0)),INDEX('Lopettaneet 2013-&gt;'!$K:$K,MATCH($D105,'Lopettaneet 2013-&gt;'!$D:$D,0)),"Jatkaa")</f>
        <v>Jatkaa</v>
      </c>
      <c r="K105">
        <f ca="1">IF($J105="Jatkaa",DATEDIF($B105,TODAY(),"Y"),INDEX('Lopettaneet 2013-&gt;'!$L:$L,MATCH($D105,'Lopettaneet 2013-&gt;'!$D:$D,0)))</f>
        <v>10</v>
      </c>
      <c r="L105">
        <v>104</v>
      </c>
    </row>
    <row r="106" spans="1:12" x14ac:dyDescent="0.25">
      <c r="A106" t="s">
        <v>7</v>
      </c>
      <c r="B106" s="1">
        <v>41974</v>
      </c>
      <c r="C106" s="1">
        <v>55153</v>
      </c>
      <c r="D106" s="4" t="s">
        <v>449</v>
      </c>
      <c r="E106" t="s">
        <v>10</v>
      </c>
      <c r="F106" t="s">
        <v>11</v>
      </c>
      <c r="G106" t="s">
        <v>80</v>
      </c>
      <c r="H106" t="s">
        <v>2787</v>
      </c>
      <c r="I106" t="s">
        <v>2895</v>
      </c>
      <c r="J106" t="str">
        <f>IF(ISNUMBER(MATCH($D106,'Lopettaneet 2013-&gt;'!$D:$D,0)),INDEX('Lopettaneet 2013-&gt;'!$K:$K,MATCH($D106,'Lopettaneet 2013-&gt;'!$D:$D,0)),"Jatkaa")</f>
        <v>Jatkaa</v>
      </c>
      <c r="K106">
        <f ca="1">IF($J106="Jatkaa",DATEDIF($B106,TODAY(),"Y"),INDEX('Lopettaneet 2013-&gt;'!$L:$L,MATCH($D106,'Lopettaneet 2013-&gt;'!$D:$D,0)))</f>
        <v>10</v>
      </c>
      <c r="L106">
        <v>105</v>
      </c>
    </row>
    <row r="107" spans="1:12" x14ac:dyDescent="0.25">
      <c r="A107" t="s">
        <v>7</v>
      </c>
      <c r="B107" s="1">
        <v>41974</v>
      </c>
      <c r="C107" s="1">
        <v>55153</v>
      </c>
      <c r="D107" s="4" t="s">
        <v>451</v>
      </c>
      <c r="E107" t="s">
        <v>10</v>
      </c>
      <c r="F107" t="s">
        <v>11</v>
      </c>
      <c r="G107" t="s">
        <v>12</v>
      </c>
      <c r="H107" t="s">
        <v>2788</v>
      </c>
      <c r="I107" t="s">
        <v>2895</v>
      </c>
      <c r="J107" t="str">
        <f>IF(ISNUMBER(MATCH($D107,'Lopettaneet 2013-&gt;'!$D:$D,0)),INDEX('Lopettaneet 2013-&gt;'!$K:$K,MATCH($D107,'Lopettaneet 2013-&gt;'!$D:$D,0)),"Jatkaa")</f>
        <v>Jatkaa</v>
      </c>
      <c r="K107">
        <f ca="1">IF($J107="Jatkaa",DATEDIF($B107,TODAY(),"Y"),INDEX('Lopettaneet 2013-&gt;'!$L:$L,MATCH($D107,'Lopettaneet 2013-&gt;'!$D:$D,0)))</f>
        <v>10</v>
      </c>
      <c r="L107">
        <v>106</v>
      </c>
    </row>
    <row r="108" spans="1:12" x14ac:dyDescent="0.25">
      <c r="A108" t="s">
        <v>7</v>
      </c>
      <c r="B108" s="1">
        <v>41974</v>
      </c>
      <c r="C108" s="1">
        <v>44561</v>
      </c>
      <c r="D108" s="4" t="s">
        <v>453</v>
      </c>
      <c r="E108" t="s">
        <v>10</v>
      </c>
      <c r="F108" t="s">
        <v>11</v>
      </c>
      <c r="G108" t="s">
        <v>12</v>
      </c>
      <c r="H108" t="s">
        <v>2763</v>
      </c>
      <c r="I108" t="s">
        <v>2763</v>
      </c>
      <c r="J108" t="str">
        <f>IF(ISNUMBER(MATCH($D108,'Lopettaneet 2013-&gt;'!$D:$D,0)),INDEX('Lopettaneet 2013-&gt;'!$K:$K,MATCH($D108,'Lopettaneet 2013-&gt;'!$D:$D,0)),"Jatkaa")</f>
        <v>Closed</v>
      </c>
      <c r="K108">
        <f ca="1">IF($J108="Jatkaa",DATEDIF($B108,TODAY(),"Y"),INDEX('Lopettaneet 2013-&gt;'!$L:$L,MATCH($D108,'Lopettaneet 2013-&gt;'!$D:$D,0)))</f>
        <v>7</v>
      </c>
      <c r="L108">
        <v>107</v>
      </c>
    </row>
    <row r="109" spans="1:12" x14ac:dyDescent="0.25">
      <c r="A109" t="s">
        <v>7</v>
      </c>
      <c r="B109" s="1">
        <v>41974</v>
      </c>
      <c r="C109" s="1">
        <v>42735</v>
      </c>
      <c r="D109" s="4" t="s">
        <v>455</v>
      </c>
      <c r="E109" t="s">
        <v>10</v>
      </c>
      <c r="F109" t="s">
        <v>11</v>
      </c>
      <c r="G109" t="s">
        <v>12</v>
      </c>
      <c r="H109" t="s">
        <v>2763</v>
      </c>
      <c r="I109" t="s">
        <v>2763</v>
      </c>
      <c r="J109" t="str">
        <f>IF(ISNUMBER(MATCH($D109,'Lopettaneet 2013-&gt;'!$D:$D,0)),INDEX('Lopettaneet 2013-&gt;'!$K:$K,MATCH($D109,'Lopettaneet 2013-&gt;'!$D:$D,0)),"Jatkaa")</f>
        <v>Closed</v>
      </c>
      <c r="K109">
        <f ca="1">IF($J109="Jatkaa",DATEDIF($B109,TODAY(),"Y"),INDEX('Lopettaneet 2013-&gt;'!$L:$L,MATCH($D109,'Lopettaneet 2013-&gt;'!$D:$D,0)))</f>
        <v>2</v>
      </c>
      <c r="L109">
        <v>108</v>
      </c>
    </row>
    <row r="110" spans="1:12" x14ac:dyDescent="0.25">
      <c r="A110" t="s">
        <v>7</v>
      </c>
      <c r="B110" s="1">
        <v>41974</v>
      </c>
      <c r="C110" s="1">
        <v>44104</v>
      </c>
      <c r="D110" s="4" t="s">
        <v>457</v>
      </c>
      <c r="E110" t="s">
        <v>10</v>
      </c>
      <c r="F110" t="s">
        <v>11</v>
      </c>
      <c r="G110" t="s">
        <v>12</v>
      </c>
      <c r="H110" t="s">
        <v>2763</v>
      </c>
      <c r="I110" t="s">
        <v>2763</v>
      </c>
      <c r="J110" t="str">
        <f>IF(ISNUMBER(MATCH($D110,'Lopettaneet 2013-&gt;'!$D:$D,0)),INDEX('Lopettaneet 2013-&gt;'!$K:$K,MATCH($D110,'Lopettaneet 2013-&gt;'!$D:$D,0)),"Jatkaa")</f>
        <v>Closed</v>
      </c>
      <c r="K110">
        <f ca="1">IF($J110="Jatkaa",DATEDIF($B110,TODAY(),"Y"),INDEX('Lopettaneet 2013-&gt;'!$L:$L,MATCH($D110,'Lopettaneet 2013-&gt;'!$D:$D,0)))</f>
        <v>5</v>
      </c>
      <c r="L110">
        <v>109</v>
      </c>
    </row>
    <row r="111" spans="1:12" x14ac:dyDescent="0.25">
      <c r="A111" t="s">
        <v>7</v>
      </c>
      <c r="B111" s="1">
        <v>41974</v>
      </c>
      <c r="C111" s="1">
        <v>55153</v>
      </c>
      <c r="D111" s="4" t="s">
        <v>459</v>
      </c>
      <c r="E111" t="s">
        <v>10</v>
      </c>
      <c r="F111" t="s">
        <v>11</v>
      </c>
      <c r="G111" t="s">
        <v>80</v>
      </c>
      <c r="H111" t="s">
        <v>2787</v>
      </c>
      <c r="I111" t="s">
        <v>2895</v>
      </c>
      <c r="J111" t="str">
        <f>IF(ISNUMBER(MATCH($D111,'Lopettaneet 2013-&gt;'!$D:$D,0)),INDEX('Lopettaneet 2013-&gt;'!$K:$K,MATCH($D111,'Lopettaneet 2013-&gt;'!$D:$D,0)),"Jatkaa")</f>
        <v>Jatkaa</v>
      </c>
      <c r="K111">
        <f ca="1">IF($J111="Jatkaa",DATEDIF($B111,TODAY(),"Y"),INDEX('Lopettaneet 2013-&gt;'!$L:$L,MATCH($D111,'Lopettaneet 2013-&gt;'!$D:$D,0)))</f>
        <v>10</v>
      </c>
      <c r="L111">
        <v>110</v>
      </c>
    </row>
    <row r="112" spans="1:12" x14ac:dyDescent="0.25">
      <c r="A112" t="s">
        <v>7</v>
      </c>
      <c r="B112" s="1">
        <v>41974</v>
      </c>
      <c r="C112" s="1">
        <v>55153</v>
      </c>
      <c r="D112" s="4" t="s">
        <v>461</v>
      </c>
      <c r="E112" t="s">
        <v>10</v>
      </c>
      <c r="F112" t="s">
        <v>11</v>
      </c>
      <c r="G112" t="s">
        <v>12</v>
      </c>
      <c r="H112" t="s">
        <v>2768</v>
      </c>
      <c r="I112" t="s">
        <v>2895</v>
      </c>
      <c r="J112" t="str">
        <f>IF(ISNUMBER(MATCH($D112,'Lopettaneet 2013-&gt;'!$D:$D,0)),INDEX('Lopettaneet 2013-&gt;'!$K:$K,MATCH($D112,'Lopettaneet 2013-&gt;'!$D:$D,0)),"Jatkaa")</f>
        <v>Jatkaa</v>
      </c>
      <c r="K112">
        <f ca="1">IF($J112="Jatkaa",DATEDIF($B112,TODAY(),"Y"),INDEX('Lopettaneet 2013-&gt;'!$L:$L,MATCH($D112,'Lopettaneet 2013-&gt;'!$D:$D,0)))</f>
        <v>10</v>
      </c>
      <c r="L112">
        <v>111</v>
      </c>
    </row>
    <row r="113" spans="1:12" x14ac:dyDescent="0.25">
      <c r="A113" t="s">
        <v>7</v>
      </c>
      <c r="B113" s="1">
        <v>41974</v>
      </c>
      <c r="C113" s="1">
        <v>44926</v>
      </c>
      <c r="D113" s="4" t="s">
        <v>463</v>
      </c>
      <c r="E113" t="s">
        <v>10</v>
      </c>
      <c r="F113" t="s">
        <v>11</v>
      </c>
      <c r="G113" t="s">
        <v>80</v>
      </c>
      <c r="H113" t="s">
        <v>2763</v>
      </c>
      <c r="I113" t="s">
        <v>2763</v>
      </c>
      <c r="J113" t="str">
        <f>IF(ISNUMBER(MATCH($D113,'Lopettaneet 2013-&gt;'!$D:$D,0)),INDEX('Lopettaneet 2013-&gt;'!$K:$K,MATCH($D113,'Lopettaneet 2013-&gt;'!$D:$D,0)),"Jatkaa")</f>
        <v>Closed</v>
      </c>
      <c r="K113">
        <f ca="1">IF($J113="Jatkaa",DATEDIF($B113,TODAY(),"Y"),INDEX('Lopettaneet 2013-&gt;'!$L:$L,MATCH($D113,'Lopettaneet 2013-&gt;'!$D:$D,0)))</f>
        <v>8</v>
      </c>
      <c r="L113">
        <v>112</v>
      </c>
    </row>
    <row r="114" spans="1:12" x14ac:dyDescent="0.25">
      <c r="A114" t="s">
        <v>7</v>
      </c>
      <c r="B114" s="1">
        <v>41974</v>
      </c>
      <c r="C114" s="1">
        <v>55153</v>
      </c>
      <c r="D114" s="4" t="s">
        <v>465</v>
      </c>
      <c r="E114" t="s">
        <v>10</v>
      </c>
      <c r="F114" t="s">
        <v>11</v>
      </c>
      <c r="G114" t="s">
        <v>12</v>
      </c>
      <c r="H114" t="s">
        <v>2789</v>
      </c>
      <c r="I114" t="s">
        <v>2895</v>
      </c>
      <c r="J114" t="str">
        <f>IF(ISNUMBER(MATCH($D114,'Lopettaneet 2013-&gt;'!$D:$D,0)),INDEX('Lopettaneet 2013-&gt;'!$K:$K,MATCH($D114,'Lopettaneet 2013-&gt;'!$D:$D,0)),"Jatkaa")</f>
        <v>Jatkaa</v>
      </c>
      <c r="K114">
        <f ca="1">IF($J114="Jatkaa",DATEDIF($B114,TODAY(),"Y"),INDEX('Lopettaneet 2013-&gt;'!$L:$L,MATCH($D114,'Lopettaneet 2013-&gt;'!$D:$D,0)))</f>
        <v>10</v>
      </c>
      <c r="L114">
        <v>113</v>
      </c>
    </row>
    <row r="115" spans="1:12" x14ac:dyDescent="0.25">
      <c r="A115" t="s">
        <v>7</v>
      </c>
      <c r="B115" s="1">
        <v>41974</v>
      </c>
      <c r="C115" s="1">
        <v>42643</v>
      </c>
      <c r="D115" s="4" t="s">
        <v>467</v>
      </c>
      <c r="E115" t="s">
        <v>10</v>
      </c>
      <c r="F115" t="s">
        <v>11</v>
      </c>
      <c r="G115" t="s">
        <v>32</v>
      </c>
      <c r="H115" t="s">
        <v>2763</v>
      </c>
      <c r="I115" t="s">
        <v>2763</v>
      </c>
      <c r="J115" t="str">
        <f>IF(ISNUMBER(MATCH($D115,'Lopettaneet 2013-&gt;'!$D:$D,0)),INDEX('Lopettaneet 2013-&gt;'!$K:$K,MATCH($D115,'Lopettaneet 2013-&gt;'!$D:$D,0)),"Jatkaa")</f>
        <v>Closed</v>
      </c>
      <c r="K115">
        <f ca="1">IF($J115="Jatkaa",DATEDIF($B115,TODAY(),"Y"),INDEX('Lopettaneet 2013-&gt;'!$L:$L,MATCH($D115,'Lopettaneet 2013-&gt;'!$D:$D,0)))</f>
        <v>1</v>
      </c>
      <c r="L115">
        <v>114</v>
      </c>
    </row>
    <row r="116" spans="1:12" x14ac:dyDescent="0.25">
      <c r="A116" t="s">
        <v>7</v>
      </c>
      <c r="B116" s="1">
        <v>41974</v>
      </c>
      <c r="C116" s="1">
        <v>55153</v>
      </c>
      <c r="D116" s="4" t="s">
        <v>469</v>
      </c>
      <c r="E116" t="s">
        <v>10</v>
      </c>
      <c r="F116" t="s">
        <v>11</v>
      </c>
      <c r="G116" t="s">
        <v>80</v>
      </c>
      <c r="H116" t="s">
        <v>2790</v>
      </c>
      <c r="I116" t="s">
        <v>2895</v>
      </c>
      <c r="J116" t="str">
        <f>IF(ISNUMBER(MATCH($D116,'Lopettaneet 2013-&gt;'!$D:$D,0)),INDEX('Lopettaneet 2013-&gt;'!$K:$K,MATCH($D116,'Lopettaneet 2013-&gt;'!$D:$D,0)),"Jatkaa")</f>
        <v>Jatkaa</v>
      </c>
      <c r="K116">
        <f ca="1">IF($J116="Jatkaa",DATEDIF($B116,TODAY(),"Y"),INDEX('Lopettaneet 2013-&gt;'!$L:$L,MATCH($D116,'Lopettaneet 2013-&gt;'!$D:$D,0)))</f>
        <v>10</v>
      </c>
      <c r="L116">
        <v>115</v>
      </c>
    </row>
    <row r="117" spans="1:12" x14ac:dyDescent="0.25">
      <c r="A117" t="s">
        <v>7</v>
      </c>
      <c r="B117" s="1">
        <v>41974</v>
      </c>
      <c r="C117" s="1">
        <v>44834</v>
      </c>
      <c r="D117" s="4" t="s">
        <v>471</v>
      </c>
      <c r="E117" t="s">
        <v>10</v>
      </c>
      <c r="F117" t="s">
        <v>11</v>
      </c>
      <c r="G117" t="s">
        <v>12</v>
      </c>
      <c r="H117" t="s">
        <v>2763</v>
      </c>
      <c r="I117" t="s">
        <v>2763</v>
      </c>
      <c r="J117" t="str">
        <f>IF(ISNUMBER(MATCH($D117,'Lopettaneet 2013-&gt;'!$D:$D,0)),INDEX('Lopettaneet 2013-&gt;'!$K:$K,MATCH($D117,'Lopettaneet 2013-&gt;'!$D:$D,0)),"Jatkaa")</f>
        <v>Closed</v>
      </c>
      <c r="K117">
        <f ca="1">IF($J117="Jatkaa",DATEDIF($B117,TODAY(),"Y"),INDEX('Lopettaneet 2013-&gt;'!$L:$L,MATCH($D117,'Lopettaneet 2013-&gt;'!$D:$D,0)))</f>
        <v>7</v>
      </c>
      <c r="L117">
        <v>116</v>
      </c>
    </row>
    <row r="118" spans="1:12" x14ac:dyDescent="0.25">
      <c r="A118" t="s">
        <v>7</v>
      </c>
      <c r="B118" s="1">
        <v>41974</v>
      </c>
      <c r="C118" s="1">
        <v>55153</v>
      </c>
      <c r="D118" s="4" t="s">
        <v>473</v>
      </c>
      <c r="E118" t="s">
        <v>10</v>
      </c>
      <c r="F118" t="s">
        <v>11</v>
      </c>
      <c r="G118" t="s">
        <v>32</v>
      </c>
      <c r="H118" t="s">
        <v>2791</v>
      </c>
      <c r="I118" t="s">
        <v>2895</v>
      </c>
      <c r="J118" t="str">
        <f>IF(ISNUMBER(MATCH($D118,'Lopettaneet 2013-&gt;'!$D:$D,0)),INDEX('Lopettaneet 2013-&gt;'!$K:$K,MATCH($D118,'Lopettaneet 2013-&gt;'!$D:$D,0)),"Jatkaa")</f>
        <v>Jatkaa</v>
      </c>
      <c r="K118">
        <f ca="1">IF($J118="Jatkaa",DATEDIF($B118,TODAY(),"Y"),INDEX('Lopettaneet 2013-&gt;'!$L:$L,MATCH($D118,'Lopettaneet 2013-&gt;'!$D:$D,0)))</f>
        <v>10</v>
      </c>
      <c r="L118">
        <v>117</v>
      </c>
    </row>
    <row r="119" spans="1:12" x14ac:dyDescent="0.25">
      <c r="A119" t="s">
        <v>7</v>
      </c>
      <c r="B119" s="1">
        <v>41974</v>
      </c>
      <c r="C119" s="1">
        <v>55153</v>
      </c>
      <c r="D119" s="4" t="s">
        <v>475</v>
      </c>
      <c r="E119" t="s">
        <v>10</v>
      </c>
      <c r="F119" t="s">
        <v>11</v>
      </c>
      <c r="G119" t="s">
        <v>12</v>
      </c>
      <c r="H119" t="s">
        <v>2766</v>
      </c>
      <c r="I119" t="s">
        <v>2895</v>
      </c>
      <c r="J119" t="str">
        <f>IF(ISNUMBER(MATCH($D119,'Lopettaneet 2013-&gt;'!$D:$D,0)),INDEX('Lopettaneet 2013-&gt;'!$K:$K,MATCH($D119,'Lopettaneet 2013-&gt;'!$D:$D,0)),"Jatkaa")</f>
        <v>Jatkaa</v>
      </c>
      <c r="K119">
        <f ca="1">IF($J119="Jatkaa",DATEDIF($B119,TODAY(),"Y"),INDEX('Lopettaneet 2013-&gt;'!$L:$L,MATCH($D119,'Lopettaneet 2013-&gt;'!$D:$D,0)))</f>
        <v>10</v>
      </c>
      <c r="L119">
        <v>118</v>
      </c>
    </row>
    <row r="120" spans="1:12" x14ac:dyDescent="0.25">
      <c r="A120" t="s">
        <v>7</v>
      </c>
      <c r="B120" s="1">
        <v>41974</v>
      </c>
      <c r="C120" s="1">
        <v>42369</v>
      </c>
      <c r="D120" s="4" t="s">
        <v>477</v>
      </c>
      <c r="E120" t="s">
        <v>10</v>
      </c>
      <c r="F120" t="s">
        <v>11</v>
      </c>
      <c r="G120" t="s">
        <v>32</v>
      </c>
      <c r="H120" t="s">
        <v>2763</v>
      </c>
      <c r="I120" t="s">
        <v>2763</v>
      </c>
      <c r="J120" t="str">
        <f>IF(ISNUMBER(MATCH($D120,'Lopettaneet 2013-&gt;'!$D:$D,0)),INDEX('Lopettaneet 2013-&gt;'!$K:$K,MATCH($D120,'Lopettaneet 2013-&gt;'!$D:$D,0)),"Jatkaa")</f>
        <v>Closed</v>
      </c>
      <c r="K120">
        <f ca="1">IF($J120="Jatkaa",DATEDIF($B120,TODAY(),"Y"),INDEX('Lopettaneet 2013-&gt;'!$L:$L,MATCH($D120,'Lopettaneet 2013-&gt;'!$D:$D,0)))</f>
        <v>1</v>
      </c>
      <c r="L120">
        <v>119</v>
      </c>
    </row>
    <row r="121" spans="1:12" x14ac:dyDescent="0.25">
      <c r="A121" t="s">
        <v>7</v>
      </c>
      <c r="B121" s="1">
        <v>41974</v>
      </c>
      <c r="C121" s="1">
        <v>43465</v>
      </c>
      <c r="D121" s="4" t="s">
        <v>479</v>
      </c>
      <c r="E121" t="s">
        <v>10</v>
      </c>
      <c r="F121" t="s">
        <v>11</v>
      </c>
      <c r="G121" t="s">
        <v>12</v>
      </c>
      <c r="H121" t="s">
        <v>2763</v>
      </c>
      <c r="I121" t="s">
        <v>2763</v>
      </c>
      <c r="J121" t="str">
        <f>IF(ISNUMBER(MATCH($D121,'Lopettaneet 2013-&gt;'!$D:$D,0)),INDEX('Lopettaneet 2013-&gt;'!$K:$K,MATCH($D121,'Lopettaneet 2013-&gt;'!$D:$D,0)),"Jatkaa")</f>
        <v>Closed</v>
      </c>
      <c r="K121">
        <f ca="1">IF($J121="Jatkaa",DATEDIF($B121,TODAY(),"Y"),INDEX('Lopettaneet 2013-&gt;'!$L:$L,MATCH($D121,'Lopettaneet 2013-&gt;'!$D:$D,0)))</f>
        <v>4</v>
      </c>
      <c r="L121">
        <v>120</v>
      </c>
    </row>
    <row r="122" spans="1:12" x14ac:dyDescent="0.25">
      <c r="A122" t="s">
        <v>7</v>
      </c>
      <c r="B122" s="1">
        <v>41974</v>
      </c>
      <c r="C122" s="1">
        <v>44926</v>
      </c>
      <c r="D122" s="4" t="s">
        <v>481</v>
      </c>
      <c r="E122" t="s">
        <v>10</v>
      </c>
      <c r="F122" t="s">
        <v>11</v>
      </c>
      <c r="G122" t="s">
        <v>29</v>
      </c>
      <c r="H122" t="s">
        <v>2763</v>
      </c>
      <c r="I122" t="s">
        <v>2763</v>
      </c>
      <c r="J122" t="str">
        <f>IF(ISNUMBER(MATCH($D122,'Lopettaneet 2013-&gt;'!$D:$D,0)),INDEX('Lopettaneet 2013-&gt;'!$K:$K,MATCH($D122,'Lopettaneet 2013-&gt;'!$D:$D,0)),"Jatkaa")</f>
        <v>Closed</v>
      </c>
      <c r="K122">
        <f ca="1">IF($J122="Jatkaa",DATEDIF($B122,TODAY(),"Y"),INDEX('Lopettaneet 2013-&gt;'!$L:$L,MATCH($D122,'Lopettaneet 2013-&gt;'!$D:$D,0)))</f>
        <v>8</v>
      </c>
      <c r="L122">
        <v>121</v>
      </c>
    </row>
    <row r="123" spans="1:12" x14ac:dyDescent="0.25">
      <c r="A123" t="s">
        <v>7</v>
      </c>
      <c r="B123" s="1">
        <v>41974</v>
      </c>
      <c r="C123" s="1">
        <v>44926</v>
      </c>
      <c r="D123" s="4" t="s">
        <v>483</v>
      </c>
      <c r="E123" t="s">
        <v>10</v>
      </c>
      <c r="F123" t="s">
        <v>11</v>
      </c>
      <c r="G123" t="s">
        <v>29</v>
      </c>
      <c r="H123" t="s">
        <v>2763</v>
      </c>
      <c r="I123" t="s">
        <v>2763</v>
      </c>
      <c r="J123" t="str">
        <f>IF(ISNUMBER(MATCH($D123,'Lopettaneet 2013-&gt;'!$D:$D,0)),INDEX('Lopettaneet 2013-&gt;'!$K:$K,MATCH($D123,'Lopettaneet 2013-&gt;'!$D:$D,0)),"Jatkaa")</f>
        <v>Closed</v>
      </c>
      <c r="K123">
        <f ca="1">IF($J123="Jatkaa",DATEDIF($B123,TODAY(),"Y"),INDEX('Lopettaneet 2013-&gt;'!$L:$L,MATCH($D123,'Lopettaneet 2013-&gt;'!$D:$D,0)))</f>
        <v>8</v>
      </c>
      <c r="L123">
        <v>122</v>
      </c>
    </row>
    <row r="124" spans="1:12" x14ac:dyDescent="0.25">
      <c r="A124" t="s">
        <v>7</v>
      </c>
      <c r="B124" s="1">
        <v>41974</v>
      </c>
      <c r="C124" s="1">
        <v>44196</v>
      </c>
      <c r="D124" s="4" t="s">
        <v>485</v>
      </c>
      <c r="E124" t="s">
        <v>10</v>
      </c>
      <c r="F124" t="s">
        <v>11</v>
      </c>
      <c r="G124" t="s">
        <v>32</v>
      </c>
      <c r="H124" t="s">
        <v>2763</v>
      </c>
      <c r="I124" t="s">
        <v>2763</v>
      </c>
      <c r="J124" t="str">
        <f>IF(ISNUMBER(MATCH($D124,'Lopettaneet 2013-&gt;'!$D:$D,0)),INDEX('Lopettaneet 2013-&gt;'!$K:$K,MATCH($D124,'Lopettaneet 2013-&gt;'!$D:$D,0)),"Jatkaa")</f>
        <v>Closed</v>
      </c>
      <c r="K124">
        <f ca="1">IF($J124="Jatkaa",DATEDIF($B124,TODAY(),"Y"),INDEX('Lopettaneet 2013-&gt;'!$L:$L,MATCH($D124,'Lopettaneet 2013-&gt;'!$D:$D,0)))</f>
        <v>6</v>
      </c>
      <c r="L124">
        <v>123</v>
      </c>
    </row>
    <row r="125" spans="1:12" x14ac:dyDescent="0.25">
      <c r="A125" t="s">
        <v>7</v>
      </c>
      <c r="B125" s="1">
        <v>41974</v>
      </c>
      <c r="C125" s="1">
        <v>55153</v>
      </c>
      <c r="D125" s="4" t="s">
        <v>487</v>
      </c>
      <c r="E125" t="s">
        <v>10</v>
      </c>
      <c r="F125" t="s">
        <v>11</v>
      </c>
      <c r="G125" t="s">
        <v>12</v>
      </c>
      <c r="H125" t="s">
        <v>2781</v>
      </c>
      <c r="I125" t="s">
        <v>2895</v>
      </c>
      <c r="J125" t="str">
        <f>IF(ISNUMBER(MATCH($D125,'Lopettaneet 2013-&gt;'!$D:$D,0)),INDEX('Lopettaneet 2013-&gt;'!$K:$K,MATCH($D125,'Lopettaneet 2013-&gt;'!$D:$D,0)),"Jatkaa")</f>
        <v>Jatkaa</v>
      </c>
      <c r="K125">
        <f ca="1">IF($J125="Jatkaa",DATEDIF($B125,TODAY(),"Y"),INDEX('Lopettaneet 2013-&gt;'!$L:$L,MATCH($D125,'Lopettaneet 2013-&gt;'!$D:$D,0)))</f>
        <v>10</v>
      </c>
      <c r="L125">
        <v>124</v>
      </c>
    </row>
    <row r="126" spans="1:12" x14ac:dyDescent="0.25">
      <c r="A126" t="s">
        <v>7</v>
      </c>
      <c r="B126" s="1">
        <v>41974</v>
      </c>
      <c r="C126" s="1">
        <v>43830</v>
      </c>
      <c r="D126" s="4" t="s">
        <v>489</v>
      </c>
      <c r="E126" t="s">
        <v>10</v>
      </c>
      <c r="F126" t="s">
        <v>11</v>
      </c>
      <c r="G126" t="s">
        <v>32</v>
      </c>
      <c r="H126" t="s">
        <v>2763</v>
      </c>
      <c r="I126" t="s">
        <v>2763</v>
      </c>
      <c r="J126" t="str">
        <f>IF(ISNUMBER(MATCH($D126,'Lopettaneet 2013-&gt;'!$D:$D,0)),INDEX('Lopettaneet 2013-&gt;'!$K:$K,MATCH($D126,'Lopettaneet 2013-&gt;'!$D:$D,0)),"Jatkaa")</f>
        <v>Closed</v>
      </c>
      <c r="K126">
        <f ca="1">IF($J126="Jatkaa",DATEDIF($B126,TODAY(),"Y"),INDEX('Lopettaneet 2013-&gt;'!$L:$L,MATCH($D126,'Lopettaneet 2013-&gt;'!$D:$D,0)))</f>
        <v>5</v>
      </c>
      <c r="L126">
        <v>125</v>
      </c>
    </row>
    <row r="127" spans="1:12" x14ac:dyDescent="0.25">
      <c r="A127" t="s">
        <v>7</v>
      </c>
      <c r="B127" s="1">
        <v>41974</v>
      </c>
      <c r="C127" s="1">
        <v>55153</v>
      </c>
      <c r="D127" s="4" t="s">
        <v>491</v>
      </c>
      <c r="E127" t="s">
        <v>10</v>
      </c>
      <c r="F127" t="s">
        <v>11</v>
      </c>
      <c r="G127" t="s">
        <v>80</v>
      </c>
      <c r="H127" t="s">
        <v>2792</v>
      </c>
      <c r="I127" t="s">
        <v>2895</v>
      </c>
      <c r="J127" t="str">
        <f>IF(ISNUMBER(MATCH($D127,'Lopettaneet 2013-&gt;'!$D:$D,0)),INDEX('Lopettaneet 2013-&gt;'!$K:$K,MATCH($D127,'Lopettaneet 2013-&gt;'!$D:$D,0)),"Jatkaa")</f>
        <v>Jatkaa</v>
      </c>
      <c r="K127">
        <f ca="1">IF($J127="Jatkaa",DATEDIF($B127,TODAY(),"Y"),INDEX('Lopettaneet 2013-&gt;'!$L:$L,MATCH($D127,'Lopettaneet 2013-&gt;'!$D:$D,0)))</f>
        <v>10</v>
      </c>
      <c r="L127">
        <v>126</v>
      </c>
    </row>
    <row r="128" spans="1:12" x14ac:dyDescent="0.25">
      <c r="A128" t="s">
        <v>7</v>
      </c>
      <c r="B128" s="1">
        <v>41974</v>
      </c>
      <c r="C128" s="1">
        <v>43100</v>
      </c>
      <c r="D128" s="4" t="s">
        <v>493</v>
      </c>
      <c r="E128" t="s">
        <v>10</v>
      </c>
      <c r="F128" t="s">
        <v>11</v>
      </c>
      <c r="G128" t="s">
        <v>12</v>
      </c>
      <c r="H128" t="s">
        <v>2763</v>
      </c>
      <c r="I128" t="s">
        <v>2763</v>
      </c>
      <c r="J128" t="str">
        <f>IF(ISNUMBER(MATCH($D128,'Lopettaneet 2013-&gt;'!$D:$D,0)),INDEX('Lopettaneet 2013-&gt;'!$K:$K,MATCH($D128,'Lopettaneet 2013-&gt;'!$D:$D,0)),"Jatkaa")</f>
        <v>Closed</v>
      </c>
      <c r="K128">
        <f ca="1">IF($J128="Jatkaa",DATEDIF($B128,TODAY(),"Y"),INDEX('Lopettaneet 2013-&gt;'!$L:$L,MATCH($D128,'Lopettaneet 2013-&gt;'!$D:$D,0)))</f>
        <v>3</v>
      </c>
      <c r="L128">
        <v>127</v>
      </c>
    </row>
    <row r="129" spans="1:12" x14ac:dyDescent="0.25">
      <c r="A129" t="s">
        <v>7</v>
      </c>
      <c r="B129" s="1">
        <v>41974</v>
      </c>
      <c r="C129" s="1">
        <v>44196</v>
      </c>
      <c r="D129" s="4" t="s">
        <v>495</v>
      </c>
      <c r="E129" t="s">
        <v>10</v>
      </c>
      <c r="F129" t="s">
        <v>11</v>
      </c>
      <c r="G129" t="s">
        <v>12</v>
      </c>
      <c r="H129" t="s">
        <v>2763</v>
      </c>
      <c r="I129" t="s">
        <v>2763</v>
      </c>
      <c r="J129" t="str">
        <f>IF(ISNUMBER(MATCH($D129,'Lopettaneet 2013-&gt;'!$D:$D,0)),INDEX('Lopettaneet 2013-&gt;'!$K:$K,MATCH($D129,'Lopettaneet 2013-&gt;'!$D:$D,0)),"Jatkaa")</f>
        <v>Closed</v>
      </c>
      <c r="K129">
        <f ca="1">IF($J129="Jatkaa",DATEDIF($B129,TODAY(),"Y"),INDEX('Lopettaneet 2013-&gt;'!$L:$L,MATCH($D129,'Lopettaneet 2013-&gt;'!$D:$D,0)))</f>
        <v>6</v>
      </c>
      <c r="L129">
        <v>128</v>
      </c>
    </row>
    <row r="130" spans="1:12" x14ac:dyDescent="0.25">
      <c r="A130" t="s">
        <v>7</v>
      </c>
      <c r="B130" s="1">
        <v>41974</v>
      </c>
      <c r="C130" s="1">
        <v>44196</v>
      </c>
      <c r="D130" s="4" t="s">
        <v>497</v>
      </c>
      <c r="E130" t="s">
        <v>10</v>
      </c>
      <c r="F130" t="s">
        <v>11</v>
      </c>
      <c r="G130" t="s">
        <v>12</v>
      </c>
      <c r="H130" t="s">
        <v>2763</v>
      </c>
      <c r="I130" t="s">
        <v>2763</v>
      </c>
      <c r="J130" t="str">
        <f>IF(ISNUMBER(MATCH($D130,'Lopettaneet 2013-&gt;'!$D:$D,0)),INDEX('Lopettaneet 2013-&gt;'!$K:$K,MATCH($D130,'Lopettaneet 2013-&gt;'!$D:$D,0)),"Jatkaa")</f>
        <v>Closed</v>
      </c>
      <c r="K130">
        <f ca="1">IF($J130="Jatkaa",DATEDIF($B130,TODAY(),"Y"),INDEX('Lopettaneet 2013-&gt;'!$L:$L,MATCH($D130,'Lopettaneet 2013-&gt;'!$D:$D,0)))</f>
        <v>6</v>
      </c>
      <c r="L130">
        <v>129</v>
      </c>
    </row>
    <row r="131" spans="1:12" x14ac:dyDescent="0.25">
      <c r="A131" t="s">
        <v>7</v>
      </c>
      <c r="B131" s="1">
        <v>41974</v>
      </c>
      <c r="C131" s="1">
        <v>44196</v>
      </c>
      <c r="D131" s="4" t="s">
        <v>499</v>
      </c>
      <c r="E131" t="s">
        <v>10</v>
      </c>
      <c r="F131" t="s">
        <v>11</v>
      </c>
      <c r="G131" t="s">
        <v>12</v>
      </c>
      <c r="H131" t="s">
        <v>2763</v>
      </c>
      <c r="I131" t="s">
        <v>2763</v>
      </c>
      <c r="J131" t="str">
        <f>IF(ISNUMBER(MATCH($D131,'Lopettaneet 2013-&gt;'!$D:$D,0)),INDEX('Lopettaneet 2013-&gt;'!$K:$K,MATCH($D131,'Lopettaneet 2013-&gt;'!$D:$D,0)),"Jatkaa")</f>
        <v>Closed</v>
      </c>
      <c r="K131">
        <f ca="1">IF($J131="Jatkaa",DATEDIF($B131,TODAY(),"Y"),INDEX('Lopettaneet 2013-&gt;'!$L:$L,MATCH($D131,'Lopettaneet 2013-&gt;'!$D:$D,0)))</f>
        <v>6</v>
      </c>
      <c r="L131">
        <v>130</v>
      </c>
    </row>
    <row r="132" spans="1:12" x14ac:dyDescent="0.25">
      <c r="A132" t="s">
        <v>7</v>
      </c>
      <c r="B132" s="1">
        <v>41974</v>
      </c>
      <c r="C132" s="1">
        <v>44196</v>
      </c>
      <c r="D132" s="4" t="s">
        <v>501</v>
      </c>
      <c r="E132" t="s">
        <v>10</v>
      </c>
      <c r="F132" t="s">
        <v>11</v>
      </c>
      <c r="G132" t="s">
        <v>12</v>
      </c>
      <c r="H132" t="s">
        <v>2763</v>
      </c>
      <c r="I132" t="s">
        <v>2763</v>
      </c>
      <c r="J132" t="str">
        <f>IF(ISNUMBER(MATCH($D132,'Lopettaneet 2013-&gt;'!$D:$D,0)),INDEX('Lopettaneet 2013-&gt;'!$K:$K,MATCH($D132,'Lopettaneet 2013-&gt;'!$D:$D,0)),"Jatkaa")</f>
        <v>Closed</v>
      </c>
      <c r="K132">
        <f ca="1">IF($J132="Jatkaa",DATEDIF($B132,TODAY(),"Y"),INDEX('Lopettaneet 2013-&gt;'!$L:$L,MATCH($D132,'Lopettaneet 2013-&gt;'!$D:$D,0)))</f>
        <v>6</v>
      </c>
      <c r="L132">
        <v>131</v>
      </c>
    </row>
    <row r="133" spans="1:12" x14ac:dyDescent="0.25">
      <c r="A133" t="s">
        <v>7</v>
      </c>
      <c r="B133" s="1">
        <v>41974</v>
      </c>
      <c r="C133" s="1">
        <v>44196</v>
      </c>
      <c r="D133" s="4" t="s">
        <v>503</v>
      </c>
      <c r="E133" t="s">
        <v>10</v>
      </c>
      <c r="F133" t="s">
        <v>11</v>
      </c>
      <c r="G133" t="s">
        <v>12</v>
      </c>
      <c r="H133" t="s">
        <v>2763</v>
      </c>
      <c r="I133" t="s">
        <v>2763</v>
      </c>
      <c r="J133" t="str">
        <f>IF(ISNUMBER(MATCH($D133,'Lopettaneet 2013-&gt;'!$D:$D,0)),INDEX('Lopettaneet 2013-&gt;'!$K:$K,MATCH($D133,'Lopettaneet 2013-&gt;'!$D:$D,0)),"Jatkaa")</f>
        <v>Closed</v>
      </c>
      <c r="K133">
        <f ca="1">IF($J133="Jatkaa",DATEDIF($B133,TODAY(),"Y"),INDEX('Lopettaneet 2013-&gt;'!$L:$L,MATCH($D133,'Lopettaneet 2013-&gt;'!$D:$D,0)))</f>
        <v>6</v>
      </c>
      <c r="L133">
        <v>132</v>
      </c>
    </row>
    <row r="134" spans="1:12" x14ac:dyDescent="0.25">
      <c r="A134" t="s">
        <v>7</v>
      </c>
      <c r="B134" s="1">
        <v>41974</v>
      </c>
      <c r="C134" s="1">
        <v>55153</v>
      </c>
      <c r="D134" s="4" t="s">
        <v>505</v>
      </c>
      <c r="E134" t="s">
        <v>10</v>
      </c>
      <c r="F134" t="s">
        <v>11</v>
      </c>
      <c r="G134" t="s">
        <v>12</v>
      </c>
      <c r="H134" t="s">
        <v>2788</v>
      </c>
      <c r="I134" t="s">
        <v>2895</v>
      </c>
      <c r="J134" t="str">
        <f>IF(ISNUMBER(MATCH($D134,'Lopettaneet 2013-&gt;'!$D:$D,0)),INDEX('Lopettaneet 2013-&gt;'!$K:$K,MATCH($D134,'Lopettaneet 2013-&gt;'!$D:$D,0)),"Jatkaa")</f>
        <v>Jatkaa</v>
      </c>
      <c r="K134">
        <f ca="1">IF($J134="Jatkaa",DATEDIF($B134,TODAY(),"Y"),INDEX('Lopettaneet 2013-&gt;'!$L:$L,MATCH($D134,'Lopettaneet 2013-&gt;'!$D:$D,0)))</f>
        <v>10</v>
      </c>
      <c r="L134">
        <v>133</v>
      </c>
    </row>
    <row r="135" spans="1:12" x14ac:dyDescent="0.25">
      <c r="A135" t="s">
        <v>7</v>
      </c>
      <c r="B135" s="1">
        <v>41974</v>
      </c>
      <c r="C135" s="1">
        <v>55153</v>
      </c>
      <c r="D135" s="4" t="s">
        <v>507</v>
      </c>
      <c r="E135" t="s">
        <v>10</v>
      </c>
      <c r="F135" t="s">
        <v>11</v>
      </c>
      <c r="G135" t="s">
        <v>12</v>
      </c>
      <c r="H135" t="s">
        <v>2788</v>
      </c>
      <c r="I135" t="s">
        <v>2895</v>
      </c>
      <c r="J135" t="str">
        <f>IF(ISNUMBER(MATCH($D135,'Lopettaneet 2013-&gt;'!$D:$D,0)),INDEX('Lopettaneet 2013-&gt;'!$K:$K,MATCH($D135,'Lopettaneet 2013-&gt;'!$D:$D,0)),"Jatkaa")</f>
        <v>Jatkaa</v>
      </c>
      <c r="K135">
        <f ca="1">IF($J135="Jatkaa",DATEDIF($B135,TODAY(),"Y"),INDEX('Lopettaneet 2013-&gt;'!$L:$L,MATCH($D135,'Lopettaneet 2013-&gt;'!$D:$D,0)))</f>
        <v>10</v>
      </c>
      <c r="L135">
        <v>134</v>
      </c>
    </row>
    <row r="136" spans="1:12" x14ac:dyDescent="0.25">
      <c r="A136" t="s">
        <v>7</v>
      </c>
      <c r="B136" s="1">
        <v>41974</v>
      </c>
      <c r="C136" s="1">
        <v>55153</v>
      </c>
      <c r="D136" s="4" t="s">
        <v>509</v>
      </c>
      <c r="E136" t="s">
        <v>10</v>
      </c>
      <c r="F136" t="s">
        <v>11</v>
      </c>
      <c r="G136" t="s">
        <v>12</v>
      </c>
      <c r="H136" t="s">
        <v>2793</v>
      </c>
      <c r="I136" t="s">
        <v>2895</v>
      </c>
      <c r="J136" t="str">
        <f>IF(ISNUMBER(MATCH($D136,'Lopettaneet 2013-&gt;'!$D:$D,0)),INDEX('Lopettaneet 2013-&gt;'!$K:$K,MATCH($D136,'Lopettaneet 2013-&gt;'!$D:$D,0)),"Jatkaa")</f>
        <v>Jatkaa</v>
      </c>
      <c r="K136">
        <f ca="1">IF($J136="Jatkaa",DATEDIF($B136,TODAY(),"Y"),INDEX('Lopettaneet 2013-&gt;'!$L:$L,MATCH($D136,'Lopettaneet 2013-&gt;'!$D:$D,0)))</f>
        <v>10</v>
      </c>
      <c r="L136">
        <v>135</v>
      </c>
    </row>
    <row r="137" spans="1:12" x14ac:dyDescent="0.25">
      <c r="A137" t="s">
        <v>7</v>
      </c>
      <c r="B137" s="1">
        <v>41974</v>
      </c>
      <c r="C137" s="1">
        <v>43465</v>
      </c>
      <c r="D137" s="4" t="s">
        <v>511</v>
      </c>
      <c r="E137" t="s">
        <v>10</v>
      </c>
      <c r="F137" t="s">
        <v>11</v>
      </c>
      <c r="G137" t="s">
        <v>32</v>
      </c>
      <c r="H137" t="s">
        <v>2763</v>
      </c>
      <c r="I137" t="s">
        <v>2763</v>
      </c>
      <c r="J137" t="str">
        <f>IF(ISNUMBER(MATCH($D137,'Lopettaneet 2013-&gt;'!$D:$D,0)),INDEX('Lopettaneet 2013-&gt;'!$K:$K,MATCH($D137,'Lopettaneet 2013-&gt;'!$D:$D,0)),"Jatkaa")</f>
        <v>Closed</v>
      </c>
      <c r="K137">
        <f ca="1">IF($J137="Jatkaa",DATEDIF($B137,TODAY(),"Y"),INDEX('Lopettaneet 2013-&gt;'!$L:$L,MATCH($D137,'Lopettaneet 2013-&gt;'!$D:$D,0)))</f>
        <v>4</v>
      </c>
      <c r="L137">
        <v>136</v>
      </c>
    </row>
    <row r="138" spans="1:12" x14ac:dyDescent="0.25">
      <c r="A138" t="s">
        <v>7</v>
      </c>
      <c r="B138" s="1">
        <v>41974</v>
      </c>
      <c r="C138" s="1">
        <v>45016</v>
      </c>
      <c r="D138" s="4" t="s">
        <v>15</v>
      </c>
      <c r="E138" t="s">
        <v>10</v>
      </c>
      <c r="F138" t="s">
        <v>11</v>
      </c>
      <c r="G138" t="s">
        <v>12</v>
      </c>
      <c r="H138" t="s">
        <v>2763</v>
      </c>
      <c r="I138" t="s">
        <v>2763</v>
      </c>
      <c r="J138" t="str">
        <f>IF(ISNUMBER(MATCH($D138,'Lopettaneet 2013-&gt;'!$D:$D,0)),INDEX('Lopettaneet 2013-&gt;'!$K:$K,MATCH($D138,'Lopettaneet 2013-&gt;'!$D:$D,0)),"Jatkaa")</f>
        <v>Closed</v>
      </c>
      <c r="K138">
        <f ca="1">IF($J138="Jatkaa",DATEDIF($B138,TODAY(),"Y"),INDEX('Lopettaneet 2013-&gt;'!$L:$L,MATCH($D138,'Lopettaneet 2013-&gt;'!$D:$D,0)))</f>
        <v>8</v>
      </c>
      <c r="L138">
        <v>137</v>
      </c>
    </row>
    <row r="139" spans="1:12" x14ac:dyDescent="0.25">
      <c r="A139" t="s">
        <v>7</v>
      </c>
      <c r="B139" s="1">
        <v>41974</v>
      </c>
      <c r="C139" s="1">
        <v>43830</v>
      </c>
      <c r="D139" s="4" t="s">
        <v>513</v>
      </c>
      <c r="E139" t="s">
        <v>10</v>
      </c>
      <c r="F139" t="s">
        <v>11</v>
      </c>
      <c r="G139" t="s">
        <v>32</v>
      </c>
      <c r="H139" t="s">
        <v>2763</v>
      </c>
      <c r="I139" t="s">
        <v>2763</v>
      </c>
      <c r="J139" t="str">
        <f>IF(ISNUMBER(MATCH($D139,'Lopettaneet 2013-&gt;'!$D:$D,0)),INDEX('Lopettaneet 2013-&gt;'!$K:$K,MATCH($D139,'Lopettaneet 2013-&gt;'!$D:$D,0)),"Jatkaa")</f>
        <v>Closed</v>
      </c>
      <c r="K139">
        <f ca="1">IF($J139="Jatkaa",DATEDIF($B139,TODAY(),"Y"),INDEX('Lopettaneet 2013-&gt;'!$L:$L,MATCH($D139,'Lopettaneet 2013-&gt;'!$D:$D,0)))</f>
        <v>5</v>
      </c>
      <c r="L139">
        <v>138</v>
      </c>
    </row>
    <row r="140" spans="1:12" x14ac:dyDescent="0.25">
      <c r="A140" t="s">
        <v>7</v>
      </c>
      <c r="B140" s="1">
        <v>41974</v>
      </c>
      <c r="C140" s="1">
        <v>55153</v>
      </c>
      <c r="D140" s="4" t="s">
        <v>515</v>
      </c>
      <c r="E140" t="s">
        <v>10</v>
      </c>
      <c r="F140" t="s">
        <v>11</v>
      </c>
      <c r="G140" t="s">
        <v>80</v>
      </c>
      <c r="H140" t="s">
        <v>2794</v>
      </c>
      <c r="I140" t="s">
        <v>2895</v>
      </c>
      <c r="J140" t="str">
        <f>IF(ISNUMBER(MATCH($D140,'Lopettaneet 2013-&gt;'!$D:$D,0)),INDEX('Lopettaneet 2013-&gt;'!$K:$K,MATCH($D140,'Lopettaneet 2013-&gt;'!$D:$D,0)),"Jatkaa")</f>
        <v>Jatkaa</v>
      </c>
      <c r="K140">
        <f ca="1">IF($J140="Jatkaa",DATEDIF($B140,TODAY(),"Y"),INDEX('Lopettaneet 2013-&gt;'!$L:$L,MATCH($D140,'Lopettaneet 2013-&gt;'!$D:$D,0)))</f>
        <v>10</v>
      </c>
      <c r="L140">
        <v>139</v>
      </c>
    </row>
    <row r="141" spans="1:12" x14ac:dyDescent="0.25">
      <c r="A141" t="s">
        <v>7</v>
      </c>
      <c r="B141" s="1">
        <v>41974</v>
      </c>
      <c r="C141" s="1">
        <v>55153</v>
      </c>
      <c r="D141" s="4" t="s">
        <v>517</v>
      </c>
      <c r="E141" t="s">
        <v>10</v>
      </c>
      <c r="F141" t="s">
        <v>11</v>
      </c>
      <c r="G141" t="s">
        <v>80</v>
      </c>
      <c r="H141" t="s">
        <v>2795</v>
      </c>
      <c r="I141" t="s">
        <v>2895</v>
      </c>
      <c r="J141" t="str">
        <f>IF(ISNUMBER(MATCH($D141,'Lopettaneet 2013-&gt;'!$D:$D,0)),INDEX('Lopettaneet 2013-&gt;'!$K:$K,MATCH($D141,'Lopettaneet 2013-&gt;'!$D:$D,0)),"Jatkaa")</f>
        <v>Jatkaa</v>
      </c>
      <c r="K141">
        <f ca="1">IF($J141="Jatkaa",DATEDIF($B141,TODAY(),"Y"),INDEX('Lopettaneet 2013-&gt;'!$L:$L,MATCH($D141,'Lopettaneet 2013-&gt;'!$D:$D,0)))</f>
        <v>10</v>
      </c>
      <c r="L141">
        <v>140</v>
      </c>
    </row>
    <row r="142" spans="1:12" x14ac:dyDescent="0.25">
      <c r="A142" t="s">
        <v>7</v>
      </c>
      <c r="B142" s="1">
        <v>41974</v>
      </c>
      <c r="C142" s="1">
        <v>55153</v>
      </c>
      <c r="D142" s="4" t="s">
        <v>519</v>
      </c>
      <c r="E142" t="s">
        <v>10</v>
      </c>
      <c r="F142" t="s">
        <v>11</v>
      </c>
      <c r="G142" t="s">
        <v>80</v>
      </c>
      <c r="H142" t="s">
        <v>2784</v>
      </c>
      <c r="I142" t="s">
        <v>2895</v>
      </c>
      <c r="J142" t="str">
        <f>IF(ISNUMBER(MATCH($D142,'Lopettaneet 2013-&gt;'!$D:$D,0)),INDEX('Lopettaneet 2013-&gt;'!$K:$K,MATCH($D142,'Lopettaneet 2013-&gt;'!$D:$D,0)),"Jatkaa")</f>
        <v>Jatkaa</v>
      </c>
      <c r="K142">
        <f ca="1">IF($J142="Jatkaa",DATEDIF($B142,TODAY(),"Y"),INDEX('Lopettaneet 2013-&gt;'!$L:$L,MATCH($D142,'Lopettaneet 2013-&gt;'!$D:$D,0)))</f>
        <v>10</v>
      </c>
      <c r="L142">
        <v>141</v>
      </c>
    </row>
    <row r="143" spans="1:12" x14ac:dyDescent="0.25">
      <c r="A143" t="s">
        <v>7</v>
      </c>
      <c r="B143" s="1">
        <v>41974</v>
      </c>
      <c r="C143" s="1">
        <v>55153</v>
      </c>
      <c r="D143" s="4" t="s">
        <v>521</v>
      </c>
      <c r="E143" t="s">
        <v>10</v>
      </c>
      <c r="F143" t="s">
        <v>11</v>
      </c>
      <c r="G143" t="s">
        <v>80</v>
      </c>
      <c r="H143" t="s">
        <v>2787</v>
      </c>
      <c r="I143" t="s">
        <v>2895</v>
      </c>
      <c r="J143" t="str">
        <f>IF(ISNUMBER(MATCH($D143,'Lopettaneet 2013-&gt;'!$D:$D,0)),INDEX('Lopettaneet 2013-&gt;'!$K:$K,MATCH($D143,'Lopettaneet 2013-&gt;'!$D:$D,0)),"Jatkaa")</f>
        <v>Jatkaa</v>
      </c>
      <c r="K143">
        <f ca="1">IF($J143="Jatkaa",DATEDIF($B143,TODAY(),"Y"),INDEX('Lopettaneet 2013-&gt;'!$L:$L,MATCH($D143,'Lopettaneet 2013-&gt;'!$D:$D,0)))</f>
        <v>10</v>
      </c>
      <c r="L143">
        <v>142</v>
      </c>
    </row>
    <row r="144" spans="1:12" x14ac:dyDescent="0.25">
      <c r="A144" t="s">
        <v>7</v>
      </c>
      <c r="B144" s="1">
        <v>41974</v>
      </c>
      <c r="C144" s="1">
        <v>45107</v>
      </c>
      <c r="D144" s="4" t="s">
        <v>17</v>
      </c>
      <c r="E144" t="s">
        <v>10</v>
      </c>
      <c r="F144" t="s">
        <v>11</v>
      </c>
      <c r="G144" t="s">
        <v>12</v>
      </c>
      <c r="H144" t="s">
        <v>2763</v>
      </c>
      <c r="I144" t="s">
        <v>2763</v>
      </c>
      <c r="J144" t="str">
        <f>IF(ISNUMBER(MATCH($D144,'Lopettaneet 2013-&gt;'!$D:$D,0)),INDEX('Lopettaneet 2013-&gt;'!$K:$K,MATCH($D144,'Lopettaneet 2013-&gt;'!$D:$D,0)),"Jatkaa")</f>
        <v>Closed</v>
      </c>
      <c r="K144">
        <f ca="1">IF($J144="Jatkaa",DATEDIF($B144,TODAY(),"Y"),INDEX('Lopettaneet 2013-&gt;'!$L:$L,MATCH($D144,'Lopettaneet 2013-&gt;'!$D:$D,0)))</f>
        <v>8</v>
      </c>
      <c r="L144">
        <v>143</v>
      </c>
    </row>
    <row r="145" spans="1:12" x14ac:dyDescent="0.25">
      <c r="A145" t="s">
        <v>7</v>
      </c>
      <c r="B145" s="1">
        <v>41974</v>
      </c>
      <c r="C145" s="1">
        <v>44926</v>
      </c>
      <c r="D145" s="4" t="s">
        <v>524</v>
      </c>
      <c r="E145" t="s">
        <v>10</v>
      </c>
      <c r="F145" t="s">
        <v>11</v>
      </c>
      <c r="G145" t="s">
        <v>12</v>
      </c>
      <c r="H145" t="s">
        <v>2763</v>
      </c>
      <c r="I145" t="s">
        <v>2763</v>
      </c>
      <c r="J145" t="str">
        <f>IF(ISNUMBER(MATCH($D145,'Lopettaneet 2013-&gt;'!$D:$D,0)),INDEX('Lopettaneet 2013-&gt;'!$K:$K,MATCH($D145,'Lopettaneet 2013-&gt;'!$D:$D,0)),"Jatkaa")</f>
        <v>Closed</v>
      </c>
      <c r="K145">
        <f ca="1">IF($J145="Jatkaa",DATEDIF($B145,TODAY(),"Y"),INDEX('Lopettaneet 2013-&gt;'!$L:$L,MATCH($D145,'Lopettaneet 2013-&gt;'!$D:$D,0)))</f>
        <v>8</v>
      </c>
      <c r="L145">
        <v>144</v>
      </c>
    </row>
    <row r="146" spans="1:12" x14ac:dyDescent="0.25">
      <c r="A146" t="s">
        <v>7</v>
      </c>
      <c r="B146" s="1">
        <v>41974</v>
      </c>
      <c r="C146" s="1">
        <v>55153</v>
      </c>
      <c r="D146" s="4" t="s">
        <v>526</v>
      </c>
      <c r="E146" t="s">
        <v>10</v>
      </c>
      <c r="F146" t="s">
        <v>11</v>
      </c>
      <c r="G146" t="s">
        <v>32</v>
      </c>
      <c r="H146" t="s">
        <v>2772</v>
      </c>
      <c r="I146" t="s">
        <v>2895</v>
      </c>
      <c r="J146" t="str">
        <f>IF(ISNUMBER(MATCH($D146,'Lopettaneet 2013-&gt;'!$D:$D,0)),INDEX('Lopettaneet 2013-&gt;'!$K:$K,MATCH($D146,'Lopettaneet 2013-&gt;'!$D:$D,0)),"Jatkaa")</f>
        <v>Jatkaa</v>
      </c>
      <c r="K146">
        <f ca="1">IF($J146="Jatkaa",DATEDIF($B146,TODAY(),"Y"),INDEX('Lopettaneet 2013-&gt;'!$L:$L,MATCH($D146,'Lopettaneet 2013-&gt;'!$D:$D,0)))</f>
        <v>10</v>
      </c>
      <c r="L146">
        <v>145</v>
      </c>
    </row>
    <row r="147" spans="1:12" x14ac:dyDescent="0.25">
      <c r="A147" t="s">
        <v>7</v>
      </c>
      <c r="B147" s="1">
        <v>41974</v>
      </c>
      <c r="C147" s="1">
        <v>55153</v>
      </c>
      <c r="D147" s="4" t="s">
        <v>528</v>
      </c>
      <c r="E147" t="s">
        <v>10</v>
      </c>
      <c r="F147" t="s">
        <v>11</v>
      </c>
      <c r="G147" t="s">
        <v>12</v>
      </c>
      <c r="H147" t="s">
        <v>2796</v>
      </c>
      <c r="I147" t="s">
        <v>2895</v>
      </c>
      <c r="J147" t="str">
        <f>IF(ISNUMBER(MATCH($D147,'Lopettaneet 2013-&gt;'!$D:$D,0)),INDEX('Lopettaneet 2013-&gt;'!$K:$K,MATCH($D147,'Lopettaneet 2013-&gt;'!$D:$D,0)),"Jatkaa")</f>
        <v>Jatkaa</v>
      </c>
      <c r="K147">
        <f ca="1">IF($J147="Jatkaa",DATEDIF($B147,TODAY(),"Y"),INDEX('Lopettaneet 2013-&gt;'!$L:$L,MATCH($D147,'Lopettaneet 2013-&gt;'!$D:$D,0)))</f>
        <v>10</v>
      </c>
      <c r="L147">
        <v>146</v>
      </c>
    </row>
    <row r="148" spans="1:12" x14ac:dyDescent="0.25">
      <c r="A148" t="s">
        <v>7</v>
      </c>
      <c r="B148" s="1">
        <v>41974</v>
      </c>
      <c r="C148" s="1">
        <v>44926</v>
      </c>
      <c r="D148" s="4" t="s">
        <v>530</v>
      </c>
      <c r="E148" t="s">
        <v>10</v>
      </c>
      <c r="F148" t="s">
        <v>11</v>
      </c>
      <c r="G148" t="s">
        <v>12</v>
      </c>
      <c r="H148" t="s">
        <v>2763</v>
      </c>
      <c r="I148" t="s">
        <v>2763</v>
      </c>
      <c r="J148" t="str">
        <f>IF(ISNUMBER(MATCH($D148,'Lopettaneet 2013-&gt;'!$D:$D,0)),INDEX('Lopettaneet 2013-&gt;'!$K:$K,MATCH($D148,'Lopettaneet 2013-&gt;'!$D:$D,0)),"Jatkaa")</f>
        <v>Closed</v>
      </c>
      <c r="K148">
        <f ca="1">IF($J148="Jatkaa",DATEDIF($B148,TODAY(),"Y"),INDEX('Lopettaneet 2013-&gt;'!$L:$L,MATCH($D148,'Lopettaneet 2013-&gt;'!$D:$D,0)))</f>
        <v>8</v>
      </c>
      <c r="L148">
        <v>147</v>
      </c>
    </row>
    <row r="149" spans="1:12" x14ac:dyDescent="0.25">
      <c r="A149" t="s">
        <v>7</v>
      </c>
      <c r="B149" s="1">
        <v>41974</v>
      </c>
      <c r="C149" s="1">
        <v>55153</v>
      </c>
      <c r="D149" s="4" t="s">
        <v>532</v>
      </c>
      <c r="E149" t="s">
        <v>10</v>
      </c>
      <c r="F149" t="s">
        <v>11</v>
      </c>
      <c r="G149" t="s">
        <v>12</v>
      </c>
      <c r="H149" t="s">
        <v>2781</v>
      </c>
      <c r="I149" t="s">
        <v>2763</v>
      </c>
      <c r="J149" t="str">
        <f>IF(ISNUMBER(MATCH($D149,'Lopettaneet 2013-&gt;'!$D:$D,0)),INDEX('Lopettaneet 2013-&gt;'!$K:$K,MATCH($D149,'Lopettaneet 2013-&gt;'!$D:$D,0)),"Jatkaa")</f>
        <v>Jatkaa</v>
      </c>
      <c r="K149">
        <f ca="1">IF($J149="Jatkaa",DATEDIF($B149,TODAY(),"Y"),INDEX('Lopettaneet 2013-&gt;'!$L:$L,MATCH($D149,'Lopettaneet 2013-&gt;'!$D:$D,0)))</f>
        <v>10</v>
      </c>
      <c r="L149">
        <v>148</v>
      </c>
    </row>
    <row r="150" spans="1:12" x14ac:dyDescent="0.25">
      <c r="A150" t="s">
        <v>7</v>
      </c>
      <c r="B150" s="1">
        <v>41974</v>
      </c>
      <c r="C150" s="1">
        <v>55153</v>
      </c>
      <c r="D150" s="4" t="s">
        <v>534</v>
      </c>
      <c r="E150" t="s">
        <v>10</v>
      </c>
      <c r="F150" t="s">
        <v>11</v>
      </c>
      <c r="G150" t="s">
        <v>12</v>
      </c>
      <c r="H150" t="s">
        <v>2781</v>
      </c>
      <c r="I150" t="s">
        <v>2895</v>
      </c>
      <c r="J150" t="str">
        <f>IF(ISNUMBER(MATCH($D150,'Lopettaneet 2013-&gt;'!$D:$D,0)),INDEX('Lopettaneet 2013-&gt;'!$K:$K,MATCH($D150,'Lopettaneet 2013-&gt;'!$D:$D,0)),"Jatkaa")</f>
        <v>Jatkaa</v>
      </c>
      <c r="K150">
        <f ca="1">IF($J150="Jatkaa",DATEDIF($B150,TODAY(),"Y"),INDEX('Lopettaneet 2013-&gt;'!$L:$L,MATCH($D150,'Lopettaneet 2013-&gt;'!$D:$D,0)))</f>
        <v>10</v>
      </c>
      <c r="L150">
        <v>149</v>
      </c>
    </row>
    <row r="151" spans="1:12" x14ac:dyDescent="0.25">
      <c r="A151" t="s">
        <v>7</v>
      </c>
      <c r="B151" s="1">
        <v>41974</v>
      </c>
      <c r="C151" s="1">
        <v>55153</v>
      </c>
      <c r="D151" s="4" t="s">
        <v>536</v>
      </c>
      <c r="E151" t="s">
        <v>10</v>
      </c>
      <c r="F151" t="s">
        <v>11</v>
      </c>
      <c r="G151" t="s">
        <v>29</v>
      </c>
      <c r="H151" t="s">
        <v>2781</v>
      </c>
      <c r="I151" t="s">
        <v>2895</v>
      </c>
      <c r="J151" t="str">
        <f>IF(ISNUMBER(MATCH($D151,'Lopettaneet 2013-&gt;'!$D:$D,0)),INDEX('Lopettaneet 2013-&gt;'!$K:$K,MATCH($D151,'Lopettaneet 2013-&gt;'!$D:$D,0)),"Jatkaa")</f>
        <v>Jatkaa</v>
      </c>
      <c r="K151">
        <f ca="1">IF($J151="Jatkaa",DATEDIF($B151,TODAY(),"Y"),INDEX('Lopettaneet 2013-&gt;'!$L:$L,MATCH($D151,'Lopettaneet 2013-&gt;'!$D:$D,0)))</f>
        <v>10</v>
      </c>
      <c r="L151">
        <v>150</v>
      </c>
    </row>
    <row r="152" spans="1:12" x14ac:dyDescent="0.25">
      <c r="A152" t="s">
        <v>0</v>
      </c>
      <c r="B152" s="1">
        <v>41671</v>
      </c>
      <c r="C152" s="1">
        <v>43799</v>
      </c>
      <c r="D152" s="4" t="s">
        <v>538</v>
      </c>
      <c r="E152" t="s">
        <v>10</v>
      </c>
      <c r="F152" t="s">
        <v>4</v>
      </c>
      <c r="G152" t="s">
        <v>20</v>
      </c>
      <c r="H152" t="s">
        <v>2763</v>
      </c>
      <c r="I152" t="s">
        <v>2763</v>
      </c>
      <c r="J152" t="str">
        <f>IF(ISNUMBER(MATCH($D152,'Lopettaneet 2013-&gt;'!$D:$D,0)),INDEX('Lopettaneet 2013-&gt;'!$K:$K,MATCH($D152,'Lopettaneet 2013-&gt;'!$D:$D,0)),"Jatkaa")</f>
        <v>Merged</v>
      </c>
      <c r="K152">
        <f ca="1">IF($J152="Jatkaa",DATEDIF($B152,TODAY(),"Y"),INDEX('Lopettaneet 2013-&gt;'!$L:$L,MATCH($D152,'Lopettaneet 2013-&gt;'!$D:$D,0)))</f>
        <v>5</v>
      </c>
      <c r="L152">
        <v>151</v>
      </c>
    </row>
    <row r="153" spans="1:12" x14ac:dyDescent="0.25">
      <c r="A153" t="s">
        <v>0</v>
      </c>
      <c r="B153" s="1">
        <v>41730</v>
      </c>
      <c r="C153" s="1">
        <v>55153</v>
      </c>
      <c r="D153" s="4" t="s">
        <v>540</v>
      </c>
      <c r="E153" t="s">
        <v>3</v>
      </c>
      <c r="F153" t="s">
        <v>4</v>
      </c>
      <c r="G153" t="s">
        <v>20</v>
      </c>
      <c r="H153" t="s">
        <v>2767</v>
      </c>
      <c r="I153" t="s">
        <v>2894</v>
      </c>
      <c r="J153" t="str">
        <f>IF(ISNUMBER(MATCH($D153,'Lopettaneet 2013-&gt;'!$D:$D,0)),INDEX('Lopettaneet 2013-&gt;'!$K:$K,MATCH($D153,'Lopettaneet 2013-&gt;'!$D:$D,0)),"Jatkaa")</f>
        <v>Jatkaa</v>
      </c>
      <c r="K153">
        <f ca="1">IF($J153="Jatkaa",DATEDIF($B153,TODAY(),"Y"),INDEX('Lopettaneet 2013-&gt;'!$L:$L,MATCH($D153,'Lopettaneet 2013-&gt;'!$D:$D,0)))</f>
        <v>11</v>
      </c>
      <c r="L153">
        <v>152</v>
      </c>
    </row>
    <row r="154" spans="1:12" x14ac:dyDescent="0.25">
      <c r="A154" t="s">
        <v>0</v>
      </c>
      <c r="B154" s="1">
        <v>41821</v>
      </c>
      <c r="C154" s="1">
        <v>55153</v>
      </c>
      <c r="D154" s="4" t="s">
        <v>542</v>
      </c>
      <c r="E154" t="s">
        <v>10</v>
      </c>
      <c r="F154" t="s">
        <v>4</v>
      </c>
      <c r="G154" t="s">
        <v>20</v>
      </c>
      <c r="H154" t="s">
        <v>2797</v>
      </c>
      <c r="I154" t="s">
        <v>2894</v>
      </c>
      <c r="J154" t="str">
        <f>IF(ISNUMBER(MATCH($D154,'Lopettaneet 2013-&gt;'!$D:$D,0)),INDEX('Lopettaneet 2013-&gt;'!$K:$K,MATCH($D154,'Lopettaneet 2013-&gt;'!$D:$D,0)),"Jatkaa")</f>
        <v>Jatkaa</v>
      </c>
      <c r="K154">
        <f ca="1">IF($J154="Jatkaa",DATEDIF($B154,TODAY(),"Y"),INDEX('Lopettaneet 2013-&gt;'!$L:$L,MATCH($D154,'Lopettaneet 2013-&gt;'!$D:$D,0)))</f>
        <v>10</v>
      </c>
      <c r="L154">
        <v>153</v>
      </c>
    </row>
    <row r="155" spans="1:12" x14ac:dyDescent="0.25">
      <c r="A155" t="s">
        <v>0</v>
      </c>
      <c r="B155" s="1">
        <v>41730</v>
      </c>
      <c r="C155" s="1">
        <v>55153</v>
      </c>
      <c r="D155" s="4" t="s">
        <v>544</v>
      </c>
      <c r="E155" t="s">
        <v>3</v>
      </c>
      <c r="F155" t="s">
        <v>4</v>
      </c>
      <c r="G155" t="s">
        <v>50</v>
      </c>
      <c r="H155" t="s">
        <v>2767</v>
      </c>
      <c r="I155" t="s">
        <v>2894</v>
      </c>
      <c r="J155" t="str">
        <f>IF(ISNUMBER(MATCH($D155,'Lopettaneet 2013-&gt;'!$D:$D,0)),INDEX('Lopettaneet 2013-&gt;'!$K:$K,MATCH($D155,'Lopettaneet 2013-&gt;'!$D:$D,0)),"Jatkaa")</f>
        <v>Jatkaa</v>
      </c>
      <c r="K155">
        <f ca="1">IF($J155="Jatkaa",DATEDIF($B155,TODAY(),"Y"),INDEX('Lopettaneet 2013-&gt;'!$L:$L,MATCH($D155,'Lopettaneet 2013-&gt;'!$D:$D,0)))</f>
        <v>11</v>
      </c>
      <c r="L155">
        <v>154</v>
      </c>
    </row>
    <row r="156" spans="1:12" x14ac:dyDescent="0.25">
      <c r="A156" t="s">
        <v>0</v>
      </c>
      <c r="B156" s="1">
        <v>41791</v>
      </c>
      <c r="C156" s="1">
        <v>55153</v>
      </c>
      <c r="D156" s="4" t="s">
        <v>546</v>
      </c>
      <c r="E156" t="s">
        <v>10</v>
      </c>
      <c r="F156" t="s">
        <v>4</v>
      </c>
      <c r="G156" t="s">
        <v>32</v>
      </c>
      <c r="H156" t="s">
        <v>2765</v>
      </c>
      <c r="I156" t="s">
        <v>2894</v>
      </c>
      <c r="J156" t="str">
        <f>IF(ISNUMBER(MATCH($D156,'Lopettaneet 2013-&gt;'!$D:$D,0)),INDEX('Lopettaneet 2013-&gt;'!$K:$K,MATCH($D156,'Lopettaneet 2013-&gt;'!$D:$D,0)),"Jatkaa")</f>
        <v>Jatkaa</v>
      </c>
      <c r="K156">
        <f ca="1">IF($J156="Jatkaa",DATEDIF($B156,TODAY(),"Y"),INDEX('Lopettaneet 2013-&gt;'!$L:$L,MATCH($D156,'Lopettaneet 2013-&gt;'!$D:$D,0)))</f>
        <v>10</v>
      </c>
      <c r="L156">
        <v>155</v>
      </c>
    </row>
    <row r="157" spans="1:12" x14ac:dyDescent="0.25">
      <c r="A157" t="s">
        <v>0</v>
      </c>
      <c r="B157" s="1">
        <v>41730</v>
      </c>
      <c r="C157" s="1">
        <v>43524</v>
      </c>
      <c r="D157" s="4" t="s">
        <v>548</v>
      </c>
      <c r="E157" t="s">
        <v>10</v>
      </c>
      <c r="F157" t="s">
        <v>4</v>
      </c>
      <c r="G157" t="s">
        <v>5</v>
      </c>
      <c r="H157" t="s">
        <v>2763</v>
      </c>
      <c r="I157" t="s">
        <v>2763</v>
      </c>
      <c r="J157" t="str">
        <f>IF(ISNUMBER(MATCH($D157,'Lopettaneet 2013-&gt;'!$D:$D,0)),INDEX('Lopettaneet 2013-&gt;'!$K:$K,MATCH($D157,'Lopettaneet 2013-&gt;'!$D:$D,0)),"Jatkaa")</f>
        <v>Merged</v>
      </c>
      <c r="K157">
        <f ca="1">IF($J157="Jatkaa",DATEDIF($B157,TODAY(),"Y"),INDEX('Lopettaneet 2013-&gt;'!$L:$L,MATCH($D157,'Lopettaneet 2013-&gt;'!$D:$D,0)))</f>
        <v>4</v>
      </c>
      <c r="L157">
        <v>156</v>
      </c>
    </row>
    <row r="158" spans="1:12" x14ac:dyDescent="0.25">
      <c r="A158" t="s">
        <v>0</v>
      </c>
      <c r="B158" s="1">
        <v>41944</v>
      </c>
      <c r="C158" s="1">
        <v>55153</v>
      </c>
      <c r="D158" s="4" t="s">
        <v>550</v>
      </c>
      <c r="E158" t="s">
        <v>10</v>
      </c>
      <c r="F158" t="s">
        <v>4</v>
      </c>
      <c r="G158" t="s">
        <v>50</v>
      </c>
      <c r="H158" t="s">
        <v>2774</v>
      </c>
      <c r="I158" t="s">
        <v>2894</v>
      </c>
      <c r="J158" t="str">
        <f>IF(ISNUMBER(MATCH($D158,'Lopettaneet 2013-&gt;'!$D:$D,0)),INDEX('Lopettaneet 2013-&gt;'!$K:$K,MATCH($D158,'Lopettaneet 2013-&gt;'!$D:$D,0)),"Jatkaa")</f>
        <v>Jatkaa</v>
      </c>
      <c r="K158">
        <f ca="1">IF($J158="Jatkaa",DATEDIF($B158,TODAY(),"Y"),INDEX('Lopettaneet 2013-&gt;'!$L:$L,MATCH($D158,'Lopettaneet 2013-&gt;'!$D:$D,0)))</f>
        <v>10</v>
      </c>
      <c r="L158">
        <v>157</v>
      </c>
    </row>
    <row r="159" spans="1:12" x14ac:dyDescent="0.25">
      <c r="A159" t="s">
        <v>0</v>
      </c>
      <c r="B159" s="1">
        <v>41791</v>
      </c>
      <c r="C159" s="1">
        <v>45382</v>
      </c>
      <c r="D159" s="4" t="s">
        <v>235</v>
      </c>
      <c r="E159" t="s">
        <v>10</v>
      </c>
      <c r="F159" t="s">
        <v>4</v>
      </c>
      <c r="G159" t="s">
        <v>20</v>
      </c>
      <c r="H159" t="s">
        <v>2763</v>
      </c>
      <c r="I159" t="s">
        <v>2894</v>
      </c>
      <c r="J159" t="str">
        <f>IF(ISNUMBER(MATCH($D159,'Lopettaneet 2013-&gt;'!$D:$D,0)),INDEX('Lopettaneet 2013-&gt;'!$K:$K,MATCH($D159,'Lopettaneet 2013-&gt;'!$D:$D,0)),"Jatkaa")</f>
        <v>Merged</v>
      </c>
      <c r="K159">
        <f ca="1">IF($J159="Jatkaa",DATEDIF($B159,TODAY(),"Y"),INDEX('Lopettaneet 2013-&gt;'!$L:$L,MATCH($D159,'Lopettaneet 2013-&gt;'!$D:$D,0)))</f>
        <v>9</v>
      </c>
      <c r="L159">
        <v>158</v>
      </c>
    </row>
    <row r="160" spans="1:12" x14ac:dyDescent="0.25">
      <c r="A160" t="s">
        <v>0</v>
      </c>
      <c r="B160" s="1">
        <v>41730</v>
      </c>
      <c r="C160" s="1">
        <v>55153</v>
      </c>
      <c r="D160" s="4" t="s">
        <v>552</v>
      </c>
      <c r="E160" t="s">
        <v>3</v>
      </c>
      <c r="F160" t="s">
        <v>4</v>
      </c>
      <c r="G160" t="s">
        <v>20</v>
      </c>
      <c r="H160" t="s">
        <v>2764</v>
      </c>
      <c r="I160" t="s">
        <v>2894</v>
      </c>
      <c r="J160" t="str">
        <f>IF(ISNUMBER(MATCH($D160,'Lopettaneet 2013-&gt;'!$D:$D,0)),INDEX('Lopettaneet 2013-&gt;'!$K:$K,MATCH($D160,'Lopettaneet 2013-&gt;'!$D:$D,0)),"Jatkaa")</f>
        <v>Jatkaa</v>
      </c>
      <c r="K160">
        <f ca="1">IF($J160="Jatkaa",DATEDIF($B160,TODAY(),"Y"),INDEX('Lopettaneet 2013-&gt;'!$L:$L,MATCH($D160,'Lopettaneet 2013-&gt;'!$D:$D,0)))</f>
        <v>11</v>
      </c>
      <c r="L160">
        <v>159</v>
      </c>
    </row>
    <row r="161" spans="1:12" x14ac:dyDescent="0.25">
      <c r="A161" t="s">
        <v>0</v>
      </c>
      <c r="B161" s="1">
        <v>41883</v>
      </c>
      <c r="C161" s="1">
        <v>43708</v>
      </c>
      <c r="D161" s="4" t="s">
        <v>554</v>
      </c>
      <c r="E161" t="s">
        <v>3</v>
      </c>
      <c r="F161" t="s">
        <v>4</v>
      </c>
      <c r="G161" t="s">
        <v>20</v>
      </c>
      <c r="H161" t="s">
        <v>2763</v>
      </c>
      <c r="I161" t="s">
        <v>2763</v>
      </c>
      <c r="J161" t="str">
        <f>IF(ISNUMBER(MATCH($D161,'Lopettaneet 2013-&gt;'!$D:$D,0)),INDEX('Lopettaneet 2013-&gt;'!$K:$K,MATCH($D161,'Lopettaneet 2013-&gt;'!$D:$D,0)),"Jatkaa")</f>
        <v>Merged</v>
      </c>
      <c r="K161">
        <f ca="1">IF($J161="Jatkaa",DATEDIF($B161,TODAY(),"Y"),INDEX('Lopettaneet 2013-&gt;'!$L:$L,MATCH($D161,'Lopettaneet 2013-&gt;'!$D:$D,0)))</f>
        <v>4</v>
      </c>
      <c r="L161">
        <v>160</v>
      </c>
    </row>
    <row r="162" spans="1:12" x14ac:dyDescent="0.25">
      <c r="A162" t="s">
        <v>0</v>
      </c>
      <c r="B162" s="1">
        <v>41791</v>
      </c>
      <c r="C162" s="1">
        <v>45291</v>
      </c>
      <c r="D162" s="4" t="s">
        <v>18</v>
      </c>
      <c r="E162" t="s">
        <v>3</v>
      </c>
      <c r="F162" t="s">
        <v>4</v>
      </c>
      <c r="G162" t="s">
        <v>20</v>
      </c>
      <c r="H162" t="s">
        <v>2763</v>
      </c>
      <c r="I162" t="s">
        <v>2763</v>
      </c>
      <c r="J162" t="str">
        <f>IF(ISNUMBER(MATCH($D162,'Lopettaneet 2013-&gt;'!$D:$D,0)),INDEX('Lopettaneet 2013-&gt;'!$K:$K,MATCH($D162,'Lopettaneet 2013-&gt;'!$D:$D,0)),"Jatkaa")</f>
        <v>Merged</v>
      </c>
      <c r="K162">
        <f ca="1">IF($J162="Jatkaa",DATEDIF($B162,TODAY(),"Y"),INDEX('Lopettaneet 2013-&gt;'!$L:$L,MATCH($D162,'Lopettaneet 2013-&gt;'!$D:$D,0)))</f>
        <v>9</v>
      </c>
      <c r="L162">
        <v>161</v>
      </c>
    </row>
    <row r="163" spans="1:12" x14ac:dyDescent="0.25">
      <c r="A163" t="s">
        <v>0</v>
      </c>
      <c r="B163" s="1">
        <v>41760</v>
      </c>
      <c r="C163" s="1">
        <v>55153</v>
      </c>
      <c r="D163" s="4" t="s">
        <v>556</v>
      </c>
      <c r="E163" t="s">
        <v>3</v>
      </c>
      <c r="F163" t="s">
        <v>4</v>
      </c>
      <c r="G163" t="s">
        <v>20</v>
      </c>
      <c r="H163" t="s">
        <v>2771</v>
      </c>
      <c r="I163" t="s">
        <v>2894</v>
      </c>
      <c r="J163" t="str">
        <f>IF(ISNUMBER(MATCH($D163,'Lopettaneet 2013-&gt;'!$D:$D,0)),INDEX('Lopettaneet 2013-&gt;'!$K:$K,MATCH($D163,'Lopettaneet 2013-&gt;'!$D:$D,0)),"Jatkaa")</f>
        <v>Jatkaa</v>
      </c>
      <c r="K163">
        <f ca="1">IF($J163="Jatkaa",DATEDIF($B163,TODAY(),"Y"),INDEX('Lopettaneet 2013-&gt;'!$L:$L,MATCH($D163,'Lopettaneet 2013-&gt;'!$D:$D,0)))</f>
        <v>11</v>
      </c>
      <c r="L163">
        <v>162</v>
      </c>
    </row>
    <row r="164" spans="1:12" x14ac:dyDescent="0.25">
      <c r="A164" t="s">
        <v>0</v>
      </c>
      <c r="B164" s="1">
        <v>41852</v>
      </c>
      <c r="C164" s="1">
        <v>55153</v>
      </c>
      <c r="D164" s="4" t="s">
        <v>558</v>
      </c>
      <c r="E164" t="s">
        <v>3</v>
      </c>
      <c r="F164" t="s">
        <v>4</v>
      </c>
      <c r="G164" t="s">
        <v>50</v>
      </c>
      <c r="H164" t="s">
        <v>2767</v>
      </c>
      <c r="I164" t="s">
        <v>2894</v>
      </c>
      <c r="J164" t="str">
        <f>IF(ISNUMBER(MATCH($D164,'Lopettaneet 2013-&gt;'!$D:$D,0)),INDEX('Lopettaneet 2013-&gt;'!$K:$K,MATCH($D164,'Lopettaneet 2013-&gt;'!$D:$D,0)),"Jatkaa")</f>
        <v>Jatkaa</v>
      </c>
      <c r="K164">
        <f ca="1">IF($J164="Jatkaa",DATEDIF($B164,TODAY(),"Y"),INDEX('Lopettaneet 2013-&gt;'!$L:$L,MATCH($D164,'Lopettaneet 2013-&gt;'!$D:$D,0)))</f>
        <v>10</v>
      </c>
      <c r="L164">
        <v>163</v>
      </c>
    </row>
    <row r="165" spans="1:12" x14ac:dyDescent="0.25">
      <c r="A165" t="s">
        <v>0</v>
      </c>
      <c r="B165" s="1">
        <v>41883</v>
      </c>
      <c r="C165" s="1">
        <v>43799</v>
      </c>
      <c r="D165" s="4" t="s">
        <v>560</v>
      </c>
      <c r="E165" t="s">
        <v>3</v>
      </c>
      <c r="F165" t="s">
        <v>4</v>
      </c>
      <c r="G165" t="s">
        <v>20</v>
      </c>
      <c r="H165" t="s">
        <v>2763</v>
      </c>
      <c r="I165" t="s">
        <v>2763</v>
      </c>
      <c r="J165" t="str">
        <f>IF(ISNUMBER(MATCH($D165,'Lopettaneet 2013-&gt;'!$D:$D,0)),INDEX('Lopettaneet 2013-&gt;'!$K:$K,MATCH($D165,'Lopettaneet 2013-&gt;'!$D:$D,0)),"Jatkaa")</f>
        <v>Merged</v>
      </c>
      <c r="K165">
        <f ca="1">IF($J165="Jatkaa",DATEDIF($B165,TODAY(),"Y"),INDEX('Lopettaneet 2013-&gt;'!$L:$L,MATCH($D165,'Lopettaneet 2013-&gt;'!$D:$D,0)))</f>
        <v>5</v>
      </c>
      <c r="L165">
        <v>164</v>
      </c>
    </row>
    <row r="166" spans="1:12" x14ac:dyDescent="0.25">
      <c r="A166" t="s">
        <v>0</v>
      </c>
      <c r="B166" s="1">
        <v>41852</v>
      </c>
      <c r="C166" s="1">
        <v>43404</v>
      </c>
      <c r="D166" s="4" t="s">
        <v>562</v>
      </c>
      <c r="E166" t="s">
        <v>10</v>
      </c>
      <c r="F166" t="s">
        <v>4</v>
      </c>
      <c r="G166" t="s">
        <v>47</v>
      </c>
      <c r="H166" t="s">
        <v>2763</v>
      </c>
      <c r="I166" t="s">
        <v>2763</v>
      </c>
      <c r="J166" t="str">
        <f>IF(ISNUMBER(MATCH($D166,'Lopettaneet 2013-&gt;'!$D:$D,0)),INDEX('Lopettaneet 2013-&gt;'!$K:$K,MATCH($D166,'Lopettaneet 2013-&gt;'!$D:$D,0)),"Jatkaa")</f>
        <v>Closed</v>
      </c>
      <c r="K166">
        <f ca="1">IF($J166="Jatkaa",DATEDIF($B166,TODAY(),"Y"),INDEX('Lopettaneet 2013-&gt;'!$L:$L,MATCH($D166,'Lopettaneet 2013-&gt;'!$D:$D,0)))</f>
        <v>4</v>
      </c>
      <c r="L166">
        <v>165</v>
      </c>
    </row>
    <row r="167" spans="1:12" x14ac:dyDescent="0.25">
      <c r="A167" t="s">
        <v>0</v>
      </c>
      <c r="B167" s="1">
        <v>41883</v>
      </c>
      <c r="C167" s="1">
        <v>55153</v>
      </c>
      <c r="D167" s="4" t="s">
        <v>564</v>
      </c>
      <c r="E167" t="s">
        <v>3</v>
      </c>
      <c r="F167" t="s">
        <v>4</v>
      </c>
      <c r="G167" t="s">
        <v>50</v>
      </c>
      <c r="H167" t="s">
        <v>2777</v>
      </c>
      <c r="I167" t="s">
        <v>2894</v>
      </c>
      <c r="J167" t="str">
        <f>IF(ISNUMBER(MATCH($D167,'Lopettaneet 2013-&gt;'!$D:$D,0)),INDEX('Lopettaneet 2013-&gt;'!$K:$K,MATCH($D167,'Lopettaneet 2013-&gt;'!$D:$D,0)),"Jatkaa")</f>
        <v>Jatkaa</v>
      </c>
      <c r="K167">
        <f ca="1">IF($J167="Jatkaa",DATEDIF($B167,TODAY(),"Y"),INDEX('Lopettaneet 2013-&gt;'!$L:$L,MATCH($D167,'Lopettaneet 2013-&gt;'!$D:$D,0)))</f>
        <v>10</v>
      </c>
      <c r="L167">
        <v>166</v>
      </c>
    </row>
    <row r="168" spans="1:12" x14ac:dyDescent="0.25">
      <c r="A168" t="s">
        <v>7</v>
      </c>
      <c r="B168" s="1">
        <v>41974</v>
      </c>
      <c r="C168" s="1">
        <v>55153</v>
      </c>
      <c r="D168" s="4" t="s">
        <v>566</v>
      </c>
      <c r="E168" t="s">
        <v>10</v>
      </c>
      <c r="F168" t="s">
        <v>11</v>
      </c>
      <c r="G168" t="s">
        <v>29</v>
      </c>
      <c r="H168" t="s">
        <v>2798</v>
      </c>
      <c r="I168" t="s">
        <v>2895</v>
      </c>
      <c r="J168" t="str">
        <f>IF(ISNUMBER(MATCH($D168,'Lopettaneet 2013-&gt;'!$D:$D,0)),INDEX('Lopettaneet 2013-&gt;'!$K:$K,MATCH($D168,'Lopettaneet 2013-&gt;'!$D:$D,0)),"Jatkaa")</f>
        <v>Jatkaa</v>
      </c>
      <c r="K168">
        <f ca="1">IF($J168="Jatkaa",DATEDIF($B168,TODAY(),"Y"),INDEX('Lopettaneet 2013-&gt;'!$L:$L,MATCH($D168,'Lopettaneet 2013-&gt;'!$D:$D,0)))</f>
        <v>10</v>
      </c>
      <c r="L168">
        <v>167</v>
      </c>
    </row>
    <row r="169" spans="1:12" x14ac:dyDescent="0.25">
      <c r="A169" t="s">
        <v>7</v>
      </c>
      <c r="B169" s="1">
        <v>41974</v>
      </c>
      <c r="C169" s="1">
        <v>43830</v>
      </c>
      <c r="D169" s="4" t="s">
        <v>568</v>
      </c>
      <c r="E169" t="s">
        <v>10</v>
      </c>
      <c r="F169" t="s">
        <v>11</v>
      </c>
      <c r="G169" t="s">
        <v>32</v>
      </c>
      <c r="H169" t="s">
        <v>2763</v>
      </c>
      <c r="I169" t="s">
        <v>2763</v>
      </c>
      <c r="J169" t="str">
        <f>IF(ISNUMBER(MATCH($D169,'Lopettaneet 2013-&gt;'!$D:$D,0)),INDEX('Lopettaneet 2013-&gt;'!$K:$K,MATCH($D169,'Lopettaneet 2013-&gt;'!$D:$D,0)),"Jatkaa")</f>
        <v>Closed</v>
      </c>
      <c r="K169">
        <f ca="1">IF($J169="Jatkaa",DATEDIF($B169,TODAY(),"Y"),INDEX('Lopettaneet 2013-&gt;'!$L:$L,MATCH($D169,'Lopettaneet 2013-&gt;'!$D:$D,0)))</f>
        <v>5</v>
      </c>
      <c r="L169">
        <v>168</v>
      </c>
    </row>
    <row r="170" spans="1:12" x14ac:dyDescent="0.25">
      <c r="A170" t="s">
        <v>7</v>
      </c>
      <c r="B170" s="1">
        <v>41974</v>
      </c>
      <c r="C170" s="1">
        <v>42521</v>
      </c>
      <c r="D170" s="4" t="s">
        <v>570</v>
      </c>
      <c r="E170" t="s">
        <v>10</v>
      </c>
      <c r="F170" t="s">
        <v>11</v>
      </c>
      <c r="G170" t="s">
        <v>47</v>
      </c>
      <c r="H170" t="s">
        <v>2763</v>
      </c>
      <c r="I170" t="s">
        <v>2763</v>
      </c>
      <c r="J170" t="str">
        <f>IF(ISNUMBER(MATCH($D170,'Lopettaneet 2013-&gt;'!$D:$D,0)),INDEX('Lopettaneet 2013-&gt;'!$K:$K,MATCH($D170,'Lopettaneet 2013-&gt;'!$D:$D,0)),"Jatkaa")</f>
        <v>Closed</v>
      </c>
      <c r="K170">
        <f ca="1">IF($J170="Jatkaa",DATEDIF($B170,TODAY(),"Y"),INDEX('Lopettaneet 2013-&gt;'!$L:$L,MATCH($D170,'Lopettaneet 2013-&gt;'!$D:$D,0)))</f>
        <v>1</v>
      </c>
      <c r="L170">
        <v>169</v>
      </c>
    </row>
    <row r="171" spans="1:12" x14ac:dyDescent="0.25">
      <c r="A171" t="s">
        <v>7</v>
      </c>
      <c r="B171" s="1">
        <v>41974</v>
      </c>
      <c r="C171" s="1">
        <v>55153</v>
      </c>
      <c r="D171" s="4" t="s">
        <v>572</v>
      </c>
      <c r="E171" t="s">
        <v>10</v>
      </c>
      <c r="F171" t="s">
        <v>11</v>
      </c>
      <c r="G171" t="s">
        <v>80</v>
      </c>
      <c r="H171" t="s">
        <v>2790</v>
      </c>
      <c r="I171" t="s">
        <v>2895</v>
      </c>
      <c r="J171" t="str">
        <f>IF(ISNUMBER(MATCH($D171,'Lopettaneet 2013-&gt;'!$D:$D,0)),INDEX('Lopettaneet 2013-&gt;'!$K:$K,MATCH($D171,'Lopettaneet 2013-&gt;'!$D:$D,0)),"Jatkaa")</f>
        <v>Jatkaa</v>
      </c>
      <c r="K171">
        <f ca="1">IF($J171="Jatkaa",DATEDIF($B171,TODAY(),"Y"),INDEX('Lopettaneet 2013-&gt;'!$L:$L,MATCH($D171,'Lopettaneet 2013-&gt;'!$D:$D,0)))</f>
        <v>10</v>
      </c>
      <c r="L171">
        <v>170</v>
      </c>
    </row>
    <row r="172" spans="1:12" x14ac:dyDescent="0.25">
      <c r="A172" t="s">
        <v>0</v>
      </c>
      <c r="B172" s="1">
        <v>41883</v>
      </c>
      <c r="C172" s="1">
        <v>43465</v>
      </c>
      <c r="D172" s="4" t="s">
        <v>574</v>
      </c>
      <c r="E172" t="s">
        <v>3</v>
      </c>
      <c r="F172" t="s">
        <v>4</v>
      </c>
      <c r="G172" t="s">
        <v>50</v>
      </c>
      <c r="H172" t="s">
        <v>2763</v>
      </c>
      <c r="I172" t="s">
        <v>2763</v>
      </c>
      <c r="J172" t="str">
        <f>IF(ISNUMBER(MATCH($D172,'Lopettaneet 2013-&gt;'!$D:$D,0)),INDEX('Lopettaneet 2013-&gt;'!$K:$K,MATCH($D172,'Lopettaneet 2013-&gt;'!$D:$D,0)),"Jatkaa")</f>
        <v>Merged</v>
      </c>
      <c r="K172">
        <f ca="1">IF($J172="Jatkaa",DATEDIF($B172,TODAY(),"Y"),INDEX('Lopettaneet 2013-&gt;'!$L:$L,MATCH($D172,'Lopettaneet 2013-&gt;'!$D:$D,0)))</f>
        <v>4</v>
      </c>
      <c r="L172">
        <v>171</v>
      </c>
    </row>
    <row r="173" spans="1:12" x14ac:dyDescent="0.25">
      <c r="A173" t="s">
        <v>0</v>
      </c>
      <c r="B173" s="1">
        <v>41883</v>
      </c>
      <c r="C173" s="1">
        <v>43465</v>
      </c>
      <c r="D173" s="4" t="s">
        <v>576</v>
      </c>
      <c r="E173" t="s">
        <v>3</v>
      </c>
      <c r="F173" t="s">
        <v>4</v>
      </c>
      <c r="G173" t="s">
        <v>20</v>
      </c>
      <c r="H173" t="s">
        <v>2763</v>
      </c>
      <c r="I173" t="s">
        <v>2763</v>
      </c>
      <c r="J173" t="str">
        <f>IF(ISNUMBER(MATCH($D173,'Lopettaneet 2013-&gt;'!$D:$D,0)),INDEX('Lopettaneet 2013-&gt;'!$K:$K,MATCH($D173,'Lopettaneet 2013-&gt;'!$D:$D,0)),"Jatkaa")</f>
        <v>Merged</v>
      </c>
      <c r="K173">
        <f ca="1">IF($J173="Jatkaa",DATEDIF($B173,TODAY(),"Y"),INDEX('Lopettaneet 2013-&gt;'!$L:$L,MATCH($D173,'Lopettaneet 2013-&gt;'!$D:$D,0)))</f>
        <v>4</v>
      </c>
      <c r="L173">
        <v>172</v>
      </c>
    </row>
    <row r="174" spans="1:12" x14ac:dyDescent="0.25">
      <c r="A174" t="s">
        <v>0</v>
      </c>
      <c r="B174" s="1">
        <v>41944</v>
      </c>
      <c r="C174" s="1">
        <v>55153</v>
      </c>
      <c r="D174" s="4" t="s">
        <v>578</v>
      </c>
      <c r="E174" t="s">
        <v>10</v>
      </c>
      <c r="F174" t="s">
        <v>4</v>
      </c>
      <c r="G174" t="s">
        <v>5</v>
      </c>
      <c r="H174" t="s">
        <v>2767</v>
      </c>
      <c r="I174" t="s">
        <v>2894</v>
      </c>
      <c r="J174" t="str">
        <f>IF(ISNUMBER(MATCH($D174,'Lopettaneet 2013-&gt;'!$D:$D,0)),INDEX('Lopettaneet 2013-&gt;'!$K:$K,MATCH($D174,'Lopettaneet 2013-&gt;'!$D:$D,0)),"Jatkaa")</f>
        <v>Jatkaa</v>
      </c>
      <c r="K174">
        <f ca="1">IF($J174="Jatkaa",DATEDIF($B174,TODAY(),"Y"),INDEX('Lopettaneet 2013-&gt;'!$L:$L,MATCH($D174,'Lopettaneet 2013-&gt;'!$D:$D,0)))</f>
        <v>10</v>
      </c>
      <c r="L174">
        <v>173</v>
      </c>
    </row>
    <row r="175" spans="1:12" x14ac:dyDescent="0.25">
      <c r="A175" t="s">
        <v>0</v>
      </c>
      <c r="B175" s="1">
        <v>42005</v>
      </c>
      <c r="C175" s="1">
        <v>44255</v>
      </c>
      <c r="D175" s="4" t="s">
        <v>580</v>
      </c>
      <c r="E175" t="s">
        <v>3</v>
      </c>
      <c r="F175" t="s">
        <v>4</v>
      </c>
      <c r="G175" t="s">
        <v>20</v>
      </c>
      <c r="H175" t="s">
        <v>2763</v>
      </c>
      <c r="I175" t="s">
        <v>2763</v>
      </c>
      <c r="J175" t="str">
        <f>IF(ISNUMBER(MATCH($D175,'Lopettaneet 2013-&gt;'!$D:$D,0)),INDEX('Lopettaneet 2013-&gt;'!$K:$K,MATCH($D175,'Lopettaneet 2013-&gt;'!$D:$D,0)),"Jatkaa")</f>
        <v>Merged</v>
      </c>
      <c r="K175">
        <f ca="1">IF($J175="Jatkaa",DATEDIF($B175,TODAY(),"Y"),INDEX('Lopettaneet 2013-&gt;'!$L:$L,MATCH($D175,'Lopettaneet 2013-&gt;'!$D:$D,0)))</f>
        <v>6</v>
      </c>
      <c r="L175">
        <v>174</v>
      </c>
    </row>
    <row r="176" spans="1:12" x14ac:dyDescent="0.25">
      <c r="A176" t="s">
        <v>0</v>
      </c>
      <c r="B176" s="1">
        <v>42036</v>
      </c>
      <c r="C176" s="1">
        <v>55153</v>
      </c>
      <c r="D176" s="4" t="s">
        <v>582</v>
      </c>
      <c r="E176" t="s">
        <v>3</v>
      </c>
      <c r="F176" t="s">
        <v>4</v>
      </c>
      <c r="G176" t="s">
        <v>20</v>
      </c>
      <c r="H176" t="s">
        <v>2770</v>
      </c>
      <c r="I176" t="s">
        <v>2894</v>
      </c>
      <c r="J176" t="str">
        <f>IF(ISNUMBER(MATCH($D176,'Lopettaneet 2013-&gt;'!$D:$D,0)),INDEX('Lopettaneet 2013-&gt;'!$K:$K,MATCH($D176,'Lopettaneet 2013-&gt;'!$D:$D,0)),"Jatkaa")</f>
        <v>Jatkaa</v>
      </c>
      <c r="K176">
        <f ca="1">IF($J176="Jatkaa",DATEDIF($B176,TODAY(),"Y"),INDEX('Lopettaneet 2013-&gt;'!$L:$L,MATCH($D176,'Lopettaneet 2013-&gt;'!$D:$D,0)))</f>
        <v>10</v>
      </c>
      <c r="L176">
        <v>175</v>
      </c>
    </row>
    <row r="177" spans="1:12" x14ac:dyDescent="0.25">
      <c r="A177" t="s">
        <v>0</v>
      </c>
      <c r="B177" s="1">
        <v>41974</v>
      </c>
      <c r="C177" s="1">
        <v>43434</v>
      </c>
      <c r="D177" s="4" t="s">
        <v>584</v>
      </c>
      <c r="E177" t="s">
        <v>3</v>
      </c>
      <c r="F177" t="s">
        <v>4</v>
      </c>
      <c r="G177" t="s">
        <v>20</v>
      </c>
      <c r="H177" t="s">
        <v>2763</v>
      </c>
      <c r="I177" t="s">
        <v>2763</v>
      </c>
      <c r="J177" t="str">
        <f>IF(ISNUMBER(MATCH($D177,'Lopettaneet 2013-&gt;'!$D:$D,0)),INDEX('Lopettaneet 2013-&gt;'!$K:$K,MATCH($D177,'Lopettaneet 2013-&gt;'!$D:$D,0)),"Jatkaa")</f>
        <v>Merged</v>
      </c>
      <c r="K177">
        <f ca="1">IF($J177="Jatkaa",DATEDIF($B177,TODAY(),"Y"),INDEX('Lopettaneet 2013-&gt;'!$L:$L,MATCH($D177,'Lopettaneet 2013-&gt;'!$D:$D,0)))</f>
        <v>3</v>
      </c>
      <c r="L177">
        <v>176</v>
      </c>
    </row>
    <row r="178" spans="1:12" x14ac:dyDescent="0.25">
      <c r="A178" t="s">
        <v>0</v>
      </c>
      <c r="B178" s="1">
        <v>42064</v>
      </c>
      <c r="C178" s="1">
        <v>43465</v>
      </c>
      <c r="D178" s="4" t="s">
        <v>586</v>
      </c>
      <c r="E178" t="s">
        <v>3</v>
      </c>
      <c r="F178" t="s">
        <v>4</v>
      </c>
      <c r="G178" t="s">
        <v>20</v>
      </c>
      <c r="H178" t="s">
        <v>2763</v>
      </c>
      <c r="I178" t="s">
        <v>2763</v>
      </c>
      <c r="J178" t="str">
        <f>IF(ISNUMBER(MATCH($D178,'Lopettaneet 2013-&gt;'!$D:$D,0)),INDEX('Lopettaneet 2013-&gt;'!$K:$K,MATCH($D178,'Lopettaneet 2013-&gt;'!$D:$D,0)),"Jatkaa")</f>
        <v>Merged</v>
      </c>
      <c r="K178">
        <f ca="1">IF($J178="Jatkaa",DATEDIF($B178,TODAY(),"Y"),INDEX('Lopettaneet 2013-&gt;'!$L:$L,MATCH($D178,'Lopettaneet 2013-&gt;'!$D:$D,0)))</f>
        <v>3</v>
      </c>
      <c r="L178">
        <v>177</v>
      </c>
    </row>
    <row r="179" spans="1:12" x14ac:dyDescent="0.25">
      <c r="A179" t="s">
        <v>7</v>
      </c>
      <c r="B179" s="1">
        <v>41974</v>
      </c>
      <c r="C179" s="1">
        <v>43190</v>
      </c>
      <c r="D179" s="4" t="s">
        <v>588</v>
      </c>
      <c r="E179" t="s">
        <v>10</v>
      </c>
      <c r="F179" t="s">
        <v>11</v>
      </c>
      <c r="G179" t="s">
        <v>80</v>
      </c>
      <c r="H179" t="s">
        <v>2763</v>
      </c>
      <c r="I179" t="s">
        <v>2763</v>
      </c>
      <c r="J179" t="str">
        <f>IF(ISNUMBER(MATCH($D179,'Lopettaneet 2013-&gt;'!$D:$D,0)),INDEX('Lopettaneet 2013-&gt;'!$K:$K,MATCH($D179,'Lopettaneet 2013-&gt;'!$D:$D,0)),"Jatkaa")</f>
        <v>Closed</v>
      </c>
      <c r="K179">
        <f ca="1">IF($J179="Jatkaa",DATEDIF($B179,TODAY(),"Y"),INDEX('Lopettaneet 2013-&gt;'!$L:$L,MATCH($D179,'Lopettaneet 2013-&gt;'!$D:$D,0)))</f>
        <v>3</v>
      </c>
      <c r="L179">
        <v>178</v>
      </c>
    </row>
    <row r="180" spans="1:12" x14ac:dyDescent="0.25">
      <c r="A180" t="s">
        <v>7</v>
      </c>
      <c r="B180" s="1">
        <v>41974</v>
      </c>
      <c r="C180" s="1">
        <v>55153</v>
      </c>
      <c r="D180" s="4" t="s">
        <v>590</v>
      </c>
      <c r="E180" t="s">
        <v>10</v>
      </c>
      <c r="F180" t="s">
        <v>11</v>
      </c>
      <c r="G180" t="s">
        <v>12</v>
      </c>
      <c r="H180" t="s">
        <v>2799</v>
      </c>
      <c r="I180" t="s">
        <v>2895</v>
      </c>
      <c r="J180" t="str">
        <f>IF(ISNUMBER(MATCH($D180,'Lopettaneet 2013-&gt;'!$D:$D,0)),INDEX('Lopettaneet 2013-&gt;'!$K:$K,MATCH($D180,'Lopettaneet 2013-&gt;'!$D:$D,0)),"Jatkaa")</f>
        <v>Jatkaa</v>
      </c>
      <c r="K180">
        <f ca="1">IF($J180="Jatkaa",DATEDIF($B180,TODAY(),"Y"),INDEX('Lopettaneet 2013-&gt;'!$L:$L,MATCH($D180,'Lopettaneet 2013-&gt;'!$D:$D,0)))</f>
        <v>10</v>
      </c>
      <c r="L180">
        <v>179</v>
      </c>
    </row>
    <row r="181" spans="1:12" x14ac:dyDescent="0.25">
      <c r="A181" t="s">
        <v>7</v>
      </c>
      <c r="B181" s="1">
        <v>41974</v>
      </c>
      <c r="C181" s="1">
        <v>55153</v>
      </c>
      <c r="D181" s="4" t="s">
        <v>592</v>
      </c>
      <c r="E181" t="s">
        <v>10</v>
      </c>
      <c r="F181" t="s">
        <v>11</v>
      </c>
      <c r="G181" t="s">
        <v>12</v>
      </c>
      <c r="H181" t="s">
        <v>2766</v>
      </c>
      <c r="I181" t="s">
        <v>2894</v>
      </c>
      <c r="J181" t="str">
        <f>IF(ISNUMBER(MATCH($D181,'Lopettaneet 2013-&gt;'!$D:$D,0)),INDEX('Lopettaneet 2013-&gt;'!$K:$K,MATCH($D181,'Lopettaneet 2013-&gt;'!$D:$D,0)),"Jatkaa")</f>
        <v>Jatkaa</v>
      </c>
      <c r="K181">
        <f ca="1">IF($J181="Jatkaa",DATEDIF($B181,TODAY(),"Y"),INDEX('Lopettaneet 2013-&gt;'!$L:$L,MATCH($D181,'Lopettaneet 2013-&gt;'!$D:$D,0)))</f>
        <v>10</v>
      </c>
      <c r="L181">
        <v>180</v>
      </c>
    </row>
    <row r="182" spans="1:12" x14ac:dyDescent="0.25">
      <c r="A182" t="s">
        <v>7</v>
      </c>
      <c r="B182" s="1">
        <v>41974</v>
      </c>
      <c r="C182" s="1">
        <v>55153</v>
      </c>
      <c r="D182" s="4" t="s">
        <v>594</v>
      </c>
      <c r="E182" t="s">
        <v>10</v>
      </c>
      <c r="F182" t="s">
        <v>11</v>
      </c>
      <c r="G182" t="s">
        <v>12</v>
      </c>
      <c r="H182" t="s">
        <v>2766</v>
      </c>
      <c r="I182" t="s">
        <v>2895</v>
      </c>
      <c r="J182" t="str">
        <f>IF(ISNUMBER(MATCH($D182,'Lopettaneet 2013-&gt;'!$D:$D,0)),INDEX('Lopettaneet 2013-&gt;'!$K:$K,MATCH($D182,'Lopettaneet 2013-&gt;'!$D:$D,0)),"Jatkaa")</f>
        <v>Jatkaa</v>
      </c>
      <c r="K182">
        <f ca="1">IF($J182="Jatkaa",DATEDIF($B182,TODAY(),"Y"),INDEX('Lopettaneet 2013-&gt;'!$L:$L,MATCH($D182,'Lopettaneet 2013-&gt;'!$D:$D,0)))</f>
        <v>10</v>
      </c>
      <c r="L182">
        <v>181</v>
      </c>
    </row>
    <row r="183" spans="1:12" x14ac:dyDescent="0.25">
      <c r="A183" t="s">
        <v>7</v>
      </c>
      <c r="B183" s="1">
        <v>41974</v>
      </c>
      <c r="C183" s="1">
        <v>55153</v>
      </c>
      <c r="D183" s="4" t="s">
        <v>596</v>
      </c>
      <c r="E183" t="s">
        <v>10</v>
      </c>
      <c r="F183" t="s">
        <v>11</v>
      </c>
      <c r="G183" t="s">
        <v>80</v>
      </c>
      <c r="H183" t="s">
        <v>2800</v>
      </c>
      <c r="I183" t="s">
        <v>2895</v>
      </c>
      <c r="J183" t="str">
        <f>IF(ISNUMBER(MATCH($D183,'Lopettaneet 2013-&gt;'!$D:$D,0)),INDEX('Lopettaneet 2013-&gt;'!$K:$K,MATCH($D183,'Lopettaneet 2013-&gt;'!$D:$D,0)),"Jatkaa")</f>
        <v>Jatkaa</v>
      </c>
      <c r="K183">
        <f ca="1">IF($J183="Jatkaa",DATEDIF($B183,TODAY(),"Y"),INDEX('Lopettaneet 2013-&gt;'!$L:$L,MATCH($D183,'Lopettaneet 2013-&gt;'!$D:$D,0)))</f>
        <v>10</v>
      </c>
      <c r="L183">
        <v>182</v>
      </c>
    </row>
    <row r="184" spans="1:12" x14ac:dyDescent="0.25">
      <c r="A184" t="s">
        <v>0</v>
      </c>
      <c r="B184" s="1">
        <v>41883</v>
      </c>
      <c r="C184" s="1">
        <v>44439</v>
      </c>
      <c r="D184" s="4" t="s">
        <v>598</v>
      </c>
      <c r="E184" t="s">
        <v>10</v>
      </c>
      <c r="F184" t="s">
        <v>4</v>
      </c>
      <c r="G184" t="s">
        <v>5</v>
      </c>
      <c r="H184" t="s">
        <v>2763</v>
      </c>
      <c r="I184" t="s">
        <v>2763</v>
      </c>
      <c r="J184" t="str">
        <f>IF(ISNUMBER(MATCH($D184,'Lopettaneet 2013-&gt;'!$D:$D,0)),INDEX('Lopettaneet 2013-&gt;'!$K:$K,MATCH($D184,'Lopettaneet 2013-&gt;'!$D:$D,0)),"Jatkaa")</f>
        <v>Merged</v>
      </c>
      <c r="K184">
        <f ca="1">IF($J184="Jatkaa",DATEDIF($B184,TODAY(),"Y"),INDEX('Lopettaneet 2013-&gt;'!$L:$L,MATCH($D184,'Lopettaneet 2013-&gt;'!$D:$D,0)))</f>
        <v>6</v>
      </c>
      <c r="L184">
        <v>183</v>
      </c>
    </row>
    <row r="185" spans="1:12" x14ac:dyDescent="0.25">
      <c r="A185" t="s">
        <v>0</v>
      </c>
      <c r="B185" s="1">
        <v>41913</v>
      </c>
      <c r="C185" s="1">
        <v>55153</v>
      </c>
      <c r="D185" s="4" t="s">
        <v>600</v>
      </c>
      <c r="E185" t="s">
        <v>3</v>
      </c>
      <c r="F185" t="s">
        <v>4</v>
      </c>
      <c r="G185" t="s">
        <v>20</v>
      </c>
      <c r="H185" t="s">
        <v>2777</v>
      </c>
      <c r="I185" t="s">
        <v>2894</v>
      </c>
      <c r="J185" t="str">
        <f>IF(ISNUMBER(MATCH($D185,'Lopettaneet 2013-&gt;'!$D:$D,0)),INDEX('Lopettaneet 2013-&gt;'!$K:$K,MATCH($D185,'Lopettaneet 2013-&gt;'!$D:$D,0)),"Jatkaa")</f>
        <v>Jatkaa</v>
      </c>
      <c r="K185">
        <f ca="1">IF($J185="Jatkaa",DATEDIF($B185,TODAY(),"Y"),INDEX('Lopettaneet 2013-&gt;'!$L:$L,MATCH($D185,'Lopettaneet 2013-&gt;'!$D:$D,0)))</f>
        <v>10</v>
      </c>
      <c r="L185">
        <v>184</v>
      </c>
    </row>
    <row r="186" spans="1:12" x14ac:dyDescent="0.25">
      <c r="A186" t="s">
        <v>7</v>
      </c>
      <c r="B186" s="1">
        <v>41974</v>
      </c>
      <c r="C186" s="1">
        <v>55153</v>
      </c>
      <c r="D186" s="4" t="s">
        <v>602</v>
      </c>
      <c r="E186" t="s">
        <v>10</v>
      </c>
      <c r="F186" t="s">
        <v>11</v>
      </c>
      <c r="G186" t="s">
        <v>29</v>
      </c>
      <c r="H186" t="s">
        <v>2801</v>
      </c>
      <c r="I186" t="s">
        <v>2895</v>
      </c>
      <c r="J186" t="str">
        <f>IF(ISNUMBER(MATCH($D186,'Lopettaneet 2013-&gt;'!$D:$D,0)),INDEX('Lopettaneet 2013-&gt;'!$K:$K,MATCH($D186,'Lopettaneet 2013-&gt;'!$D:$D,0)),"Jatkaa")</f>
        <v>Jatkaa</v>
      </c>
      <c r="K186">
        <f ca="1">IF($J186="Jatkaa",DATEDIF($B186,TODAY(),"Y"),INDEX('Lopettaneet 2013-&gt;'!$L:$L,MATCH($D186,'Lopettaneet 2013-&gt;'!$D:$D,0)))</f>
        <v>10</v>
      </c>
      <c r="L186">
        <v>185</v>
      </c>
    </row>
    <row r="187" spans="1:12" x14ac:dyDescent="0.25">
      <c r="A187" t="s">
        <v>0</v>
      </c>
      <c r="B187" s="1">
        <v>41944</v>
      </c>
      <c r="C187" s="1">
        <v>44530</v>
      </c>
      <c r="D187" s="4" t="s">
        <v>604</v>
      </c>
      <c r="E187" t="s">
        <v>3</v>
      </c>
      <c r="F187" t="s">
        <v>4</v>
      </c>
      <c r="G187" t="s">
        <v>20</v>
      </c>
      <c r="H187" t="s">
        <v>2763</v>
      </c>
      <c r="I187" t="s">
        <v>2763</v>
      </c>
      <c r="J187" t="str">
        <f>IF(ISNUMBER(MATCH($D187,'Lopettaneet 2013-&gt;'!$D:$D,0)),INDEX('Lopettaneet 2013-&gt;'!$K:$K,MATCH($D187,'Lopettaneet 2013-&gt;'!$D:$D,0)),"Jatkaa")</f>
        <v>Merged</v>
      </c>
      <c r="K187">
        <f ca="1">IF($J187="Jatkaa",DATEDIF($B187,TODAY(),"Y"),INDEX('Lopettaneet 2013-&gt;'!$L:$L,MATCH($D187,'Lopettaneet 2013-&gt;'!$D:$D,0)))</f>
        <v>7</v>
      </c>
      <c r="L187">
        <v>186</v>
      </c>
    </row>
    <row r="188" spans="1:12" x14ac:dyDescent="0.25">
      <c r="A188" t="s">
        <v>7</v>
      </c>
      <c r="B188" s="1">
        <v>41974</v>
      </c>
      <c r="C188" s="1">
        <v>55153</v>
      </c>
      <c r="D188" s="4" t="s">
        <v>606</v>
      </c>
      <c r="E188" t="s">
        <v>10</v>
      </c>
      <c r="F188" t="s">
        <v>11</v>
      </c>
      <c r="G188" t="s">
        <v>12</v>
      </c>
      <c r="H188" t="s">
        <v>2766</v>
      </c>
      <c r="I188" t="s">
        <v>2895</v>
      </c>
      <c r="J188" t="str">
        <f>IF(ISNUMBER(MATCH($D188,'Lopettaneet 2013-&gt;'!$D:$D,0)),INDEX('Lopettaneet 2013-&gt;'!$K:$K,MATCH($D188,'Lopettaneet 2013-&gt;'!$D:$D,0)),"Jatkaa")</f>
        <v>Jatkaa</v>
      </c>
      <c r="K188">
        <f ca="1">IF($J188="Jatkaa",DATEDIF($B188,TODAY(),"Y"),INDEX('Lopettaneet 2013-&gt;'!$L:$L,MATCH($D188,'Lopettaneet 2013-&gt;'!$D:$D,0)))</f>
        <v>10</v>
      </c>
      <c r="L188">
        <v>187</v>
      </c>
    </row>
    <row r="189" spans="1:12" x14ac:dyDescent="0.25">
      <c r="A189" t="s">
        <v>7</v>
      </c>
      <c r="B189" s="1">
        <v>41974</v>
      </c>
      <c r="C189" s="1">
        <v>45016</v>
      </c>
      <c r="D189" s="4" t="s">
        <v>21</v>
      </c>
      <c r="E189" t="s">
        <v>10</v>
      </c>
      <c r="F189" t="s">
        <v>11</v>
      </c>
      <c r="G189" t="s">
        <v>12</v>
      </c>
      <c r="H189" t="s">
        <v>2763</v>
      </c>
      <c r="I189" t="s">
        <v>2763</v>
      </c>
      <c r="J189" t="str">
        <f>IF(ISNUMBER(MATCH($D189,'Lopettaneet 2013-&gt;'!$D:$D,0)),INDEX('Lopettaneet 2013-&gt;'!$K:$K,MATCH($D189,'Lopettaneet 2013-&gt;'!$D:$D,0)),"Jatkaa")</f>
        <v>Closed</v>
      </c>
      <c r="K189">
        <f ca="1">IF($J189="Jatkaa",DATEDIF($B189,TODAY(),"Y"),INDEX('Lopettaneet 2013-&gt;'!$L:$L,MATCH($D189,'Lopettaneet 2013-&gt;'!$D:$D,0)))</f>
        <v>8</v>
      </c>
      <c r="L189">
        <v>188</v>
      </c>
    </row>
    <row r="190" spans="1:12" x14ac:dyDescent="0.25">
      <c r="A190" t="s">
        <v>7</v>
      </c>
      <c r="B190" s="1">
        <v>41974</v>
      </c>
      <c r="C190" s="1">
        <v>45016</v>
      </c>
      <c r="D190" s="4" t="s">
        <v>23</v>
      </c>
      <c r="E190" t="s">
        <v>10</v>
      </c>
      <c r="F190" t="s">
        <v>11</v>
      </c>
      <c r="G190" t="s">
        <v>12</v>
      </c>
      <c r="H190" t="s">
        <v>2763</v>
      </c>
      <c r="I190" t="s">
        <v>2763</v>
      </c>
      <c r="J190" t="str">
        <f>IF(ISNUMBER(MATCH($D190,'Lopettaneet 2013-&gt;'!$D:$D,0)),INDEX('Lopettaneet 2013-&gt;'!$K:$K,MATCH($D190,'Lopettaneet 2013-&gt;'!$D:$D,0)),"Jatkaa")</f>
        <v>Closed</v>
      </c>
      <c r="K190">
        <f ca="1">IF($J190="Jatkaa",DATEDIF($B190,TODAY(),"Y"),INDEX('Lopettaneet 2013-&gt;'!$L:$L,MATCH($D190,'Lopettaneet 2013-&gt;'!$D:$D,0)))</f>
        <v>8</v>
      </c>
      <c r="L190">
        <v>189</v>
      </c>
    </row>
    <row r="191" spans="1:12" x14ac:dyDescent="0.25">
      <c r="A191" t="s">
        <v>7</v>
      </c>
      <c r="B191" s="1">
        <v>41974</v>
      </c>
      <c r="C191" s="1">
        <v>45016</v>
      </c>
      <c r="D191" s="4" t="s">
        <v>25</v>
      </c>
      <c r="E191" t="s">
        <v>10</v>
      </c>
      <c r="F191" t="s">
        <v>11</v>
      </c>
      <c r="G191" t="s">
        <v>12</v>
      </c>
      <c r="H191" t="s">
        <v>2763</v>
      </c>
      <c r="I191" t="s">
        <v>2763</v>
      </c>
      <c r="J191" t="str">
        <f>IF(ISNUMBER(MATCH($D191,'Lopettaneet 2013-&gt;'!$D:$D,0)),INDEX('Lopettaneet 2013-&gt;'!$K:$K,MATCH($D191,'Lopettaneet 2013-&gt;'!$D:$D,0)),"Jatkaa")</f>
        <v>Closed</v>
      </c>
      <c r="K191">
        <f ca="1">IF($J191="Jatkaa",DATEDIF($B191,TODAY(),"Y"),INDEX('Lopettaneet 2013-&gt;'!$L:$L,MATCH($D191,'Lopettaneet 2013-&gt;'!$D:$D,0)))</f>
        <v>8</v>
      </c>
      <c r="L191">
        <v>190</v>
      </c>
    </row>
    <row r="192" spans="1:12" x14ac:dyDescent="0.25">
      <c r="A192" t="s">
        <v>7</v>
      </c>
      <c r="B192" s="1">
        <v>41974</v>
      </c>
      <c r="C192" s="1">
        <v>55153</v>
      </c>
      <c r="D192" s="4" t="s">
        <v>608</v>
      </c>
      <c r="E192" t="s">
        <v>10</v>
      </c>
      <c r="F192" t="s">
        <v>11</v>
      </c>
      <c r="G192" t="s">
        <v>12</v>
      </c>
      <c r="H192" t="s">
        <v>2766</v>
      </c>
      <c r="I192" t="s">
        <v>2895</v>
      </c>
      <c r="J192" t="str">
        <f>IF(ISNUMBER(MATCH($D192,'Lopettaneet 2013-&gt;'!$D:$D,0)),INDEX('Lopettaneet 2013-&gt;'!$K:$K,MATCH($D192,'Lopettaneet 2013-&gt;'!$D:$D,0)),"Jatkaa")</f>
        <v>Jatkaa</v>
      </c>
      <c r="K192">
        <f ca="1">IF($J192="Jatkaa",DATEDIF($B192,TODAY(),"Y"),INDEX('Lopettaneet 2013-&gt;'!$L:$L,MATCH($D192,'Lopettaneet 2013-&gt;'!$D:$D,0)))</f>
        <v>10</v>
      </c>
      <c r="L192">
        <v>191</v>
      </c>
    </row>
    <row r="193" spans="1:12" x14ac:dyDescent="0.25">
      <c r="A193" t="s">
        <v>0</v>
      </c>
      <c r="B193" s="1">
        <v>41974</v>
      </c>
      <c r="C193" s="1">
        <v>55153</v>
      </c>
      <c r="D193" s="4" t="s">
        <v>610</v>
      </c>
      <c r="E193" t="s">
        <v>3</v>
      </c>
      <c r="F193" t="s">
        <v>4</v>
      </c>
      <c r="G193" t="s">
        <v>32</v>
      </c>
      <c r="H193" t="s">
        <v>2802</v>
      </c>
      <c r="I193" t="s">
        <v>2894</v>
      </c>
      <c r="J193" t="str">
        <f>IF(ISNUMBER(MATCH($D193,'Lopettaneet 2013-&gt;'!$D:$D,0)),INDEX('Lopettaneet 2013-&gt;'!$K:$K,MATCH($D193,'Lopettaneet 2013-&gt;'!$D:$D,0)),"Jatkaa")</f>
        <v>Jatkaa</v>
      </c>
      <c r="K193">
        <f ca="1">IF($J193="Jatkaa",DATEDIF($B193,TODAY(),"Y"),INDEX('Lopettaneet 2013-&gt;'!$L:$L,MATCH($D193,'Lopettaneet 2013-&gt;'!$D:$D,0)))</f>
        <v>10</v>
      </c>
      <c r="L193">
        <v>192</v>
      </c>
    </row>
    <row r="194" spans="1:12" x14ac:dyDescent="0.25">
      <c r="A194" t="s">
        <v>0</v>
      </c>
      <c r="B194" s="1">
        <v>41974</v>
      </c>
      <c r="C194" s="1">
        <v>55153</v>
      </c>
      <c r="D194" s="4" t="s">
        <v>612</v>
      </c>
      <c r="E194" t="s">
        <v>3</v>
      </c>
      <c r="F194" t="s">
        <v>4</v>
      </c>
      <c r="G194" t="s">
        <v>20</v>
      </c>
      <c r="H194" t="s">
        <v>2777</v>
      </c>
      <c r="I194" t="s">
        <v>2894</v>
      </c>
      <c r="J194" t="str">
        <f>IF(ISNUMBER(MATCH($D194,'Lopettaneet 2013-&gt;'!$D:$D,0)),INDEX('Lopettaneet 2013-&gt;'!$K:$K,MATCH($D194,'Lopettaneet 2013-&gt;'!$D:$D,0)),"Jatkaa")</f>
        <v>Jatkaa</v>
      </c>
      <c r="K194">
        <f ca="1">IF($J194="Jatkaa",DATEDIF($B194,TODAY(),"Y"),INDEX('Lopettaneet 2013-&gt;'!$L:$L,MATCH($D194,'Lopettaneet 2013-&gt;'!$D:$D,0)))</f>
        <v>10</v>
      </c>
      <c r="L194">
        <v>193</v>
      </c>
    </row>
    <row r="195" spans="1:12" x14ac:dyDescent="0.25">
      <c r="A195" t="s">
        <v>0</v>
      </c>
      <c r="B195" s="1">
        <v>41944</v>
      </c>
      <c r="C195" s="1">
        <v>43039</v>
      </c>
      <c r="D195" s="4" t="s">
        <v>614</v>
      </c>
      <c r="E195" t="s">
        <v>10</v>
      </c>
      <c r="F195" t="s">
        <v>4</v>
      </c>
      <c r="G195" t="s">
        <v>29</v>
      </c>
      <c r="H195" t="s">
        <v>2763</v>
      </c>
      <c r="I195" t="s">
        <v>2763</v>
      </c>
      <c r="J195" t="str">
        <f>IF(ISNUMBER(MATCH($D195,'Lopettaneet 2013-&gt;'!$D:$D,0)),INDEX('Lopettaneet 2013-&gt;'!$K:$K,MATCH($D195,'Lopettaneet 2013-&gt;'!$D:$D,0)),"Jatkaa")</f>
        <v>Closed</v>
      </c>
      <c r="K195">
        <f ca="1">IF($J195="Jatkaa",DATEDIF($B195,TODAY(),"Y"),INDEX('Lopettaneet 2013-&gt;'!$L:$L,MATCH($D195,'Lopettaneet 2013-&gt;'!$D:$D,0)))</f>
        <v>2</v>
      </c>
      <c r="L195">
        <v>194</v>
      </c>
    </row>
    <row r="196" spans="1:12" x14ac:dyDescent="0.25">
      <c r="A196" t="s">
        <v>0</v>
      </c>
      <c r="B196" s="1">
        <v>42095</v>
      </c>
      <c r="C196" s="1">
        <v>55153</v>
      </c>
      <c r="D196" s="4" t="s">
        <v>616</v>
      </c>
      <c r="E196" t="s">
        <v>10</v>
      </c>
      <c r="F196" t="s">
        <v>4</v>
      </c>
      <c r="G196" t="s">
        <v>29</v>
      </c>
      <c r="H196" t="s">
        <v>2764</v>
      </c>
      <c r="I196" t="s">
        <v>2894</v>
      </c>
      <c r="J196" t="str">
        <f>IF(ISNUMBER(MATCH($D196,'Lopettaneet 2013-&gt;'!$D:$D,0)),INDEX('Lopettaneet 2013-&gt;'!$K:$K,MATCH($D196,'Lopettaneet 2013-&gt;'!$D:$D,0)),"Jatkaa")</f>
        <v>Jatkaa</v>
      </c>
      <c r="K196">
        <f ca="1">IF($J196="Jatkaa",DATEDIF($B196,TODAY(),"Y"),INDEX('Lopettaneet 2013-&gt;'!$L:$L,MATCH($D196,'Lopettaneet 2013-&gt;'!$D:$D,0)))</f>
        <v>10</v>
      </c>
      <c r="L196">
        <v>195</v>
      </c>
    </row>
    <row r="197" spans="1:12" x14ac:dyDescent="0.25">
      <c r="A197" t="s">
        <v>7</v>
      </c>
      <c r="B197" s="1">
        <v>41974</v>
      </c>
      <c r="C197" s="1">
        <v>55153</v>
      </c>
      <c r="D197" s="4" t="s">
        <v>618</v>
      </c>
      <c r="E197" t="s">
        <v>10</v>
      </c>
      <c r="F197" t="s">
        <v>11</v>
      </c>
      <c r="G197" t="s">
        <v>32</v>
      </c>
      <c r="H197" t="s">
        <v>2803</v>
      </c>
      <c r="I197" t="s">
        <v>2895</v>
      </c>
      <c r="J197" t="str">
        <f>IF(ISNUMBER(MATCH($D197,'Lopettaneet 2013-&gt;'!$D:$D,0)),INDEX('Lopettaneet 2013-&gt;'!$K:$K,MATCH($D197,'Lopettaneet 2013-&gt;'!$D:$D,0)),"Jatkaa")</f>
        <v>Jatkaa</v>
      </c>
      <c r="K197">
        <f ca="1">IF($J197="Jatkaa",DATEDIF($B197,TODAY(),"Y"),INDEX('Lopettaneet 2013-&gt;'!$L:$L,MATCH($D197,'Lopettaneet 2013-&gt;'!$D:$D,0)))</f>
        <v>10</v>
      </c>
      <c r="L197">
        <v>196</v>
      </c>
    </row>
    <row r="198" spans="1:12" x14ac:dyDescent="0.25">
      <c r="A198" t="s">
        <v>7</v>
      </c>
      <c r="B198" s="1">
        <v>41974</v>
      </c>
      <c r="C198" s="1">
        <v>55153</v>
      </c>
      <c r="D198" s="4" t="s">
        <v>620</v>
      </c>
      <c r="E198" t="s">
        <v>10</v>
      </c>
      <c r="F198" t="s">
        <v>11</v>
      </c>
      <c r="G198" t="s">
        <v>32</v>
      </c>
      <c r="H198" t="s">
        <v>2803</v>
      </c>
      <c r="I198" t="s">
        <v>2895</v>
      </c>
      <c r="J198" t="str">
        <f>IF(ISNUMBER(MATCH($D198,'Lopettaneet 2013-&gt;'!$D:$D,0)),INDEX('Lopettaneet 2013-&gt;'!$K:$K,MATCH($D198,'Lopettaneet 2013-&gt;'!$D:$D,0)),"Jatkaa")</f>
        <v>Jatkaa</v>
      </c>
      <c r="K198">
        <f ca="1">IF($J198="Jatkaa",DATEDIF($B198,TODAY(),"Y"),INDEX('Lopettaneet 2013-&gt;'!$L:$L,MATCH($D198,'Lopettaneet 2013-&gt;'!$D:$D,0)))</f>
        <v>10</v>
      </c>
      <c r="L198">
        <v>197</v>
      </c>
    </row>
    <row r="199" spans="1:12" x14ac:dyDescent="0.25">
      <c r="A199" t="s">
        <v>7</v>
      </c>
      <c r="B199" s="1">
        <v>41974</v>
      </c>
      <c r="C199" s="1">
        <v>55153</v>
      </c>
      <c r="D199" s="4" t="s">
        <v>622</v>
      </c>
      <c r="E199" t="s">
        <v>10</v>
      </c>
      <c r="F199" t="s">
        <v>11</v>
      </c>
      <c r="G199" t="s">
        <v>29</v>
      </c>
      <c r="H199" t="s">
        <v>2804</v>
      </c>
      <c r="I199" t="s">
        <v>2895</v>
      </c>
      <c r="J199" t="str">
        <f>IF(ISNUMBER(MATCH($D199,'Lopettaneet 2013-&gt;'!$D:$D,0)),INDEX('Lopettaneet 2013-&gt;'!$K:$K,MATCH($D199,'Lopettaneet 2013-&gt;'!$D:$D,0)),"Jatkaa")</f>
        <v>Jatkaa</v>
      </c>
      <c r="K199">
        <f ca="1">IF($J199="Jatkaa",DATEDIF($B199,TODAY(),"Y"),INDEX('Lopettaneet 2013-&gt;'!$L:$L,MATCH($D199,'Lopettaneet 2013-&gt;'!$D:$D,0)))</f>
        <v>10</v>
      </c>
      <c r="L199">
        <v>198</v>
      </c>
    </row>
    <row r="200" spans="1:12" x14ac:dyDescent="0.25">
      <c r="A200" t="s">
        <v>7</v>
      </c>
      <c r="B200" s="1">
        <v>41974</v>
      </c>
      <c r="C200" s="1">
        <v>43738</v>
      </c>
      <c r="D200" s="4" t="s">
        <v>624</v>
      </c>
      <c r="E200" t="s">
        <v>10</v>
      </c>
      <c r="F200" t="s">
        <v>11</v>
      </c>
      <c r="G200" t="s">
        <v>80</v>
      </c>
      <c r="H200" t="s">
        <v>2763</v>
      </c>
      <c r="I200" t="s">
        <v>2763</v>
      </c>
      <c r="J200" t="str">
        <f>IF(ISNUMBER(MATCH($D200,'Lopettaneet 2013-&gt;'!$D:$D,0)),INDEX('Lopettaneet 2013-&gt;'!$K:$K,MATCH($D200,'Lopettaneet 2013-&gt;'!$D:$D,0)),"Jatkaa")</f>
        <v>Closed</v>
      </c>
      <c r="K200">
        <f ca="1">IF($J200="Jatkaa",DATEDIF($B200,TODAY(),"Y"),INDEX('Lopettaneet 2013-&gt;'!$L:$L,MATCH($D200,'Lopettaneet 2013-&gt;'!$D:$D,0)))</f>
        <v>4</v>
      </c>
      <c r="L200">
        <v>199</v>
      </c>
    </row>
    <row r="201" spans="1:12" x14ac:dyDescent="0.25">
      <c r="A201" t="s">
        <v>7</v>
      </c>
      <c r="B201" s="1">
        <v>41974</v>
      </c>
      <c r="C201" s="1">
        <v>43738</v>
      </c>
      <c r="D201" s="4" t="s">
        <v>626</v>
      </c>
      <c r="E201" t="s">
        <v>10</v>
      </c>
      <c r="F201" t="s">
        <v>11</v>
      </c>
      <c r="G201" t="s">
        <v>80</v>
      </c>
      <c r="H201" t="s">
        <v>2763</v>
      </c>
      <c r="I201" t="s">
        <v>2763</v>
      </c>
      <c r="J201" t="str">
        <f>IF(ISNUMBER(MATCH($D201,'Lopettaneet 2013-&gt;'!$D:$D,0)),INDEX('Lopettaneet 2013-&gt;'!$K:$K,MATCH($D201,'Lopettaneet 2013-&gt;'!$D:$D,0)),"Jatkaa")</f>
        <v>Closed</v>
      </c>
      <c r="K201">
        <f ca="1">IF($J201="Jatkaa",DATEDIF($B201,TODAY(),"Y"),INDEX('Lopettaneet 2013-&gt;'!$L:$L,MATCH($D201,'Lopettaneet 2013-&gt;'!$D:$D,0)))</f>
        <v>4</v>
      </c>
      <c r="L201">
        <v>200</v>
      </c>
    </row>
    <row r="202" spans="1:12" x14ac:dyDescent="0.25">
      <c r="A202" t="s">
        <v>7</v>
      </c>
      <c r="B202" s="1">
        <v>41974</v>
      </c>
      <c r="C202" s="1">
        <v>43890</v>
      </c>
      <c r="D202" s="4" t="s">
        <v>628</v>
      </c>
      <c r="E202" t="s">
        <v>10</v>
      </c>
      <c r="F202" t="s">
        <v>11</v>
      </c>
      <c r="G202" t="s">
        <v>80</v>
      </c>
      <c r="H202" t="s">
        <v>2763</v>
      </c>
      <c r="I202" t="s">
        <v>2763</v>
      </c>
      <c r="J202" t="str">
        <f>IF(ISNUMBER(MATCH($D202,'Lopettaneet 2013-&gt;'!$D:$D,0)),INDEX('Lopettaneet 2013-&gt;'!$K:$K,MATCH($D202,'Lopettaneet 2013-&gt;'!$D:$D,0)),"Jatkaa")</f>
        <v>Closed</v>
      </c>
      <c r="K202">
        <f ca="1">IF($J202="Jatkaa",DATEDIF($B202,TODAY(),"Y"),INDEX('Lopettaneet 2013-&gt;'!$L:$L,MATCH($D202,'Lopettaneet 2013-&gt;'!$D:$D,0)))</f>
        <v>5</v>
      </c>
      <c r="L202">
        <v>201</v>
      </c>
    </row>
    <row r="203" spans="1:12" x14ac:dyDescent="0.25">
      <c r="A203" t="s">
        <v>7</v>
      </c>
      <c r="B203" s="1">
        <v>41974</v>
      </c>
      <c r="C203" s="1">
        <v>45107</v>
      </c>
      <c r="D203" s="4" t="s">
        <v>27</v>
      </c>
      <c r="E203" t="s">
        <v>10</v>
      </c>
      <c r="F203" t="s">
        <v>11</v>
      </c>
      <c r="G203" t="s">
        <v>29</v>
      </c>
      <c r="H203" t="s">
        <v>2763</v>
      </c>
      <c r="I203" t="s">
        <v>2763</v>
      </c>
      <c r="J203" t="str">
        <f>IF(ISNUMBER(MATCH($D203,'Lopettaneet 2013-&gt;'!$D:$D,0)),INDEX('Lopettaneet 2013-&gt;'!$K:$K,MATCH($D203,'Lopettaneet 2013-&gt;'!$D:$D,0)),"Jatkaa")</f>
        <v>Closed</v>
      </c>
      <c r="K203">
        <f ca="1">IF($J203="Jatkaa",DATEDIF($B203,TODAY(),"Y"),INDEX('Lopettaneet 2013-&gt;'!$L:$L,MATCH($D203,'Lopettaneet 2013-&gt;'!$D:$D,0)))</f>
        <v>8</v>
      </c>
      <c r="L203">
        <v>202</v>
      </c>
    </row>
    <row r="204" spans="1:12" x14ac:dyDescent="0.25">
      <c r="A204" t="s">
        <v>7</v>
      </c>
      <c r="B204" s="1">
        <v>41974</v>
      </c>
      <c r="C204" s="1">
        <v>55153</v>
      </c>
      <c r="D204" s="4" t="s">
        <v>630</v>
      </c>
      <c r="E204" t="s">
        <v>10</v>
      </c>
      <c r="F204" t="s">
        <v>11</v>
      </c>
      <c r="G204" t="s">
        <v>32</v>
      </c>
      <c r="H204" t="s">
        <v>2805</v>
      </c>
      <c r="I204" t="s">
        <v>2894</v>
      </c>
      <c r="J204" t="str">
        <f>IF(ISNUMBER(MATCH($D204,'Lopettaneet 2013-&gt;'!$D:$D,0)),INDEX('Lopettaneet 2013-&gt;'!$K:$K,MATCH($D204,'Lopettaneet 2013-&gt;'!$D:$D,0)),"Jatkaa")</f>
        <v>Jatkaa</v>
      </c>
      <c r="K204">
        <f ca="1">IF($J204="Jatkaa",DATEDIF($B204,TODAY(),"Y"),INDEX('Lopettaneet 2013-&gt;'!$L:$L,MATCH($D204,'Lopettaneet 2013-&gt;'!$D:$D,0)))</f>
        <v>10</v>
      </c>
      <c r="L204">
        <v>203</v>
      </c>
    </row>
    <row r="205" spans="1:12" x14ac:dyDescent="0.25">
      <c r="A205" t="s">
        <v>7</v>
      </c>
      <c r="B205" s="1">
        <v>41974</v>
      </c>
      <c r="C205" s="1">
        <v>55153</v>
      </c>
      <c r="D205" s="4" t="s">
        <v>632</v>
      </c>
      <c r="E205" t="s">
        <v>10</v>
      </c>
      <c r="F205" t="s">
        <v>11</v>
      </c>
      <c r="G205" t="s">
        <v>32</v>
      </c>
      <c r="H205" t="s">
        <v>2805</v>
      </c>
      <c r="I205" t="s">
        <v>2894</v>
      </c>
      <c r="J205" t="str">
        <f>IF(ISNUMBER(MATCH($D205,'Lopettaneet 2013-&gt;'!$D:$D,0)),INDEX('Lopettaneet 2013-&gt;'!$K:$K,MATCH($D205,'Lopettaneet 2013-&gt;'!$D:$D,0)),"Jatkaa")</f>
        <v>Jatkaa</v>
      </c>
      <c r="K205">
        <f ca="1">IF($J205="Jatkaa",DATEDIF($B205,TODAY(),"Y"),INDEX('Lopettaneet 2013-&gt;'!$L:$L,MATCH($D205,'Lopettaneet 2013-&gt;'!$D:$D,0)))</f>
        <v>10</v>
      </c>
      <c r="L205">
        <v>204</v>
      </c>
    </row>
    <row r="206" spans="1:12" x14ac:dyDescent="0.25">
      <c r="A206" t="s">
        <v>0</v>
      </c>
      <c r="B206" s="1">
        <v>42005</v>
      </c>
      <c r="C206" s="1">
        <v>44773</v>
      </c>
      <c r="D206" s="4" t="s">
        <v>634</v>
      </c>
      <c r="E206" t="s">
        <v>10</v>
      </c>
      <c r="F206" t="s">
        <v>4</v>
      </c>
      <c r="G206" t="s">
        <v>20</v>
      </c>
      <c r="H206" t="s">
        <v>2763</v>
      </c>
      <c r="I206" t="s">
        <v>2763</v>
      </c>
      <c r="J206" t="str">
        <f>IF(ISNUMBER(MATCH($D206,'Lopettaneet 2013-&gt;'!$D:$D,0)),INDEX('Lopettaneet 2013-&gt;'!$K:$K,MATCH($D206,'Lopettaneet 2013-&gt;'!$D:$D,0)),"Jatkaa")</f>
        <v>Merged</v>
      </c>
      <c r="K206">
        <f ca="1">IF($J206="Jatkaa",DATEDIF($B206,TODAY(),"Y"),INDEX('Lopettaneet 2013-&gt;'!$L:$L,MATCH($D206,'Lopettaneet 2013-&gt;'!$D:$D,0)))</f>
        <v>7</v>
      </c>
      <c r="L206">
        <v>205</v>
      </c>
    </row>
    <row r="207" spans="1:12" x14ac:dyDescent="0.25">
      <c r="A207" t="s">
        <v>7</v>
      </c>
      <c r="B207" s="1">
        <v>41974</v>
      </c>
      <c r="C207" s="1">
        <v>55153</v>
      </c>
      <c r="D207" s="4" t="s">
        <v>636</v>
      </c>
      <c r="E207" t="s">
        <v>10</v>
      </c>
      <c r="F207" t="s">
        <v>11</v>
      </c>
      <c r="G207" t="s">
        <v>29</v>
      </c>
      <c r="H207" t="s">
        <v>2768</v>
      </c>
      <c r="I207" t="s">
        <v>2895</v>
      </c>
      <c r="J207" t="str">
        <f>IF(ISNUMBER(MATCH($D207,'Lopettaneet 2013-&gt;'!$D:$D,0)),INDEX('Lopettaneet 2013-&gt;'!$K:$K,MATCH($D207,'Lopettaneet 2013-&gt;'!$D:$D,0)),"Jatkaa")</f>
        <v>Jatkaa</v>
      </c>
      <c r="K207">
        <f ca="1">IF($J207="Jatkaa",DATEDIF($B207,TODAY(),"Y"),INDEX('Lopettaneet 2013-&gt;'!$L:$L,MATCH($D207,'Lopettaneet 2013-&gt;'!$D:$D,0)))</f>
        <v>10</v>
      </c>
      <c r="L207">
        <v>206</v>
      </c>
    </row>
    <row r="208" spans="1:12" x14ac:dyDescent="0.25">
      <c r="A208" t="s">
        <v>7</v>
      </c>
      <c r="B208" s="1">
        <v>41974</v>
      </c>
      <c r="C208" s="1">
        <v>55153</v>
      </c>
      <c r="D208" s="4" t="s">
        <v>638</v>
      </c>
      <c r="E208" t="s">
        <v>10</v>
      </c>
      <c r="F208" t="s">
        <v>11</v>
      </c>
      <c r="G208" t="s">
        <v>32</v>
      </c>
      <c r="H208" t="s">
        <v>2771</v>
      </c>
      <c r="I208" t="s">
        <v>2895</v>
      </c>
      <c r="J208" t="str">
        <f>IF(ISNUMBER(MATCH($D208,'Lopettaneet 2013-&gt;'!$D:$D,0)),INDEX('Lopettaneet 2013-&gt;'!$K:$K,MATCH($D208,'Lopettaneet 2013-&gt;'!$D:$D,0)),"Jatkaa")</f>
        <v>Jatkaa</v>
      </c>
      <c r="K208">
        <f ca="1">IF($J208="Jatkaa",DATEDIF($B208,TODAY(),"Y"),INDEX('Lopettaneet 2013-&gt;'!$L:$L,MATCH($D208,'Lopettaneet 2013-&gt;'!$D:$D,0)))</f>
        <v>10</v>
      </c>
      <c r="L208">
        <v>207</v>
      </c>
    </row>
    <row r="209" spans="1:12" x14ac:dyDescent="0.25">
      <c r="A209" t="s">
        <v>7</v>
      </c>
      <c r="B209" s="1">
        <v>41974</v>
      </c>
      <c r="C209" s="1">
        <v>43830</v>
      </c>
      <c r="D209" s="4" t="s">
        <v>640</v>
      </c>
      <c r="E209" t="s">
        <v>10</v>
      </c>
      <c r="F209" t="s">
        <v>11</v>
      </c>
      <c r="G209" t="s">
        <v>32</v>
      </c>
      <c r="H209" t="s">
        <v>2763</v>
      </c>
      <c r="I209" t="s">
        <v>2763</v>
      </c>
      <c r="J209" t="str">
        <f>IF(ISNUMBER(MATCH($D209,'Lopettaneet 2013-&gt;'!$D:$D,0)),INDEX('Lopettaneet 2013-&gt;'!$K:$K,MATCH($D209,'Lopettaneet 2013-&gt;'!$D:$D,0)),"Jatkaa")</f>
        <v>Closed</v>
      </c>
      <c r="K209">
        <f ca="1">IF($J209="Jatkaa",DATEDIF($B209,TODAY(),"Y"),INDEX('Lopettaneet 2013-&gt;'!$L:$L,MATCH($D209,'Lopettaneet 2013-&gt;'!$D:$D,0)))</f>
        <v>5</v>
      </c>
      <c r="L209">
        <v>208</v>
      </c>
    </row>
    <row r="210" spans="1:12" x14ac:dyDescent="0.25">
      <c r="A210" t="s">
        <v>7</v>
      </c>
      <c r="B210" s="1">
        <v>41974</v>
      </c>
      <c r="C210" s="1">
        <v>42916</v>
      </c>
      <c r="D210" s="4" t="s">
        <v>642</v>
      </c>
      <c r="E210" t="s">
        <v>10</v>
      </c>
      <c r="F210" t="s">
        <v>11</v>
      </c>
      <c r="G210" t="s">
        <v>32</v>
      </c>
      <c r="H210" t="s">
        <v>2763</v>
      </c>
      <c r="I210" t="s">
        <v>2763</v>
      </c>
      <c r="J210" t="str">
        <f>IF(ISNUMBER(MATCH($D210,'Lopettaneet 2013-&gt;'!$D:$D,0)),INDEX('Lopettaneet 2013-&gt;'!$K:$K,MATCH($D210,'Lopettaneet 2013-&gt;'!$D:$D,0)),"Jatkaa")</f>
        <v>Closed</v>
      </c>
      <c r="K210">
        <f ca="1">IF($J210="Jatkaa",DATEDIF($B210,TODAY(),"Y"),INDEX('Lopettaneet 2013-&gt;'!$L:$L,MATCH($D210,'Lopettaneet 2013-&gt;'!$D:$D,0)))</f>
        <v>2</v>
      </c>
      <c r="L210">
        <v>209</v>
      </c>
    </row>
    <row r="211" spans="1:12" x14ac:dyDescent="0.25">
      <c r="A211" t="s">
        <v>7</v>
      </c>
      <c r="B211" s="1">
        <v>41974</v>
      </c>
      <c r="C211" s="1">
        <v>42916</v>
      </c>
      <c r="D211" s="4" t="s">
        <v>644</v>
      </c>
      <c r="E211" t="s">
        <v>10</v>
      </c>
      <c r="F211" t="s">
        <v>11</v>
      </c>
      <c r="G211" t="s">
        <v>32</v>
      </c>
      <c r="H211" t="s">
        <v>2763</v>
      </c>
      <c r="I211" t="s">
        <v>2763</v>
      </c>
      <c r="J211" t="str">
        <f>IF(ISNUMBER(MATCH($D211,'Lopettaneet 2013-&gt;'!$D:$D,0)),INDEX('Lopettaneet 2013-&gt;'!$K:$K,MATCH($D211,'Lopettaneet 2013-&gt;'!$D:$D,0)),"Jatkaa")</f>
        <v>Closed</v>
      </c>
      <c r="K211">
        <f ca="1">IF($J211="Jatkaa",DATEDIF($B211,TODAY(),"Y"),INDEX('Lopettaneet 2013-&gt;'!$L:$L,MATCH($D211,'Lopettaneet 2013-&gt;'!$D:$D,0)))</f>
        <v>2</v>
      </c>
      <c r="L211">
        <v>210</v>
      </c>
    </row>
    <row r="212" spans="1:12" x14ac:dyDescent="0.25">
      <c r="A212" t="s">
        <v>7</v>
      </c>
      <c r="B212" s="1">
        <v>41974</v>
      </c>
      <c r="C212" s="1">
        <v>42916</v>
      </c>
      <c r="D212" s="4" t="s">
        <v>646</v>
      </c>
      <c r="E212" t="s">
        <v>10</v>
      </c>
      <c r="F212" t="s">
        <v>11</v>
      </c>
      <c r="G212" t="s">
        <v>32</v>
      </c>
      <c r="H212" t="s">
        <v>2763</v>
      </c>
      <c r="I212" t="s">
        <v>2763</v>
      </c>
      <c r="J212" t="str">
        <f>IF(ISNUMBER(MATCH($D212,'Lopettaneet 2013-&gt;'!$D:$D,0)),INDEX('Lopettaneet 2013-&gt;'!$K:$K,MATCH($D212,'Lopettaneet 2013-&gt;'!$D:$D,0)),"Jatkaa")</f>
        <v>Closed</v>
      </c>
      <c r="K212">
        <f ca="1">IF($J212="Jatkaa",DATEDIF($B212,TODAY(),"Y"),INDEX('Lopettaneet 2013-&gt;'!$L:$L,MATCH($D212,'Lopettaneet 2013-&gt;'!$D:$D,0)))</f>
        <v>2</v>
      </c>
      <c r="L212">
        <v>211</v>
      </c>
    </row>
    <row r="213" spans="1:12" x14ac:dyDescent="0.25">
      <c r="A213" t="s">
        <v>7</v>
      </c>
      <c r="B213" s="1">
        <v>41974</v>
      </c>
      <c r="C213" s="1">
        <v>55153</v>
      </c>
      <c r="D213" s="4" t="s">
        <v>648</v>
      </c>
      <c r="E213" t="s">
        <v>10</v>
      </c>
      <c r="F213" t="s">
        <v>11</v>
      </c>
      <c r="G213" t="s">
        <v>80</v>
      </c>
      <c r="H213" t="s">
        <v>2806</v>
      </c>
      <c r="I213" t="s">
        <v>2895</v>
      </c>
      <c r="J213" t="str">
        <f>IF(ISNUMBER(MATCH($D213,'Lopettaneet 2013-&gt;'!$D:$D,0)),INDEX('Lopettaneet 2013-&gt;'!$K:$K,MATCH($D213,'Lopettaneet 2013-&gt;'!$D:$D,0)),"Jatkaa")</f>
        <v>Jatkaa</v>
      </c>
      <c r="K213">
        <f ca="1">IF($J213="Jatkaa",DATEDIF($B213,TODAY(),"Y"),INDEX('Lopettaneet 2013-&gt;'!$L:$L,MATCH($D213,'Lopettaneet 2013-&gt;'!$D:$D,0)))</f>
        <v>10</v>
      </c>
      <c r="L213">
        <v>212</v>
      </c>
    </row>
    <row r="214" spans="1:12" x14ac:dyDescent="0.25">
      <c r="A214" t="s">
        <v>7</v>
      </c>
      <c r="B214" s="1">
        <v>41974</v>
      </c>
      <c r="C214" s="1">
        <v>55153</v>
      </c>
      <c r="D214" s="4" t="s">
        <v>650</v>
      </c>
      <c r="E214" t="s">
        <v>10</v>
      </c>
      <c r="F214" t="s">
        <v>11</v>
      </c>
      <c r="G214" t="s">
        <v>80</v>
      </c>
      <c r="H214" t="s">
        <v>2800</v>
      </c>
      <c r="I214" t="s">
        <v>2895</v>
      </c>
      <c r="J214" t="str">
        <f>IF(ISNUMBER(MATCH($D214,'Lopettaneet 2013-&gt;'!$D:$D,0)),INDEX('Lopettaneet 2013-&gt;'!$K:$K,MATCH($D214,'Lopettaneet 2013-&gt;'!$D:$D,0)),"Jatkaa")</f>
        <v>Jatkaa</v>
      </c>
      <c r="K214">
        <f ca="1">IF($J214="Jatkaa",DATEDIF($B214,TODAY(),"Y"),INDEX('Lopettaneet 2013-&gt;'!$L:$L,MATCH($D214,'Lopettaneet 2013-&gt;'!$D:$D,0)))</f>
        <v>10</v>
      </c>
      <c r="L214">
        <v>213</v>
      </c>
    </row>
    <row r="215" spans="1:12" x14ac:dyDescent="0.25">
      <c r="A215" t="s">
        <v>7</v>
      </c>
      <c r="B215" s="1">
        <v>41974</v>
      </c>
      <c r="C215" s="1">
        <v>55153</v>
      </c>
      <c r="D215" s="4" t="s">
        <v>652</v>
      </c>
      <c r="E215" t="s">
        <v>10</v>
      </c>
      <c r="F215" t="s">
        <v>11</v>
      </c>
      <c r="G215" t="s">
        <v>80</v>
      </c>
      <c r="H215" t="s">
        <v>2807</v>
      </c>
      <c r="I215" t="s">
        <v>2895</v>
      </c>
      <c r="J215" t="str">
        <f>IF(ISNUMBER(MATCH($D215,'Lopettaneet 2013-&gt;'!$D:$D,0)),INDEX('Lopettaneet 2013-&gt;'!$K:$K,MATCH($D215,'Lopettaneet 2013-&gt;'!$D:$D,0)),"Jatkaa")</f>
        <v>Jatkaa</v>
      </c>
      <c r="K215">
        <f ca="1">IF($J215="Jatkaa",DATEDIF($B215,TODAY(),"Y"),INDEX('Lopettaneet 2013-&gt;'!$L:$L,MATCH($D215,'Lopettaneet 2013-&gt;'!$D:$D,0)))</f>
        <v>10</v>
      </c>
      <c r="L215">
        <v>214</v>
      </c>
    </row>
    <row r="216" spans="1:12" x14ac:dyDescent="0.25">
      <c r="A216" t="s">
        <v>0</v>
      </c>
      <c r="B216" s="1">
        <v>42156</v>
      </c>
      <c r="C216" s="1">
        <v>55153</v>
      </c>
      <c r="D216" s="4" t="s">
        <v>654</v>
      </c>
      <c r="E216" t="s">
        <v>10</v>
      </c>
      <c r="F216" t="s">
        <v>4</v>
      </c>
      <c r="G216" t="s">
        <v>32</v>
      </c>
      <c r="H216" t="s">
        <v>2766</v>
      </c>
      <c r="I216" t="s">
        <v>2894</v>
      </c>
      <c r="J216" t="str">
        <f>IF(ISNUMBER(MATCH($D216,'Lopettaneet 2013-&gt;'!$D:$D,0)),INDEX('Lopettaneet 2013-&gt;'!$K:$K,MATCH($D216,'Lopettaneet 2013-&gt;'!$D:$D,0)),"Jatkaa")</f>
        <v>Jatkaa</v>
      </c>
      <c r="K216">
        <f ca="1">IF($J216="Jatkaa",DATEDIF($B216,TODAY(),"Y"),INDEX('Lopettaneet 2013-&gt;'!$L:$L,MATCH($D216,'Lopettaneet 2013-&gt;'!$D:$D,0)))</f>
        <v>9</v>
      </c>
      <c r="L216">
        <v>215</v>
      </c>
    </row>
    <row r="217" spans="1:12" x14ac:dyDescent="0.25">
      <c r="A217" t="s">
        <v>7</v>
      </c>
      <c r="B217" s="1">
        <v>41974</v>
      </c>
      <c r="C217" s="1">
        <v>55153</v>
      </c>
      <c r="D217" s="4" t="s">
        <v>656</v>
      </c>
      <c r="E217" t="s">
        <v>10</v>
      </c>
      <c r="F217" t="s">
        <v>11</v>
      </c>
      <c r="G217" t="s">
        <v>32</v>
      </c>
      <c r="H217" t="s">
        <v>2766</v>
      </c>
      <c r="I217" t="s">
        <v>2895</v>
      </c>
      <c r="J217" t="str">
        <f>IF(ISNUMBER(MATCH($D217,'Lopettaneet 2013-&gt;'!$D:$D,0)),INDEX('Lopettaneet 2013-&gt;'!$K:$K,MATCH($D217,'Lopettaneet 2013-&gt;'!$D:$D,0)),"Jatkaa")</f>
        <v>Jatkaa</v>
      </c>
      <c r="K217">
        <f ca="1">IF($J217="Jatkaa",DATEDIF($B217,TODAY(),"Y"),INDEX('Lopettaneet 2013-&gt;'!$L:$L,MATCH($D217,'Lopettaneet 2013-&gt;'!$D:$D,0)))</f>
        <v>10</v>
      </c>
      <c r="L217">
        <v>216</v>
      </c>
    </row>
    <row r="218" spans="1:12" x14ac:dyDescent="0.25">
      <c r="A218" t="s">
        <v>0</v>
      </c>
      <c r="B218" s="1">
        <v>42125</v>
      </c>
      <c r="C218" s="1">
        <v>55153</v>
      </c>
      <c r="D218" s="4" t="s">
        <v>658</v>
      </c>
      <c r="E218" t="s">
        <v>10</v>
      </c>
      <c r="F218" t="s">
        <v>4</v>
      </c>
      <c r="G218" t="s">
        <v>50</v>
      </c>
      <c r="H218" t="s">
        <v>2764</v>
      </c>
      <c r="I218" t="s">
        <v>2894</v>
      </c>
      <c r="J218" t="str">
        <f>IF(ISNUMBER(MATCH($D218,'Lopettaneet 2013-&gt;'!$D:$D,0)),INDEX('Lopettaneet 2013-&gt;'!$K:$K,MATCH($D218,'Lopettaneet 2013-&gt;'!$D:$D,0)),"Jatkaa")</f>
        <v>Jatkaa</v>
      </c>
      <c r="K218">
        <f ca="1">IF($J218="Jatkaa",DATEDIF($B218,TODAY(),"Y"),INDEX('Lopettaneet 2013-&gt;'!$L:$L,MATCH($D218,'Lopettaneet 2013-&gt;'!$D:$D,0)))</f>
        <v>10</v>
      </c>
      <c r="L218">
        <v>217</v>
      </c>
    </row>
    <row r="219" spans="1:12" x14ac:dyDescent="0.25">
      <c r="A219" t="s">
        <v>0</v>
      </c>
      <c r="B219" s="1">
        <v>42125</v>
      </c>
      <c r="C219" s="1">
        <v>55153</v>
      </c>
      <c r="D219" s="4" t="s">
        <v>660</v>
      </c>
      <c r="E219" t="s">
        <v>10</v>
      </c>
      <c r="F219" t="s">
        <v>4</v>
      </c>
      <c r="G219" t="s">
        <v>50</v>
      </c>
      <c r="H219" t="s">
        <v>2764</v>
      </c>
      <c r="I219" t="s">
        <v>2894</v>
      </c>
      <c r="J219" t="str">
        <f>IF(ISNUMBER(MATCH($D219,'Lopettaneet 2013-&gt;'!$D:$D,0)),INDEX('Lopettaneet 2013-&gt;'!$K:$K,MATCH($D219,'Lopettaneet 2013-&gt;'!$D:$D,0)),"Jatkaa")</f>
        <v>Jatkaa</v>
      </c>
      <c r="K219">
        <f ca="1">IF($J219="Jatkaa",DATEDIF($B219,TODAY(),"Y"),INDEX('Lopettaneet 2013-&gt;'!$L:$L,MATCH($D219,'Lopettaneet 2013-&gt;'!$D:$D,0)))</f>
        <v>10</v>
      </c>
      <c r="L219">
        <v>218</v>
      </c>
    </row>
    <row r="220" spans="1:12" x14ac:dyDescent="0.25">
      <c r="A220" t="s">
        <v>0</v>
      </c>
      <c r="B220" s="1">
        <v>42125</v>
      </c>
      <c r="C220" s="1">
        <v>55153</v>
      </c>
      <c r="D220" s="4" t="s">
        <v>662</v>
      </c>
      <c r="E220" t="s">
        <v>10</v>
      </c>
      <c r="F220" t="s">
        <v>4</v>
      </c>
      <c r="G220" t="s">
        <v>5</v>
      </c>
      <c r="H220" t="s">
        <v>2764</v>
      </c>
      <c r="I220" t="s">
        <v>2894</v>
      </c>
      <c r="J220" t="str">
        <f>IF(ISNUMBER(MATCH($D220,'Lopettaneet 2013-&gt;'!$D:$D,0)),INDEX('Lopettaneet 2013-&gt;'!$K:$K,MATCH($D220,'Lopettaneet 2013-&gt;'!$D:$D,0)),"Jatkaa")</f>
        <v>Jatkaa</v>
      </c>
      <c r="K220">
        <f ca="1">IF($J220="Jatkaa",DATEDIF($B220,TODAY(),"Y"),INDEX('Lopettaneet 2013-&gt;'!$L:$L,MATCH($D220,'Lopettaneet 2013-&gt;'!$D:$D,0)))</f>
        <v>10</v>
      </c>
      <c r="L220">
        <v>219</v>
      </c>
    </row>
    <row r="221" spans="1:12" x14ac:dyDescent="0.25">
      <c r="A221" t="s">
        <v>0</v>
      </c>
      <c r="B221" s="1">
        <v>42125</v>
      </c>
      <c r="C221" s="1">
        <v>55153</v>
      </c>
      <c r="D221" s="4" t="s">
        <v>664</v>
      </c>
      <c r="E221" t="s">
        <v>10</v>
      </c>
      <c r="F221" t="s">
        <v>4</v>
      </c>
      <c r="G221" t="s">
        <v>20</v>
      </c>
      <c r="H221" t="s">
        <v>2764</v>
      </c>
      <c r="I221" t="s">
        <v>2894</v>
      </c>
      <c r="J221" t="str">
        <f>IF(ISNUMBER(MATCH($D221,'Lopettaneet 2013-&gt;'!$D:$D,0)),INDEX('Lopettaneet 2013-&gt;'!$K:$K,MATCH($D221,'Lopettaneet 2013-&gt;'!$D:$D,0)),"Jatkaa")</f>
        <v>Jatkaa</v>
      </c>
      <c r="K221">
        <f ca="1">IF($J221="Jatkaa",DATEDIF($B221,TODAY(),"Y"),INDEX('Lopettaneet 2013-&gt;'!$L:$L,MATCH($D221,'Lopettaneet 2013-&gt;'!$D:$D,0)))</f>
        <v>10</v>
      </c>
      <c r="L221">
        <v>220</v>
      </c>
    </row>
    <row r="222" spans="1:12" x14ac:dyDescent="0.25">
      <c r="A222" t="s">
        <v>0</v>
      </c>
      <c r="B222" s="1">
        <v>42125</v>
      </c>
      <c r="C222" s="1">
        <v>55153</v>
      </c>
      <c r="D222" s="4" t="s">
        <v>666</v>
      </c>
      <c r="E222" t="s">
        <v>10</v>
      </c>
      <c r="F222" t="s">
        <v>4</v>
      </c>
      <c r="G222" t="s">
        <v>20</v>
      </c>
      <c r="H222" t="s">
        <v>2764</v>
      </c>
      <c r="I222" t="s">
        <v>2894</v>
      </c>
      <c r="J222" t="str">
        <f>IF(ISNUMBER(MATCH($D222,'Lopettaneet 2013-&gt;'!$D:$D,0)),INDEX('Lopettaneet 2013-&gt;'!$K:$K,MATCH($D222,'Lopettaneet 2013-&gt;'!$D:$D,0)),"Jatkaa")</f>
        <v>Jatkaa</v>
      </c>
      <c r="K222">
        <f ca="1">IF($J222="Jatkaa",DATEDIF($B222,TODAY(),"Y"),INDEX('Lopettaneet 2013-&gt;'!$L:$L,MATCH($D222,'Lopettaneet 2013-&gt;'!$D:$D,0)))</f>
        <v>10</v>
      </c>
      <c r="L222">
        <v>221</v>
      </c>
    </row>
    <row r="223" spans="1:12" x14ac:dyDescent="0.25">
      <c r="A223" t="s">
        <v>0</v>
      </c>
      <c r="B223" s="1">
        <v>42064</v>
      </c>
      <c r="C223" s="1">
        <v>55153</v>
      </c>
      <c r="D223" s="4" t="s">
        <v>668</v>
      </c>
      <c r="E223" t="s">
        <v>3</v>
      </c>
      <c r="F223" t="s">
        <v>4</v>
      </c>
      <c r="G223" t="s">
        <v>20</v>
      </c>
      <c r="H223" t="s">
        <v>2767</v>
      </c>
      <c r="I223" t="s">
        <v>2894</v>
      </c>
      <c r="J223" t="str">
        <f>IF(ISNUMBER(MATCH($D223,'Lopettaneet 2013-&gt;'!$D:$D,0)),INDEX('Lopettaneet 2013-&gt;'!$K:$K,MATCH($D223,'Lopettaneet 2013-&gt;'!$D:$D,0)),"Jatkaa")</f>
        <v>Jatkaa</v>
      </c>
      <c r="K223">
        <f ca="1">IF($J223="Jatkaa",DATEDIF($B223,TODAY(),"Y"),INDEX('Lopettaneet 2013-&gt;'!$L:$L,MATCH($D223,'Lopettaneet 2013-&gt;'!$D:$D,0)))</f>
        <v>10</v>
      </c>
      <c r="L223">
        <v>222</v>
      </c>
    </row>
    <row r="224" spans="1:12" x14ac:dyDescent="0.25">
      <c r="A224" t="s">
        <v>0</v>
      </c>
      <c r="B224" s="1">
        <v>42064</v>
      </c>
      <c r="C224" s="1">
        <v>55153</v>
      </c>
      <c r="D224" s="4" t="s">
        <v>670</v>
      </c>
      <c r="E224" t="s">
        <v>3</v>
      </c>
      <c r="F224" t="s">
        <v>4</v>
      </c>
      <c r="G224" t="s">
        <v>20</v>
      </c>
      <c r="H224" t="s">
        <v>2767</v>
      </c>
      <c r="I224" t="s">
        <v>2894</v>
      </c>
      <c r="J224" t="str">
        <f>IF(ISNUMBER(MATCH($D224,'Lopettaneet 2013-&gt;'!$D:$D,0)),INDEX('Lopettaneet 2013-&gt;'!$K:$K,MATCH($D224,'Lopettaneet 2013-&gt;'!$D:$D,0)),"Jatkaa")</f>
        <v>Jatkaa</v>
      </c>
      <c r="K224">
        <f ca="1">IF($J224="Jatkaa",DATEDIF($B224,TODAY(),"Y"),INDEX('Lopettaneet 2013-&gt;'!$L:$L,MATCH($D224,'Lopettaneet 2013-&gt;'!$D:$D,0)))</f>
        <v>10</v>
      </c>
      <c r="L224">
        <v>223</v>
      </c>
    </row>
    <row r="225" spans="1:12" x14ac:dyDescent="0.25">
      <c r="A225" t="s">
        <v>0</v>
      </c>
      <c r="B225" s="1">
        <v>42064</v>
      </c>
      <c r="C225" s="1">
        <v>55153</v>
      </c>
      <c r="D225" s="4" t="s">
        <v>672</v>
      </c>
      <c r="E225" t="s">
        <v>3</v>
      </c>
      <c r="F225" t="s">
        <v>4</v>
      </c>
      <c r="G225" t="s">
        <v>50</v>
      </c>
      <c r="H225" t="s">
        <v>2767</v>
      </c>
      <c r="I225" t="s">
        <v>2763</v>
      </c>
      <c r="J225" t="str">
        <f>IF(ISNUMBER(MATCH($D225,'Lopettaneet 2013-&gt;'!$D:$D,0)),INDEX('Lopettaneet 2013-&gt;'!$K:$K,MATCH($D225,'Lopettaneet 2013-&gt;'!$D:$D,0)),"Jatkaa")</f>
        <v>Jatkaa</v>
      </c>
      <c r="K225">
        <f ca="1">IF($J225="Jatkaa",DATEDIF($B225,TODAY(),"Y"),INDEX('Lopettaneet 2013-&gt;'!$L:$L,MATCH($D225,'Lopettaneet 2013-&gt;'!$D:$D,0)))</f>
        <v>10</v>
      </c>
      <c r="L225">
        <v>224</v>
      </c>
    </row>
    <row r="226" spans="1:12" x14ac:dyDescent="0.25">
      <c r="A226" t="s">
        <v>7</v>
      </c>
      <c r="B226" s="1">
        <v>41974</v>
      </c>
      <c r="C226" s="1">
        <v>43251</v>
      </c>
      <c r="D226" s="4" t="s">
        <v>674</v>
      </c>
      <c r="E226" t="s">
        <v>10</v>
      </c>
      <c r="F226" t="s">
        <v>11</v>
      </c>
      <c r="G226" t="s">
        <v>32</v>
      </c>
      <c r="H226" t="s">
        <v>2763</v>
      </c>
      <c r="I226" t="s">
        <v>2763</v>
      </c>
      <c r="J226" t="str">
        <f>IF(ISNUMBER(MATCH($D226,'Lopettaneet 2013-&gt;'!$D:$D,0)),INDEX('Lopettaneet 2013-&gt;'!$K:$K,MATCH($D226,'Lopettaneet 2013-&gt;'!$D:$D,0)),"Jatkaa")</f>
        <v>Merged</v>
      </c>
      <c r="K226">
        <f ca="1">IF($J226="Jatkaa",DATEDIF($B226,TODAY(),"Y"),INDEX('Lopettaneet 2013-&gt;'!$L:$L,MATCH($D226,'Lopettaneet 2013-&gt;'!$D:$D,0)))</f>
        <v>3</v>
      </c>
      <c r="L226">
        <v>225</v>
      </c>
    </row>
    <row r="227" spans="1:12" x14ac:dyDescent="0.25">
      <c r="A227" t="s">
        <v>7</v>
      </c>
      <c r="B227" s="1">
        <v>41974</v>
      </c>
      <c r="C227" s="1">
        <v>44651</v>
      </c>
      <c r="D227" s="4" t="s">
        <v>676</v>
      </c>
      <c r="E227" t="s">
        <v>10</v>
      </c>
      <c r="F227" t="s">
        <v>11</v>
      </c>
      <c r="G227" t="s">
        <v>32</v>
      </c>
      <c r="H227" t="s">
        <v>2763</v>
      </c>
      <c r="I227" t="s">
        <v>2763</v>
      </c>
      <c r="J227" t="str">
        <f>IF(ISNUMBER(MATCH($D227,'Lopettaneet 2013-&gt;'!$D:$D,0)),INDEX('Lopettaneet 2013-&gt;'!$K:$K,MATCH($D227,'Lopettaneet 2013-&gt;'!$D:$D,0)),"Jatkaa")</f>
        <v>Merged</v>
      </c>
      <c r="K227">
        <f ca="1">IF($J227="Jatkaa",DATEDIF($B227,TODAY(),"Y"),INDEX('Lopettaneet 2013-&gt;'!$L:$L,MATCH($D227,'Lopettaneet 2013-&gt;'!$D:$D,0)))</f>
        <v>7</v>
      </c>
      <c r="L227">
        <v>226</v>
      </c>
    </row>
    <row r="228" spans="1:12" x14ac:dyDescent="0.25">
      <c r="A228" t="s">
        <v>7</v>
      </c>
      <c r="B228" s="1">
        <v>41974</v>
      </c>
      <c r="C228" s="1">
        <v>55153</v>
      </c>
      <c r="D228" s="4" t="s">
        <v>678</v>
      </c>
      <c r="E228" t="s">
        <v>10</v>
      </c>
      <c r="F228" t="s">
        <v>11</v>
      </c>
      <c r="G228" t="s">
        <v>12</v>
      </c>
      <c r="H228" t="s">
        <v>2768</v>
      </c>
      <c r="I228" t="s">
        <v>2895</v>
      </c>
      <c r="J228" t="str">
        <f>IF(ISNUMBER(MATCH($D228,'Lopettaneet 2013-&gt;'!$D:$D,0)),INDEX('Lopettaneet 2013-&gt;'!$K:$K,MATCH($D228,'Lopettaneet 2013-&gt;'!$D:$D,0)),"Jatkaa")</f>
        <v>Jatkaa</v>
      </c>
      <c r="K228">
        <f ca="1">IF($J228="Jatkaa",DATEDIF($B228,TODAY(),"Y"),INDEX('Lopettaneet 2013-&gt;'!$L:$L,MATCH($D228,'Lopettaneet 2013-&gt;'!$D:$D,0)))</f>
        <v>10</v>
      </c>
      <c r="L228">
        <v>227</v>
      </c>
    </row>
    <row r="229" spans="1:12" x14ac:dyDescent="0.25">
      <c r="A229" t="s">
        <v>7</v>
      </c>
      <c r="B229" s="1">
        <v>41974</v>
      </c>
      <c r="C229" s="1">
        <v>42551</v>
      </c>
      <c r="D229" s="4" t="s">
        <v>680</v>
      </c>
      <c r="E229" t="s">
        <v>10</v>
      </c>
      <c r="F229" t="s">
        <v>11</v>
      </c>
      <c r="G229" t="s">
        <v>80</v>
      </c>
      <c r="H229" t="s">
        <v>2763</v>
      </c>
      <c r="I229" t="s">
        <v>2763</v>
      </c>
      <c r="J229" t="str">
        <f>IF(ISNUMBER(MATCH($D229,'Lopettaneet 2013-&gt;'!$D:$D,0)),INDEX('Lopettaneet 2013-&gt;'!$K:$K,MATCH($D229,'Lopettaneet 2013-&gt;'!$D:$D,0)),"Jatkaa")</f>
        <v>Closed</v>
      </c>
      <c r="K229">
        <f ca="1">IF($J229="Jatkaa",DATEDIF($B229,TODAY(),"Y"),INDEX('Lopettaneet 2013-&gt;'!$L:$L,MATCH($D229,'Lopettaneet 2013-&gt;'!$D:$D,0)))</f>
        <v>1</v>
      </c>
      <c r="L229">
        <v>228</v>
      </c>
    </row>
    <row r="230" spans="1:12" x14ac:dyDescent="0.25">
      <c r="A230" t="s">
        <v>7</v>
      </c>
      <c r="B230" s="1">
        <v>41974</v>
      </c>
      <c r="C230" s="1">
        <v>42369</v>
      </c>
      <c r="D230" s="4" t="s">
        <v>682</v>
      </c>
      <c r="E230" t="s">
        <v>10</v>
      </c>
      <c r="F230" t="s">
        <v>11</v>
      </c>
      <c r="G230" t="s">
        <v>80</v>
      </c>
      <c r="H230" t="s">
        <v>2763</v>
      </c>
      <c r="I230" t="s">
        <v>2763</v>
      </c>
      <c r="J230" t="str">
        <f>IF(ISNUMBER(MATCH($D230,'Lopettaneet 2013-&gt;'!$D:$D,0)),INDEX('Lopettaneet 2013-&gt;'!$K:$K,MATCH($D230,'Lopettaneet 2013-&gt;'!$D:$D,0)),"Jatkaa")</f>
        <v>Closed</v>
      </c>
      <c r="K230">
        <f ca="1">IF($J230="Jatkaa",DATEDIF($B230,TODAY(),"Y"),INDEX('Lopettaneet 2013-&gt;'!$L:$L,MATCH($D230,'Lopettaneet 2013-&gt;'!$D:$D,0)))</f>
        <v>1</v>
      </c>
      <c r="L230">
        <v>229</v>
      </c>
    </row>
    <row r="231" spans="1:12" x14ac:dyDescent="0.25">
      <c r="A231" t="s">
        <v>7</v>
      </c>
      <c r="B231" s="1">
        <v>41974</v>
      </c>
      <c r="C231" s="1">
        <v>43190</v>
      </c>
      <c r="D231" s="4" t="s">
        <v>684</v>
      </c>
      <c r="E231" t="s">
        <v>10</v>
      </c>
      <c r="F231" t="s">
        <v>11</v>
      </c>
      <c r="G231" t="s">
        <v>80</v>
      </c>
      <c r="H231" t="s">
        <v>2763</v>
      </c>
      <c r="I231" t="s">
        <v>2763</v>
      </c>
      <c r="J231" t="str">
        <f>IF(ISNUMBER(MATCH($D231,'Lopettaneet 2013-&gt;'!$D:$D,0)),INDEX('Lopettaneet 2013-&gt;'!$K:$K,MATCH($D231,'Lopettaneet 2013-&gt;'!$D:$D,0)),"Jatkaa")</f>
        <v>Closed</v>
      </c>
      <c r="K231">
        <f ca="1">IF($J231="Jatkaa",DATEDIF($B231,TODAY(),"Y"),INDEX('Lopettaneet 2013-&gt;'!$L:$L,MATCH($D231,'Lopettaneet 2013-&gt;'!$D:$D,0)))</f>
        <v>3</v>
      </c>
      <c r="L231">
        <v>230</v>
      </c>
    </row>
    <row r="232" spans="1:12" x14ac:dyDescent="0.25">
      <c r="A232" t="s">
        <v>7</v>
      </c>
      <c r="B232" s="1">
        <v>41974</v>
      </c>
      <c r="C232" s="1">
        <v>55153</v>
      </c>
      <c r="D232" s="4" t="s">
        <v>686</v>
      </c>
      <c r="E232" t="s">
        <v>10</v>
      </c>
      <c r="F232" t="s">
        <v>11</v>
      </c>
      <c r="G232" t="s">
        <v>12</v>
      </c>
      <c r="H232" t="s">
        <v>2788</v>
      </c>
      <c r="I232" t="s">
        <v>2895</v>
      </c>
      <c r="J232" t="str">
        <f>IF(ISNUMBER(MATCH($D232,'Lopettaneet 2013-&gt;'!$D:$D,0)),INDEX('Lopettaneet 2013-&gt;'!$K:$K,MATCH($D232,'Lopettaneet 2013-&gt;'!$D:$D,0)),"Jatkaa")</f>
        <v>Jatkaa</v>
      </c>
      <c r="K232">
        <f ca="1">IF($J232="Jatkaa",DATEDIF($B232,TODAY(),"Y"),INDEX('Lopettaneet 2013-&gt;'!$L:$L,MATCH($D232,'Lopettaneet 2013-&gt;'!$D:$D,0)))</f>
        <v>10</v>
      </c>
      <c r="L232">
        <v>231</v>
      </c>
    </row>
    <row r="233" spans="1:12" x14ac:dyDescent="0.25">
      <c r="A233" t="s">
        <v>7</v>
      </c>
      <c r="B233" s="1">
        <v>41974</v>
      </c>
      <c r="C233" s="1">
        <v>55153</v>
      </c>
      <c r="D233" s="4" t="s">
        <v>688</v>
      </c>
      <c r="E233" t="s">
        <v>10</v>
      </c>
      <c r="F233" t="s">
        <v>11</v>
      </c>
      <c r="G233" t="s">
        <v>32</v>
      </c>
      <c r="H233" t="s">
        <v>2801</v>
      </c>
      <c r="I233" t="s">
        <v>2895</v>
      </c>
      <c r="J233" t="str">
        <f>IF(ISNUMBER(MATCH($D233,'Lopettaneet 2013-&gt;'!$D:$D,0)),INDEX('Lopettaneet 2013-&gt;'!$K:$K,MATCH($D233,'Lopettaneet 2013-&gt;'!$D:$D,0)),"Jatkaa")</f>
        <v>Jatkaa</v>
      </c>
      <c r="K233">
        <f ca="1">IF($J233="Jatkaa",DATEDIF($B233,TODAY(),"Y"),INDEX('Lopettaneet 2013-&gt;'!$L:$L,MATCH($D233,'Lopettaneet 2013-&gt;'!$D:$D,0)))</f>
        <v>10</v>
      </c>
      <c r="L233">
        <v>232</v>
      </c>
    </row>
    <row r="234" spans="1:12" x14ac:dyDescent="0.25">
      <c r="A234" t="s">
        <v>7</v>
      </c>
      <c r="B234" s="1">
        <v>41974</v>
      </c>
      <c r="C234" s="1">
        <v>44561</v>
      </c>
      <c r="D234" s="4" t="s">
        <v>690</v>
      </c>
      <c r="E234" t="s">
        <v>10</v>
      </c>
      <c r="F234" t="s">
        <v>11</v>
      </c>
      <c r="G234" t="s">
        <v>29</v>
      </c>
      <c r="H234" t="s">
        <v>2763</v>
      </c>
      <c r="I234" t="s">
        <v>2763</v>
      </c>
      <c r="J234" t="str">
        <f>IF(ISNUMBER(MATCH($D234,'Lopettaneet 2013-&gt;'!$D:$D,0)),INDEX('Lopettaneet 2013-&gt;'!$K:$K,MATCH($D234,'Lopettaneet 2013-&gt;'!$D:$D,0)),"Jatkaa")</f>
        <v>Closed</v>
      </c>
      <c r="K234">
        <f ca="1">IF($J234="Jatkaa",DATEDIF($B234,TODAY(),"Y"),INDEX('Lopettaneet 2013-&gt;'!$L:$L,MATCH($D234,'Lopettaneet 2013-&gt;'!$D:$D,0)))</f>
        <v>7</v>
      </c>
      <c r="L234">
        <v>233</v>
      </c>
    </row>
    <row r="235" spans="1:12" x14ac:dyDescent="0.25">
      <c r="A235" t="s">
        <v>7</v>
      </c>
      <c r="B235" s="1">
        <v>41974</v>
      </c>
      <c r="C235" s="1">
        <v>55153</v>
      </c>
      <c r="D235" s="4" t="s">
        <v>692</v>
      </c>
      <c r="E235" t="s">
        <v>10</v>
      </c>
      <c r="F235" t="s">
        <v>11</v>
      </c>
      <c r="G235" t="s">
        <v>29</v>
      </c>
      <c r="H235" t="s">
        <v>2801</v>
      </c>
      <c r="I235" t="s">
        <v>2894</v>
      </c>
      <c r="J235" t="str">
        <f>IF(ISNUMBER(MATCH($D235,'Lopettaneet 2013-&gt;'!$D:$D,0)),INDEX('Lopettaneet 2013-&gt;'!$K:$K,MATCH($D235,'Lopettaneet 2013-&gt;'!$D:$D,0)),"Jatkaa")</f>
        <v>Jatkaa</v>
      </c>
      <c r="K235">
        <f ca="1">IF($J235="Jatkaa",DATEDIF($B235,TODAY(),"Y"),INDEX('Lopettaneet 2013-&gt;'!$L:$L,MATCH($D235,'Lopettaneet 2013-&gt;'!$D:$D,0)))</f>
        <v>10</v>
      </c>
      <c r="L235">
        <v>234</v>
      </c>
    </row>
    <row r="236" spans="1:12" x14ac:dyDescent="0.25">
      <c r="A236" t="s">
        <v>7</v>
      </c>
      <c r="B236" s="1">
        <v>41974</v>
      </c>
      <c r="C236" s="1">
        <v>44561</v>
      </c>
      <c r="D236" s="4" t="s">
        <v>694</v>
      </c>
      <c r="E236" t="s">
        <v>10</v>
      </c>
      <c r="F236" t="s">
        <v>11</v>
      </c>
      <c r="G236" t="s">
        <v>32</v>
      </c>
      <c r="H236" t="s">
        <v>2763</v>
      </c>
      <c r="I236" t="s">
        <v>2763</v>
      </c>
      <c r="J236" t="str">
        <f>IF(ISNUMBER(MATCH($D236,'Lopettaneet 2013-&gt;'!$D:$D,0)),INDEX('Lopettaneet 2013-&gt;'!$K:$K,MATCH($D236,'Lopettaneet 2013-&gt;'!$D:$D,0)),"Jatkaa")</f>
        <v>Closed</v>
      </c>
      <c r="K236">
        <f ca="1">IF($J236="Jatkaa",DATEDIF($B236,TODAY(),"Y"),INDEX('Lopettaneet 2013-&gt;'!$L:$L,MATCH($D236,'Lopettaneet 2013-&gt;'!$D:$D,0)))</f>
        <v>7</v>
      </c>
      <c r="L236">
        <v>235</v>
      </c>
    </row>
    <row r="237" spans="1:12" x14ac:dyDescent="0.25">
      <c r="A237" t="s">
        <v>7</v>
      </c>
      <c r="B237" s="1">
        <v>41974</v>
      </c>
      <c r="C237" s="1">
        <v>44561</v>
      </c>
      <c r="D237" s="4" t="s">
        <v>696</v>
      </c>
      <c r="E237" t="s">
        <v>10</v>
      </c>
      <c r="F237" t="s">
        <v>11</v>
      </c>
      <c r="G237" t="s">
        <v>29</v>
      </c>
      <c r="H237" t="s">
        <v>2763</v>
      </c>
      <c r="I237" t="s">
        <v>2763</v>
      </c>
      <c r="J237" t="str">
        <f>IF(ISNUMBER(MATCH($D237,'Lopettaneet 2013-&gt;'!$D:$D,0)),INDEX('Lopettaneet 2013-&gt;'!$K:$K,MATCH($D237,'Lopettaneet 2013-&gt;'!$D:$D,0)),"Jatkaa")</f>
        <v>Closed</v>
      </c>
      <c r="K237">
        <f ca="1">IF($J237="Jatkaa",DATEDIF($B237,TODAY(),"Y"),INDEX('Lopettaneet 2013-&gt;'!$L:$L,MATCH($D237,'Lopettaneet 2013-&gt;'!$D:$D,0)))</f>
        <v>7</v>
      </c>
      <c r="L237">
        <v>236</v>
      </c>
    </row>
    <row r="238" spans="1:12" x14ac:dyDescent="0.25">
      <c r="A238" t="s">
        <v>7</v>
      </c>
      <c r="B238" s="1">
        <v>41974</v>
      </c>
      <c r="C238" s="1">
        <v>43890</v>
      </c>
      <c r="D238" s="4" t="s">
        <v>698</v>
      </c>
      <c r="E238" t="s">
        <v>10</v>
      </c>
      <c r="F238" t="s">
        <v>11</v>
      </c>
      <c r="G238" t="s">
        <v>80</v>
      </c>
      <c r="H238" t="s">
        <v>2763</v>
      </c>
      <c r="I238" t="s">
        <v>2763</v>
      </c>
      <c r="J238" t="str">
        <f>IF(ISNUMBER(MATCH($D238,'Lopettaneet 2013-&gt;'!$D:$D,0)),INDEX('Lopettaneet 2013-&gt;'!$K:$K,MATCH($D238,'Lopettaneet 2013-&gt;'!$D:$D,0)),"Jatkaa")</f>
        <v>Closed</v>
      </c>
      <c r="K238">
        <f ca="1">IF($J238="Jatkaa",DATEDIF($B238,TODAY(),"Y"),INDEX('Lopettaneet 2013-&gt;'!$L:$L,MATCH($D238,'Lopettaneet 2013-&gt;'!$D:$D,0)))</f>
        <v>5</v>
      </c>
      <c r="L238">
        <v>237</v>
      </c>
    </row>
    <row r="239" spans="1:12" x14ac:dyDescent="0.25">
      <c r="A239" t="s">
        <v>7</v>
      </c>
      <c r="B239" s="1">
        <v>41974</v>
      </c>
      <c r="C239" s="1">
        <v>55153</v>
      </c>
      <c r="D239" s="4" t="s">
        <v>700</v>
      </c>
      <c r="E239" t="s">
        <v>10</v>
      </c>
      <c r="F239" t="s">
        <v>11</v>
      </c>
      <c r="G239" t="s">
        <v>32</v>
      </c>
      <c r="H239" t="s">
        <v>2801</v>
      </c>
      <c r="I239" t="s">
        <v>2895</v>
      </c>
      <c r="J239" t="str">
        <f>IF(ISNUMBER(MATCH($D239,'Lopettaneet 2013-&gt;'!$D:$D,0)),INDEX('Lopettaneet 2013-&gt;'!$K:$K,MATCH($D239,'Lopettaneet 2013-&gt;'!$D:$D,0)),"Jatkaa")</f>
        <v>Jatkaa</v>
      </c>
      <c r="K239">
        <f ca="1">IF($J239="Jatkaa",DATEDIF($B239,TODAY(),"Y"),INDEX('Lopettaneet 2013-&gt;'!$L:$L,MATCH($D239,'Lopettaneet 2013-&gt;'!$D:$D,0)))</f>
        <v>10</v>
      </c>
      <c r="L239">
        <v>238</v>
      </c>
    </row>
    <row r="240" spans="1:12" x14ac:dyDescent="0.25">
      <c r="A240" t="s">
        <v>7</v>
      </c>
      <c r="B240" s="1">
        <v>41974</v>
      </c>
      <c r="C240" s="1">
        <v>43100</v>
      </c>
      <c r="D240" s="4" t="s">
        <v>702</v>
      </c>
      <c r="E240" t="s">
        <v>10</v>
      </c>
      <c r="F240" t="s">
        <v>11</v>
      </c>
      <c r="G240" t="s">
        <v>29</v>
      </c>
      <c r="H240" t="s">
        <v>2763</v>
      </c>
      <c r="I240" t="s">
        <v>2763</v>
      </c>
      <c r="J240" t="str">
        <f>IF(ISNUMBER(MATCH($D240,'Lopettaneet 2013-&gt;'!$D:$D,0)),INDEX('Lopettaneet 2013-&gt;'!$K:$K,MATCH($D240,'Lopettaneet 2013-&gt;'!$D:$D,0)),"Jatkaa")</f>
        <v>Closed</v>
      </c>
      <c r="K240">
        <f ca="1">IF($J240="Jatkaa",DATEDIF($B240,TODAY(),"Y"),INDEX('Lopettaneet 2013-&gt;'!$L:$L,MATCH($D240,'Lopettaneet 2013-&gt;'!$D:$D,0)))</f>
        <v>3</v>
      </c>
      <c r="L240">
        <v>239</v>
      </c>
    </row>
    <row r="241" spans="1:12" x14ac:dyDescent="0.25">
      <c r="A241" t="s">
        <v>7</v>
      </c>
      <c r="B241" s="1">
        <v>41974</v>
      </c>
      <c r="C241" s="1">
        <v>55153</v>
      </c>
      <c r="D241" s="4" t="s">
        <v>704</v>
      </c>
      <c r="E241" t="s">
        <v>10</v>
      </c>
      <c r="F241" t="s">
        <v>11</v>
      </c>
      <c r="G241" t="s">
        <v>32</v>
      </c>
      <c r="H241" t="s">
        <v>2801</v>
      </c>
      <c r="I241" t="s">
        <v>2895</v>
      </c>
      <c r="J241" t="str">
        <f>IF(ISNUMBER(MATCH($D241,'Lopettaneet 2013-&gt;'!$D:$D,0)),INDEX('Lopettaneet 2013-&gt;'!$K:$K,MATCH($D241,'Lopettaneet 2013-&gt;'!$D:$D,0)),"Jatkaa")</f>
        <v>Jatkaa</v>
      </c>
      <c r="K241">
        <f ca="1">IF($J241="Jatkaa",DATEDIF($B241,TODAY(),"Y"),INDEX('Lopettaneet 2013-&gt;'!$L:$L,MATCH($D241,'Lopettaneet 2013-&gt;'!$D:$D,0)))</f>
        <v>10</v>
      </c>
      <c r="L241">
        <v>240</v>
      </c>
    </row>
    <row r="242" spans="1:12" x14ac:dyDescent="0.25">
      <c r="A242" t="s">
        <v>7</v>
      </c>
      <c r="B242" s="1">
        <v>41974</v>
      </c>
      <c r="C242" s="1">
        <v>44834</v>
      </c>
      <c r="D242" s="4" t="s">
        <v>706</v>
      </c>
      <c r="E242" t="s">
        <v>10</v>
      </c>
      <c r="F242" t="s">
        <v>11</v>
      </c>
      <c r="G242" t="s">
        <v>32</v>
      </c>
      <c r="H242" t="s">
        <v>2763</v>
      </c>
      <c r="I242" t="s">
        <v>2763</v>
      </c>
      <c r="J242" t="str">
        <f>IF(ISNUMBER(MATCH($D242,'Lopettaneet 2013-&gt;'!$D:$D,0)),INDEX('Lopettaneet 2013-&gt;'!$K:$K,MATCH($D242,'Lopettaneet 2013-&gt;'!$D:$D,0)),"Jatkaa")</f>
        <v>Closed</v>
      </c>
      <c r="K242">
        <f ca="1">IF($J242="Jatkaa",DATEDIF($B242,TODAY(),"Y"),INDEX('Lopettaneet 2013-&gt;'!$L:$L,MATCH($D242,'Lopettaneet 2013-&gt;'!$D:$D,0)))</f>
        <v>7</v>
      </c>
      <c r="L242">
        <v>241</v>
      </c>
    </row>
    <row r="243" spans="1:12" x14ac:dyDescent="0.25">
      <c r="A243" t="s">
        <v>7</v>
      </c>
      <c r="B243" s="1">
        <v>41974</v>
      </c>
      <c r="C243" s="1">
        <v>55153</v>
      </c>
      <c r="D243" s="4" t="s">
        <v>708</v>
      </c>
      <c r="E243" t="s">
        <v>10</v>
      </c>
      <c r="F243" t="s">
        <v>11</v>
      </c>
      <c r="G243" t="s">
        <v>29</v>
      </c>
      <c r="H243" t="s">
        <v>2801</v>
      </c>
      <c r="I243" t="s">
        <v>2895</v>
      </c>
      <c r="J243" t="str">
        <f>IF(ISNUMBER(MATCH($D243,'Lopettaneet 2013-&gt;'!$D:$D,0)),INDEX('Lopettaneet 2013-&gt;'!$K:$K,MATCH($D243,'Lopettaneet 2013-&gt;'!$D:$D,0)),"Jatkaa")</f>
        <v>Jatkaa</v>
      </c>
      <c r="K243">
        <f ca="1">IF($J243="Jatkaa",DATEDIF($B243,TODAY(),"Y"),INDEX('Lopettaneet 2013-&gt;'!$L:$L,MATCH($D243,'Lopettaneet 2013-&gt;'!$D:$D,0)))</f>
        <v>10</v>
      </c>
      <c r="L243">
        <v>242</v>
      </c>
    </row>
    <row r="244" spans="1:12" x14ac:dyDescent="0.25">
      <c r="A244" t="s">
        <v>7</v>
      </c>
      <c r="B244" s="1">
        <v>41974</v>
      </c>
      <c r="C244" s="1">
        <v>44469</v>
      </c>
      <c r="D244" s="4" t="s">
        <v>710</v>
      </c>
      <c r="E244" t="s">
        <v>10</v>
      </c>
      <c r="F244" t="s">
        <v>11</v>
      </c>
      <c r="G244" t="s">
        <v>32</v>
      </c>
      <c r="H244" t="s">
        <v>2763</v>
      </c>
      <c r="I244" t="s">
        <v>2763</v>
      </c>
      <c r="J244" t="str">
        <f>IF(ISNUMBER(MATCH($D244,'Lopettaneet 2013-&gt;'!$D:$D,0)),INDEX('Lopettaneet 2013-&gt;'!$K:$K,MATCH($D244,'Lopettaneet 2013-&gt;'!$D:$D,0)),"Jatkaa")</f>
        <v>Closed</v>
      </c>
      <c r="K244">
        <f ca="1">IF($J244="Jatkaa",DATEDIF($B244,TODAY(),"Y"),INDEX('Lopettaneet 2013-&gt;'!$L:$L,MATCH($D244,'Lopettaneet 2013-&gt;'!$D:$D,0)))</f>
        <v>6</v>
      </c>
      <c r="L244">
        <v>243</v>
      </c>
    </row>
    <row r="245" spans="1:12" x14ac:dyDescent="0.25">
      <c r="A245" t="s">
        <v>7</v>
      </c>
      <c r="B245" s="1">
        <v>41974</v>
      </c>
      <c r="C245" s="1">
        <v>43100</v>
      </c>
      <c r="D245" s="4" t="s">
        <v>712</v>
      </c>
      <c r="E245" t="s">
        <v>10</v>
      </c>
      <c r="F245" t="s">
        <v>11</v>
      </c>
      <c r="G245" t="s">
        <v>29</v>
      </c>
      <c r="H245" t="s">
        <v>2763</v>
      </c>
      <c r="I245" t="s">
        <v>2763</v>
      </c>
      <c r="J245" t="str">
        <f>IF(ISNUMBER(MATCH($D245,'Lopettaneet 2013-&gt;'!$D:$D,0)),INDEX('Lopettaneet 2013-&gt;'!$K:$K,MATCH($D245,'Lopettaneet 2013-&gt;'!$D:$D,0)),"Jatkaa")</f>
        <v>Closed</v>
      </c>
      <c r="K245">
        <f ca="1">IF($J245="Jatkaa",DATEDIF($B245,TODAY(),"Y"),INDEX('Lopettaneet 2013-&gt;'!$L:$L,MATCH($D245,'Lopettaneet 2013-&gt;'!$D:$D,0)))</f>
        <v>3</v>
      </c>
      <c r="L245">
        <v>244</v>
      </c>
    </row>
    <row r="246" spans="1:12" x14ac:dyDescent="0.25">
      <c r="A246" t="s">
        <v>7</v>
      </c>
      <c r="B246" s="1">
        <v>41974</v>
      </c>
      <c r="C246" s="1">
        <v>43830</v>
      </c>
      <c r="D246" s="4" t="s">
        <v>714</v>
      </c>
      <c r="E246" t="s">
        <v>10</v>
      </c>
      <c r="F246" t="s">
        <v>11</v>
      </c>
      <c r="G246" t="s">
        <v>32</v>
      </c>
      <c r="H246" t="s">
        <v>2763</v>
      </c>
      <c r="I246" t="s">
        <v>2763</v>
      </c>
      <c r="J246" t="str">
        <f>IF(ISNUMBER(MATCH($D246,'Lopettaneet 2013-&gt;'!$D:$D,0)),INDEX('Lopettaneet 2013-&gt;'!$K:$K,MATCH($D246,'Lopettaneet 2013-&gt;'!$D:$D,0)),"Jatkaa")</f>
        <v>Closed</v>
      </c>
      <c r="K246">
        <f ca="1">IF($J246="Jatkaa",DATEDIF($B246,TODAY(),"Y"),INDEX('Lopettaneet 2013-&gt;'!$L:$L,MATCH($D246,'Lopettaneet 2013-&gt;'!$D:$D,0)))</f>
        <v>5</v>
      </c>
      <c r="L246">
        <v>245</v>
      </c>
    </row>
    <row r="247" spans="1:12" x14ac:dyDescent="0.25">
      <c r="A247" t="s">
        <v>7</v>
      </c>
      <c r="B247" s="1">
        <v>41974</v>
      </c>
      <c r="C247" s="1">
        <v>55153</v>
      </c>
      <c r="D247" s="4" t="s">
        <v>716</v>
      </c>
      <c r="E247" t="s">
        <v>10</v>
      </c>
      <c r="F247" t="s">
        <v>11</v>
      </c>
      <c r="G247" t="s">
        <v>32</v>
      </c>
      <c r="H247" t="s">
        <v>2801</v>
      </c>
      <c r="I247" t="s">
        <v>2895</v>
      </c>
      <c r="J247" t="str">
        <f>IF(ISNUMBER(MATCH($D247,'Lopettaneet 2013-&gt;'!$D:$D,0)),INDEX('Lopettaneet 2013-&gt;'!$K:$K,MATCH($D247,'Lopettaneet 2013-&gt;'!$D:$D,0)),"Jatkaa")</f>
        <v>Jatkaa</v>
      </c>
      <c r="K247">
        <f ca="1">IF($J247="Jatkaa",DATEDIF($B247,TODAY(),"Y"),INDEX('Lopettaneet 2013-&gt;'!$L:$L,MATCH($D247,'Lopettaneet 2013-&gt;'!$D:$D,0)))</f>
        <v>10</v>
      </c>
      <c r="L247">
        <v>246</v>
      </c>
    </row>
    <row r="248" spans="1:12" x14ac:dyDescent="0.25">
      <c r="A248" t="s">
        <v>7</v>
      </c>
      <c r="B248" s="1">
        <v>41974</v>
      </c>
      <c r="C248" s="1">
        <v>44561</v>
      </c>
      <c r="D248" s="4" t="s">
        <v>718</v>
      </c>
      <c r="E248" t="s">
        <v>10</v>
      </c>
      <c r="F248" t="s">
        <v>11</v>
      </c>
      <c r="G248" t="s">
        <v>12</v>
      </c>
      <c r="H248" t="s">
        <v>2763</v>
      </c>
      <c r="I248" t="s">
        <v>2763</v>
      </c>
      <c r="J248" t="str">
        <f>IF(ISNUMBER(MATCH($D248,'Lopettaneet 2013-&gt;'!$D:$D,0)),INDEX('Lopettaneet 2013-&gt;'!$K:$K,MATCH($D248,'Lopettaneet 2013-&gt;'!$D:$D,0)),"Jatkaa")</f>
        <v>Closed</v>
      </c>
      <c r="K248">
        <f ca="1">IF($J248="Jatkaa",DATEDIF($B248,TODAY(),"Y"),INDEX('Lopettaneet 2013-&gt;'!$L:$L,MATCH($D248,'Lopettaneet 2013-&gt;'!$D:$D,0)))</f>
        <v>7</v>
      </c>
      <c r="L248">
        <v>247</v>
      </c>
    </row>
    <row r="249" spans="1:12" x14ac:dyDescent="0.25">
      <c r="A249" t="s">
        <v>7</v>
      </c>
      <c r="B249" s="1">
        <v>41974</v>
      </c>
      <c r="C249" s="1">
        <v>55153</v>
      </c>
      <c r="D249" s="4" t="s">
        <v>720</v>
      </c>
      <c r="E249" t="s">
        <v>10</v>
      </c>
      <c r="F249" t="s">
        <v>11</v>
      </c>
      <c r="G249" t="s">
        <v>80</v>
      </c>
      <c r="H249" t="s">
        <v>2808</v>
      </c>
      <c r="I249" t="s">
        <v>2895</v>
      </c>
      <c r="J249" t="str">
        <f>IF(ISNUMBER(MATCH($D249,'Lopettaneet 2013-&gt;'!$D:$D,0)),INDEX('Lopettaneet 2013-&gt;'!$K:$K,MATCH($D249,'Lopettaneet 2013-&gt;'!$D:$D,0)),"Jatkaa")</f>
        <v>Jatkaa</v>
      </c>
      <c r="K249">
        <f ca="1">IF($J249="Jatkaa",DATEDIF($B249,TODAY(),"Y"),INDEX('Lopettaneet 2013-&gt;'!$L:$L,MATCH($D249,'Lopettaneet 2013-&gt;'!$D:$D,0)))</f>
        <v>10</v>
      </c>
      <c r="L249">
        <v>248</v>
      </c>
    </row>
    <row r="250" spans="1:12" x14ac:dyDescent="0.25">
      <c r="A250" t="s">
        <v>7</v>
      </c>
      <c r="B250" s="1">
        <v>41974</v>
      </c>
      <c r="C250" s="1">
        <v>55153</v>
      </c>
      <c r="D250" s="4" t="s">
        <v>722</v>
      </c>
      <c r="E250" t="s">
        <v>10</v>
      </c>
      <c r="F250" t="s">
        <v>11</v>
      </c>
      <c r="G250" t="s">
        <v>12</v>
      </c>
      <c r="H250" t="s">
        <v>2809</v>
      </c>
      <c r="I250" t="s">
        <v>2895</v>
      </c>
      <c r="J250" t="str">
        <f>IF(ISNUMBER(MATCH($D250,'Lopettaneet 2013-&gt;'!$D:$D,0)),INDEX('Lopettaneet 2013-&gt;'!$K:$K,MATCH($D250,'Lopettaneet 2013-&gt;'!$D:$D,0)),"Jatkaa")</f>
        <v>Jatkaa</v>
      </c>
      <c r="K250">
        <f ca="1">IF($J250="Jatkaa",DATEDIF($B250,TODAY(),"Y"),INDEX('Lopettaneet 2013-&gt;'!$L:$L,MATCH($D250,'Lopettaneet 2013-&gt;'!$D:$D,0)))</f>
        <v>10</v>
      </c>
      <c r="L250">
        <v>249</v>
      </c>
    </row>
    <row r="251" spans="1:12" x14ac:dyDescent="0.25">
      <c r="A251" t="s">
        <v>7</v>
      </c>
      <c r="B251" s="1">
        <v>41974</v>
      </c>
      <c r="C251" s="1">
        <v>55153</v>
      </c>
      <c r="D251" s="4" t="s">
        <v>724</v>
      </c>
      <c r="E251" t="s">
        <v>10</v>
      </c>
      <c r="F251" t="s">
        <v>11</v>
      </c>
      <c r="G251" t="s">
        <v>32</v>
      </c>
      <c r="H251" t="s">
        <v>2810</v>
      </c>
      <c r="I251" t="s">
        <v>2895</v>
      </c>
      <c r="J251" t="str">
        <f>IF(ISNUMBER(MATCH($D251,'Lopettaneet 2013-&gt;'!$D:$D,0)),INDEX('Lopettaneet 2013-&gt;'!$K:$K,MATCH($D251,'Lopettaneet 2013-&gt;'!$D:$D,0)),"Jatkaa")</f>
        <v>Jatkaa</v>
      </c>
      <c r="K251">
        <f ca="1">IF($J251="Jatkaa",DATEDIF($B251,TODAY(),"Y"),INDEX('Lopettaneet 2013-&gt;'!$L:$L,MATCH($D251,'Lopettaneet 2013-&gt;'!$D:$D,0)))</f>
        <v>10</v>
      </c>
      <c r="L251">
        <v>250</v>
      </c>
    </row>
    <row r="252" spans="1:12" x14ac:dyDescent="0.25">
      <c r="A252" t="s">
        <v>7</v>
      </c>
      <c r="B252" s="1">
        <v>41974</v>
      </c>
      <c r="C252" s="1">
        <v>44834</v>
      </c>
      <c r="D252" s="4" t="s">
        <v>726</v>
      </c>
      <c r="E252" t="s">
        <v>10</v>
      </c>
      <c r="F252" t="s">
        <v>11</v>
      </c>
      <c r="G252" t="s">
        <v>32</v>
      </c>
      <c r="H252" t="s">
        <v>2763</v>
      </c>
      <c r="I252" t="s">
        <v>2763</v>
      </c>
      <c r="J252" t="str">
        <f>IF(ISNUMBER(MATCH($D252,'Lopettaneet 2013-&gt;'!$D:$D,0)),INDEX('Lopettaneet 2013-&gt;'!$K:$K,MATCH($D252,'Lopettaneet 2013-&gt;'!$D:$D,0)),"Jatkaa")</f>
        <v>Closed</v>
      </c>
      <c r="K252">
        <f ca="1">IF($J252="Jatkaa",DATEDIF($B252,TODAY(),"Y"),INDEX('Lopettaneet 2013-&gt;'!$L:$L,MATCH($D252,'Lopettaneet 2013-&gt;'!$D:$D,0)))</f>
        <v>7</v>
      </c>
      <c r="L252">
        <v>251</v>
      </c>
    </row>
    <row r="253" spans="1:12" x14ac:dyDescent="0.25">
      <c r="A253" t="s">
        <v>7</v>
      </c>
      <c r="B253" s="1">
        <v>41974</v>
      </c>
      <c r="C253" s="1">
        <v>55153</v>
      </c>
      <c r="D253" s="4" t="s">
        <v>728</v>
      </c>
      <c r="E253" t="s">
        <v>10</v>
      </c>
      <c r="F253" t="s">
        <v>11</v>
      </c>
      <c r="G253" t="s">
        <v>80</v>
      </c>
      <c r="H253" t="s">
        <v>2811</v>
      </c>
      <c r="I253" t="s">
        <v>2895</v>
      </c>
      <c r="J253" t="str">
        <f>IF(ISNUMBER(MATCH($D253,'Lopettaneet 2013-&gt;'!$D:$D,0)),INDEX('Lopettaneet 2013-&gt;'!$K:$K,MATCH($D253,'Lopettaneet 2013-&gt;'!$D:$D,0)),"Jatkaa")</f>
        <v>Jatkaa</v>
      </c>
      <c r="K253">
        <f ca="1">IF($J253="Jatkaa",DATEDIF($B253,TODAY(),"Y"),INDEX('Lopettaneet 2013-&gt;'!$L:$L,MATCH($D253,'Lopettaneet 2013-&gt;'!$D:$D,0)))</f>
        <v>10</v>
      </c>
      <c r="L253">
        <v>252</v>
      </c>
    </row>
    <row r="254" spans="1:12" x14ac:dyDescent="0.25">
      <c r="A254" t="s">
        <v>7</v>
      </c>
      <c r="B254" s="1">
        <v>41974</v>
      </c>
      <c r="C254" s="1">
        <v>55153</v>
      </c>
      <c r="D254" s="4" t="s">
        <v>730</v>
      </c>
      <c r="E254" t="s">
        <v>10</v>
      </c>
      <c r="F254" t="s">
        <v>11</v>
      </c>
      <c r="G254" t="s">
        <v>32</v>
      </c>
      <c r="H254" t="s">
        <v>2769</v>
      </c>
      <c r="I254" t="s">
        <v>2895</v>
      </c>
      <c r="J254" t="str">
        <f>IF(ISNUMBER(MATCH($D254,'Lopettaneet 2013-&gt;'!$D:$D,0)),INDEX('Lopettaneet 2013-&gt;'!$K:$K,MATCH($D254,'Lopettaneet 2013-&gt;'!$D:$D,0)),"Jatkaa")</f>
        <v>Jatkaa</v>
      </c>
      <c r="K254">
        <f ca="1">IF($J254="Jatkaa",DATEDIF($B254,TODAY(),"Y"),INDEX('Lopettaneet 2013-&gt;'!$L:$L,MATCH($D254,'Lopettaneet 2013-&gt;'!$D:$D,0)))</f>
        <v>10</v>
      </c>
      <c r="L254">
        <v>253</v>
      </c>
    </row>
    <row r="255" spans="1:12" x14ac:dyDescent="0.25">
      <c r="A255" t="s">
        <v>7</v>
      </c>
      <c r="B255" s="1">
        <v>41974</v>
      </c>
      <c r="C255" s="1">
        <v>43830</v>
      </c>
      <c r="D255" s="4" t="s">
        <v>732</v>
      </c>
      <c r="E255" t="s">
        <v>10</v>
      </c>
      <c r="F255" t="s">
        <v>11</v>
      </c>
      <c r="G255" t="s">
        <v>32</v>
      </c>
      <c r="H255" t="s">
        <v>2763</v>
      </c>
      <c r="I255" t="s">
        <v>2763</v>
      </c>
      <c r="J255" t="str">
        <f>IF(ISNUMBER(MATCH($D255,'Lopettaneet 2013-&gt;'!$D:$D,0)),INDEX('Lopettaneet 2013-&gt;'!$K:$K,MATCH($D255,'Lopettaneet 2013-&gt;'!$D:$D,0)),"Jatkaa")</f>
        <v>Closed</v>
      </c>
      <c r="K255">
        <f ca="1">IF($J255="Jatkaa",DATEDIF($B255,TODAY(),"Y"),INDEX('Lopettaneet 2013-&gt;'!$L:$L,MATCH($D255,'Lopettaneet 2013-&gt;'!$D:$D,0)))</f>
        <v>5</v>
      </c>
      <c r="L255">
        <v>254</v>
      </c>
    </row>
    <row r="256" spans="1:12" x14ac:dyDescent="0.25">
      <c r="A256" t="s">
        <v>7</v>
      </c>
      <c r="B256" s="1">
        <v>41974</v>
      </c>
      <c r="C256" s="1">
        <v>42369</v>
      </c>
      <c r="D256" s="4" t="s">
        <v>734</v>
      </c>
      <c r="E256" t="s">
        <v>10</v>
      </c>
      <c r="F256" t="s">
        <v>11</v>
      </c>
      <c r="G256" t="s">
        <v>32</v>
      </c>
      <c r="H256" t="s">
        <v>2763</v>
      </c>
      <c r="I256" t="s">
        <v>2763</v>
      </c>
      <c r="J256" t="str">
        <f>IF(ISNUMBER(MATCH($D256,'Lopettaneet 2013-&gt;'!$D:$D,0)),INDEX('Lopettaneet 2013-&gt;'!$K:$K,MATCH($D256,'Lopettaneet 2013-&gt;'!$D:$D,0)),"Jatkaa")</f>
        <v>Closed</v>
      </c>
      <c r="K256">
        <f ca="1">IF($J256="Jatkaa",DATEDIF($B256,TODAY(),"Y"),INDEX('Lopettaneet 2013-&gt;'!$L:$L,MATCH($D256,'Lopettaneet 2013-&gt;'!$D:$D,0)))</f>
        <v>1</v>
      </c>
      <c r="L256">
        <v>255</v>
      </c>
    </row>
    <row r="257" spans="1:12" x14ac:dyDescent="0.25">
      <c r="A257" t="s">
        <v>7</v>
      </c>
      <c r="B257" s="1">
        <v>41974</v>
      </c>
      <c r="C257" s="1">
        <v>43646</v>
      </c>
      <c r="D257" s="4" t="s">
        <v>736</v>
      </c>
      <c r="E257" t="s">
        <v>10</v>
      </c>
      <c r="F257" t="s">
        <v>11</v>
      </c>
      <c r="G257" t="s">
        <v>32</v>
      </c>
      <c r="H257" t="s">
        <v>2763</v>
      </c>
      <c r="I257" t="s">
        <v>2763</v>
      </c>
      <c r="J257" t="str">
        <f>IF(ISNUMBER(MATCH($D257,'Lopettaneet 2013-&gt;'!$D:$D,0)),INDEX('Lopettaneet 2013-&gt;'!$K:$K,MATCH($D257,'Lopettaneet 2013-&gt;'!$D:$D,0)),"Jatkaa")</f>
        <v>Closed</v>
      </c>
      <c r="K257">
        <f ca="1">IF($J257="Jatkaa",DATEDIF($B257,TODAY(),"Y"),INDEX('Lopettaneet 2013-&gt;'!$L:$L,MATCH($D257,'Lopettaneet 2013-&gt;'!$D:$D,0)))</f>
        <v>4</v>
      </c>
      <c r="L257">
        <v>256</v>
      </c>
    </row>
    <row r="258" spans="1:12" x14ac:dyDescent="0.25">
      <c r="A258" t="s">
        <v>7</v>
      </c>
      <c r="B258" s="1">
        <v>41974</v>
      </c>
      <c r="C258" s="1">
        <v>44196</v>
      </c>
      <c r="D258" s="4" t="s">
        <v>738</v>
      </c>
      <c r="E258" t="s">
        <v>10</v>
      </c>
      <c r="F258" t="s">
        <v>11</v>
      </c>
      <c r="G258" t="s">
        <v>32</v>
      </c>
      <c r="H258" t="s">
        <v>2763</v>
      </c>
      <c r="I258" t="s">
        <v>2763</v>
      </c>
      <c r="J258" t="str">
        <f>IF(ISNUMBER(MATCH($D258,'Lopettaneet 2013-&gt;'!$D:$D,0)),INDEX('Lopettaneet 2013-&gt;'!$K:$K,MATCH($D258,'Lopettaneet 2013-&gt;'!$D:$D,0)),"Jatkaa")</f>
        <v>Closed</v>
      </c>
      <c r="K258">
        <f ca="1">IF($J258="Jatkaa",DATEDIF($B258,TODAY(),"Y"),INDEX('Lopettaneet 2013-&gt;'!$L:$L,MATCH($D258,'Lopettaneet 2013-&gt;'!$D:$D,0)))</f>
        <v>6</v>
      </c>
      <c r="L258">
        <v>257</v>
      </c>
    </row>
    <row r="259" spans="1:12" x14ac:dyDescent="0.25">
      <c r="A259" t="s">
        <v>7</v>
      </c>
      <c r="B259" s="1">
        <v>41974</v>
      </c>
      <c r="C259" s="1">
        <v>55153</v>
      </c>
      <c r="D259" s="4" t="s">
        <v>740</v>
      </c>
      <c r="E259" t="s">
        <v>10</v>
      </c>
      <c r="F259" t="s">
        <v>11</v>
      </c>
      <c r="G259" t="s">
        <v>32</v>
      </c>
      <c r="H259" t="s">
        <v>2772</v>
      </c>
      <c r="I259" t="s">
        <v>2895</v>
      </c>
      <c r="J259" t="str">
        <f>IF(ISNUMBER(MATCH($D259,'Lopettaneet 2013-&gt;'!$D:$D,0)),INDEX('Lopettaneet 2013-&gt;'!$K:$K,MATCH($D259,'Lopettaneet 2013-&gt;'!$D:$D,0)),"Jatkaa")</f>
        <v>Jatkaa</v>
      </c>
      <c r="K259">
        <f ca="1">IF($J259="Jatkaa",DATEDIF($B259,TODAY(),"Y"),INDEX('Lopettaneet 2013-&gt;'!$L:$L,MATCH($D259,'Lopettaneet 2013-&gt;'!$D:$D,0)))</f>
        <v>10</v>
      </c>
      <c r="L259">
        <v>258</v>
      </c>
    </row>
    <row r="260" spans="1:12" x14ac:dyDescent="0.25">
      <c r="A260" t="s">
        <v>7</v>
      </c>
      <c r="B260" s="1">
        <v>41974</v>
      </c>
      <c r="C260" s="1">
        <v>44286</v>
      </c>
      <c r="D260" s="4" t="s">
        <v>742</v>
      </c>
      <c r="E260" t="s">
        <v>10</v>
      </c>
      <c r="F260" t="s">
        <v>11</v>
      </c>
      <c r="G260" t="s">
        <v>32</v>
      </c>
      <c r="H260" t="s">
        <v>2763</v>
      </c>
      <c r="I260" t="s">
        <v>2763</v>
      </c>
      <c r="J260" t="str">
        <f>IF(ISNUMBER(MATCH($D260,'Lopettaneet 2013-&gt;'!$D:$D,0)),INDEX('Lopettaneet 2013-&gt;'!$K:$K,MATCH($D260,'Lopettaneet 2013-&gt;'!$D:$D,0)),"Jatkaa")</f>
        <v>Closed</v>
      </c>
      <c r="K260">
        <f ca="1">IF($J260="Jatkaa",DATEDIF($B260,TODAY(),"Y"),INDEX('Lopettaneet 2013-&gt;'!$L:$L,MATCH($D260,'Lopettaneet 2013-&gt;'!$D:$D,0)))</f>
        <v>6</v>
      </c>
      <c r="L260">
        <v>259</v>
      </c>
    </row>
    <row r="261" spans="1:12" x14ac:dyDescent="0.25">
      <c r="A261" t="s">
        <v>7</v>
      </c>
      <c r="B261" s="1">
        <v>41974</v>
      </c>
      <c r="C261" s="1">
        <v>55153</v>
      </c>
      <c r="D261" s="4" t="s">
        <v>744</v>
      </c>
      <c r="E261" t="s">
        <v>10</v>
      </c>
      <c r="F261" t="s">
        <v>11</v>
      </c>
      <c r="G261" t="s">
        <v>80</v>
      </c>
      <c r="H261" t="s">
        <v>2792</v>
      </c>
      <c r="I261" t="s">
        <v>2895</v>
      </c>
      <c r="J261" t="str">
        <f>IF(ISNUMBER(MATCH($D261,'Lopettaneet 2013-&gt;'!$D:$D,0)),INDEX('Lopettaneet 2013-&gt;'!$K:$K,MATCH($D261,'Lopettaneet 2013-&gt;'!$D:$D,0)),"Jatkaa")</f>
        <v>Jatkaa</v>
      </c>
      <c r="K261">
        <f ca="1">IF($J261="Jatkaa",DATEDIF($B261,TODAY(),"Y"),INDEX('Lopettaneet 2013-&gt;'!$L:$L,MATCH($D261,'Lopettaneet 2013-&gt;'!$D:$D,0)))</f>
        <v>10</v>
      </c>
      <c r="L261">
        <v>260</v>
      </c>
    </row>
    <row r="262" spans="1:12" x14ac:dyDescent="0.25">
      <c r="A262" t="s">
        <v>7</v>
      </c>
      <c r="B262" s="1">
        <v>41974</v>
      </c>
      <c r="C262" s="1">
        <v>55153</v>
      </c>
      <c r="D262" s="4" t="s">
        <v>746</v>
      </c>
      <c r="E262" t="s">
        <v>10</v>
      </c>
      <c r="F262" t="s">
        <v>11</v>
      </c>
      <c r="G262" t="s">
        <v>80</v>
      </c>
      <c r="H262" t="s">
        <v>2812</v>
      </c>
      <c r="I262" t="s">
        <v>2895</v>
      </c>
      <c r="J262" t="str">
        <f>IF(ISNUMBER(MATCH($D262,'Lopettaneet 2013-&gt;'!$D:$D,0)),INDEX('Lopettaneet 2013-&gt;'!$K:$K,MATCH($D262,'Lopettaneet 2013-&gt;'!$D:$D,0)),"Jatkaa")</f>
        <v>Jatkaa</v>
      </c>
      <c r="K262">
        <f ca="1">IF($J262="Jatkaa",DATEDIF($B262,TODAY(),"Y"),INDEX('Lopettaneet 2013-&gt;'!$L:$L,MATCH($D262,'Lopettaneet 2013-&gt;'!$D:$D,0)))</f>
        <v>10</v>
      </c>
      <c r="L262">
        <v>261</v>
      </c>
    </row>
    <row r="263" spans="1:12" x14ac:dyDescent="0.25">
      <c r="A263" t="s">
        <v>7</v>
      </c>
      <c r="B263" s="1">
        <v>41974</v>
      </c>
      <c r="C263" s="1">
        <v>55153</v>
      </c>
      <c r="D263" s="4" t="s">
        <v>748</v>
      </c>
      <c r="E263" t="s">
        <v>10</v>
      </c>
      <c r="F263" t="s">
        <v>11</v>
      </c>
      <c r="G263" t="s">
        <v>80</v>
      </c>
      <c r="H263" t="s">
        <v>2812</v>
      </c>
      <c r="I263" t="s">
        <v>2895</v>
      </c>
      <c r="J263" t="str">
        <f>IF(ISNUMBER(MATCH($D263,'Lopettaneet 2013-&gt;'!$D:$D,0)),INDEX('Lopettaneet 2013-&gt;'!$K:$K,MATCH($D263,'Lopettaneet 2013-&gt;'!$D:$D,0)),"Jatkaa")</f>
        <v>Jatkaa</v>
      </c>
      <c r="K263">
        <f ca="1">IF($J263="Jatkaa",DATEDIF($B263,TODAY(),"Y"),INDEX('Lopettaneet 2013-&gt;'!$L:$L,MATCH($D263,'Lopettaneet 2013-&gt;'!$D:$D,0)))</f>
        <v>10</v>
      </c>
      <c r="L263">
        <v>262</v>
      </c>
    </row>
    <row r="264" spans="1:12" x14ac:dyDescent="0.25">
      <c r="A264" t="s">
        <v>7</v>
      </c>
      <c r="B264" s="1">
        <v>41974</v>
      </c>
      <c r="C264" s="1">
        <v>55153</v>
      </c>
      <c r="D264" s="4" t="s">
        <v>750</v>
      </c>
      <c r="E264" t="s">
        <v>10</v>
      </c>
      <c r="F264" t="s">
        <v>11</v>
      </c>
      <c r="G264" t="s">
        <v>12</v>
      </c>
      <c r="H264" t="s">
        <v>2788</v>
      </c>
      <c r="I264" t="s">
        <v>2895</v>
      </c>
      <c r="J264" t="str">
        <f>IF(ISNUMBER(MATCH($D264,'Lopettaneet 2013-&gt;'!$D:$D,0)),INDEX('Lopettaneet 2013-&gt;'!$K:$K,MATCH($D264,'Lopettaneet 2013-&gt;'!$D:$D,0)),"Jatkaa")</f>
        <v>Jatkaa</v>
      </c>
      <c r="K264">
        <f ca="1">IF($J264="Jatkaa",DATEDIF($B264,TODAY(),"Y"),INDEX('Lopettaneet 2013-&gt;'!$L:$L,MATCH($D264,'Lopettaneet 2013-&gt;'!$D:$D,0)))</f>
        <v>10</v>
      </c>
      <c r="L264">
        <v>263</v>
      </c>
    </row>
    <row r="265" spans="1:12" x14ac:dyDescent="0.25">
      <c r="A265" t="s">
        <v>7</v>
      </c>
      <c r="B265" s="1">
        <v>41974</v>
      </c>
      <c r="C265" s="1">
        <v>55153</v>
      </c>
      <c r="D265" s="4" t="s">
        <v>752</v>
      </c>
      <c r="E265" t="s">
        <v>10</v>
      </c>
      <c r="F265" t="s">
        <v>11</v>
      </c>
      <c r="G265" t="s">
        <v>32</v>
      </c>
      <c r="H265" t="s">
        <v>2813</v>
      </c>
      <c r="I265" t="s">
        <v>2895</v>
      </c>
      <c r="J265" t="str">
        <f>IF(ISNUMBER(MATCH($D265,'Lopettaneet 2013-&gt;'!$D:$D,0)),INDEX('Lopettaneet 2013-&gt;'!$K:$K,MATCH($D265,'Lopettaneet 2013-&gt;'!$D:$D,0)),"Jatkaa")</f>
        <v>Jatkaa</v>
      </c>
      <c r="K265">
        <f ca="1">IF($J265="Jatkaa",DATEDIF($B265,TODAY(),"Y"),INDEX('Lopettaneet 2013-&gt;'!$L:$L,MATCH($D265,'Lopettaneet 2013-&gt;'!$D:$D,0)))</f>
        <v>10</v>
      </c>
      <c r="L265">
        <v>264</v>
      </c>
    </row>
    <row r="266" spans="1:12" x14ac:dyDescent="0.25">
      <c r="A266" t="s">
        <v>7</v>
      </c>
      <c r="B266" s="1">
        <v>41974</v>
      </c>
      <c r="C266" s="1">
        <v>43100</v>
      </c>
      <c r="D266" s="4" t="s">
        <v>754</v>
      </c>
      <c r="E266" t="s">
        <v>10</v>
      </c>
      <c r="F266" t="s">
        <v>11</v>
      </c>
      <c r="G266" t="s">
        <v>32</v>
      </c>
      <c r="H266" t="s">
        <v>2763</v>
      </c>
      <c r="I266" t="s">
        <v>2763</v>
      </c>
      <c r="J266" t="str">
        <f>IF(ISNUMBER(MATCH($D266,'Lopettaneet 2013-&gt;'!$D:$D,0)),INDEX('Lopettaneet 2013-&gt;'!$K:$K,MATCH($D266,'Lopettaneet 2013-&gt;'!$D:$D,0)),"Jatkaa")</f>
        <v>Closed</v>
      </c>
      <c r="K266">
        <f ca="1">IF($J266="Jatkaa",DATEDIF($B266,TODAY(),"Y"),INDEX('Lopettaneet 2013-&gt;'!$L:$L,MATCH($D266,'Lopettaneet 2013-&gt;'!$D:$D,0)))</f>
        <v>3</v>
      </c>
      <c r="L266">
        <v>265</v>
      </c>
    </row>
    <row r="267" spans="1:12" x14ac:dyDescent="0.25">
      <c r="A267" t="s">
        <v>7</v>
      </c>
      <c r="B267" s="1">
        <v>41974</v>
      </c>
      <c r="C267" s="1">
        <v>55153</v>
      </c>
      <c r="D267" s="4" t="s">
        <v>756</v>
      </c>
      <c r="E267" t="s">
        <v>10</v>
      </c>
      <c r="F267" t="s">
        <v>11</v>
      </c>
      <c r="G267" t="s">
        <v>32</v>
      </c>
      <c r="H267" t="s">
        <v>2772</v>
      </c>
      <c r="I267" t="s">
        <v>2895</v>
      </c>
      <c r="J267" t="str">
        <f>IF(ISNUMBER(MATCH($D267,'Lopettaneet 2013-&gt;'!$D:$D,0)),INDEX('Lopettaneet 2013-&gt;'!$K:$K,MATCH($D267,'Lopettaneet 2013-&gt;'!$D:$D,0)),"Jatkaa")</f>
        <v>Jatkaa</v>
      </c>
      <c r="K267">
        <f ca="1">IF($J267="Jatkaa",DATEDIF($B267,TODAY(),"Y"),INDEX('Lopettaneet 2013-&gt;'!$L:$L,MATCH($D267,'Lopettaneet 2013-&gt;'!$D:$D,0)))</f>
        <v>10</v>
      </c>
      <c r="L267">
        <v>266</v>
      </c>
    </row>
    <row r="268" spans="1:12" x14ac:dyDescent="0.25">
      <c r="A268" t="s">
        <v>7</v>
      </c>
      <c r="B268" s="1">
        <v>41974</v>
      </c>
      <c r="C268" s="1">
        <v>43100</v>
      </c>
      <c r="D268" s="4" t="s">
        <v>758</v>
      </c>
      <c r="E268" t="s">
        <v>10</v>
      </c>
      <c r="F268" t="s">
        <v>11</v>
      </c>
      <c r="G268" t="s">
        <v>32</v>
      </c>
      <c r="H268" t="s">
        <v>2763</v>
      </c>
      <c r="I268" t="s">
        <v>2763</v>
      </c>
      <c r="J268" t="str">
        <f>IF(ISNUMBER(MATCH($D268,'Lopettaneet 2013-&gt;'!$D:$D,0)),INDEX('Lopettaneet 2013-&gt;'!$K:$K,MATCH($D268,'Lopettaneet 2013-&gt;'!$D:$D,0)),"Jatkaa")</f>
        <v>Closed</v>
      </c>
      <c r="K268">
        <f ca="1">IF($J268="Jatkaa",DATEDIF($B268,TODAY(),"Y"),INDEX('Lopettaneet 2013-&gt;'!$L:$L,MATCH($D268,'Lopettaneet 2013-&gt;'!$D:$D,0)))</f>
        <v>3</v>
      </c>
      <c r="L268">
        <v>267</v>
      </c>
    </row>
    <row r="269" spans="1:12" x14ac:dyDescent="0.25">
      <c r="A269" t="s">
        <v>7</v>
      </c>
      <c r="B269" s="1">
        <v>41974</v>
      </c>
      <c r="C269" s="1">
        <v>42277</v>
      </c>
      <c r="D269" s="4" t="s">
        <v>760</v>
      </c>
      <c r="E269" t="s">
        <v>10</v>
      </c>
      <c r="F269" t="s">
        <v>11</v>
      </c>
      <c r="G269" t="s">
        <v>32</v>
      </c>
      <c r="H269" t="s">
        <v>2763</v>
      </c>
      <c r="I269" t="s">
        <v>2763</v>
      </c>
      <c r="J269" t="str">
        <f>IF(ISNUMBER(MATCH($D269,'Lopettaneet 2013-&gt;'!$D:$D,0)),INDEX('Lopettaneet 2013-&gt;'!$K:$K,MATCH($D269,'Lopettaneet 2013-&gt;'!$D:$D,0)),"Jatkaa")</f>
        <v>Closed</v>
      </c>
      <c r="K269">
        <f ca="1">IF($J269="Jatkaa",DATEDIF($B269,TODAY(),"Y"),INDEX('Lopettaneet 2013-&gt;'!$L:$L,MATCH($D269,'Lopettaneet 2013-&gt;'!$D:$D,0)))</f>
        <v>0</v>
      </c>
      <c r="L269">
        <v>268</v>
      </c>
    </row>
    <row r="270" spans="1:12" x14ac:dyDescent="0.25">
      <c r="A270" t="s">
        <v>7</v>
      </c>
      <c r="B270" s="1">
        <v>41974</v>
      </c>
      <c r="C270" s="1">
        <v>42277</v>
      </c>
      <c r="D270" s="4" t="s">
        <v>762</v>
      </c>
      <c r="E270" t="s">
        <v>10</v>
      </c>
      <c r="F270" t="s">
        <v>11</v>
      </c>
      <c r="G270" t="s">
        <v>32</v>
      </c>
      <c r="H270" t="s">
        <v>2763</v>
      </c>
      <c r="I270" t="s">
        <v>2763</v>
      </c>
      <c r="J270" t="str">
        <f>IF(ISNUMBER(MATCH($D270,'Lopettaneet 2013-&gt;'!$D:$D,0)),INDEX('Lopettaneet 2013-&gt;'!$K:$K,MATCH($D270,'Lopettaneet 2013-&gt;'!$D:$D,0)),"Jatkaa")</f>
        <v>Closed</v>
      </c>
      <c r="K270">
        <f ca="1">IF($J270="Jatkaa",DATEDIF($B270,TODAY(),"Y"),INDEX('Lopettaneet 2013-&gt;'!$L:$L,MATCH($D270,'Lopettaneet 2013-&gt;'!$D:$D,0)))</f>
        <v>0</v>
      </c>
      <c r="L270">
        <v>269</v>
      </c>
    </row>
    <row r="271" spans="1:12" x14ac:dyDescent="0.25">
      <c r="A271" t="s">
        <v>7</v>
      </c>
      <c r="B271" s="1">
        <v>41974</v>
      </c>
      <c r="C271" s="1">
        <v>42277</v>
      </c>
      <c r="D271" s="4" t="s">
        <v>764</v>
      </c>
      <c r="E271" t="s">
        <v>10</v>
      </c>
      <c r="F271" t="s">
        <v>11</v>
      </c>
      <c r="G271" t="s">
        <v>32</v>
      </c>
      <c r="H271" t="s">
        <v>2763</v>
      </c>
      <c r="I271" t="s">
        <v>2763</v>
      </c>
      <c r="J271" t="str">
        <f>IF(ISNUMBER(MATCH($D271,'Lopettaneet 2013-&gt;'!$D:$D,0)),INDEX('Lopettaneet 2013-&gt;'!$K:$K,MATCH($D271,'Lopettaneet 2013-&gt;'!$D:$D,0)),"Jatkaa")</f>
        <v>Closed</v>
      </c>
      <c r="K271">
        <f ca="1">IF($J271="Jatkaa",DATEDIF($B271,TODAY(),"Y"),INDEX('Lopettaneet 2013-&gt;'!$L:$L,MATCH($D271,'Lopettaneet 2013-&gt;'!$D:$D,0)))</f>
        <v>0</v>
      </c>
      <c r="L271">
        <v>270</v>
      </c>
    </row>
    <row r="272" spans="1:12" x14ac:dyDescent="0.25">
      <c r="A272" t="s">
        <v>7</v>
      </c>
      <c r="B272" s="1">
        <v>41974</v>
      </c>
      <c r="C272" s="1">
        <v>42277</v>
      </c>
      <c r="D272" s="4" t="s">
        <v>766</v>
      </c>
      <c r="E272" t="s">
        <v>10</v>
      </c>
      <c r="F272" t="s">
        <v>11</v>
      </c>
      <c r="G272" t="s">
        <v>32</v>
      </c>
      <c r="H272" t="s">
        <v>2763</v>
      </c>
      <c r="I272" t="s">
        <v>2763</v>
      </c>
      <c r="J272" t="str">
        <f>IF(ISNUMBER(MATCH($D272,'Lopettaneet 2013-&gt;'!$D:$D,0)),INDEX('Lopettaneet 2013-&gt;'!$K:$K,MATCH($D272,'Lopettaneet 2013-&gt;'!$D:$D,0)),"Jatkaa")</f>
        <v>Closed</v>
      </c>
      <c r="K272">
        <f ca="1">IF($J272="Jatkaa",DATEDIF($B272,TODAY(),"Y"),INDEX('Lopettaneet 2013-&gt;'!$L:$L,MATCH($D272,'Lopettaneet 2013-&gt;'!$D:$D,0)))</f>
        <v>0</v>
      </c>
      <c r="L272">
        <v>271</v>
      </c>
    </row>
    <row r="273" spans="1:12" x14ac:dyDescent="0.25">
      <c r="A273" t="s">
        <v>7</v>
      </c>
      <c r="B273" s="1">
        <v>41974</v>
      </c>
      <c r="C273" s="1">
        <v>42277</v>
      </c>
      <c r="D273" s="4" t="s">
        <v>768</v>
      </c>
      <c r="E273" t="s">
        <v>10</v>
      </c>
      <c r="F273" t="s">
        <v>11</v>
      </c>
      <c r="G273" t="s">
        <v>32</v>
      </c>
      <c r="H273" t="s">
        <v>2763</v>
      </c>
      <c r="I273" t="s">
        <v>2763</v>
      </c>
      <c r="J273" t="str">
        <f>IF(ISNUMBER(MATCH($D273,'Lopettaneet 2013-&gt;'!$D:$D,0)),INDEX('Lopettaneet 2013-&gt;'!$K:$K,MATCH($D273,'Lopettaneet 2013-&gt;'!$D:$D,0)),"Jatkaa")</f>
        <v>Closed</v>
      </c>
      <c r="K273">
        <f ca="1">IF($J273="Jatkaa",DATEDIF($B273,TODAY(),"Y"),INDEX('Lopettaneet 2013-&gt;'!$L:$L,MATCH($D273,'Lopettaneet 2013-&gt;'!$D:$D,0)))</f>
        <v>0</v>
      </c>
      <c r="L273">
        <v>272</v>
      </c>
    </row>
    <row r="274" spans="1:12" x14ac:dyDescent="0.25">
      <c r="A274" t="s">
        <v>7</v>
      </c>
      <c r="B274" s="1">
        <v>41974</v>
      </c>
      <c r="C274" s="1">
        <v>42277</v>
      </c>
      <c r="D274" s="4" t="s">
        <v>770</v>
      </c>
      <c r="E274" t="s">
        <v>10</v>
      </c>
      <c r="F274" t="s">
        <v>11</v>
      </c>
      <c r="G274" t="s">
        <v>32</v>
      </c>
      <c r="H274" t="s">
        <v>2763</v>
      </c>
      <c r="I274" t="s">
        <v>2763</v>
      </c>
      <c r="J274" t="str">
        <f>IF(ISNUMBER(MATCH($D274,'Lopettaneet 2013-&gt;'!$D:$D,0)),INDEX('Lopettaneet 2013-&gt;'!$K:$K,MATCH($D274,'Lopettaneet 2013-&gt;'!$D:$D,0)),"Jatkaa")</f>
        <v>Closed</v>
      </c>
      <c r="K274">
        <f ca="1">IF($J274="Jatkaa",DATEDIF($B274,TODAY(),"Y"),INDEX('Lopettaneet 2013-&gt;'!$L:$L,MATCH($D274,'Lopettaneet 2013-&gt;'!$D:$D,0)))</f>
        <v>0</v>
      </c>
      <c r="L274">
        <v>273</v>
      </c>
    </row>
    <row r="275" spans="1:12" x14ac:dyDescent="0.25">
      <c r="A275" t="s">
        <v>7</v>
      </c>
      <c r="B275" s="1">
        <v>41974</v>
      </c>
      <c r="C275" s="1">
        <v>42277</v>
      </c>
      <c r="D275" s="4" t="s">
        <v>772</v>
      </c>
      <c r="E275" t="s">
        <v>10</v>
      </c>
      <c r="F275" t="s">
        <v>11</v>
      </c>
      <c r="G275" t="s">
        <v>32</v>
      </c>
      <c r="H275" t="s">
        <v>2763</v>
      </c>
      <c r="I275" t="s">
        <v>2763</v>
      </c>
      <c r="J275" t="str">
        <f>IF(ISNUMBER(MATCH($D275,'Lopettaneet 2013-&gt;'!$D:$D,0)),INDEX('Lopettaneet 2013-&gt;'!$K:$K,MATCH($D275,'Lopettaneet 2013-&gt;'!$D:$D,0)),"Jatkaa")</f>
        <v>Closed</v>
      </c>
      <c r="K275">
        <f ca="1">IF($J275="Jatkaa",DATEDIF($B275,TODAY(),"Y"),INDEX('Lopettaneet 2013-&gt;'!$L:$L,MATCH($D275,'Lopettaneet 2013-&gt;'!$D:$D,0)))</f>
        <v>0</v>
      </c>
      <c r="L275">
        <v>274</v>
      </c>
    </row>
    <row r="276" spans="1:12" x14ac:dyDescent="0.25">
      <c r="A276" t="s">
        <v>7</v>
      </c>
      <c r="B276" s="1">
        <v>41974</v>
      </c>
      <c r="C276" s="1">
        <v>55153</v>
      </c>
      <c r="D276" s="4" t="s">
        <v>774</v>
      </c>
      <c r="E276" t="s">
        <v>10</v>
      </c>
      <c r="F276" t="s">
        <v>11</v>
      </c>
      <c r="G276" t="s">
        <v>80</v>
      </c>
      <c r="H276" t="s">
        <v>2814</v>
      </c>
      <c r="I276" t="s">
        <v>2895</v>
      </c>
      <c r="J276" t="str">
        <f>IF(ISNUMBER(MATCH($D276,'Lopettaneet 2013-&gt;'!$D:$D,0)),INDEX('Lopettaneet 2013-&gt;'!$K:$K,MATCH($D276,'Lopettaneet 2013-&gt;'!$D:$D,0)),"Jatkaa")</f>
        <v>Jatkaa</v>
      </c>
      <c r="K276">
        <f ca="1">IF($J276="Jatkaa",DATEDIF($B276,TODAY(),"Y"),INDEX('Lopettaneet 2013-&gt;'!$L:$L,MATCH($D276,'Lopettaneet 2013-&gt;'!$D:$D,0)))</f>
        <v>10</v>
      </c>
      <c r="L276">
        <v>275</v>
      </c>
    </row>
    <row r="277" spans="1:12" x14ac:dyDescent="0.25">
      <c r="A277" t="s">
        <v>7</v>
      </c>
      <c r="B277" s="1">
        <v>41974</v>
      </c>
      <c r="C277" s="1">
        <v>43830</v>
      </c>
      <c r="D277" s="4" t="s">
        <v>776</v>
      </c>
      <c r="E277" t="s">
        <v>10</v>
      </c>
      <c r="F277" t="s">
        <v>11</v>
      </c>
      <c r="G277" t="s">
        <v>32</v>
      </c>
      <c r="H277" t="s">
        <v>2763</v>
      </c>
      <c r="I277" t="s">
        <v>2763</v>
      </c>
      <c r="J277" t="str">
        <f>IF(ISNUMBER(MATCH($D277,'Lopettaneet 2013-&gt;'!$D:$D,0)),INDEX('Lopettaneet 2013-&gt;'!$K:$K,MATCH($D277,'Lopettaneet 2013-&gt;'!$D:$D,0)),"Jatkaa")</f>
        <v>Closed</v>
      </c>
      <c r="K277">
        <f ca="1">IF($J277="Jatkaa",DATEDIF($B277,TODAY(),"Y"),INDEX('Lopettaneet 2013-&gt;'!$L:$L,MATCH($D277,'Lopettaneet 2013-&gt;'!$D:$D,0)))</f>
        <v>5</v>
      </c>
      <c r="L277">
        <v>276</v>
      </c>
    </row>
    <row r="278" spans="1:12" x14ac:dyDescent="0.25">
      <c r="A278" t="s">
        <v>7</v>
      </c>
      <c r="B278" s="1">
        <v>41974</v>
      </c>
      <c r="C278" s="1">
        <v>55153</v>
      </c>
      <c r="D278" s="4" t="s">
        <v>778</v>
      </c>
      <c r="E278" t="s">
        <v>10</v>
      </c>
      <c r="F278" t="s">
        <v>11</v>
      </c>
      <c r="G278" t="s">
        <v>80</v>
      </c>
      <c r="H278" t="s">
        <v>2815</v>
      </c>
      <c r="I278" t="s">
        <v>2895</v>
      </c>
      <c r="J278" t="str">
        <f>IF(ISNUMBER(MATCH($D278,'Lopettaneet 2013-&gt;'!$D:$D,0)),INDEX('Lopettaneet 2013-&gt;'!$K:$K,MATCH($D278,'Lopettaneet 2013-&gt;'!$D:$D,0)),"Jatkaa")</f>
        <v>Jatkaa</v>
      </c>
      <c r="K278">
        <f ca="1">IF($J278="Jatkaa",DATEDIF($B278,TODAY(),"Y"),INDEX('Lopettaneet 2013-&gt;'!$L:$L,MATCH($D278,'Lopettaneet 2013-&gt;'!$D:$D,0)))</f>
        <v>10</v>
      </c>
      <c r="L278">
        <v>277</v>
      </c>
    </row>
    <row r="279" spans="1:12" x14ac:dyDescent="0.25">
      <c r="A279" t="s">
        <v>7</v>
      </c>
      <c r="B279" s="1">
        <v>41974</v>
      </c>
      <c r="C279" s="1">
        <v>55153</v>
      </c>
      <c r="D279" s="4" t="s">
        <v>780</v>
      </c>
      <c r="E279" t="s">
        <v>10</v>
      </c>
      <c r="F279" t="s">
        <v>11</v>
      </c>
      <c r="G279" t="s">
        <v>80</v>
      </c>
      <c r="H279" t="s">
        <v>2815</v>
      </c>
      <c r="I279" t="s">
        <v>2895</v>
      </c>
      <c r="J279" t="str">
        <f>IF(ISNUMBER(MATCH($D279,'Lopettaneet 2013-&gt;'!$D:$D,0)),INDEX('Lopettaneet 2013-&gt;'!$K:$K,MATCH($D279,'Lopettaneet 2013-&gt;'!$D:$D,0)),"Jatkaa")</f>
        <v>Jatkaa</v>
      </c>
      <c r="K279">
        <f ca="1">IF($J279="Jatkaa",DATEDIF($B279,TODAY(),"Y"),INDEX('Lopettaneet 2013-&gt;'!$L:$L,MATCH($D279,'Lopettaneet 2013-&gt;'!$D:$D,0)))</f>
        <v>10</v>
      </c>
      <c r="L279">
        <v>278</v>
      </c>
    </row>
    <row r="280" spans="1:12" x14ac:dyDescent="0.25">
      <c r="A280" t="s">
        <v>7</v>
      </c>
      <c r="B280" s="1">
        <v>41974</v>
      </c>
      <c r="C280" s="1">
        <v>43830</v>
      </c>
      <c r="D280" s="4" t="s">
        <v>782</v>
      </c>
      <c r="E280" t="s">
        <v>10</v>
      </c>
      <c r="F280" t="s">
        <v>11</v>
      </c>
      <c r="G280" t="s">
        <v>32</v>
      </c>
      <c r="H280" t="s">
        <v>2763</v>
      </c>
      <c r="I280" t="s">
        <v>2763</v>
      </c>
      <c r="J280" t="str">
        <f>IF(ISNUMBER(MATCH($D280,'Lopettaneet 2013-&gt;'!$D:$D,0)),INDEX('Lopettaneet 2013-&gt;'!$K:$K,MATCH($D280,'Lopettaneet 2013-&gt;'!$D:$D,0)),"Jatkaa")</f>
        <v>Closed</v>
      </c>
      <c r="K280">
        <f ca="1">IF($J280="Jatkaa",DATEDIF($B280,TODAY(),"Y"),INDEX('Lopettaneet 2013-&gt;'!$L:$L,MATCH($D280,'Lopettaneet 2013-&gt;'!$D:$D,0)))</f>
        <v>5</v>
      </c>
      <c r="L280">
        <v>279</v>
      </c>
    </row>
    <row r="281" spans="1:12" x14ac:dyDescent="0.25">
      <c r="A281" t="s">
        <v>7</v>
      </c>
      <c r="B281" s="1">
        <v>41974</v>
      </c>
      <c r="C281" s="1">
        <v>43830</v>
      </c>
      <c r="D281" s="4" t="s">
        <v>784</v>
      </c>
      <c r="E281" t="s">
        <v>10</v>
      </c>
      <c r="F281" t="s">
        <v>11</v>
      </c>
      <c r="G281" t="s">
        <v>32</v>
      </c>
      <c r="H281" t="s">
        <v>2763</v>
      </c>
      <c r="I281" t="s">
        <v>2763</v>
      </c>
      <c r="J281" t="str">
        <f>IF(ISNUMBER(MATCH($D281,'Lopettaneet 2013-&gt;'!$D:$D,0)),INDEX('Lopettaneet 2013-&gt;'!$K:$K,MATCH($D281,'Lopettaneet 2013-&gt;'!$D:$D,0)),"Jatkaa")</f>
        <v>Closed</v>
      </c>
      <c r="K281">
        <f ca="1">IF($J281="Jatkaa",DATEDIF($B281,TODAY(),"Y"),INDEX('Lopettaneet 2013-&gt;'!$L:$L,MATCH($D281,'Lopettaneet 2013-&gt;'!$D:$D,0)))</f>
        <v>5</v>
      </c>
      <c r="L281">
        <v>280</v>
      </c>
    </row>
    <row r="282" spans="1:12" x14ac:dyDescent="0.25">
      <c r="A282" t="s">
        <v>7</v>
      </c>
      <c r="B282" s="1">
        <v>41974</v>
      </c>
      <c r="C282" s="1">
        <v>55153</v>
      </c>
      <c r="D282" s="4" t="s">
        <v>786</v>
      </c>
      <c r="E282" t="s">
        <v>10</v>
      </c>
      <c r="F282" t="s">
        <v>11</v>
      </c>
      <c r="G282" t="s">
        <v>32</v>
      </c>
      <c r="H282" t="s">
        <v>2772</v>
      </c>
      <c r="I282" t="s">
        <v>2895</v>
      </c>
      <c r="J282" t="str">
        <f>IF(ISNUMBER(MATCH($D282,'Lopettaneet 2013-&gt;'!$D:$D,0)),INDEX('Lopettaneet 2013-&gt;'!$K:$K,MATCH($D282,'Lopettaneet 2013-&gt;'!$D:$D,0)),"Jatkaa")</f>
        <v>Jatkaa</v>
      </c>
      <c r="K282">
        <f ca="1">IF($J282="Jatkaa",DATEDIF($B282,TODAY(),"Y"),INDEX('Lopettaneet 2013-&gt;'!$L:$L,MATCH($D282,'Lopettaneet 2013-&gt;'!$D:$D,0)))</f>
        <v>10</v>
      </c>
      <c r="L282">
        <v>281</v>
      </c>
    </row>
    <row r="283" spans="1:12" x14ac:dyDescent="0.25">
      <c r="A283" t="s">
        <v>7</v>
      </c>
      <c r="B283" s="1">
        <v>41974</v>
      </c>
      <c r="C283" s="1">
        <v>43921</v>
      </c>
      <c r="D283" s="4" t="s">
        <v>788</v>
      </c>
      <c r="E283" t="s">
        <v>10</v>
      </c>
      <c r="F283" t="s">
        <v>11</v>
      </c>
      <c r="G283" t="s">
        <v>32</v>
      </c>
      <c r="H283" t="s">
        <v>2763</v>
      </c>
      <c r="I283" t="s">
        <v>2763</v>
      </c>
      <c r="J283" t="str">
        <f>IF(ISNUMBER(MATCH($D283,'Lopettaneet 2013-&gt;'!$D:$D,0)),INDEX('Lopettaneet 2013-&gt;'!$K:$K,MATCH($D283,'Lopettaneet 2013-&gt;'!$D:$D,0)),"Jatkaa")</f>
        <v>Closed</v>
      </c>
      <c r="K283">
        <f ca="1">IF($J283="Jatkaa",DATEDIF($B283,TODAY(),"Y"),INDEX('Lopettaneet 2013-&gt;'!$L:$L,MATCH($D283,'Lopettaneet 2013-&gt;'!$D:$D,0)))</f>
        <v>5</v>
      </c>
      <c r="L283">
        <v>282</v>
      </c>
    </row>
    <row r="284" spans="1:12" x14ac:dyDescent="0.25">
      <c r="A284" t="s">
        <v>7</v>
      </c>
      <c r="B284" s="1">
        <v>41974</v>
      </c>
      <c r="C284" s="1">
        <v>43921</v>
      </c>
      <c r="D284" s="4" t="s">
        <v>790</v>
      </c>
      <c r="E284" t="s">
        <v>10</v>
      </c>
      <c r="F284" t="s">
        <v>11</v>
      </c>
      <c r="G284" t="s">
        <v>32</v>
      </c>
      <c r="H284" t="s">
        <v>2763</v>
      </c>
      <c r="I284" t="s">
        <v>2763</v>
      </c>
      <c r="J284" t="str">
        <f>IF(ISNUMBER(MATCH($D284,'Lopettaneet 2013-&gt;'!$D:$D,0)),INDEX('Lopettaneet 2013-&gt;'!$K:$K,MATCH($D284,'Lopettaneet 2013-&gt;'!$D:$D,0)),"Jatkaa")</f>
        <v>Closed</v>
      </c>
      <c r="K284">
        <f ca="1">IF($J284="Jatkaa",DATEDIF($B284,TODAY(),"Y"),INDEX('Lopettaneet 2013-&gt;'!$L:$L,MATCH($D284,'Lopettaneet 2013-&gt;'!$D:$D,0)))</f>
        <v>5</v>
      </c>
      <c r="L284">
        <v>283</v>
      </c>
    </row>
    <row r="285" spans="1:12" x14ac:dyDescent="0.25">
      <c r="A285" t="s">
        <v>7</v>
      </c>
      <c r="B285" s="1">
        <v>41974</v>
      </c>
      <c r="C285" s="1">
        <v>43921</v>
      </c>
      <c r="D285" s="4" t="s">
        <v>792</v>
      </c>
      <c r="E285" t="s">
        <v>10</v>
      </c>
      <c r="F285" t="s">
        <v>11</v>
      </c>
      <c r="G285" t="s">
        <v>32</v>
      </c>
      <c r="H285" t="s">
        <v>2763</v>
      </c>
      <c r="I285" t="s">
        <v>2763</v>
      </c>
      <c r="J285" t="str">
        <f>IF(ISNUMBER(MATCH($D285,'Lopettaneet 2013-&gt;'!$D:$D,0)),INDEX('Lopettaneet 2013-&gt;'!$K:$K,MATCH($D285,'Lopettaneet 2013-&gt;'!$D:$D,0)),"Jatkaa")</f>
        <v>Closed</v>
      </c>
      <c r="K285">
        <f ca="1">IF($J285="Jatkaa",DATEDIF($B285,TODAY(),"Y"),INDEX('Lopettaneet 2013-&gt;'!$L:$L,MATCH($D285,'Lopettaneet 2013-&gt;'!$D:$D,0)))</f>
        <v>5</v>
      </c>
      <c r="L285">
        <v>284</v>
      </c>
    </row>
    <row r="286" spans="1:12" x14ac:dyDescent="0.25">
      <c r="A286" t="s">
        <v>7</v>
      </c>
      <c r="B286" s="1">
        <v>41974</v>
      </c>
      <c r="C286" s="1">
        <v>43465</v>
      </c>
      <c r="D286" s="4" t="s">
        <v>794</v>
      </c>
      <c r="E286" t="s">
        <v>10</v>
      </c>
      <c r="F286" t="s">
        <v>11</v>
      </c>
      <c r="G286" t="s">
        <v>32</v>
      </c>
      <c r="H286" t="s">
        <v>2763</v>
      </c>
      <c r="I286" t="s">
        <v>2763</v>
      </c>
      <c r="J286" t="str">
        <f>IF(ISNUMBER(MATCH($D286,'Lopettaneet 2013-&gt;'!$D:$D,0)),INDEX('Lopettaneet 2013-&gt;'!$K:$K,MATCH($D286,'Lopettaneet 2013-&gt;'!$D:$D,0)),"Jatkaa")</f>
        <v>Closed</v>
      </c>
      <c r="K286">
        <f ca="1">IF($J286="Jatkaa",DATEDIF($B286,TODAY(),"Y"),INDEX('Lopettaneet 2013-&gt;'!$L:$L,MATCH($D286,'Lopettaneet 2013-&gt;'!$D:$D,0)))</f>
        <v>4</v>
      </c>
      <c r="L286">
        <v>285</v>
      </c>
    </row>
    <row r="287" spans="1:12" x14ac:dyDescent="0.25">
      <c r="A287" t="s">
        <v>7</v>
      </c>
      <c r="B287" s="1">
        <v>41974</v>
      </c>
      <c r="C287" s="1">
        <v>42735</v>
      </c>
      <c r="D287" s="4" t="s">
        <v>796</v>
      </c>
      <c r="E287" t="s">
        <v>10</v>
      </c>
      <c r="F287" t="s">
        <v>11</v>
      </c>
      <c r="G287" t="s">
        <v>12</v>
      </c>
      <c r="H287" t="s">
        <v>2763</v>
      </c>
      <c r="I287" t="s">
        <v>2763</v>
      </c>
      <c r="J287" t="str">
        <f>IF(ISNUMBER(MATCH($D287,'Lopettaneet 2013-&gt;'!$D:$D,0)),INDEX('Lopettaneet 2013-&gt;'!$K:$K,MATCH($D287,'Lopettaneet 2013-&gt;'!$D:$D,0)),"Jatkaa")</f>
        <v>Closed</v>
      </c>
      <c r="K287">
        <f ca="1">IF($J287="Jatkaa",DATEDIF($B287,TODAY(),"Y"),INDEX('Lopettaneet 2013-&gt;'!$L:$L,MATCH($D287,'Lopettaneet 2013-&gt;'!$D:$D,0)))</f>
        <v>2</v>
      </c>
      <c r="L287">
        <v>286</v>
      </c>
    </row>
    <row r="288" spans="1:12" x14ac:dyDescent="0.25">
      <c r="A288" t="s">
        <v>7</v>
      </c>
      <c r="B288" s="1">
        <v>41974</v>
      </c>
      <c r="C288" s="1">
        <v>42369</v>
      </c>
      <c r="D288" s="4" t="s">
        <v>798</v>
      </c>
      <c r="E288" t="s">
        <v>10</v>
      </c>
      <c r="F288" t="s">
        <v>11</v>
      </c>
      <c r="G288" t="s">
        <v>32</v>
      </c>
      <c r="H288" t="s">
        <v>2763</v>
      </c>
      <c r="I288" t="s">
        <v>2763</v>
      </c>
      <c r="J288" t="str">
        <f>IF(ISNUMBER(MATCH($D288,'Lopettaneet 2013-&gt;'!$D:$D,0)),INDEX('Lopettaneet 2013-&gt;'!$K:$K,MATCH($D288,'Lopettaneet 2013-&gt;'!$D:$D,0)),"Jatkaa")</f>
        <v>Closed</v>
      </c>
      <c r="K288">
        <f ca="1">IF($J288="Jatkaa",DATEDIF($B288,TODAY(),"Y"),INDEX('Lopettaneet 2013-&gt;'!$L:$L,MATCH($D288,'Lopettaneet 2013-&gt;'!$D:$D,0)))</f>
        <v>1</v>
      </c>
      <c r="L288">
        <v>287</v>
      </c>
    </row>
    <row r="289" spans="1:12" x14ac:dyDescent="0.25">
      <c r="A289" t="s">
        <v>7</v>
      </c>
      <c r="B289" s="1">
        <v>41974</v>
      </c>
      <c r="C289" s="1">
        <v>45291</v>
      </c>
      <c r="D289" s="4" t="s">
        <v>30</v>
      </c>
      <c r="E289" t="s">
        <v>10</v>
      </c>
      <c r="F289" t="s">
        <v>11</v>
      </c>
      <c r="G289" t="s">
        <v>32</v>
      </c>
      <c r="H289" t="s">
        <v>2763</v>
      </c>
      <c r="I289" t="s">
        <v>2763</v>
      </c>
      <c r="J289" t="str">
        <f>IF(ISNUMBER(MATCH($D289,'Lopettaneet 2013-&gt;'!$D:$D,0)),INDEX('Lopettaneet 2013-&gt;'!$K:$K,MATCH($D289,'Lopettaneet 2013-&gt;'!$D:$D,0)),"Jatkaa")</f>
        <v>Closed</v>
      </c>
      <c r="K289">
        <f ca="1">IF($J289="Jatkaa",DATEDIF($B289,TODAY(),"Y"),INDEX('Lopettaneet 2013-&gt;'!$L:$L,MATCH($D289,'Lopettaneet 2013-&gt;'!$D:$D,0)))</f>
        <v>9</v>
      </c>
      <c r="L289">
        <v>288</v>
      </c>
    </row>
    <row r="290" spans="1:12" x14ac:dyDescent="0.25">
      <c r="A290" t="s">
        <v>7</v>
      </c>
      <c r="B290" s="1">
        <v>41974</v>
      </c>
      <c r="C290" s="1">
        <v>55153</v>
      </c>
      <c r="D290" s="4" t="s">
        <v>800</v>
      </c>
      <c r="E290" t="s">
        <v>10</v>
      </c>
      <c r="F290" t="s">
        <v>11</v>
      </c>
      <c r="G290" t="s">
        <v>29</v>
      </c>
      <c r="H290" t="s">
        <v>2768</v>
      </c>
      <c r="I290" t="s">
        <v>2895</v>
      </c>
      <c r="J290" t="str">
        <f>IF(ISNUMBER(MATCH($D290,'Lopettaneet 2013-&gt;'!$D:$D,0)),INDEX('Lopettaneet 2013-&gt;'!$K:$K,MATCH($D290,'Lopettaneet 2013-&gt;'!$D:$D,0)),"Jatkaa")</f>
        <v>Jatkaa</v>
      </c>
      <c r="K290">
        <f ca="1">IF($J290="Jatkaa",DATEDIF($B290,TODAY(),"Y"),INDEX('Lopettaneet 2013-&gt;'!$L:$L,MATCH($D290,'Lopettaneet 2013-&gt;'!$D:$D,0)))</f>
        <v>10</v>
      </c>
      <c r="L290">
        <v>289</v>
      </c>
    </row>
    <row r="291" spans="1:12" x14ac:dyDescent="0.25">
      <c r="A291" t="s">
        <v>7</v>
      </c>
      <c r="B291" s="1">
        <v>41974</v>
      </c>
      <c r="C291" s="1">
        <v>42369</v>
      </c>
      <c r="D291" s="4" t="s">
        <v>802</v>
      </c>
      <c r="E291" t="s">
        <v>10</v>
      </c>
      <c r="F291" t="s">
        <v>11</v>
      </c>
      <c r="G291" t="s">
        <v>32</v>
      </c>
      <c r="H291" t="s">
        <v>2763</v>
      </c>
      <c r="I291" t="s">
        <v>2763</v>
      </c>
      <c r="J291" t="str">
        <f>IF(ISNUMBER(MATCH($D291,'Lopettaneet 2013-&gt;'!$D:$D,0)),INDEX('Lopettaneet 2013-&gt;'!$K:$K,MATCH($D291,'Lopettaneet 2013-&gt;'!$D:$D,0)),"Jatkaa")</f>
        <v>Closed</v>
      </c>
      <c r="K291">
        <f ca="1">IF($J291="Jatkaa",DATEDIF($B291,TODAY(),"Y"),INDEX('Lopettaneet 2013-&gt;'!$L:$L,MATCH($D291,'Lopettaneet 2013-&gt;'!$D:$D,0)))</f>
        <v>1</v>
      </c>
      <c r="L291">
        <v>290</v>
      </c>
    </row>
    <row r="292" spans="1:12" x14ac:dyDescent="0.25">
      <c r="A292" t="s">
        <v>7</v>
      </c>
      <c r="B292" s="1">
        <v>41974</v>
      </c>
      <c r="C292" s="1">
        <v>42460</v>
      </c>
      <c r="D292" s="4" t="s">
        <v>804</v>
      </c>
      <c r="E292" t="s">
        <v>10</v>
      </c>
      <c r="F292" t="s">
        <v>11</v>
      </c>
      <c r="G292" t="s">
        <v>32</v>
      </c>
      <c r="H292" t="s">
        <v>2763</v>
      </c>
      <c r="I292" t="s">
        <v>2763</v>
      </c>
      <c r="J292" t="str">
        <f>IF(ISNUMBER(MATCH($D292,'Lopettaneet 2013-&gt;'!$D:$D,0)),INDEX('Lopettaneet 2013-&gt;'!$K:$K,MATCH($D292,'Lopettaneet 2013-&gt;'!$D:$D,0)),"Jatkaa")</f>
        <v>Closed</v>
      </c>
      <c r="K292">
        <f ca="1">IF($J292="Jatkaa",DATEDIF($B292,TODAY(),"Y"),INDEX('Lopettaneet 2013-&gt;'!$L:$L,MATCH($D292,'Lopettaneet 2013-&gt;'!$D:$D,0)))</f>
        <v>1</v>
      </c>
      <c r="L292">
        <v>291</v>
      </c>
    </row>
    <row r="293" spans="1:12" x14ac:dyDescent="0.25">
      <c r="A293" t="s">
        <v>7</v>
      </c>
      <c r="B293" s="1">
        <v>41974</v>
      </c>
      <c r="C293" s="1">
        <v>43100</v>
      </c>
      <c r="D293" s="4" t="s">
        <v>806</v>
      </c>
      <c r="E293" t="s">
        <v>10</v>
      </c>
      <c r="F293" t="s">
        <v>11</v>
      </c>
      <c r="G293" t="s">
        <v>47</v>
      </c>
      <c r="H293" t="s">
        <v>2763</v>
      </c>
      <c r="I293" t="s">
        <v>2763</v>
      </c>
      <c r="J293" t="str">
        <f>IF(ISNUMBER(MATCH($D293,'Lopettaneet 2013-&gt;'!$D:$D,0)),INDEX('Lopettaneet 2013-&gt;'!$K:$K,MATCH($D293,'Lopettaneet 2013-&gt;'!$D:$D,0)),"Jatkaa")</f>
        <v>Closed</v>
      </c>
      <c r="K293">
        <f ca="1">IF($J293="Jatkaa",DATEDIF($B293,TODAY(),"Y"),INDEX('Lopettaneet 2013-&gt;'!$L:$L,MATCH($D293,'Lopettaneet 2013-&gt;'!$D:$D,0)))</f>
        <v>3</v>
      </c>
      <c r="L293">
        <v>292</v>
      </c>
    </row>
    <row r="294" spans="1:12" x14ac:dyDescent="0.25">
      <c r="A294" t="s">
        <v>7</v>
      </c>
      <c r="B294" s="1">
        <v>41974</v>
      </c>
      <c r="C294" s="1">
        <v>43373</v>
      </c>
      <c r="D294" s="4" t="s">
        <v>808</v>
      </c>
      <c r="E294" t="s">
        <v>10</v>
      </c>
      <c r="F294" t="s">
        <v>11</v>
      </c>
      <c r="G294" t="s">
        <v>12</v>
      </c>
      <c r="H294" t="s">
        <v>2763</v>
      </c>
      <c r="I294" t="s">
        <v>2763</v>
      </c>
      <c r="J294" t="str">
        <f>IF(ISNUMBER(MATCH($D294,'Lopettaneet 2013-&gt;'!$D:$D,0)),INDEX('Lopettaneet 2013-&gt;'!$K:$K,MATCH($D294,'Lopettaneet 2013-&gt;'!$D:$D,0)),"Jatkaa")</f>
        <v>Closed</v>
      </c>
      <c r="K294">
        <f ca="1">IF($J294="Jatkaa",DATEDIF($B294,TODAY(),"Y"),INDEX('Lopettaneet 2013-&gt;'!$L:$L,MATCH($D294,'Lopettaneet 2013-&gt;'!$D:$D,0)))</f>
        <v>3</v>
      </c>
      <c r="L294">
        <v>293</v>
      </c>
    </row>
    <row r="295" spans="1:12" x14ac:dyDescent="0.25">
      <c r="A295" t="s">
        <v>7</v>
      </c>
      <c r="B295" s="1">
        <v>41974</v>
      </c>
      <c r="C295" s="1">
        <v>55153</v>
      </c>
      <c r="D295" s="4" t="s">
        <v>810</v>
      </c>
      <c r="E295" t="s">
        <v>10</v>
      </c>
      <c r="F295" t="s">
        <v>11</v>
      </c>
      <c r="G295" t="s">
        <v>32</v>
      </c>
      <c r="H295" t="s">
        <v>2816</v>
      </c>
      <c r="I295" t="s">
        <v>2895</v>
      </c>
      <c r="J295" t="str">
        <f>IF(ISNUMBER(MATCH($D295,'Lopettaneet 2013-&gt;'!$D:$D,0)),INDEX('Lopettaneet 2013-&gt;'!$K:$K,MATCH($D295,'Lopettaneet 2013-&gt;'!$D:$D,0)),"Jatkaa")</f>
        <v>Jatkaa</v>
      </c>
      <c r="K295">
        <f ca="1">IF($J295="Jatkaa",DATEDIF($B295,TODAY(),"Y"),INDEX('Lopettaneet 2013-&gt;'!$L:$L,MATCH($D295,'Lopettaneet 2013-&gt;'!$D:$D,0)))</f>
        <v>10</v>
      </c>
      <c r="L295">
        <v>294</v>
      </c>
    </row>
    <row r="296" spans="1:12" x14ac:dyDescent="0.25">
      <c r="A296" t="s">
        <v>7</v>
      </c>
      <c r="B296" s="1">
        <v>41974</v>
      </c>
      <c r="C296" s="1">
        <v>55153</v>
      </c>
      <c r="D296" s="4" t="s">
        <v>812</v>
      </c>
      <c r="E296" t="s">
        <v>10</v>
      </c>
      <c r="F296" t="s">
        <v>11</v>
      </c>
      <c r="G296" t="s">
        <v>32</v>
      </c>
      <c r="H296" t="s">
        <v>2791</v>
      </c>
      <c r="I296" t="s">
        <v>2895</v>
      </c>
      <c r="J296" t="str">
        <f>IF(ISNUMBER(MATCH($D296,'Lopettaneet 2013-&gt;'!$D:$D,0)),INDEX('Lopettaneet 2013-&gt;'!$K:$K,MATCH($D296,'Lopettaneet 2013-&gt;'!$D:$D,0)),"Jatkaa")</f>
        <v>Jatkaa</v>
      </c>
      <c r="K296">
        <f ca="1">IF($J296="Jatkaa",DATEDIF($B296,TODAY(),"Y"),INDEX('Lopettaneet 2013-&gt;'!$L:$L,MATCH($D296,'Lopettaneet 2013-&gt;'!$D:$D,0)))</f>
        <v>10</v>
      </c>
      <c r="L296">
        <v>295</v>
      </c>
    </row>
    <row r="297" spans="1:12" x14ac:dyDescent="0.25">
      <c r="A297" t="s">
        <v>7</v>
      </c>
      <c r="B297" s="1">
        <v>41974</v>
      </c>
      <c r="C297" s="1">
        <v>43646</v>
      </c>
      <c r="D297" s="4" t="s">
        <v>814</v>
      </c>
      <c r="E297" t="s">
        <v>10</v>
      </c>
      <c r="F297" t="s">
        <v>11</v>
      </c>
      <c r="G297" t="s">
        <v>80</v>
      </c>
      <c r="H297" t="s">
        <v>2763</v>
      </c>
      <c r="I297" t="s">
        <v>2763</v>
      </c>
      <c r="J297" t="str">
        <f>IF(ISNUMBER(MATCH($D297,'Lopettaneet 2013-&gt;'!$D:$D,0)),INDEX('Lopettaneet 2013-&gt;'!$K:$K,MATCH($D297,'Lopettaneet 2013-&gt;'!$D:$D,0)),"Jatkaa")</f>
        <v>Closed</v>
      </c>
      <c r="K297">
        <f ca="1">IF($J297="Jatkaa",DATEDIF($B297,TODAY(),"Y"),INDEX('Lopettaneet 2013-&gt;'!$L:$L,MATCH($D297,'Lopettaneet 2013-&gt;'!$D:$D,0)))</f>
        <v>4</v>
      </c>
      <c r="L297">
        <v>296</v>
      </c>
    </row>
    <row r="298" spans="1:12" x14ac:dyDescent="0.25">
      <c r="A298" t="s">
        <v>7</v>
      </c>
      <c r="B298" s="1">
        <v>41974</v>
      </c>
      <c r="C298" s="1">
        <v>55153</v>
      </c>
      <c r="D298" s="4" t="s">
        <v>816</v>
      </c>
      <c r="E298" t="s">
        <v>10</v>
      </c>
      <c r="F298" t="s">
        <v>11</v>
      </c>
      <c r="G298" t="s">
        <v>32</v>
      </c>
      <c r="H298" t="s">
        <v>2791</v>
      </c>
      <c r="I298" t="s">
        <v>2895</v>
      </c>
      <c r="J298" t="str">
        <f>IF(ISNUMBER(MATCH($D298,'Lopettaneet 2013-&gt;'!$D:$D,0)),INDEX('Lopettaneet 2013-&gt;'!$K:$K,MATCH($D298,'Lopettaneet 2013-&gt;'!$D:$D,0)),"Jatkaa")</f>
        <v>Jatkaa</v>
      </c>
      <c r="K298">
        <f ca="1">IF($J298="Jatkaa",DATEDIF($B298,TODAY(),"Y"),INDEX('Lopettaneet 2013-&gt;'!$L:$L,MATCH($D298,'Lopettaneet 2013-&gt;'!$D:$D,0)))</f>
        <v>10</v>
      </c>
      <c r="L298">
        <v>297</v>
      </c>
    </row>
    <row r="299" spans="1:12" x14ac:dyDescent="0.25">
      <c r="A299" t="s">
        <v>7</v>
      </c>
      <c r="B299" s="1">
        <v>41974</v>
      </c>
      <c r="C299" s="1">
        <v>42735</v>
      </c>
      <c r="D299" s="4" t="s">
        <v>818</v>
      </c>
      <c r="E299" t="s">
        <v>10</v>
      </c>
      <c r="F299" t="s">
        <v>11</v>
      </c>
      <c r="G299" t="s">
        <v>80</v>
      </c>
      <c r="H299" t="s">
        <v>2763</v>
      </c>
      <c r="I299" t="s">
        <v>2763</v>
      </c>
      <c r="J299" t="str">
        <f>IF(ISNUMBER(MATCH($D299,'Lopettaneet 2013-&gt;'!$D:$D,0)),INDEX('Lopettaneet 2013-&gt;'!$K:$K,MATCH($D299,'Lopettaneet 2013-&gt;'!$D:$D,0)),"Jatkaa")</f>
        <v>Closed</v>
      </c>
      <c r="K299">
        <f ca="1">IF($J299="Jatkaa",DATEDIF($B299,TODAY(),"Y"),INDEX('Lopettaneet 2013-&gt;'!$L:$L,MATCH($D299,'Lopettaneet 2013-&gt;'!$D:$D,0)))</f>
        <v>2</v>
      </c>
      <c r="L299">
        <v>298</v>
      </c>
    </row>
    <row r="300" spans="1:12" x14ac:dyDescent="0.25">
      <c r="A300" t="s">
        <v>7</v>
      </c>
      <c r="B300" s="1">
        <v>41974</v>
      </c>
      <c r="C300" s="1">
        <v>55153</v>
      </c>
      <c r="D300" s="4" t="s">
        <v>820</v>
      </c>
      <c r="E300" t="s">
        <v>10</v>
      </c>
      <c r="F300" t="s">
        <v>11</v>
      </c>
      <c r="G300" t="s">
        <v>12</v>
      </c>
      <c r="H300" t="s">
        <v>2768</v>
      </c>
      <c r="I300" t="s">
        <v>2895</v>
      </c>
      <c r="J300" t="str">
        <f>IF(ISNUMBER(MATCH($D300,'Lopettaneet 2013-&gt;'!$D:$D,0)),INDEX('Lopettaneet 2013-&gt;'!$K:$K,MATCH($D300,'Lopettaneet 2013-&gt;'!$D:$D,0)),"Jatkaa")</f>
        <v>Jatkaa</v>
      </c>
      <c r="K300">
        <f ca="1">IF($J300="Jatkaa",DATEDIF($B300,TODAY(),"Y"),INDEX('Lopettaneet 2013-&gt;'!$L:$L,MATCH($D300,'Lopettaneet 2013-&gt;'!$D:$D,0)))</f>
        <v>10</v>
      </c>
      <c r="L300">
        <v>299</v>
      </c>
    </row>
    <row r="301" spans="1:12" x14ac:dyDescent="0.25">
      <c r="A301" t="s">
        <v>7</v>
      </c>
      <c r="B301" s="1">
        <v>41974</v>
      </c>
      <c r="C301" s="1">
        <v>42369</v>
      </c>
      <c r="D301" s="4" t="s">
        <v>822</v>
      </c>
      <c r="E301" t="s">
        <v>10</v>
      </c>
      <c r="F301" t="s">
        <v>11</v>
      </c>
      <c r="G301" t="s">
        <v>80</v>
      </c>
      <c r="H301" t="s">
        <v>2763</v>
      </c>
      <c r="I301" t="s">
        <v>2763</v>
      </c>
      <c r="J301" t="str">
        <f>IF(ISNUMBER(MATCH($D301,'Lopettaneet 2013-&gt;'!$D:$D,0)),INDEX('Lopettaneet 2013-&gt;'!$K:$K,MATCH($D301,'Lopettaneet 2013-&gt;'!$D:$D,0)),"Jatkaa")</f>
        <v>Closed</v>
      </c>
      <c r="K301">
        <f ca="1">IF($J301="Jatkaa",DATEDIF($B301,TODAY(),"Y"),INDEX('Lopettaneet 2013-&gt;'!$L:$L,MATCH($D301,'Lopettaneet 2013-&gt;'!$D:$D,0)))</f>
        <v>1</v>
      </c>
      <c r="L301">
        <v>300</v>
      </c>
    </row>
    <row r="302" spans="1:12" x14ac:dyDescent="0.25">
      <c r="A302" t="s">
        <v>7</v>
      </c>
      <c r="B302" s="1">
        <v>41974</v>
      </c>
      <c r="C302" s="1">
        <v>43100</v>
      </c>
      <c r="D302" s="4" t="s">
        <v>824</v>
      </c>
      <c r="E302" t="s">
        <v>10</v>
      </c>
      <c r="F302" t="s">
        <v>11</v>
      </c>
      <c r="G302" t="s">
        <v>80</v>
      </c>
      <c r="H302" t="s">
        <v>2763</v>
      </c>
      <c r="I302" t="s">
        <v>2763</v>
      </c>
      <c r="J302" t="str">
        <f>IF(ISNUMBER(MATCH($D302,'Lopettaneet 2013-&gt;'!$D:$D,0)),INDEX('Lopettaneet 2013-&gt;'!$K:$K,MATCH($D302,'Lopettaneet 2013-&gt;'!$D:$D,0)),"Jatkaa")</f>
        <v>Closed</v>
      </c>
      <c r="K302">
        <f ca="1">IF($J302="Jatkaa",DATEDIF($B302,TODAY(),"Y"),INDEX('Lopettaneet 2013-&gt;'!$L:$L,MATCH($D302,'Lopettaneet 2013-&gt;'!$D:$D,0)))</f>
        <v>3</v>
      </c>
      <c r="L302">
        <v>301</v>
      </c>
    </row>
    <row r="303" spans="1:12" x14ac:dyDescent="0.25">
      <c r="A303" t="s">
        <v>7</v>
      </c>
      <c r="B303" s="1">
        <v>41974</v>
      </c>
      <c r="C303" s="1">
        <v>44742</v>
      </c>
      <c r="D303" s="4" t="s">
        <v>826</v>
      </c>
      <c r="E303" t="s">
        <v>10</v>
      </c>
      <c r="F303" t="s">
        <v>11</v>
      </c>
      <c r="G303" t="s">
        <v>12</v>
      </c>
      <c r="H303" t="s">
        <v>2763</v>
      </c>
      <c r="I303" t="s">
        <v>2763</v>
      </c>
      <c r="J303" t="str">
        <f>IF(ISNUMBER(MATCH($D303,'Lopettaneet 2013-&gt;'!$D:$D,0)),INDEX('Lopettaneet 2013-&gt;'!$K:$K,MATCH($D303,'Lopettaneet 2013-&gt;'!$D:$D,0)),"Jatkaa")</f>
        <v>Closed</v>
      </c>
      <c r="K303">
        <f ca="1">IF($J303="Jatkaa",DATEDIF($B303,TODAY(),"Y"),INDEX('Lopettaneet 2013-&gt;'!$L:$L,MATCH($D303,'Lopettaneet 2013-&gt;'!$D:$D,0)))</f>
        <v>7</v>
      </c>
      <c r="L303">
        <v>302</v>
      </c>
    </row>
    <row r="304" spans="1:12" x14ac:dyDescent="0.25">
      <c r="A304" t="s">
        <v>7</v>
      </c>
      <c r="B304" s="1">
        <v>41974</v>
      </c>
      <c r="C304" s="1">
        <v>43008</v>
      </c>
      <c r="D304" s="4" t="s">
        <v>828</v>
      </c>
      <c r="E304" t="s">
        <v>10</v>
      </c>
      <c r="F304" t="s">
        <v>11</v>
      </c>
      <c r="G304" t="s">
        <v>80</v>
      </c>
      <c r="H304" t="s">
        <v>2763</v>
      </c>
      <c r="I304" t="s">
        <v>2763</v>
      </c>
      <c r="J304" t="str">
        <f>IF(ISNUMBER(MATCH($D304,'Lopettaneet 2013-&gt;'!$D:$D,0)),INDEX('Lopettaneet 2013-&gt;'!$K:$K,MATCH($D304,'Lopettaneet 2013-&gt;'!$D:$D,0)),"Jatkaa")</f>
        <v>Closed</v>
      </c>
      <c r="K304">
        <f ca="1">IF($J304="Jatkaa",DATEDIF($B304,TODAY(),"Y"),INDEX('Lopettaneet 2013-&gt;'!$L:$L,MATCH($D304,'Lopettaneet 2013-&gt;'!$D:$D,0)))</f>
        <v>2</v>
      </c>
      <c r="L304">
        <v>303</v>
      </c>
    </row>
    <row r="305" spans="1:12" x14ac:dyDescent="0.25">
      <c r="A305" t="s">
        <v>7</v>
      </c>
      <c r="B305" s="1">
        <v>41974</v>
      </c>
      <c r="C305" s="1">
        <v>42369</v>
      </c>
      <c r="D305" s="4" t="s">
        <v>830</v>
      </c>
      <c r="E305" t="s">
        <v>10</v>
      </c>
      <c r="F305" t="s">
        <v>11</v>
      </c>
      <c r="G305" t="s">
        <v>80</v>
      </c>
      <c r="H305" t="s">
        <v>2763</v>
      </c>
      <c r="I305" t="s">
        <v>2763</v>
      </c>
      <c r="J305" t="str">
        <f>IF(ISNUMBER(MATCH($D305,'Lopettaneet 2013-&gt;'!$D:$D,0)),INDEX('Lopettaneet 2013-&gt;'!$K:$K,MATCH($D305,'Lopettaneet 2013-&gt;'!$D:$D,0)),"Jatkaa")</f>
        <v>Closed</v>
      </c>
      <c r="K305">
        <f ca="1">IF($J305="Jatkaa",DATEDIF($B305,TODAY(),"Y"),INDEX('Lopettaneet 2013-&gt;'!$L:$L,MATCH($D305,'Lopettaneet 2013-&gt;'!$D:$D,0)))</f>
        <v>1</v>
      </c>
      <c r="L305">
        <v>304</v>
      </c>
    </row>
    <row r="306" spans="1:12" x14ac:dyDescent="0.25">
      <c r="A306" t="s">
        <v>7</v>
      </c>
      <c r="B306" s="1">
        <v>41974</v>
      </c>
      <c r="C306" s="1">
        <v>42735</v>
      </c>
      <c r="D306" s="4" t="s">
        <v>832</v>
      </c>
      <c r="E306" t="s">
        <v>10</v>
      </c>
      <c r="F306" t="s">
        <v>11</v>
      </c>
      <c r="G306" t="s">
        <v>80</v>
      </c>
      <c r="H306" t="s">
        <v>2763</v>
      </c>
      <c r="I306" t="s">
        <v>2763</v>
      </c>
      <c r="J306" t="str">
        <f>IF(ISNUMBER(MATCH($D306,'Lopettaneet 2013-&gt;'!$D:$D,0)),INDEX('Lopettaneet 2013-&gt;'!$K:$K,MATCH($D306,'Lopettaneet 2013-&gt;'!$D:$D,0)),"Jatkaa")</f>
        <v>Closed</v>
      </c>
      <c r="K306">
        <f ca="1">IF($J306="Jatkaa",DATEDIF($B306,TODAY(),"Y"),INDEX('Lopettaneet 2013-&gt;'!$L:$L,MATCH($D306,'Lopettaneet 2013-&gt;'!$D:$D,0)))</f>
        <v>2</v>
      </c>
      <c r="L306">
        <v>305</v>
      </c>
    </row>
    <row r="307" spans="1:12" x14ac:dyDescent="0.25">
      <c r="A307" t="s">
        <v>7</v>
      </c>
      <c r="B307" s="1">
        <v>41974</v>
      </c>
      <c r="C307" s="1">
        <v>42369</v>
      </c>
      <c r="D307" s="4" t="s">
        <v>834</v>
      </c>
      <c r="E307" t="s">
        <v>10</v>
      </c>
      <c r="F307" t="s">
        <v>11</v>
      </c>
      <c r="G307" t="s">
        <v>80</v>
      </c>
      <c r="H307" t="s">
        <v>2763</v>
      </c>
      <c r="I307" t="s">
        <v>2763</v>
      </c>
      <c r="J307" t="str">
        <f>IF(ISNUMBER(MATCH($D307,'Lopettaneet 2013-&gt;'!$D:$D,0)),INDEX('Lopettaneet 2013-&gt;'!$K:$K,MATCH($D307,'Lopettaneet 2013-&gt;'!$D:$D,0)),"Jatkaa")</f>
        <v>Closed</v>
      </c>
      <c r="K307">
        <f ca="1">IF($J307="Jatkaa",DATEDIF($B307,TODAY(),"Y"),INDEX('Lopettaneet 2013-&gt;'!$L:$L,MATCH($D307,'Lopettaneet 2013-&gt;'!$D:$D,0)))</f>
        <v>1</v>
      </c>
      <c r="L307">
        <v>306</v>
      </c>
    </row>
    <row r="308" spans="1:12" x14ac:dyDescent="0.25">
      <c r="A308" t="s">
        <v>7</v>
      </c>
      <c r="B308" s="1">
        <v>41974</v>
      </c>
      <c r="C308" s="1">
        <v>42369</v>
      </c>
      <c r="D308" s="4" t="s">
        <v>836</v>
      </c>
      <c r="E308" t="s">
        <v>10</v>
      </c>
      <c r="F308" t="s">
        <v>11</v>
      </c>
      <c r="G308" t="s">
        <v>80</v>
      </c>
      <c r="H308" t="s">
        <v>2763</v>
      </c>
      <c r="I308" t="s">
        <v>2763</v>
      </c>
      <c r="J308" t="str">
        <f>IF(ISNUMBER(MATCH($D308,'Lopettaneet 2013-&gt;'!$D:$D,0)),INDEX('Lopettaneet 2013-&gt;'!$K:$K,MATCH($D308,'Lopettaneet 2013-&gt;'!$D:$D,0)),"Jatkaa")</f>
        <v>Closed</v>
      </c>
      <c r="K308">
        <f ca="1">IF($J308="Jatkaa",DATEDIF($B308,TODAY(),"Y"),INDEX('Lopettaneet 2013-&gt;'!$L:$L,MATCH($D308,'Lopettaneet 2013-&gt;'!$D:$D,0)))</f>
        <v>1</v>
      </c>
      <c r="L308">
        <v>307</v>
      </c>
    </row>
    <row r="309" spans="1:12" x14ac:dyDescent="0.25">
      <c r="A309" t="s">
        <v>7</v>
      </c>
      <c r="B309" s="1">
        <v>41974</v>
      </c>
      <c r="C309" s="1">
        <v>42369</v>
      </c>
      <c r="D309" s="4" t="s">
        <v>838</v>
      </c>
      <c r="E309" t="s">
        <v>10</v>
      </c>
      <c r="F309" t="s">
        <v>11</v>
      </c>
      <c r="G309" t="s">
        <v>80</v>
      </c>
      <c r="H309" t="s">
        <v>2763</v>
      </c>
      <c r="I309" t="s">
        <v>2763</v>
      </c>
      <c r="J309" t="str">
        <f>IF(ISNUMBER(MATCH($D309,'Lopettaneet 2013-&gt;'!$D:$D,0)),INDEX('Lopettaneet 2013-&gt;'!$K:$K,MATCH($D309,'Lopettaneet 2013-&gt;'!$D:$D,0)),"Jatkaa")</f>
        <v>Closed</v>
      </c>
      <c r="K309">
        <f ca="1">IF($J309="Jatkaa",DATEDIF($B309,TODAY(),"Y"),INDEX('Lopettaneet 2013-&gt;'!$L:$L,MATCH($D309,'Lopettaneet 2013-&gt;'!$D:$D,0)))</f>
        <v>1</v>
      </c>
      <c r="L309">
        <v>308</v>
      </c>
    </row>
    <row r="310" spans="1:12" x14ac:dyDescent="0.25">
      <c r="A310" t="s">
        <v>7</v>
      </c>
      <c r="B310" s="1">
        <v>41974</v>
      </c>
      <c r="C310" s="1">
        <v>43190</v>
      </c>
      <c r="D310" s="4" t="s">
        <v>840</v>
      </c>
      <c r="E310" t="s">
        <v>10</v>
      </c>
      <c r="F310" t="s">
        <v>11</v>
      </c>
      <c r="G310" t="s">
        <v>32</v>
      </c>
      <c r="H310" t="s">
        <v>2763</v>
      </c>
      <c r="I310" t="s">
        <v>2763</v>
      </c>
      <c r="J310" t="str">
        <f>IF(ISNUMBER(MATCH($D310,'Lopettaneet 2013-&gt;'!$D:$D,0)),INDEX('Lopettaneet 2013-&gt;'!$K:$K,MATCH($D310,'Lopettaneet 2013-&gt;'!$D:$D,0)),"Jatkaa")</f>
        <v>Closed</v>
      </c>
      <c r="K310">
        <f ca="1">IF($J310="Jatkaa",DATEDIF($B310,TODAY(),"Y"),INDEX('Lopettaneet 2013-&gt;'!$L:$L,MATCH($D310,'Lopettaneet 2013-&gt;'!$D:$D,0)))</f>
        <v>3</v>
      </c>
      <c r="L310">
        <v>309</v>
      </c>
    </row>
    <row r="311" spans="1:12" x14ac:dyDescent="0.25">
      <c r="A311" t="s">
        <v>7</v>
      </c>
      <c r="B311" s="1">
        <v>41974</v>
      </c>
      <c r="C311" s="1">
        <v>43190</v>
      </c>
      <c r="D311" s="4" t="s">
        <v>842</v>
      </c>
      <c r="E311" t="s">
        <v>10</v>
      </c>
      <c r="F311" t="s">
        <v>11</v>
      </c>
      <c r="G311" t="s">
        <v>29</v>
      </c>
      <c r="H311" t="s">
        <v>2763</v>
      </c>
      <c r="I311" t="s">
        <v>2763</v>
      </c>
      <c r="J311" t="str">
        <f>IF(ISNUMBER(MATCH($D311,'Lopettaneet 2013-&gt;'!$D:$D,0)),INDEX('Lopettaneet 2013-&gt;'!$K:$K,MATCH($D311,'Lopettaneet 2013-&gt;'!$D:$D,0)),"Jatkaa")</f>
        <v>Closed</v>
      </c>
      <c r="K311">
        <f ca="1">IF($J311="Jatkaa",DATEDIF($B311,TODAY(),"Y"),INDEX('Lopettaneet 2013-&gt;'!$L:$L,MATCH($D311,'Lopettaneet 2013-&gt;'!$D:$D,0)))</f>
        <v>3</v>
      </c>
      <c r="L311">
        <v>310</v>
      </c>
    </row>
    <row r="312" spans="1:12" x14ac:dyDescent="0.25">
      <c r="A312" t="s">
        <v>7</v>
      </c>
      <c r="B312" s="1">
        <v>41974</v>
      </c>
      <c r="C312" s="1">
        <v>44012</v>
      </c>
      <c r="D312" s="4" t="s">
        <v>844</v>
      </c>
      <c r="E312" t="s">
        <v>10</v>
      </c>
      <c r="F312" t="s">
        <v>11</v>
      </c>
      <c r="G312" t="s">
        <v>29</v>
      </c>
      <c r="H312" t="s">
        <v>2763</v>
      </c>
      <c r="I312" t="s">
        <v>2763</v>
      </c>
      <c r="J312" t="str">
        <f>IF(ISNUMBER(MATCH($D312,'Lopettaneet 2013-&gt;'!$D:$D,0)),INDEX('Lopettaneet 2013-&gt;'!$K:$K,MATCH($D312,'Lopettaneet 2013-&gt;'!$D:$D,0)),"Jatkaa")</f>
        <v>Closed</v>
      </c>
      <c r="K312">
        <f ca="1">IF($J312="Jatkaa",DATEDIF($B312,TODAY(),"Y"),INDEX('Lopettaneet 2013-&gt;'!$L:$L,MATCH($D312,'Lopettaneet 2013-&gt;'!$D:$D,0)))</f>
        <v>5</v>
      </c>
      <c r="L312">
        <v>311</v>
      </c>
    </row>
    <row r="313" spans="1:12" x14ac:dyDescent="0.25">
      <c r="A313" t="s">
        <v>7</v>
      </c>
      <c r="B313" s="1">
        <v>41974</v>
      </c>
      <c r="C313" s="1">
        <v>55153</v>
      </c>
      <c r="D313" s="4" t="s">
        <v>846</v>
      </c>
      <c r="E313" t="s">
        <v>10</v>
      </c>
      <c r="F313" t="s">
        <v>11</v>
      </c>
      <c r="G313" t="s">
        <v>12</v>
      </c>
      <c r="H313" t="s">
        <v>2810</v>
      </c>
      <c r="I313" t="s">
        <v>2895</v>
      </c>
      <c r="J313" t="str">
        <f>IF(ISNUMBER(MATCH($D313,'Lopettaneet 2013-&gt;'!$D:$D,0)),INDEX('Lopettaneet 2013-&gt;'!$K:$K,MATCH($D313,'Lopettaneet 2013-&gt;'!$D:$D,0)),"Jatkaa")</f>
        <v>Jatkaa</v>
      </c>
      <c r="K313">
        <f ca="1">IF($J313="Jatkaa",DATEDIF($B313,TODAY(),"Y"),INDEX('Lopettaneet 2013-&gt;'!$L:$L,MATCH($D313,'Lopettaneet 2013-&gt;'!$D:$D,0)))</f>
        <v>10</v>
      </c>
      <c r="L313">
        <v>312</v>
      </c>
    </row>
    <row r="314" spans="1:12" x14ac:dyDescent="0.25">
      <c r="A314" t="s">
        <v>7</v>
      </c>
      <c r="B314" s="1">
        <v>41974</v>
      </c>
      <c r="C314" s="1">
        <v>55153</v>
      </c>
      <c r="D314" s="4" t="s">
        <v>848</v>
      </c>
      <c r="E314" t="s">
        <v>10</v>
      </c>
      <c r="F314" t="s">
        <v>11</v>
      </c>
      <c r="G314" t="s">
        <v>32</v>
      </c>
      <c r="H314" t="s">
        <v>2763</v>
      </c>
      <c r="I314" t="s">
        <v>2895</v>
      </c>
      <c r="J314" t="str">
        <f>IF(ISNUMBER(MATCH($D314,'Lopettaneet 2013-&gt;'!$D:$D,0)),INDEX('Lopettaneet 2013-&gt;'!$K:$K,MATCH($D314,'Lopettaneet 2013-&gt;'!$D:$D,0)),"Jatkaa")</f>
        <v>Jatkaa</v>
      </c>
      <c r="K314">
        <f ca="1">IF($J314="Jatkaa",DATEDIF($B314,TODAY(),"Y"),INDEX('Lopettaneet 2013-&gt;'!$L:$L,MATCH($D314,'Lopettaneet 2013-&gt;'!$D:$D,0)))</f>
        <v>10</v>
      </c>
      <c r="L314">
        <v>313</v>
      </c>
    </row>
    <row r="315" spans="1:12" x14ac:dyDescent="0.25">
      <c r="A315" t="s">
        <v>7</v>
      </c>
      <c r="B315" s="1">
        <v>41974</v>
      </c>
      <c r="C315" s="1">
        <v>43738</v>
      </c>
      <c r="D315" s="4" t="s">
        <v>850</v>
      </c>
      <c r="E315" t="s">
        <v>10</v>
      </c>
      <c r="F315" t="s">
        <v>11</v>
      </c>
      <c r="G315" t="s">
        <v>32</v>
      </c>
      <c r="H315" t="s">
        <v>2763</v>
      </c>
      <c r="I315" t="s">
        <v>2763</v>
      </c>
      <c r="J315" t="str">
        <f>IF(ISNUMBER(MATCH($D315,'Lopettaneet 2013-&gt;'!$D:$D,0)),INDEX('Lopettaneet 2013-&gt;'!$K:$K,MATCH($D315,'Lopettaneet 2013-&gt;'!$D:$D,0)),"Jatkaa")</f>
        <v>Closed</v>
      </c>
      <c r="K315">
        <f ca="1">IF($J315="Jatkaa",DATEDIF($B315,TODAY(),"Y"),INDEX('Lopettaneet 2013-&gt;'!$L:$L,MATCH($D315,'Lopettaneet 2013-&gt;'!$D:$D,0)))</f>
        <v>4</v>
      </c>
      <c r="L315">
        <v>314</v>
      </c>
    </row>
    <row r="316" spans="1:12" x14ac:dyDescent="0.25">
      <c r="A316" t="s">
        <v>7</v>
      </c>
      <c r="B316" s="1">
        <v>41974</v>
      </c>
      <c r="C316" s="1">
        <v>55153</v>
      </c>
      <c r="D316" s="4" t="s">
        <v>852</v>
      </c>
      <c r="E316" t="s">
        <v>10</v>
      </c>
      <c r="F316" t="s">
        <v>11</v>
      </c>
      <c r="G316" t="s">
        <v>32</v>
      </c>
      <c r="H316" t="s">
        <v>2817</v>
      </c>
      <c r="I316" t="s">
        <v>2895</v>
      </c>
      <c r="J316" t="str">
        <f>IF(ISNUMBER(MATCH($D316,'Lopettaneet 2013-&gt;'!$D:$D,0)),INDEX('Lopettaneet 2013-&gt;'!$K:$K,MATCH($D316,'Lopettaneet 2013-&gt;'!$D:$D,0)),"Jatkaa")</f>
        <v>Jatkaa</v>
      </c>
      <c r="K316">
        <f ca="1">IF($J316="Jatkaa",DATEDIF($B316,TODAY(),"Y"),INDEX('Lopettaneet 2013-&gt;'!$L:$L,MATCH($D316,'Lopettaneet 2013-&gt;'!$D:$D,0)))</f>
        <v>10</v>
      </c>
      <c r="L316">
        <v>315</v>
      </c>
    </row>
    <row r="317" spans="1:12" x14ac:dyDescent="0.25">
      <c r="A317" t="s">
        <v>7</v>
      </c>
      <c r="B317" s="1">
        <v>41974</v>
      </c>
      <c r="C317" s="1">
        <v>44651</v>
      </c>
      <c r="D317" s="4" t="s">
        <v>854</v>
      </c>
      <c r="E317" t="s">
        <v>10</v>
      </c>
      <c r="F317" t="s">
        <v>11</v>
      </c>
      <c r="G317" t="s">
        <v>12</v>
      </c>
      <c r="H317" t="s">
        <v>2763</v>
      </c>
      <c r="I317" t="s">
        <v>2763</v>
      </c>
      <c r="J317" t="str">
        <f>IF(ISNUMBER(MATCH($D317,'Lopettaneet 2013-&gt;'!$D:$D,0)),INDEX('Lopettaneet 2013-&gt;'!$K:$K,MATCH($D317,'Lopettaneet 2013-&gt;'!$D:$D,0)),"Jatkaa")</f>
        <v>Closed</v>
      </c>
      <c r="K317">
        <f ca="1">IF($J317="Jatkaa",DATEDIF($B317,TODAY(),"Y"),INDEX('Lopettaneet 2013-&gt;'!$L:$L,MATCH($D317,'Lopettaneet 2013-&gt;'!$D:$D,0)))</f>
        <v>7</v>
      </c>
      <c r="L317">
        <v>316</v>
      </c>
    </row>
    <row r="318" spans="1:12" x14ac:dyDescent="0.25">
      <c r="A318" t="s">
        <v>7</v>
      </c>
      <c r="B318" s="1">
        <v>41974</v>
      </c>
      <c r="C318" s="1">
        <v>55153</v>
      </c>
      <c r="D318" s="4" t="s">
        <v>856</v>
      </c>
      <c r="E318" t="s">
        <v>10</v>
      </c>
      <c r="F318" t="s">
        <v>11</v>
      </c>
      <c r="G318" t="s">
        <v>32</v>
      </c>
      <c r="H318" t="s">
        <v>2803</v>
      </c>
      <c r="I318" t="s">
        <v>2895</v>
      </c>
      <c r="J318" t="str">
        <f>IF(ISNUMBER(MATCH($D318,'Lopettaneet 2013-&gt;'!$D:$D,0)),INDEX('Lopettaneet 2013-&gt;'!$K:$K,MATCH($D318,'Lopettaneet 2013-&gt;'!$D:$D,0)),"Jatkaa")</f>
        <v>Jatkaa</v>
      </c>
      <c r="K318">
        <f ca="1">IF($J318="Jatkaa",DATEDIF($B318,TODAY(),"Y"),INDEX('Lopettaneet 2013-&gt;'!$L:$L,MATCH($D318,'Lopettaneet 2013-&gt;'!$D:$D,0)))</f>
        <v>10</v>
      </c>
      <c r="L318">
        <v>317</v>
      </c>
    </row>
    <row r="319" spans="1:12" x14ac:dyDescent="0.25">
      <c r="A319" t="s">
        <v>7</v>
      </c>
      <c r="B319" s="1">
        <v>41974</v>
      </c>
      <c r="C319" s="1">
        <v>42460</v>
      </c>
      <c r="D319" s="4" t="s">
        <v>858</v>
      </c>
      <c r="E319" t="s">
        <v>10</v>
      </c>
      <c r="F319" t="s">
        <v>11</v>
      </c>
      <c r="G319" t="s">
        <v>32</v>
      </c>
      <c r="H319" t="s">
        <v>2763</v>
      </c>
      <c r="I319" t="s">
        <v>2763</v>
      </c>
      <c r="J319" t="str">
        <f>IF(ISNUMBER(MATCH($D319,'Lopettaneet 2013-&gt;'!$D:$D,0)),INDEX('Lopettaneet 2013-&gt;'!$K:$K,MATCH($D319,'Lopettaneet 2013-&gt;'!$D:$D,0)),"Jatkaa")</f>
        <v>Closed</v>
      </c>
      <c r="K319">
        <f ca="1">IF($J319="Jatkaa",DATEDIF($B319,TODAY(),"Y"),INDEX('Lopettaneet 2013-&gt;'!$L:$L,MATCH($D319,'Lopettaneet 2013-&gt;'!$D:$D,0)))</f>
        <v>1</v>
      </c>
      <c r="L319">
        <v>318</v>
      </c>
    </row>
    <row r="320" spans="1:12" x14ac:dyDescent="0.25">
      <c r="A320" t="s">
        <v>7</v>
      </c>
      <c r="B320" s="1">
        <v>41974</v>
      </c>
      <c r="C320" s="1">
        <v>55153</v>
      </c>
      <c r="D320" s="4" t="s">
        <v>860</v>
      </c>
      <c r="E320" t="s">
        <v>10</v>
      </c>
      <c r="F320" t="s">
        <v>11</v>
      </c>
      <c r="G320" t="s">
        <v>80</v>
      </c>
      <c r="H320" t="s">
        <v>2794</v>
      </c>
      <c r="I320" t="s">
        <v>2895</v>
      </c>
      <c r="J320" t="str">
        <f>IF(ISNUMBER(MATCH($D320,'Lopettaneet 2013-&gt;'!$D:$D,0)),INDEX('Lopettaneet 2013-&gt;'!$K:$K,MATCH($D320,'Lopettaneet 2013-&gt;'!$D:$D,0)),"Jatkaa")</f>
        <v>Jatkaa</v>
      </c>
      <c r="K320">
        <f ca="1">IF($J320="Jatkaa",DATEDIF($B320,TODAY(),"Y"),INDEX('Lopettaneet 2013-&gt;'!$L:$L,MATCH($D320,'Lopettaneet 2013-&gt;'!$D:$D,0)))</f>
        <v>10</v>
      </c>
      <c r="L320">
        <v>319</v>
      </c>
    </row>
    <row r="321" spans="1:12" x14ac:dyDescent="0.25">
      <c r="A321" t="s">
        <v>0</v>
      </c>
      <c r="B321" s="1">
        <v>42095</v>
      </c>
      <c r="C321" s="1">
        <v>55153</v>
      </c>
      <c r="D321" s="4" t="s">
        <v>862</v>
      </c>
      <c r="E321" t="s">
        <v>3</v>
      </c>
      <c r="F321" t="s">
        <v>4</v>
      </c>
      <c r="G321" t="s">
        <v>20</v>
      </c>
      <c r="H321" t="s">
        <v>2764</v>
      </c>
      <c r="I321" t="s">
        <v>2894</v>
      </c>
      <c r="J321" t="str">
        <f>IF(ISNUMBER(MATCH($D321,'Lopettaneet 2013-&gt;'!$D:$D,0)),INDEX('Lopettaneet 2013-&gt;'!$K:$K,MATCH($D321,'Lopettaneet 2013-&gt;'!$D:$D,0)),"Jatkaa")</f>
        <v>Jatkaa</v>
      </c>
      <c r="K321">
        <f ca="1">IF($J321="Jatkaa",DATEDIF($B321,TODAY(),"Y"),INDEX('Lopettaneet 2013-&gt;'!$L:$L,MATCH($D321,'Lopettaneet 2013-&gt;'!$D:$D,0)))</f>
        <v>10</v>
      </c>
      <c r="L321">
        <v>320</v>
      </c>
    </row>
    <row r="322" spans="1:12" x14ac:dyDescent="0.25">
      <c r="A322" t="s">
        <v>0</v>
      </c>
      <c r="B322" s="1">
        <v>42064</v>
      </c>
      <c r="C322" s="1">
        <v>44012</v>
      </c>
      <c r="D322" s="4" t="s">
        <v>864</v>
      </c>
      <c r="E322" t="s">
        <v>3</v>
      </c>
      <c r="F322" t="s">
        <v>4</v>
      </c>
      <c r="G322" t="s">
        <v>50</v>
      </c>
      <c r="H322" t="s">
        <v>2763</v>
      </c>
      <c r="I322" t="s">
        <v>2763</v>
      </c>
      <c r="J322" t="str">
        <f>IF(ISNUMBER(MATCH($D322,'Lopettaneet 2013-&gt;'!$D:$D,0)),INDEX('Lopettaneet 2013-&gt;'!$K:$K,MATCH($D322,'Lopettaneet 2013-&gt;'!$D:$D,0)),"Jatkaa")</f>
        <v>Closed</v>
      </c>
      <c r="K322">
        <f ca="1">IF($J322="Jatkaa",DATEDIF($B322,TODAY(),"Y"),INDEX('Lopettaneet 2013-&gt;'!$L:$L,MATCH($D322,'Lopettaneet 2013-&gt;'!$D:$D,0)))</f>
        <v>5</v>
      </c>
      <c r="L322">
        <v>321</v>
      </c>
    </row>
    <row r="323" spans="1:12" x14ac:dyDescent="0.25">
      <c r="A323" t="s">
        <v>7</v>
      </c>
      <c r="B323" s="1">
        <v>41974</v>
      </c>
      <c r="C323" s="1">
        <v>44286</v>
      </c>
      <c r="D323" s="4" t="s">
        <v>866</v>
      </c>
      <c r="E323" t="s">
        <v>10</v>
      </c>
      <c r="F323" t="s">
        <v>11</v>
      </c>
      <c r="G323" t="s">
        <v>32</v>
      </c>
      <c r="H323" t="s">
        <v>2763</v>
      </c>
      <c r="I323" t="s">
        <v>2763</v>
      </c>
      <c r="J323" t="str">
        <f>IF(ISNUMBER(MATCH($D323,'Lopettaneet 2013-&gt;'!$D:$D,0)),INDEX('Lopettaneet 2013-&gt;'!$K:$K,MATCH($D323,'Lopettaneet 2013-&gt;'!$D:$D,0)),"Jatkaa")</f>
        <v>Closed</v>
      </c>
      <c r="K323">
        <f ca="1">IF($J323="Jatkaa",DATEDIF($B323,TODAY(),"Y"),INDEX('Lopettaneet 2013-&gt;'!$L:$L,MATCH($D323,'Lopettaneet 2013-&gt;'!$D:$D,0)))</f>
        <v>6</v>
      </c>
      <c r="L323">
        <v>322</v>
      </c>
    </row>
    <row r="324" spans="1:12" x14ac:dyDescent="0.25">
      <c r="A324" t="s">
        <v>7</v>
      </c>
      <c r="B324" s="1">
        <v>41974</v>
      </c>
      <c r="C324" s="1">
        <v>44286</v>
      </c>
      <c r="D324" s="4" t="s">
        <v>868</v>
      </c>
      <c r="E324" t="s">
        <v>10</v>
      </c>
      <c r="F324" t="s">
        <v>11</v>
      </c>
      <c r="G324" t="s">
        <v>32</v>
      </c>
      <c r="H324" t="s">
        <v>2763</v>
      </c>
      <c r="I324" t="s">
        <v>2763</v>
      </c>
      <c r="J324" t="str">
        <f>IF(ISNUMBER(MATCH($D324,'Lopettaneet 2013-&gt;'!$D:$D,0)),INDEX('Lopettaneet 2013-&gt;'!$K:$K,MATCH($D324,'Lopettaneet 2013-&gt;'!$D:$D,0)),"Jatkaa")</f>
        <v>Closed</v>
      </c>
      <c r="K324">
        <f ca="1">IF($J324="Jatkaa",DATEDIF($B324,TODAY(),"Y"),INDEX('Lopettaneet 2013-&gt;'!$L:$L,MATCH($D324,'Lopettaneet 2013-&gt;'!$D:$D,0)))</f>
        <v>6</v>
      </c>
      <c r="L324">
        <v>323</v>
      </c>
    </row>
    <row r="325" spans="1:12" x14ac:dyDescent="0.25">
      <c r="A325" t="s">
        <v>7</v>
      </c>
      <c r="B325" s="1">
        <v>41974</v>
      </c>
      <c r="C325" s="1">
        <v>44286</v>
      </c>
      <c r="D325" s="4" t="s">
        <v>870</v>
      </c>
      <c r="E325" t="s">
        <v>10</v>
      </c>
      <c r="F325" t="s">
        <v>11</v>
      </c>
      <c r="G325" t="s">
        <v>32</v>
      </c>
      <c r="H325" t="s">
        <v>2763</v>
      </c>
      <c r="I325" t="s">
        <v>2763</v>
      </c>
      <c r="J325" t="str">
        <f>IF(ISNUMBER(MATCH($D325,'Lopettaneet 2013-&gt;'!$D:$D,0)),INDEX('Lopettaneet 2013-&gt;'!$K:$K,MATCH($D325,'Lopettaneet 2013-&gt;'!$D:$D,0)),"Jatkaa")</f>
        <v>Closed</v>
      </c>
      <c r="K325">
        <f ca="1">IF($J325="Jatkaa",DATEDIF($B325,TODAY(),"Y"),INDEX('Lopettaneet 2013-&gt;'!$L:$L,MATCH($D325,'Lopettaneet 2013-&gt;'!$D:$D,0)))</f>
        <v>6</v>
      </c>
      <c r="L325">
        <v>324</v>
      </c>
    </row>
    <row r="326" spans="1:12" x14ac:dyDescent="0.25">
      <c r="A326" t="s">
        <v>7</v>
      </c>
      <c r="B326" s="1">
        <v>41974</v>
      </c>
      <c r="C326" s="1">
        <v>44286</v>
      </c>
      <c r="D326" s="4" t="s">
        <v>872</v>
      </c>
      <c r="E326" t="s">
        <v>10</v>
      </c>
      <c r="F326" t="s">
        <v>11</v>
      </c>
      <c r="G326" t="s">
        <v>32</v>
      </c>
      <c r="H326" t="s">
        <v>2763</v>
      </c>
      <c r="I326" t="s">
        <v>2763</v>
      </c>
      <c r="J326" t="str">
        <f>IF(ISNUMBER(MATCH($D326,'Lopettaneet 2013-&gt;'!$D:$D,0)),INDEX('Lopettaneet 2013-&gt;'!$K:$K,MATCH($D326,'Lopettaneet 2013-&gt;'!$D:$D,0)),"Jatkaa")</f>
        <v>Closed</v>
      </c>
      <c r="K326">
        <f ca="1">IF($J326="Jatkaa",DATEDIF($B326,TODAY(),"Y"),INDEX('Lopettaneet 2013-&gt;'!$L:$L,MATCH($D326,'Lopettaneet 2013-&gt;'!$D:$D,0)))</f>
        <v>6</v>
      </c>
      <c r="L326">
        <v>325</v>
      </c>
    </row>
    <row r="327" spans="1:12" x14ac:dyDescent="0.25">
      <c r="A327" t="s">
        <v>7</v>
      </c>
      <c r="B327" s="1">
        <v>42156</v>
      </c>
      <c r="C327" s="1">
        <v>55153</v>
      </c>
      <c r="D327" s="4" t="s">
        <v>874</v>
      </c>
      <c r="E327" t="s">
        <v>10</v>
      </c>
      <c r="F327" t="s">
        <v>11</v>
      </c>
      <c r="G327" t="s">
        <v>12</v>
      </c>
      <c r="H327" t="s">
        <v>2766</v>
      </c>
      <c r="I327" t="s">
        <v>2894</v>
      </c>
      <c r="J327" t="str">
        <f>IF(ISNUMBER(MATCH($D327,'Lopettaneet 2013-&gt;'!$D:$D,0)),INDEX('Lopettaneet 2013-&gt;'!$K:$K,MATCH($D327,'Lopettaneet 2013-&gt;'!$D:$D,0)),"Jatkaa")</f>
        <v>Jatkaa</v>
      </c>
      <c r="K327">
        <f ca="1">IF($J327="Jatkaa",DATEDIF($B327,TODAY(),"Y"),INDEX('Lopettaneet 2013-&gt;'!$L:$L,MATCH($D327,'Lopettaneet 2013-&gt;'!$D:$D,0)))</f>
        <v>9</v>
      </c>
      <c r="L327">
        <v>326</v>
      </c>
    </row>
    <row r="328" spans="1:12" x14ac:dyDescent="0.25">
      <c r="A328" t="s">
        <v>7</v>
      </c>
      <c r="B328" s="1">
        <v>42156</v>
      </c>
      <c r="C328" s="1">
        <v>55153</v>
      </c>
      <c r="D328" s="4" t="s">
        <v>876</v>
      </c>
      <c r="E328" t="s">
        <v>10</v>
      </c>
      <c r="F328" t="s">
        <v>11</v>
      </c>
      <c r="G328" t="s">
        <v>12</v>
      </c>
      <c r="H328" t="s">
        <v>2766</v>
      </c>
      <c r="I328" t="s">
        <v>2894</v>
      </c>
      <c r="J328" t="str">
        <f>IF(ISNUMBER(MATCH($D328,'Lopettaneet 2013-&gt;'!$D:$D,0)),INDEX('Lopettaneet 2013-&gt;'!$K:$K,MATCH($D328,'Lopettaneet 2013-&gt;'!$D:$D,0)),"Jatkaa")</f>
        <v>Jatkaa</v>
      </c>
      <c r="K328">
        <f ca="1">IF($J328="Jatkaa",DATEDIF($B328,TODAY(),"Y"),INDEX('Lopettaneet 2013-&gt;'!$L:$L,MATCH($D328,'Lopettaneet 2013-&gt;'!$D:$D,0)))</f>
        <v>9</v>
      </c>
      <c r="L328">
        <v>327</v>
      </c>
    </row>
    <row r="329" spans="1:12" x14ac:dyDescent="0.25">
      <c r="A329" t="s">
        <v>7</v>
      </c>
      <c r="B329" s="1">
        <v>42156</v>
      </c>
      <c r="C329" s="1">
        <v>55153</v>
      </c>
      <c r="D329" s="4" t="s">
        <v>878</v>
      </c>
      <c r="E329" t="s">
        <v>10</v>
      </c>
      <c r="F329" t="s">
        <v>11</v>
      </c>
      <c r="G329" t="s">
        <v>12</v>
      </c>
      <c r="H329" t="s">
        <v>2766</v>
      </c>
      <c r="I329" t="s">
        <v>2894</v>
      </c>
      <c r="J329" t="str">
        <f>IF(ISNUMBER(MATCH($D329,'Lopettaneet 2013-&gt;'!$D:$D,0)),INDEX('Lopettaneet 2013-&gt;'!$K:$K,MATCH($D329,'Lopettaneet 2013-&gt;'!$D:$D,0)),"Jatkaa")</f>
        <v>Jatkaa</v>
      </c>
      <c r="K329">
        <f ca="1">IF($J329="Jatkaa",DATEDIF($B329,TODAY(),"Y"),INDEX('Lopettaneet 2013-&gt;'!$L:$L,MATCH($D329,'Lopettaneet 2013-&gt;'!$D:$D,0)))</f>
        <v>9</v>
      </c>
      <c r="L329">
        <v>328</v>
      </c>
    </row>
    <row r="330" spans="1:12" x14ac:dyDescent="0.25">
      <c r="A330" t="s">
        <v>0</v>
      </c>
      <c r="B330" s="1">
        <v>42095</v>
      </c>
      <c r="C330" s="1">
        <v>55153</v>
      </c>
      <c r="D330" s="4" t="s">
        <v>33</v>
      </c>
      <c r="E330" t="s">
        <v>3</v>
      </c>
      <c r="F330" t="s">
        <v>4</v>
      </c>
      <c r="G330" t="s">
        <v>5</v>
      </c>
      <c r="H330" t="s">
        <v>2763</v>
      </c>
      <c r="I330" t="s">
        <v>2894</v>
      </c>
      <c r="J330" t="str">
        <f>IF(ISNUMBER(MATCH($D330,'Lopettaneet 2013-&gt;'!$D:$D,0)),INDEX('Lopettaneet 2013-&gt;'!$K:$K,MATCH($D330,'Lopettaneet 2013-&gt;'!$D:$D,0)),"Jatkaa")</f>
        <v>Closed</v>
      </c>
      <c r="K330">
        <f ca="1">IF($J330="Jatkaa",DATEDIF($B330,TODAY(),"Y"),INDEX('Lopettaneet 2013-&gt;'!$L:$L,MATCH($D330,'Lopettaneet 2013-&gt;'!$D:$D,0)))</f>
        <v>35</v>
      </c>
      <c r="L330">
        <v>329</v>
      </c>
    </row>
    <row r="331" spans="1:12" x14ac:dyDescent="0.25">
      <c r="A331" t="s">
        <v>7</v>
      </c>
      <c r="B331" s="1">
        <v>41974</v>
      </c>
      <c r="C331" s="1">
        <v>43373</v>
      </c>
      <c r="D331" s="4" t="s">
        <v>881</v>
      </c>
      <c r="E331" t="s">
        <v>10</v>
      </c>
      <c r="F331" t="s">
        <v>11</v>
      </c>
      <c r="G331" t="s">
        <v>80</v>
      </c>
      <c r="H331" t="s">
        <v>2763</v>
      </c>
      <c r="I331" t="s">
        <v>2763</v>
      </c>
      <c r="J331" t="str">
        <f>IF(ISNUMBER(MATCH($D331,'Lopettaneet 2013-&gt;'!$D:$D,0)),INDEX('Lopettaneet 2013-&gt;'!$K:$K,MATCH($D331,'Lopettaneet 2013-&gt;'!$D:$D,0)),"Jatkaa")</f>
        <v>Closed</v>
      </c>
      <c r="K331">
        <f ca="1">IF($J331="Jatkaa",DATEDIF($B331,TODAY(),"Y"),INDEX('Lopettaneet 2013-&gt;'!$L:$L,MATCH($D331,'Lopettaneet 2013-&gt;'!$D:$D,0)))</f>
        <v>3</v>
      </c>
      <c r="L331">
        <v>330</v>
      </c>
    </row>
    <row r="332" spans="1:12" x14ac:dyDescent="0.25">
      <c r="A332" t="s">
        <v>7</v>
      </c>
      <c r="B332" s="1">
        <v>41974</v>
      </c>
      <c r="C332" s="1">
        <v>43373</v>
      </c>
      <c r="D332" s="4" t="s">
        <v>883</v>
      </c>
      <c r="E332" t="s">
        <v>10</v>
      </c>
      <c r="F332" t="s">
        <v>11</v>
      </c>
      <c r="G332" t="s">
        <v>80</v>
      </c>
      <c r="H332" t="s">
        <v>2763</v>
      </c>
      <c r="I332" t="s">
        <v>2763</v>
      </c>
      <c r="J332" t="str">
        <f>IF(ISNUMBER(MATCH($D332,'Lopettaneet 2013-&gt;'!$D:$D,0)),INDEX('Lopettaneet 2013-&gt;'!$K:$K,MATCH($D332,'Lopettaneet 2013-&gt;'!$D:$D,0)),"Jatkaa")</f>
        <v>Closed</v>
      </c>
      <c r="K332">
        <f ca="1">IF($J332="Jatkaa",DATEDIF($B332,TODAY(),"Y"),INDEX('Lopettaneet 2013-&gt;'!$L:$L,MATCH($D332,'Lopettaneet 2013-&gt;'!$D:$D,0)))</f>
        <v>3</v>
      </c>
      <c r="L332">
        <v>331</v>
      </c>
    </row>
    <row r="333" spans="1:12" x14ac:dyDescent="0.25">
      <c r="A333" t="s">
        <v>7</v>
      </c>
      <c r="B333" s="1">
        <v>41974</v>
      </c>
      <c r="C333" s="1">
        <v>55153</v>
      </c>
      <c r="D333" s="4" t="s">
        <v>885</v>
      </c>
      <c r="E333" t="s">
        <v>10</v>
      </c>
      <c r="F333" t="s">
        <v>11</v>
      </c>
      <c r="G333" t="s">
        <v>80</v>
      </c>
      <c r="H333" t="s">
        <v>2818</v>
      </c>
      <c r="I333" t="s">
        <v>2895</v>
      </c>
      <c r="J333" t="str">
        <f>IF(ISNUMBER(MATCH($D333,'Lopettaneet 2013-&gt;'!$D:$D,0)),INDEX('Lopettaneet 2013-&gt;'!$K:$K,MATCH($D333,'Lopettaneet 2013-&gt;'!$D:$D,0)),"Jatkaa")</f>
        <v>Jatkaa</v>
      </c>
      <c r="K333">
        <f ca="1">IF($J333="Jatkaa",DATEDIF($B333,TODAY(),"Y"),INDEX('Lopettaneet 2013-&gt;'!$L:$L,MATCH($D333,'Lopettaneet 2013-&gt;'!$D:$D,0)))</f>
        <v>10</v>
      </c>
      <c r="L333">
        <v>332</v>
      </c>
    </row>
    <row r="334" spans="1:12" x14ac:dyDescent="0.25">
      <c r="A334" t="s">
        <v>7</v>
      </c>
      <c r="B334" s="1">
        <v>42430</v>
      </c>
      <c r="C334" s="1">
        <v>55153</v>
      </c>
      <c r="D334" s="4" t="s">
        <v>887</v>
      </c>
      <c r="E334" t="s">
        <v>10</v>
      </c>
      <c r="F334" t="s">
        <v>11</v>
      </c>
      <c r="G334" t="s">
        <v>12</v>
      </c>
      <c r="H334" t="s">
        <v>2768</v>
      </c>
      <c r="I334" t="s">
        <v>2895</v>
      </c>
      <c r="J334" t="str">
        <f>IF(ISNUMBER(MATCH($D334,'Lopettaneet 2013-&gt;'!$D:$D,0)),INDEX('Lopettaneet 2013-&gt;'!$K:$K,MATCH($D334,'Lopettaneet 2013-&gt;'!$D:$D,0)),"Jatkaa")</f>
        <v>Jatkaa</v>
      </c>
      <c r="K334">
        <f ca="1">IF($J334="Jatkaa",DATEDIF($B334,TODAY(),"Y"),INDEX('Lopettaneet 2013-&gt;'!$L:$L,MATCH($D334,'Lopettaneet 2013-&gt;'!$D:$D,0)))</f>
        <v>9</v>
      </c>
      <c r="L334">
        <v>333</v>
      </c>
    </row>
    <row r="335" spans="1:12" x14ac:dyDescent="0.25">
      <c r="A335" t="s">
        <v>0</v>
      </c>
      <c r="B335" s="1">
        <v>42278</v>
      </c>
      <c r="C335" s="1">
        <v>55153</v>
      </c>
      <c r="D335" s="4" t="s">
        <v>889</v>
      </c>
      <c r="E335" t="s">
        <v>3</v>
      </c>
      <c r="F335" t="s">
        <v>4</v>
      </c>
      <c r="G335" t="s">
        <v>20</v>
      </c>
      <c r="H335" t="s">
        <v>2771</v>
      </c>
      <c r="I335" t="s">
        <v>2894</v>
      </c>
      <c r="J335" t="str">
        <f>IF(ISNUMBER(MATCH($D335,'Lopettaneet 2013-&gt;'!$D:$D,0)),INDEX('Lopettaneet 2013-&gt;'!$K:$K,MATCH($D335,'Lopettaneet 2013-&gt;'!$D:$D,0)),"Jatkaa")</f>
        <v>Jatkaa</v>
      </c>
      <c r="K335">
        <f ca="1">IF($J335="Jatkaa",DATEDIF($B335,TODAY(),"Y"),INDEX('Lopettaneet 2013-&gt;'!$L:$L,MATCH($D335,'Lopettaneet 2013-&gt;'!$D:$D,0)))</f>
        <v>9</v>
      </c>
      <c r="L335">
        <v>334</v>
      </c>
    </row>
    <row r="336" spans="1:12" x14ac:dyDescent="0.25">
      <c r="A336" t="s">
        <v>0</v>
      </c>
      <c r="B336" s="1">
        <v>42156</v>
      </c>
      <c r="C336" s="1">
        <v>55153</v>
      </c>
      <c r="D336" s="4" t="s">
        <v>891</v>
      </c>
      <c r="E336" t="s">
        <v>3</v>
      </c>
      <c r="F336" t="s">
        <v>4</v>
      </c>
      <c r="G336" t="s">
        <v>50</v>
      </c>
      <c r="H336" t="s">
        <v>2764</v>
      </c>
      <c r="I336" t="s">
        <v>2894</v>
      </c>
      <c r="J336" t="str">
        <f>IF(ISNUMBER(MATCH($D336,'Lopettaneet 2013-&gt;'!$D:$D,0)),INDEX('Lopettaneet 2013-&gt;'!$K:$K,MATCH($D336,'Lopettaneet 2013-&gt;'!$D:$D,0)),"Jatkaa")</f>
        <v>Jatkaa</v>
      </c>
      <c r="K336">
        <f ca="1">IF($J336="Jatkaa",DATEDIF($B336,TODAY(),"Y"),INDEX('Lopettaneet 2013-&gt;'!$L:$L,MATCH($D336,'Lopettaneet 2013-&gt;'!$D:$D,0)))</f>
        <v>9</v>
      </c>
      <c r="L336">
        <v>335</v>
      </c>
    </row>
    <row r="337" spans="1:12" x14ac:dyDescent="0.25">
      <c r="A337" t="s">
        <v>7</v>
      </c>
      <c r="B337" s="1">
        <v>42522</v>
      </c>
      <c r="C337" s="1">
        <v>55153</v>
      </c>
      <c r="D337" s="4" t="s">
        <v>893</v>
      </c>
      <c r="E337" t="s">
        <v>10</v>
      </c>
      <c r="F337" t="s">
        <v>11</v>
      </c>
      <c r="G337" t="s">
        <v>29</v>
      </c>
      <c r="H337" t="s">
        <v>2802</v>
      </c>
      <c r="I337" t="s">
        <v>2895</v>
      </c>
      <c r="J337" t="str">
        <f>IF(ISNUMBER(MATCH($D337,'Lopettaneet 2013-&gt;'!$D:$D,0)),INDEX('Lopettaneet 2013-&gt;'!$K:$K,MATCH($D337,'Lopettaneet 2013-&gt;'!$D:$D,0)),"Jatkaa")</f>
        <v>Jatkaa</v>
      </c>
      <c r="K337">
        <f ca="1">IF($J337="Jatkaa",DATEDIF($B337,TODAY(),"Y"),INDEX('Lopettaneet 2013-&gt;'!$L:$L,MATCH($D337,'Lopettaneet 2013-&gt;'!$D:$D,0)))</f>
        <v>8</v>
      </c>
      <c r="L337">
        <v>336</v>
      </c>
    </row>
    <row r="338" spans="1:12" x14ac:dyDescent="0.25">
      <c r="A338" t="s">
        <v>7</v>
      </c>
      <c r="B338" s="1">
        <v>42095</v>
      </c>
      <c r="C338" s="1">
        <v>44377</v>
      </c>
      <c r="D338" s="4" t="s">
        <v>895</v>
      </c>
      <c r="E338" t="s">
        <v>10</v>
      </c>
      <c r="F338" t="s">
        <v>11</v>
      </c>
      <c r="G338" t="s">
        <v>32</v>
      </c>
      <c r="H338" t="s">
        <v>2763</v>
      </c>
      <c r="I338" t="s">
        <v>2763</v>
      </c>
      <c r="J338" t="str">
        <f>IF(ISNUMBER(MATCH($D338,'Lopettaneet 2013-&gt;'!$D:$D,0)),INDEX('Lopettaneet 2013-&gt;'!$K:$K,MATCH($D338,'Lopettaneet 2013-&gt;'!$D:$D,0)),"Jatkaa")</f>
        <v>Closed</v>
      </c>
      <c r="K338">
        <f ca="1">IF($J338="Jatkaa",DATEDIF($B338,TODAY(),"Y"),INDEX('Lopettaneet 2013-&gt;'!$L:$L,MATCH($D338,'Lopettaneet 2013-&gt;'!$D:$D,0)))</f>
        <v>6</v>
      </c>
      <c r="L338">
        <v>337</v>
      </c>
    </row>
    <row r="339" spans="1:12" x14ac:dyDescent="0.25">
      <c r="A339" t="s">
        <v>7</v>
      </c>
      <c r="B339" s="1">
        <v>42095</v>
      </c>
      <c r="C339" s="1">
        <v>44377</v>
      </c>
      <c r="D339" s="4" t="s">
        <v>897</v>
      </c>
      <c r="E339" t="s">
        <v>10</v>
      </c>
      <c r="F339" t="s">
        <v>11</v>
      </c>
      <c r="G339" t="s">
        <v>32</v>
      </c>
      <c r="H339" t="s">
        <v>2763</v>
      </c>
      <c r="I339" t="s">
        <v>2763</v>
      </c>
      <c r="J339" t="str">
        <f>IF(ISNUMBER(MATCH($D339,'Lopettaneet 2013-&gt;'!$D:$D,0)),INDEX('Lopettaneet 2013-&gt;'!$K:$K,MATCH($D339,'Lopettaneet 2013-&gt;'!$D:$D,0)),"Jatkaa")</f>
        <v>Closed</v>
      </c>
      <c r="K339">
        <f ca="1">IF($J339="Jatkaa",DATEDIF($B339,TODAY(),"Y"),INDEX('Lopettaneet 2013-&gt;'!$L:$L,MATCH($D339,'Lopettaneet 2013-&gt;'!$D:$D,0)))</f>
        <v>6</v>
      </c>
      <c r="L339">
        <v>338</v>
      </c>
    </row>
    <row r="340" spans="1:12" x14ac:dyDescent="0.25">
      <c r="A340" t="s">
        <v>7</v>
      </c>
      <c r="B340" s="1">
        <v>42795</v>
      </c>
      <c r="C340" s="1">
        <v>43465</v>
      </c>
      <c r="D340" s="4" t="s">
        <v>899</v>
      </c>
      <c r="E340" t="s">
        <v>10</v>
      </c>
      <c r="F340" t="s">
        <v>11</v>
      </c>
      <c r="G340" t="s">
        <v>32</v>
      </c>
      <c r="H340" t="s">
        <v>2763</v>
      </c>
      <c r="I340" t="s">
        <v>2763</v>
      </c>
      <c r="J340" t="str">
        <f>IF(ISNUMBER(MATCH($D340,'Lopettaneet 2013-&gt;'!$D:$D,0)),INDEX('Lopettaneet 2013-&gt;'!$K:$K,MATCH($D340,'Lopettaneet 2013-&gt;'!$D:$D,0)),"Jatkaa")</f>
        <v>Closed</v>
      </c>
      <c r="K340">
        <f ca="1">IF($J340="Jatkaa",DATEDIF($B340,TODAY(),"Y"),INDEX('Lopettaneet 2013-&gt;'!$L:$L,MATCH($D340,'Lopettaneet 2013-&gt;'!$D:$D,0)))</f>
        <v>1</v>
      </c>
      <c r="L340">
        <v>339</v>
      </c>
    </row>
    <row r="341" spans="1:12" x14ac:dyDescent="0.25">
      <c r="A341" t="s">
        <v>0</v>
      </c>
      <c r="B341" s="1">
        <v>42370</v>
      </c>
      <c r="C341" s="1">
        <v>55153</v>
      </c>
      <c r="D341" s="4" t="s">
        <v>901</v>
      </c>
      <c r="E341" t="s">
        <v>3</v>
      </c>
      <c r="F341" t="s">
        <v>4</v>
      </c>
      <c r="G341" t="s">
        <v>20</v>
      </c>
      <c r="H341" t="s">
        <v>2771</v>
      </c>
      <c r="I341" t="s">
        <v>2894</v>
      </c>
      <c r="J341" t="str">
        <f>IF(ISNUMBER(MATCH($D341,'Lopettaneet 2013-&gt;'!$D:$D,0)),INDEX('Lopettaneet 2013-&gt;'!$K:$K,MATCH($D341,'Lopettaneet 2013-&gt;'!$D:$D,0)),"Jatkaa")</f>
        <v>Jatkaa</v>
      </c>
      <c r="K341">
        <f ca="1">IF($J341="Jatkaa",DATEDIF($B341,TODAY(),"Y"),INDEX('Lopettaneet 2013-&gt;'!$L:$L,MATCH($D341,'Lopettaneet 2013-&gt;'!$D:$D,0)))</f>
        <v>9</v>
      </c>
      <c r="L341">
        <v>340</v>
      </c>
    </row>
    <row r="342" spans="1:12" x14ac:dyDescent="0.25">
      <c r="A342" t="s">
        <v>7</v>
      </c>
      <c r="B342" s="1">
        <v>42430</v>
      </c>
      <c r="C342" s="1">
        <v>55153</v>
      </c>
      <c r="D342" s="4" t="s">
        <v>903</v>
      </c>
      <c r="E342" t="s">
        <v>10</v>
      </c>
      <c r="F342" t="s">
        <v>11</v>
      </c>
      <c r="G342" t="s">
        <v>32</v>
      </c>
      <c r="H342" t="s">
        <v>2765</v>
      </c>
      <c r="I342" t="s">
        <v>2894</v>
      </c>
      <c r="J342" t="str">
        <f>IF(ISNUMBER(MATCH($D342,'Lopettaneet 2013-&gt;'!$D:$D,0)),INDEX('Lopettaneet 2013-&gt;'!$K:$K,MATCH($D342,'Lopettaneet 2013-&gt;'!$D:$D,0)),"Jatkaa")</f>
        <v>Jatkaa</v>
      </c>
      <c r="K342">
        <f ca="1">IF($J342="Jatkaa",DATEDIF($B342,TODAY(),"Y"),INDEX('Lopettaneet 2013-&gt;'!$L:$L,MATCH($D342,'Lopettaneet 2013-&gt;'!$D:$D,0)))</f>
        <v>9</v>
      </c>
      <c r="L342">
        <v>341</v>
      </c>
    </row>
    <row r="343" spans="1:12" x14ac:dyDescent="0.25">
      <c r="A343" t="s">
        <v>7</v>
      </c>
      <c r="B343" s="1">
        <v>42156</v>
      </c>
      <c r="C343" s="1">
        <v>55153</v>
      </c>
      <c r="D343" s="4" t="s">
        <v>905</v>
      </c>
      <c r="E343" t="s">
        <v>10</v>
      </c>
      <c r="F343" t="s">
        <v>11</v>
      </c>
      <c r="G343" t="s">
        <v>32</v>
      </c>
      <c r="H343" t="s">
        <v>2765</v>
      </c>
      <c r="I343" t="s">
        <v>2894</v>
      </c>
      <c r="J343" t="str">
        <f>IF(ISNUMBER(MATCH($D343,'Lopettaneet 2013-&gt;'!$D:$D,0)),INDEX('Lopettaneet 2013-&gt;'!$K:$K,MATCH($D343,'Lopettaneet 2013-&gt;'!$D:$D,0)),"Jatkaa")</f>
        <v>Jatkaa</v>
      </c>
      <c r="K343">
        <f ca="1">IF($J343="Jatkaa",DATEDIF($B343,TODAY(),"Y"),INDEX('Lopettaneet 2013-&gt;'!$L:$L,MATCH($D343,'Lopettaneet 2013-&gt;'!$D:$D,0)))</f>
        <v>9</v>
      </c>
      <c r="L343">
        <v>342</v>
      </c>
    </row>
    <row r="344" spans="1:12" x14ac:dyDescent="0.25">
      <c r="A344" t="s">
        <v>7</v>
      </c>
      <c r="B344" s="1">
        <v>42278</v>
      </c>
      <c r="C344" s="1">
        <v>55153</v>
      </c>
      <c r="D344" s="4" t="s">
        <v>907</v>
      </c>
      <c r="E344" t="s">
        <v>10</v>
      </c>
      <c r="F344" t="s">
        <v>11</v>
      </c>
      <c r="G344" t="s">
        <v>32</v>
      </c>
      <c r="H344" t="s">
        <v>2771</v>
      </c>
      <c r="I344" t="s">
        <v>2895</v>
      </c>
      <c r="J344" t="str">
        <f>IF(ISNUMBER(MATCH($D344,'Lopettaneet 2013-&gt;'!$D:$D,0)),INDEX('Lopettaneet 2013-&gt;'!$K:$K,MATCH($D344,'Lopettaneet 2013-&gt;'!$D:$D,0)),"Jatkaa")</f>
        <v>Jatkaa</v>
      </c>
      <c r="K344">
        <f ca="1">IF($J344="Jatkaa",DATEDIF($B344,TODAY(),"Y"),INDEX('Lopettaneet 2013-&gt;'!$L:$L,MATCH($D344,'Lopettaneet 2013-&gt;'!$D:$D,0)))</f>
        <v>9</v>
      </c>
      <c r="L344">
        <v>343</v>
      </c>
    </row>
    <row r="345" spans="1:12" x14ac:dyDescent="0.25">
      <c r="A345" t="s">
        <v>7</v>
      </c>
      <c r="B345" s="1">
        <v>42156</v>
      </c>
      <c r="C345" s="1">
        <v>55153</v>
      </c>
      <c r="D345" s="4" t="s">
        <v>909</v>
      </c>
      <c r="E345" t="s">
        <v>10</v>
      </c>
      <c r="F345" t="s">
        <v>11</v>
      </c>
      <c r="G345" t="s">
        <v>32</v>
      </c>
      <c r="H345" t="s">
        <v>2801</v>
      </c>
      <c r="I345" t="s">
        <v>2894</v>
      </c>
      <c r="J345" t="str">
        <f>IF(ISNUMBER(MATCH($D345,'Lopettaneet 2013-&gt;'!$D:$D,0)),INDEX('Lopettaneet 2013-&gt;'!$K:$K,MATCH($D345,'Lopettaneet 2013-&gt;'!$D:$D,0)),"Jatkaa")</f>
        <v>Jatkaa</v>
      </c>
      <c r="K345">
        <f ca="1">IF($J345="Jatkaa",DATEDIF($B345,TODAY(),"Y"),INDEX('Lopettaneet 2013-&gt;'!$L:$L,MATCH($D345,'Lopettaneet 2013-&gt;'!$D:$D,0)))</f>
        <v>9</v>
      </c>
      <c r="L345">
        <v>344</v>
      </c>
    </row>
    <row r="346" spans="1:12" x14ac:dyDescent="0.25">
      <c r="A346" t="s">
        <v>7</v>
      </c>
      <c r="B346" s="1">
        <v>42156</v>
      </c>
      <c r="C346" s="1">
        <v>55153</v>
      </c>
      <c r="D346" s="4" t="s">
        <v>911</v>
      </c>
      <c r="E346" t="s">
        <v>10</v>
      </c>
      <c r="F346" t="s">
        <v>11</v>
      </c>
      <c r="G346" t="s">
        <v>32</v>
      </c>
      <c r="H346" t="s">
        <v>2801</v>
      </c>
      <c r="I346" t="s">
        <v>2894</v>
      </c>
      <c r="J346" t="str">
        <f>IF(ISNUMBER(MATCH($D346,'Lopettaneet 2013-&gt;'!$D:$D,0)),INDEX('Lopettaneet 2013-&gt;'!$K:$K,MATCH($D346,'Lopettaneet 2013-&gt;'!$D:$D,0)),"Jatkaa")</f>
        <v>Jatkaa</v>
      </c>
      <c r="K346">
        <f ca="1">IF($J346="Jatkaa",DATEDIF($B346,TODAY(),"Y"),INDEX('Lopettaneet 2013-&gt;'!$L:$L,MATCH($D346,'Lopettaneet 2013-&gt;'!$D:$D,0)))</f>
        <v>9</v>
      </c>
      <c r="L346">
        <v>345</v>
      </c>
    </row>
    <row r="347" spans="1:12" x14ac:dyDescent="0.25">
      <c r="A347" t="s">
        <v>7</v>
      </c>
      <c r="B347" s="1">
        <v>42156</v>
      </c>
      <c r="C347" s="1">
        <v>55153</v>
      </c>
      <c r="D347" s="4" t="s">
        <v>913</v>
      </c>
      <c r="E347" t="s">
        <v>10</v>
      </c>
      <c r="F347" t="s">
        <v>11</v>
      </c>
      <c r="G347" t="s">
        <v>32</v>
      </c>
      <c r="H347" t="s">
        <v>2791</v>
      </c>
      <c r="I347" t="s">
        <v>2895</v>
      </c>
      <c r="J347" t="str">
        <f>IF(ISNUMBER(MATCH($D347,'Lopettaneet 2013-&gt;'!$D:$D,0)),INDEX('Lopettaneet 2013-&gt;'!$K:$K,MATCH($D347,'Lopettaneet 2013-&gt;'!$D:$D,0)),"Jatkaa")</f>
        <v>Jatkaa</v>
      </c>
      <c r="K347">
        <f ca="1">IF($J347="Jatkaa",DATEDIF($B347,TODAY(),"Y"),INDEX('Lopettaneet 2013-&gt;'!$L:$L,MATCH($D347,'Lopettaneet 2013-&gt;'!$D:$D,0)))</f>
        <v>9</v>
      </c>
      <c r="L347">
        <v>346</v>
      </c>
    </row>
    <row r="348" spans="1:12" x14ac:dyDescent="0.25">
      <c r="A348" t="s">
        <v>7</v>
      </c>
      <c r="B348" s="1">
        <v>42248</v>
      </c>
      <c r="C348" s="1">
        <v>55153</v>
      </c>
      <c r="D348" s="4" t="s">
        <v>915</v>
      </c>
      <c r="E348" t="s">
        <v>10</v>
      </c>
      <c r="F348" t="s">
        <v>11</v>
      </c>
      <c r="G348" t="s">
        <v>29</v>
      </c>
      <c r="H348" t="s">
        <v>2819</v>
      </c>
      <c r="I348" t="s">
        <v>2895</v>
      </c>
      <c r="J348" t="str">
        <f>IF(ISNUMBER(MATCH($D348,'Lopettaneet 2013-&gt;'!$D:$D,0)),INDEX('Lopettaneet 2013-&gt;'!$K:$K,MATCH($D348,'Lopettaneet 2013-&gt;'!$D:$D,0)),"Jatkaa")</f>
        <v>Jatkaa</v>
      </c>
      <c r="K348">
        <f ca="1">IF($J348="Jatkaa",DATEDIF($B348,TODAY(),"Y"),INDEX('Lopettaneet 2013-&gt;'!$L:$L,MATCH($D348,'Lopettaneet 2013-&gt;'!$D:$D,0)))</f>
        <v>9</v>
      </c>
      <c r="L348">
        <v>347</v>
      </c>
    </row>
    <row r="349" spans="1:12" x14ac:dyDescent="0.25">
      <c r="A349" t="s">
        <v>7</v>
      </c>
      <c r="B349" s="1">
        <v>42156</v>
      </c>
      <c r="C349" s="1">
        <v>44104</v>
      </c>
      <c r="D349" s="4" t="s">
        <v>917</v>
      </c>
      <c r="E349" t="s">
        <v>10</v>
      </c>
      <c r="F349" t="s">
        <v>11</v>
      </c>
      <c r="G349" t="s">
        <v>29</v>
      </c>
      <c r="H349" t="s">
        <v>2763</v>
      </c>
      <c r="I349" t="s">
        <v>2763</v>
      </c>
      <c r="J349" t="str">
        <f>IF(ISNUMBER(MATCH($D349,'Lopettaneet 2013-&gt;'!$D:$D,0)),INDEX('Lopettaneet 2013-&gt;'!$K:$K,MATCH($D349,'Lopettaneet 2013-&gt;'!$D:$D,0)),"Jatkaa")</f>
        <v>Closed</v>
      </c>
      <c r="K349">
        <f ca="1">IF($J349="Jatkaa",DATEDIF($B349,TODAY(),"Y"),INDEX('Lopettaneet 2013-&gt;'!$L:$L,MATCH($D349,'Lopettaneet 2013-&gt;'!$D:$D,0)))</f>
        <v>5</v>
      </c>
      <c r="L349">
        <v>348</v>
      </c>
    </row>
    <row r="350" spans="1:12" x14ac:dyDescent="0.25">
      <c r="A350" t="s">
        <v>7</v>
      </c>
      <c r="B350" s="1">
        <v>42156</v>
      </c>
      <c r="C350" s="1">
        <v>55153</v>
      </c>
      <c r="D350" s="4" t="s">
        <v>919</v>
      </c>
      <c r="E350" t="s">
        <v>10</v>
      </c>
      <c r="F350" t="s">
        <v>11</v>
      </c>
      <c r="G350" t="s">
        <v>29</v>
      </c>
      <c r="H350" t="s">
        <v>2820</v>
      </c>
      <c r="I350" t="s">
        <v>2895</v>
      </c>
      <c r="J350" t="str">
        <f>IF(ISNUMBER(MATCH($D350,'Lopettaneet 2013-&gt;'!$D:$D,0)),INDEX('Lopettaneet 2013-&gt;'!$K:$K,MATCH($D350,'Lopettaneet 2013-&gt;'!$D:$D,0)),"Jatkaa")</f>
        <v>Jatkaa</v>
      </c>
      <c r="K350">
        <f ca="1">IF($J350="Jatkaa",DATEDIF($B350,TODAY(),"Y"),INDEX('Lopettaneet 2013-&gt;'!$L:$L,MATCH($D350,'Lopettaneet 2013-&gt;'!$D:$D,0)))</f>
        <v>9</v>
      </c>
      <c r="L350">
        <v>349</v>
      </c>
    </row>
    <row r="351" spans="1:12" x14ac:dyDescent="0.25">
      <c r="A351" t="s">
        <v>7</v>
      </c>
      <c r="B351" s="1">
        <v>42248</v>
      </c>
      <c r="C351" s="1">
        <v>55153</v>
      </c>
      <c r="D351" s="4" t="s">
        <v>921</v>
      </c>
      <c r="E351" t="s">
        <v>10</v>
      </c>
      <c r="F351" t="s">
        <v>11</v>
      </c>
      <c r="G351" t="s">
        <v>29</v>
      </c>
      <c r="H351" t="s">
        <v>2821</v>
      </c>
      <c r="I351" t="s">
        <v>2895</v>
      </c>
      <c r="J351" t="str">
        <f>IF(ISNUMBER(MATCH($D351,'Lopettaneet 2013-&gt;'!$D:$D,0)),INDEX('Lopettaneet 2013-&gt;'!$K:$K,MATCH($D351,'Lopettaneet 2013-&gt;'!$D:$D,0)),"Jatkaa")</f>
        <v>Jatkaa</v>
      </c>
      <c r="K351">
        <f ca="1">IF($J351="Jatkaa",DATEDIF($B351,TODAY(),"Y"),INDEX('Lopettaneet 2013-&gt;'!$L:$L,MATCH($D351,'Lopettaneet 2013-&gt;'!$D:$D,0)))</f>
        <v>9</v>
      </c>
      <c r="L351">
        <v>350</v>
      </c>
    </row>
    <row r="352" spans="1:12" x14ac:dyDescent="0.25">
      <c r="A352" t="s">
        <v>7</v>
      </c>
      <c r="B352" s="1">
        <v>42156</v>
      </c>
      <c r="C352" s="1">
        <v>45382</v>
      </c>
      <c r="D352" s="4" t="s">
        <v>237</v>
      </c>
      <c r="E352" t="s">
        <v>10</v>
      </c>
      <c r="F352" t="s">
        <v>11</v>
      </c>
      <c r="G352" t="s">
        <v>29</v>
      </c>
      <c r="H352" t="s">
        <v>2763</v>
      </c>
      <c r="I352" t="s">
        <v>2895</v>
      </c>
      <c r="J352" t="str">
        <f>IF(ISNUMBER(MATCH($D352,'Lopettaneet 2013-&gt;'!$D:$D,0)),INDEX('Lopettaneet 2013-&gt;'!$K:$K,MATCH($D352,'Lopettaneet 2013-&gt;'!$D:$D,0)),"Jatkaa")</f>
        <v>Closed</v>
      </c>
      <c r="K352">
        <f ca="1">IF($J352="Jatkaa",DATEDIF($B352,TODAY(),"Y"),INDEX('Lopettaneet 2013-&gt;'!$L:$L,MATCH($D352,'Lopettaneet 2013-&gt;'!$D:$D,0)))</f>
        <v>8</v>
      </c>
      <c r="L352">
        <v>351</v>
      </c>
    </row>
    <row r="353" spans="1:12" x14ac:dyDescent="0.25">
      <c r="A353" t="s">
        <v>7</v>
      </c>
      <c r="B353" s="1">
        <v>42461</v>
      </c>
      <c r="C353" s="1">
        <v>55153</v>
      </c>
      <c r="D353" s="4" t="s">
        <v>923</v>
      </c>
      <c r="E353" t="s">
        <v>10</v>
      </c>
      <c r="F353" t="s">
        <v>11</v>
      </c>
      <c r="G353" t="s">
        <v>80</v>
      </c>
      <c r="H353" t="s">
        <v>2822</v>
      </c>
      <c r="I353" t="s">
        <v>2895</v>
      </c>
      <c r="J353" t="str">
        <f>IF(ISNUMBER(MATCH($D353,'Lopettaneet 2013-&gt;'!$D:$D,0)),INDEX('Lopettaneet 2013-&gt;'!$K:$K,MATCH($D353,'Lopettaneet 2013-&gt;'!$D:$D,0)),"Jatkaa")</f>
        <v>Jatkaa</v>
      </c>
      <c r="K353">
        <f ca="1">IF($J353="Jatkaa",DATEDIF($B353,TODAY(),"Y"),INDEX('Lopettaneet 2013-&gt;'!$L:$L,MATCH($D353,'Lopettaneet 2013-&gt;'!$D:$D,0)))</f>
        <v>9</v>
      </c>
      <c r="L353">
        <v>352</v>
      </c>
    </row>
    <row r="354" spans="1:12" x14ac:dyDescent="0.25">
      <c r="A354" t="s">
        <v>7</v>
      </c>
      <c r="B354" s="1">
        <v>42156</v>
      </c>
      <c r="C354" s="1">
        <v>55153</v>
      </c>
      <c r="D354" s="4" t="s">
        <v>925</v>
      </c>
      <c r="E354" t="s">
        <v>10</v>
      </c>
      <c r="F354" t="s">
        <v>11</v>
      </c>
      <c r="G354" t="s">
        <v>32</v>
      </c>
      <c r="H354" t="s">
        <v>2823</v>
      </c>
      <c r="I354" t="s">
        <v>2895</v>
      </c>
      <c r="J354" t="str">
        <f>IF(ISNUMBER(MATCH($D354,'Lopettaneet 2013-&gt;'!$D:$D,0)),INDEX('Lopettaneet 2013-&gt;'!$K:$K,MATCH($D354,'Lopettaneet 2013-&gt;'!$D:$D,0)),"Jatkaa")</f>
        <v>Jatkaa</v>
      </c>
      <c r="K354">
        <f ca="1">IF($J354="Jatkaa",DATEDIF($B354,TODAY(),"Y"),INDEX('Lopettaneet 2013-&gt;'!$L:$L,MATCH($D354,'Lopettaneet 2013-&gt;'!$D:$D,0)))</f>
        <v>9</v>
      </c>
      <c r="L354">
        <v>353</v>
      </c>
    </row>
    <row r="355" spans="1:12" x14ac:dyDescent="0.25">
      <c r="A355" t="s">
        <v>7</v>
      </c>
      <c r="B355" s="1">
        <v>42186</v>
      </c>
      <c r="C355" s="1">
        <v>55153</v>
      </c>
      <c r="D355" s="4" t="s">
        <v>927</v>
      </c>
      <c r="E355" t="s">
        <v>10</v>
      </c>
      <c r="F355" t="s">
        <v>11</v>
      </c>
      <c r="G355" t="s">
        <v>32</v>
      </c>
      <c r="H355" t="s">
        <v>2824</v>
      </c>
      <c r="I355" t="s">
        <v>2895</v>
      </c>
      <c r="J355" t="str">
        <f>IF(ISNUMBER(MATCH($D355,'Lopettaneet 2013-&gt;'!$D:$D,0)),INDEX('Lopettaneet 2013-&gt;'!$K:$K,MATCH($D355,'Lopettaneet 2013-&gt;'!$D:$D,0)),"Jatkaa")</f>
        <v>Jatkaa</v>
      </c>
      <c r="K355">
        <f ca="1">IF($J355="Jatkaa",DATEDIF($B355,TODAY(),"Y"),INDEX('Lopettaneet 2013-&gt;'!$L:$L,MATCH($D355,'Lopettaneet 2013-&gt;'!$D:$D,0)))</f>
        <v>9</v>
      </c>
      <c r="L355">
        <v>354</v>
      </c>
    </row>
    <row r="356" spans="1:12" x14ac:dyDescent="0.25">
      <c r="A356" t="s">
        <v>7</v>
      </c>
      <c r="B356" s="1">
        <v>42186</v>
      </c>
      <c r="C356" s="1">
        <v>55153</v>
      </c>
      <c r="D356" s="4" t="s">
        <v>929</v>
      </c>
      <c r="E356" t="s">
        <v>10</v>
      </c>
      <c r="F356" t="s">
        <v>11</v>
      </c>
      <c r="G356" t="s">
        <v>32</v>
      </c>
      <c r="H356" t="s">
        <v>2801</v>
      </c>
      <c r="I356" t="s">
        <v>2894</v>
      </c>
      <c r="J356" t="str">
        <f>IF(ISNUMBER(MATCH($D356,'Lopettaneet 2013-&gt;'!$D:$D,0)),INDEX('Lopettaneet 2013-&gt;'!$K:$K,MATCH($D356,'Lopettaneet 2013-&gt;'!$D:$D,0)),"Jatkaa")</f>
        <v>Jatkaa</v>
      </c>
      <c r="K356">
        <f ca="1">IF($J356="Jatkaa",DATEDIF($B356,TODAY(),"Y"),INDEX('Lopettaneet 2013-&gt;'!$L:$L,MATCH($D356,'Lopettaneet 2013-&gt;'!$D:$D,0)))</f>
        <v>9</v>
      </c>
      <c r="L356">
        <v>355</v>
      </c>
    </row>
    <row r="357" spans="1:12" x14ac:dyDescent="0.25">
      <c r="A357" t="s">
        <v>7</v>
      </c>
      <c r="B357" s="1">
        <v>42186</v>
      </c>
      <c r="C357" s="1">
        <v>55153</v>
      </c>
      <c r="D357" s="4" t="s">
        <v>931</v>
      </c>
      <c r="E357" t="s">
        <v>10</v>
      </c>
      <c r="F357" t="s">
        <v>11</v>
      </c>
      <c r="G357" t="s">
        <v>32</v>
      </c>
      <c r="H357" t="s">
        <v>2801</v>
      </c>
      <c r="I357" t="s">
        <v>2894</v>
      </c>
      <c r="J357" t="str">
        <f>IF(ISNUMBER(MATCH($D357,'Lopettaneet 2013-&gt;'!$D:$D,0)),INDEX('Lopettaneet 2013-&gt;'!$K:$K,MATCH($D357,'Lopettaneet 2013-&gt;'!$D:$D,0)),"Jatkaa")</f>
        <v>Jatkaa</v>
      </c>
      <c r="K357">
        <f ca="1">IF($J357="Jatkaa",DATEDIF($B357,TODAY(),"Y"),INDEX('Lopettaneet 2013-&gt;'!$L:$L,MATCH($D357,'Lopettaneet 2013-&gt;'!$D:$D,0)))</f>
        <v>9</v>
      </c>
      <c r="L357">
        <v>356</v>
      </c>
    </row>
    <row r="358" spans="1:12" x14ac:dyDescent="0.25">
      <c r="A358" t="s">
        <v>7</v>
      </c>
      <c r="B358" s="1">
        <v>42186</v>
      </c>
      <c r="C358" s="1">
        <v>55153</v>
      </c>
      <c r="D358" s="4" t="s">
        <v>933</v>
      </c>
      <c r="E358" t="s">
        <v>10</v>
      </c>
      <c r="F358" t="s">
        <v>11</v>
      </c>
      <c r="G358" t="s">
        <v>32</v>
      </c>
      <c r="H358" t="s">
        <v>2801</v>
      </c>
      <c r="I358" t="s">
        <v>2894</v>
      </c>
      <c r="J358" t="str">
        <f>IF(ISNUMBER(MATCH($D358,'Lopettaneet 2013-&gt;'!$D:$D,0)),INDEX('Lopettaneet 2013-&gt;'!$K:$K,MATCH($D358,'Lopettaneet 2013-&gt;'!$D:$D,0)),"Jatkaa")</f>
        <v>Jatkaa</v>
      </c>
      <c r="K358">
        <f ca="1">IF($J358="Jatkaa",DATEDIF($B358,TODAY(),"Y"),INDEX('Lopettaneet 2013-&gt;'!$L:$L,MATCH($D358,'Lopettaneet 2013-&gt;'!$D:$D,0)))</f>
        <v>9</v>
      </c>
      <c r="L358">
        <v>357</v>
      </c>
    </row>
    <row r="359" spans="1:12" x14ac:dyDescent="0.25">
      <c r="A359" t="s">
        <v>7</v>
      </c>
      <c r="B359" s="1">
        <v>42186</v>
      </c>
      <c r="C359" s="1">
        <v>42551</v>
      </c>
      <c r="D359" s="4" t="s">
        <v>935</v>
      </c>
      <c r="E359" t="s">
        <v>10</v>
      </c>
      <c r="F359" t="s">
        <v>11</v>
      </c>
      <c r="G359" t="s">
        <v>80</v>
      </c>
      <c r="H359" t="s">
        <v>2763</v>
      </c>
      <c r="I359" t="s">
        <v>2763</v>
      </c>
      <c r="J359" t="str">
        <f>IF(ISNUMBER(MATCH($D359,'Lopettaneet 2013-&gt;'!$D:$D,0)),INDEX('Lopettaneet 2013-&gt;'!$K:$K,MATCH($D359,'Lopettaneet 2013-&gt;'!$D:$D,0)),"Jatkaa")</f>
        <v>Closed</v>
      </c>
      <c r="K359">
        <f ca="1">IF($J359="Jatkaa",DATEDIF($B359,TODAY(),"Y"),INDEX('Lopettaneet 2013-&gt;'!$L:$L,MATCH($D359,'Lopettaneet 2013-&gt;'!$D:$D,0)))</f>
        <v>0</v>
      </c>
      <c r="L359">
        <v>358</v>
      </c>
    </row>
    <row r="360" spans="1:12" x14ac:dyDescent="0.25">
      <c r="A360" t="s">
        <v>7</v>
      </c>
      <c r="B360" s="1">
        <v>42186</v>
      </c>
      <c r="C360" s="1">
        <v>42521</v>
      </c>
      <c r="D360" s="4" t="s">
        <v>937</v>
      </c>
      <c r="E360" t="s">
        <v>10</v>
      </c>
      <c r="F360" t="s">
        <v>11</v>
      </c>
      <c r="G360" t="s">
        <v>80</v>
      </c>
      <c r="H360" t="s">
        <v>2763</v>
      </c>
      <c r="I360" t="s">
        <v>2763</v>
      </c>
      <c r="J360" t="str">
        <f>IF(ISNUMBER(MATCH($D360,'Lopettaneet 2013-&gt;'!$D:$D,0)),INDEX('Lopettaneet 2013-&gt;'!$K:$K,MATCH($D360,'Lopettaneet 2013-&gt;'!$D:$D,0)),"Jatkaa")</f>
        <v>Closed</v>
      </c>
      <c r="K360">
        <f ca="1">IF($J360="Jatkaa",DATEDIF($B360,TODAY(),"Y"),INDEX('Lopettaneet 2013-&gt;'!$L:$L,MATCH($D360,'Lopettaneet 2013-&gt;'!$D:$D,0)))</f>
        <v>0</v>
      </c>
      <c r="L360">
        <v>359</v>
      </c>
    </row>
    <row r="361" spans="1:12" x14ac:dyDescent="0.25">
      <c r="A361" t="s">
        <v>7</v>
      </c>
      <c r="B361" s="1">
        <v>42156</v>
      </c>
      <c r="C361" s="1">
        <v>55153</v>
      </c>
      <c r="D361" s="4" t="s">
        <v>939</v>
      </c>
      <c r="E361" t="s">
        <v>10</v>
      </c>
      <c r="F361" t="s">
        <v>11</v>
      </c>
      <c r="G361" t="s">
        <v>12</v>
      </c>
      <c r="H361" t="s">
        <v>2785</v>
      </c>
      <c r="I361" t="s">
        <v>2895</v>
      </c>
      <c r="J361" t="str">
        <f>IF(ISNUMBER(MATCH($D361,'Lopettaneet 2013-&gt;'!$D:$D,0)),INDEX('Lopettaneet 2013-&gt;'!$K:$K,MATCH($D361,'Lopettaneet 2013-&gt;'!$D:$D,0)),"Jatkaa")</f>
        <v>Jatkaa</v>
      </c>
      <c r="K361">
        <f ca="1">IF($J361="Jatkaa",DATEDIF($B361,TODAY(),"Y"),INDEX('Lopettaneet 2013-&gt;'!$L:$L,MATCH($D361,'Lopettaneet 2013-&gt;'!$D:$D,0)))</f>
        <v>9</v>
      </c>
      <c r="L361">
        <v>360</v>
      </c>
    </row>
    <row r="362" spans="1:12" x14ac:dyDescent="0.25">
      <c r="A362" t="s">
        <v>7</v>
      </c>
      <c r="B362" s="1">
        <v>42248</v>
      </c>
      <c r="C362" s="1">
        <v>55153</v>
      </c>
      <c r="D362" s="4" t="s">
        <v>941</v>
      </c>
      <c r="E362" t="s">
        <v>10</v>
      </c>
      <c r="F362" t="s">
        <v>11</v>
      </c>
      <c r="G362" t="s">
        <v>80</v>
      </c>
      <c r="H362" t="s">
        <v>2825</v>
      </c>
      <c r="I362" t="s">
        <v>2895</v>
      </c>
      <c r="J362" t="str">
        <f>IF(ISNUMBER(MATCH($D362,'Lopettaneet 2013-&gt;'!$D:$D,0)),INDEX('Lopettaneet 2013-&gt;'!$K:$K,MATCH($D362,'Lopettaneet 2013-&gt;'!$D:$D,0)),"Jatkaa")</f>
        <v>Jatkaa</v>
      </c>
      <c r="K362">
        <f ca="1">IF($J362="Jatkaa",DATEDIF($B362,TODAY(),"Y"),INDEX('Lopettaneet 2013-&gt;'!$L:$L,MATCH($D362,'Lopettaneet 2013-&gt;'!$D:$D,0)))</f>
        <v>9</v>
      </c>
      <c r="L362">
        <v>361</v>
      </c>
    </row>
    <row r="363" spans="1:12" x14ac:dyDescent="0.25">
      <c r="A363" t="s">
        <v>0</v>
      </c>
      <c r="B363" s="1">
        <v>42186</v>
      </c>
      <c r="C363" s="1">
        <v>55153</v>
      </c>
      <c r="D363" s="4" t="s">
        <v>943</v>
      </c>
      <c r="E363" t="s">
        <v>10</v>
      </c>
      <c r="F363" t="s">
        <v>4</v>
      </c>
      <c r="G363" t="s">
        <v>20</v>
      </c>
      <c r="H363" t="s">
        <v>2777</v>
      </c>
      <c r="I363" t="s">
        <v>2895</v>
      </c>
      <c r="J363" t="str">
        <f>IF(ISNUMBER(MATCH($D363,'Lopettaneet 2013-&gt;'!$D:$D,0)),INDEX('Lopettaneet 2013-&gt;'!$K:$K,MATCH($D363,'Lopettaneet 2013-&gt;'!$D:$D,0)),"Jatkaa")</f>
        <v>Closed</v>
      </c>
      <c r="K363">
        <f ca="1">IF($J363="Jatkaa",DATEDIF($B363,TODAY(),"Y"),INDEX('Lopettaneet 2013-&gt;'!$L:$L,MATCH($D363,'Lopettaneet 2013-&gt;'!$D:$D,0)))</f>
        <v>8</v>
      </c>
      <c r="L363">
        <v>362</v>
      </c>
    </row>
    <row r="364" spans="1:12" x14ac:dyDescent="0.25">
      <c r="A364" t="s">
        <v>7</v>
      </c>
      <c r="B364" s="1">
        <v>42217</v>
      </c>
      <c r="C364" s="1">
        <v>55153</v>
      </c>
      <c r="D364" s="4" t="s">
        <v>945</v>
      </c>
      <c r="E364" t="s">
        <v>10</v>
      </c>
      <c r="F364" t="s">
        <v>11</v>
      </c>
      <c r="G364" t="s">
        <v>32</v>
      </c>
      <c r="H364" t="s">
        <v>2826</v>
      </c>
      <c r="I364" t="s">
        <v>2895</v>
      </c>
      <c r="J364" t="str">
        <f>IF(ISNUMBER(MATCH($D364,'Lopettaneet 2013-&gt;'!$D:$D,0)),INDEX('Lopettaneet 2013-&gt;'!$K:$K,MATCH($D364,'Lopettaneet 2013-&gt;'!$D:$D,0)),"Jatkaa")</f>
        <v>Jatkaa</v>
      </c>
      <c r="K364">
        <f ca="1">IF($J364="Jatkaa",DATEDIF($B364,TODAY(),"Y"),INDEX('Lopettaneet 2013-&gt;'!$L:$L,MATCH($D364,'Lopettaneet 2013-&gt;'!$D:$D,0)))</f>
        <v>9</v>
      </c>
      <c r="L364">
        <v>363</v>
      </c>
    </row>
    <row r="365" spans="1:12" x14ac:dyDescent="0.25">
      <c r="A365" t="s">
        <v>7</v>
      </c>
      <c r="B365" s="1">
        <v>42217</v>
      </c>
      <c r="C365" s="1">
        <v>55153</v>
      </c>
      <c r="D365" s="4" t="s">
        <v>947</v>
      </c>
      <c r="E365" t="s">
        <v>10</v>
      </c>
      <c r="F365" t="s">
        <v>11</v>
      </c>
      <c r="G365" t="s">
        <v>32</v>
      </c>
      <c r="H365" t="s">
        <v>2826</v>
      </c>
      <c r="I365" t="s">
        <v>2895</v>
      </c>
      <c r="J365" t="str">
        <f>IF(ISNUMBER(MATCH($D365,'Lopettaneet 2013-&gt;'!$D:$D,0)),INDEX('Lopettaneet 2013-&gt;'!$K:$K,MATCH($D365,'Lopettaneet 2013-&gt;'!$D:$D,0)),"Jatkaa")</f>
        <v>Jatkaa</v>
      </c>
      <c r="K365">
        <f ca="1">IF($J365="Jatkaa",DATEDIF($B365,TODAY(),"Y"),INDEX('Lopettaneet 2013-&gt;'!$L:$L,MATCH($D365,'Lopettaneet 2013-&gt;'!$D:$D,0)))</f>
        <v>9</v>
      </c>
      <c r="L365">
        <v>364</v>
      </c>
    </row>
    <row r="366" spans="1:12" x14ac:dyDescent="0.25">
      <c r="A366" t="s">
        <v>7</v>
      </c>
      <c r="B366" s="1">
        <v>42217</v>
      </c>
      <c r="C366" s="1">
        <v>55153</v>
      </c>
      <c r="D366" s="4" t="s">
        <v>949</v>
      </c>
      <c r="E366" t="s">
        <v>10</v>
      </c>
      <c r="F366" t="s">
        <v>11</v>
      </c>
      <c r="G366" t="s">
        <v>32</v>
      </c>
      <c r="H366" t="s">
        <v>2801</v>
      </c>
      <c r="I366" t="s">
        <v>2894</v>
      </c>
      <c r="J366" t="str">
        <f>IF(ISNUMBER(MATCH($D366,'Lopettaneet 2013-&gt;'!$D:$D,0)),INDEX('Lopettaneet 2013-&gt;'!$K:$K,MATCH($D366,'Lopettaneet 2013-&gt;'!$D:$D,0)),"Jatkaa")</f>
        <v>Jatkaa</v>
      </c>
      <c r="K366">
        <f ca="1">IF($J366="Jatkaa",DATEDIF($B366,TODAY(),"Y"),INDEX('Lopettaneet 2013-&gt;'!$L:$L,MATCH($D366,'Lopettaneet 2013-&gt;'!$D:$D,0)))</f>
        <v>9</v>
      </c>
      <c r="L366">
        <v>365</v>
      </c>
    </row>
    <row r="367" spans="1:12" x14ac:dyDescent="0.25">
      <c r="A367" t="s">
        <v>0</v>
      </c>
      <c r="B367" s="1">
        <v>42248</v>
      </c>
      <c r="C367" s="1">
        <v>43434</v>
      </c>
      <c r="D367" s="4" t="s">
        <v>951</v>
      </c>
      <c r="E367" t="s">
        <v>3</v>
      </c>
      <c r="F367" t="s">
        <v>4</v>
      </c>
      <c r="G367" t="s">
        <v>50</v>
      </c>
      <c r="H367" t="s">
        <v>2763</v>
      </c>
      <c r="I367" t="s">
        <v>2763</v>
      </c>
      <c r="J367" t="str">
        <f>IF(ISNUMBER(MATCH($D367,'Lopettaneet 2013-&gt;'!$D:$D,0)),INDEX('Lopettaneet 2013-&gt;'!$K:$K,MATCH($D367,'Lopettaneet 2013-&gt;'!$D:$D,0)),"Jatkaa")</f>
        <v>Merged</v>
      </c>
      <c r="K367">
        <f ca="1">IF($J367="Jatkaa",DATEDIF($B367,TODAY(),"Y"),INDEX('Lopettaneet 2013-&gt;'!$L:$L,MATCH($D367,'Lopettaneet 2013-&gt;'!$D:$D,0)))</f>
        <v>3</v>
      </c>
      <c r="L367">
        <v>366</v>
      </c>
    </row>
    <row r="368" spans="1:12" x14ac:dyDescent="0.25">
      <c r="A368" t="s">
        <v>0</v>
      </c>
      <c r="B368" s="1">
        <v>42309</v>
      </c>
      <c r="C368" s="1">
        <v>43404</v>
      </c>
      <c r="D368" s="4" t="s">
        <v>953</v>
      </c>
      <c r="E368" t="s">
        <v>3</v>
      </c>
      <c r="F368" t="s">
        <v>4</v>
      </c>
      <c r="G368" t="s">
        <v>50</v>
      </c>
      <c r="H368" t="s">
        <v>2763</v>
      </c>
      <c r="I368" t="s">
        <v>2763</v>
      </c>
      <c r="J368" t="str">
        <f>IF(ISNUMBER(MATCH($D368,'Lopettaneet 2013-&gt;'!$D:$D,0)),INDEX('Lopettaneet 2013-&gt;'!$K:$K,MATCH($D368,'Lopettaneet 2013-&gt;'!$D:$D,0)),"Jatkaa")</f>
        <v>Merged</v>
      </c>
      <c r="K368">
        <f ca="1">IF($J368="Jatkaa",DATEDIF($B368,TODAY(),"Y"),INDEX('Lopettaneet 2013-&gt;'!$L:$L,MATCH($D368,'Lopettaneet 2013-&gt;'!$D:$D,0)))</f>
        <v>2</v>
      </c>
      <c r="L368">
        <v>367</v>
      </c>
    </row>
    <row r="369" spans="1:12" x14ac:dyDescent="0.25">
      <c r="A369" t="s">
        <v>0</v>
      </c>
      <c r="B369" s="1">
        <v>42309</v>
      </c>
      <c r="C369" s="1">
        <v>55153</v>
      </c>
      <c r="D369" s="4" t="s">
        <v>955</v>
      </c>
      <c r="E369" t="s">
        <v>3</v>
      </c>
      <c r="F369" t="s">
        <v>4</v>
      </c>
      <c r="G369" t="s">
        <v>20</v>
      </c>
      <c r="H369" t="s">
        <v>2776</v>
      </c>
      <c r="I369" t="s">
        <v>2894</v>
      </c>
      <c r="J369" t="str">
        <f>IF(ISNUMBER(MATCH($D369,'Lopettaneet 2013-&gt;'!$D:$D,0)),INDEX('Lopettaneet 2013-&gt;'!$K:$K,MATCH($D369,'Lopettaneet 2013-&gt;'!$D:$D,0)),"Jatkaa")</f>
        <v>Jatkaa</v>
      </c>
      <c r="K369">
        <f ca="1">IF($J369="Jatkaa",DATEDIF($B369,TODAY(),"Y"),INDEX('Lopettaneet 2013-&gt;'!$L:$L,MATCH($D369,'Lopettaneet 2013-&gt;'!$D:$D,0)))</f>
        <v>9</v>
      </c>
      <c r="L369">
        <v>368</v>
      </c>
    </row>
    <row r="370" spans="1:12" x14ac:dyDescent="0.25">
      <c r="A370" t="s">
        <v>7</v>
      </c>
      <c r="B370" s="1">
        <v>42278</v>
      </c>
      <c r="C370" s="1">
        <v>55153</v>
      </c>
      <c r="D370" s="4" t="s">
        <v>957</v>
      </c>
      <c r="E370" t="s">
        <v>10</v>
      </c>
      <c r="F370" t="s">
        <v>11</v>
      </c>
      <c r="G370" t="s">
        <v>32</v>
      </c>
      <c r="H370" t="s">
        <v>2771</v>
      </c>
      <c r="I370" t="s">
        <v>2895</v>
      </c>
      <c r="J370" t="str">
        <f>IF(ISNUMBER(MATCH($D370,'Lopettaneet 2013-&gt;'!$D:$D,0)),INDEX('Lopettaneet 2013-&gt;'!$K:$K,MATCH($D370,'Lopettaneet 2013-&gt;'!$D:$D,0)),"Jatkaa")</f>
        <v>Jatkaa</v>
      </c>
      <c r="K370">
        <f ca="1">IF($J370="Jatkaa",DATEDIF($B370,TODAY(),"Y"),INDEX('Lopettaneet 2013-&gt;'!$L:$L,MATCH($D370,'Lopettaneet 2013-&gt;'!$D:$D,0)))</f>
        <v>9</v>
      </c>
      <c r="L370">
        <v>369</v>
      </c>
    </row>
    <row r="371" spans="1:12" x14ac:dyDescent="0.25">
      <c r="A371" t="s">
        <v>7</v>
      </c>
      <c r="B371" s="1">
        <v>42278</v>
      </c>
      <c r="C371" s="1">
        <v>55153</v>
      </c>
      <c r="D371" s="4" t="s">
        <v>959</v>
      </c>
      <c r="E371" t="s">
        <v>10</v>
      </c>
      <c r="F371" t="s">
        <v>11</v>
      </c>
      <c r="G371" t="s">
        <v>32</v>
      </c>
      <c r="H371" t="s">
        <v>2771</v>
      </c>
      <c r="I371" t="s">
        <v>2895</v>
      </c>
      <c r="J371" t="str">
        <f>IF(ISNUMBER(MATCH($D371,'Lopettaneet 2013-&gt;'!$D:$D,0)),INDEX('Lopettaneet 2013-&gt;'!$K:$K,MATCH($D371,'Lopettaneet 2013-&gt;'!$D:$D,0)),"Jatkaa")</f>
        <v>Jatkaa</v>
      </c>
      <c r="K371">
        <f ca="1">IF($J371="Jatkaa",DATEDIF($B371,TODAY(),"Y"),INDEX('Lopettaneet 2013-&gt;'!$L:$L,MATCH($D371,'Lopettaneet 2013-&gt;'!$D:$D,0)))</f>
        <v>9</v>
      </c>
      <c r="L371">
        <v>370</v>
      </c>
    </row>
    <row r="372" spans="1:12" x14ac:dyDescent="0.25">
      <c r="A372" t="s">
        <v>7</v>
      </c>
      <c r="B372" s="1">
        <v>42278</v>
      </c>
      <c r="C372" s="1">
        <v>55153</v>
      </c>
      <c r="D372" s="4" t="s">
        <v>961</v>
      </c>
      <c r="E372" t="s">
        <v>10</v>
      </c>
      <c r="F372" t="s">
        <v>11</v>
      </c>
      <c r="G372" t="s">
        <v>12</v>
      </c>
      <c r="H372" t="s">
        <v>2827</v>
      </c>
      <c r="I372" t="s">
        <v>2895</v>
      </c>
      <c r="J372" t="str">
        <f>IF(ISNUMBER(MATCH($D372,'Lopettaneet 2013-&gt;'!$D:$D,0)),INDEX('Lopettaneet 2013-&gt;'!$K:$K,MATCH($D372,'Lopettaneet 2013-&gt;'!$D:$D,0)),"Jatkaa")</f>
        <v>Jatkaa</v>
      </c>
      <c r="K372">
        <f ca="1">IF($J372="Jatkaa",DATEDIF($B372,TODAY(),"Y"),INDEX('Lopettaneet 2013-&gt;'!$L:$L,MATCH($D372,'Lopettaneet 2013-&gt;'!$D:$D,0)))</f>
        <v>9</v>
      </c>
      <c r="L372">
        <v>371</v>
      </c>
    </row>
    <row r="373" spans="1:12" x14ac:dyDescent="0.25">
      <c r="A373" t="s">
        <v>7</v>
      </c>
      <c r="B373" s="1">
        <v>42278</v>
      </c>
      <c r="C373" s="1">
        <v>55153</v>
      </c>
      <c r="D373" s="4" t="s">
        <v>963</v>
      </c>
      <c r="E373" t="s">
        <v>10</v>
      </c>
      <c r="F373" t="s">
        <v>11</v>
      </c>
      <c r="G373" t="s">
        <v>80</v>
      </c>
      <c r="H373" t="s">
        <v>2828</v>
      </c>
      <c r="I373" t="s">
        <v>2895</v>
      </c>
      <c r="J373" t="str">
        <f>IF(ISNUMBER(MATCH($D373,'Lopettaneet 2013-&gt;'!$D:$D,0)),INDEX('Lopettaneet 2013-&gt;'!$K:$K,MATCH($D373,'Lopettaneet 2013-&gt;'!$D:$D,0)),"Jatkaa")</f>
        <v>Jatkaa</v>
      </c>
      <c r="K373">
        <f ca="1">IF($J373="Jatkaa",DATEDIF($B373,TODAY(),"Y"),INDEX('Lopettaneet 2013-&gt;'!$L:$L,MATCH($D373,'Lopettaneet 2013-&gt;'!$D:$D,0)))</f>
        <v>9</v>
      </c>
      <c r="L373">
        <v>372</v>
      </c>
    </row>
    <row r="374" spans="1:12" x14ac:dyDescent="0.25">
      <c r="A374" t="s">
        <v>7</v>
      </c>
      <c r="B374" s="1">
        <v>42278</v>
      </c>
      <c r="C374" s="1">
        <v>55153</v>
      </c>
      <c r="D374" s="4" t="s">
        <v>965</v>
      </c>
      <c r="E374" t="s">
        <v>10</v>
      </c>
      <c r="F374" t="s">
        <v>11</v>
      </c>
      <c r="G374" t="s">
        <v>32</v>
      </c>
      <c r="H374" t="s">
        <v>2829</v>
      </c>
      <c r="I374" t="s">
        <v>2895</v>
      </c>
      <c r="J374" t="str">
        <f>IF(ISNUMBER(MATCH($D374,'Lopettaneet 2013-&gt;'!$D:$D,0)),INDEX('Lopettaneet 2013-&gt;'!$K:$K,MATCH($D374,'Lopettaneet 2013-&gt;'!$D:$D,0)),"Jatkaa")</f>
        <v>Jatkaa</v>
      </c>
      <c r="K374">
        <f ca="1">IF($J374="Jatkaa",DATEDIF($B374,TODAY(),"Y"),INDEX('Lopettaneet 2013-&gt;'!$L:$L,MATCH($D374,'Lopettaneet 2013-&gt;'!$D:$D,0)))</f>
        <v>9</v>
      </c>
      <c r="L374">
        <v>373</v>
      </c>
    </row>
    <row r="375" spans="1:12" x14ac:dyDescent="0.25">
      <c r="A375" t="s">
        <v>7</v>
      </c>
      <c r="B375" s="1">
        <v>42248</v>
      </c>
      <c r="C375" s="1">
        <v>44742</v>
      </c>
      <c r="D375" s="4" t="s">
        <v>967</v>
      </c>
      <c r="E375" t="s">
        <v>10</v>
      </c>
      <c r="F375" t="s">
        <v>11</v>
      </c>
      <c r="G375" t="s">
        <v>12</v>
      </c>
      <c r="H375" t="s">
        <v>2763</v>
      </c>
      <c r="I375" t="s">
        <v>2763</v>
      </c>
      <c r="J375" t="str">
        <f>IF(ISNUMBER(MATCH($D375,'Lopettaneet 2013-&gt;'!$D:$D,0)),INDEX('Lopettaneet 2013-&gt;'!$K:$K,MATCH($D375,'Lopettaneet 2013-&gt;'!$D:$D,0)),"Jatkaa")</f>
        <v>Closed</v>
      </c>
      <c r="K375">
        <f ca="1">IF($J375="Jatkaa",DATEDIF($B375,TODAY(),"Y"),INDEX('Lopettaneet 2013-&gt;'!$L:$L,MATCH($D375,'Lopettaneet 2013-&gt;'!$D:$D,0)))</f>
        <v>6</v>
      </c>
      <c r="L375">
        <v>374</v>
      </c>
    </row>
    <row r="376" spans="1:12" x14ac:dyDescent="0.25">
      <c r="A376" t="s">
        <v>0</v>
      </c>
      <c r="B376" s="1">
        <v>42339</v>
      </c>
      <c r="C376" s="1">
        <v>55153</v>
      </c>
      <c r="D376" s="4" t="s">
        <v>969</v>
      </c>
      <c r="E376" t="s">
        <v>10</v>
      </c>
      <c r="F376" t="s">
        <v>4</v>
      </c>
      <c r="G376" t="s">
        <v>29</v>
      </c>
      <c r="H376" t="s">
        <v>2802</v>
      </c>
      <c r="I376" t="s">
        <v>2894</v>
      </c>
      <c r="J376" t="str">
        <f>IF(ISNUMBER(MATCH($D376,'Lopettaneet 2013-&gt;'!$D:$D,0)),INDEX('Lopettaneet 2013-&gt;'!$K:$K,MATCH($D376,'Lopettaneet 2013-&gt;'!$D:$D,0)),"Jatkaa")</f>
        <v>Jatkaa</v>
      </c>
      <c r="K376">
        <f ca="1">IF($J376="Jatkaa",DATEDIF($B376,TODAY(),"Y"),INDEX('Lopettaneet 2013-&gt;'!$L:$L,MATCH($D376,'Lopettaneet 2013-&gt;'!$D:$D,0)))</f>
        <v>9</v>
      </c>
      <c r="L376">
        <v>375</v>
      </c>
    </row>
    <row r="377" spans="1:12" x14ac:dyDescent="0.25">
      <c r="A377" t="s">
        <v>0</v>
      </c>
      <c r="B377" s="1">
        <v>42309</v>
      </c>
      <c r="C377" s="1">
        <v>55153</v>
      </c>
      <c r="D377" s="4" t="s">
        <v>971</v>
      </c>
      <c r="E377" t="s">
        <v>3</v>
      </c>
      <c r="F377" t="s">
        <v>4</v>
      </c>
      <c r="G377" t="s">
        <v>20</v>
      </c>
      <c r="H377" t="s">
        <v>2764</v>
      </c>
      <c r="I377" t="s">
        <v>2894</v>
      </c>
      <c r="J377" t="str">
        <f>IF(ISNUMBER(MATCH($D377,'Lopettaneet 2013-&gt;'!$D:$D,0)),INDEX('Lopettaneet 2013-&gt;'!$K:$K,MATCH($D377,'Lopettaneet 2013-&gt;'!$D:$D,0)),"Jatkaa")</f>
        <v>Closed</v>
      </c>
      <c r="K377">
        <f ca="1">IF($J377="Jatkaa",DATEDIF($B377,TODAY(),"Y"),INDEX('Lopettaneet 2013-&gt;'!$L:$L,MATCH($D377,'Lopettaneet 2013-&gt;'!$D:$D,0)))</f>
        <v>7</v>
      </c>
      <c r="L377">
        <v>376</v>
      </c>
    </row>
    <row r="378" spans="1:12" x14ac:dyDescent="0.25">
      <c r="A378" t="s">
        <v>7</v>
      </c>
      <c r="B378" s="1">
        <v>42339</v>
      </c>
      <c r="C378" s="1">
        <v>55153</v>
      </c>
      <c r="D378" s="4" t="s">
        <v>973</v>
      </c>
      <c r="E378" t="s">
        <v>10</v>
      </c>
      <c r="F378" t="s">
        <v>11</v>
      </c>
      <c r="G378" t="s">
        <v>29</v>
      </c>
      <c r="H378" t="s">
        <v>2830</v>
      </c>
      <c r="I378" t="s">
        <v>2895</v>
      </c>
      <c r="J378" t="str">
        <f>IF(ISNUMBER(MATCH($D378,'Lopettaneet 2013-&gt;'!$D:$D,0)),INDEX('Lopettaneet 2013-&gt;'!$K:$K,MATCH($D378,'Lopettaneet 2013-&gt;'!$D:$D,0)),"Jatkaa")</f>
        <v>Jatkaa</v>
      </c>
      <c r="K378">
        <f ca="1">IF($J378="Jatkaa",DATEDIF($B378,TODAY(),"Y"),INDEX('Lopettaneet 2013-&gt;'!$L:$L,MATCH($D378,'Lopettaneet 2013-&gt;'!$D:$D,0)))</f>
        <v>9</v>
      </c>
      <c r="L378">
        <v>377</v>
      </c>
    </row>
    <row r="379" spans="1:12" x14ac:dyDescent="0.25">
      <c r="A379" t="s">
        <v>0</v>
      </c>
      <c r="B379" s="1">
        <v>42644</v>
      </c>
      <c r="C379" s="1">
        <v>55153</v>
      </c>
      <c r="D379" s="4" t="s">
        <v>975</v>
      </c>
      <c r="E379" t="s">
        <v>10</v>
      </c>
      <c r="F379" t="s">
        <v>4</v>
      </c>
      <c r="G379" t="s">
        <v>32</v>
      </c>
      <c r="H379" t="s">
        <v>2771</v>
      </c>
      <c r="I379" t="s">
        <v>2894</v>
      </c>
      <c r="J379" t="str">
        <f>IF(ISNUMBER(MATCH($D379,'Lopettaneet 2013-&gt;'!$D:$D,0)),INDEX('Lopettaneet 2013-&gt;'!$K:$K,MATCH($D379,'Lopettaneet 2013-&gt;'!$D:$D,0)),"Jatkaa")</f>
        <v>Jatkaa</v>
      </c>
      <c r="K379">
        <f ca="1">IF($J379="Jatkaa",DATEDIF($B379,TODAY(),"Y"),INDEX('Lopettaneet 2013-&gt;'!$L:$L,MATCH($D379,'Lopettaneet 2013-&gt;'!$D:$D,0)))</f>
        <v>8</v>
      </c>
      <c r="L379">
        <v>378</v>
      </c>
    </row>
    <row r="380" spans="1:12" x14ac:dyDescent="0.25">
      <c r="A380" t="s">
        <v>0</v>
      </c>
      <c r="B380" s="1">
        <v>42278</v>
      </c>
      <c r="C380" s="1">
        <v>55153</v>
      </c>
      <c r="D380" s="4" t="s">
        <v>977</v>
      </c>
      <c r="E380" t="s">
        <v>3</v>
      </c>
      <c r="F380" t="s">
        <v>4</v>
      </c>
      <c r="G380" t="s">
        <v>50</v>
      </c>
      <c r="H380" t="s">
        <v>2802</v>
      </c>
      <c r="I380" t="s">
        <v>2894</v>
      </c>
      <c r="J380" t="str">
        <f>IF(ISNUMBER(MATCH($D380,'Lopettaneet 2013-&gt;'!$D:$D,0)),INDEX('Lopettaneet 2013-&gt;'!$K:$K,MATCH($D380,'Lopettaneet 2013-&gt;'!$D:$D,0)),"Jatkaa")</f>
        <v>Jatkaa</v>
      </c>
      <c r="K380">
        <f ca="1">IF($J380="Jatkaa",DATEDIF($B380,TODAY(),"Y"),INDEX('Lopettaneet 2013-&gt;'!$L:$L,MATCH($D380,'Lopettaneet 2013-&gt;'!$D:$D,0)))</f>
        <v>9</v>
      </c>
      <c r="L380">
        <v>379</v>
      </c>
    </row>
    <row r="381" spans="1:12" x14ac:dyDescent="0.25">
      <c r="A381" t="s">
        <v>0</v>
      </c>
      <c r="B381" s="1">
        <v>42309</v>
      </c>
      <c r="C381" s="1">
        <v>55153</v>
      </c>
      <c r="D381" s="4" t="s">
        <v>979</v>
      </c>
      <c r="E381" t="s">
        <v>10</v>
      </c>
      <c r="F381" t="s">
        <v>4</v>
      </c>
      <c r="G381" t="s">
        <v>20</v>
      </c>
      <c r="H381" t="s">
        <v>2777</v>
      </c>
      <c r="I381" t="s">
        <v>2894</v>
      </c>
      <c r="J381" t="str">
        <f>IF(ISNUMBER(MATCH($D381,'Lopettaneet 2013-&gt;'!$D:$D,0)),INDEX('Lopettaneet 2013-&gt;'!$K:$K,MATCH($D381,'Lopettaneet 2013-&gt;'!$D:$D,0)),"Jatkaa")</f>
        <v>Jatkaa</v>
      </c>
      <c r="K381">
        <f ca="1">IF($J381="Jatkaa",DATEDIF($B381,TODAY(),"Y"),INDEX('Lopettaneet 2013-&gt;'!$L:$L,MATCH($D381,'Lopettaneet 2013-&gt;'!$D:$D,0)))</f>
        <v>9</v>
      </c>
      <c r="L381">
        <v>380</v>
      </c>
    </row>
    <row r="382" spans="1:12" x14ac:dyDescent="0.25">
      <c r="A382" t="s">
        <v>7</v>
      </c>
      <c r="B382" s="1">
        <v>42278</v>
      </c>
      <c r="C382" s="1">
        <v>43830</v>
      </c>
      <c r="D382" s="4" t="s">
        <v>981</v>
      </c>
      <c r="E382" t="s">
        <v>10</v>
      </c>
      <c r="F382" t="s">
        <v>11</v>
      </c>
      <c r="G382" t="s">
        <v>32</v>
      </c>
      <c r="H382" t="s">
        <v>2763</v>
      </c>
      <c r="I382" t="s">
        <v>2763</v>
      </c>
      <c r="J382" t="str">
        <f>IF(ISNUMBER(MATCH($D382,'Lopettaneet 2013-&gt;'!$D:$D,0)),INDEX('Lopettaneet 2013-&gt;'!$K:$K,MATCH($D382,'Lopettaneet 2013-&gt;'!$D:$D,0)),"Jatkaa")</f>
        <v>Closed</v>
      </c>
      <c r="K382">
        <f ca="1">IF($J382="Jatkaa",DATEDIF($B382,TODAY(),"Y"),INDEX('Lopettaneet 2013-&gt;'!$L:$L,MATCH($D382,'Lopettaneet 2013-&gt;'!$D:$D,0)))</f>
        <v>4</v>
      </c>
      <c r="L382">
        <v>381</v>
      </c>
    </row>
    <row r="383" spans="1:12" x14ac:dyDescent="0.25">
      <c r="A383" t="s">
        <v>7</v>
      </c>
      <c r="B383" s="1">
        <v>42278</v>
      </c>
      <c r="C383" s="1">
        <v>44742</v>
      </c>
      <c r="D383" s="4" t="s">
        <v>983</v>
      </c>
      <c r="E383" t="s">
        <v>10</v>
      </c>
      <c r="F383" t="s">
        <v>11</v>
      </c>
      <c r="G383" t="s">
        <v>12</v>
      </c>
      <c r="H383" t="s">
        <v>2763</v>
      </c>
      <c r="I383" t="s">
        <v>2763</v>
      </c>
      <c r="J383" t="str">
        <f>IF(ISNUMBER(MATCH($D383,'Lopettaneet 2013-&gt;'!$D:$D,0)),INDEX('Lopettaneet 2013-&gt;'!$K:$K,MATCH($D383,'Lopettaneet 2013-&gt;'!$D:$D,0)),"Jatkaa")</f>
        <v>Closed</v>
      </c>
      <c r="K383">
        <f ca="1">IF($J383="Jatkaa",DATEDIF($B383,TODAY(),"Y"),INDEX('Lopettaneet 2013-&gt;'!$L:$L,MATCH($D383,'Lopettaneet 2013-&gt;'!$D:$D,0)))</f>
        <v>6</v>
      </c>
      <c r="L383">
        <v>382</v>
      </c>
    </row>
    <row r="384" spans="1:12" x14ac:dyDescent="0.25">
      <c r="A384" t="s">
        <v>7</v>
      </c>
      <c r="B384" s="1">
        <v>42278</v>
      </c>
      <c r="C384" s="1">
        <v>55153</v>
      </c>
      <c r="D384" s="4" t="s">
        <v>985</v>
      </c>
      <c r="E384" t="s">
        <v>10</v>
      </c>
      <c r="F384" t="s">
        <v>11</v>
      </c>
      <c r="G384" t="s">
        <v>29</v>
      </c>
      <c r="H384" t="s">
        <v>2820</v>
      </c>
      <c r="I384" t="s">
        <v>2895</v>
      </c>
      <c r="J384" t="str">
        <f>IF(ISNUMBER(MATCH($D384,'Lopettaneet 2013-&gt;'!$D:$D,0)),INDEX('Lopettaneet 2013-&gt;'!$K:$K,MATCH($D384,'Lopettaneet 2013-&gt;'!$D:$D,0)),"Jatkaa")</f>
        <v>Jatkaa</v>
      </c>
      <c r="K384">
        <f ca="1">IF($J384="Jatkaa",DATEDIF($B384,TODAY(),"Y"),INDEX('Lopettaneet 2013-&gt;'!$L:$L,MATCH($D384,'Lopettaneet 2013-&gt;'!$D:$D,0)))</f>
        <v>9</v>
      </c>
      <c r="L384">
        <v>383</v>
      </c>
    </row>
    <row r="385" spans="1:12" x14ac:dyDescent="0.25">
      <c r="A385" t="s">
        <v>7</v>
      </c>
      <c r="B385" s="1">
        <v>42370</v>
      </c>
      <c r="C385" s="1">
        <v>55153</v>
      </c>
      <c r="D385" s="4" t="s">
        <v>987</v>
      </c>
      <c r="E385" t="s">
        <v>10</v>
      </c>
      <c r="F385" t="s">
        <v>11</v>
      </c>
      <c r="G385" t="s">
        <v>12</v>
      </c>
      <c r="H385" t="s">
        <v>2766</v>
      </c>
      <c r="I385" t="s">
        <v>2895</v>
      </c>
      <c r="J385" t="str">
        <f>IF(ISNUMBER(MATCH($D385,'Lopettaneet 2013-&gt;'!$D:$D,0)),INDEX('Lopettaneet 2013-&gt;'!$K:$K,MATCH($D385,'Lopettaneet 2013-&gt;'!$D:$D,0)),"Jatkaa")</f>
        <v>Jatkaa</v>
      </c>
      <c r="K385">
        <f ca="1">IF($J385="Jatkaa",DATEDIF($B385,TODAY(),"Y"),INDEX('Lopettaneet 2013-&gt;'!$L:$L,MATCH($D385,'Lopettaneet 2013-&gt;'!$D:$D,0)))</f>
        <v>9</v>
      </c>
      <c r="L385">
        <v>384</v>
      </c>
    </row>
    <row r="386" spans="1:12" x14ac:dyDescent="0.25">
      <c r="A386" t="s">
        <v>0</v>
      </c>
      <c r="B386" s="1">
        <v>42339</v>
      </c>
      <c r="C386" s="1">
        <v>55153</v>
      </c>
      <c r="D386" s="4" t="s">
        <v>989</v>
      </c>
      <c r="E386" t="s">
        <v>3</v>
      </c>
      <c r="F386" t="s">
        <v>4</v>
      </c>
      <c r="G386" t="s">
        <v>50</v>
      </c>
      <c r="H386" t="s">
        <v>2777</v>
      </c>
      <c r="I386" t="s">
        <v>2894</v>
      </c>
      <c r="J386" t="str">
        <f>IF(ISNUMBER(MATCH($D386,'Lopettaneet 2013-&gt;'!$D:$D,0)),INDEX('Lopettaneet 2013-&gt;'!$K:$K,MATCH($D386,'Lopettaneet 2013-&gt;'!$D:$D,0)),"Jatkaa")</f>
        <v>Jatkaa</v>
      </c>
      <c r="K386">
        <f ca="1">IF($J386="Jatkaa",DATEDIF($B386,TODAY(),"Y"),INDEX('Lopettaneet 2013-&gt;'!$L:$L,MATCH($D386,'Lopettaneet 2013-&gt;'!$D:$D,0)))</f>
        <v>9</v>
      </c>
      <c r="L386">
        <v>385</v>
      </c>
    </row>
    <row r="387" spans="1:12" x14ac:dyDescent="0.25">
      <c r="A387" t="s">
        <v>7</v>
      </c>
      <c r="B387" s="1">
        <v>42064</v>
      </c>
      <c r="C387" s="1">
        <v>43465</v>
      </c>
      <c r="D387" s="4" t="s">
        <v>991</v>
      </c>
      <c r="E387" t="s">
        <v>10</v>
      </c>
      <c r="F387" t="s">
        <v>11</v>
      </c>
      <c r="G387" t="s">
        <v>32</v>
      </c>
      <c r="H387" t="s">
        <v>2763</v>
      </c>
      <c r="I387" t="s">
        <v>2763</v>
      </c>
      <c r="J387" t="str">
        <f>IF(ISNUMBER(MATCH($D387,'Lopettaneet 2013-&gt;'!$D:$D,0)),INDEX('Lopettaneet 2013-&gt;'!$K:$K,MATCH($D387,'Lopettaneet 2013-&gt;'!$D:$D,0)),"Jatkaa")</f>
        <v>Closed</v>
      </c>
      <c r="K387">
        <f ca="1">IF($J387="Jatkaa",DATEDIF($B387,TODAY(),"Y"),INDEX('Lopettaneet 2013-&gt;'!$L:$L,MATCH($D387,'Lopettaneet 2013-&gt;'!$D:$D,0)))</f>
        <v>3</v>
      </c>
      <c r="L387">
        <v>386</v>
      </c>
    </row>
    <row r="388" spans="1:12" x14ac:dyDescent="0.25">
      <c r="A388" t="s">
        <v>7</v>
      </c>
      <c r="B388" s="1">
        <v>42795</v>
      </c>
      <c r="C388" s="1">
        <v>43465</v>
      </c>
      <c r="D388" s="4" t="s">
        <v>993</v>
      </c>
      <c r="E388" t="s">
        <v>10</v>
      </c>
      <c r="F388" t="s">
        <v>11</v>
      </c>
      <c r="G388" t="s">
        <v>32</v>
      </c>
      <c r="H388" t="s">
        <v>2763</v>
      </c>
      <c r="I388" t="s">
        <v>2763</v>
      </c>
      <c r="J388" t="str">
        <f>IF(ISNUMBER(MATCH($D388,'Lopettaneet 2013-&gt;'!$D:$D,0)),INDEX('Lopettaneet 2013-&gt;'!$K:$K,MATCH($D388,'Lopettaneet 2013-&gt;'!$D:$D,0)),"Jatkaa")</f>
        <v>Closed</v>
      </c>
      <c r="K388">
        <f ca="1">IF($J388="Jatkaa",DATEDIF($B388,TODAY(),"Y"),INDEX('Lopettaneet 2013-&gt;'!$L:$L,MATCH($D388,'Lopettaneet 2013-&gt;'!$D:$D,0)))</f>
        <v>1</v>
      </c>
      <c r="L388">
        <v>387</v>
      </c>
    </row>
    <row r="389" spans="1:12" x14ac:dyDescent="0.25">
      <c r="A389" t="s">
        <v>0</v>
      </c>
      <c r="B389" s="1">
        <v>42339</v>
      </c>
      <c r="C389" s="1">
        <v>44074</v>
      </c>
      <c r="D389" s="4" t="s">
        <v>995</v>
      </c>
      <c r="E389" t="s">
        <v>10</v>
      </c>
      <c r="F389" t="s">
        <v>4</v>
      </c>
      <c r="G389" t="s">
        <v>5</v>
      </c>
      <c r="H389" t="s">
        <v>2763</v>
      </c>
      <c r="I389" t="s">
        <v>2763</v>
      </c>
      <c r="J389" t="str">
        <f>IF(ISNUMBER(MATCH($D389,'Lopettaneet 2013-&gt;'!$D:$D,0)),INDEX('Lopettaneet 2013-&gt;'!$K:$K,MATCH($D389,'Lopettaneet 2013-&gt;'!$D:$D,0)),"Jatkaa")</f>
        <v>Merged</v>
      </c>
      <c r="K389">
        <f ca="1">IF($J389="Jatkaa",DATEDIF($B389,TODAY(),"Y"),INDEX('Lopettaneet 2013-&gt;'!$L:$L,MATCH($D389,'Lopettaneet 2013-&gt;'!$D:$D,0)))</f>
        <v>4</v>
      </c>
      <c r="L389">
        <v>388</v>
      </c>
    </row>
    <row r="390" spans="1:12" x14ac:dyDescent="0.25">
      <c r="A390" t="s">
        <v>0</v>
      </c>
      <c r="B390" s="1">
        <v>42339</v>
      </c>
      <c r="C390" s="1">
        <v>44074</v>
      </c>
      <c r="D390" s="4" t="s">
        <v>997</v>
      </c>
      <c r="E390" t="s">
        <v>10</v>
      </c>
      <c r="F390" t="s">
        <v>4</v>
      </c>
      <c r="G390" t="s">
        <v>5</v>
      </c>
      <c r="H390" t="s">
        <v>2763</v>
      </c>
      <c r="I390" t="s">
        <v>2763</v>
      </c>
      <c r="J390" t="str">
        <f>IF(ISNUMBER(MATCH($D390,'Lopettaneet 2013-&gt;'!$D:$D,0)),INDEX('Lopettaneet 2013-&gt;'!$K:$K,MATCH($D390,'Lopettaneet 2013-&gt;'!$D:$D,0)),"Jatkaa")</f>
        <v>Merged</v>
      </c>
      <c r="K390">
        <f ca="1">IF($J390="Jatkaa",DATEDIF($B390,TODAY(),"Y"),INDEX('Lopettaneet 2013-&gt;'!$L:$L,MATCH($D390,'Lopettaneet 2013-&gt;'!$D:$D,0)))</f>
        <v>4</v>
      </c>
      <c r="L390">
        <v>389</v>
      </c>
    </row>
    <row r="391" spans="1:12" x14ac:dyDescent="0.25">
      <c r="A391" t="s">
        <v>7</v>
      </c>
      <c r="B391" s="1">
        <v>42339</v>
      </c>
      <c r="C391" s="1">
        <v>55153</v>
      </c>
      <c r="D391" s="4" t="s">
        <v>999</v>
      </c>
      <c r="E391" t="s">
        <v>10</v>
      </c>
      <c r="F391" t="s">
        <v>11</v>
      </c>
      <c r="G391" t="s">
        <v>32</v>
      </c>
      <c r="H391" t="s">
        <v>2772</v>
      </c>
      <c r="I391" t="s">
        <v>2895</v>
      </c>
      <c r="J391" t="str">
        <f>IF(ISNUMBER(MATCH($D391,'Lopettaneet 2013-&gt;'!$D:$D,0)),INDEX('Lopettaneet 2013-&gt;'!$K:$K,MATCH($D391,'Lopettaneet 2013-&gt;'!$D:$D,0)),"Jatkaa")</f>
        <v>Jatkaa</v>
      </c>
      <c r="K391">
        <f ca="1">IF($J391="Jatkaa",DATEDIF($B391,TODAY(),"Y"),INDEX('Lopettaneet 2013-&gt;'!$L:$L,MATCH($D391,'Lopettaneet 2013-&gt;'!$D:$D,0)))</f>
        <v>9</v>
      </c>
      <c r="L391">
        <v>390</v>
      </c>
    </row>
    <row r="392" spans="1:12" x14ac:dyDescent="0.25">
      <c r="A392" t="s">
        <v>7</v>
      </c>
      <c r="B392" s="1">
        <v>42339</v>
      </c>
      <c r="C392" s="1">
        <v>55153</v>
      </c>
      <c r="D392" s="4" t="s">
        <v>1001</v>
      </c>
      <c r="E392" t="s">
        <v>10</v>
      </c>
      <c r="F392" t="s">
        <v>11</v>
      </c>
      <c r="G392" t="s">
        <v>32</v>
      </c>
      <c r="H392" t="s">
        <v>2772</v>
      </c>
      <c r="I392" t="s">
        <v>2895</v>
      </c>
      <c r="J392" t="str">
        <f>IF(ISNUMBER(MATCH($D392,'Lopettaneet 2013-&gt;'!$D:$D,0)),INDEX('Lopettaneet 2013-&gt;'!$K:$K,MATCH($D392,'Lopettaneet 2013-&gt;'!$D:$D,0)),"Jatkaa")</f>
        <v>Jatkaa</v>
      </c>
      <c r="K392">
        <f ca="1">IF($J392="Jatkaa",DATEDIF($B392,TODAY(),"Y"),INDEX('Lopettaneet 2013-&gt;'!$L:$L,MATCH($D392,'Lopettaneet 2013-&gt;'!$D:$D,0)))</f>
        <v>9</v>
      </c>
      <c r="L392">
        <v>391</v>
      </c>
    </row>
    <row r="393" spans="1:12" x14ac:dyDescent="0.25">
      <c r="A393" t="s">
        <v>0</v>
      </c>
      <c r="B393" s="1">
        <v>42370</v>
      </c>
      <c r="C393" s="1">
        <v>55153</v>
      </c>
      <c r="D393" s="4" t="s">
        <v>1003</v>
      </c>
      <c r="E393" t="s">
        <v>3</v>
      </c>
      <c r="F393" t="s">
        <v>4</v>
      </c>
      <c r="G393" t="s">
        <v>20</v>
      </c>
      <c r="H393" t="s">
        <v>2771</v>
      </c>
      <c r="I393" t="s">
        <v>2894</v>
      </c>
      <c r="J393" t="str">
        <f>IF(ISNUMBER(MATCH($D393,'Lopettaneet 2013-&gt;'!$D:$D,0)),INDEX('Lopettaneet 2013-&gt;'!$K:$K,MATCH($D393,'Lopettaneet 2013-&gt;'!$D:$D,0)),"Jatkaa")</f>
        <v>Jatkaa</v>
      </c>
      <c r="K393">
        <f ca="1">IF($J393="Jatkaa",DATEDIF($B393,TODAY(),"Y"),INDEX('Lopettaneet 2013-&gt;'!$L:$L,MATCH($D393,'Lopettaneet 2013-&gt;'!$D:$D,0)))</f>
        <v>9</v>
      </c>
      <c r="L393">
        <v>392</v>
      </c>
    </row>
    <row r="394" spans="1:12" x14ac:dyDescent="0.25">
      <c r="A394" t="s">
        <v>7</v>
      </c>
      <c r="B394" s="1">
        <v>42430</v>
      </c>
      <c r="C394" s="1">
        <v>55153</v>
      </c>
      <c r="D394" s="4" t="s">
        <v>1005</v>
      </c>
      <c r="E394" t="s">
        <v>10</v>
      </c>
      <c r="F394" t="s">
        <v>11</v>
      </c>
      <c r="G394" t="s">
        <v>12</v>
      </c>
      <c r="H394" t="s">
        <v>2831</v>
      </c>
      <c r="I394" t="s">
        <v>2895</v>
      </c>
      <c r="J394" t="str">
        <f>IF(ISNUMBER(MATCH($D394,'Lopettaneet 2013-&gt;'!$D:$D,0)),INDEX('Lopettaneet 2013-&gt;'!$K:$K,MATCH($D394,'Lopettaneet 2013-&gt;'!$D:$D,0)),"Jatkaa")</f>
        <v>Jatkaa</v>
      </c>
      <c r="K394">
        <f ca="1">IF($J394="Jatkaa",DATEDIF($B394,TODAY(),"Y"),INDEX('Lopettaneet 2013-&gt;'!$L:$L,MATCH($D394,'Lopettaneet 2013-&gt;'!$D:$D,0)))</f>
        <v>9</v>
      </c>
      <c r="L394">
        <v>393</v>
      </c>
    </row>
    <row r="395" spans="1:12" x14ac:dyDescent="0.25">
      <c r="A395" t="s">
        <v>7</v>
      </c>
      <c r="B395" s="1">
        <v>42339</v>
      </c>
      <c r="C395" s="1">
        <v>43830</v>
      </c>
      <c r="D395" s="4" t="s">
        <v>1007</v>
      </c>
      <c r="E395" t="s">
        <v>10</v>
      </c>
      <c r="F395" t="s">
        <v>11</v>
      </c>
      <c r="G395" t="s">
        <v>32</v>
      </c>
      <c r="H395" t="s">
        <v>2763</v>
      </c>
      <c r="I395" t="s">
        <v>2763</v>
      </c>
      <c r="J395" t="str">
        <f>IF(ISNUMBER(MATCH($D395,'Lopettaneet 2013-&gt;'!$D:$D,0)),INDEX('Lopettaneet 2013-&gt;'!$K:$K,MATCH($D395,'Lopettaneet 2013-&gt;'!$D:$D,0)),"Jatkaa")</f>
        <v>Closed</v>
      </c>
      <c r="K395">
        <f ca="1">IF($J395="Jatkaa",DATEDIF($B395,TODAY(),"Y"),INDEX('Lopettaneet 2013-&gt;'!$L:$L,MATCH($D395,'Lopettaneet 2013-&gt;'!$D:$D,0)))</f>
        <v>4</v>
      </c>
      <c r="L395">
        <v>394</v>
      </c>
    </row>
    <row r="396" spans="1:12" x14ac:dyDescent="0.25">
      <c r="A396" t="s">
        <v>7</v>
      </c>
      <c r="B396" s="1">
        <v>42370</v>
      </c>
      <c r="C396" s="1">
        <v>55153</v>
      </c>
      <c r="D396" s="4" t="s">
        <v>1009</v>
      </c>
      <c r="E396" t="s">
        <v>10</v>
      </c>
      <c r="F396" t="s">
        <v>11</v>
      </c>
      <c r="G396" t="s">
        <v>80</v>
      </c>
      <c r="H396" t="s">
        <v>2794</v>
      </c>
      <c r="I396" t="s">
        <v>2895</v>
      </c>
      <c r="J396" t="str">
        <f>IF(ISNUMBER(MATCH($D396,'Lopettaneet 2013-&gt;'!$D:$D,0)),INDEX('Lopettaneet 2013-&gt;'!$K:$K,MATCH($D396,'Lopettaneet 2013-&gt;'!$D:$D,0)),"Jatkaa")</f>
        <v>Jatkaa</v>
      </c>
      <c r="K396">
        <f ca="1">IF($J396="Jatkaa",DATEDIF($B396,TODAY(),"Y"),INDEX('Lopettaneet 2013-&gt;'!$L:$L,MATCH($D396,'Lopettaneet 2013-&gt;'!$D:$D,0)))</f>
        <v>9</v>
      </c>
      <c r="L396">
        <v>395</v>
      </c>
    </row>
    <row r="397" spans="1:12" x14ac:dyDescent="0.25">
      <c r="A397" t="s">
        <v>0</v>
      </c>
      <c r="B397" s="1">
        <v>42491</v>
      </c>
      <c r="C397" s="1">
        <v>55153</v>
      </c>
      <c r="D397" s="4" t="s">
        <v>1011</v>
      </c>
      <c r="E397" t="s">
        <v>10</v>
      </c>
      <c r="F397" t="s">
        <v>4</v>
      </c>
      <c r="G397" t="s">
        <v>32</v>
      </c>
      <c r="H397" t="s">
        <v>2802</v>
      </c>
      <c r="I397" t="s">
        <v>2894</v>
      </c>
      <c r="J397" t="str">
        <f>IF(ISNUMBER(MATCH($D397,'Lopettaneet 2013-&gt;'!$D:$D,0)),INDEX('Lopettaneet 2013-&gt;'!$K:$K,MATCH($D397,'Lopettaneet 2013-&gt;'!$D:$D,0)),"Jatkaa")</f>
        <v>Jatkaa</v>
      </c>
      <c r="K397">
        <f ca="1">IF($J397="Jatkaa",DATEDIF($B397,TODAY(),"Y"),INDEX('Lopettaneet 2013-&gt;'!$L:$L,MATCH($D397,'Lopettaneet 2013-&gt;'!$D:$D,0)))</f>
        <v>9</v>
      </c>
      <c r="L397">
        <v>396</v>
      </c>
    </row>
    <row r="398" spans="1:12" x14ac:dyDescent="0.25">
      <c r="A398" t="s">
        <v>0</v>
      </c>
      <c r="B398" s="1">
        <v>42370</v>
      </c>
      <c r="C398" s="1">
        <v>55153</v>
      </c>
      <c r="D398" s="4" t="s">
        <v>1013</v>
      </c>
      <c r="E398" t="s">
        <v>10</v>
      </c>
      <c r="F398" t="s">
        <v>4</v>
      </c>
      <c r="G398" t="s">
        <v>32</v>
      </c>
      <c r="H398" t="s">
        <v>2770</v>
      </c>
      <c r="I398" t="s">
        <v>2894</v>
      </c>
      <c r="J398" t="str">
        <f>IF(ISNUMBER(MATCH($D398,'Lopettaneet 2013-&gt;'!$D:$D,0)),INDEX('Lopettaneet 2013-&gt;'!$K:$K,MATCH($D398,'Lopettaneet 2013-&gt;'!$D:$D,0)),"Jatkaa")</f>
        <v>Jatkaa</v>
      </c>
      <c r="K398">
        <f ca="1">IF($J398="Jatkaa",DATEDIF($B398,TODAY(),"Y"),INDEX('Lopettaneet 2013-&gt;'!$L:$L,MATCH($D398,'Lopettaneet 2013-&gt;'!$D:$D,0)))</f>
        <v>9</v>
      </c>
      <c r="L398">
        <v>397</v>
      </c>
    </row>
    <row r="399" spans="1:12" x14ac:dyDescent="0.25">
      <c r="A399" t="s">
        <v>7</v>
      </c>
      <c r="B399" s="1">
        <v>42430</v>
      </c>
      <c r="C399" s="1">
        <v>55153</v>
      </c>
      <c r="D399" s="4" t="s">
        <v>1015</v>
      </c>
      <c r="E399" t="s">
        <v>10</v>
      </c>
      <c r="F399" t="s">
        <v>11</v>
      </c>
      <c r="G399" t="s">
        <v>32</v>
      </c>
      <c r="H399" t="s">
        <v>2791</v>
      </c>
      <c r="I399" t="s">
        <v>2895</v>
      </c>
      <c r="J399" t="str">
        <f>IF(ISNUMBER(MATCH($D399,'Lopettaneet 2013-&gt;'!$D:$D,0)),INDEX('Lopettaneet 2013-&gt;'!$K:$K,MATCH($D399,'Lopettaneet 2013-&gt;'!$D:$D,0)),"Jatkaa")</f>
        <v>Jatkaa</v>
      </c>
      <c r="K399">
        <f ca="1">IF($J399="Jatkaa",DATEDIF($B399,TODAY(),"Y"),INDEX('Lopettaneet 2013-&gt;'!$L:$L,MATCH($D399,'Lopettaneet 2013-&gt;'!$D:$D,0)))</f>
        <v>9</v>
      </c>
      <c r="L399">
        <v>398</v>
      </c>
    </row>
    <row r="400" spans="1:12" x14ac:dyDescent="0.25">
      <c r="A400" t="s">
        <v>0</v>
      </c>
      <c r="B400" s="1">
        <v>42370</v>
      </c>
      <c r="C400" s="1">
        <v>55153</v>
      </c>
      <c r="D400" s="4" t="s">
        <v>1017</v>
      </c>
      <c r="E400" t="s">
        <v>10</v>
      </c>
      <c r="F400" t="s">
        <v>4</v>
      </c>
      <c r="G400" t="s">
        <v>5</v>
      </c>
      <c r="H400" t="s">
        <v>2777</v>
      </c>
      <c r="I400" t="s">
        <v>2894</v>
      </c>
      <c r="J400" t="str">
        <f>IF(ISNUMBER(MATCH($D400,'Lopettaneet 2013-&gt;'!$D:$D,0)),INDEX('Lopettaneet 2013-&gt;'!$K:$K,MATCH($D400,'Lopettaneet 2013-&gt;'!$D:$D,0)),"Jatkaa")</f>
        <v>Jatkaa</v>
      </c>
      <c r="K400">
        <f ca="1">IF($J400="Jatkaa",DATEDIF($B400,TODAY(),"Y"),INDEX('Lopettaneet 2013-&gt;'!$L:$L,MATCH($D400,'Lopettaneet 2013-&gt;'!$D:$D,0)))</f>
        <v>9</v>
      </c>
      <c r="L400">
        <v>399</v>
      </c>
    </row>
    <row r="401" spans="1:12" x14ac:dyDescent="0.25">
      <c r="A401" t="s">
        <v>0</v>
      </c>
      <c r="B401" s="1">
        <v>42370</v>
      </c>
      <c r="C401" s="1">
        <v>55153</v>
      </c>
      <c r="D401" s="4" t="s">
        <v>1019</v>
      </c>
      <c r="E401" t="s">
        <v>10</v>
      </c>
      <c r="F401" t="s">
        <v>4</v>
      </c>
      <c r="G401" t="s">
        <v>20</v>
      </c>
      <c r="H401" t="s">
        <v>2777</v>
      </c>
      <c r="I401" t="s">
        <v>2894</v>
      </c>
      <c r="J401" t="str">
        <f>IF(ISNUMBER(MATCH($D401,'Lopettaneet 2013-&gt;'!$D:$D,0)),INDEX('Lopettaneet 2013-&gt;'!$K:$K,MATCH($D401,'Lopettaneet 2013-&gt;'!$D:$D,0)),"Jatkaa")</f>
        <v>Jatkaa</v>
      </c>
      <c r="K401">
        <f ca="1">IF($J401="Jatkaa",DATEDIF($B401,TODAY(),"Y"),INDEX('Lopettaneet 2013-&gt;'!$L:$L,MATCH($D401,'Lopettaneet 2013-&gt;'!$D:$D,0)))</f>
        <v>9</v>
      </c>
      <c r="L401">
        <v>400</v>
      </c>
    </row>
    <row r="402" spans="1:12" x14ac:dyDescent="0.25">
      <c r="A402" t="s">
        <v>0</v>
      </c>
      <c r="B402" s="1">
        <v>42370</v>
      </c>
      <c r="C402" s="1">
        <v>55153</v>
      </c>
      <c r="D402" s="4" t="s">
        <v>1021</v>
      </c>
      <c r="E402" t="s">
        <v>10</v>
      </c>
      <c r="F402" t="s">
        <v>4</v>
      </c>
      <c r="G402" t="s">
        <v>50</v>
      </c>
      <c r="H402" t="s">
        <v>2777</v>
      </c>
      <c r="I402" t="s">
        <v>2894</v>
      </c>
      <c r="J402" t="str">
        <f>IF(ISNUMBER(MATCH($D402,'Lopettaneet 2013-&gt;'!$D:$D,0)),INDEX('Lopettaneet 2013-&gt;'!$K:$K,MATCH($D402,'Lopettaneet 2013-&gt;'!$D:$D,0)),"Jatkaa")</f>
        <v>Jatkaa</v>
      </c>
      <c r="K402">
        <f ca="1">IF($J402="Jatkaa",DATEDIF($B402,TODAY(),"Y"),INDEX('Lopettaneet 2013-&gt;'!$L:$L,MATCH($D402,'Lopettaneet 2013-&gt;'!$D:$D,0)))</f>
        <v>9</v>
      </c>
      <c r="L402">
        <v>401</v>
      </c>
    </row>
    <row r="403" spans="1:12" x14ac:dyDescent="0.25">
      <c r="A403" t="s">
        <v>0</v>
      </c>
      <c r="B403" s="1">
        <v>42370</v>
      </c>
      <c r="C403" s="1">
        <v>55153</v>
      </c>
      <c r="D403" s="4" t="s">
        <v>1023</v>
      </c>
      <c r="E403" t="s">
        <v>10</v>
      </c>
      <c r="F403" t="s">
        <v>4</v>
      </c>
      <c r="G403" t="s">
        <v>5</v>
      </c>
      <c r="H403" t="s">
        <v>2766</v>
      </c>
      <c r="I403" t="s">
        <v>2894</v>
      </c>
      <c r="J403" t="str">
        <f>IF(ISNUMBER(MATCH($D403,'Lopettaneet 2013-&gt;'!$D:$D,0)),INDEX('Lopettaneet 2013-&gt;'!$K:$K,MATCH($D403,'Lopettaneet 2013-&gt;'!$D:$D,0)),"Jatkaa")</f>
        <v>Jatkaa</v>
      </c>
      <c r="K403">
        <f ca="1">IF($J403="Jatkaa",DATEDIF($B403,TODAY(),"Y"),INDEX('Lopettaneet 2013-&gt;'!$L:$L,MATCH($D403,'Lopettaneet 2013-&gt;'!$D:$D,0)))</f>
        <v>9</v>
      </c>
      <c r="L403">
        <v>402</v>
      </c>
    </row>
    <row r="404" spans="1:12" x14ac:dyDescent="0.25">
      <c r="A404" t="s">
        <v>7</v>
      </c>
      <c r="B404" s="1">
        <v>42430</v>
      </c>
      <c r="C404" s="1">
        <v>45199</v>
      </c>
      <c r="D404" s="4" t="s">
        <v>34</v>
      </c>
      <c r="E404" t="s">
        <v>10</v>
      </c>
      <c r="F404" t="s">
        <v>11</v>
      </c>
      <c r="G404" t="s">
        <v>32</v>
      </c>
      <c r="H404" t="s">
        <v>2763</v>
      </c>
      <c r="I404" t="s">
        <v>2763</v>
      </c>
      <c r="J404" t="str">
        <f>IF(ISNUMBER(MATCH($D404,'Lopettaneet 2013-&gt;'!$D:$D,0)),INDEX('Lopettaneet 2013-&gt;'!$K:$K,MATCH($D404,'Lopettaneet 2013-&gt;'!$D:$D,0)),"Jatkaa")</f>
        <v>Closed</v>
      </c>
      <c r="K404">
        <f ca="1">IF($J404="Jatkaa",DATEDIF($B404,TODAY(),"Y"),INDEX('Lopettaneet 2013-&gt;'!$L:$L,MATCH($D404,'Lopettaneet 2013-&gt;'!$D:$D,0)))</f>
        <v>7</v>
      </c>
      <c r="L404">
        <v>403</v>
      </c>
    </row>
    <row r="405" spans="1:12" x14ac:dyDescent="0.25">
      <c r="A405" t="s">
        <v>7</v>
      </c>
      <c r="B405" s="1">
        <v>42430</v>
      </c>
      <c r="C405" s="1">
        <v>43251</v>
      </c>
      <c r="D405" s="4" t="s">
        <v>1025</v>
      </c>
      <c r="E405" t="s">
        <v>10</v>
      </c>
      <c r="F405" t="s">
        <v>11</v>
      </c>
      <c r="G405" t="s">
        <v>12</v>
      </c>
      <c r="H405" t="s">
        <v>2763</v>
      </c>
      <c r="I405" t="s">
        <v>2763</v>
      </c>
      <c r="J405" t="str">
        <f>IF(ISNUMBER(MATCH($D405,'Lopettaneet 2013-&gt;'!$D:$D,0)),INDEX('Lopettaneet 2013-&gt;'!$K:$K,MATCH($D405,'Lopettaneet 2013-&gt;'!$D:$D,0)),"Jatkaa")</f>
        <v>Closed</v>
      </c>
      <c r="K405">
        <f ca="1">IF($J405="Jatkaa",DATEDIF($B405,TODAY(),"Y"),INDEX('Lopettaneet 2013-&gt;'!$L:$L,MATCH($D405,'Lopettaneet 2013-&gt;'!$D:$D,0)))</f>
        <v>2</v>
      </c>
      <c r="L405">
        <v>404</v>
      </c>
    </row>
    <row r="406" spans="1:12" x14ac:dyDescent="0.25">
      <c r="A406" t="s">
        <v>0</v>
      </c>
      <c r="B406" s="1">
        <v>42401</v>
      </c>
      <c r="C406" s="1">
        <v>45230</v>
      </c>
      <c r="D406" s="4" t="s">
        <v>36</v>
      </c>
      <c r="E406" t="s">
        <v>10</v>
      </c>
      <c r="F406" t="s">
        <v>4</v>
      </c>
      <c r="G406" t="s">
        <v>29</v>
      </c>
      <c r="H406" t="s">
        <v>2763</v>
      </c>
      <c r="I406" t="s">
        <v>2763</v>
      </c>
      <c r="J406" t="str">
        <f>IF(ISNUMBER(MATCH($D406,'Lopettaneet 2013-&gt;'!$D:$D,0)),INDEX('Lopettaneet 2013-&gt;'!$K:$K,MATCH($D406,'Lopettaneet 2013-&gt;'!$D:$D,0)),"Jatkaa")</f>
        <v>Merged</v>
      </c>
      <c r="K406">
        <f ca="1">IF($J406="Jatkaa",DATEDIF($B406,TODAY(),"Y"),INDEX('Lopettaneet 2013-&gt;'!$L:$L,MATCH($D406,'Lopettaneet 2013-&gt;'!$D:$D,0)))</f>
        <v>7</v>
      </c>
      <c r="L406">
        <v>405</v>
      </c>
    </row>
    <row r="407" spans="1:12" x14ac:dyDescent="0.25">
      <c r="A407" t="s">
        <v>7</v>
      </c>
      <c r="B407" s="1">
        <v>42461</v>
      </c>
      <c r="C407" s="1">
        <v>55153</v>
      </c>
      <c r="D407" s="4" t="s">
        <v>1028</v>
      </c>
      <c r="E407" t="s">
        <v>10</v>
      </c>
      <c r="F407" t="s">
        <v>11</v>
      </c>
      <c r="G407" t="s">
        <v>32</v>
      </c>
      <c r="H407" t="s">
        <v>2771</v>
      </c>
      <c r="I407" t="s">
        <v>2894</v>
      </c>
      <c r="J407" t="str">
        <f>IF(ISNUMBER(MATCH($D407,'Lopettaneet 2013-&gt;'!$D:$D,0)),INDEX('Lopettaneet 2013-&gt;'!$K:$K,MATCH($D407,'Lopettaneet 2013-&gt;'!$D:$D,0)),"Jatkaa")</f>
        <v>Jatkaa</v>
      </c>
      <c r="K407">
        <f ca="1">IF($J407="Jatkaa",DATEDIF($B407,TODAY(),"Y"),INDEX('Lopettaneet 2013-&gt;'!$L:$L,MATCH($D407,'Lopettaneet 2013-&gt;'!$D:$D,0)))</f>
        <v>9</v>
      </c>
      <c r="L407">
        <v>406</v>
      </c>
    </row>
    <row r="408" spans="1:12" x14ac:dyDescent="0.25">
      <c r="A408" t="s">
        <v>0</v>
      </c>
      <c r="B408" s="1">
        <v>42522</v>
      </c>
      <c r="C408" s="1">
        <v>43677</v>
      </c>
      <c r="D408" s="4" t="s">
        <v>1030</v>
      </c>
      <c r="E408" t="s">
        <v>3</v>
      </c>
      <c r="F408" t="s">
        <v>4</v>
      </c>
      <c r="G408" t="s">
        <v>20</v>
      </c>
      <c r="H408" t="s">
        <v>2763</v>
      </c>
      <c r="I408" t="s">
        <v>2763</v>
      </c>
      <c r="J408" t="str">
        <f>IF(ISNUMBER(MATCH($D408,'Lopettaneet 2013-&gt;'!$D:$D,0)),INDEX('Lopettaneet 2013-&gt;'!$K:$K,MATCH($D408,'Lopettaneet 2013-&gt;'!$D:$D,0)),"Jatkaa")</f>
        <v>Closed</v>
      </c>
      <c r="K408">
        <f ca="1">IF($J408="Jatkaa",DATEDIF($B408,TODAY(),"Y"),INDEX('Lopettaneet 2013-&gt;'!$L:$L,MATCH($D408,'Lopettaneet 2013-&gt;'!$D:$D,0)))</f>
        <v>3</v>
      </c>
      <c r="L408">
        <v>407</v>
      </c>
    </row>
    <row r="409" spans="1:12" x14ac:dyDescent="0.25">
      <c r="A409" t="s">
        <v>0</v>
      </c>
      <c r="B409" s="1">
        <v>42491</v>
      </c>
      <c r="C409" s="1">
        <v>43404</v>
      </c>
      <c r="D409" s="4" t="s">
        <v>1032</v>
      </c>
      <c r="E409" t="s">
        <v>3</v>
      </c>
      <c r="F409" t="s">
        <v>4</v>
      </c>
      <c r="G409" t="s">
        <v>20</v>
      </c>
      <c r="H409" t="s">
        <v>2763</v>
      </c>
      <c r="I409" t="s">
        <v>2763</v>
      </c>
      <c r="J409" t="str">
        <f>IF(ISNUMBER(MATCH($D409,'Lopettaneet 2013-&gt;'!$D:$D,0)),INDEX('Lopettaneet 2013-&gt;'!$K:$K,MATCH($D409,'Lopettaneet 2013-&gt;'!$D:$D,0)),"Jatkaa")</f>
        <v>Closed</v>
      </c>
      <c r="K409">
        <f ca="1">IF($J409="Jatkaa",DATEDIF($B409,TODAY(),"Y"),INDEX('Lopettaneet 2013-&gt;'!$L:$L,MATCH($D409,'Lopettaneet 2013-&gt;'!$D:$D,0)))</f>
        <v>2</v>
      </c>
      <c r="L409">
        <v>408</v>
      </c>
    </row>
    <row r="410" spans="1:12" x14ac:dyDescent="0.25">
      <c r="A410" t="s">
        <v>0</v>
      </c>
      <c r="B410" s="1">
        <v>42491</v>
      </c>
      <c r="C410" s="1">
        <v>43404</v>
      </c>
      <c r="D410" s="4" t="s">
        <v>1034</v>
      </c>
      <c r="E410" t="s">
        <v>3</v>
      </c>
      <c r="F410" t="s">
        <v>4</v>
      </c>
      <c r="G410" t="s">
        <v>50</v>
      </c>
      <c r="H410" t="s">
        <v>2763</v>
      </c>
      <c r="I410" t="s">
        <v>2763</v>
      </c>
      <c r="J410" t="str">
        <f>IF(ISNUMBER(MATCH($D410,'Lopettaneet 2013-&gt;'!$D:$D,0)),INDEX('Lopettaneet 2013-&gt;'!$K:$K,MATCH($D410,'Lopettaneet 2013-&gt;'!$D:$D,0)),"Jatkaa")</f>
        <v>Closed</v>
      </c>
      <c r="K410">
        <f ca="1">IF($J410="Jatkaa",DATEDIF($B410,TODAY(),"Y"),INDEX('Lopettaneet 2013-&gt;'!$L:$L,MATCH($D410,'Lopettaneet 2013-&gt;'!$D:$D,0)))</f>
        <v>2</v>
      </c>
      <c r="L410">
        <v>409</v>
      </c>
    </row>
    <row r="411" spans="1:12" x14ac:dyDescent="0.25">
      <c r="A411" t="s">
        <v>0</v>
      </c>
      <c r="B411" s="1">
        <v>42491</v>
      </c>
      <c r="C411" s="1">
        <v>55153</v>
      </c>
      <c r="D411" s="4" t="s">
        <v>1036</v>
      </c>
      <c r="E411" t="s">
        <v>3</v>
      </c>
      <c r="F411" t="s">
        <v>4</v>
      </c>
      <c r="G411" t="s">
        <v>32</v>
      </c>
      <c r="H411" t="s">
        <v>2774</v>
      </c>
      <c r="I411" t="s">
        <v>2894</v>
      </c>
      <c r="J411" t="str">
        <f>IF(ISNUMBER(MATCH($D411,'Lopettaneet 2013-&gt;'!$D:$D,0)),INDEX('Lopettaneet 2013-&gt;'!$K:$K,MATCH($D411,'Lopettaneet 2013-&gt;'!$D:$D,0)),"Jatkaa")</f>
        <v>Jatkaa</v>
      </c>
      <c r="K411">
        <f ca="1">IF($J411="Jatkaa",DATEDIF($B411,TODAY(),"Y"),INDEX('Lopettaneet 2013-&gt;'!$L:$L,MATCH($D411,'Lopettaneet 2013-&gt;'!$D:$D,0)))</f>
        <v>9</v>
      </c>
      <c r="L411">
        <v>410</v>
      </c>
    </row>
    <row r="412" spans="1:12" x14ac:dyDescent="0.25">
      <c r="A412" t="s">
        <v>7</v>
      </c>
      <c r="B412" s="1">
        <v>42430</v>
      </c>
      <c r="C412" s="1">
        <v>55153</v>
      </c>
      <c r="D412" s="4" t="s">
        <v>1038</v>
      </c>
      <c r="E412" t="s">
        <v>10</v>
      </c>
      <c r="F412" t="s">
        <v>11</v>
      </c>
      <c r="G412" t="s">
        <v>80</v>
      </c>
      <c r="H412" t="s">
        <v>2801</v>
      </c>
      <c r="I412" t="s">
        <v>2894</v>
      </c>
      <c r="J412" t="str">
        <f>IF(ISNUMBER(MATCH($D412,'Lopettaneet 2013-&gt;'!$D:$D,0)),INDEX('Lopettaneet 2013-&gt;'!$K:$K,MATCH($D412,'Lopettaneet 2013-&gt;'!$D:$D,0)),"Jatkaa")</f>
        <v>Jatkaa</v>
      </c>
      <c r="K412">
        <f ca="1">IF($J412="Jatkaa",DATEDIF($B412,TODAY(),"Y"),INDEX('Lopettaneet 2013-&gt;'!$L:$L,MATCH($D412,'Lopettaneet 2013-&gt;'!$D:$D,0)))</f>
        <v>9</v>
      </c>
      <c r="L412">
        <v>411</v>
      </c>
    </row>
    <row r="413" spans="1:12" x14ac:dyDescent="0.25">
      <c r="A413" t="s">
        <v>7</v>
      </c>
      <c r="B413" s="1">
        <v>42430</v>
      </c>
      <c r="C413" s="1">
        <v>55153</v>
      </c>
      <c r="D413" s="4" t="s">
        <v>1040</v>
      </c>
      <c r="E413" t="s">
        <v>10</v>
      </c>
      <c r="F413" t="s">
        <v>11</v>
      </c>
      <c r="G413" t="s">
        <v>80</v>
      </c>
      <c r="H413" t="s">
        <v>2801</v>
      </c>
      <c r="I413" t="s">
        <v>2894</v>
      </c>
      <c r="J413" t="str">
        <f>IF(ISNUMBER(MATCH($D413,'Lopettaneet 2013-&gt;'!$D:$D,0)),INDEX('Lopettaneet 2013-&gt;'!$K:$K,MATCH($D413,'Lopettaneet 2013-&gt;'!$D:$D,0)),"Jatkaa")</f>
        <v>Jatkaa</v>
      </c>
      <c r="K413">
        <f ca="1">IF($J413="Jatkaa",DATEDIF($B413,TODAY(),"Y"),INDEX('Lopettaneet 2013-&gt;'!$L:$L,MATCH($D413,'Lopettaneet 2013-&gt;'!$D:$D,0)))</f>
        <v>9</v>
      </c>
      <c r="L413">
        <v>412</v>
      </c>
    </row>
    <row r="414" spans="1:12" x14ac:dyDescent="0.25">
      <c r="A414" t="s">
        <v>7</v>
      </c>
      <c r="B414" s="1">
        <v>42430</v>
      </c>
      <c r="C414" s="1">
        <v>55153</v>
      </c>
      <c r="D414" s="4" t="s">
        <v>1042</v>
      </c>
      <c r="E414" t="s">
        <v>10</v>
      </c>
      <c r="F414" t="s">
        <v>11</v>
      </c>
      <c r="G414" t="s">
        <v>80</v>
      </c>
      <c r="H414" t="s">
        <v>2801</v>
      </c>
      <c r="I414" t="s">
        <v>2894</v>
      </c>
      <c r="J414" t="str">
        <f>IF(ISNUMBER(MATCH($D414,'Lopettaneet 2013-&gt;'!$D:$D,0)),INDEX('Lopettaneet 2013-&gt;'!$K:$K,MATCH($D414,'Lopettaneet 2013-&gt;'!$D:$D,0)),"Jatkaa")</f>
        <v>Jatkaa</v>
      </c>
      <c r="K414">
        <f ca="1">IF($J414="Jatkaa",DATEDIF($B414,TODAY(),"Y"),INDEX('Lopettaneet 2013-&gt;'!$L:$L,MATCH($D414,'Lopettaneet 2013-&gt;'!$D:$D,0)))</f>
        <v>9</v>
      </c>
      <c r="L414">
        <v>413</v>
      </c>
    </row>
    <row r="415" spans="1:12" x14ac:dyDescent="0.25">
      <c r="A415" t="s">
        <v>7</v>
      </c>
      <c r="B415" s="1">
        <v>42430</v>
      </c>
      <c r="C415" s="1">
        <v>55153</v>
      </c>
      <c r="D415" s="4" t="s">
        <v>1044</v>
      </c>
      <c r="E415" t="s">
        <v>10</v>
      </c>
      <c r="F415" t="s">
        <v>11</v>
      </c>
      <c r="G415" t="s">
        <v>80</v>
      </c>
      <c r="H415" t="s">
        <v>2812</v>
      </c>
      <c r="I415" t="s">
        <v>2895</v>
      </c>
      <c r="J415" t="str">
        <f>IF(ISNUMBER(MATCH($D415,'Lopettaneet 2013-&gt;'!$D:$D,0)),INDEX('Lopettaneet 2013-&gt;'!$K:$K,MATCH($D415,'Lopettaneet 2013-&gt;'!$D:$D,0)),"Jatkaa")</f>
        <v>Jatkaa</v>
      </c>
      <c r="K415">
        <f ca="1">IF($J415="Jatkaa",DATEDIF($B415,TODAY(),"Y"),INDEX('Lopettaneet 2013-&gt;'!$L:$L,MATCH($D415,'Lopettaneet 2013-&gt;'!$D:$D,0)))</f>
        <v>9</v>
      </c>
      <c r="L415">
        <v>414</v>
      </c>
    </row>
    <row r="416" spans="1:12" x14ac:dyDescent="0.25">
      <c r="A416" t="s">
        <v>0</v>
      </c>
      <c r="B416" s="1">
        <v>42461</v>
      </c>
      <c r="C416" s="1">
        <v>43465</v>
      </c>
      <c r="D416" s="4" t="s">
        <v>1046</v>
      </c>
      <c r="E416" t="s">
        <v>10</v>
      </c>
      <c r="F416" t="s">
        <v>4</v>
      </c>
      <c r="G416" t="s">
        <v>29</v>
      </c>
      <c r="H416" t="s">
        <v>2763</v>
      </c>
      <c r="I416" t="s">
        <v>2763</v>
      </c>
      <c r="J416" t="str">
        <f>IF(ISNUMBER(MATCH($D416,'Lopettaneet 2013-&gt;'!$D:$D,0)),INDEX('Lopettaneet 2013-&gt;'!$K:$K,MATCH($D416,'Lopettaneet 2013-&gt;'!$D:$D,0)),"Jatkaa")</f>
        <v>Merged</v>
      </c>
      <c r="K416">
        <f ca="1">IF($J416="Jatkaa",DATEDIF($B416,TODAY(),"Y"),INDEX('Lopettaneet 2013-&gt;'!$L:$L,MATCH($D416,'Lopettaneet 2013-&gt;'!$D:$D,0)))</f>
        <v>2</v>
      </c>
      <c r="L416">
        <v>415</v>
      </c>
    </row>
    <row r="417" spans="1:12" x14ac:dyDescent="0.25">
      <c r="A417" t="s">
        <v>0</v>
      </c>
      <c r="B417" s="1">
        <v>42522</v>
      </c>
      <c r="C417" s="1">
        <v>55153</v>
      </c>
      <c r="D417" s="4" t="s">
        <v>1048</v>
      </c>
      <c r="E417" t="s">
        <v>10</v>
      </c>
      <c r="F417" t="s">
        <v>4</v>
      </c>
      <c r="G417" t="s">
        <v>32</v>
      </c>
      <c r="H417" t="s">
        <v>2775</v>
      </c>
      <c r="I417" t="s">
        <v>2894</v>
      </c>
      <c r="J417" t="str">
        <f>IF(ISNUMBER(MATCH($D417,'Lopettaneet 2013-&gt;'!$D:$D,0)),INDEX('Lopettaneet 2013-&gt;'!$K:$K,MATCH($D417,'Lopettaneet 2013-&gt;'!$D:$D,0)),"Jatkaa")</f>
        <v>Jatkaa</v>
      </c>
      <c r="K417">
        <f ca="1">IF($J417="Jatkaa",DATEDIF($B417,TODAY(),"Y"),INDEX('Lopettaneet 2013-&gt;'!$L:$L,MATCH($D417,'Lopettaneet 2013-&gt;'!$D:$D,0)))</f>
        <v>8</v>
      </c>
      <c r="L417">
        <v>416</v>
      </c>
    </row>
    <row r="418" spans="1:12" x14ac:dyDescent="0.25">
      <c r="A418" t="s">
        <v>0</v>
      </c>
      <c r="B418" s="1">
        <v>42522</v>
      </c>
      <c r="C418" s="1">
        <v>55153</v>
      </c>
      <c r="D418" s="4" t="s">
        <v>1050</v>
      </c>
      <c r="E418" t="s">
        <v>10</v>
      </c>
      <c r="F418" t="s">
        <v>11</v>
      </c>
      <c r="G418" t="s">
        <v>20</v>
      </c>
      <c r="H418" t="s">
        <v>2766</v>
      </c>
      <c r="I418" t="s">
        <v>2895</v>
      </c>
      <c r="J418" t="str">
        <f>IF(ISNUMBER(MATCH($D418,'Lopettaneet 2013-&gt;'!$D:$D,0)),INDEX('Lopettaneet 2013-&gt;'!$K:$K,MATCH($D418,'Lopettaneet 2013-&gt;'!$D:$D,0)),"Jatkaa")</f>
        <v>Jatkaa</v>
      </c>
      <c r="K418">
        <f ca="1">IF($J418="Jatkaa",DATEDIF($B418,TODAY(),"Y"),INDEX('Lopettaneet 2013-&gt;'!$L:$L,MATCH($D418,'Lopettaneet 2013-&gt;'!$D:$D,0)))</f>
        <v>8</v>
      </c>
      <c r="L418">
        <v>417</v>
      </c>
    </row>
    <row r="419" spans="1:12" x14ac:dyDescent="0.25">
      <c r="A419" t="s">
        <v>0</v>
      </c>
      <c r="B419" s="1">
        <v>42491</v>
      </c>
      <c r="C419" s="1">
        <v>55153</v>
      </c>
      <c r="D419" s="4" t="s">
        <v>1052</v>
      </c>
      <c r="E419" t="s">
        <v>3</v>
      </c>
      <c r="F419" t="s">
        <v>4</v>
      </c>
      <c r="G419" t="s">
        <v>20</v>
      </c>
      <c r="H419" t="s">
        <v>2776</v>
      </c>
      <c r="I419" t="s">
        <v>2894</v>
      </c>
      <c r="J419" t="str">
        <f>IF(ISNUMBER(MATCH($D419,'Lopettaneet 2013-&gt;'!$D:$D,0)),INDEX('Lopettaneet 2013-&gt;'!$K:$K,MATCH($D419,'Lopettaneet 2013-&gt;'!$D:$D,0)),"Jatkaa")</f>
        <v>Jatkaa</v>
      </c>
      <c r="K419">
        <f ca="1">IF($J419="Jatkaa",DATEDIF($B419,TODAY(),"Y"),INDEX('Lopettaneet 2013-&gt;'!$L:$L,MATCH($D419,'Lopettaneet 2013-&gt;'!$D:$D,0)))</f>
        <v>9</v>
      </c>
      <c r="L419">
        <v>418</v>
      </c>
    </row>
    <row r="420" spans="1:12" x14ac:dyDescent="0.25">
      <c r="A420" t="s">
        <v>0</v>
      </c>
      <c r="B420" s="1">
        <v>42522</v>
      </c>
      <c r="C420" s="1">
        <v>55153</v>
      </c>
      <c r="D420" s="4" t="s">
        <v>1054</v>
      </c>
      <c r="E420" t="s">
        <v>3</v>
      </c>
      <c r="F420" t="s">
        <v>4</v>
      </c>
      <c r="G420" t="s">
        <v>20</v>
      </c>
      <c r="H420" t="s">
        <v>2778</v>
      </c>
      <c r="I420" t="s">
        <v>2894</v>
      </c>
      <c r="J420" t="str">
        <f>IF(ISNUMBER(MATCH($D420,'Lopettaneet 2013-&gt;'!$D:$D,0)),INDEX('Lopettaneet 2013-&gt;'!$K:$K,MATCH($D420,'Lopettaneet 2013-&gt;'!$D:$D,0)),"Jatkaa")</f>
        <v>Jatkaa</v>
      </c>
      <c r="K420">
        <f ca="1">IF($J420="Jatkaa",DATEDIF($B420,TODAY(),"Y"),INDEX('Lopettaneet 2013-&gt;'!$L:$L,MATCH($D420,'Lopettaneet 2013-&gt;'!$D:$D,0)))</f>
        <v>8</v>
      </c>
      <c r="L420">
        <v>419</v>
      </c>
    </row>
    <row r="421" spans="1:12" x14ac:dyDescent="0.25">
      <c r="A421" t="s">
        <v>7</v>
      </c>
      <c r="B421" s="1">
        <v>43160</v>
      </c>
      <c r="C421" s="1">
        <v>55153</v>
      </c>
      <c r="D421" s="4" t="s">
        <v>1056</v>
      </c>
      <c r="E421" t="s">
        <v>10</v>
      </c>
      <c r="F421" t="s">
        <v>11</v>
      </c>
      <c r="G421" t="s">
        <v>12</v>
      </c>
      <c r="H421" t="s">
        <v>2832</v>
      </c>
      <c r="I421" t="s">
        <v>2895</v>
      </c>
      <c r="J421" t="str">
        <f>IF(ISNUMBER(MATCH($D421,'Lopettaneet 2013-&gt;'!$D:$D,0)),INDEX('Lopettaneet 2013-&gt;'!$K:$K,MATCH($D421,'Lopettaneet 2013-&gt;'!$D:$D,0)),"Jatkaa")</f>
        <v>Jatkaa</v>
      </c>
      <c r="K421">
        <f ca="1">IF($J421="Jatkaa",DATEDIF($B421,TODAY(),"Y"),INDEX('Lopettaneet 2013-&gt;'!$L:$L,MATCH($D421,'Lopettaneet 2013-&gt;'!$D:$D,0)))</f>
        <v>7</v>
      </c>
      <c r="L421">
        <v>420</v>
      </c>
    </row>
    <row r="422" spans="1:12" x14ac:dyDescent="0.25">
      <c r="A422" t="s">
        <v>0</v>
      </c>
      <c r="B422" s="1">
        <v>42491</v>
      </c>
      <c r="C422" s="1">
        <v>55153</v>
      </c>
      <c r="D422" s="4" t="s">
        <v>1058</v>
      </c>
      <c r="E422" t="s">
        <v>10</v>
      </c>
      <c r="F422" t="s">
        <v>11</v>
      </c>
      <c r="G422" t="s">
        <v>20</v>
      </c>
      <c r="H422" t="s">
        <v>2766</v>
      </c>
      <c r="I422" t="s">
        <v>2895</v>
      </c>
      <c r="J422" t="str">
        <f>IF(ISNUMBER(MATCH($D422,'Lopettaneet 2013-&gt;'!$D:$D,0)),INDEX('Lopettaneet 2013-&gt;'!$K:$K,MATCH($D422,'Lopettaneet 2013-&gt;'!$D:$D,0)),"Jatkaa")</f>
        <v>Jatkaa</v>
      </c>
      <c r="K422">
        <f ca="1">IF($J422="Jatkaa",DATEDIF($B422,TODAY(),"Y"),INDEX('Lopettaneet 2013-&gt;'!$L:$L,MATCH($D422,'Lopettaneet 2013-&gt;'!$D:$D,0)))</f>
        <v>9</v>
      </c>
      <c r="L422">
        <v>421</v>
      </c>
    </row>
    <row r="423" spans="1:12" x14ac:dyDescent="0.25">
      <c r="A423" t="s">
        <v>7</v>
      </c>
      <c r="B423" s="1">
        <v>42614</v>
      </c>
      <c r="C423" s="1">
        <v>55153</v>
      </c>
      <c r="D423" s="4" t="s">
        <v>1060</v>
      </c>
      <c r="E423" t="s">
        <v>10</v>
      </c>
      <c r="F423" t="s">
        <v>11</v>
      </c>
      <c r="G423" t="s">
        <v>32</v>
      </c>
      <c r="H423" t="s">
        <v>2771</v>
      </c>
      <c r="I423" t="s">
        <v>2895</v>
      </c>
      <c r="J423" t="str">
        <f>IF(ISNUMBER(MATCH($D423,'Lopettaneet 2013-&gt;'!$D:$D,0)),INDEX('Lopettaneet 2013-&gt;'!$K:$K,MATCH($D423,'Lopettaneet 2013-&gt;'!$D:$D,0)),"Jatkaa")</f>
        <v>Jatkaa</v>
      </c>
      <c r="K423">
        <f ca="1">IF($J423="Jatkaa",DATEDIF($B423,TODAY(),"Y"),INDEX('Lopettaneet 2013-&gt;'!$L:$L,MATCH($D423,'Lopettaneet 2013-&gt;'!$D:$D,0)))</f>
        <v>8</v>
      </c>
      <c r="L423">
        <v>422</v>
      </c>
    </row>
    <row r="424" spans="1:12" x14ac:dyDescent="0.25">
      <c r="A424" t="s">
        <v>0</v>
      </c>
      <c r="B424" s="1">
        <v>42522</v>
      </c>
      <c r="C424" s="1">
        <v>55153</v>
      </c>
      <c r="D424" s="4" t="s">
        <v>1062</v>
      </c>
      <c r="E424" t="s">
        <v>3</v>
      </c>
      <c r="F424" t="s">
        <v>4</v>
      </c>
      <c r="G424" t="s">
        <v>20</v>
      </c>
      <c r="H424" t="s">
        <v>2778</v>
      </c>
      <c r="I424" t="s">
        <v>2894</v>
      </c>
      <c r="J424" t="str">
        <f>IF(ISNUMBER(MATCH($D424,'Lopettaneet 2013-&gt;'!$D:$D,0)),INDEX('Lopettaneet 2013-&gt;'!$K:$K,MATCH($D424,'Lopettaneet 2013-&gt;'!$D:$D,0)),"Jatkaa")</f>
        <v>Jatkaa</v>
      </c>
      <c r="K424">
        <f ca="1">IF($J424="Jatkaa",DATEDIF($B424,TODAY(),"Y"),INDEX('Lopettaneet 2013-&gt;'!$L:$L,MATCH($D424,'Lopettaneet 2013-&gt;'!$D:$D,0)))</f>
        <v>8</v>
      </c>
      <c r="L424">
        <v>423</v>
      </c>
    </row>
    <row r="425" spans="1:12" x14ac:dyDescent="0.25">
      <c r="A425" t="s">
        <v>7</v>
      </c>
      <c r="B425" s="1">
        <v>42522</v>
      </c>
      <c r="C425" s="1">
        <v>55153</v>
      </c>
      <c r="D425" s="4" t="s">
        <v>1064</v>
      </c>
      <c r="E425" t="s">
        <v>10</v>
      </c>
      <c r="F425" t="s">
        <v>11</v>
      </c>
      <c r="G425" t="s">
        <v>12</v>
      </c>
      <c r="H425" t="s">
        <v>2833</v>
      </c>
      <c r="I425" t="s">
        <v>2895</v>
      </c>
      <c r="J425" t="str">
        <f>IF(ISNUMBER(MATCH($D425,'Lopettaneet 2013-&gt;'!$D:$D,0)),INDEX('Lopettaneet 2013-&gt;'!$K:$K,MATCH($D425,'Lopettaneet 2013-&gt;'!$D:$D,0)),"Jatkaa")</f>
        <v>Jatkaa</v>
      </c>
      <c r="K425">
        <f ca="1">IF($J425="Jatkaa",DATEDIF($B425,TODAY(),"Y"),INDEX('Lopettaneet 2013-&gt;'!$L:$L,MATCH($D425,'Lopettaneet 2013-&gt;'!$D:$D,0)))</f>
        <v>8</v>
      </c>
      <c r="L425">
        <v>424</v>
      </c>
    </row>
    <row r="426" spans="1:12" x14ac:dyDescent="0.25">
      <c r="A426" t="s">
        <v>7</v>
      </c>
      <c r="B426" s="1">
        <v>42705</v>
      </c>
      <c r="C426" s="1">
        <v>43100</v>
      </c>
      <c r="D426" s="4" t="s">
        <v>1066</v>
      </c>
      <c r="E426" t="s">
        <v>10</v>
      </c>
      <c r="F426" t="s">
        <v>11</v>
      </c>
      <c r="G426" t="s">
        <v>80</v>
      </c>
      <c r="H426" t="s">
        <v>2763</v>
      </c>
      <c r="I426" t="s">
        <v>2763</v>
      </c>
      <c r="J426" t="str">
        <f>IF(ISNUMBER(MATCH($D426,'Lopettaneet 2013-&gt;'!$D:$D,0)),INDEX('Lopettaneet 2013-&gt;'!$K:$K,MATCH($D426,'Lopettaneet 2013-&gt;'!$D:$D,0)),"Jatkaa")</f>
        <v>Closed</v>
      </c>
      <c r="K426">
        <f ca="1">IF($J426="Jatkaa",DATEDIF($B426,TODAY(),"Y"),INDEX('Lopettaneet 2013-&gt;'!$L:$L,MATCH($D426,'Lopettaneet 2013-&gt;'!$D:$D,0)))</f>
        <v>1</v>
      </c>
      <c r="L426">
        <v>425</v>
      </c>
    </row>
    <row r="427" spans="1:12" x14ac:dyDescent="0.25">
      <c r="A427" t="s">
        <v>0</v>
      </c>
      <c r="B427" s="1">
        <v>42583</v>
      </c>
      <c r="C427" s="1">
        <v>43190</v>
      </c>
      <c r="D427" s="4" t="s">
        <v>1068</v>
      </c>
      <c r="E427" t="s">
        <v>10</v>
      </c>
      <c r="F427" t="s">
        <v>4</v>
      </c>
      <c r="G427" t="s">
        <v>29</v>
      </c>
      <c r="H427" t="s">
        <v>2763</v>
      </c>
      <c r="I427" t="s">
        <v>2763</v>
      </c>
      <c r="J427" t="str">
        <f>IF(ISNUMBER(MATCH($D427,'Lopettaneet 2013-&gt;'!$D:$D,0)),INDEX('Lopettaneet 2013-&gt;'!$K:$K,MATCH($D427,'Lopettaneet 2013-&gt;'!$D:$D,0)),"Jatkaa")</f>
        <v>Closed</v>
      </c>
      <c r="K427">
        <f ca="1">IF($J427="Jatkaa",DATEDIF($B427,TODAY(),"Y"),INDEX('Lopettaneet 2013-&gt;'!$L:$L,MATCH($D427,'Lopettaneet 2013-&gt;'!$D:$D,0)))</f>
        <v>1</v>
      </c>
      <c r="L427">
        <v>426</v>
      </c>
    </row>
    <row r="428" spans="1:12" x14ac:dyDescent="0.25">
      <c r="A428" t="s">
        <v>0</v>
      </c>
      <c r="B428" s="1">
        <v>42552</v>
      </c>
      <c r="C428" s="1">
        <v>43190</v>
      </c>
      <c r="D428" s="4" t="s">
        <v>1070</v>
      </c>
      <c r="E428" t="s">
        <v>10</v>
      </c>
      <c r="F428" t="s">
        <v>4</v>
      </c>
      <c r="G428" t="s">
        <v>5</v>
      </c>
      <c r="H428" t="s">
        <v>2763</v>
      </c>
      <c r="I428" t="s">
        <v>2763</v>
      </c>
      <c r="J428" t="str">
        <f>IF(ISNUMBER(MATCH($D428,'Lopettaneet 2013-&gt;'!$D:$D,0)),INDEX('Lopettaneet 2013-&gt;'!$K:$K,MATCH($D428,'Lopettaneet 2013-&gt;'!$D:$D,0)),"Jatkaa")</f>
        <v>Closed</v>
      </c>
      <c r="K428">
        <f ca="1">IF($J428="Jatkaa",DATEDIF($B428,TODAY(),"Y"),INDEX('Lopettaneet 2013-&gt;'!$L:$L,MATCH($D428,'Lopettaneet 2013-&gt;'!$D:$D,0)))</f>
        <v>1</v>
      </c>
      <c r="L428">
        <v>427</v>
      </c>
    </row>
    <row r="429" spans="1:12" x14ac:dyDescent="0.25">
      <c r="A429" t="s">
        <v>7</v>
      </c>
      <c r="B429" s="1">
        <v>42552</v>
      </c>
      <c r="C429" s="1">
        <v>55153</v>
      </c>
      <c r="D429" s="4" t="s">
        <v>1072</v>
      </c>
      <c r="E429" t="s">
        <v>10</v>
      </c>
      <c r="F429" t="s">
        <v>11</v>
      </c>
      <c r="G429" t="s">
        <v>29</v>
      </c>
      <c r="H429" t="s">
        <v>2804</v>
      </c>
      <c r="I429" t="s">
        <v>2894</v>
      </c>
      <c r="J429" t="str">
        <f>IF(ISNUMBER(MATCH($D429,'Lopettaneet 2013-&gt;'!$D:$D,0)),INDEX('Lopettaneet 2013-&gt;'!$K:$K,MATCH($D429,'Lopettaneet 2013-&gt;'!$D:$D,0)),"Jatkaa")</f>
        <v>Jatkaa</v>
      </c>
      <c r="K429">
        <f ca="1">IF($J429="Jatkaa",DATEDIF($B429,TODAY(),"Y"),INDEX('Lopettaneet 2013-&gt;'!$L:$L,MATCH($D429,'Lopettaneet 2013-&gt;'!$D:$D,0)))</f>
        <v>8</v>
      </c>
      <c r="L429">
        <v>428</v>
      </c>
    </row>
    <row r="430" spans="1:12" x14ac:dyDescent="0.25">
      <c r="A430" t="s">
        <v>7</v>
      </c>
      <c r="B430" s="1">
        <v>42552</v>
      </c>
      <c r="C430" s="1">
        <v>55153</v>
      </c>
      <c r="D430" s="4" t="s">
        <v>1074</v>
      </c>
      <c r="E430" t="s">
        <v>10</v>
      </c>
      <c r="F430" t="s">
        <v>11</v>
      </c>
      <c r="G430" t="s">
        <v>29</v>
      </c>
      <c r="H430" t="s">
        <v>2801</v>
      </c>
      <c r="I430" t="s">
        <v>2894</v>
      </c>
      <c r="J430" t="str">
        <f>IF(ISNUMBER(MATCH($D430,'Lopettaneet 2013-&gt;'!$D:$D,0)),INDEX('Lopettaneet 2013-&gt;'!$K:$K,MATCH($D430,'Lopettaneet 2013-&gt;'!$D:$D,0)),"Jatkaa")</f>
        <v>Jatkaa</v>
      </c>
      <c r="K430">
        <f ca="1">IF($J430="Jatkaa",DATEDIF($B430,TODAY(),"Y"),INDEX('Lopettaneet 2013-&gt;'!$L:$L,MATCH($D430,'Lopettaneet 2013-&gt;'!$D:$D,0)))</f>
        <v>8</v>
      </c>
      <c r="L430">
        <v>429</v>
      </c>
    </row>
    <row r="431" spans="1:12" x14ac:dyDescent="0.25">
      <c r="A431" t="s">
        <v>7</v>
      </c>
      <c r="B431" s="1">
        <v>42552</v>
      </c>
      <c r="C431" s="1">
        <v>55153</v>
      </c>
      <c r="D431" s="4" t="s">
        <v>1076</v>
      </c>
      <c r="E431" t="s">
        <v>10</v>
      </c>
      <c r="F431" t="s">
        <v>11</v>
      </c>
      <c r="G431" t="s">
        <v>29</v>
      </c>
      <c r="H431" t="s">
        <v>2801</v>
      </c>
      <c r="I431" t="s">
        <v>2894</v>
      </c>
      <c r="J431" t="str">
        <f>IF(ISNUMBER(MATCH($D431,'Lopettaneet 2013-&gt;'!$D:$D,0)),INDEX('Lopettaneet 2013-&gt;'!$K:$K,MATCH($D431,'Lopettaneet 2013-&gt;'!$D:$D,0)),"Jatkaa")</f>
        <v>Jatkaa</v>
      </c>
      <c r="K431">
        <f ca="1">IF($J431="Jatkaa",DATEDIF($B431,TODAY(),"Y"),INDEX('Lopettaneet 2013-&gt;'!$L:$L,MATCH($D431,'Lopettaneet 2013-&gt;'!$D:$D,0)))</f>
        <v>8</v>
      </c>
      <c r="L431">
        <v>430</v>
      </c>
    </row>
    <row r="432" spans="1:12" x14ac:dyDescent="0.25">
      <c r="A432" t="s">
        <v>7</v>
      </c>
      <c r="B432" s="1">
        <v>42522</v>
      </c>
      <c r="C432" s="1">
        <v>55153</v>
      </c>
      <c r="D432" s="4" t="s">
        <v>1078</v>
      </c>
      <c r="E432" t="s">
        <v>10</v>
      </c>
      <c r="F432" t="s">
        <v>11</v>
      </c>
      <c r="G432" t="s">
        <v>29</v>
      </c>
      <c r="H432" t="s">
        <v>2810</v>
      </c>
      <c r="I432" t="s">
        <v>2895</v>
      </c>
      <c r="J432" t="str">
        <f>IF(ISNUMBER(MATCH($D432,'Lopettaneet 2013-&gt;'!$D:$D,0)),INDEX('Lopettaneet 2013-&gt;'!$K:$K,MATCH($D432,'Lopettaneet 2013-&gt;'!$D:$D,0)),"Jatkaa")</f>
        <v>Jatkaa</v>
      </c>
      <c r="K432">
        <f ca="1">IF($J432="Jatkaa",DATEDIF($B432,TODAY(),"Y"),INDEX('Lopettaneet 2013-&gt;'!$L:$L,MATCH($D432,'Lopettaneet 2013-&gt;'!$D:$D,0)))</f>
        <v>8</v>
      </c>
      <c r="L432">
        <v>431</v>
      </c>
    </row>
    <row r="433" spans="1:12" x14ac:dyDescent="0.25">
      <c r="A433" t="s">
        <v>0</v>
      </c>
      <c r="B433" s="1">
        <v>42552</v>
      </c>
      <c r="C433" s="1">
        <v>55153</v>
      </c>
      <c r="D433" s="4" t="s">
        <v>1080</v>
      </c>
      <c r="E433" t="s">
        <v>10</v>
      </c>
      <c r="F433" t="s">
        <v>11</v>
      </c>
      <c r="G433" t="s">
        <v>20</v>
      </c>
      <c r="H433" t="s">
        <v>2766</v>
      </c>
      <c r="I433" t="s">
        <v>2895</v>
      </c>
      <c r="J433" t="str">
        <f>IF(ISNUMBER(MATCH($D433,'Lopettaneet 2013-&gt;'!$D:$D,0)),INDEX('Lopettaneet 2013-&gt;'!$K:$K,MATCH($D433,'Lopettaneet 2013-&gt;'!$D:$D,0)),"Jatkaa")</f>
        <v>Jatkaa</v>
      </c>
      <c r="K433">
        <f ca="1">IF($J433="Jatkaa",DATEDIF($B433,TODAY(),"Y"),INDEX('Lopettaneet 2013-&gt;'!$L:$L,MATCH($D433,'Lopettaneet 2013-&gt;'!$D:$D,0)))</f>
        <v>8</v>
      </c>
      <c r="L433">
        <v>432</v>
      </c>
    </row>
    <row r="434" spans="1:12" x14ac:dyDescent="0.25">
      <c r="A434" t="s">
        <v>0</v>
      </c>
      <c r="B434" s="1">
        <v>42583</v>
      </c>
      <c r="C434" s="1">
        <v>55153</v>
      </c>
      <c r="D434" s="4" t="s">
        <v>1082</v>
      </c>
      <c r="E434" t="s">
        <v>3</v>
      </c>
      <c r="F434" t="s">
        <v>4</v>
      </c>
      <c r="G434" t="s">
        <v>20</v>
      </c>
      <c r="H434" t="s">
        <v>2771</v>
      </c>
      <c r="I434" t="s">
        <v>2894</v>
      </c>
      <c r="J434" t="str">
        <f>IF(ISNUMBER(MATCH($D434,'Lopettaneet 2013-&gt;'!$D:$D,0)),INDEX('Lopettaneet 2013-&gt;'!$K:$K,MATCH($D434,'Lopettaneet 2013-&gt;'!$D:$D,0)),"Jatkaa")</f>
        <v>Jatkaa</v>
      </c>
      <c r="K434">
        <f ca="1">IF($J434="Jatkaa",DATEDIF($B434,TODAY(),"Y"),INDEX('Lopettaneet 2013-&gt;'!$L:$L,MATCH($D434,'Lopettaneet 2013-&gt;'!$D:$D,0)))</f>
        <v>8</v>
      </c>
      <c r="L434">
        <v>433</v>
      </c>
    </row>
    <row r="435" spans="1:12" x14ac:dyDescent="0.25">
      <c r="A435" t="s">
        <v>0</v>
      </c>
      <c r="B435" s="1">
        <v>42614</v>
      </c>
      <c r="C435" s="1">
        <v>55153</v>
      </c>
      <c r="D435" s="4" t="s">
        <v>1084</v>
      </c>
      <c r="E435" t="s">
        <v>3</v>
      </c>
      <c r="F435" t="s">
        <v>4</v>
      </c>
      <c r="G435" t="s">
        <v>5</v>
      </c>
      <c r="H435" t="s">
        <v>2764</v>
      </c>
      <c r="I435" t="s">
        <v>2894</v>
      </c>
      <c r="J435" t="str">
        <f>IF(ISNUMBER(MATCH($D435,'Lopettaneet 2013-&gt;'!$D:$D,0)),INDEX('Lopettaneet 2013-&gt;'!$K:$K,MATCH($D435,'Lopettaneet 2013-&gt;'!$D:$D,0)),"Jatkaa")</f>
        <v>Jatkaa</v>
      </c>
      <c r="K435">
        <f ca="1">IF($J435="Jatkaa",DATEDIF($B435,TODAY(),"Y"),INDEX('Lopettaneet 2013-&gt;'!$L:$L,MATCH($D435,'Lopettaneet 2013-&gt;'!$D:$D,0)))</f>
        <v>8</v>
      </c>
      <c r="L435">
        <v>434</v>
      </c>
    </row>
    <row r="436" spans="1:12" x14ac:dyDescent="0.25">
      <c r="A436" t="s">
        <v>7</v>
      </c>
      <c r="B436" s="1">
        <v>42552</v>
      </c>
      <c r="C436" s="1">
        <v>45199</v>
      </c>
      <c r="D436" s="4" t="s">
        <v>37</v>
      </c>
      <c r="E436" t="s">
        <v>10</v>
      </c>
      <c r="F436" t="s">
        <v>11</v>
      </c>
      <c r="G436" t="s">
        <v>32</v>
      </c>
      <c r="H436" t="s">
        <v>2763</v>
      </c>
      <c r="I436" t="s">
        <v>2763</v>
      </c>
      <c r="J436" t="str">
        <f>IF(ISNUMBER(MATCH($D436,'Lopettaneet 2013-&gt;'!$D:$D,0)),INDEX('Lopettaneet 2013-&gt;'!$K:$K,MATCH($D436,'Lopettaneet 2013-&gt;'!$D:$D,0)),"Jatkaa")</f>
        <v>Closed</v>
      </c>
      <c r="K436">
        <f ca="1">IF($J436="Jatkaa",DATEDIF($B436,TODAY(),"Y"),INDEX('Lopettaneet 2013-&gt;'!$L:$L,MATCH($D436,'Lopettaneet 2013-&gt;'!$D:$D,0)))</f>
        <v>7</v>
      </c>
      <c r="L436">
        <v>435</v>
      </c>
    </row>
    <row r="437" spans="1:12" x14ac:dyDescent="0.25">
      <c r="A437" t="s">
        <v>7</v>
      </c>
      <c r="B437" s="1">
        <v>42705</v>
      </c>
      <c r="C437" s="1">
        <v>43343</v>
      </c>
      <c r="D437" s="4" t="s">
        <v>1086</v>
      </c>
      <c r="E437" t="s">
        <v>10</v>
      </c>
      <c r="F437" t="s">
        <v>11</v>
      </c>
      <c r="G437" t="s">
        <v>32</v>
      </c>
      <c r="H437" t="s">
        <v>2763</v>
      </c>
      <c r="I437" t="s">
        <v>2763</v>
      </c>
      <c r="J437" t="str">
        <f>IF(ISNUMBER(MATCH($D437,'Lopettaneet 2013-&gt;'!$D:$D,0)),INDEX('Lopettaneet 2013-&gt;'!$K:$K,MATCH($D437,'Lopettaneet 2013-&gt;'!$D:$D,0)),"Jatkaa")</f>
        <v>Closed</v>
      </c>
      <c r="K437">
        <f ca="1">IF($J437="Jatkaa",DATEDIF($B437,TODAY(),"Y"),INDEX('Lopettaneet 2013-&gt;'!$L:$L,MATCH($D437,'Lopettaneet 2013-&gt;'!$D:$D,0)))</f>
        <v>1</v>
      </c>
      <c r="L437">
        <v>436</v>
      </c>
    </row>
    <row r="438" spans="1:12" x14ac:dyDescent="0.25">
      <c r="A438" t="s">
        <v>7</v>
      </c>
      <c r="B438" s="1">
        <v>42705</v>
      </c>
      <c r="C438" s="1">
        <v>55153</v>
      </c>
      <c r="D438" s="4" t="s">
        <v>1088</v>
      </c>
      <c r="E438" t="s">
        <v>10</v>
      </c>
      <c r="F438" t="s">
        <v>11</v>
      </c>
      <c r="G438" t="s">
        <v>80</v>
      </c>
      <c r="H438" t="s">
        <v>2834</v>
      </c>
      <c r="I438" t="s">
        <v>2895</v>
      </c>
      <c r="J438" t="str">
        <f>IF(ISNUMBER(MATCH($D438,'Lopettaneet 2013-&gt;'!$D:$D,0)),INDEX('Lopettaneet 2013-&gt;'!$K:$K,MATCH($D438,'Lopettaneet 2013-&gt;'!$D:$D,0)),"Jatkaa")</f>
        <v>Jatkaa</v>
      </c>
      <c r="K438">
        <f ca="1">IF($J438="Jatkaa",DATEDIF($B438,TODAY(),"Y"),INDEX('Lopettaneet 2013-&gt;'!$L:$L,MATCH($D438,'Lopettaneet 2013-&gt;'!$D:$D,0)))</f>
        <v>8</v>
      </c>
      <c r="L438">
        <v>437</v>
      </c>
    </row>
    <row r="439" spans="1:12" x14ac:dyDescent="0.25">
      <c r="A439" t="s">
        <v>0</v>
      </c>
      <c r="B439" s="1">
        <v>43252</v>
      </c>
      <c r="C439" s="1">
        <v>55153</v>
      </c>
      <c r="D439" s="4" t="s">
        <v>1090</v>
      </c>
      <c r="E439" t="s">
        <v>3</v>
      </c>
      <c r="F439" t="s">
        <v>4</v>
      </c>
      <c r="G439" t="s">
        <v>5</v>
      </c>
      <c r="H439" t="s">
        <v>2767</v>
      </c>
      <c r="I439" t="s">
        <v>2894</v>
      </c>
      <c r="J439" t="str">
        <f>IF(ISNUMBER(MATCH($D439,'Lopettaneet 2013-&gt;'!$D:$D,0)),INDEX('Lopettaneet 2013-&gt;'!$K:$K,MATCH($D439,'Lopettaneet 2013-&gt;'!$D:$D,0)),"Jatkaa")</f>
        <v>Jatkaa</v>
      </c>
      <c r="K439">
        <f ca="1">IF($J439="Jatkaa",DATEDIF($B439,TODAY(),"Y"),INDEX('Lopettaneet 2013-&gt;'!$L:$L,MATCH($D439,'Lopettaneet 2013-&gt;'!$D:$D,0)))</f>
        <v>6</v>
      </c>
      <c r="L439">
        <v>438</v>
      </c>
    </row>
    <row r="440" spans="1:12" x14ac:dyDescent="0.25">
      <c r="A440" t="s">
        <v>0</v>
      </c>
      <c r="B440" s="1">
        <v>42614</v>
      </c>
      <c r="C440" s="1">
        <v>55153</v>
      </c>
      <c r="D440" s="4" t="s">
        <v>1092</v>
      </c>
      <c r="E440" t="s">
        <v>3</v>
      </c>
      <c r="F440" t="s">
        <v>4</v>
      </c>
      <c r="G440" t="s">
        <v>20</v>
      </c>
      <c r="H440" t="s">
        <v>2767</v>
      </c>
      <c r="I440" t="s">
        <v>2894</v>
      </c>
      <c r="J440" t="str">
        <f>IF(ISNUMBER(MATCH($D440,'Lopettaneet 2013-&gt;'!$D:$D,0)),INDEX('Lopettaneet 2013-&gt;'!$K:$K,MATCH($D440,'Lopettaneet 2013-&gt;'!$D:$D,0)),"Jatkaa")</f>
        <v>Jatkaa</v>
      </c>
      <c r="K440">
        <f ca="1">IF($J440="Jatkaa",DATEDIF($B440,TODAY(),"Y"),INDEX('Lopettaneet 2013-&gt;'!$L:$L,MATCH($D440,'Lopettaneet 2013-&gt;'!$D:$D,0)))</f>
        <v>8</v>
      </c>
      <c r="L440">
        <v>439</v>
      </c>
    </row>
    <row r="441" spans="1:12" x14ac:dyDescent="0.25">
      <c r="A441" t="s">
        <v>0</v>
      </c>
      <c r="B441" s="1">
        <v>42614</v>
      </c>
      <c r="C441" s="1">
        <v>55153</v>
      </c>
      <c r="D441" s="4" t="s">
        <v>1094</v>
      </c>
      <c r="E441" t="s">
        <v>3</v>
      </c>
      <c r="F441" t="s">
        <v>4</v>
      </c>
      <c r="G441" t="s">
        <v>5</v>
      </c>
      <c r="H441" t="s">
        <v>2767</v>
      </c>
      <c r="I441" t="s">
        <v>2894</v>
      </c>
      <c r="J441" t="str">
        <f>IF(ISNUMBER(MATCH($D441,'Lopettaneet 2013-&gt;'!$D:$D,0)),INDEX('Lopettaneet 2013-&gt;'!$K:$K,MATCH($D441,'Lopettaneet 2013-&gt;'!$D:$D,0)),"Jatkaa")</f>
        <v>Jatkaa</v>
      </c>
      <c r="K441">
        <f ca="1">IF($J441="Jatkaa",DATEDIF($B441,TODAY(),"Y"),INDEX('Lopettaneet 2013-&gt;'!$L:$L,MATCH($D441,'Lopettaneet 2013-&gt;'!$D:$D,0)))</f>
        <v>8</v>
      </c>
      <c r="L441">
        <v>440</v>
      </c>
    </row>
    <row r="442" spans="1:12" x14ac:dyDescent="0.25">
      <c r="A442" t="s">
        <v>0</v>
      </c>
      <c r="B442" s="1">
        <v>42614</v>
      </c>
      <c r="C442" s="1">
        <v>55153</v>
      </c>
      <c r="D442" s="4" t="s">
        <v>1096</v>
      </c>
      <c r="E442" t="s">
        <v>3</v>
      </c>
      <c r="F442" t="s">
        <v>4</v>
      </c>
      <c r="G442" t="s">
        <v>5</v>
      </c>
      <c r="H442" t="s">
        <v>2767</v>
      </c>
      <c r="I442" t="s">
        <v>2894</v>
      </c>
      <c r="J442" t="str">
        <f>IF(ISNUMBER(MATCH($D442,'Lopettaneet 2013-&gt;'!$D:$D,0)),INDEX('Lopettaneet 2013-&gt;'!$K:$K,MATCH($D442,'Lopettaneet 2013-&gt;'!$D:$D,0)),"Jatkaa")</f>
        <v>Jatkaa</v>
      </c>
      <c r="K442">
        <f ca="1">IF($J442="Jatkaa",DATEDIF($B442,TODAY(),"Y"),INDEX('Lopettaneet 2013-&gt;'!$L:$L,MATCH($D442,'Lopettaneet 2013-&gt;'!$D:$D,0)))</f>
        <v>8</v>
      </c>
      <c r="L442">
        <v>441</v>
      </c>
    </row>
    <row r="443" spans="1:12" x14ac:dyDescent="0.25">
      <c r="A443" t="s">
        <v>7</v>
      </c>
      <c r="B443" s="1">
        <v>42522</v>
      </c>
      <c r="C443" s="1">
        <v>55153</v>
      </c>
      <c r="D443" s="4" t="s">
        <v>1098</v>
      </c>
      <c r="E443" t="s">
        <v>10</v>
      </c>
      <c r="F443" t="s">
        <v>11</v>
      </c>
      <c r="G443" t="s">
        <v>80</v>
      </c>
      <c r="H443" t="s">
        <v>2835</v>
      </c>
      <c r="I443" t="s">
        <v>2895</v>
      </c>
      <c r="J443" t="str">
        <f>IF(ISNUMBER(MATCH($D443,'Lopettaneet 2013-&gt;'!$D:$D,0)),INDEX('Lopettaneet 2013-&gt;'!$K:$K,MATCH($D443,'Lopettaneet 2013-&gt;'!$D:$D,0)),"Jatkaa")</f>
        <v>Jatkaa</v>
      </c>
      <c r="K443">
        <f ca="1">IF($J443="Jatkaa",DATEDIF($B443,TODAY(),"Y"),INDEX('Lopettaneet 2013-&gt;'!$L:$L,MATCH($D443,'Lopettaneet 2013-&gt;'!$D:$D,0)))</f>
        <v>8</v>
      </c>
      <c r="L443">
        <v>442</v>
      </c>
    </row>
    <row r="444" spans="1:12" x14ac:dyDescent="0.25">
      <c r="A444" t="s">
        <v>7</v>
      </c>
      <c r="B444" s="1">
        <v>42705</v>
      </c>
      <c r="C444" s="1">
        <v>55153</v>
      </c>
      <c r="D444" s="4" t="s">
        <v>1100</v>
      </c>
      <c r="E444" t="s">
        <v>10</v>
      </c>
      <c r="F444" t="s">
        <v>11</v>
      </c>
      <c r="G444" t="s">
        <v>32</v>
      </c>
      <c r="H444" t="s">
        <v>2836</v>
      </c>
      <c r="I444" t="s">
        <v>2895</v>
      </c>
      <c r="J444" t="str">
        <f>IF(ISNUMBER(MATCH($D444,'Lopettaneet 2013-&gt;'!$D:$D,0)),INDEX('Lopettaneet 2013-&gt;'!$K:$K,MATCH($D444,'Lopettaneet 2013-&gt;'!$D:$D,0)),"Jatkaa")</f>
        <v>Jatkaa</v>
      </c>
      <c r="K444">
        <f ca="1">IF($J444="Jatkaa",DATEDIF($B444,TODAY(),"Y"),INDEX('Lopettaneet 2013-&gt;'!$L:$L,MATCH($D444,'Lopettaneet 2013-&gt;'!$D:$D,0)))</f>
        <v>8</v>
      </c>
      <c r="L444">
        <v>443</v>
      </c>
    </row>
    <row r="445" spans="1:12" x14ac:dyDescent="0.25">
      <c r="A445" t="s">
        <v>7</v>
      </c>
      <c r="B445" s="1">
        <v>42705</v>
      </c>
      <c r="C445" s="1">
        <v>55153</v>
      </c>
      <c r="D445" s="4" t="s">
        <v>1102</v>
      </c>
      <c r="E445" t="s">
        <v>10</v>
      </c>
      <c r="F445" t="s">
        <v>11</v>
      </c>
      <c r="G445" t="s">
        <v>32</v>
      </c>
      <c r="H445" t="s">
        <v>2837</v>
      </c>
      <c r="I445" t="s">
        <v>2895</v>
      </c>
      <c r="J445" t="str">
        <f>IF(ISNUMBER(MATCH($D445,'Lopettaneet 2013-&gt;'!$D:$D,0)),INDEX('Lopettaneet 2013-&gt;'!$K:$K,MATCH($D445,'Lopettaneet 2013-&gt;'!$D:$D,0)),"Jatkaa")</f>
        <v>Jatkaa</v>
      </c>
      <c r="K445">
        <f ca="1">IF($J445="Jatkaa",DATEDIF($B445,TODAY(),"Y"),INDEX('Lopettaneet 2013-&gt;'!$L:$L,MATCH($D445,'Lopettaneet 2013-&gt;'!$D:$D,0)))</f>
        <v>8</v>
      </c>
      <c r="L445">
        <v>444</v>
      </c>
    </row>
    <row r="446" spans="1:12" x14ac:dyDescent="0.25">
      <c r="A446" t="s">
        <v>7</v>
      </c>
      <c r="B446" s="1">
        <v>42614</v>
      </c>
      <c r="C446" s="1">
        <v>43830</v>
      </c>
      <c r="D446" s="4" t="s">
        <v>1104</v>
      </c>
      <c r="E446" t="s">
        <v>10</v>
      </c>
      <c r="F446" t="s">
        <v>11</v>
      </c>
      <c r="G446" t="s">
        <v>12</v>
      </c>
      <c r="H446" t="s">
        <v>2763</v>
      </c>
      <c r="I446" t="s">
        <v>2763</v>
      </c>
      <c r="J446" t="str">
        <f>IF(ISNUMBER(MATCH($D446,'Lopettaneet 2013-&gt;'!$D:$D,0)),INDEX('Lopettaneet 2013-&gt;'!$K:$K,MATCH($D446,'Lopettaneet 2013-&gt;'!$D:$D,0)),"Jatkaa")</f>
        <v>Closed</v>
      </c>
      <c r="K446">
        <f ca="1">IF($J446="Jatkaa",DATEDIF($B446,TODAY(),"Y"),INDEX('Lopettaneet 2013-&gt;'!$L:$L,MATCH($D446,'Lopettaneet 2013-&gt;'!$D:$D,0)))</f>
        <v>3</v>
      </c>
      <c r="L446">
        <v>445</v>
      </c>
    </row>
    <row r="447" spans="1:12" x14ac:dyDescent="0.25">
      <c r="A447" t="s">
        <v>7</v>
      </c>
      <c r="B447" s="1">
        <v>42614</v>
      </c>
      <c r="C447" s="1">
        <v>55153</v>
      </c>
      <c r="D447" s="4" t="s">
        <v>1106</v>
      </c>
      <c r="E447" t="s">
        <v>10</v>
      </c>
      <c r="F447" t="s">
        <v>11</v>
      </c>
      <c r="G447" t="s">
        <v>80</v>
      </c>
      <c r="H447" t="s">
        <v>2812</v>
      </c>
      <c r="I447" t="s">
        <v>2895</v>
      </c>
      <c r="J447" t="str">
        <f>IF(ISNUMBER(MATCH($D447,'Lopettaneet 2013-&gt;'!$D:$D,0)),INDEX('Lopettaneet 2013-&gt;'!$K:$K,MATCH($D447,'Lopettaneet 2013-&gt;'!$D:$D,0)),"Jatkaa")</f>
        <v>Jatkaa</v>
      </c>
      <c r="K447">
        <f ca="1">IF($J447="Jatkaa",DATEDIF($B447,TODAY(),"Y"),INDEX('Lopettaneet 2013-&gt;'!$L:$L,MATCH($D447,'Lopettaneet 2013-&gt;'!$D:$D,0)))</f>
        <v>8</v>
      </c>
      <c r="L447">
        <v>446</v>
      </c>
    </row>
    <row r="448" spans="1:12" x14ac:dyDescent="0.25">
      <c r="A448" t="s">
        <v>0</v>
      </c>
      <c r="B448" s="1">
        <v>42583</v>
      </c>
      <c r="C448" s="1">
        <v>55153</v>
      </c>
      <c r="D448" s="4" t="s">
        <v>1108</v>
      </c>
      <c r="E448" t="s">
        <v>3</v>
      </c>
      <c r="F448" t="s">
        <v>4</v>
      </c>
      <c r="G448" t="s">
        <v>20</v>
      </c>
      <c r="H448" t="s">
        <v>2766</v>
      </c>
      <c r="I448" t="s">
        <v>2894</v>
      </c>
      <c r="J448" t="str">
        <f>IF(ISNUMBER(MATCH($D448,'Lopettaneet 2013-&gt;'!$D:$D,0)),INDEX('Lopettaneet 2013-&gt;'!$K:$K,MATCH($D448,'Lopettaneet 2013-&gt;'!$D:$D,0)),"Jatkaa")</f>
        <v>Jatkaa</v>
      </c>
      <c r="K448">
        <f ca="1">IF($J448="Jatkaa",DATEDIF($B448,TODAY(),"Y"),INDEX('Lopettaneet 2013-&gt;'!$L:$L,MATCH($D448,'Lopettaneet 2013-&gt;'!$D:$D,0)))</f>
        <v>8</v>
      </c>
      <c r="L448">
        <v>447</v>
      </c>
    </row>
    <row r="449" spans="1:12" x14ac:dyDescent="0.25">
      <c r="A449" t="s">
        <v>0</v>
      </c>
      <c r="B449" s="1">
        <v>43191</v>
      </c>
      <c r="C449" s="1">
        <v>43708</v>
      </c>
      <c r="D449" s="4" t="s">
        <v>1110</v>
      </c>
      <c r="E449" t="s">
        <v>10</v>
      </c>
      <c r="F449" t="s">
        <v>4</v>
      </c>
      <c r="G449" t="s">
        <v>47</v>
      </c>
      <c r="H449" t="s">
        <v>2763</v>
      </c>
      <c r="I449" t="s">
        <v>2763</v>
      </c>
      <c r="J449" t="str">
        <f>IF(ISNUMBER(MATCH($D449,'Lopettaneet 2013-&gt;'!$D:$D,0)),INDEX('Lopettaneet 2013-&gt;'!$K:$K,MATCH($D449,'Lopettaneet 2013-&gt;'!$D:$D,0)),"Jatkaa")</f>
        <v>Closed</v>
      </c>
      <c r="K449">
        <f ca="1">IF($J449="Jatkaa",DATEDIF($B449,TODAY(),"Y"),INDEX('Lopettaneet 2013-&gt;'!$L:$L,MATCH($D449,'Lopettaneet 2013-&gt;'!$D:$D,0)))</f>
        <v>1</v>
      </c>
      <c r="L449">
        <v>448</v>
      </c>
    </row>
    <row r="450" spans="1:12" x14ac:dyDescent="0.25">
      <c r="A450" t="s">
        <v>0</v>
      </c>
      <c r="B450" s="1">
        <v>42644</v>
      </c>
      <c r="C450" s="1">
        <v>55153</v>
      </c>
      <c r="D450" s="4" t="s">
        <v>1112</v>
      </c>
      <c r="E450" t="s">
        <v>10</v>
      </c>
      <c r="F450" t="s">
        <v>4</v>
      </c>
      <c r="G450" t="s">
        <v>5</v>
      </c>
      <c r="H450" t="s">
        <v>2771</v>
      </c>
      <c r="I450" t="s">
        <v>2894</v>
      </c>
      <c r="J450" t="str">
        <f>IF(ISNUMBER(MATCH($D450,'Lopettaneet 2013-&gt;'!$D:$D,0)),INDEX('Lopettaneet 2013-&gt;'!$K:$K,MATCH($D450,'Lopettaneet 2013-&gt;'!$D:$D,0)),"Jatkaa")</f>
        <v>Jatkaa</v>
      </c>
      <c r="K450">
        <f ca="1">IF($J450="Jatkaa",DATEDIF($B450,TODAY(),"Y"),INDEX('Lopettaneet 2013-&gt;'!$L:$L,MATCH($D450,'Lopettaneet 2013-&gt;'!$D:$D,0)))</f>
        <v>8</v>
      </c>
      <c r="L450">
        <v>449</v>
      </c>
    </row>
    <row r="451" spans="1:12" x14ac:dyDescent="0.25">
      <c r="A451" t="s">
        <v>7</v>
      </c>
      <c r="B451" s="1">
        <v>42705</v>
      </c>
      <c r="C451" s="1">
        <v>43100</v>
      </c>
      <c r="D451" s="4" t="s">
        <v>1114</v>
      </c>
      <c r="E451" t="s">
        <v>10</v>
      </c>
      <c r="F451" t="s">
        <v>11</v>
      </c>
      <c r="G451" t="s">
        <v>80</v>
      </c>
      <c r="H451" t="s">
        <v>2763</v>
      </c>
      <c r="I451" t="s">
        <v>2763</v>
      </c>
      <c r="J451" t="str">
        <f>IF(ISNUMBER(MATCH($D451,'Lopettaneet 2013-&gt;'!$D:$D,0)),INDEX('Lopettaneet 2013-&gt;'!$K:$K,MATCH($D451,'Lopettaneet 2013-&gt;'!$D:$D,0)),"Jatkaa")</f>
        <v>Closed</v>
      </c>
      <c r="K451">
        <f ca="1">IF($J451="Jatkaa",DATEDIF($B451,TODAY(),"Y"),INDEX('Lopettaneet 2013-&gt;'!$L:$L,MATCH($D451,'Lopettaneet 2013-&gt;'!$D:$D,0)))</f>
        <v>1</v>
      </c>
      <c r="L451">
        <v>450</v>
      </c>
    </row>
    <row r="452" spans="1:12" x14ac:dyDescent="0.25">
      <c r="A452" t="s">
        <v>0</v>
      </c>
      <c r="B452" s="1">
        <v>42705</v>
      </c>
      <c r="C452" s="1">
        <v>55153</v>
      </c>
      <c r="D452" s="4" t="s">
        <v>1116</v>
      </c>
      <c r="E452" t="s">
        <v>3</v>
      </c>
      <c r="F452" t="s">
        <v>4</v>
      </c>
      <c r="G452" t="s">
        <v>20</v>
      </c>
      <c r="H452" t="s">
        <v>2838</v>
      </c>
      <c r="I452" t="s">
        <v>2894</v>
      </c>
      <c r="J452" t="str">
        <f>IF(ISNUMBER(MATCH($D452,'Lopettaneet 2013-&gt;'!$D:$D,0)),INDEX('Lopettaneet 2013-&gt;'!$K:$K,MATCH($D452,'Lopettaneet 2013-&gt;'!$D:$D,0)),"Jatkaa")</f>
        <v>Jatkaa</v>
      </c>
      <c r="K452">
        <f ca="1">IF($J452="Jatkaa",DATEDIF($B452,TODAY(),"Y"),INDEX('Lopettaneet 2013-&gt;'!$L:$L,MATCH($D452,'Lopettaneet 2013-&gt;'!$D:$D,0)))</f>
        <v>8</v>
      </c>
      <c r="L452">
        <v>451</v>
      </c>
    </row>
    <row r="453" spans="1:12" x14ac:dyDescent="0.25">
      <c r="A453" t="s">
        <v>0</v>
      </c>
      <c r="B453" s="1">
        <v>42795</v>
      </c>
      <c r="C453" s="1">
        <v>55153</v>
      </c>
      <c r="D453" s="4" t="s">
        <v>1118</v>
      </c>
      <c r="E453" t="s">
        <v>3</v>
      </c>
      <c r="F453" t="s">
        <v>4</v>
      </c>
      <c r="G453" t="s">
        <v>20</v>
      </c>
      <c r="H453" t="s">
        <v>2767</v>
      </c>
      <c r="I453" t="s">
        <v>2894</v>
      </c>
      <c r="J453" t="str">
        <f>IF(ISNUMBER(MATCH($D453,'Lopettaneet 2013-&gt;'!$D:$D,0)),INDEX('Lopettaneet 2013-&gt;'!$K:$K,MATCH($D453,'Lopettaneet 2013-&gt;'!$D:$D,0)),"Jatkaa")</f>
        <v>Jatkaa</v>
      </c>
      <c r="K453">
        <f ca="1">IF($J453="Jatkaa",DATEDIF($B453,TODAY(),"Y"),INDEX('Lopettaneet 2013-&gt;'!$L:$L,MATCH($D453,'Lopettaneet 2013-&gt;'!$D:$D,0)))</f>
        <v>8</v>
      </c>
      <c r="L453">
        <v>452</v>
      </c>
    </row>
    <row r="454" spans="1:12" x14ac:dyDescent="0.25">
      <c r="A454" t="s">
        <v>0</v>
      </c>
      <c r="B454" s="1">
        <v>42795</v>
      </c>
      <c r="C454" s="1">
        <v>55153</v>
      </c>
      <c r="D454" s="4" t="s">
        <v>1120</v>
      </c>
      <c r="E454" t="s">
        <v>3</v>
      </c>
      <c r="F454" t="s">
        <v>4</v>
      </c>
      <c r="G454" t="s">
        <v>5</v>
      </c>
      <c r="H454" t="s">
        <v>2767</v>
      </c>
      <c r="I454" t="s">
        <v>2763</v>
      </c>
      <c r="J454" t="str">
        <f>IF(ISNUMBER(MATCH($D454,'Lopettaneet 2013-&gt;'!$D:$D,0)),INDEX('Lopettaneet 2013-&gt;'!$K:$K,MATCH($D454,'Lopettaneet 2013-&gt;'!$D:$D,0)),"Jatkaa")</f>
        <v>Jatkaa</v>
      </c>
      <c r="K454">
        <f ca="1">IF($J454="Jatkaa",DATEDIF($B454,TODAY(),"Y"),INDEX('Lopettaneet 2013-&gt;'!$L:$L,MATCH($D454,'Lopettaneet 2013-&gt;'!$D:$D,0)))</f>
        <v>8</v>
      </c>
      <c r="L454">
        <v>453</v>
      </c>
    </row>
    <row r="455" spans="1:12" x14ac:dyDescent="0.25">
      <c r="A455" t="s">
        <v>0</v>
      </c>
      <c r="B455" s="1">
        <v>42795</v>
      </c>
      <c r="C455" s="1">
        <v>55153</v>
      </c>
      <c r="D455" s="4" t="s">
        <v>1122</v>
      </c>
      <c r="E455" t="s">
        <v>3</v>
      </c>
      <c r="F455" t="s">
        <v>4</v>
      </c>
      <c r="G455" t="s">
        <v>50</v>
      </c>
      <c r="H455" t="s">
        <v>2767</v>
      </c>
      <c r="I455" t="s">
        <v>2894</v>
      </c>
      <c r="J455" t="str">
        <f>IF(ISNUMBER(MATCH($D455,'Lopettaneet 2013-&gt;'!$D:$D,0)),INDEX('Lopettaneet 2013-&gt;'!$K:$K,MATCH($D455,'Lopettaneet 2013-&gt;'!$D:$D,0)),"Jatkaa")</f>
        <v>Jatkaa</v>
      </c>
      <c r="K455">
        <f ca="1">IF($J455="Jatkaa",DATEDIF($B455,TODAY(),"Y"),INDEX('Lopettaneet 2013-&gt;'!$L:$L,MATCH($D455,'Lopettaneet 2013-&gt;'!$D:$D,0)))</f>
        <v>8</v>
      </c>
      <c r="L455">
        <v>454</v>
      </c>
    </row>
    <row r="456" spans="1:12" x14ac:dyDescent="0.25">
      <c r="A456" t="s">
        <v>0</v>
      </c>
      <c r="B456" s="1">
        <v>42795</v>
      </c>
      <c r="C456" s="1">
        <v>55153</v>
      </c>
      <c r="D456" s="4" t="s">
        <v>1124</v>
      </c>
      <c r="E456" t="s">
        <v>3</v>
      </c>
      <c r="F456" t="s">
        <v>4</v>
      </c>
      <c r="G456" t="s">
        <v>20</v>
      </c>
      <c r="H456" t="s">
        <v>2767</v>
      </c>
      <c r="I456" t="s">
        <v>2894</v>
      </c>
      <c r="J456" t="str">
        <f>IF(ISNUMBER(MATCH($D456,'Lopettaneet 2013-&gt;'!$D:$D,0)),INDEX('Lopettaneet 2013-&gt;'!$K:$K,MATCH($D456,'Lopettaneet 2013-&gt;'!$D:$D,0)),"Jatkaa")</f>
        <v>Jatkaa</v>
      </c>
      <c r="K456">
        <f ca="1">IF($J456="Jatkaa",DATEDIF($B456,TODAY(),"Y"),INDEX('Lopettaneet 2013-&gt;'!$L:$L,MATCH($D456,'Lopettaneet 2013-&gt;'!$D:$D,0)))</f>
        <v>8</v>
      </c>
      <c r="L456">
        <v>455</v>
      </c>
    </row>
    <row r="457" spans="1:12" x14ac:dyDescent="0.25">
      <c r="A457" t="s">
        <v>7</v>
      </c>
      <c r="B457" s="1">
        <v>42614</v>
      </c>
      <c r="C457" s="1">
        <v>55153</v>
      </c>
      <c r="D457" s="4" t="s">
        <v>1126</v>
      </c>
      <c r="E457" t="s">
        <v>10</v>
      </c>
      <c r="F457" t="s">
        <v>11</v>
      </c>
      <c r="G457" t="s">
        <v>32</v>
      </c>
      <c r="H457" t="s">
        <v>2791</v>
      </c>
      <c r="I457" t="s">
        <v>2895</v>
      </c>
      <c r="J457" t="str">
        <f>IF(ISNUMBER(MATCH($D457,'Lopettaneet 2013-&gt;'!$D:$D,0)),INDEX('Lopettaneet 2013-&gt;'!$K:$K,MATCH($D457,'Lopettaneet 2013-&gt;'!$D:$D,0)),"Jatkaa")</f>
        <v>Jatkaa</v>
      </c>
      <c r="K457">
        <f ca="1">IF($J457="Jatkaa",DATEDIF($B457,TODAY(),"Y"),INDEX('Lopettaneet 2013-&gt;'!$L:$L,MATCH($D457,'Lopettaneet 2013-&gt;'!$D:$D,0)))</f>
        <v>8</v>
      </c>
      <c r="L457">
        <v>456</v>
      </c>
    </row>
    <row r="458" spans="1:12" x14ac:dyDescent="0.25">
      <c r="A458" t="s">
        <v>7</v>
      </c>
      <c r="B458" s="1">
        <v>42705</v>
      </c>
      <c r="C458" s="1">
        <v>55153</v>
      </c>
      <c r="D458" s="4" t="s">
        <v>1128</v>
      </c>
      <c r="E458" t="s">
        <v>10</v>
      </c>
      <c r="F458" t="s">
        <v>11</v>
      </c>
      <c r="G458" t="s">
        <v>80</v>
      </c>
      <c r="H458" t="s">
        <v>2839</v>
      </c>
      <c r="I458" t="s">
        <v>2894</v>
      </c>
      <c r="J458" t="str">
        <f>IF(ISNUMBER(MATCH($D458,'Lopettaneet 2013-&gt;'!$D:$D,0)),INDEX('Lopettaneet 2013-&gt;'!$K:$K,MATCH($D458,'Lopettaneet 2013-&gt;'!$D:$D,0)),"Jatkaa")</f>
        <v>Jatkaa</v>
      </c>
      <c r="K458">
        <f ca="1">IF($J458="Jatkaa",DATEDIF($B458,TODAY(),"Y"),INDEX('Lopettaneet 2013-&gt;'!$L:$L,MATCH($D458,'Lopettaneet 2013-&gt;'!$D:$D,0)))</f>
        <v>8</v>
      </c>
      <c r="L458">
        <v>457</v>
      </c>
    </row>
    <row r="459" spans="1:12" x14ac:dyDescent="0.25">
      <c r="A459" t="s">
        <v>7</v>
      </c>
      <c r="B459" s="1">
        <v>42705</v>
      </c>
      <c r="C459" s="1">
        <v>43921</v>
      </c>
      <c r="D459" s="4" t="s">
        <v>1130</v>
      </c>
      <c r="E459" t="s">
        <v>10</v>
      </c>
      <c r="F459" t="s">
        <v>11</v>
      </c>
      <c r="G459" t="s">
        <v>80</v>
      </c>
      <c r="H459" t="s">
        <v>2763</v>
      </c>
      <c r="I459" t="s">
        <v>2763</v>
      </c>
      <c r="J459" t="str">
        <f>IF(ISNUMBER(MATCH($D459,'Lopettaneet 2013-&gt;'!$D:$D,0)),INDEX('Lopettaneet 2013-&gt;'!$K:$K,MATCH($D459,'Lopettaneet 2013-&gt;'!$D:$D,0)),"Jatkaa")</f>
        <v>Closed</v>
      </c>
      <c r="K459">
        <f ca="1">IF($J459="Jatkaa",DATEDIF($B459,TODAY(),"Y"),INDEX('Lopettaneet 2013-&gt;'!$L:$L,MATCH($D459,'Lopettaneet 2013-&gt;'!$D:$D,0)))</f>
        <v>3</v>
      </c>
      <c r="L459">
        <v>458</v>
      </c>
    </row>
    <row r="460" spans="1:12" x14ac:dyDescent="0.25">
      <c r="A460" t="s">
        <v>7</v>
      </c>
      <c r="B460" s="1">
        <v>42705</v>
      </c>
      <c r="C460" s="1">
        <v>43921</v>
      </c>
      <c r="D460" s="4" t="s">
        <v>1132</v>
      </c>
      <c r="E460" t="s">
        <v>10</v>
      </c>
      <c r="F460" t="s">
        <v>11</v>
      </c>
      <c r="G460" t="s">
        <v>32</v>
      </c>
      <c r="H460" t="s">
        <v>2763</v>
      </c>
      <c r="I460" t="s">
        <v>2763</v>
      </c>
      <c r="J460" t="str">
        <f>IF(ISNUMBER(MATCH($D460,'Lopettaneet 2013-&gt;'!$D:$D,0)),INDEX('Lopettaneet 2013-&gt;'!$K:$K,MATCH($D460,'Lopettaneet 2013-&gt;'!$D:$D,0)),"Jatkaa")</f>
        <v>Closed</v>
      </c>
      <c r="K460">
        <f ca="1">IF($J460="Jatkaa",DATEDIF($B460,TODAY(),"Y"),INDEX('Lopettaneet 2013-&gt;'!$L:$L,MATCH($D460,'Lopettaneet 2013-&gt;'!$D:$D,0)))</f>
        <v>3</v>
      </c>
      <c r="L460">
        <v>459</v>
      </c>
    </row>
    <row r="461" spans="1:12" x14ac:dyDescent="0.25">
      <c r="A461" t="s">
        <v>7</v>
      </c>
      <c r="B461" s="1">
        <v>42705</v>
      </c>
      <c r="C461" s="1">
        <v>44926</v>
      </c>
      <c r="D461" s="4" t="s">
        <v>1134</v>
      </c>
      <c r="E461" t="s">
        <v>10</v>
      </c>
      <c r="F461" t="s">
        <v>11</v>
      </c>
      <c r="G461" t="s">
        <v>32</v>
      </c>
      <c r="H461" t="s">
        <v>2763</v>
      </c>
      <c r="I461" t="s">
        <v>2763</v>
      </c>
      <c r="J461" t="str">
        <f>IF(ISNUMBER(MATCH($D461,'Lopettaneet 2013-&gt;'!$D:$D,0)),INDEX('Lopettaneet 2013-&gt;'!$K:$K,MATCH($D461,'Lopettaneet 2013-&gt;'!$D:$D,0)),"Jatkaa")</f>
        <v>Closed</v>
      </c>
      <c r="K461">
        <f ca="1">IF($J461="Jatkaa",DATEDIF($B461,TODAY(),"Y"),INDEX('Lopettaneet 2013-&gt;'!$L:$L,MATCH($D461,'Lopettaneet 2013-&gt;'!$D:$D,0)))</f>
        <v>6</v>
      </c>
      <c r="L461">
        <v>460</v>
      </c>
    </row>
    <row r="462" spans="1:12" x14ac:dyDescent="0.25">
      <c r="A462" t="s">
        <v>7</v>
      </c>
      <c r="B462" s="1">
        <v>42826</v>
      </c>
      <c r="C462" s="1">
        <v>42827</v>
      </c>
      <c r="D462" s="4" t="s">
        <v>1136</v>
      </c>
      <c r="E462" t="s">
        <v>10</v>
      </c>
      <c r="F462" t="s">
        <v>11</v>
      </c>
      <c r="G462" t="s">
        <v>80</v>
      </c>
      <c r="H462" t="s">
        <v>2763</v>
      </c>
      <c r="I462" t="s">
        <v>2763</v>
      </c>
      <c r="J462" t="str">
        <f>IF(ISNUMBER(MATCH($D462,'Lopettaneet 2013-&gt;'!$D:$D,0)),INDEX('Lopettaneet 2013-&gt;'!$K:$K,MATCH($D462,'Lopettaneet 2013-&gt;'!$D:$D,0)),"Jatkaa")</f>
        <v>Closed</v>
      </c>
      <c r="K462">
        <f ca="1">IF($J462="Jatkaa",DATEDIF($B462,TODAY(),"Y"),INDEX('Lopettaneet 2013-&gt;'!$L:$L,MATCH($D462,'Lopettaneet 2013-&gt;'!$D:$D,0)))</f>
        <v>0</v>
      </c>
      <c r="L462">
        <v>461</v>
      </c>
    </row>
    <row r="463" spans="1:12" x14ac:dyDescent="0.25">
      <c r="A463" t="s">
        <v>7</v>
      </c>
      <c r="B463" s="1">
        <v>42705</v>
      </c>
      <c r="C463" s="1">
        <v>55153</v>
      </c>
      <c r="D463" s="4" t="s">
        <v>1138</v>
      </c>
      <c r="E463" t="s">
        <v>10</v>
      </c>
      <c r="F463" t="s">
        <v>11</v>
      </c>
      <c r="G463" t="s">
        <v>12</v>
      </c>
      <c r="H463" t="s">
        <v>2788</v>
      </c>
      <c r="I463" t="s">
        <v>2895</v>
      </c>
      <c r="J463" t="str">
        <f>IF(ISNUMBER(MATCH($D463,'Lopettaneet 2013-&gt;'!$D:$D,0)),INDEX('Lopettaneet 2013-&gt;'!$K:$K,MATCH($D463,'Lopettaneet 2013-&gt;'!$D:$D,0)),"Jatkaa")</f>
        <v>Jatkaa</v>
      </c>
      <c r="K463">
        <f ca="1">IF($J463="Jatkaa",DATEDIF($B463,TODAY(),"Y"),INDEX('Lopettaneet 2013-&gt;'!$L:$L,MATCH($D463,'Lopettaneet 2013-&gt;'!$D:$D,0)))</f>
        <v>8</v>
      </c>
      <c r="L463">
        <v>462</v>
      </c>
    </row>
    <row r="464" spans="1:12" x14ac:dyDescent="0.25">
      <c r="A464" t="s">
        <v>7</v>
      </c>
      <c r="B464" s="1">
        <v>42705</v>
      </c>
      <c r="C464" s="1">
        <v>55153</v>
      </c>
      <c r="D464" s="4" t="s">
        <v>1140</v>
      </c>
      <c r="E464" t="s">
        <v>10</v>
      </c>
      <c r="F464" t="s">
        <v>11</v>
      </c>
      <c r="G464" t="s">
        <v>12</v>
      </c>
      <c r="H464" t="s">
        <v>2831</v>
      </c>
      <c r="I464" t="s">
        <v>2895</v>
      </c>
      <c r="J464" t="str">
        <f>IF(ISNUMBER(MATCH($D464,'Lopettaneet 2013-&gt;'!$D:$D,0)),INDEX('Lopettaneet 2013-&gt;'!$K:$K,MATCH($D464,'Lopettaneet 2013-&gt;'!$D:$D,0)),"Jatkaa")</f>
        <v>Jatkaa</v>
      </c>
      <c r="K464">
        <f ca="1">IF($J464="Jatkaa",DATEDIF($B464,TODAY(),"Y"),INDEX('Lopettaneet 2013-&gt;'!$L:$L,MATCH($D464,'Lopettaneet 2013-&gt;'!$D:$D,0)))</f>
        <v>8</v>
      </c>
      <c r="L464">
        <v>463</v>
      </c>
    </row>
    <row r="465" spans="1:12" x14ac:dyDescent="0.25">
      <c r="A465" t="s">
        <v>7</v>
      </c>
      <c r="B465" s="1">
        <v>42614</v>
      </c>
      <c r="C465" s="1">
        <v>55153</v>
      </c>
      <c r="D465" s="4" t="s">
        <v>1142</v>
      </c>
      <c r="E465" t="s">
        <v>10</v>
      </c>
      <c r="F465" t="s">
        <v>11</v>
      </c>
      <c r="G465" t="s">
        <v>29</v>
      </c>
      <c r="H465" t="s">
        <v>2840</v>
      </c>
      <c r="I465" t="s">
        <v>2895</v>
      </c>
      <c r="J465" t="str">
        <f>IF(ISNUMBER(MATCH($D465,'Lopettaneet 2013-&gt;'!$D:$D,0)),INDEX('Lopettaneet 2013-&gt;'!$K:$K,MATCH($D465,'Lopettaneet 2013-&gt;'!$D:$D,0)),"Jatkaa")</f>
        <v>Closed</v>
      </c>
      <c r="K465">
        <f ca="1">IF($J465="Jatkaa",DATEDIF($B465,TODAY(),"Y"),INDEX('Lopettaneet 2013-&gt;'!$L:$L,MATCH($D465,'Lopettaneet 2013-&gt;'!$D:$D,0)))</f>
        <v>7</v>
      </c>
      <c r="L465">
        <v>464</v>
      </c>
    </row>
    <row r="466" spans="1:12" x14ac:dyDescent="0.25">
      <c r="A466" t="s">
        <v>0</v>
      </c>
      <c r="B466" s="1">
        <v>42675</v>
      </c>
      <c r="C466" s="1">
        <v>55153</v>
      </c>
      <c r="D466" s="4" t="s">
        <v>1144</v>
      </c>
      <c r="E466" t="s">
        <v>3</v>
      </c>
      <c r="F466" t="s">
        <v>4</v>
      </c>
      <c r="G466" t="s">
        <v>20</v>
      </c>
      <c r="H466" t="s">
        <v>2777</v>
      </c>
      <c r="I466" t="s">
        <v>2894</v>
      </c>
      <c r="J466" t="str">
        <f>IF(ISNUMBER(MATCH($D466,'Lopettaneet 2013-&gt;'!$D:$D,0)),INDEX('Lopettaneet 2013-&gt;'!$K:$K,MATCH($D466,'Lopettaneet 2013-&gt;'!$D:$D,0)),"Jatkaa")</f>
        <v>Jatkaa</v>
      </c>
      <c r="K466">
        <f ca="1">IF($J466="Jatkaa",DATEDIF($B466,TODAY(),"Y"),INDEX('Lopettaneet 2013-&gt;'!$L:$L,MATCH($D466,'Lopettaneet 2013-&gt;'!$D:$D,0)))</f>
        <v>8</v>
      </c>
      <c r="L466">
        <v>465</v>
      </c>
    </row>
    <row r="467" spans="1:12" x14ac:dyDescent="0.25">
      <c r="A467" t="s">
        <v>0</v>
      </c>
      <c r="B467" s="1">
        <v>42705</v>
      </c>
      <c r="C467" s="1">
        <v>55153</v>
      </c>
      <c r="D467" s="4" t="s">
        <v>1146</v>
      </c>
      <c r="E467" t="s">
        <v>10</v>
      </c>
      <c r="F467" t="s">
        <v>4</v>
      </c>
      <c r="G467" t="s">
        <v>29</v>
      </c>
      <c r="H467" t="s">
        <v>2765</v>
      </c>
      <c r="I467" t="s">
        <v>2894</v>
      </c>
      <c r="J467" t="str">
        <f>IF(ISNUMBER(MATCH($D467,'Lopettaneet 2013-&gt;'!$D:$D,0)),INDEX('Lopettaneet 2013-&gt;'!$K:$K,MATCH($D467,'Lopettaneet 2013-&gt;'!$D:$D,0)),"Jatkaa")</f>
        <v>Jatkaa</v>
      </c>
      <c r="K467">
        <f ca="1">IF($J467="Jatkaa",DATEDIF($B467,TODAY(),"Y"),INDEX('Lopettaneet 2013-&gt;'!$L:$L,MATCH($D467,'Lopettaneet 2013-&gt;'!$D:$D,0)))</f>
        <v>8</v>
      </c>
      <c r="L467">
        <v>466</v>
      </c>
    </row>
    <row r="468" spans="1:12" x14ac:dyDescent="0.25">
      <c r="A468" t="s">
        <v>7</v>
      </c>
      <c r="B468" s="1">
        <v>42552</v>
      </c>
      <c r="C468" s="1">
        <v>44469</v>
      </c>
      <c r="D468" s="4" t="s">
        <v>1148</v>
      </c>
      <c r="E468" t="s">
        <v>10</v>
      </c>
      <c r="F468" t="s">
        <v>11</v>
      </c>
      <c r="G468" t="s">
        <v>12</v>
      </c>
      <c r="H468" t="s">
        <v>2763</v>
      </c>
      <c r="I468" t="s">
        <v>2763</v>
      </c>
      <c r="J468" t="str">
        <f>IF(ISNUMBER(MATCH($D468,'Lopettaneet 2013-&gt;'!$D:$D,0)),INDEX('Lopettaneet 2013-&gt;'!$K:$K,MATCH($D468,'Lopettaneet 2013-&gt;'!$D:$D,0)),"Jatkaa")</f>
        <v>Closed</v>
      </c>
      <c r="K468">
        <f ca="1">IF($J468="Jatkaa",DATEDIF($B468,TODAY(),"Y"),INDEX('Lopettaneet 2013-&gt;'!$L:$L,MATCH($D468,'Lopettaneet 2013-&gt;'!$D:$D,0)))</f>
        <v>5</v>
      </c>
      <c r="L468">
        <v>467</v>
      </c>
    </row>
    <row r="469" spans="1:12" x14ac:dyDescent="0.25">
      <c r="A469" t="s">
        <v>7</v>
      </c>
      <c r="B469" s="1">
        <v>42644</v>
      </c>
      <c r="C469" s="1">
        <v>45199</v>
      </c>
      <c r="D469" s="4" t="s">
        <v>39</v>
      </c>
      <c r="E469" t="s">
        <v>10</v>
      </c>
      <c r="F469" t="s">
        <v>11</v>
      </c>
      <c r="G469" t="s">
        <v>29</v>
      </c>
      <c r="H469" t="s">
        <v>2763</v>
      </c>
      <c r="I469" t="s">
        <v>2763</v>
      </c>
      <c r="J469" t="str">
        <f>IF(ISNUMBER(MATCH($D469,'Lopettaneet 2013-&gt;'!$D:$D,0)),INDEX('Lopettaneet 2013-&gt;'!$K:$K,MATCH($D469,'Lopettaneet 2013-&gt;'!$D:$D,0)),"Jatkaa")</f>
        <v>Closed</v>
      </c>
      <c r="K469">
        <f ca="1">IF($J469="Jatkaa",DATEDIF($B469,TODAY(),"Y"),INDEX('Lopettaneet 2013-&gt;'!$L:$L,MATCH($D469,'Lopettaneet 2013-&gt;'!$D:$D,0)))</f>
        <v>6</v>
      </c>
      <c r="L469">
        <v>468</v>
      </c>
    </row>
    <row r="470" spans="1:12" x14ac:dyDescent="0.25">
      <c r="A470" t="s">
        <v>7</v>
      </c>
      <c r="B470" s="1">
        <v>42644</v>
      </c>
      <c r="C470" s="1">
        <v>55153</v>
      </c>
      <c r="D470" s="4" t="s">
        <v>1150</v>
      </c>
      <c r="E470" t="s">
        <v>10</v>
      </c>
      <c r="F470" t="s">
        <v>11</v>
      </c>
      <c r="G470" t="s">
        <v>32</v>
      </c>
      <c r="H470" t="s">
        <v>2801</v>
      </c>
      <c r="I470" t="s">
        <v>2894</v>
      </c>
      <c r="J470" t="str">
        <f>IF(ISNUMBER(MATCH($D470,'Lopettaneet 2013-&gt;'!$D:$D,0)),INDEX('Lopettaneet 2013-&gt;'!$K:$K,MATCH($D470,'Lopettaneet 2013-&gt;'!$D:$D,0)),"Jatkaa")</f>
        <v>Jatkaa</v>
      </c>
      <c r="K470">
        <f ca="1">IF($J470="Jatkaa",DATEDIF($B470,TODAY(),"Y"),INDEX('Lopettaneet 2013-&gt;'!$L:$L,MATCH($D470,'Lopettaneet 2013-&gt;'!$D:$D,0)))</f>
        <v>8</v>
      </c>
      <c r="L470">
        <v>469</v>
      </c>
    </row>
    <row r="471" spans="1:12" x14ac:dyDescent="0.25">
      <c r="A471" t="s">
        <v>7</v>
      </c>
      <c r="B471" s="1">
        <v>42705</v>
      </c>
      <c r="C471" s="1">
        <v>55153</v>
      </c>
      <c r="D471" s="4" t="s">
        <v>1152</v>
      </c>
      <c r="E471" t="s">
        <v>10</v>
      </c>
      <c r="F471" t="s">
        <v>11</v>
      </c>
      <c r="G471" t="s">
        <v>32</v>
      </c>
      <c r="H471" t="s">
        <v>2801</v>
      </c>
      <c r="I471" t="s">
        <v>2894</v>
      </c>
      <c r="J471" t="str">
        <f>IF(ISNUMBER(MATCH($D471,'Lopettaneet 2013-&gt;'!$D:$D,0)),INDEX('Lopettaneet 2013-&gt;'!$K:$K,MATCH($D471,'Lopettaneet 2013-&gt;'!$D:$D,0)),"Jatkaa")</f>
        <v>Jatkaa</v>
      </c>
      <c r="K471">
        <f ca="1">IF($J471="Jatkaa",DATEDIF($B471,TODAY(),"Y"),INDEX('Lopettaneet 2013-&gt;'!$L:$L,MATCH($D471,'Lopettaneet 2013-&gt;'!$D:$D,0)))</f>
        <v>8</v>
      </c>
      <c r="L471">
        <v>470</v>
      </c>
    </row>
    <row r="472" spans="1:12" x14ac:dyDescent="0.25">
      <c r="A472" t="s">
        <v>7</v>
      </c>
      <c r="B472" s="1">
        <v>42644</v>
      </c>
      <c r="C472" s="1">
        <v>55153</v>
      </c>
      <c r="D472" s="4" t="s">
        <v>1154</v>
      </c>
      <c r="E472" t="s">
        <v>10</v>
      </c>
      <c r="F472" t="s">
        <v>11</v>
      </c>
      <c r="G472" t="s">
        <v>32</v>
      </c>
      <c r="H472" t="s">
        <v>2801</v>
      </c>
      <c r="I472" t="s">
        <v>2894</v>
      </c>
      <c r="J472" t="str">
        <f>IF(ISNUMBER(MATCH($D472,'Lopettaneet 2013-&gt;'!$D:$D,0)),INDEX('Lopettaneet 2013-&gt;'!$K:$K,MATCH($D472,'Lopettaneet 2013-&gt;'!$D:$D,0)),"Jatkaa")</f>
        <v>Jatkaa</v>
      </c>
      <c r="K472">
        <f ca="1">IF($J472="Jatkaa",DATEDIF($B472,TODAY(),"Y"),INDEX('Lopettaneet 2013-&gt;'!$L:$L,MATCH($D472,'Lopettaneet 2013-&gt;'!$D:$D,0)))</f>
        <v>8</v>
      </c>
      <c r="L472">
        <v>471</v>
      </c>
    </row>
    <row r="473" spans="1:12" x14ac:dyDescent="0.25">
      <c r="A473" t="s">
        <v>7</v>
      </c>
      <c r="B473" s="1">
        <v>42644</v>
      </c>
      <c r="C473" s="1">
        <v>55153</v>
      </c>
      <c r="D473" s="4" t="s">
        <v>1156</v>
      </c>
      <c r="E473" t="s">
        <v>10</v>
      </c>
      <c r="F473" t="s">
        <v>11</v>
      </c>
      <c r="G473" t="s">
        <v>32</v>
      </c>
      <c r="H473" t="s">
        <v>2801</v>
      </c>
      <c r="I473" t="s">
        <v>2894</v>
      </c>
      <c r="J473" t="str">
        <f>IF(ISNUMBER(MATCH($D473,'Lopettaneet 2013-&gt;'!$D:$D,0)),INDEX('Lopettaneet 2013-&gt;'!$K:$K,MATCH($D473,'Lopettaneet 2013-&gt;'!$D:$D,0)),"Jatkaa")</f>
        <v>Jatkaa</v>
      </c>
      <c r="K473">
        <f ca="1">IF($J473="Jatkaa",DATEDIF($B473,TODAY(),"Y"),INDEX('Lopettaneet 2013-&gt;'!$L:$L,MATCH($D473,'Lopettaneet 2013-&gt;'!$D:$D,0)))</f>
        <v>8</v>
      </c>
      <c r="L473">
        <v>472</v>
      </c>
    </row>
    <row r="474" spans="1:12" x14ac:dyDescent="0.25">
      <c r="A474" t="s">
        <v>0</v>
      </c>
      <c r="B474" s="1">
        <v>42705</v>
      </c>
      <c r="C474" s="1">
        <v>43830</v>
      </c>
      <c r="D474" s="4" t="s">
        <v>1158</v>
      </c>
      <c r="E474" t="s">
        <v>3</v>
      </c>
      <c r="F474" t="s">
        <v>4</v>
      </c>
      <c r="G474" t="s">
        <v>20</v>
      </c>
      <c r="H474" t="s">
        <v>2763</v>
      </c>
      <c r="I474" t="s">
        <v>2763</v>
      </c>
      <c r="J474" t="str">
        <f>IF(ISNUMBER(MATCH($D474,'Lopettaneet 2013-&gt;'!$D:$D,0)),INDEX('Lopettaneet 2013-&gt;'!$K:$K,MATCH($D474,'Lopettaneet 2013-&gt;'!$D:$D,0)),"Jatkaa")</f>
        <v>Merged</v>
      </c>
      <c r="K474">
        <f ca="1">IF($J474="Jatkaa",DATEDIF($B474,TODAY(),"Y"),INDEX('Lopettaneet 2013-&gt;'!$L:$L,MATCH($D474,'Lopettaneet 2013-&gt;'!$D:$D,0)))</f>
        <v>3</v>
      </c>
      <c r="L474">
        <v>473</v>
      </c>
    </row>
    <row r="475" spans="1:12" x14ac:dyDescent="0.25">
      <c r="A475" t="s">
        <v>0</v>
      </c>
      <c r="B475" s="1">
        <v>42795</v>
      </c>
      <c r="C475" s="1">
        <v>55153</v>
      </c>
      <c r="D475" s="4" t="s">
        <v>1160</v>
      </c>
      <c r="E475" t="s">
        <v>3</v>
      </c>
      <c r="F475" t="s">
        <v>4</v>
      </c>
      <c r="G475" t="s">
        <v>50</v>
      </c>
      <c r="H475" t="s">
        <v>2777</v>
      </c>
      <c r="I475" t="s">
        <v>2894</v>
      </c>
      <c r="J475" t="str">
        <f>IF(ISNUMBER(MATCH($D475,'Lopettaneet 2013-&gt;'!$D:$D,0)),INDEX('Lopettaneet 2013-&gt;'!$K:$K,MATCH($D475,'Lopettaneet 2013-&gt;'!$D:$D,0)),"Jatkaa")</f>
        <v>Jatkaa</v>
      </c>
      <c r="K475">
        <f ca="1">IF($J475="Jatkaa",DATEDIF($B475,TODAY(),"Y"),INDEX('Lopettaneet 2013-&gt;'!$L:$L,MATCH($D475,'Lopettaneet 2013-&gt;'!$D:$D,0)))</f>
        <v>8</v>
      </c>
      <c r="L475">
        <v>474</v>
      </c>
    </row>
    <row r="476" spans="1:12" x14ac:dyDescent="0.25">
      <c r="A476" t="s">
        <v>0</v>
      </c>
      <c r="B476" s="1">
        <v>42705</v>
      </c>
      <c r="C476" s="1">
        <v>55153</v>
      </c>
      <c r="D476" s="4" t="s">
        <v>1162</v>
      </c>
      <c r="E476" t="s">
        <v>3</v>
      </c>
      <c r="F476" t="s">
        <v>4</v>
      </c>
      <c r="G476" t="s">
        <v>20</v>
      </c>
      <c r="H476" t="s">
        <v>2764</v>
      </c>
      <c r="I476" t="s">
        <v>2894</v>
      </c>
      <c r="J476" t="str">
        <f>IF(ISNUMBER(MATCH($D476,'Lopettaneet 2013-&gt;'!$D:$D,0)),INDEX('Lopettaneet 2013-&gt;'!$K:$K,MATCH($D476,'Lopettaneet 2013-&gt;'!$D:$D,0)),"Jatkaa")</f>
        <v>Merged</v>
      </c>
      <c r="K476">
        <f ca="1">IF($J476="Jatkaa",DATEDIF($B476,TODAY(),"Y"),INDEX('Lopettaneet 2013-&gt;'!$L:$L,MATCH($D476,'Lopettaneet 2013-&gt;'!$D:$D,0)))</f>
        <v>7</v>
      </c>
      <c r="L476">
        <v>475</v>
      </c>
    </row>
    <row r="477" spans="1:12" x14ac:dyDescent="0.25">
      <c r="A477" t="s">
        <v>0</v>
      </c>
      <c r="B477" s="1">
        <v>42795</v>
      </c>
      <c r="C477" s="1">
        <v>44255</v>
      </c>
      <c r="D477" s="4" t="s">
        <v>1164</v>
      </c>
      <c r="E477" t="s">
        <v>3</v>
      </c>
      <c r="F477" t="s">
        <v>4</v>
      </c>
      <c r="G477" t="s">
        <v>20</v>
      </c>
      <c r="H477" t="s">
        <v>2763</v>
      </c>
      <c r="I477" t="s">
        <v>2763</v>
      </c>
      <c r="J477" t="str">
        <f>IF(ISNUMBER(MATCH($D477,'Lopettaneet 2013-&gt;'!$D:$D,0)),INDEX('Lopettaneet 2013-&gt;'!$K:$K,MATCH($D477,'Lopettaneet 2013-&gt;'!$D:$D,0)),"Jatkaa")</f>
        <v>Merged</v>
      </c>
      <c r="K477">
        <f ca="1">IF($J477="Jatkaa",DATEDIF($B477,TODAY(),"Y"),INDEX('Lopettaneet 2013-&gt;'!$L:$L,MATCH($D477,'Lopettaneet 2013-&gt;'!$D:$D,0)))</f>
        <v>3</v>
      </c>
      <c r="L477">
        <v>476</v>
      </c>
    </row>
    <row r="478" spans="1:12" x14ac:dyDescent="0.25">
      <c r="A478" t="s">
        <v>7</v>
      </c>
      <c r="B478" s="1">
        <v>42795</v>
      </c>
      <c r="C478" s="1">
        <v>55153</v>
      </c>
      <c r="D478" s="4" t="s">
        <v>1166</v>
      </c>
      <c r="E478" t="s">
        <v>10</v>
      </c>
      <c r="F478" t="s">
        <v>11</v>
      </c>
      <c r="G478" t="s">
        <v>80</v>
      </c>
      <c r="H478" t="s">
        <v>2841</v>
      </c>
      <c r="I478" t="s">
        <v>2895</v>
      </c>
      <c r="J478" t="str">
        <f>IF(ISNUMBER(MATCH($D478,'Lopettaneet 2013-&gt;'!$D:$D,0)),INDEX('Lopettaneet 2013-&gt;'!$K:$K,MATCH($D478,'Lopettaneet 2013-&gt;'!$D:$D,0)),"Jatkaa")</f>
        <v>Jatkaa</v>
      </c>
      <c r="K478">
        <f ca="1">IF($J478="Jatkaa",DATEDIF($B478,TODAY(),"Y"),INDEX('Lopettaneet 2013-&gt;'!$L:$L,MATCH($D478,'Lopettaneet 2013-&gt;'!$D:$D,0)))</f>
        <v>8</v>
      </c>
      <c r="L478">
        <v>477</v>
      </c>
    </row>
    <row r="479" spans="1:12" x14ac:dyDescent="0.25">
      <c r="A479" t="s">
        <v>7</v>
      </c>
      <c r="B479" s="1">
        <v>42795</v>
      </c>
      <c r="C479" s="1">
        <v>55153</v>
      </c>
      <c r="D479" s="4" t="s">
        <v>1168</v>
      </c>
      <c r="E479" t="s">
        <v>10</v>
      </c>
      <c r="F479" t="s">
        <v>11</v>
      </c>
      <c r="G479" t="s">
        <v>29</v>
      </c>
      <c r="H479" t="s">
        <v>2771</v>
      </c>
      <c r="I479" t="s">
        <v>2894</v>
      </c>
      <c r="J479" t="str">
        <f>IF(ISNUMBER(MATCH($D479,'Lopettaneet 2013-&gt;'!$D:$D,0)),INDEX('Lopettaneet 2013-&gt;'!$K:$K,MATCH($D479,'Lopettaneet 2013-&gt;'!$D:$D,0)),"Jatkaa")</f>
        <v>Jatkaa</v>
      </c>
      <c r="K479">
        <f ca="1">IF($J479="Jatkaa",DATEDIF($B479,TODAY(),"Y"),INDEX('Lopettaneet 2013-&gt;'!$L:$L,MATCH($D479,'Lopettaneet 2013-&gt;'!$D:$D,0)))</f>
        <v>8</v>
      </c>
      <c r="L479">
        <v>478</v>
      </c>
    </row>
    <row r="480" spans="1:12" x14ac:dyDescent="0.25">
      <c r="A480" t="s">
        <v>7</v>
      </c>
      <c r="B480" s="1">
        <v>42644</v>
      </c>
      <c r="C480" s="1">
        <v>55153</v>
      </c>
      <c r="D480" s="4" t="s">
        <v>1170</v>
      </c>
      <c r="E480" t="s">
        <v>10</v>
      </c>
      <c r="F480" t="s">
        <v>11</v>
      </c>
      <c r="G480" t="s">
        <v>12</v>
      </c>
      <c r="H480" t="s">
        <v>2788</v>
      </c>
      <c r="I480" t="s">
        <v>2895</v>
      </c>
      <c r="J480" t="str">
        <f>IF(ISNUMBER(MATCH($D480,'Lopettaneet 2013-&gt;'!$D:$D,0)),INDEX('Lopettaneet 2013-&gt;'!$K:$K,MATCH($D480,'Lopettaneet 2013-&gt;'!$D:$D,0)),"Jatkaa")</f>
        <v>Jatkaa</v>
      </c>
      <c r="K480">
        <f ca="1">IF($J480="Jatkaa",DATEDIF($B480,TODAY(),"Y"),INDEX('Lopettaneet 2013-&gt;'!$L:$L,MATCH($D480,'Lopettaneet 2013-&gt;'!$D:$D,0)))</f>
        <v>8</v>
      </c>
      <c r="L480">
        <v>479</v>
      </c>
    </row>
    <row r="481" spans="1:12" x14ac:dyDescent="0.25">
      <c r="A481" t="s">
        <v>7</v>
      </c>
      <c r="B481" s="1">
        <v>42887</v>
      </c>
      <c r="C481" s="1">
        <v>55153</v>
      </c>
      <c r="D481" s="4" t="s">
        <v>1172</v>
      </c>
      <c r="E481" t="s">
        <v>10</v>
      </c>
      <c r="F481" t="s">
        <v>11</v>
      </c>
      <c r="G481" t="s">
        <v>32</v>
      </c>
      <c r="H481" t="s">
        <v>2801</v>
      </c>
      <c r="I481" t="s">
        <v>2894</v>
      </c>
      <c r="J481" t="str">
        <f>IF(ISNUMBER(MATCH($D481,'Lopettaneet 2013-&gt;'!$D:$D,0)),INDEX('Lopettaneet 2013-&gt;'!$K:$K,MATCH($D481,'Lopettaneet 2013-&gt;'!$D:$D,0)),"Jatkaa")</f>
        <v>Jatkaa</v>
      </c>
      <c r="K481">
        <f ca="1">IF($J481="Jatkaa",DATEDIF($B481,TODAY(),"Y"),INDEX('Lopettaneet 2013-&gt;'!$L:$L,MATCH($D481,'Lopettaneet 2013-&gt;'!$D:$D,0)))</f>
        <v>7</v>
      </c>
      <c r="L481">
        <v>480</v>
      </c>
    </row>
    <row r="482" spans="1:12" x14ac:dyDescent="0.25">
      <c r="A482" t="s">
        <v>7</v>
      </c>
      <c r="B482" s="1">
        <v>42887</v>
      </c>
      <c r="C482" s="1">
        <v>55153</v>
      </c>
      <c r="D482" s="4" t="s">
        <v>1174</v>
      </c>
      <c r="E482" t="s">
        <v>10</v>
      </c>
      <c r="F482" t="s">
        <v>11</v>
      </c>
      <c r="G482" t="s">
        <v>32</v>
      </c>
      <c r="H482" t="s">
        <v>2801</v>
      </c>
      <c r="I482" t="s">
        <v>2894</v>
      </c>
      <c r="J482" t="str">
        <f>IF(ISNUMBER(MATCH($D482,'Lopettaneet 2013-&gt;'!$D:$D,0)),INDEX('Lopettaneet 2013-&gt;'!$K:$K,MATCH($D482,'Lopettaneet 2013-&gt;'!$D:$D,0)),"Jatkaa")</f>
        <v>Jatkaa</v>
      </c>
      <c r="K482">
        <f ca="1">IF($J482="Jatkaa",DATEDIF($B482,TODAY(),"Y"),INDEX('Lopettaneet 2013-&gt;'!$L:$L,MATCH($D482,'Lopettaneet 2013-&gt;'!$D:$D,0)))</f>
        <v>7</v>
      </c>
      <c r="L482">
        <v>481</v>
      </c>
    </row>
    <row r="483" spans="1:12" x14ac:dyDescent="0.25">
      <c r="A483" t="s">
        <v>7</v>
      </c>
      <c r="B483" s="1">
        <v>42887</v>
      </c>
      <c r="C483" s="1">
        <v>55153</v>
      </c>
      <c r="D483" s="4" t="s">
        <v>1176</v>
      </c>
      <c r="E483" t="s">
        <v>10</v>
      </c>
      <c r="F483" t="s">
        <v>11</v>
      </c>
      <c r="G483" t="s">
        <v>29</v>
      </c>
      <c r="H483" t="s">
        <v>2804</v>
      </c>
      <c r="I483" t="s">
        <v>2894</v>
      </c>
      <c r="J483" t="str">
        <f>IF(ISNUMBER(MATCH($D483,'Lopettaneet 2013-&gt;'!$D:$D,0)),INDEX('Lopettaneet 2013-&gt;'!$K:$K,MATCH($D483,'Lopettaneet 2013-&gt;'!$D:$D,0)),"Jatkaa")</f>
        <v>Jatkaa</v>
      </c>
      <c r="K483">
        <f ca="1">IF($J483="Jatkaa",DATEDIF($B483,TODAY(),"Y"),INDEX('Lopettaneet 2013-&gt;'!$L:$L,MATCH($D483,'Lopettaneet 2013-&gt;'!$D:$D,0)))</f>
        <v>7</v>
      </c>
      <c r="L483">
        <v>482</v>
      </c>
    </row>
    <row r="484" spans="1:12" x14ac:dyDescent="0.25">
      <c r="A484" t="s">
        <v>7</v>
      </c>
      <c r="B484" s="1">
        <v>42887</v>
      </c>
      <c r="C484" s="1">
        <v>55153</v>
      </c>
      <c r="D484" s="4" t="s">
        <v>1178</v>
      </c>
      <c r="E484" t="s">
        <v>10</v>
      </c>
      <c r="F484" t="s">
        <v>11</v>
      </c>
      <c r="G484" t="s">
        <v>29</v>
      </c>
      <c r="H484" t="s">
        <v>2801</v>
      </c>
      <c r="I484" t="s">
        <v>2894</v>
      </c>
      <c r="J484" t="str">
        <f>IF(ISNUMBER(MATCH($D484,'Lopettaneet 2013-&gt;'!$D:$D,0)),INDEX('Lopettaneet 2013-&gt;'!$K:$K,MATCH($D484,'Lopettaneet 2013-&gt;'!$D:$D,0)),"Jatkaa")</f>
        <v>Jatkaa</v>
      </c>
      <c r="K484">
        <f ca="1">IF($J484="Jatkaa",DATEDIF($B484,TODAY(),"Y"),INDEX('Lopettaneet 2013-&gt;'!$L:$L,MATCH($D484,'Lopettaneet 2013-&gt;'!$D:$D,0)))</f>
        <v>7</v>
      </c>
      <c r="L484">
        <v>483</v>
      </c>
    </row>
    <row r="485" spans="1:12" x14ac:dyDescent="0.25">
      <c r="A485" t="s">
        <v>7</v>
      </c>
      <c r="B485" s="1">
        <v>42887</v>
      </c>
      <c r="C485" s="1">
        <v>55153</v>
      </c>
      <c r="D485" s="4" t="s">
        <v>1180</v>
      </c>
      <c r="E485" t="s">
        <v>10</v>
      </c>
      <c r="F485" t="s">
        <v>11</v>
      </c>
      <c r="G485" t="s">
        <v>29</v>
      </c>
      <c r="H485" t="s">
        <v>2801</v>
      </c>
      <c r="I485" t="s">
        <v>2894</v>
      </c>
      <c r="J485" t="str">
        <f>IF(ISNUMBER(MATCH($D485,'Lopettaneet 2013-&gt;'!$D:$D,0)),INDEX('Lopettaneet 2013-&gt;'!$K:$K,MATCH($D485,'Lopettaneet 2013-&gt;'!$D:$D,0)),"Jatkaa")</f>
        <v>Jatkaa</v>
      </c>
      <c r="K485">
        <f ca="1">IF($J485="Jatkaa",DATEDIF($B485,TODAY(),"Y"),INDEX('Lopettaneet 2013-&gt;'!$L:$L,MATCH($D485,'Lopettaneet 2013-&gt;'!$D:$D,0)))</f>
        <v>7</v>
      </c>
      <c r="L485">
        <v>484</v>
      </c>
    </row>
    <row r="486" spans="1:12" x14ac:dyDescent="0.25">
      <c r="A486" t="s">
        <v>7</v>
      </c>
      <c r="B486" s="1">
        <v>42887</v>
      </c>
      <c r="C486" s="1">
        <v>55153</v>
      </c>
      <c r="D486" s="4" t="s">
        <v>1182</v>
      </c>
      <c r="E486" t="s">
        <v>10</v>
      </c>
      <c r="F486" t="s">
        <v>11</v>
      </c>
      <c r="G486" t="s">
        <v>29</v>
      </c>
      <c r="H486" t="s">
        <v>2801</v>
      </c>
      <c r="I486" t="s">
        <v>2894</v>
      </c>
      <c r="J486" t="str">
        <f>IF(ISNUMBER(MATCH($D486,'Lopettaneet 2013-&gt;'!$D:$D,0)),INDEX('Lopettaneet 2013-&gt;'!$K:$K,MATCH($D486,'Lopettaneet 2013-&gt;'!$D:$D,0)),"Jatkaa")</f>
        <v>Jatkaa</v>
      </c>
      <c r="K486">
        <f ca="1">IF($J486="Jatkaa",DATEDIF($B486,TODAY(),"Y"),INDEX('Lopettaneet 2013-&gt;'!$L:$L,MATCH($D486,'Lopettaneet 2013-&gt;'!$D:$D,0)))</f>
        <v>7</v>
      </c>
      <c r="L486">
        <v>485</v>
      </c>
    </row>
    <row r="487" spans="1:12" x14ac:dyDescent="0.25">
      <c r="A487" t="s">
        <v>0</v>
      </c>
      <c r="B487" s="1">
        <v>42767</v>
      </c>
      <c r="C487" s="1">
        <v>55153</v>
      </c>
      <c r="D487" s="4" t="s">
        <v>1184</v>
      </c>
      <c r="E487" t="s">
        <v>10</v>
      </c>
      <c r="F487" t="s">
        <v>11</v>
      </c>
      <c r="G487" t="s">
        <v>20</v>
      </c>
      <c r="H487" t="s">
        <v>2766</v>
      </c>
      <c r="I487" t="s">
        <v>2895</v>
      </c>
      <c r="J487" t="str">
        <f>IF(ISNUMBER(MATCH($D487,'Lopettaneet 2013-&gt;'!$D:$D,0)),INDEX('Lopettaneet 2013-&gt;'!$K:$K,MATCH($D487,'Lopettaneet 2013-&gt;'!$D:$D,0)),"Jatkaa")</f>
        <v>Jatkaa</v>
      </c>
      <c r="K487">
        <f ca="1">IF($J487="Jatkaa",DATEDIF($B487,TODAY(),"Y"),INDEX('Lopettaneet 2013-&gt;'!$L:$L,MATCH($D487,'Lopettaneet 2013-&gt;'!$D:$D,0)))</f>
        <v>8</v>
      </c>
      <c r="L487">
        <v>486</v>
      </c>
    </row>
    <row r="488" spans="1:12" x14ac:dyDescent="0.25">
      <c r="A488" t="s">
        <v>7</v>
      </c>
      <c r="B488" s="1">
        <v>42795</v>
      </c>
      <c r="C488" s="1">
        <v>55153</v>
      </c>
      <c r="D488" s="4" t="s">
        <v>1186</v>
      </c>
      <c r="E488" t="s">
        <v>10</v>
      </c>
      <c r="F488" t="s">
        <v>11</v>
      </c>
      <c r="G488" t="s">
        <v>12</v>
      </c>
      <c r="H488" t="s">
        <v>2766</v>
      </c>
      <c r="I488" t="s">
        <v>2895</v>
      </c>
      <c r="J488" t="str">
        <f>IF(ISNUMBER(MATCH($D488,'Lopettaneet 2013-&gt;'!$D:$D,0)),INDEX('Lopettaneet 2013-&gt;'!$K:$K,MATCH($D488,'Lopettaneet 2013-&gt;'!$D:$D,0)),"Jatkaa")</f>
        <v>Jatkaa</v>
      </c>
      <c r="K488">
        <f ca="1">IF($J488="Jatkaa",DATEDIF($B488,TODAY(),"Y"),INDEX('Lopettaneet 2013-&gt;'!$L:$L,MATCH($D488,'Lopettaneet 2013-&gt;'!$D:$D,0)))</f>
        <v>8</v>
      </c>
      <c r="L488">
        <v>487</v>
      </c>
    </row>
    <row r="489" spans="1:12" x14ac:dyDescent="0.25">
      <c r="A489" t="s">
        <v>0</v>
      </c>
      <c r="B489" s="1">
        <v>43282</v>
      </c>
      <c r="C489" s="1">
        <v>55153</v>
      </c>
      <c r="D489" s="4" t="s">
        <v>1188</v>
      </c>
      <c r="E489" t="s">
        <v>10</v>
      </c>
      <c r="F489" t="s">
        <v>11</v>
      </c>
      <c r="G489" t="s">
        <v>20</v>
      </c>
      <c r="H489" t="s">
        <v>2766</v>
      </c>
      <c r="I489" t="s">
        <v>2895</v>
      </c>
      <c r="J489" t="str">
        <f>IF(ISNUMBER(MATCH($D489,'Lopettaneet 2013-&gt;'!$D:$D,0)),INDEX('Lopettaneet 2013-&gt;'!$K:$K,MATCH($D489,'Lopettaneet 2013-&gt;'!$D:$D,0)),"Jatkaa")</f>
        <v>Jatkaa</v>
      </c>
      <c r="K489">
        <f ca="1">IF($J489="Jatkaa",DATEDIF($B489,TODAY(),"Y"),INDEX('Lopettaneet 2013-&gt;'!$L:$L,MATCH($D489,'Lopettaneet 2013-&gt;'!$D:$D,0)))</f>
        <v>6</v>
      </c>
      <c r="L489">
        <v>488</v>
      </c>
    </row>
    <row r="490" spans="1:12" x14ac:dyDescent="0.25">
      <c r="A490" t="s">
        <v>7</v>
      </c>
      <c r="B490" s="1">
        <v>42795</v>
      </c>
      <c r="C490" s="1">
        <v>55153</v>
      </c>
      <c r="D490" s="4" t="s">
        <v>1190</v>
      </c>
      <c r="E490" t="s">
        <v>10</v>
      </c>
      <c r="F490" t="s">
        <v>11</v>
      </c>
      <c r="G490" t="s">
        <v>32</v>
      </c>
      <c r="H490" t="s">
        <v>2816</v>
      </c>
      <c r="I490" t="s">
        <v>2895</v>
      </c>
      <c r="J490" t="str">
        <f>IF(ISNUMBER(MATCH($D490,'Lopettaneet 2013-&gt;'!$D:$D,0)),INDEX('Lopettaneet 2013-&gt;'!$K:$K,MATCH($D490,'Lopettaneet 2013-&gt;'!$D:$D,0)),"Jatkaa")</f>
        <v>Jatkaa</v>
      </c>
      <c r="K490">
        <f ca="1">IF($J490="Jatkaa",DATEDIF($B490,TODAY(),"Y"),INDEX('Lopettaneet 2013-&gt;'!$L:$L,MATCH($D490,'Lopettaneet 2013-&gt;'!$D:$D,0)))</f>
        <v>8</v>
      </c>
      <c r="L490">
        <v>489</v>
      </c>
    </row>
    <row r="491" spans="1:12" x14ac:dyDescent="0.25">
      <c r="A491" t="s">
        <v>0</v>
      </c>
      <c r="B491" s="1">
        <v>42795</v>
      </c>
      <c r="C491" s="1">
        <v>55153</v>
      </c>
      <c r="D491" s="4" t="s">
        <v>1192</v>
      </c>
      <c r="E491" t="s">
        <v>10</v>
      </c>
      <c r="F491" t="s">
        <v>4</v>
      </c>
      <c r="G491" t="s">
        <v>47</v>
      </c>
      <c r="H491" t="s">
        <v>2842</v>
      </c>
      <c r="I491" t="s">
        <v>2894</v>
      </c>
      <c r="J491" t="str">
        <f>IF(ISNUMBER(MATCH($D491,'Lopettaneet 2013-&gt;'!$D:$D,0)),INDEX('Lopettaneet 2013-&gt;'!$K:$K,MATCH($D491,'Lopettaneet 2013-&gt;'!$D:$D,0)),"Jatkaa")</f>
        <v>Jatkaa</v>
      </c>
      <c r="K491">
        <f ca="1">IF($J491="Jatkaa",DATEDIF($B491,TODAY(),"Y"),INDEX('Lopettaneet 2013-&gt;'!$L:$L,MATCH($D491,'Lopettaneet 2013-&gt;'!$D:$D,0)))</f>
        <v>8</v>
      </c>
      <c r="L491">
        <v>490</v>
      </c>
    </row>
    <row r="492" spans="1:12" x14ac:dyDescent="0.25">
      <c r="A492" t="s">
        <v>0</v>
      </c>
      <c r="B492" s="1">
        <v>42795</v>
      </c>
      <c r="C492" s="1">
        <v>43404</v>
      </c>
      <c r="D492" s="4" t="s">
        <v>1194</v>
      </c>
      <c r="E492" t="s">
        <v>10</v>
      </c>
      <c r="F492" t="s">
        <v>4</v>
      </c>
      <c r="G492" t="s">
        <v>47</v>
      </c>
      <c r="H492" t="s">
        <v>2763</v>
      </c>
      <c r="I492" t="s">
        <v>2763</v>
      </c>
      <c r="J492" t="str">
        <f>IF(ISNUMBER(MATCH($D492,'Lopettaneet 2013-&gt;'!$D:$D,0)),INDEX('Lopettaneet 2013-&gt;'!$K:$K,MATCH($D492,'Lopettaneet 2013-&gt;'!$D:$D,0)),"Jatkaa")</f>
        <v>Closed</v>
      </c>
      <c r="K492">
        <f ca="1">IF($J492="Jatkaa",DATEDIF($B492,TODAY(),"Y"),INDEX('Lopettaneet 2013-&gt;'!$L:$L,MATCH($D492,'Lopettaneet 2013-&gt;'!$D:$D,0)))</f>
        <v>1</v>
      </c>
      <c r="L492">
        <v>491</v>
      </c>
    </row>
    <row r="493" spans="1:12" x14ac:dyDescent="0.25">
      <c r="A493" t="s">
        <v>0</v>
      </c>
      <c r="B493" s="1">
        <v>42767</v>
      </c>
      <c r="C493" s="1">
        <v>43830</v>
      </c>
      <c r="D493" s="4" t="s">
        <v>1196</v>
      </c>
      <c r="E493" t="s">
        <v>10</v>
      </c>
      <c r="F493" t="s">
        <v>4</v>
      </c>
      <c r="G493" t="s">
        <v>20</v>
      </c>
      <c r="H493" t="s">
        <v>2763</v>
      </c>
      <c r="I493" t="s">
        <v>2763</v>
      </c>
      <c r="J493" t="str">
        <f>IF(ISNUMBER(MATCH($D493,'Lopettaneet 2013-&gt;'!$D:$D,0)),INDEX('Lopettaneet 2013-&gt;'!$K:$K,MATCH($D493,'Lopettaneet 2013-&gt;'!$D:$D,0)),"Jatkaa")</f>
        <v>Merged</v>
      </c>
      <c r="K493">
        <f ca="1">IF($J493="Jatkaa",DATEDIF($B493,TODAY(),"Y"),INDEX('Lopettaneet 2013-&gt;'!$L:$L,MATCH($D493,'Lopettaneet 2013-&gt;'!$D:$D,0)))</f>
        <v>2</v>
      </c>
      <c r="L493">
        <v>492</v>
      </c>
    </row>
    <row r="494" spans="1:12" x14ac:dyDescent="0.25">
      <c r="A494" t="s">
        <v>7</v>
      </c>
      <c r="B494" s="1">
        <v>42887</v>
      </c>
      <c r="C494" s="1">
        <v>55153</v>
      </c>
      <c r="D494" s="4" t="s">
        <v>1198</v>
      </c>
      <c r="E494" t="s">
        <v>10</v>
      </c>
      <c r="F494" t="s">
        <v>11</v>
      </c>
      <c r="G494" t="s">
        <v>32</v>
      </c>
      <c r="H494" t="s">
        <v>2801</v>
      </c>
      <c r="I494" t="s">
        <v>2894</v>
      </c>
      <c r="J494" t="str">
        <f>IF(ISNUMBER(MATCH($D494,'Lopettaneet 2013-&gt;'!$D:$D,0)),INDEX('Lopettaneet 2013-&gt;'!$K:$K,MATCH($D494,'Lopettaneet 2013-&gt;'!$D:$D,0)),"Jatkaa")</f>
        <v>Jatkaa</v>
      </c>
      <c r="K494">
        <f ca="1">IF($J494="Jatkaa",DATEDIF($B494,TODAY(),"Y"),INDEX('Lopettaneet 2013-&gt;'!$L:$L,MATCH($D494,'Lopettaneet 2013-&gt;'!$D:$D,0)))</f>
        <v>7</v>
      </c>
      <c r="L494">
        <v>493</v>
      </c>
    </row>
    <row r="495" spans="1:12" x14ac:dyDescent="0.25">
      <c r="A495" t="s">
        <v>7</v>
      </c>
      <c r="B495" s="1">
        <v>42887</v>
      </c>
      <c r="C495" s="1">
        <v>55153</v>
      </c>
      <c r="D495" s="4" t="s">
        <v>1200</v>
      </c>
      <c r="E495" t="s">
        <v>10</v>
      </c>
      <c r="F495" t="s">
        <v>11</v>
      </c>
      <c r="G495" t="s">
        <v>32</v>
      </c>
      <c r="H495" t="s">
        <v>2801</v>
      </c>
      <c r="I495" t="s">
        <v>2894</v>
      </c>
      <c r="J495" t="str">
        <f>IF(ISNUMBER(MATCH($D495,'Lopettaneet 2013-&gt;'!$D:$D,0)),INDEX('Lopettaneet 2013-&gt;'!$K:$K,MATCH($D495,'Lopettaneet 2013-&gt;'!$D:$D,0)),"Jatkaa")</f>
        <v>Jatkaa</v>
      </c>
      <c r="K495">
        <f ca="1">IF($J495="Jatkaa",DATEDIF($B495,TODAY(),"Y"),INDEX('Lopettaneet 2013-&gt;'!$L:$L,MATCH($D495,'Lopettaneet 2013-&gt;'!$D:$D,0)))</f>
        <v>7</v>
      </c>
      <c r="L495">
        <v>494</v>
      </c>
    </row>
    <row r="496" spans="1:12" x14ac:dyDescent="0.25">
      <c r="A496" t="s">
        <v>7</v>
      </c>
      <c r="B496" s="1">
        <v>42887</v>
      </c>
      <c r="C496" s="1">
        <v>55153</v>
      </c>
      <c r="D496" s="4" t="s">
        <v>1202</v>
      </c>
      <c r="E496" t="s">
        <v>10</v>
      </c>
      <c r="F496" t="s">
        <v>11</v>
      </c>
      <c r="G496" t="s">
        <v>32</v>
      </c>
      <c r="H496" t="s">
        <v>2801</v>
      </c>
      <c r="I496" t="s">
        <v>2894</v>
      </c>
      <c r="J496" t="str">
        <f>IF(ISNUMBER(MATCH($D496,'Lopettaneet 2013-&gt;'!$D:$D,0)),INDEX('Lopettaneet 2013-&gt;'!$K:$K,MATCH($D496,'Lopettaneet 2013-&gt;'!$D:$D,0)),"Jatkaa")</f>
        <v>Jatkaa</v>
      </c>
      <c r="K496">
        <f ca="1">IF($J496="Jatkaa",DATEDIF($B496,TODAY(),"Y"),INDEX('Lopettaneet 2013-&gt;'!$L:$L,MATCH($D496,'Lopettaneet 2013-&gt;'!$D:$D,0)))</f>
        <v>7</v>
      </c>
      <c r="L496">
        <v>495</v>
      </c>
    </row>
    <row r="497" spans="1:12" x14ac:dyDescent="0.25">
      <c r="A497" t="s">
        <v>7</v>
      </c>
      <c r="B497" s="1">
        <v>42887</v>
      </c>
      <c r="C497" s="1">
        <v>55153</v>
      </c>
      <c r="D497" s="4" t="s">
        <v>1204</v>
      </c>
      <c r="E497" t="s">
        <v>10</v>
      </c>
      <c r="F497" t="s">
        <v>11</v>
      </c>
      <c r="G497" t="s">
        <v>32</v>
      </c>
      <c r="H497" t="s">
        <v>2801</v>
      </c>
      <c r="I497" t="s">
        <v>2894</v>
      </c>
      <c r="J497" t="str">
        <f>IF(ISNUMBER(MATCH($D497,'Lopettaneet 2013-&gt;'!$D:$D,0)),INDEX('Lopettaneet 2013-&gt;'!$K:$K,MATCH($D497,'Lopettaneet 2013-&gt;'!$D:$D,0)),"Jatkaa")</f>
        <v>Jatkaa</v>
      </c>
      <c r="K497">
        <f ca="1">IF($J497="Jatkaa",DATEDIF($B497,TODAY(),"Y"),INDEX('Lopettaneet 2013-&gt;'!$L:$L,MATCH($D497,'Lopettaneet 2013-&gt;'!$D:$D,0)))</f>
        <v>7</v>
      </c>
      <c r="L497">
        <v>496</v>
      </c>
    </row>
    <row r="498" spans="1:12" x14ac:dyDescent="0.25">
      <c r="A498" t="s">
        <v>7</v>
      </c>
      <c r="B498" s="1">
        <v>42887</v>
      </c>
      <c r="C498" s="1">
        <v>55153</v>
      </c>
      <c r="D498" s="4" t="s">
        <v>1206</v>
      </c>
      <c r="E498" t="s">
        <v>10</v>
      </c>
      <c r="F498" t="s">
        <v>11</v>
      </c>
      <c r="G498" t="s">
        <v>80</v>
      </c>
      <c r="H498" t="s">
        <v>2806</v>
      </c>
      <c r="I498" t="s">
        <v>2895</v>
      </c>
      <c r="J498" t="str">
        <f>IF(ISNUMBER(MATCH($D498,'Lopettaneet 2013-&gt;'!$D:$D,0)),INDEX('Lopettaneet 2013-&gt;'!$K:$K,MATCH($D498,'Lopettaneet 2013-&gt;'!$D:$D,0)),"Jatkaa")</f>
        <v>Jatkaa</v>
      </c>
      <c r="K498">
        <f ca="1">IF($J498="Jatkaa",DATEDIF($B498,TODAY(),"Y"),INDEX('Lopettaneet 2013-&gt;'!$L:$L,MATCH($D498,'Lopettaneet 2013-&gt;'!$D:$D,0)))</f>
        <v>7</v>
      </c>
      <c r="L498">
        <v>497</v>
      </c>
    </row>
    <row r="499" spans="1:12" x14ac:dyDescent="0.25">
      <c r="A499" t="s">
        <v>7</v>
      </c>
      <c r="B499" s="1">
        <v>42736</v>
      </c>
      <c r="C499" s="1">
        <v>55153</v>
      </c>
      <c r="D499" s="4" t="s">
        <v>1208</v>
      </c>
      <c r="E499" t="s">
        <v>10</v>
      </c>
      <c r="F499" t="s">
        <v>11</v>
      </c>
      <c r="G499" t="s">
        <v>32</v>
      </c>
      <c r="H499" t="s">
        <v>2816</v>
      </c>
      <c r="I499" t="s">
        <v>2895</v>
      </c>
      <c r="J499" t="str">
        <f>IF(ISNUMBER(MATCH($D499,'Lopettaneet 2013-&gt;'!$D:$D,0)),INDEX('Lopettaneet 2013-&gt;'!$K:$K,MATCH($D499,'Lopettaneet 2013-&gt;'!$D:$D,0)),"Jatkaa")</f>
        <v>Jatkaa</v>
      </c>
      <c r="K499">
        <f ca="1">IF($J499="Jatkaa",DATEDIF($B499,TODAY(),"Y"),INDEX('Lopettaneet 2013-&gt;'!$L:$L,MATCH($D499,'Lopettaneet 2013-&gt;'!$D:$D,0)))</f>
        <v>8</v>
      </c>
      <c r="L499">
        <v>498</v>
      </c>
    </row>
    <row r="500" spans="1:12" x14ac:dyDescent="0.25">
      <c r="A500" t="s">
        <v>7</v>
      </c>
      <c r="B500" s="1">
        <v>42795</v>
      </c>
      <c r="C500" s="1">
        <v>44926</v>
      </c>
      <c r="D500" s="4" t="s">
        <v>1210</v>
      </c>
      <c r="E500" t="s">
        <v>10</v>
      </c>
      <c r="F500" t="s">
        <v>11</v>
      </c>
      <c r="G500" t="s">
        <v>32</v>
      </c>
      <c r="H500" t="s">
        <v>2763</v>
      </c>
      <c r="I500" t="s">
        <v>2763</v>
      </c>
      <c r="J500" t="str">
        <f>IF(ISNUMBER(MATCH($D500,'Lopettaneet 2013-&gt;'!$D:$D,0)),INDEX('Lopettaneet 2013-&gt;'!$K:$K,MATCH($D500,'Lopettaneet 2013-&gt;'!$D:$D,0)),"Jatkaa")</f>
        <v>Closed</v>
      </c>
      <c r="K500">
        <f ca="1">IF($J500="Jatkaa",DATEDIF($B500,TODAY(),"Y"),INDEX('Lopettaneet 2013-&gt;'!$L:$L,MATCH($D500,'Lopettaneet 2013-&gt;'!$D:$D,0)))</f>
        <v>5</v>
      </c>
      <c r="L500">
        <v>499</v>
      </c>
    </row>
    <row r="501" spans="1:12" x14ac:dyDescent="0.25">
      <c r="A501" t="s">
        <v>0</v>
      </c>
      <c r="B501" s="1">
        <v>42795</v>
      </c>
      <c r="C501" s="1">
        <v>55153</v>
      </c>
      <c r="D501" s="4" t="s">
        <v>1212</v>
      </c>
      <c r="E501" t="s">
        <v>3</v>
      </c>
      <c r="F501" t="s">
        <v>4</v>
      </c>
      <c r="G501" t="s">
        <v>20</v>
      </c>
      <c r="H501" t="s">
        <v>2843</v>
      </c>
      <c r="I501" t="s">
        <v>2894</v>
      </c>
      <c r="J501" t="str">
        <f>IF(ISNUMBER(MATCH($D501,'Lopettaneet 2013-&gt;'!$D:$D,0)),INDEX('Lopettaneet 2013-&gt;'!$K:$K,MATCH($D501,'Lopettaneet 2013-&gt;'!$D:$D,0)),"Jatkaa")</f>
        <v>Jatkaa</v>
      </c>
      <c r="K501">
        <f ca="1">IF($J501="Jatkaa",DATEDIF($B501,TODAY(),"Y"),INDEX('Lopettaneet 2013-&gt;'!$L:$L,MATCH($D501,'Lopettaneet 2013-&gt;'!$D:$D,0)))</f>
        <v>8</v>
      </c>
      <c r="L501">
        <v>500</v>
      </c>
    </row>
    <row r="502" spans="1:12" x14ac:dyDescent="0.25">
      <c r="A502" t="s">
        <v>7</v>
      </c>
      <c r="B502" s="1">
        <v>42795</v>
      </c>
      <c r="C502" s="1">
        <v>55153</v>
      </c>
      <c r="D502" s="4" t="s">
        <v>1214</v>
      </c>
      <c r="E502" t="s">
        <v>10</v>
      </c>
      <c r="F502" t="s">
        <v>11</v>
      </c>
      <c r="G502" t="s">
        <v>12</v>
      </c>
      <c r="H502" t="s">
        <v>2793</v>
      </c>
      <c r="I502" t="s">
        <v>2895</v>
      </c>
      <c r="J502" t="str">
        <f>IF(ISNUMBER(MATCH($D502,'Lopettaneet 2013-&gt;'!$D:$D,0)),INDEX('Lopettaneet 2013-&gt;'!$K:$K,MATCH($D502,'Lopettaneet 2013-&gt;'!$D:$D,0)),"Jatkaa")</f>
        <v>Jatkaa</v>
      </c>
      <c r="K502">
        <f ca="1">IF($J502="Jatkaa",DATEDIF($B502,TODAY(),"Y"),INDEX('Lopettaneet 2013-&gt;'!$L:$L,MATCH($D502,'Lopettaneet 2013-&gt;'!$D:$D,0)))</f>
        <v>8</v>
      </c>
      <c r="L502">
        <v>501</v>
      </c>
    </row>
    <row r="503" spans="1:12" x14ac:dyDescent="0.25">
      <c r="A503" t="s">
        <v>0</v>
      </c>
      <c r="B503" s="1">
        <v>42948</v>
      </c>
      <c r="C503" s="1">
        <v>55153</v>
      </c>
      <c r="D503" s="4" t="s">
        <v>1216</v>
      </c>
      <c r="E503" t="s">
        <v>10</v>
      </c>
      <c r="F503" t="s">
        <v>11</v>
      </c>
      <c r="G503" t="s">
        <v>29</v>
      </c>
      <c r="H503" t="s">
        <v>2766</v>
      </c>
      <c r="I503" t="s">
        <v>2895</v>
      </c>
      <c r="J503" t="str">
        <f>IF(ISNUMBER(MATCH($D503,'Lopettaneet 2013-&gt;'!$D:$D,0)),INDEX('Lopettaneet 2013-&gt;'!$K:$K,MATCH($D503,'Lopettaneet 2013-&gt;'!$D:$D,0)),"Jatkaa")</f>
        <v>Jatkaa</v>
      </c>
      <c r="K503">
        <f ca="1">IF($J503="Jatkaa",DATEDIF($B503,TODAY(),"Y"),INDEX('Lopettaneet 2013-&gt;'!$L:$L,MATCH($D503,'Lopettaneet 2013-&gt;'!$D:$D,0)))</f>
        <v>7</v>
      </c>
      <c r="L503">
        <v>502</v>
      </c>
    </row>
    <row r="504" spans="1:12" x14ac:dyDescent="0.25">
      <c r="A504" t="s">
        <v>7</v>
      </c>
      <c r="B504" s="1">
        <v>42887</v>
      </c>
      <c r="C504" s="1">
        <v>55153</v>
      </c>
      <c r="D504" s="4" t="s">
        <v>1218</v>
      </c>
      <c r="E504" t="s">
        <v>10</v>
      </c>
      <c r="F504" t="s">
        <v>11</v>
      </c>
      <c r="G504" t="s">
        <v>32</v>
      </c>
      <c r="H504" t="s">
        <v>2844</v>
      </c>
      <c r="I504" t="s">
        <v>2895</v>
      </c>
      <c r="J504" t="str">
        <f>IF(ISNUMBER(MATCH($D504,'Lopettaneet 2013-&gt;'!$D:$D,0)),INDEX('Lopettaneet 2013-&gt;'!$K:$K,MATCH($D504,'Lopettaneet 2013-&gt;'!$D:$D,0)),"Jatkaa")</f>
        <v>Jatkaa</v>
      </c>
      <c r="K504">
        <f ca="1">IF($J504="Jatkaa",DATEDIF($B504,TODAY(),"Y"),INDEX('Lopettaneet 2013-&gt;'!$L:$L,MATCH($D504,'Lopettaneet 2013-&gt;'!$D:$D,0)))</f>
        <v>7</v>
      </c>
      <c r="L504">
        <v>503</v>
      </c>
    </row>
    <row r="505" spans="1:12" x14ac:dyDescent="0.25">
      <c r="A505" t="s">
        <v>7</v>
      </c>
      <c r="B505" s="1">
        <v>42887</v>
      </c>
      <c r="C505" s="1">
        <v>55153</v>
      </c>
      <c r="D505" s="4" t="s">
        <v>1220</v>
      </c>
      <c r="E505" t="s">
        <v>10</v>
      </c>
      <c r="F505" t="s">
        <v>11</v>
      </c>
      <c r="G505" t="s">
        <v>29</v>
      </c>
      <c r="H505" t="s">
        <v>2801</v>
      </c>
      <c r="I505" t="s">
        <v>2894</v>
      </c>
      <c r="J505" t="str">
        <f>IF(ISNUMBER(MATCH($D505,'Lopettaneet 2013-&gt;'!$D:$D,0)),INDEX('Lopettaneet 2013-&gt;'!$K:$K,MATCH($D505,'Lopettaneet 2013-&gt;'!$D:$D,0)),"Jatkaa")</f>
        <v>Jatkaa</v>
      </c>
      <c r="K505">
        <f ca="1">IF($J505="Jatkaa",DATEDIF($B505,TODAY(),"Y"),INDEX('Lopettaneet 2013-&gt;'!$L:$L,MATCH($D505,'Lopettaneet 2013-&gt;'!$D:$D,0)))</f>
        <v>7</v>
      </c>
      <c r="L505">
        <v>504</v>
      </c>
    </row>
    <row r="506" spans="1:12" x14ac:dyDescent="0.25">
      <c r="A506" t="s">
        <v>7</v>
      </c>
      <c r="B506" s="1">
        <v>42795</v>
      </c>
      <c r="C506" s="1">
        <v>55153</v>
      </c>
      <c r="D506" s="4" t="s">
        <v>1222</v>
      </c>
      <c r="E506" t="s">
        <v>10</v>
      </c>
      <c r="F506" t="s">
        <v>11</v>
      </c>
      <c r="G506" t="s">
        <v>12</v>
      </c>
      <c r="H506" t="s">
        <v>2793</v>
      </c>
      <c r="I506" t="s">
        <v>2895</v>
      </c>
      <c r="J506" t="str">
        <f>IF(ISNUMBER(MATCH($D506,'Lopettaneet 2013-&gt;'!$D:$D,0)),INDEX('Lopettaneet 2013-&gt;'!$K:$K,MATCH($D506,'Lopettaneet 2013-&gt;'!$D:$D,0)),"Jatkaa")</f>
        <v>Jatkaa</v>
      </c>
      <c r="K506">
        <f ca="1">IF($J506="Jatkaa",DATEDIF($B506,TODAY(),"Y"),INDEX('Lopettaneet 2013-&gt;'!$L:$L,MATCH($D506,'Lopettaneet 2013-&gt;'!$D:$D,0)))</f>
        <v>8</v>
      </c>
      <c r="L506">
        <v>505</v>
      </c>
    </row>
    <row r="507" spans="1:12" x14ac:dyDescent="0.25">
      <c r="A507" t="s">
        <v>7</v>
      </c>
      <c r="B507" s="1">
        <v>42795</v>
      </c>
      <c r="C507" s="1">
        <v>55153</v>
      </c>
      <c r="D507" s="4" t="s">
        <v>1224</v>
      </c>
      <c r="E507" t="s">
        <v>10</v>
      </c>
      <c r="F507" t="s">
        <v>11</v>
      </c>
      <c r="G507" t="s">
        <v>32</v>
      </c>
      <c r="H507" t="s">
        <v>2824</v>
      </c>
      <c r="I507" t="s">
        <v>2895</v>
      </c>
      <c r="J507" t="str">
        <f>IF(ISNUMBER(MATCH($D507,'Lopettaneet 2013-&gt;'!$D:$D,0)),INDEX('Lopettaneet 2013-&gt;'!$K:$K,MATCH($D507,'Lopettaneet 2013-&gt;'!$D:$D,0)),"Jatkaa")</f>
        <v>Jatkaa</v>
      </c>
      <c r="K507">
        <f ca="1">IF($J507="Jatkaa",DATEDIF($B507,TODAY(),"Y"),INDEX('Lopettaneet 2013-&gt;'!$L:$L,MATCH($D507,'Lopettaneet 2013-&gt;'!$D:$D,0)))</f>
        <v>8</v>
      </c>
      <c r="L507">
        <v>506</v>
      </c>
    </row>
    <row r="508" spans="1:12" x14ac:dyDescent="0.25">
      <c r="A508" t="s">
        <v>0</v>
      </c>
      <c r="B508" s="1">
        <v>42795</v>
      </c>
      <c r="C508" s="1">
        <v>43434</v>
      </c>
      <c r="D508" s="4" t="s">
        <v>1226</v>
      </c>
      <c r="E508" t="s">
        <v>3</v>
      </c>
      <c r="F508" t="s">
        <v>4</v>
      </c>
      <c r="G508" t="s">
        <v>50</v>
      </c>
      <c r="H508" t="s">
        <v>2763</v>
      </c>
      <c r="I508" t="s">
        <v>2763</v>
      </c>
      <c r="J508" t="str">
        <f>IF(ISNUMBER(MATCH($D508,'Lopettaneet 2013-&gt;'!$D:$D,0)),INDEX('Lopettaneet 2013-&gt;'!$K:$K,MATCH($D508,'Lopettaneet 2013-&gt;'!$D:$D,0)),"Jatkaa")</f>
        <v>Merged</v>
      </c>
      <c r="K508">
        <f ca="1">IF($J508="Jatkaa",DATEDIF($B508,TODAY(),"Y"),INDEX('Lopettaneet 2013-&gt;'!$L:$L,MATCH($D508,'Lopettaneet 2013-&gt;'!$D:$D,0)))</f>
        <v>1</v>
      </c>
      <c r="L508">
        <v>507</v>
      </c>
    </row>
    <row r="509" spans="1:12" x14ac:dyDescent="0.25">
      <c r="A509" t="s">
        <v>0</v>
      </c>
      <c r="B509" s="1">
        <v>42795</v>
      </c>
      <c r="C509" s="1">
        <v>43830</v>
      </c>
      <c r="D509" s="4" t="s">
        <v>1228</v>
      </c>
      <c r="E509" t="s">
        <v>10</v>
      </c>
      <c r="F509" t="s">
        <v>4</v>
      </c>
      <c r="G509" t="s">
        <v>32</v>
      </c>
      <c r="H509" t="s">
        <v>2763</v>
      </c>
      <c r="I509" t="s">
        <v>2763</v>
      </c>
      <c r="J509" t="str">
        <f>IF(ISNUMBER(MATCH($D509,'Lopettaneet 2013-&gt;'!$D:$D,0)),INDEX('Lopettaneet 2013-&gt;'!$K:$K,MATCH($D509,'Lopettaneet 2013-&gt;'!$D:$D,0)),"Jatkaa")</f>
        <v>Merged</v>
      </c>
      <c r="K509">
        <f ca="1">IF($J509="Jatkaa",DATEDIF($B509,TODAY(),"Y"),INDEX('Lopettaneet 2013-&gt;'!$L:$L,MATCH($D509,'Lopettaneet 2013-&gt;'!$D:$D,0)))</f>
        <v>2</v>
      </c>
      <c r="L509">
        <v>508</v>
      </c>
    </row>
    <row r="510" spans="1:12" x14ac:dyDescent="0.25">
      <c r="A510" t="s">
        <v>7</v>
      </c>
      <c r="B510" s="1">
        <v>43070</v>
      </c>
      <c r="C510" s="1">
        <v>55153</v>
      </c>
      <c r="D510" s="4" t="s">
        <v>1230</v>
      </c>
      <c r="E510" t="s">
        <v>10</v>
      </c>
      <c r="F510" t="s">
        <v>11</v>
      </c>
      <c r="G510" t="s">
        <v>80</v>
      </c>
      <c r="H510" t="s">
        <v>2790</v>
      </c>
      <c r="I510" t="s">
        <v>2895</v>
      </c>
      <c r="J510" t="str">
        <f>IF(ISNUMBER(MATCH($D510,'Lopettaneet 2013-&gt;'!$D:$D,0)),INDEX('Lopettaneet 2013-&gt;'!$K:$K,MATCH($D510,'Lopettaneet 2013-&gt;'!$D:$D,0)),"Jatkaa")</f>
        <v>Jatkaa</v>
      </c>
      <c r="K510">
        <f ca="1">IF($J510="Jatkaa",DATEDIF($B510,TODAY(),"Y"),INDEX('Lopettaneet 2013-&gt;'!$L:$L,MATCH($D510,'Lopettaneet 2013-&gt;'!$D:$D,0)))</f>
        <v>7</v>
      </c>
      <c r="L510">
        <v>509</v>
      </c>
    </row>
    <row r="511" spans="1:12" x14ac:dyDescent="0.25">
      <c r="A511" t="s">
        <v>0</v>
      </c>
      <c r="B511" s="1">
        <v>42826</v>
      </c>
      <c r="C511" s="1">
        <v>55153</v>
      </c>
      <c r="D511" s="4" t="s">
        <v>1232</v>
      </c>
      <c r="E511" t="s">
        <v>10</v>
      </c>
      <c r="F511" t="s">
        <v>4</v>
      </c>
      <c r="G511" t="s">
        <v>50</v>
      </c>
      <c r="H511" t="s">
        <v>2777</v>
      </c>
      <c r="I511" t="s">
        <v>2895</v>
      </c>
      <c r="J511" t="str">
        <f>IF(ISNUMBER(MATCH($D511,'Lopettaneet 2013-&gt;'!$D:$D,0)),INDEX('Lopettaneet 2013-&gt;'!$K:$K,MATCH($D511,'Lopettaneet 2013-&gt;'!$D:$D,0)),"Jatkaa")</f>
        <v>Jatkaa</v>
      </c>
      <c r="K511">
        <f ca="1">IF($J511="Jatkaa",DATEDIF($B511,TODAY(),"Y"),INDEX('Lopettaneet 2013-&gt;'!$L:$L,MATCH($D511,'Lopettaneet 2013-&gt;'!$D:$D,0)))</f>
        <v>8</v>
      </c>
      <c r="L511">
        <v>510</v>
      </c>
    </row>
    <row r="512" spans="1:12" x14ac:dyDescent="0.25">
      <c r="A512" t="s">
        <v>0</v>
      </c>
      <c r="B512" s="1">
        <v>42887</v>
      </c>
      <c r="C512" s="1">
        <v>55153</v>
      </c>
      <c r="D512" s="4" t="s">
        <v>1234</v>
      </c>
      <c r="E512" t="s">
        <v>10</v>
      </c>
      <c r="F512" t="s">
        <v>4</v>
      </c>
      <c r="G512" t="s">
        <v>20</v>
      </c>
      <c r="H512" t="s">
        <v>2766</v>
      </c>
      <c r="I512" t="s">
        <v>2894</v>
      </c>
      <c r="J512" t="str">
        <f>IF(ISNUMBER(MATCH($D512,'Lopettaneet 2013-&gt;'!$D:$D,0)),INDEX('Lopettaneet 2013-&gt;'!$K:$K,MATCH($D512,'Lopettaneet 2013-&gt;'!$D:$D,0)),"Jatkaa")</f>
        <v>Jatkaa</v>
      </c>
      <c r="K512">
        <f ca="1">IF($J512="Jatkaa",DATEDIF($B512,TODAY(),"Y"),INDEX('Lopettaneet 2013-&gt;'!$L:$L,MATCH($D512,'Lopettaneet 2013-&gt;'!$D:$D,0)))</f>
        <v>7</v>
      </c>
      <c r="L512">
        <v>511</v>
      </c>
    </row>
    <row r="513" spans="1:12" x14ac:dyDescent="0.25">
      <c r="A513" t="s">
        <v>7</v>
      </c>
      <c r="B513" s="1">
        <v>42795</v>
      </c>
      <c r="C513" s="1">
        <v>55153</v>
      </c>
      <c r="D513" s="4" t="s">
        <v>1236</v>
      </c>
      <c r="E513" t="s">
        <v>10</v>
      </c>
      <c r="F513" t="s">
        <v>11</v>
      </c>
      <c r="G513" t="s">
        <v>12</v>
      </c>
      <c r="H513" t="s">
        <v>2789</v>
      </c>
      <c r="I513" t="s">
        <v>2895</v>
      </c>
      <c r="J513" t="str">
        <f>IF(ISNUMBER(MATCH($D513,'Lopettaneet 2013-&gt;'!$D:$D,0)),INDEX('Lopettaneet 2013-&gt;'!$K:$K,MATCH($D513,'Lopettaneet 2013-&gt;'!$D:$D,0)),"Jatkaa")</f>
        <v>Jatkaa</v>
      </c>
      <c r="K513">
        <f ca="1">IF($J513="Jatkaa",DATEDIF($B513,TODAY(),"Y"),INDEX('Lopettaneet 2013-&gt;'!$L:$L,MATCH($D513,'Lopettaneet 2013-&gt;'!$D:$D,0)))</f>
        <v>8</v>
      </c>
      <c r="L513">
        <v>512</v>
      </c>
    </row>
    <row r="514" spans="1:12" x14ac:dyDescent="0.25">
      <c r="A514" t="s">
        <v>7</v>
      </c>
      <c r="B514" s="1">
        <v>42795</v>
      </c>
      <c r="C514" s="1">
        <v>55153</v>
      </c>
      <c r="D514" s="4" t="s">
        <v>1238</v>
      </c>
      <c r="E514" t="s">
        <v>10</v>
      </c>
      <c r="F514" t="s">
        <v>11</v>
      </c>
      <c r="G514" t="s">
        <v>32</v>
      </c>
      <c r="H514" t="s">
        <v>2791</v>
      </c>
      <c r="I514" t="s">
        <v>2894</v>
      </c>
      <c r="J514" t="str">
        <f>IF(ISNUMBER(MATCH($D514,'Lopettaneet 2013-&gt;'!$D:$D,0)),INDEX('Lopettaneet 2013-&gt;'!$K:$K,MATCH($D514,'Lopettaneet 2013-&gt;'!$D:$D,0)),"Jatkaa")</f>
        <v>Jatkaa</v>
      </c>
      <c r="K514">
        <f ca="1">IF($J514="Jatkaa",DATEDIF($B514,TODAY(),"Y"),INDEX('Lopettaneet 2013-&gt;'!$L:$L,MATCH($D514,'Lopettaneet 2013-&gt;'!$D:$D,0)))</f>
        <v>8</v>
      </c>
      <c r="L514">
        <v>513</v>
      </c>
    </row>
    <row r="515" spans="1:12" x14ac:dyDescent="0.25">
      <c r="A515" t="s">
        <v>7</v>
      </c>
      <c r="B515" s="1">
        <v>42887</v>
      </c>
      <c r="C515" s="1">
        <v>55153</v>
      </c>
      <c r="D515" s="4" t="s">
        <v>1240</v>
      </c>
      <c r="E515" t="s">
        <v>10</v>
      </c>
      <c r="F515" t="s">
        <v>11</v>
      </c>
      <c r="G515" t="s">
        <v>80</v>
      </c>
      <c r="H515" t="s">
        <v>2806</v>
      </c>
      <c r="I515" t="s">
        <v>2895</v>
      </c>
      <c r="J515" t="str">
        <f>IF(ISNUMBER(MATCH($D515,'Lopettaneet 2013-&gt;'!$D:$D,0)),INDEX('Lopettaneet 2013-&gt;'!$K:$K,MATCH($D515,'Lopettaneet 2013-&gt;'!$D:$D,0)),"Jatkaa")</f>
        <v>Jatkaa</v>
      </c>
      <c r="K515">
        <f ca="1">IF($J515="Jatkaa",DATEDIF($B515,TODAY(),"Y"),INDEX('Lopettaneet 2013-&gt;'!$L:$L,MATCH($D515,'Lopettaneet 2013-&gt;'!$D:$D,0)))</f>
        <v>7</v>
      </c>
      <c r="L515">
        <v>514</v>
      </c>
    </row>
    <row r="516" spans="1:12" x14ac:dyDescent="0.25">
      <c r="A516" t="s">
        <v>7</v>
      </c>
      <c r="B516" s="1">
        <v>42979</v>
      </c>
      <c r="C516" s="1">
        <v>55153</v>
      </c>
      <c r="D516" s="4" t="s">
        <v>1242</v>
      </c>
      <c r="E516" t="s">
        <v>10</v>
      </c>
      <c r="F516" t="s">
        <v>11</v>
      </c>
      <c r="G516" t="s">
        <v>12</v>
      </c>
      <c r="H516" t="s">
        <v>2766</v>
      </c>
      <c r="I516" t="s">
        <v>2895</v>
      </c>
      <c r="J516" t="str">
        <f>IF(ISNUMBER(MATCH($D516,'Lopettaneet 2013-&gt;'!$D:$D,0)),INDEX('Lopettaneet 2013-&gt;'!$K:$K,MATCH($D516,'Lopettaneet 2013-&gt;'!$D:$D,0)),"Jatkaa")</f>
        <v>Jatkaa</v>
      </c>
      <c r="K516">
        <f ca="1">IF($J516="Jatkaa",DATEDIF($B516,TODAY(),"Y"),INDEX('Lopettaneet 2013-&gt;'!$L:$L,MATCH($D516,'Lopettaneet 2013-&gt;'!$D:$D,0)))</f>
        <v>7</v>
      </c>
      <c r="L516">
        <v>515</v>
      </c>
    </row>
    <row r="517" spans="1:12" x14ac:dyDescent="0.25">
      <c r="A517" t="s">
        <v>0</v>
      </c>
      <c r="B517" s="1">
        <v>42887</v>
      </c>
      <c r="C517" s="1">
        <v>43465</v>
      </c>
      <c r="D517" s="4" t="s">
        <v>1244</v>
      </c>
      <c r="E517" t="s">
        <v>3</v>
      </c>
      <c r="F517" t="s">
        <v>4</v>
      </c>
      <c r="G517" t="s">
        <v>20</v>
      </c>
      <c r="H517" t="s">
        <v>2763</v>
      </c>
      <c r="I517" t="s">
        <v>2763</v>
      </c>
      <c r="J517" t="str">
        <f>IF(ISNUMBER(MATCH($D517,'Lopettaneet 2013-&gt;'!$D:$D,0)),INDEX('Lopettaneet 2013-&gt;'!$K:$K,MATCH($D517,'Lopettaneet 2013-&gt;'!$D:$D,0)),"Jatkaa")</f>
        <v>Merged</v>
      </c>
      <c r="K517">
        <f ca="1">IF($J517="Jatkaa",DATEDIF($B517,TODAY(),"Y"),INDEX('Lopettaneet 2013-&gt;'!$L:$L,MATCH($D517,'Lopettaneet 2013-&gt;'!$D:$D,0)))</f>
        <v>1</v>
      </c>
      <c r="L517">
        <v>516</v>
      </c>
    </row>
    <row r="518" spans="1:12" x14ac:dyDescent="0.25">
      <c r="A518" t="s">
        <v>0</v>
      </c>
      <c r="B518" s="1">
        <v>42887</v>
      </c>
      <c r="C518" s="1">
        <v>55153</v>
      </c>
      <c r="D518" s="4" t="s">
        <v>1246</v>
      </c>
      <c r="E518" t="s">
        <v>3</v>
      </c>
      <c r="F518" t="s">
        <v>4</v>
      </c>
      <c r="G518" t="s">
        <v>20</v>
      </c>
      <c r="H518" t="s">
        <v>2767</v>
      </c>
      <c r="I518" t="s">
        <v>2894</v>
      </c>
      <c r="J518" t="str">
        <f>IF(ISNUMBER(MATCH($D518,'Lopettaneet 2013-&gt;'!$D:$D,0)),INDEX('Lopettaneet 2013-&gt;'!$K:$K,MATCH($D518,'Lopettaneet 2013-&gt;'!$D:$D,0)),"Jatkaa")</f>
        <v>Jatkaa</v>
      </c>
      <c r="K518">
        <f ca="1">IF($J518="Jatkaa",DATEDIF($B518,TODAY(),"Y"),INDEX('Lopettaneet 2013-&gt;'!$L:$L,MATCH($D518,'Lopettaneet 2013-&gt;'!$D:$D,0)))</f>
        <v>7</v>
      </c>
      <c r="L518">
        <v>517</v>
      </c>
    </row>
    <row r="519" spans="1:12" x14ac:dyDescent="0.25">
      <c r="A519" t="s">
        <v>0</v>
      </c>
      <c r="B519" s="1">
        <v>42887</v>
      </c>
      <c r="C519" s="1">
        <v>55153</v>
      </c>
      <c r="D519" s="4" t="s">
        <v>1248</v>
      </c>
      <c r="E519" t="s">
        <v>3</v>
      </c>
      <c r="F519" t="s">
        <v>4</v>
      </c>
      <c r="G519" t="s">
        <v>20</v>
      </c>
      <c r="H519" t="s">
        <v>2767</v>
      </c>
      <c r="I519" t="s">
        <v>2894</v>
      </c>
      <c r="J519" t="str">
        <f>IF(ISNUMBER(MATCH($D519,'Lopettaneet 2013-&gt;'!$D:$D,0)),INDEX('Lopettaneet 2013-&gt;'!$K:$K,MATCH($D519,'Lopettaneet 2013-&gt;'!$D:$D,0)),"Jatkaa")</f>
        <v>Jatkaa</v>
      </c>
      <c r="K519">
        <f ca="1">IF($J519="Jatkaa",DATEDIF($B519,TODAY(),"Y"),INDEX('Lopettaneet 2013-&gt;'!$L:$L,MATCH($D519,'Lopettaneet 2013-&gt;'!$D:$D,0)))</f>
        <v>7</v>
      </c>
      <c r="L519">
        <v>518</v>
      </c>
    </row>
    <row r="520" spans="1:12" x14ac:dyDescent="0.25">
      <c r="A520" t="s">
        <v>0</v>
      </c>
      <c r="B520" s="1">
        <v>43221</v>
      </c>
      <c r="C520" s="1">
        <v>44377</v>
      </c>
      <c r="D520" s="4" t="s">
        <v>1250</v>
      </c>
      <c r="E520" t="s">
        <v>3</v>
      </c>
      <c r="F520" t="s">
        <v>4</v>
      </c>
      <c r="G520" t="s">
        <v>20</v>
      </c>
      <c r="H520" t="s">
        <v>2763</v>
      </c>
      <c r="I520" t="s">
        <v>2763</v>
      </c>
      <c r="J520" t="str">
        <f>IF(ISNUMBER(MATCH($D520,'Lopettaneet 2013-&gt;'!$D:$D,0)),INDEX('Lopettaneet 2013-&gt;'!$K:$K,MATCH($D520,'Lopettaneet 2013-&gt;'!$D:$D,0)),"Jatkaa")</f>
        <v>Merged</v>
      </c>
      <c r="K520">
        <f ca="1">IF($J520="Jatkaa",DATEDIF($B520,TODAY(),"Y"),INDEX('Lopettaneet 2013-&gt;'!$L:$L,MATCH($D520,'Lopettaneet 2013-&gt;'!$D:$D,0)))</f>
        <v>3</v>
      </c>
      <c r="L520">
        <v>519</v>
      </c>
    </row>
    <row r="521" spans="1:12" x14ac:dyDescent="0.25">
      <c r="A521" t="s">
        <v>0</v>
      </c>
      <c r="B521" s="1">
        <v>42979</v>
      </c>
      <c r="C521" s="1">
        <v>55153</v>
      </c>
      <c r="D521" s="4" t="s">
        <v>1252</v>
      </c>
      <c r="E521" t="s">
        <v>3</v>
      </c>
      <c r="F521" t="s">
        <v>4</v>
      </c>
      <c r="G521" t="s">
        <v>20</v>
      </c>
      <c r="H521" t="s">
        <v>2764</v>
      </c>
      <c r="I521" t="s">
        <v>2894</v>
      </c>
      <c r="J521" t="str">
        <f>IF(ISNUMBER(MATCH($D521,'Lopettaneet 2013-&gt;'!$D:$D,0)),INDEX('Lopettaneet 2013-&gt;'!$K:$K,MATCH($D521,'Lopettaneet 2013-&gt;'!$D:$D,0)),"Jatkaa")</f>
        <v>Jatkaa</v>
      </c>
      <c r="K521">
        <f ca="1">IF($J521="Jatkaa",DATEDIF($B521,TODAY(),"Y"),INDEX('Lopettaneet 2013-&gt;'!$L:$L,MATCH($D521,'Lopettaneet 2013-&gt;'!$D:$D,0)))</f>
        <v>7</v>
      </c>
      <c r="L521">
        <v>520</v>
      </c>
    </row>
    <row r="522" spans="1:12" x14ac:dyDescent="0.25">
      <c r="A522" t="s">
        <v>7</v>
      </c>
      <c r="B522" s="1">
        <v>42887</v>
      </c>
      <c r="C522" s="1">
        <v>55153</v>
      </c>
      <c r="D522" s="4" t="s">
        <v>1254</v>
      </c>
      <c r="E522" t="s">
        <v>10</v>
      </c>
      <c r="F522" t="s">
        <v>11</v>
      </c>
      <c r="G522" t="s">
        <v>32</v>
      </c>
      <c r="H522" t="s">
        <v>2816</v>
      </c>
      <c r="I522" t="s">
        <v>2895</v>
      </c>
      <c r="J522" t="str">
        <f>IF(ISNUMBER(MATCH($D522,'Lopettaneet 2013-&gt;'!$D:$D,0)),INDEX('Lopettaneet 2013-&gt;'!$K:$K,MATCH($D522,'Lopettaneet 2013-&gt;'!$D:$D,0)),"Jatkaa")</f>
        <v>Jatkaa</v>
      </c>
      <c r="K522">
        <f ca="1">IF($J522="Jatkaa",DATEDIF($B522,TODAY(),"Y"),INDEX('Lopettaneet 2013-&gt;'!$L:$L,MATCH($D522,'Lopettaneet 2013-&gt;'!$D:$D,0)))</f>
        <v>7</v>
      </c>
      <c r="L522">
        <v>521</v>
      </c>
    </row>
    <row r="523" spans="1:12" x14ac:dyDescent="0.25">
      <c r="A523" t="s">
        <v>7</v>
      </c>
      <c r="B523" s="1">
        <v>42887</v>
      </c>
      <c r="C523" s="1">
        <v>55153</v>
      </c>
      <c r="D523" s="4" t="s">
        <v>1256</v>
      </c>
      <c r="E523" t="s">
        <v>10</v>
      </c>
      <c r="F523" t="s">
        <v>11</v>
      </c>
      <c r="G523" t="s">
        <v>12</v>
      </c>
      <c r="H523" t="s">
        <v>2771</v>
      </c>
      <c r="I523" t="s">
        <v>2895</v>
      </c>
      <c r="J523" t="str">
        <f>IF(ISNUMBER(MATCH($D523,'Lopettaneet 2013-&gt;'!$D:$D,0)),INDEX('Lopettaneet 2013-&gt;'!$K:$K,MATCH($D523,'Lopettaneet 2013-&gt;'!$D:$D,0)),"Jatkaa")</f>
        <v>Jatkaa</v>
      </c>
      <c r="K523">
        <f ca="1">IF($J523="Jatkaa",DATEDIF($B523,TODAY(),"Y"),INDEX('Lopettaneet 2013-&gt;'!$L:$L,MATCH($D523,'Lopettaneet 2013-&gt;'!$D:$D,0)))</f>
        <v>7</v>
      </c>
      <c r="L523">
        <v>522</v>
      </c>
    </row>
    <row r="524" spans="1:12" x14ac:dyDescent="0.25">
      <c r="A524" t="s">
        <v>0</v>
      </c>
      <c r="B524" s="1">
        <v>42917</v>
      </c>
      <c r="C524" s="1">
        <v>55153</v>
      </c>
      <c r="D524" s="4" t="s">
        <v>1258</v>
      </c>
      <c r="E524" t="s">
        <v>10</v>
      </c>
      <c r="F524" t="s">
        <v>4</v>
      </c>
      <c r="G524" t="s">
        <v>50</v>
      </c>
      <c r="H524" t="s">
        <v>2842</v>
      </c>
      <c r="I524" t="s">
        <v>2894</v>
      </c>
      <c r="J524" t="str">
        <f>IF(ISNUMBER(MATCH($D524,'Lopettaneet 2013-&gt;'!$D:$D,0)),INDEX('Lopettaneet 2013-&gt;'!$K:$K,MATCH($D524,'Lopettaneet 2013-&gt;'!$D:$D,0)),"Jatkaa")</f>
        <v>Jatkaa</v>
      </c>
      <c r="K524">
        <f ca="1">IF($J524="Jatkaa",DATEDIF($B524,TODAY(),"Y"),INDEX('Lopettaneet 2013-&gt;'!$L:$L,MATCH($D524,'Lopettaneet 2013-&gt;'!$D:$D,0)))</f>
        <v>7</v>
      </c>
      <c r="L524">
        <v>523</v>
      </c>
    </row>
    <row r="525" spans="1:12" x14ac:dyDescent="0.25">
      <c r="A525" t="s">
        <v>0</v>
      </c>
      <c r="B525" s="1">
        <v>42979</v>
      </c>
      <c r="C525" s="1">
        <v>55153</v>
      </c>
      <c r="D525" s="4" t="s">
        <v>1260</v>
      </c>
      <c r="E525" t="s">
        <v>10</v>
      </c>
      <c r="F525" t="s">
        <v>4</v>
      </c>
      <c r="G525" t="s">
        <v>32</v>
      </c>
      <c r="H525" t="s">
        <v>2845</v>
      </c>
      <c r="I525" t="s">
        <v>2894</v>
      </c>
      <c r="J525" t="str">
        <f>IF(ISNUMBER(MATCH($D525,'Lopettaneet 2013-&gt;'!$D:$D,0)),INDEX('Lopettaneet 2013-&gt;'!$K:$K,MATCH($D525,'Lopettaneet 2013-&gt;'!$D:$D,0)),"Jatkaa")</f>
        <v>Jatkaa</v>
      </c>
      <c r="K525">
        <f ca="1">IF($J525="Jatkaa",DATEDIF($B525,TODAY(),"Y"),INDEX('Lopettaneet 2013-&gt;'!$L:$L,MATCH($D525,'Lopettaneet 2013-&gt;'!$D:$D,0)))</f>
        <v>7</v>
      </c>
      <c r="L525">
        <v>524</v>
      </c>
    </row>
    <row r="526" spans="1:12" x14ac:dyDescent="0.25">
      <c r="A526" t="s">
        <v>7</v>
      </c>
      <c r="B526" s="1">
        <v>42979</v>
      </c>
      <c r="C526" s="1">
        <v>55153</v>
      </c>
      <c r="D526" s="4" t="s">
        <v>1262</v>
      </c>
      <c r="E526" t="s">
        <v>10</v>
      </c>
      <c r="F526" t="s">
        <v>11</v>
      </c>
      <c r="G526" t="s">
        <v>80</v>
      </c>
      <c r="H526" t="s">
        <v>2812</v>
      </c>
      <c r="I526" t="s">
        <v>2895</v>
      </c>
      <c r="J526" t="str">
        <f>IF(ISNUMBER(MATCH($D526,'Lopettaneet 2013-&gt;'!$D:$D,0)),INDEX('Lopettaneet 2013-&gt;'!$K:$K,MATCH($D526,'Lopettaneet 2013-&gt;'!$D:$D,0)),"Jatkaa")</f>
        <v>Jatkaa</v>
      </c>
      <c r="K526">
        <f ca="1">IF($J526="Jatkaa",DATEDIF($B526,TODAY(),"Y"),INDEX('Lopettaneet 2013-&gt;'!$L:$L,MATCH($D526,'Lopettaneet 2013-&gt;'!$D:$D,0)))</f>
        <v>7</v>
      </c>
      <c r="L526">
        <v>525</v>
      </c>
    </row>
    <row r="527" spans="1:12" x14ac:dyDescent="0.25">
      <c r="A527" t="s">
        <v>7</v>
      </c>
      <c r="B527" s="1">
        <v>42979</v>
      </c>
      <c r="C527" s="1">
        <v>43281</v>
      </c>
      <c r="D527" s="4" t="s">
        <v>1264</v>
      </c>
      <c r="E527" t="s">
        <v>10</v>
      </c>
      <c r="F527" t="s">
        <v>11</v>
      </c>
      <c r="G527" t="s">
        <v>80</v>
      </c>
      <c r="H527" t="s">
        <v>2763</v>
      </c>
      <c r="I527" t="s">
        <v>2763</v>
      </c>
      <c r="J527" t="str">
        <f>IF(ISNUMBER(MATCH($D527,'Lopettaneet 2013-&gt;'!$D:$D,0)),INDEX('Lopettaneet 2013-&gt;'!$K:$K,MATCH($D527,'Lopettaneet 2013-&gt;'!$D:$D,0)),"Jatkaa")</f>
        <v>Closed</v>
      </c>
      <c r="K527">
        <f ca="1">IF($J527="Jatkaa",DATEDIF($B527,TODAY(),"Y"),INDEX('Lopettaneet 2013-&gt;'!$L:$L,MATCH($D527,'Lopettaneet 2013-&gt;'!$D:$D,0)))</f>
        <v>0</v>
      </c>
      <c r="L527">
        <v>526</v>
      </c>
    </row>
    <row r="528" spans="1:12" x14ac:dyDescent="0.25">
      <c r="A528" t="s">
        <v>0</v>
      </c>
      <c r="B528" s="1">
        <v>42887</v>
      </c>
      <c r="C528" s="1">
        <v>55153</v>
      </c>
      <c r="D528" s="4" t="s">
        <v>1266</v>
      </c>
      <c r="E528" t="s">
        <v>3</v>
      </c>
      <c r="F528" t="s">
        <v>4</v>
      </c>
      <c r="G528" t="s">
        <v>50</v>
      </c>
      <c r="H528" t="s">
        <v>2776</v>
      </c>
      <c r="I528" t="s">
        <v>2894</v>
      </c>
      <c r="J528" t="str">
        <f>IF(ISNUMBER(MATCH($D528,'Lopettaneet 2013-&gt;'!$D:$D,0)),INDEX('Lopettaneet 2013-&gt;'!$K:$K,MATCH($D528,'Lopettaneet 2013-&gt;'!$D:$D,0)),"Jatkaa")</f>
        <v>Jatkaa</v>
      </c>
      <c r="K528">
        <f ca="1">IF($J528="Jatkaa",DATEDIF($B528,TODAY(),"Y"),INDEX('Lopettaneet 2013-&gt;'!$L:$L,MATCH($D528,'Lopettaneet 2013-&gt;'!$D:$D,0)))</f>
        <v>7</v>
      </c>
      <c r="L528">
        <v>527</v>
      </c>
    </row>
    <row r="529" spans="1:12" x14ac:dyDescent="0.25">
      <c r="A529" t="s">
        <v>0</v>
      </c>
      <c r="B529" s="1">
        <v>42887</v>
      </c>
      <c r="C529" s="1">
        <v>55153</v>
      </c>
      <c r="D529" s="4" t="s">
        <v>1268</v>
      </c>
      <c r="E529" t="s">
        <v>3</v>
      </c>
      <c r="F529" t="s">
        <v>4</v>
      </c>
      <c r="G529" t="s">
        <v>50</v>
      </c>
      <c r="H529" t="s">
        <v>2776</v>
      </c>
      <c r="I529" t="s">
        <v>2894</v>
      </c>
      <c r="J529" t="str">
        <f>IF(ISNUMBER(MATCH($D529,'Lopettaneet 2013-&gt;'!$D:$D,0)),INDEX('Lopettaneet 2013-&gt;'!$K:$K,MATCH($D529,'Lopettaneet 2013-&gt;'!$D:$D,0)),"Jatkaa")</f>
        <v>Jatkaa</v>
      </c>
      <c r="K529">
        <f ca="1">IF($J529="Jatkaa",DATEDIF($B529,TODAY(),"Y"),INDEX('Lopettaneet 2013-&gt;'!$L:$L,MATCH($D529,'Lopettaneet 2013-&gt;'!$D:$D,0)))</f>
        <v>7</v>
      </c>
      <c r="L529">
        <v>528</v>
      </c>
    </row>
    <row r="530" spans="1:12" x14ac:dyDescent="0.25">
      <c r="A530" t="s">
        <v>0</v>
      </c>
      <c r="B530" s="1">
        <v>42887</v>
      </c>
      <c r="C530" s="1">
        <v>55153</v>
      </c>
      <c r="D530" s="4" t="s">
        <v>1270</v>
      </c>
      <c r="E530" t="s">
        <v>3</v>
      </c>
      <c r="F530" t="s">
        <v>4</v>
      </c>
      <c r="G530" t="s">
        <v>50</v>
      </c>
      <c r="H530" t="s">
        <v>2776</v>
      </c>
      <c r="I530" t="s">
        <v>2894</v>
      </c>
      <c r="J530" t="str">
        <f>IF(ISNUMBER(MATCH($D530,'Lopettaneet 2013-&gt;'!$D:$D,0)),INDEX('Lopettaneet 2013-&gt;'!$K:$K,MATCH($D530,'Lopettaneet 2013-&gt;'!$D:$D,0)),"Jatkaa")</f>
        <v>Jatkaa</v>
      </c>
      <c r="K530">
        <f ca="1">IF($J530="Jatkaa",DATEDIF($B530,TODAY(),"Y"),INDEX('Lopettaneet 2013-&gt;'!$L:$L,MATCH($D530,'Lopettaneet 2013-&gt;'!$D:$D,0)))</f>
        <v>7</v>
      </c>
      <c r="L530">
        <v>529</v>
      </c>
    </row>
    <row r="531" spans="1:12" x14ac:dyDescent="0.25">
      <c r="A531" t="s">
        <v>0</v>
      </c>
      <c r="B531" s="1">
        <v>42887</v>
      </c>
      <c r="C531" s="1">
        <v>55153</v>
      </c>
      <c r="D531" s="4" t="s">
        <v>1272</v>
      </c>
      <c r="E531" t="s">
        <v>3</v>
      </c>
      <c r="F531" t="s">
        <v>4</v>
      </c>
      <c r="G531" t="s">
        <v>20</v>
      </c>
      <c r="H531" t="s">
        <v>2776</v>
      </c>
      <c r="I531" t="s">
        <v>2894</v>
      </c>
      <c r="J531" t="str">
        <f>IF(ISNUMBER(MATCH($D531,'Lopettaneet 2013-&gt;'!$D:$D,0)),INDEX('Lopettaneet 2013-&gt;'!$K:$K,MATCH($D531,'Lopettaneet 2013-&gt;'!$D:$D,0)),"Jatkaa")</f>
        <v>Jatkaa</v>
      </c>
      <c r="K531">
        <f ca="1">IF($J531="Jatkaa",DATEDIF($B531,TODAY(),"Y"),INDEX('Lopettaneet 2013-&gt;'!$L:$L,MATCH($D531,'Lopettaneet 2013-&gt;'!$D:$D,0)))</f>
        <v>7</v>
      </c>
      <c r="L531">
        <v>530</v>
      </c>
    </row>
    <row r="532" spans="1:12" x14ac:dyDescent="0.25">
      <c r="A532" t="s">
        <v>0</v>
      </c>
      <c r="B532" s="1">
        <v>42887</v>
      </c>
      <c r="C532" s="1">
        <v>55153</v>
      </c>
      <c r="D532" s="4" t="s">
        <v>1274</v>
      </c>
      <c r="E532" t="s">
        <v>3</v>
      </c>
      <c r="F532" t="s">
        <v>4</v>
      </c>
      <c r="G532" t="s">
        <v>20</v>
      </c>
      <c r="H532" t="s">
        <v>2776</v>
      </c>
      <c r="I532" t="s">
        <v>2894</v>
      </c>
      <c r="J532" t="str">
        <f>IF(ISNUMBER(MATCH($D532,'Lopettaneet 2013-&gt;'!$D:$D,0)),INDEX('Lopettaneet 2013-&gt;'!$K:$K,MATCH($D532,'Lopettaneet 2013-&gt;'!$D:$D,0)),"Jatkaa")</f>
        <v>Jatkaa</v>
      </c>
      <c r="K532">
        <f ca="1">IF($J532="Jatkaa",DATEDIF($B532,TODAY(),"Y"),INDEX('Lopettaneet 2013-&gt;'!$L:$L,MATCH($D532,'Lopettaneet 2013-&gt;'!$D:$D,0)))</f>
        <v>7</v>
      </c>
      <c r="L532">
        <v>531</v>
      </c>
    </row>
    <row r="533" spans="1:12" x14ac:dyDescent="0.25">
      <c r="A533" t="s">
        <v>7</v>
      </c>
      <c r="B533" s="1">
        <v>43160</v>
      </c>
      <c r="C533" s="1">
        <v>55153</v>
      </c>
      <c r="D533" s="4" t="s">
        <v>1276</v>
      </c>
      <c r="E533" t="s">
        <v>10</v>
      </c>
      <c r="F533" t="s">
        <v>11</v>
      </c>
      <c r="G533" t="s">
        <v>80</v>
      </c>
      <c r="H533" t="s">
        <v>2792</v>
      </c>
      <c r="I533" t="s">
        <v>2895</v>
      </c>
      <c r="J533" t="str">
        <f>IF(ISNUMBER(MATCH($D533,'Lopettaneet 2013-&gt;'!$D:$D,0)),INDEX('Lopettaneet 2013-&gt;'!$K:$K,MATCH($D533,'Lopettaneet 2013-&gt;'!$D:$D,0)),"Jatkaa")</f>
        <v>Jatkaa</v>
      </c>
      <c r="K533">
        <f ca="1">IF($J533="Jatkaa",DATEDIF($B533,TODAY(),"Y"),INDEX('Lopettaneet 2013-&gt;'!$L:$L,MATCH($D533,'Lopettaneet 2013-&gt;'!$D:$D,0)))</f>
        <v>7</v>
      </c>
      <c r="L533">
        <v>532</v>
      </c>
    </row>
    <row r="534" spans="1:12" x14ac:dyDescent="0.25">
      <c r="A534" t="s">
        <v>0</v>
      </c>
      <c r="B534" s="1">
        <v>42979</v>
      </c>
      <c r="C534" s="1">
        <v>55153</v>
      </c>
      <c r="D534" s="4" t="s">
        <v>1278</v>
      </c>
      <c r="E534" t="s">
        <v>10</v>
      </c>
      <c r="F534" t="s">
        <v>4</v>
      </c>
      <c r="G534" t="s">
        <v>32</v>
      </c>
      <c r="H534" t="s">
        <v>2765</v>
      </c>
      <c r="I534" t="s">
        <v>2894</v>
      </c>
      <c r="J534" t="str">
        <f>IF(ISNUMBER(MATCH($D534,'Lopettaneet 2013-&gt;'!$D:$D,0)),INDEX('Lopettaneet 2013-&gt;'!$K:$K,MATCH($D534,'Lopettaneet 2013-&gt;'!$D:$D,0)),"Jatkaa")</f>
        <v>Jatkaa</v>
      </c>
      <c r="K534">
        <f ca="1">IF($J534="Jatkaa",DATEDIF($B534,TODAY(),"Y"),INDEX('Lopettaneet 2013-&gt;'!$L:$L,MATCH($D534,'Lopettaneet 2013-&gt;'!$D:$D,0)))</f>
        <v>7</v>
      </c>
      <c r="L534">
        <v>533</v>
      </c>
    </row>
    <row r="535" spans="1:12" x14ac:dyDescent="0.25">
      <c r="A535" t="s">
        <v>0</v>
      </c>
      <c r="B535" s="1">
        <v>43009</v>
      </c>
      <c r="C535" s="1">
        <v>55153</v>
      </c>
      <c r="D535" s="4" t="s">
        <v>1280</v>
      </c>
      <c r="E535" t="s">
        <v>10</v>
      </c>
      <c r="F535" t="s">
        <v>4</v>
      </c>
      <c r="G535" t="s">
        <v>47</v>
      </c>
      <c r="H535" t="s">
        <v>2842</v>
      </c>
      <c r="I535" t="s">
        <v>2895</v>
      </c>
      <c r="J535" t="str">
        <f>IF(ISNUMBER(MATCH($D535,'Lopettaneet 2013-&gt;'!$D:$D,0)),INDEX('Lopettaneet 2013-&gt;'!$K:$K,MATCH($D535,'Lopettaneet 2013-&gt;'!$D:$D,0)),"Jatkaa")</f>
        <v>Jatkaa</v>
      </c>
      <c r="K535">
        <f ca="1">IF($J535="Jatkaa",DATEDIF($B535,TODAY(),"Y"),INDEX('Lopettaneet 2013-&gt;'!$L:$L,MATCH($D535,'Lopettaneet 2013-&gt;'!$D:$D,0)))</f>
        <v>7</v>
      </c>
      <c r="L535">
        <v>534</v>
      </c>
    </row>
    <row r="536" spans="1:12" x14ac:dyDescent="0.25">
      <c r="A536" t="s">
        <v>0</v>
      </c>
      <c r="B536" s="1">
        <v>43009</v>
      </c>
      <c r="C536" s="1">
        <v>43496</v>
      </c>
      <c r="D536" s="4" t="s">
        <v>1282</v>
      </c>
      <c r="E536" t="s">
        <v>10</v>
      </c>
      <c r="F536" t="s">
        <v>4</v>
      </c>
      <c r="G536" t="s">
        <v>47</v>
      </c>
      <c r="H536" t="s">
        <v>2763</v>
      </c>
      <c r="I536" t="s">
        <v>2763</v>
      </c>
      <c r="J536" t="str">
        <f>IF(ISNUMBER(MATCH($D536,'Lopettaneet 2013-&gt;'!$D:$D,0)),INDEX('Lopettaneet 2013-&gt;'!$K:$K,MATCH($D536,'Lopettaneet 2013-&gt;'!$D:$D,0)),"Jatkaa")</f>
        <v>Closed</v>
      </c>
      <c r="K536">
        <f ca="1">IF($J536="Jatkaa",DATEDIF($B536,TODAY(),"Y"),INDEX('Lopettaneet 2013-&gt;'!$L:$L,MATCH($D536,'Lopettaneet 2013-&gt;'!$D:$D,0)))</f>
        <v>1</v>
      </c>
      <c r="L536">
        <v>535</v>
      </c>
    </row>
    <row r="537" spans="1:12" x14ac:dyDescent="0.25">
      <c r="A537" t="s">
        <v>7</v>
      </c>
      <c r="B537" s="1">
        <v>42979</v>
      </c>
      <c r="C537" s="1">
        <v>55153</v>
      </c>
      <c r="D537" s="4" t="s">
        <v>1284</v>
      </c>
      <c r="E537" t="s">
        <v>10</v>
      </c>
      <c r="F537" t="s">
        <v>11</v>
      </c>
      <c r="G537" t="s">
        <v>32</v>
      </c>
      <c r="H537" t="s">
        <v>2836</v>
      </c>
      <c r="I537" t="s">
        <v>2895</v>
      </c>
      <c r="J537" t="str">
        <f>IF(ISNUMBER(MATCH($D537,'Lopettaneet 2013-&gt;'!$D:$D,0)),INDEX('Lopettaneet 2013-&gt;'!$K:$K,MATCH($D537,'Lopettaneet 2013-&gt;'!$D:$D,0)),"Jatkaa")</f>
        <v>Jatkaa</v>
      </c>
      <c r="K537">
        <f ca="1">IF($J537="Jatkaa",DATEDIF($B537,TODAY(),"Y"),INDEX('Lopettaneet 2013-&gt;'!$L:$L,MATCH($D537,'Lopettaneet 2013-&gt;'!$D:$D,0)))</f>
        <v>7</v>
      </c>
      <c r="L537">
        <v>536</v>
      </c>
    </row>
    <row r="538" spans="1:12" x14ac:dyDescent="0.25">
      <c r="A538" t="s">
        <v>0</v>
      </c>
      <c r="B538" s="1">
        <v>43101</v>
      </c>
      <c r="C538" s="1">
        <v>55153</v>
      </c>
      <c r="D538" s="4" t="s">
        <v>1286</v>
      </c>
      <c r="E538" t="s">
        <v>3</v>
      </c>
      <c r="F538" t="s">
        <v>4</v>
      </c>
      <c r="G538" t="s">
        <v>20</v>
      </c>
      <c r="H538" t="s">
        <v>2777</v>
      </c>
      <c r="I538" t="s">
        <v>2894</v>
      </c>
      <c r="J538" t="str">
        <f>IF(ISNUMBER(MATCH($D538,'Lopettaneet 2013-&gt;'!$D:$D,0)),INDEX('Lopettaneet 2013-&gt;'!$K:$K,MATCH($D538,'Lopettaneet 2013-&gt;'!$D:$D,0)),"Jatkaa")</f>
        <v>Jatkaa</v>
      </c>
      <c r="K538">
        <f ca="1">IF($J538="Jatkaa",DATEDIF($B538,TODAY(),"Y"),INDEX('Lopettaneet 2013-&gt;'!$L:$L,MATCH($D538,'Lopettaneet 2013-&gt;'!$D:$D,0)))</f>
        <v>7</v>
      </c>
      <c r="L538">
        <v>537</v>
      </c>
    </row>
    <row r="539" spans="1:12" x14ac:dyDescent="0.25">
      <c r="A539" t="s">
        <v>0</v>
      </c>
      <c r="B539" s="1">
        <v>42979</v>
      </c>
      <c r="C539" s="1">
        <v>55153</v>
      </c>
      <c r="D539" s="4" t="s">
        <v>1288</v>
      </c>
      <c r="E539" t="s">
        <v>10</v>
      </c>
      <c r="F539" t="s">
        <v>4</v>
      </c>
      <c r="G539" t="s">
        <v>32</v>
      </c>
      <c r="H539" t="s">
        <v>2846</v>
      </c>
      <c r="I539" t="s">
        <v>2894</v>
      </c>
      <c r="J539" t="str">
        <f>IF(ISNUMBER(MATCH($D539,'Lopettaneet 2013-&gt;'!$D:$D,0)),INDEX('Lopettaneet 2013-&gt;'!$K:$K,MATCH($D539,'Lopettaneet 2013-&gt;'!$D:$D,0)),"Jatkaa")</f>
        <v>Jatkaa</v>
      </c>
      <c r="K539">
        <f ca="1">IF($J539="Jatkaa",DATEDIF($B539,TODAY(),"Y"),INDEX('Lopettaneet 2013-&gt;'!$L:$L,MATCH($D539,'Lopettaneet 2013-&gt;'!$D:$D,0)))</f>
        <v>7</v>
      </c>
      <c r="L539">
        <v>538</v>
      </c>
    </row>
    <row r="540" spans="1:12" x14ac:dyDescent="0.25">
      <c r="A540" t="s">
        <v>0</v>
      </c>
      <c r="B540" s="1">
        <v>43070</v>
      </c>
      <c r="C540" s="1">
        <v>55153</v>
      </c>
      <c r="D540" s="4" t="s">
        <v>1290</v>
      </c>
      <c r="E540" t="s">
        <v>10</v>
      </c>
      <c r="F540" t="s">
        <v>4</v>
      </c>
      <c r="G540" t="s">
        <v>32</v>
      </c>
      <c r="H540" t="s">
        <v>2847</v>
      </c>
      <c r="I540" t="s">
        <v>2894</v>
      </c>
      <c r="J540" t="str">
        <f>IF(ISNUMBER(MATCH($D540,'Lopettaneet 2013-&gt;'!$D:$D,0)),INDEX('Lopettaneet 2013-&gt;'!$K:$K,MATCH($D540,'Lopettaneet 2013-&gt;'!$D:$D,0)),"Jatkaa")</f>
        <v>Jatkaa</v>
      </c>
      <c r="K540">
        <f ca="1">IF($J540="Jatkaa",DATEDIF($B540,TODAY(),"Y"),INDEX('Lopettaneet 2013-&gt;'!$L:$L,MATCH($D540,'Lopettaneet 2013-&gt;'!$D:$D,0)))</f>
        <v>7</v>
      </c>
      <c r="L540">
        <v>539</v>
      </c>
    </row>
    <row r="541" spans="1:12" x14ac:dyDescent="0.25">
      <c r="A541" t="s">
        <v>0</v>
      </c>
      <c r="B541" s="1">
        <v>43070</v>
      </c>
      <c r="C541" s="1">
        <v>43465</v>
      </c>
      <c r="D541" s="4" t="s">
        <v>1292</v>
      </c>
      <c r="E541" t="s">
        <v>10</v>
      </c>
      <c r="F541" t="s">
        <v>4</v>
      </c>
      <c r="G541" t="s">
        <v>5</v>
      </c>
      <c r="H541" t="s">
        <v>2763</v>
      </c>
      <c r="I541" t="s">
        <v>2763</v>
      </c>
      <c r="J541" t="str">
        <f>IF(ISNUMBER(MATCH($D541,'Lopettaneet 2013-&gt;'!$D:$D,0)),INDEX('Lopettaneet 2013-&gt;'!$K:$K,MATCH($D541,'Lopettaneet 2013-&gt;'!$D:$D,0)),"Jatkaa")</f>
        <v>Closed</v>
      </c>
      <c r="K541">
        <f ca="1">IF($J541="Jatkaa",DATEDIF($B541,TODAY(),"Y"),INDEX('Lopettaneet 2013-&gt;'!$L:$L,MATCH($D541,'Lopettaneet 2013-&gt;'!$D:$D,0)))</f>
        <v>1</v>
      </c>
      <c r="L541">
        <v>540</v>
      </c>
    </row>
    <row r="542" spans="1:12" x14ac:dyDescent="0.25">
      <c r="A542" t="s">
        <v>0</v>
      </c>
      <c r="B542" s="1">
        <v>43070</v>
      </c>
      <c r="C542" s="1">
        <v>55153</v>
      </c>
      <c r="D542" s="4" t="s">
        <v>1294</v>
      </c>
      <c r="E542" t="s">
        <v>10</v>
      </c>
      <c r="F542" t="s">
        <v>4</v>
      </c>
      <c r="G542" t="s">
        <v>32</v>
      </c>
      <c r="H542" t="s">
        <v>2842</v>
      </c>
      <c r="I542" t="s">
        <v>2894</v>
      </c>
      <c r="J542" t="str">
        <f>IF(ISNUMBER(MATCH($D542,'Lopettaneet 2013-&gt;'!$D:$D,0)),INDEX('Lopettaneet 2013-&gt;'!$K:$K,MATCH($D542,'Lopettaneet 2013-&gt;'!$D:$D,0)),"Jatkaa")</f>
        <v>Jatkaa</v>
      </c>
      <c r="K542">
        <f ca="1">IF($J542="Jatkaa",DATEDIF($B542,TODAY(),"Y"),INDEX('Lopettaneet 2013-&gt;'!$L:$L,MATCH($D542,'Lopettaneet 2013-&gt;'!$D:$D,0)))</f>
        <v>7</v>
      </c>
      <c r="L542">
        <v>541</v>
      </c>
    </row>
    <row r="543" spans="1:12" x14ac:dyDescent="0.25">
      <c r="A543" t="s">
        <v>7</v>
      </c>
      <c r="B543" s="1">
        <v>43617</v>
      </c>
      <c r="C543" s="1">
        <v>45199</v>
      </c>
      <c r="D543" s="4" t="s">
        <v>41</v>
      </c>
      <c r="E543" t="s">
        <v>10</v>
      </c>
      <c r="F543" t="s">
        <v>11</v>
      </c>
      <c r="G543" t="s">
        <v>29</v>
      </c>
      <c r="H543" t="s">
        <v>2763</v>
      </c>
      <c r="I543" t="s">
        <v>2763</v>
      </c>
      <c r="J543" t="str">
        <f>IF(ISNUMBER(MATCH($D543,'Lopettaneet 2013-&gt;'!$D:$D,0)),INDEX('Lopettaneet 2013-&gt;'!$K:$K,MATCH($D543,'Lopettaneet 2013-&gt;'!$D:$D,0)),"Jatkaa")</f>
        <v>Closed</v>
      </c>
      <c r="K543">
        <f ca="1">IF($J543="Jatkaa",DATEDIF($B543,TODAY(),"Y"),INDEX('Lopettaneet 2013-&gt;'!$L:$L,MATCH($D543,'Lopettaneet 2013-&gt;'!$D:$D,0)))</f>
        <v>4</v>
      </c>
      <c r="L543">
        <v>542</v>
      </c>
    </row>
    <row r="544" spans="1:12" x14ac:dyDescent="0.25">
      <c r="A544" t="s">
        <v>7</v>
      </c>
      <c r="B544" s="1">
        <v>42979</v>
      </c>
      <c r="C544" s="1">
        <v>55153</v>
      </c>
      <c r="D544" s="4" t="s">
        <v>1296</v>
      </c>
      <c r="E544" t="s">
        <v>10</v>
      </c>
      <c r="F544" t="s">
        <v>11</v>
      </c>
      <c r="G544" t="s">
        <v>12</v>
      </c>
      <c r="H544" t="s">
        <v>2788</v>
      </c>
      <c r="I544" t="s">
        <v>2895</v>
      </c>
      <c r="J544" t="str">
        <f>IF(ISNUMBER(MATCH($D544,'Lopettaneet 2013-&gt;'!$D:$D,0)),INDEX('Lopettaneet 2013-&gt;'!$K:$K,MATCH($D544,'Lopettaneet 2013-&gt;'!$D:$D,0)),"Jatkaa")</f>
        <v>Jatkaa</v>
      </c>
      <c r="K544">
        <f ca="1">IF($J544="Jatkaa",DATEDIF($B544,TODAY(),"Y"),INDEX('Lopettaneet 2013-&gt;'!$L:$L,MATCH($D544,'Lopettaneet 2013-&gt;'!$D:$D,0)))</f>
        <v>7</v>
      </c>
      <c r="L544">
        <v>543</v>
      </c>
    </row>
    <row r="545" spans="1:12" x14ac:dyDescent="0.25">
      <c r="A545" t="s">
        <v>7</v>
      </c>
      <c r="B545" s="1">
        <v>42979</v>
      </c>
      <c r="C545" s="1">
        <v>55153</v>
      </c>
      <c r="D545" s="4" t="s">
        <v>1298</v>
      </c>
      <c r="E545" t="s">
        <v>10</v>
      </c>
      <c r="F545" t="s">
        <v>11</v>
      </c>
      <c r="G545" t="s">
        <v>32</v>
      </c>
      <c r="H545" t="s">
        <v>2847</v>
      </c>
      <c r="I545" t="s">
        <v>2895</v>
      </c>
      <c r="J545" t="str">
        <f>IF(ISNUMBER(MATCH($D545,'Lopettaneet 2013-&gt;'!$D:$D,0)),INDEX('Lopettaneet 2013-&gt;'!$K:$K,MATCH($D545,'Lopettaneet 2013-&gt;'!$D:$D,0)),"Jatkaa")</f>
        <v>Jatkaa</v>
      </c>
      <c r="K545">
        <f ca="1">IF($J545="Jatkaa",DATEDIF($B545,TODAY(),"Y"),INDEX('Lopettaneet 2013-&gt;'!$L:$L,MATCH($D545,'Lopettaneet 2013-&gt;'!$D:$D,0)))</f>
        <v>7</v>
      </c>
      <c r="L545">
        <v>544</v>
      </c>
    </row>
    <row r="546" spans="1:12" x14ac:dyDescent="0.25">
      <c r="A546" t="s">
        <v>0</v>
      </c>
      <c r="B546" s="1">
        <v>42979</v>
      </c>
      <c r="C546" s="1">
        <v>44439</v>
      </c>
      <c r="D546" s="4" t="s">
        <v>1300</v>
      </c>
      <c r="E546" t="s">
        <v>3</v>
      </c>
      <c r="F546" t="s">
        <v>4</v>
      </c>
      <c r="G546" t="s">
        <v>50</v>
      </c>
      <c r="H546" t="s">
        <v>2763</v>
      </c>
      <c r="I546" t="s">
        <v>2763</v>
      </c>
      <c r="J546" t="str">
        <f>IF(ISNUMBER(MATCH($D546,'Lopettaneet 2013-&gt;'!$D:$D,0)),INDEX('Lopettaneet 2013-&gt;'!$K:$K,MATCH($D546,'Lopettaneet 2013-&gt;'!$D:$D,0)),"Jatkaa")</f>
        <v>Merged</v>
      </c>
      <c r="K546">
        <f ca="1">IF($J546="Jatkaa",DATEDIF($B546,TODAY(),"Y"),INDEX('Lopettaneet 2013-&gt;'!$L:$L,MATCH($D546,'Lopettaneet 2013-&gt;'!$D:$D,0)))</f>
        <v>3</v>
      </c>
      <c r="L546">
        <v>545</v>
      </c>
    </row>
    <row r="547" spans="1:12" x14ac:dyDescent="0.25">
      <c r="A547" t="s">
        <v>7</v>
      </c>
      <c r="B547" s="1">
        <v>43070</v>
      </c>
      <c r="C547" s="1">
        <v>55153</v>
      </c>
      <c r="D547" s="4" t="s">
        <v>1302</v>
      </c>
      <c r="E547" t="s">
        <v>10</v>
      </c>
      <c r="F547" t="s">
        <v>11</v>
      </c>
      <c r="G547" t="s">
        <v>80</v>
      </c>
      <c r="H547" t="s">
        <v>2848</v>
      </c>
      <c r="I547" t="s">
        <v>2895</v>
      </c>
      <c r="J547" t="str">
        <f>IF(ISNUMBER(MATCH($D547,'Lopettaneet 2013-&gt;'!$D:$D,0)),INDEX('Lopettaneet 2013-&gt;'!$K:$K,MATCH($D547,'Lopettaneet 2013-&gt;'!$D:$D,0)),"Jatkaa")</f>
        <v>Jatkaa</v>
      </c>
      <c r="K547">
        <f ca="1">IF($J547="Jatkaa",DATEDIF($B547,TODAY(),"Y"),INDEX('Lopettaneet 2013-&gt;'!$L:$L,MATCH($D547,'Lopettaneet 2013-&gt;'!$D:$D,0)))</f>
        <v>7</v>
      </c>
      <c r="L547">
        <v>546</v>
      </c>
    </row>
    <row r="548" spans="1:12" x14ac:dyDescent="0.25">
      <c r="A548" t="s">
        <v>0</v>
      </c>
      <c r="B548" s="1">
        <v>43040</v>
      </c>
      <c r="C548" s="1">
        <v>55153</v>
      </c>
      <c r="D548" s="4" t="s">
        <v>1304</v>
      </c>
      <c r="E548" t="s">
        <v>10</v>
      </c>
      <c r="F548" t="s">
        <v>4</v>
      </c>
      <c r="G548" t="s">
        <v>50</v>
      </c>
      <c r="H548" t="s">
        <v>2774</v>
      </c>
      <c r="I548" t="s">
        <v>2894</v>
      </c>
      <c r="J548" t="str">
        <f>IF(ISNUMBER(MATCH($D548,'Lopettaneet 2013-&gt;'!$D:$D,0)),INDEX('Lopettaneet 2013-&gt;'!$K:$K,MATCH($D548,'Lopettaneet 2013-&gt;'!$D:$D,0)),"Jatkaa")</f>
        <v>Jatkaa</v>
      </c>
      <c r="K548">
        <f ca="1">IF($J548="Jatkaa",DATEDIF($B548,TODAY(),"Y"),INDEX('Lopettaneet 2013-&gt;'!$L:$L,MATCH($D548,'Lopettaneet 2013-&gt;'!$D:$D,0)))</f>
        <v>7</v>
      </c>
      <c r="L548">
        <v>547</v>
      </c>
    </row>
    <row r="549" spans="1:12" x14ac:dyDescent="0.25">
      <c r="A549" t="s">
        <v>0</v>
      </c>
      <c r="B549" s="1">
        <v>43040</v>
      </c>
      <c r="C549" s="1">
        <v>55153</v>
      </c>
      <c r="D549" s="4" t="s">
        <v>1306</v>
      </c>
      <c r="E549" t="s">
        <v>10</v>
      </c>
      <c r="F549" t="s">
        <v>4</v>
      </c>
      <c r="G549" t="s">
        <v>5</v>
      </c>
      <c r="H549" t="s">
        <v>2774</v>
      </c>
      <c r="I549" t="s">
        <v>2894</v>
      </c>
      <c r="J549" t="str">
        <f>IF(ISNUMBER(MATCH($D549,'Lopettaneet 2013-&gt;'!$D:$D,0)),INDEX('Lopettaneet 2013-&gt;'!$K:$K,MATCH($D549,'Lopettaneet 2013-&gt;'!$D:$D,0)),"Jatkaa")</f>
        <v>Jatkaa</v>
      </c>
      <c r="K549">
        <f ca="1">IF($J549="Jatkaa",DATEDIF($B549,TODAY(),"Y"),INDEX('Lopettaneet 2013-&gt;'!$L:$L,MATCH($D549,'Lopettaneet 2013-&gt;'!$D:$D,0)))</f>
        <v>7</v>
      </c>
      <c r="L549">
        <v>548</v>
      </c>
    </row>
    <row r="550" spans="1:12" x14ac:dyDescent="0.25">
      <c r="A550" t="s">
        <v>0</v>
      </c>
      <c r="B550" s="1">
        <v>43040</v>
      </c>
      <c r="C550" s="1">
        <v>55153</v>
      </c>
      <c r="D550" s="4" t="s">
        <v>1308</v>
      </c>
      <c r="E550" t="s">
        <v>10</v>
      </c>
      <c r="F550" t="s">
        <v>4</v>
      </c>
      <c r="G550" t="s">
        <v>20</v>
      </c>
      <c r="H550" t="s">
        <v>2774</v>
      </c>
      <c r="I550" t="s">
        <v>2894</v>
      </c>
      <c r="J550" t="str">
        <f>IF(ISNUMBER(MATCH($D550,'Lopettaneet 2013-&gt;'!$D:$D,0)),INDEX('Lopettaneet 2013-&gt;'!$K:$K,MATCH($D550,'Lopettaneet 2013-&gt;'!$D:$D,0)),"Jatkaa")</f>
        <v>Jatkaa</v>
      </c>
      <c r="K550">
        <f ca="1">IF($J550="Jatkaa",DATEDIF($B550,TODAY(),"Y"),INDEX('Lopettaneet 2013-&gt;'!$L:$L,MATCH($D550,'Lopettaneet 2013-&gt;'!$D:$D,0)))</f>
        <v>7</v>
      </c>
      <c r="L550">
        <v>549</v>
      </c>
    </row>
    <row r="551" spans="1:12" x14ac:dyDescent="0.25">
      <c r="A551" t="s">
        <v>0</v>
      </c>
      <c r="B551" s="1">
        <v>43040</v>
      </c>
      <c r="C551" s="1">
        <v>55153</v>
      </c>
      <c r="D551" s="4" t="s">
        <v>1310</v>
      </c>
      <c r="E551" t="s">
        <v>10</v>
      </c>
      <c r="F551" t="s">
        <v>4</v>
      </c>
      <c r="G551" t="s">
        <v>20</v>
      </c>
      <c r="H551" t="s">
        <v>2774</v>
      </c>
      <c r="I551" t="s">
        <v>2894</v>
      </c>
      <c r="J551" t="str">
        <f>IF(ISNUMBER(MATCH($D551,'Lopettaneet 2013-&gt;'!$D:$D,0)),INDEX('Lopettaneet 2013-&gt;'!$K:$K,MATCH($D551,'Lopettaneet 2013-&gt;'!$D:$D,0)),"Jatkaa")</f>
        <v>Jatkaa</v>
      </c>
      <c r="K551">
        <f ca="1">IF($J551="Jatkaa",DATEDIF($B551,TODAY(),"Y"),INDEX('Lopettaneet 2013-&gt;'!$L:$L,MATCH($D551,'Lopettaneet 2013-&gt;'!$D:$D,0)))</f>
        <v>7</v>
      </c>
      <c r="L551">
        <v>550</v>
      </c>
    </row>
    <row r="552" spans="1:12" x14ac:dyDescent="0.25">
      <c r="A552" t="s">
        <v>0</v>
      </c>
      <c r="B552" s="1">
        <v>43009</v>
      </c>
      <c r="C552" s="1">
        <v>55153</v>
      </c>
      <c r="D552" s="4" t="s">
        <v>1312</v>
      </c>
      <c r="E552" t="s">
        <v>3</v>
      </c>
      <c r="F552" t="s">
        <v>4</v>
      </c>
      <c r="G552" t="s">
        <v>20</v>
      </c>
      <c r="H552" t="s">
        <v>2776</v>
      </c>
      <c r="I552" t="s">
        <v>2894</v>
      </c>
      <c r="J552" t="str">
        <f>IF(ISNUMBER(MATCH($D552,'Lopettaneet 2013-&gt;'!$D:$D,0)),INDEX('Lopettaneet 2013-&gt;'!$K:$K,MATCH($D552,'Lopettaneet 2013-&gt;'!$D:$D,0)),"Jatkaa")</f>
        <v>Jatkaa</v>
      </c>
      <c r="K552">
        <f ca="1">IF($J552="Jatkaa",DATEDIF($B552,TODAY(),"Y"),INDEX('Lopettaneet 2013-&gt;'!$L:$L,MATCH($D552,'Lopettaneet 2013-&gt;'!$D:$D,0)))</f>
        <v>7</v>
      </c>
      <c r="L552">
        <v>551</v>
      </c>
    </row>
    <row r="553" spans="1:12" x14ac:dyDescent="0.25">
      <c r="A553" t="s">
        <v>0</v>
      </c>
      <c r="B553" s="1">
        <v>43009</v>
      </c>
      <c r="C553" s="1">
        <v>55153</v>
      </c>
      <c r="D553" s="4" t="s">
        <v>1314</v>
      </c>
      <c r="E553" t="s">
        <v>3</v>
      </c>
      <c r="F553" t="s">
        <v>4</v>
      </c>
      <c r="G553" t="s">
        <v>20</v>
      </c>
      <c r="H553" t="s">
        <v>2776</v>
      </c>
      <c r="I553" t="s">
        <v>2894</v>
      </c>
      <c r="J553" t="str">
        <f>IF(ISNUMBER(MATCH($D553,'Lopettaneet 2013-&gt;'!$D:$D,0)),INDEX('Lopettaneet 2013-&gt;'!$K:$K,MATCH($D553,'Lopettaneet 2013-&gt;'!$D:$D,0)),"Jatkaa")</f>
        <v>Jatkaa</v>
      </c>
      <c r="K553">
        <f ca="1">IF($J553="Jatkaa",DATEDIF($B553,TODAY(),"Y"),INDEX('Lopettaneet 2013-&gt;'!$L:$L,MATCH($D553,'Lopettaneet 2013-&gt;'!$D:$D,0)))</f>
        <v>7</v>
      </c>
      <c r="L553">
        <v>552</v>
      </c>
    </row>
    <row r="554" spans="1:12" x14ac:dyDescent="0.25">
      <c r="A554" t="s">
        <v>0</v>
      </c>
      <c r="B554" s="1">
        <v>43070</v>
      </c>
      <c r="C554" s="1">
        <v>55153</v>
      </c>
      <c r="D554" s="4" t="s">
        <v>1316</v>
      </c>
      <c r="E554" t="s">
        <v>10</v>
      </c>
      <c r="F554" t="s">
        <v>4</v>
      </c>
      <c r="G554" t="s">
        <v>32</v>
      </c>
      <c r="H554" t="s">
        <v>2791</v>
      </c>
      <c r="I554" t="s">
        <v>2894</v>
      </c>
      <c r="J554" t="str">
        <f>IF(ISNUMBER(MATCH($D554,'Lopettaneet 2013-&gt;'!$D:$D,0)),INDEX('Lopettaneet 2013-&gt;'!$K:$K,MATCH($D554,'Lopettaneet 2013-&gt;'!$D:$D,0)),"Jatkaa")</f>
        <v>Jatkaa</v>
      </c>
      <c r="K554">
        <f ca="1">IF($J554="Jatkaa",DATEDIF($B554,TODAY(),"Y"),INDEX('Lopettaneet 2013-&gt;'!$L:$L,MATCH($D554,'Lopettaneet 2013-&gt;'!$D:$D,0)))</f>
        <v>7</v>
      </c>
      <c r="L554">
        <v>553</v>
      </c>
    </row>
    <row r="555" spans="1:12" x14ac:dyDescent="0.25">
      <c r="A555" t="s">
        <v>7</v>
      </c>
      <c r="B555" s="1">
        <v>43070</v>
      </c>
      <c r="C555" s="1">
        <v>55153</v>
      </c>
      <c r="D555" s="4" t="s">
        <v>1318</v>
      </c>
      <c r="E555" t="s">
        <v>10</v>
      </c>
      <c r="F555" t="s">
        <v>11</v>
      </c>
      <c r="G555" t="s">
        <v>80</v>
      </c>
      <c r="H555" t="s">
        <v>2834</v>
      </c>
      <c r="I555" t="s">
        <v>2895</v>
      </c>
      <c r="J555" t="str">
        <f>IF(ISNUMBER(MATCH($D555,'Lopettaneet 2013-&gt;'!$D:$D,0)),INDEX('Lopettaneet 2013-&gt;'!$K:$K,MATCH($D555,'Lopettaneet 2013-&gt;'!$D:$D,0)),"Jatkaa")</f>
        <v>Jatkaa</v>
      </c>
      <c r="K555">
        <f ca="1">IF($J555="Jatkaa",DATEDIF($B555,TODAY(),"Y"),INDEX('Lopettaneet 2013-&gt;'!$L:$L,MATCH($D555,'Lopettaneet 2013-&gt;'!$D:$D,0)))</f>
        <v>7</v>
      </c>
      <c r="L555">
        <v>554</v>
      </c>
    </row>
    <row r="556" spans="1:12" x14ac:dyDescent="0.25">
      <c r="A556" t="s">
        <v>0</v>
      </c>
      <c r="B556" s="1">
        <v>43009</v>
      </c>
      <c r="C556" s="1">
        <v>43616</v>
      </c>
      <c r="D556" s="4" t="s">
        <v>1320</v>
      </c>
      <c r="E556" t="s">
        <v>3</v>
      </c>
      <c r="F556" t="s">
        <v>4</v>
      </c>
      <c r="G556" t="s">
        <v>5</v>
      </c>
      <c r="H556" t="s">
        <v>2763</v>
      </c>
      <c r="I556" t="s">
        <v>2763</v>
      </c>
      <c r="J556" t="str">
        <f>IF(ISNUMBER(MATCH($D556,'Lopettaneet 2013-&gt;'!$D:$D,0)),INDEX('Lopettaneet 2013-&gt;'!$K:$K,MATCH($D556,'Lopettaneet 2013-&gt;'!$D:$D,0)),"Jatkaa")</f>
        <v>Closed</v>
      </c>
      <c r="K556">
        <f ca="1">IF($J556="Jatkaa",DATEDIF($B556,TODAY(),"Y"),INDEX('Lopettaneet 2013-&gt;'!$L:$L,MATCH($D556,'Lopettaneet 2013-&gt;'!$D:$D,0)))</f>
        <v>1</v>
      </c>
      <c r="L556">
        <v>555</v>
      </c>
    </row>
    <row r="557" spans="1:12" x14ac:dyDescent="0.25">
      <c r="A557" t="s">
        <v>0</v>
      </c>
      <c r="B557" s="1">
        <v>43040</v>
      </c>
      <c r="C557" s="1">
        <v>44530</v>
      </c>
      <c r="D557" s="4" t="s">
        <v>1322</v>
      </c>
      <c r="E557" t="s">
        <v>10</v>
      </c>
      <c r="F557" t="s">
        <v>4</v>
      </c>
      <c r="G557" t="s">
        <v>47</v>
      </c>
      <c r="H557" t="s">
        <v>2763</v>
      </c>
      <c r="I557" t="s">
        <v>2763</v>
      </c>
      <c r="J557" t="str">
        <f>IF(ISNUMBER(MATCH($D557,'Lopettaneet 2013-&gt;'!$D:$D,0)),INDEX('Lopettaneet 2013-&gt;'!$K:$K,MATCH($D557,'Lopettaneet 2013-&gt;'!$D:$D,0)),"Jatkaa")</f>
        <v>Closed</v>
      </c>
      <c r="K557">
        <f ca="1">IF($J557="Jatkaa",DATEDIF($B557,TODAY(),"Y"),INDEX('Lopettaneet 2013-&gt;'!$L:$L,MATCH($D557,'Lopettaneet 2013-&gt;'!$D:$D,0)))</f>
        <v>4</v>
      </c>
      <c r="L557">
        <v>556</v>
      </c>
    </row>
    <row r="558" spans="1:12" x14ac:dyDescent="0.25">
      <c r="A558" t="s">
        <v>0</v>
      </c>
      <c r="B558" s="1">
        <v>43101</v>
      </c>
      <c r="C558" s="1">
        <v>55153</v>
      </c>
      <c r="D558" s="4" t="s">
        <v>1324</v>
      </c>
      <c r="E558" t="s">
        <v>10</v>
      </c>
      <c r="F558" t="s">
        <v>4</v>
      </c>
      <c r="G558" t="s">
        <v>32</v>
      </c>
      <c r="H558" t="s">
        <v>2764</v>
      </c>
      <c r="I558" t="s">
        <v>2894</v>
      </c>
      <c r="J558" t="str">
        <f>IF(ISNUMBER(MATCH($D558,'Lopettaneet 2013-&gt;'!$D:$D,0)),INDEX('Lopettaneet 2013-&gt;'!$K:$K,MATCH($D558,'Lopettaneet 2013-&gt;'!$D:$D,0)),"Jatkaa")</f>
        <v>Jatkaa</v>
      </c>
      <c r="K558">
        <f ca="1">IF($J558="Jatkaa",DATEDIF($B558,TODAY(),"Y"),INDEX('Lopettaneet 2013-&gt;'!$L:$L,MATCH($D558,'Lopettaneet 2013-&gt;'!$D:$D,0)))</f>
        <v>7</v>
      </c>
      <c r="L558">
        <v>557</v>
      </c>
    </row>
    <row r="559" spans="1:12" x14ac:dyDescent="0.25">
      <c r="A559" t="s">
        <v>0</v>
      </c>
      <c r="B559" s="1">
        <v>43252</v>
      </c>
      <c r="C559" s="1">
        <v>55153</v>
      </c>
      <c r="D559" s="4" t="s">
        <v>1326</v>
      </c>
      <c r="E559" t="s">
        <v>3</v>
      </c>
      <c r="F559" t="s">
        <v>4</v>
      </c>
      <c r="G559" t="s">
        <v>50</v>
      </c>
      <c r="H559" t="s">
        <v>2765</v>
      </c>
      <c r="I559" t="s">
        <v>2894</v>
      </c>
      <c r="J559" t="str">
        <f>IF(ISNUMBER(MATCH($D559,'Lopettaneet 2013-&gt;'!$D:$D,0)),INDEX('Lopettaneet 2013-&gt;'!$K:$K,MATCH($D559,'Lopettaneet 2013-&gt;'!$D:$D,0)),"Jatkaa")</f>
        <v>Jatkaa</v>
      </c>
      <c r="K559">
        <f ca="1">IF($J559="Jatkaa",DATEDIF($B559,TODAY(),"Y"),INDEX('Lopettaneet 2013-&gt;'!$L:$L,MATCH($D559,'Lopettaneet 2013-&gt;'!$D:$D,0)))</f>
        <v>6</v>
      </c>
      <c r="L559">
        <v>558</v>
      </c>
    </row>
    <row r="560" spans="1:12" x14ac:dyDescent="0.25">
      <c r="A560" t="s">
        <v>0</v>
      </c>
      <c r="B560" s="1">
        <v>43252</v>
      </c>
      <c r="C560" s="1">
        <v>55153</v>
      </c>
      <c r="D560" s="4" t="s">
        <v>1328</v>
      </c>
      <c r="E560" t="s">
        <v>3</v>
      </c>
      <c r="F560" t="s">
        <v>4</v>
      </c>
      <c r="G560" t="s">
        <v>20</v>
      </c>
      <c r="H560" t="s">
        <v>2765</v>
      </c>
      <c r="I560" t="s">
        <v>2894</v>
      </c>
      <c r="J560" t="str">
        <f>IF(ISNUMBER(MATCH($D560,'Lopettaneet 2013-&gt;'!$D:$D,0)),INDEX('Lopettaneet 2013-&gt;'!$K:$K,MATCH($D560,'Lopettaneet 2013-&gt;'!$D:$D,0)),"Jatkaa")</f>
        <v>Jatkaa</v>
      </c>
      <c r="K560">
        <f ca="1">IF($J560="Jatkaa",DATEDIF($B560,TODAY(),"Y"),INDEX('Lopettaneet 2013-&gt;'!$L:$L,MATCH($D560,'Lopettaneet 2013-&gt;'!$D:$D,0)))</f>
        <v>6</v>
      </c>
      <c r="L560">
        <v>559</v>
      </c>
    </row>
    <row r="561" spans="1:12" x14ac:dyDescent="0.25">
      <c r="A561" t="s">
        <v>7</v>
      </c>
      <c r="B561" s="1">
        <v>42979</v>
      </c>
      <c r="C561" s="1">
        <v>55153</v>
      </c>
      <c r="D561" s="4" t="s">
        <v>1330</v>
      </c>
      <c r="E561" t="s">
        <v>10</v>
      </c>
      <c r="F561" t="s">
        <v>11</v>
      </c>
      <c r="G561" t="s">
        <v>80</v>
      </c>
      <c r="H561" t="s">
        <v>2849</v>
      </c>
      <c r="I561" t="s">
        <v>2894</v>
      </c>
      <c r="J561" t="str">
        <f>IF(ISNUMBER(MATCH($D561,'Lopettaneet 2013-&gt;'!$D:$D,0)),INDEX('Lopettaneet 2013-&gt;'!$K:$K,MATCH($D561,'Lopettaneet 2013-&gt;'!$D:$D,0)),"Jatkaa")</f>
        <v>Jatkaa</v>
      </c>
      <c r="K561">
        <f ca="1">IF($J561="Jatkaa",DATEDIF($B561,TODAY(),"Y"),INDEX('Lopettaneet 2013-&gt;'!$L:$L,MATCH($D561,'Lopettaneet 2013-&gt;'!$D:$D,0)))</f>
        <v>7</v>
      </c>
      <c r="L561">
        <v>560</v>
      </c>
    </row>
    <row r="562" spans="1:12" x14ac:dyDescent="0.25">
      <c r="A562" t="s">
        <v>0</v>
      </c>
      <c r="B562" s="1">
        <v>43040</v>
      </c>
      <c r="C562" s="1">
        <v>44712</v>
      </c>
      <c r="D562" s="4" t="s">
        <v>1332</v>
      </c>
      <c r="E562" t="s">
        <v>10</v>
      </c>
      <c r="F562" t="s">
        <v>4</v>
      </c>
      <c r="G562" t="s">
        <v>5</v>
      </c>
      <c r="H562" t="s">
        <v>2763</v>
      </c>
      <c r="I562" t="s">
        <v>2763</v>
      </c>
      <c r="J562" t="str">
        <f>IF(ISNUMBER(MATCH($D562,'Lopettaneet 2013-&gt;'!$D:$D,0)),INDEX('Lopettaneet 2013-&gt;'!$K:$K,MATCH($D562,'Lopettaneet 2013-&gt;'!$D:$D,0)),"Jatkaa")</f>
        <v>Closed</v>
      </c>
      <c r="K562">
        <f ca="1">IF($J562="Jatkaa",DATEDIF($B562,TODAY(),"Y"),INDEX('Lopettaneet 2013-&gt;'!$L:$L,MATCH($D562,'Lopettaneet 2013-&gt;'!$D:$D,0)))</f>
        <v>4</v>
      </c>
      <c r="L562">
        <v>561</v>
      </c>
    </row>
    <row r="563" spans="1:12" x14ac:dyDescent="0.25">
      <c r="A563" t="s">
        <v>0</v>
      </c>
      <c r="B563" s="1">
        <v>43009</v>
      </c>
      <c r="C563" s="1">
        <v>43496</v>
      </c>
      <c r="D563" s="4" t="s">
        <v>1334</v>
      </c>
      <c r="E563" t="s">
        <v>10</v>
      </c>
      <c r="F563" t="s">
        <v>4</v>
      </c>
      <c r="G563" t="s">
        <v>29</v>
      </c>
      <c r="H563" t="s">
        <v>2763</v>
      </c>
      <c r="I563" t="s">
        <v>2763</v>
      </c>
      <c r="J563" t="str">
        <f>IF(ISNUMBER(MATCH($D563,'Lopettaneet 2013-&gt;'!$D:$D,0)),INDEX('Lopettaneet 2013-&gt;'!$K:$K,MATCH($D563,'Lopettaneet 2013-&gt;'!$D:$D,0)),"Jatkaa")</f>
        <v>Closed</v>
      </c>
      <c r="K563">
        <f ca="1">IF($J563="Jatkaa",DATEDIF($B563,TODAY(),"Y"),INDEX('Lopettaneet 2013-&gt;'!$L:$L,MATCH($D563,'Lopettaneet 2013-&gt;'!$D:$D,0)))</f>
        <v>1</v>
      </c>
      <c r="L563">
        <v>562</v>
      </c>
    </row>
    <row r="564" spans="1:12" x14ac:dyDescent="0.25">
      <c r="A564" t="s">
        <v>0</v>
      </c>
      <c r="B564" s="1">
        <v>43070</v>
      </c>
      <c r="C564" s="1">
        <v>44196</v>
      </c>
      <c r="D564" s="4" t="s">
        <v>1336</v>
      </c>
      <c r="E564" t="s">
        <v>3</v>
      </c>
      <c r="F564" t="s">
        <v>4</v>
      </c>
      <c r="G564" t="s">
        <v>50</v>
      </c>
      <c r="H564" t="s">
        <v>2763</v>
      </c>
      <c r="I564" t="s">
        <v>2763</v>
      </c>
      <c r="J564" t="str">
        <f>IF(ISNUMBER(MATCH($D564,'Lopettaneet 2013-&gt;'!$D:$D,0)),INDEX('Lopettaneet 2013-&gt;'!$K:$K,MATCH($D564,'Lopettaneet 2013-&gt;'!$D:$D,0)),"Jatkaa")</f>
        <v>Closed</v>
      </c>
      <c r="K564">
        <f ca="1">IF($J564="Jatkaa",DATEDIF($B564,TODAY(),"Y"),INDEX('Lopettaneet 2013-&gt;'!$L:$L,MATCH($D564,'Lopettaneet 2013-&gt;'!$D:$D,0)))</f>
        <v>3</v>
      </c>
      <c r="L564">
        <v>563</v>
      </c>
    </row>
    <row r="565" spans="1:12" x14ac:dyDescent="0.25">
      <c r="A565" t="s">
        <v>0</v>
      </c>
      <c r="B565" s="1">
        <v>43070</v>
      </c>
      <c r="C565" s="1">
        <v>55153</v>
      </c>
      <c r="D565" s="4" t="s">
        <v>1338</v>
      </c>
      <c r="E565" t="s">
        <v>3</v>
      </c>
      <c r="F565" t="s">
        <v>4</v>
      </c>
      <c r="G565" t="s">
        <v>50</v>
      </c>
      <c r="H565" t="s">
        <v>2767</v>
      </c>
      <c r="I565" t="s">
        <v>2894</v>
      </c>
      <c r="J565" t="str">
        <f>IF(ISNUMBER(MATCH($D565,'Lopettaneet 2013-&gt;'!$D:$D,0)),INDEX('Lopettaneet 2013-&gt;'!$K:$K,MATCH($D565,'Lopettaneet 2013-&gt;'!$D:$D,0)),"Jatkaa")</f>
        <v>Jatkaa</v>
      </c>
      <c r="K565">
        <f ca="1">IF($J565="Jatkaa",DATEDIF($B565,TODAY(),"Y"),INDEX('Lopettaneet 2013-&gt;'!$L:$L,MATCH($D565,'Lopettaneet 2013-&gt;'!$D:$D,0)))</f>
        <v>7</v>
      </c>
      <c r="L565">
        <v>564</v>
      </c>
    </row>
    <row r="566" spans="1:12" x14ac:dyDescent="0.25">
      <c r="A566" t="s">
        <v>0</v>
      </c>
      <c r="B566" s="1">
        <v>43070</v>
      </c>
      <c r="C566" s="1">
        <v>55153</v>
      </c>
      <c r="D566" s="4" t="s">
        <v>1340</v>
      </c>
      <c r="E566" t="s">
        <v>3</v>
      </c>
      <c r="F566" t="s">
        <v>4</v>
      </c>
      <c r="G566" t="s">
        <v>5</v>
      </c>
      <c r="H566" t="s">
        <v>2767</v>
      </c>
      <c r="I566" t="s">
        <v>2894</v>
      </c>
      <c r="J566" t="str">
        <f>IF(ISNUMBER(MATCH($D566,'Lopettaneet 2013-&gt;'!$D:$D,0)),INDEX('Lopettaneet 2013-&gt;'!$K:$K,MATCH($D566,'Lopettaneet 2013-&gt;'!$D:$D,0)),"Jatkaa")</f>
        <v>Jatkaa</v>
      </c>
      <c r="K566">
        <f ca="1">IF($J566="Jatkaa",DATEDIF($B566,TODAY(),"Y"),INDEX('Lopettaneet 2013-&gt;'!$L:$L,MATCH($D566,'Lopettaneet 2013-&gt;'!$D:$D,0)))</f>
        <v>7</v>
      </c>
      <c r="L566">
        <v>565</v>
      </c>
    </row>
    <row r="567" spans="1:12" x14ac:dyDescent="0.25">
      <c r="A567" t="s">
        <v>0</v>
      </c>
      <c r="B567" s="1">
        <v>43070</v>
      </c>
      <c r="C567" s="1">
        <v>55153</v>
      </c>
      <c r="D567" s="4" t="s">
        <v>1342</v>
      </c>
      <c r="E567" t="s">
        <v>3</v>
      </c>
      <c r="F567" t="s">
        <v>4</v>
      </c>
      <c r="G567" t="s">
        <v>20</v>
      </c>
      <c r="H567" t="s">
        <v>2767</v>
      </c>
      <c r="I567" t="s">
        <v>2894</v>
      </c>
      <c r="J567" t="str">
        <f>IF(ISNUMBER(MATCH($D567,'Lopettaneet 2013-&gt;'!$D:$D,0)),INDEX('Lopettaneet 2013-&gt;'!$K:$K,MATCH($D567,'Lopettaneet 2013-&gt;'!$D:$D,0)),"Jatkaa")</f>
        <v>Jatkaa</v>
      </c>
      <c r="K567">
        <f ca="1">IF($J567="Jatkaa",DATEDIF($B567,TODAY(),"Y"),INDEX('Lopettaneet 2013-&gt;'!$L:$L,MATCH($D567,'Lopettaneet 2013-&gt;'!$D:$D,0)))</f>
        <v>7</v>
      </c>
      <c r="L567">
        <v>566</v>
      </c>
    </row>
    <row r="568" spans="1:12" x14ac:dyDescent="0.25">
      <c r="A568" t="s">
        <v>0</v>
      </c>
      <c r="B568" s="1">
        <v>43070</v>
      </c>
      <c r="C568" s="1">
        <v>55153</v>
      </c>
      <c r="D568" s="4" t="s">
        <v>1344</v>
      </c>
      <c r="E568" t="s">
        <v>3</v>
      </c>
      <c r="F568" t="s">
        <v>4</v>
      </c>
      <c r="G568" t="s">
        <v>20</v>
      </c>
      <c r="H568" t="s">
        <v>2767</v>
      </c>
      <c r="I568" t="s">
        <v>2894</v>
      </c>
      <c r="J568" t="str">
        <f>IF(ISNUMBER(MATCH($D568,'Lopettaneet 2013-&gt;'!$D:$D,0)),INDEX('Lopettaneet 2013-&gt;'!$K:$K,MATCH($D568,'Lopettaneet 2013-&gt;'!$D:$D,0)),"Jatkaa")</f>
        <v>Jatkaa</v>
      </c>
      <c r="K568">
        <f ca="1">IF($J568="Jatkaa",DATEDIF($B568,TODAY(),"Y"),INDEX('Lopettaneet 2013-&gt;'!$L:$L,MATCH($D568,'Lopettaneet 2013-&gt;'!$D:$D,0)))</f>
        <v>7</v>
      </c>
      <c r="L568">
        <v>567</v>
      </c>
    </row>
    <row r="569" spans="1:12" x14ac:dyDescent="0.25">
      <c r="A569" t="s">
        <v>0</v>
      </c>
      <c r="B569" s="1">
        <v>43160</v>
      </c>
      <c r="C569" s="1">
        <v>44196</v>
      </c>
      <c r="D569" s="4" t="s">
        <v>1346</v>
      </c>
      <c r="E569" t="s">
        <v>3</v>
      </c>
      <c r="F569" t="s">
        <v>4</v>
      </c>
      <c r="G569" t="s">
        <v>50</v>
      </c>
      <c r="H569" t="s">
        <v>2763</v>
      </c>
      <c r="I569" t="s">
        <v>2763</v>
      </c>
      <c r="J569" t="str">
        <f>IF(ISNUMBER(MATCH($D569,'Lopettaneet 2013-&gt;'!$D:$D,0)),INDEX('Lopettaneet 2013-&gt;'!$K:$K,MATCH($D569,'Lopettaneet 2013-&gt;'!$D:$D,0)),"Jatkaa")</f>
        <v>Closed</v>
      </c>
      <c r="K569">
        <f ca="1">IF($J569="Jatkaa",DATEDIF($B569,TODAY(),"Y"),INDEX('Lopettaneet 2013-&gt;'!$L:$L,MATCH($D569,'Lopettaneet 2013-&gt;'!$D:$D,0)))</f>
        <v>2</v>
      </c>
      <c r="L569">
        <v>568</v>
      </c>
    </row>
    <row r="570" spans="1:12" x14ac:dyDescent="0.25">
      <c r="A570" t="s">
        <v>0</v>
      </c>
      <c r="B570" s="1">
        <v>43160</v>
      </c>
      <c r="C570" s="1">
        <v>45382</v>
      </c>
      <c r="D570" s="4" t="s">
        <v>239</v>
      </c>
      <c r="E570" t="s">
        <v>3</v>
      </c>
      <c r="F570" t="s">
        <v>4</v>
      </c>
      <c r="G570" t="s">
        <v>50</v>
      </c>
      <c r="H570" t="s">
        <v>2767</v>
      </c>
      <c r="I570" t="s">
        <v>2894</v>
      </c>
      <c r="J570" t="str">
        <f>IF(ISNUMBER(MATCH($D570,'Lopettaneet 2013-&gt;'!$D:$D,0)),INDEX('Lopettaneet 2013-&gt;'!$K:$K,MATCH($D570,'Lopettaneet 2013-&gt;'!$D:$D,0)),"Jatkaa")</f>
        <v>Closed</v>
      </c>
      <c r="K570">
        <f ca="1">IF($J570="Jatkaa",DATEDIF($B570,TODAY(),"Y"),INDEX('Lopettaneet 2013-&gt;'!$L:$L,MATCH($D570,'Lopettaneet 2013-&gt;'!$D:$D,0)))</f>
        <v>6</v>
      </c>
      <c r="L570">
        <v>569</v>
      </c>
    </row>
    <row r="571" spans="1:12" x14ac:dyDescent="0.25">
      <c r="A571" t="s">
        <v>0</v>
      </c>
      <c r="B571" s="1">
        <v>43160</v>
      </c>
      <c r="C571" s="1">
        <v>55153</v>
      </c>
      <c r="D571" s="4" t="s">
        <v>1348</v>
      </c>
      <c r="E571" t="s">
        <v>3</v>
      </c>
      <c r="F571" t="s">
        <v>4</v>
      </c>
      <c r="G571" t="s">
        <v>5</v>
      </c>
      <c r="H571" t="s">
        <v>2767</v>
      </c>
      <c r="I571" t="s">
        <v>2894</v>
      </c>
      <c r="J571" t="str">
        <f>IF(ISNUMBER(MATCH($D571,'Lopettaneet 2013-&gt;'!$D:$D,0)),INDEX('Lopettaneet 2013-&gt;'!$K:$K,MATCH($D571,'Lopettaneet 2013-&gt;'!$D:$D,0)),"Jatkaa")</f>
        <v>Jatkaa</v>
      </c>
      <c r="K571">
        <f ca="1">IF($J571="Jatkaa",DATEDIF($B571,TODAY(),"Y"),INDEX('Lopettaneet 2013-&gt;'!$L:$L,MATCH($D571,'Lopettaneet 2013-&gt;'!$D:$D,0)))</f>
        <v>7</v>
      </c>
      <c r="L571">
        <v>570</v>
      </c>
    </row>
    <row r="572" spans="1:12" x14ac:dyDescent="0.25">
      <c r="A572" t="s">
        <v>0</v>
      </c>
      <c r="B572" s="1">
        <v>43160</v>
      </c>
      <c r="C572" s="1">
        <v>55153</v>
      </c>
      <c r="D572" s="4" t="s">
        <v>1350</v>
      </c>
      <c r="E572" t="s">
        <v>3</v>
      </c>
      <c r="F572" t="s">
        <v>4</v>
      </c>
      <c r="G572" t="s">
        <v>20</v>
      </c>
      <c r="H572" t="s">
        <v>2767</v>
      </c>
      <c r="I572" t="s">
        <v>2894</v>
      </c>
      <c r="J572" t="str">
        <f>IF(ISNUMBER(MATCH($D572,'Lopettaneet 2013-&gt;'!$D:$D,0)),INDEX('Lopettaneet 2013-&gt;'!$K:$K,MATCH($D572,'Lopettaneet 2013-&gt;'!$D:$D,0)),"Jatkaa")</f>
        <v>Jatkaa</v>
      </c>
      <c r="K572">
        <f ca="1">IF($J572="Jatkaa",DATEDIF($B572,TODAY(),"Y"),INDEX('Lopettaneet 2013-&gt;'!$L:$L,MATCH($D572,'Lopettaneet 2013-&gt;'!$D:$D,0)))</f>
        <v>7</v>
      </c>
      <c r="L572">
        <v>571</v>
      </c>
    </row>
    <row r="573" spans="1:12" x14ac:dyDescent="0.25">
      <c r="A573" t="s">
        <v>0</v>
      </c>
      <c r="B573" s="1">
        <v>43160</v>
      </c>
      <c r="C573" s="1">
        <v>55153</v>
      </c>
      <c r="D573" s="4" t="s">
        <v>1352</v>
      </c>
      <c r="E573" t="s">
        <v>3</v>
      </c>
      <c r="F573" t="s">
        <v>4</v>
      </c>
      <c r="G573" t="s">
        <v>20</v>
      </c>
      <c r="H573" t="s">
        <v>2767</v>
      </c>
      <c r="I573" t="s">
        <v>2894</v>
      </c>
      <c r="J573" t="str">
        <f>IF(ISNUMBER(MATCH($D573,'Lopettaneet 2013-&gt;'!$D:$D,0)),INDEX('Lopettaneet 2013-&gt;'!$K:$K,MATCH($D573,'Lopettaneet 2013-&gt;'!$D:$D,0)),"Jatkaa")</f>
        <v>Jatkaa</v>
      </c>
      <c r="K573">
        <f ca="1">IF($J573="Jatkaa",DATEDIF($B573,TODAY(),"Y"),INDEX('Lopettaneet 2013-&gt;'!$L:$L,MATCH($D573,'Lopettaneet 2013-&gt;'!$D:$D,0)))</f>
        <v>7</v>
      </c>
      <c r="L573">
        <v>572</v>
      </c>
    </row>
    <row r="574" spans="1:12" x14ac:dyDescent="0.25">
      <c r="A574" t="s">
        <v>0</v>
      </c>
      <c r="B574" s="1">
        <v>43191</v>
      </c>
      <c r="C574" s="1">
        <v>44196</v>
      </c>
      <c r="D574" s="4" t="s">
        <v>1354</v>
      </c>
      <c r="E574" t="s">
        <v>3</v>
      </c>
      <c r="F574" t="s">
        <v>4</v>
      </c>
      <c r="G574" t="s">
        <v>50</v>
      </c>
      <c r="H574" t="s">
        <v>2763</v>
      </c>
      <c r="I574" t="s">
        <v>2763</v>
      </c>
      <c r="J574" t="str">
        <f>IF(ISNUMBER(MATCH($D574,'Lopettaneet 2013-&gt;'!$D:$D,0)),INDEX('Lopettaneet 2013-&gt;'!$K:$K,MATCH($D574,'Lopettaneet 2013-&gt;'!$D:$D,0)),"Jatkaa")</f>
        <v>Closed</v>
      </c>
      <c r="K574">
        <f ca="1">IF($J574="Jatkaa",DATEDIF($B574,TODAY(),"Y"),INDEX('Lopettaneet 2013-&gt;'!$L:$L,MATCH($D574,'Lopettaneet 2013-&gt;'!$D:$D,0)))</f>
        <v>2</v>
      </c>
      <c r="L574">
        <v>573</v>
      </c>
    </row>
    <row r="575" spans="1:12" x14ac:dyDescent="0.25">
      <c r="A575" t="s">
        <v>0</v>
      </c>
      <c r="B575" s="1">
        <v>43191</v>
      </c>
      <c r="C575" s="1">
        <v>45382</v>
      </c>
      <c r="D575" s="4" t="s">
        <v>241</v>
      </c>
      <c r="E575" t="s">
        <v>3</v>
      </c>
      <c r="F575" t="s">
        <v>4</v>
      </c>
      <c r="G575" t="s">
        <v>50</v>
      </c>
      <c r="H575" t="s">
        <v>2767</v>
      </c>
      <c r="I575" t="s">
        <v>2894</v>
      </c>
      <c r="J575" t="str">
        <f>IF(ISNUMBER(MATCH($D575,'Lopettaneet 2013-&gt;'!$D:$D,0)),INDEX('Lopettaneet 2013-&gt;'!$K:$K,MATCH($D575,'Lopettaneet 2013-&gt;'!$D:$D,0)),"Jatkaa")</f>
        <v>Closed</v>
      </c>
      <c r="K575">
        <f ca="1">IF($J575="Jatkaa",DATEDIF($B575,TODAY(),"Y"),INDEX('Lopettaneet 2013-&gt;'!$L:$L,MATCH($D575,'Lopettaneet 2013-&gt;'!$D:$D,0)))</f>
        <v>5</v>
      </c>
      <c r="L575">
        <v>574</v>
      </c>
    </row>
    <row r="576" spans="1:12" x14ac:dyDescent="0.25">
      <c r="A576" t="s">
        <v>0</v>
      </c>
      <c r="B576" s="1">
        <v>43191</v>
      </c>
      <c r="C576" s="1">
        <v>55153</v>
      </c>
      <c r="D576" s="4" t="s">
        <v>1356</v>
      </c>
      <c r="E576" t="s">
        <v>3</v>
      </c>
      <c r="F576" t="s">
        <v>4</v>
      </c>
      <c r="G576" t="s">
        <v>5</v>
      </c>
      <c r="H576" t="s">
        <v>2767</v>
      </c>
      <c r="I576" t="s">
        <v>2894</v>
      </c>
      <c r="J576" t="str">
        <f>IF(ISNUMBER(MATCH($D576,'Lopettaneet 2013-&gt;'!$D:$D,0)),INDEX('Lopettaneet 2013-&gt;'!$K:$K,MATCH($D576,'Lopettaneet 2013-&gt;'!$D:$D,0)),"Jatkaa")</f>
        <v>Jatkaa</v>
      </c>
      <c r="K576">
        <f ca="1">IF($J576="Jatkaa",DATEDIF($B576,TODAY(),"Y"),INDEX('Lopettaneet 2013-&gt;'!$L:$L,MATCH($D576,'Lopettaneet 2013-&gt;'!$D:$D,0)))</f>
        <v>7</v>
      </c>
      <c r="L576">
        <v>575</v>
      </c>
    </row>
    <row r="577" spans="1:12" x14ac:dyDescent="0.25">
      <c r="A577" t="s">
        <v>0</v>
      </c>
      <c r="B577" s="1">
        <v>43191</v>
      </c>
      <c r="C577" s="1">
        <v>55153</v>
      </c>
      <c r="D577" s="4" t="s">
        <v>1358</v>
      </c>
      <c r="E577" t="s">
        <v>3</v>
      </c>
      <c r="F577" t="s">
        <v>4</v>
      </c>
      <c r="G577" t="s">
        <v>20</v>
      </c>
      <c r="H577" t="s">
        <v>2767</v>
      </c>
      <c r="I577" t="s">
        <v>2894</v>
      </c>
      <c r="J577" t="str">
        <f>IF(ISNUMBER(MATCH($D577,'Lopettaneet 2013-&gt;'!$D:$D,0)),INDEX('Lopettaneet 2013-&gt;'!$K:$K,MATCH($D577,'Lopettaneet 2013-&gt;'!$D:$D,0)),"Jatkaa")</f>
        <v>Jatkaa</v>
      </c>
      <c r="K577">
        <f ca="1">IF($J577="Jatkaa",DATEDIF($B577,TODAY(),"Y"),INDEX('Lopettaneet 2013-&gt;'!$L:$L,MATCH($D577,'Lopettaneet 2013-&gt;'!$D:$D,0)))</f>
        <v>7</v>
      </c>
      <c r="L577">
        <v>576</v>
      </c>
    </row>
    <row r="578" spans="1:12" x14ac:dyDescent="0.25">
      <c r="A578" t="s">
        <v>0</v>
      </c>
      <c r="B578" s="1">
        <v>43191</v>
      </c>
      <c r="C578" s="1">
        <v>43646</v>
      </c>
      <c r="D578" s="4" t="s">
        <v>1360</v>
      </c>
      <c r="E578" t="s">
        <v>3</v>
      </c>
      <c r="F578" t="s">
        <v>4</v>
      </c>
      <c r="G578" t="s">
        <v>20</v>
      </c>
      <c r="H578" t="s">
        <v>2763</v>
      </c>
      <c r="I578" t="s">
        <v>2763</v>
      </c>
      <c r="J578" t="str">
        <f>IF(ISNUMBER(MATCH($D578,'Lopettaneet 2013-&gt;'!$D:$D,0)),INDEX('Lopettaneet 2013-&gt;'!$K:$K,MATCH($D578,'Lopettaneet 2013-&gt;'!$D:$D,0)),"Jatkaa")</f>
        <v>Closed</v>
      </c>
      <c r="K578">
        <f ca="1">IF($J578="Jatkaa",DATEDIF($B578,TODAY(),"Y"),INDEX('Lopettaneet 2013-&gt;'!$L:$L,MATCH($D578,'Lopettaneet 2013-&gt;'!$D:$D,0)))</f>
        <v>1</v>
      </c>
      <c r="L578">
        <v>577</v>
      </c>
    </row>
    <row r="579" spans="1:12" x14ac:dyDescent="0.25">
      <c r="A579" t="s">
        <v>0</v>
      </c>
      <c r="B579" s="1">
        <v>43070</v>
      </c>
      <c r="C579" s="1">
        <v>44196</v>
      </c>
      <c r="D579" s="4" t="s">
        <v>1362</v>
      </c>
      <c r="E579" t="s">
        <v>3</v>
      </c>
      <c r="F579" t="s">
        <v>4</v>
      </c>
      <c r="G579" t="s">
        <v>50</v>
      </c>
      <c r="H579" t="s">
        <v>2763</v>
      </c>
      <c r="I579" t="s">
        <v>2763</v>
      </c>
      <c r="J579" t="str">
        <f>IF(ISNUMBER(MATCH($D579,'Lopettaneet 2013-&gt;'!$D:$D,0)),INDEX('Lopettaneet 2013-&gt;'!$K:$K,MATCH($D579,'Lopettaneet 2013-&gt;'!$D:$D,0)),"Jatkaa")</f>
        <v>Closed</v>
      </c>
      <c r="K579">
        <f ca="1">IF($J579="Jatkaa",DATEDIF($B579,TODAY(),"Y"),INDEX('Lopettaneet 2013-&gt;'!$L:$L,MATCH($D579,'Lopettaneet 2013-&gt;'!$D:$D,0)))</f>
        <v>3</v>
      </c>
      <c r="L579">
        <v>578</v>
      </c>
    </row>
    <row r="580" spans="1:12" x14ac:dyDescent="0.25">
      <c r="A580" t="s">
        <v>0</v>
      </c>
      <c r="B580" s="1">
        <v>43070</v>
      </c>
      <c r="C580" s="1">
        <v>55153</v>
      </c>
      <c r="D580" s="4" t="s">
        <v>1364</v>
      </c>
      <c r="E580" t="s">
        <v>3</v>
      </c>
      <c r="F580" t="s">
        <v>4</v>
      </c>
      <c r="G580" t="s">
        <v>50</v>
      </c>
      <c r="H580" t="s">
        <v>2767</v>
      </c>
      <c r="I580" t="s">
        <v>2894</v>
      </c>
      <c r="J580" t="str">
        <f>IF(ISNUMBER(MATCH($D580,'Lopettaneet 2013-&gt;'!$D:$D,0)),INDEX('Lopettaneet 2013-&gt;'!$K:$K,MATCH($D580,'Lopettaneet 2013-&gt;'!$D:$D,0)),"Jatkaa")</f>
        <v>Jatkaa</v>
      </c>
      <c r="K580">
        <f ca="1">IF($J580="Jatkaa",DATEDIF($B580,TODAY(),"Y"),INDEX('Lopettaneet 2013-&gt;'!$L:$L,MATCH($D580,'Lopettaneet 2013-&gt;'!$D:$D,0)))</f>
        <v>7</v>
      </c>
      <c r="L580">
        <v>579</v>
      </c>
    </row>
    <row r="581" spans="1:12" x14ac:dyDescent="0.25">
      <c r="A581" t="s">
        <v>0</v>
      </c>
      <c r="B581" s="1">
        <v>43070</v>
      </c>
      <c r="C581" s="1">
        <v>55153</v>
      </c>
      <c r="D581" s="4" t="s">
        <v>1366</v>
      </c>
      <c r="E581" t="s">
        <v>3</v>
      </c>
      <c r="F581" t="s">
        <v>4</v>
      </c>
      <c r="G581" t="s">
        <v>5</v>
      </c>
      <c r="H581" t="s">
        <v>2767</v>
      </c>
      <c r="I581" t="s">
        <v>2894</v>
      </c>
      <c r="J581" t="str">
        <f>IF(ISNUMBER(MATCH($D581,'Lopettaneet 2013-&gt;'!$D:$D,0)),INDEX('Lopettaneet 2013-&gt;'!$K:$K,MATCH($D581,'Lopettaneet 2013-&gt;'!$D:$D,0)),"Jatkaa")</f>
        <v>Jatkaa</v>
      </c>
      <c r="K581">
        <f ca="1">IF($J581="Jatkaa",DATEDIF($B581,TODAY(),"Y"),INDEX('Lopettaneet 2013-&gt;'!$L:$L,MATCH($D581,'Lopettaneet 2013-&gt;'!$D:$D,0)))</f>
        <v>7</v>
      </c>
      <c r="L581">
        <v>580</v>
      </c>
    </row>
    <row r="582" spans="1:12" x14ac:dyDescent="0.25">
      <c r="A582" t="s">
        <v>0</v>
      </c>
      <c r="B582" s="1">
        <v>43070</v>
      </c>
      <c r="C582" s="1">
        <v>55153</v>
      </c>
      <c r="D582" s="4" t="s">
        <v>1368</v>
      </c>
      <c r="E582" t="s">
        <v>3</v>
      </c>
      <c r="F582" t="s">
        <v>4</v>
      </c>
      <c r="G582" t="s">
        <v>20</v>
      </c>
      <c r="H582" t="s">
        <v>2767</v>
      </c>
      <c r="I582" t="s">
        <v>2894</v>
      </c>
      <c r="J582" t="str">
        <f>IF(ISNUMBER(MATCH($D582,'Lopettaneet 2013-&gt;'!$D:$D,0)),INDEX('Lopettaneet 2013-&gt;'!$K:$K,MATCH($D582,'Lopettaneet 2013-&gt;'!$D:$D,0)),"Jatkaa")</f>
        <v>Jatkaa</v>
      </c>
      <c r="K582">
        <f ca="1">IF($J582="Jatkaa",DATEDIF($B582,TODAY(),"Y"),INDEX('Lopettaneet 2013-&gt;'!$L:$L,MATCH($D582,'Lopettaneet 2013-&gt;'!$D:$D,0)))</f>
        <v>7</v>
      </c>
      <c r="L582">
        <v>581</v>
      </c>
    </row>
    <row r="583" spans="1:12" x14ac:dyDescent="0.25">
      <c r="A583" t="s">
        <v>0</v>
      </c>
      <c r="B583" s="1">
        <v>43070</v>
      </c>
      <c r="C583" s="1">
        <v>55153</v>
      </c>
      <c r="D583" s="4" t="s">
        <v>1370</v>
      </c>
      <c r="E583" t="s">
        <v>3</v>
      </c>
      <c r="F583" t="s">
        <v>4</v>
      </c>
      <c r="G583" t="s">
        <v>20</v>
      </c>
      <c r="H583" t="s">
        <v>2767</v>
      </c>
      <c r="I583" t="s">
        <v>2894</v>
      </c>
      <c r="J583" t="str">
        <f>IF(ISNUMBER(MATCH($D583,'Lopettaneet 2013-&gt;'!$D:$D,0)),INDEX('Lopettaneet 2013-&gt;'!$K:$K,MATCH($D583,'Lopettaneet 2013-&gt;'!$D:$D,0)),"Jatkaa")</f>
        <v>Jatkaa</v>
      </c>
      <c r="K583">
        <f ca="1">IF($J583="Jatkaa",DATEDIF($B583,TODAY(),"Y"),INDEX('Lopettaneet 2013-&gt;'!$L:$L,MATCH($D583,'Lopettaneet 2013-&gt;'!$D:$D,0)))</f>
        <v>7</v>
      </c>
      <c r="L583">
        <v>582</v>
      </c>
    </row>
    <row r="584" spans="1:12" x14ac:dyDescent="0.25">
      <c r="A584" t="s">
        <v>7</v>
      </c>
      <c r="B584" s="1">
        <v>43160</v>
      </c>
      <c r="C584" s="1">
        <v>55153</v>
      </c>
      <c r="D584" s="4" t="s">
        <v>1372</v>
      </c>
      <c r="E584" t="s">
        <v>10</v>
      </c>
      <c r="F584" t="s">
        <v>11</v>
      </c>
      <c r="G584" t="s">
        <v>12</v>
      </c>
      <c r="H584" t="s">
        <v>2847</v>
      </c>
      <c r="I584" t="s">
        <v>2895</v>
      </c>
      <c r="J584" t="str">
        <f>IF(ISNUMBER(MATCH($D584,'Lopettaneet 2013-&gt;'!$D:$D,0)),INDEX('Lopettaneet 2013-&gt;'!$K:$K,MATCH($D584,'Lopettaneet 2013-&gt;'!$D:$D,0)),"Jatkaa")</f>
        <v>Jatkaa</v>
      </c>
      <c r="K584">
        <f ca="1">IF($J584="Jatkaa",DATEDIF($B584,TODAY(),"Y"),INDEX('Lopettaneet 2013-&gt;'!$L:$L,MATCH($D584,'Lopettaneet 2013-&gt;'!$D:$D,0)))</f>
        <v>7</v>
      </c>
      <c r="L584">
        <v>583</v>
      </c>
    </row>
    <row r="585" spans="1:12" x14ac:dyDescent="0.25">
      <c r="A585" t="s">
        <v>0</v>
      </c>
      <c r="B585" s="1">
        <v>43132</v>
      </c>
      <c r="C585" s="1">
        <v>55153</v>
      </c>
      <c r="D585" s="4" t="s">
        <v>1374</v>
      </c>
      <c r="E585" t="s">
        <v>3</v>
      </c>
      <c r="F585" t="s">
        <v>4</v>
      </c>
      <c r="G585" t="s">
        <v>20</v>
      </c>
      <c r="H585" t="s">
        <v>2844</v>
      </c>
      <c r="I585" t="s">
        <v>2894</v>
      </c>
      <c r="J585" t="str">
        <f>IF(ISNUMBER(MATCH($D585,'Lopettaneet 2013-&gt;'!$D:$D,0)),INDEX('Lopettaneet 2013-&gt;'!$K:$K,MATCH($D585,'Lopettaneet 2013-&gt;'!$D:$D,0)),"Jatkaa")</f>
        <v>Jatkaa</v>
      </c>
      <c r="K585">
        <f ca="1">IF($J585="Jatkaa",DATEDIF($B585,TODAY(),"Y"),INDEX('Lopettaneet 2013-&gt;'!$L:$L,MATCH($D585,'Lopettaneet 2013-&gt;'!$D:$D,0)))</f>
        <v>7</v>
      </c>
      <c r="L585">
        <v>584</v>
      </c>
    </row>
    <row r="586" spans="1:12" x14ac:dyDescent="0.25">
      <c r="A586" t="s">
        <v>7</v>
      </c>
      <c r="B586" s="1">
        <v>43040</v>
      </c>
      <c r="C586" s="1">
        <v>55153</v>
      </c>
      <c r="D586" s="4" t="s">
        <v>1376</v>
      </c>
      <c r="E586" t="s">
        <v>10</v>
      </c>
      <c r="F586" t="s">
        <v>11</v>
      </c>
      <c r="G586" t="s">
        <v>29</v>
      </c>
      <c r="H586" t="s">
        <v>2765</v>
      </c>
      <c r="I586" t="s">
        <v>2895</v>
      </c>
      <c r="J586" t="str">
        <f>IF(ISNUMBER(MATCH($D586,'Lopettaneet 2013-&gt;'!$D:$D,0)),INDEX('Lopettaneet 2013-&gt;'!$K:$K,MATCH($D586,'Lopettaneet 2013-&gt;'!$D:$D,0)),"Jatkaa")</f>
        <v>Jatkaa</v>
      </c>
      <c r="K586">
        <f ca="1">IF($J586="Jatkaa",DATEDIF($B586,TODAY(),"Y"),INDEX('Lopettaneet 2013-&gt;'!$L:$L,MATCH($D586,'Lopettaneet 2013-&gt;'!$D:$D,0)))</f>
        <v>7</v>
      </c>
      <c r="L586">
        <v>585</v>
      </c>
    </row>
    <row r="587" spans="1:12" x14ac:dyDescent="0.25">
      <c r="A587" t="s">
        <v>7</v>
      </c>
      <c r="B587" s="1">
        <v>43525</v>
      </c>
      <c r="C587" s="1">
        <v>55153</v>
      </c>
      <c r="D587" s="4" t="s">
        <v>1378</v>
      </c>
      <c r="E587" t="s">
        <v>10</v>
      </c>
      <c r="F587" t="s">
        <v>11</v>
      </c>
      <c r="G587" t="s">
        <v>32</v>
      </c>
      <c r="H587" t="s">
        <v>2844</v>
      </c>
      <c r="I587" t="s">
        <v>2895</v>
      </c>
      <c r="J587" t="str">
        <f>IF(ISNUMBER(MATCH($D587,'Lopettaneet 2013-&gt;'!$D:$D,0)),INDEX('Lopettaneet 2013-&gt;'!$K:$K,MATCH($D587,'Lopettaneet 2013-&gt;'!$D:$D,0)),"Jatkaa")</f>
        <v>Jatkaa</v>
      </c>
      <c r="K587">
        <f ca="1">IF($J587="Jatkaa",DATEDIF($B587,TODAY(),"Y"),INDEX('Lopettaneet 2013-&gt;'!$L:$L,MATCH($D587,'Lopettaneet 2013-&gt;'!$D:$D,0)))</f>
        <v>6</v>
      </c>
      <c r="L587">
        <v>586</v>
      </c>
    </row>
    <row r="588" spans="1:12" x14ac:dyDescent="0.25">
      <c r="A588" t="s">
        <v>0</v>
      </c>
      <c r="B588" s="1">
        <v>43101</v>
      </c>
      <c r="C588" s="1">
        <v>55153</v>
      </c>
      <c r="D588" s="4" t="s">
        <v>1380</v>
      </c>
      <c r="E588" t="s">
        <v>3</v>
      </c>
      <c r="F588" t="s">
        <v>4</v>
      </c>
      <c r="G588" t="s">
        <v>50</v>
      </c>
      <c r="H588" t="s">
        <v>2764</v>
      </c>
      <c r="I588" t="s">
        <v>2894</v>
      </c>
      <c r="J588" t="str">
        <f>IF(ISNUMBER(MATCH($D588,'Lopettaneet 2013-&gt;'!$D:$D,0)),INDEX('Lopettaneet 2013-&gt;'!$K:$K,MATCH($D588,'Lopettaneet 2013-&gt;'!$D:$D,0)),"Jatkaa")</f>
        <v>Merged</v>
      </c>
      <c r="K588">
        <f ca="1">IF($J588="Jatkaa",DATEDIF($B588,TODAY(),"Y"),INDEX('Lopettaneet 2013-&gt;'!$L:$L,MATCH($D588,'Lopettaneet 2013-&gt;'!$D:$D,0)))</f>
        <v>6</v>
      </c>
      <c r="L588">
        <v>587</v>
      </c>
    </row>
    <row r="589" spans="1:12" x14ac:dyDescent="0.25">
      <c r="A589" t="s">
        <v>0</v>
      </c>
      <c r="B589" s="1">
        <v>43070</v>
      </c>
      <c r="C589" s="1">
        <v>55153</v>
      </c>
      <c r="D589" s="4" t="s">
        <v>1382</v>
      </c>
      <c r="E589" t="s">
        <v>10</v>
      </c>
      <c r="F589" t="s">
        <v>4</v>
      </c>
      <c r="G589" t="s">
        <v>20</v>
      </c>
      <c r="H589" t="s">
        <v>2766</v>
      </c>
      <c r="I589" t="s">
        <v>2894</v>
      </c>
      <c r="J589" t="str">
        <f>IF(ISNUMBER(MATCH($D589,'Lopettaneet 2013-&gt;'!$D:$D,0)),INDEX('Lopettaneet 2013-&gt;'!$K:$K,MATCH($D589,'Lopettaneet 2013-&gt;'!$D:$D,0)),"Jatkaa")</f>
        <v>Jatkaa</v>
      </c>
      <c r="K589">
        <f ca="1">IF($J589="Jatkaa",DATEDIF($B589,TODAY(),"Y"),INDEX('Lopettaneet 2013-&gt;'!$L:$L,MATCH($D589,'Lopettaneet 2013-&gt;'!$D:$D,0)))</f>
        <v>7</v>
      </c>
      <c r="L589">
        <v>588</v>
      </c>
    </row>
    <row r="590" spans="1:12" x14ac:dyDescent="0.25">
      <c r="A590" t="s">
        <v>7</v>
      </c>
      <c r="B590" s="1">
        <v>43252</v>
      </c>
      <c r="C590" s="1">
        <v>55153</v>
      </c>
      <c r="D590" s="4" t="s">
        <v>1384</v>
      </c>
      <c r="E590" t="s">
        <v>10</v>
      </c>
      <c r="F590" t="s">
        <v>11</v>
      </c>
      <c r="G590" t="s">
        <v>12</v>
      </c>
      <c r="H590" t="s">
        <v>2766</v>
      </c>
      <c r="I590" t="s">
        <v>2895</v>
      </c>
      <c r="J590" t="str">
        <f>IF(ISNUMBER(MATCH($D590,'Lopettaneet 2013-&gt;'!$D:$D,0)),INDEX('Lopettaneet 2013-&gt;'!$K:$K,MATCH($D590,'Lopettaneet 2013-&gt;'!$D:$D,0)),"Jatkaa")</f>
        <v>Jatkaa</v>
      </c>
      <c r="K590">
        <f ca="1">IF($J590="Jatkaa",DATEDIF($B590,TODAY(),"Y"),INDEX('Lopettaneet 2013-&gt;'!$L:$L,MATCH($D590,'Lopettaneet 2013-&gt;'!$D:$D,0)))</f>
        <v>6</v>
      </c>
      <c r="L590">
        <v>589</v>
      </c>
    </row>
    <row r="591" spans="1:12" x14ac:dyDescent="0.25">
      <c r="A591" t="s">
        <v>0</v>
      </c>
      <c r="B591" s="1">
        <v>43221</v>
      </c>
      <c r="C591" s="1">
        <v>55153</v>
      </c>
      <c r="D591" s="4" t="s">
        <v>1386</v>
      </c>
      <c r="E591" t="s">
        <v>10</v>
      </c>
      <c r="F591" t="s">
        <v>11</v>
      </c>
      <c r="G591" t="s">
        <v>20</v>
      </c>
      <c r="H591" t="s">
        <v>2766</v>
      </c>
      <c r="I591" t="s">
        <v>2895</v>
      </c>
      <c r="J591" t="str">
        <f>IF(ISNUMBER(MATCH($D591,'Lopettaneet 2013-&gt;'!$D:$D,0)),INDEX('Lopettaneet 2013-&gt;'!$K:$K,MATCH($D591,'Lopettaneet 2013-&gt;'!$D:$D,0)),"Jatkaa")</f>
        <v>Jatkaa</v>
      </c>
      <c r="K591">
        <f ca="1">IF($J591="Jatkaa",DATEDIF($B591,TODAY(),"Y"),INDEX('Lopettaneet 2013-&gt;'!$L:$L,MATCH($D591,'Lopettaneet 2013-&gt;'!$D:$D,0)))</f>
        <v>7</v>
      </c>
      <c r="L591">
        <v>590</v>
      </c>
    </row>
    <row r="592" spans="1:12" x14ac:dyDescent="0.25">
      <c r="A592" t="s">
        <v>7</v>
      </c>
      <c r="B592" s="1">
        <v>43160</v>
      </c>
      <c r="C592" s="1">
        <v>55153</v>
      </c>
      <c r="D592" s="4" t="s">
        <v>1388</v>
      </c>
      <c r="E592" t="s">
        <v>10</v>
      </c>
      <c r="F592" t="s">
        <v>11</v>
      </c>
      <c r="G592" t="s">
        <v>80</v>
      </c>
      <c r="H592" t="s">
        <v>2820</v>
      </c>
      <c r="I592" t="s">
        <v>2895</v>
      </c>
      <c r="J592" t="str">
        <f>IF(ISNUMBER(MATCH($D592,'Lopettaneet 2013-&gt;'!$D:$D,0)),INDEX('Lopettaneet 2013-&gt;'!$K:$K,MATCH($D592,'Lopettaneet 2013-&gt;'!$D:$D,0)),"Jatkaa")</f>
        <v>Jatkaa</v>
      </c>
      <c r="K592">
        <f ca="1">IF($J592="Jatkaa",DATEDIF($B592,TODAY(),"Y"),INDEX('Lopettaneet 2013-&gt;'!$L:$L,MATCH($D592,'Lopettaneet 2013-&gt;'!$D:$D,0)))</f>
        <v>7</v>
      </c>
      <c r="L592">
        <v>591</v>
      </c>
    </row>
    <row r="593" spans="1:12" x14ac:dyDescent="0.25">
      <c r="A593" t="s">
        <v>0</v>
      </c>
      <c r="B593" s="1">
        <v>43191</v>
      </c>
      <c r="C593" s="1">
        <v>55153</v>
      </c>
      <c r="D593" s="4" t="s">
        <v>1390</v>
      </c>
      <c r="E593" t="s">
        <v>10</v>
      </c>
      <c r="F593" t="s">
        <v>11</v>
      </c>
      <c r="G593" t="s">
        <v>29</v>
      </c>
      <c r="H593" t="s">
        <v>2777</v>
      </c>
      <c r="I593" t="s">
        <v>2895</v>
      </c>
      <c r="J593" t="str">
        <f>IF(ISNUMBER(MATCH($D593,'Lopettaneet 2013-&gt;'!$D:$D,0)),INDEX('Lopettaneet 2013-&gt;'!$K:$K,MATCH($D593,'Lopettaneet 2013-&gt;'!$D:$D,0)),"Jatkaa")</f>
        <v>Jatkaa</v>
      </c>
      <c r="K593">
        <f ca="1">IF($J593="Jatkaa",DATEDIF($B593,TODAY(),"Y"),INDEX('Lopettaneet 2013-&gt;'!$L:$L,MATCH($D593,'Lopettaneet 2013-&gt;'!$D:$D,0)))</f>
        <v>7</v>
      </c>
      <c r="L593">
        <v>592</v>
      </c>
    </row>
    <row r="594" spans="1:12" x14ac:dyDescent="0.25">
      <c r="A594" t="s">
        <v>7</v>
      </c>
      <c r="B594" s="1">
        <v>43891</v>
      </c>
      <c r="C594" s="1">
        <v>55153</v>
      </c>
      <c r="D594" s="4" t="s">
        <v>1392</v>
      </c>
      <c r="E594" t="s">
        <v>10</v>
      </c>
      <c r="F594" t="s">
        <v>11</v>
      </c>
      <c r="G594" t="s">
        <v>29</v>
      </c>
      <c r="H594" t="s">
        <v>2765</v>
      </c>
      <c r="I594" t="s">
        <v>2895</v>
      </c>
      <c r="J594" t="str">
        <f>IF(ISNUMBER(MATCH($D594,'Lopettaneet 2013-&gt;'!$D:$D,0)),INDEX('Lopettaneet 2013-&gt;'!$K:$K,MATCH($D594,'Lopettaneet 2013-&gt;'!$D:$D,0)),"Jatkaa")</f>
        <v>Jatkaa</v>
      </c>
      <c r="K594">
        <f ca="1">IF($J594="Jatkaa",DATEDIF($B594,TODAY(),"Y"),INDEX('Lopettaneet 2013-&gt;'!$L:$L,MATCH($D594,'Lopettaneet 2013-&gt;'!$D:$D,0)))</f>
        <v>5</v>
      </c>
      <c r="L594">
        <v>593</v>
      </c>
    </row>
    <row r="595" spans="1:12" x14ac:dyDescent="0.25">
      <c r="A595" t="s">
        <v>0</v>
      </c>
      <c r="B595" s="1">
        <v>43101</v>
      </c>
      <c r="C595" s="1">
        <v>55153</v>
      </c>
      <c r="D595" s="4" t="s">
        <v>1394</v>
      </c>
      <c r="E595" t="s">
        <v>3</v>
      </c>
      <c r="F595" t="s">
        <v>4</v>
      </c>
      <c r="G595" t="s">
        <v>50</v>
      </c>
      <c r="H595" t="s">
        <v>2777</v>
      </c>
      <c r="I595" t="s">
        <v>2894</v>
      </c>
      <c r="J595" t="str">
        <f>IF(ISNUMBER(MATCH($D595,'Lopettaneet 2013-&gt;'!$D:$D,0)),INDEX('Lopettaneet 2013-&gt;'!$K:$K,MATCH($D595,'Lopettaneet 2013-&gt;'!$D:$D,0)),"Jatkaa")</f>
        <v>Jatkaa</v>
      </c>
      <c r="K595">
        <f ca="1">IF($J595="Jatkaa",DATEDIF($B595,TODAY(),"Y"),INDEX('Lopettaneet 2013-&gt;'!$L:$L,MATCH($D595,'Lopettaneet 2013-&gt;'!$D:$D,0)))</f>
        <v>7</v>
      </c>
      <c r="L595">
        <v>594</v>
      </c>
    </row>
    <row r="596" spans="1:12" x14ac:dyDescent="0.25">
      <c r="A596" t="s">
        <v>0</v>
      </c>
      <c r="B596" s="1">
        <v>43101</v>
      </c>
      <c r="C596" s="1">
        <v>55153</v>
      </c>
      <c r="D596" s="4" t="s">
        <v>1396</v>
      </c>
      <c r="E596" t="s">
        <v>3</v>
      </c>
      <c r="F596" t="s">
        <v>4</v>
      </c>
      <c r="G596" t="s">
        <v>5</v>
      </c>
      <c r="H596" t="s">
        <v>2777</v>
      </c>
      <c r="I596" t="s">
        <v>2894</v>
      </c>
      <c r="J596" t="str">
        <f>IF(ISNUMBER(MATCH($D596,'Lopettaneet 2013-&gt;'!$D:$D,0)),INDEX('Lopettaneet 2013-&gt;'!$K:$K,MATCH($D596,'Lopettaneet 2013-&gt;'!$D:$D,0)),"Jatkaa")</f>
        <v>Jatkaa</v>
      </c>
      <c r="K596">
        <f ca="1">IF($J596="Jatkaa",DATEDIF($B596,TODAY(),"Y"),INDEX('Lopettaneet 2013-&gt;'!$L:$L,MATCH($D596,'Lopettaneet 2013-&gt;'!$D:$D,0)))</f>
        <v>7</v>
      </c>
      <c r="L596">
        <v>595</v>
      </c>
    </row>
    <row r="597" spans="1:12" x14ac:dyDescent="0.25">
      <c r="A597" t="s">
        <v>0</v>
      </c>
      <c r="B597" s="1">
        <v>43101</v>
      </c>
      <c r="C597" s="1">
        <v>55153</v>
      </c>
      <c r="D597" s="4" t="s">
        <v>1398</v>
      </c>
      <c r="E597" t="s">
        <v>3</v>
      </c>
      <c r="F597" t="s">
        <v>4</v>
      </c>
      <c r="G597" t="s">
        <v>20</v>
      </c>
      <c r="H597" t="s">
        <v>2777</v>
      </c>
      <c r="I597" t="s">
        <v>2894</v>
      </c>
      <c r="J597" t="str">
        <f>IF(ISNUMBER(MATCH($D597,'Lopettaneet 2013-&gt;'!$D:$D,0)),INDEX('Lopettaneet 2013-&gt;'!$K:$K,MATCH($D597,'Lopettaneet 2013-&gt;'!$D:$D,0)),"Jatkaa")</f>
        <v>Jatkaa</v>
      </c>
      <c r="K597">
        <f ca="1">IF($J597="Jatkaa",DATEDIF($B597,TODAY(),"Y"),INDEX('Lopettaneet 2013-&gt;'!$L:$L,MATCH($D597,'Lopettaneet 2013-&gt;'!$D:$D,0)))</f>
        <v>7</v>
      </c>
      <c r="L597">
        <v>596</v>
      </c>
    </row>
    <row r="598" spans="1:12" x14ac:dyDescent="0.25">
      <c r="A598" t="s">
        <v>7</v>
      </c>
      <c r="B598" s="1">
        <v>43160</v>
      </c>
      <c r="C598" s="1">
        <v>43830</v>
      </c>
      <c r="D598" s="4" t="s">
        <v>1400</v>
      </c>
      <c r="E598" t="s">
        <v>10</v>
      </c>
      <c r="F598" t="s">
        <v>11</v>
      </c>
      <c r="G598" t="s">
        <v>32</v>
      </c>
      <c r="H598" t="s">
        <v>2763</v>
      </c>
      <c r="I598" t="s">
        <v>2763</v>
      </c>
      <c r="J598" t="str">
        <f>IF(ISNUMBER(MATCH($D598,'Lopettaneet 2013-&gt;'!$D:$D,0)),INDEX('Lopettaneet 2013-&gt;'!$K:$K,MATCH($D598,'Lopettaneet 2013-&gt;'!$D:$D,0)),"Jatkaa")</f>
        <v>Closed</v>
      </c>
      <c r="K598">
        <f ca="1">IF($J598="Jatkaa",DATEDIF($B598,TODAY(),"Y"),INDEX('Lopettaneet 2013-&gt;'!$L:$L,MATCH($D598,'Lopettaneet 2013-&gt;'!$D:$D,0)))</f>
        <v>1</v>
      </c>
      <c r="L598">
        <v>597</v>
      </c>
    </row>
    <row r="599" spans="1:12" x14ac:dyDescent="0.25">
      <c r="A599" t="s">
        <v>7</v>
      </c>
      <c r="B599" s="1">
        <v>43160</v>
      </c>
      <c r="C599" s="1">
        <v>43830</v>
      </c>
      <c r="D599" s="4" t="s">
        <v>1402</v>
      </c>
      <c r="E599" t="s">
        <v>10</v>
      </c>
      <c r="F599" t="s">
        <v>11</v>
      </c>
      <c r="G599" t="s">
        <v>32</v>
      </c>
      <c r="H599" t="s">
        <v>2763</v>
      </c>
      <c r="I599" t="s">
        <v>2763</v>
      </c>
      <c r="J599" t="str">
        <f>IF(ISNUMBER(MATCH($D599,'Lopettaneet 2013-&gt;'!$D:$D,0)),INDEX('Lopettaneet 2013-&gt;'!$K:$K,MATCH($D599,'Lopettaneet 2013-&gt;'!$D:$D,0)),"Jatkaa")</f>
        <v>Closed</v>
      </c>
      <c r="K599">
        <f ca="1">IF($J599="Jatkaa",DATEDIF($B599,TODAY(),"Y"),INDEX('Lopettaneet 2013-&gt;'!$L:$L,MATCH($D599,'Lopettaneet 2013-&gt;'!$D:$D,0)))</f>
        <v>1</v>
      </c>
      <c r="L599">
        <v>598</v>
      </c>
    </row>
    <row r="600" spans="1:12" x14ac:dyDescent="0.25">
      <c r="A600" t="s">
        <v>7</v>
      </c>
      <c r="B600" s="1">
        <v>43160</v>
      </c>
      <c r="C600" s="1">
        <v>55153</v>
      </c>
      <c r="D600" s="4" t="s">
        <v>1404</v>
      </c>
      <c r="E600" t="s">
        <v>10</v>
      </c>
      <c r="F600" t="s">
        <v>11</v>
      </c>
      <c r="G600" t="s">
        <v>32</v>
      </c>
      <c r="H600" t="s">
        <v>2771</v>
      </c>
      <c r="I600" t="s">
        <v>2894</v>
      </c>
      <c r="J600" t="str">
        <f>IF(ISNUMBER(MATCH($D600,'Lopettaneet 2013-&gt;'!$D:$D,0)),INDEX('Lopettaneet 2013-&gt;'!$K:$K,MATCH($D600,'Lopettaneet 2013-&gt;'!$D:$D,0)),"Jatkaa")</f>
        <v>Jatkaa</v>
      </c>
      <c r="K600">
        <f ca="1">IF($J600="Jatkaa",DATEDIF($B600,TODAY(),"Y"),INDEX('Lopettaneet 2013-&gt;'!$L:$L,MATCH($D600,'Lopettaneet 2013-&gt;'!$D:$D,0)))</f>
        <v>7</v>
      </c>
      <c r="L600">
        <v>599</v>
      </c>
    </row>
    <row r="601" spans="1:12" x14ac:dyDescent="0.25">
      <c r="A601" t="s">
        <v>7</v>
      </c>
      <c r="B601" s="1">
        <v>43160</v>
      </c>
      <c r="C601" s="1">
        <v>55153</v>
      </c>
      <c r="D601" s="4" t="s">
        <v>1406</v>
      </c>
      <c r="E601" t="s">
        <v>10</v>
      </c>
      <c r="F601" t="s">
        <v>11</v>
      </c>
      <c r="G601" t="s">
        <v>32</v>
      </c>
      <c r="H601" t="s">
        <v>2771</v>
      </c>
      <c r="I601" t="s">
        <v>2894</v>
      </c>
      <c r="J601" t="str">
        <f>IF(ISNUMBER(MATCH($D601,'Lopettaneet 2013-&gt;'!$D:$D,0)),INDEX('Lopettaneet 2013-&gt;'!$K:$K,MATCH($D601,'Lopettaneet 2013-&gt;'!$D:$D,0)),"Jatkaa")</f>
        <v>Jatkaa</v>
      </c>
      <c r="K601">
        <f ca="1">IF($J601="Jatkaa",DATEDIF($B601,TODAY(),"Y"),INDEX('Lopettaneet 2013-&gt;'!$L:$L,MATCH($D601,'Lopettaneet 2013-&gt;'!$D:$D,0)))</f>
        <v>7</v>
      </c>
      <c r="L601">
        <v>600</v>
      </c>
    </row>
    <row r="602" spans="1:12" x14ac:dyDescent="0.25">
      <c r="A602" t="s">
        <v>0</v>
      </c>
      <c r="B602" s="1">
        <v>43160</v>
      </c>
      <c r="C602" s="1">
        <v>55153</v>
      </c>
      <c r="D602" s="4" t="s">
        <v>1408</v>
      </c>
      <c r="E602" t="s">
        <v>10</v>
      </c>
      <c r="F602" t="s">
        <v>11</v>
      </c>
      <c r="G602" t="s">
        <v>32</v>
      </c>
      <c r="H602" t="s">
        <v>2771</v>
      </c>
      <c r="I602" t="s">
        <v>2895</v>
      </c>
      <c r="J602" t="str">
        <f>IF(ISNUMBER(MATCH($D602,'Lopettaneet 2013-&gt;'!$D:$D,0)),INDEX('Lopettaneet 2013-&gt;'!$K:$K,MATCH($D602,'Lopettaneet 2013-&gt;'!$D:$D,0)),"Jatkaa")</f>
        <v>Jatkaa</v>
      </c>
      <c r="K602">
        <f ca="1">IF($J602="Jatkaa",DATEDIF($B602,TODAY(),"Y"),INDEX('Lopettaneet 2013-&gt;'!$L:$L,MATCH($D602,'Lopettaneet 2013-&gt;'!$D:$D,0)))</f>
        <v>7</v>
      </c>
      <c r="L602">
        <v>601</v>
      </c>
    </row>
    <row r="603" spans="1:12" x14ac:dyDescent="0.25">
      <c r="A603" t="s">
        <v>0</v>
      </c>
      <c r="B603" s="1">
        <v>43221</v>
      </c>
      <c r="C603" s="1">
        <v>55153</v>
      </c>
      <c r="D603" s="4" t="s">
        <v>1410</v>
      </c>
      <c r="E603" t="s">
        <v>10</v>
      </c>
      <c r="F603" t="s">
        <v>4</v>
      </c>
      <c r="G603" t="s">
        <v>47</v>
      </c>
      <c r="H603" t="s">
        <v>2764</v>
      </c>
      <c r="I603" t="s">
        <v>2894</v>
      </c>
      <c r="J603" t="str">
        <f>IF(ISNUMBER(MATCH($D603,'Lopettaneet 2013-&gt;'!$D:$D,0)),INDEX('Lopettaneet 2013-&gt;'!$K:$K,MATCH($D603,'Lopettaneet 2013-&gt;'!$D:$D,0)),"Jatkaa")</f>
        <v>Jatkaa</v>
      </c>
      <c r="K603">
        <f ca="1">IF($J603="Jatkaa",DATEDIF($B603,TODAY(),"Y"),INDEX('Lopettaneet 2013-&gt;'!$L:$L,MATCH($D603,'Lopettaneet 2013-&gt;'!$D:$D,0)))</f>
        <v>7</v>
      </c>
      <c r="L603">
        <v>602</v>
      </c>
    </row>
    <row r="604" spans="1:12" x14ac:dyDescent="0.25">
      <c r="A604" t="s">
        <v>7</v>
      </c>
      <c r="B604" s="1">
        <v>43891</v>
      </c>
      <c r="C604" s="1">
        <v>55153</v>
      </c>
      <c r="D604" s="4" t="s">
        <v>1412</v>
      </c>
      <c r="E604" t="s">
        <v>10</v>
      </c>
      <c r="F604" t="s">
        <v>11</v>
      </c>
      <c r="G604" t="s">
        <v>80</v>
      </c>
      <c r="H604" t="s">
        <v>2850</v>
      </c>
      <c r="I604" t="s">
        <v>2895</v>
      </c>
      <c r="J604" t="str">
        <f>IF(ISNUMBER(MATCH($D604,'Lopettaneet 2013-&gt;'!$D:$D,0)),INDEX('Lopettaneet 2013-&gt;'!$K:$K,MATCH($D604,'Lopettaneet 2013-&gt;'!$D:$D,0)),"Jatkaa")</f>
        <v>Jatkaa</v>
      </c>
      <c r="K604">
        <f ca="1">IF($J604="Jatkaa",DATEDIF($B604,TODAY(),"Y"),INDEX('Lopettaneet 2013-&gt;'!$L:$L,MATCH($D604,'Lopettaneet 2013-&gt;'!$D:$D,0)))</f>
        <v>5</v>
      </c>
      <c r="L604">
        <v>603</v>
      </c>
    </row>
    <row r="605" spans="1:12" x14ac:dyDescent="0.25">
      <c r="A605" t="s">
        <v>0</v>
      </c>
      <c r="B605" s="1">
        <v>43221</v>
      </c>
      <c r="C605" s="1">
        <v>55153</v>
      </c>
      <c r="D605" s="4" t="s">
        <v>1414</v>
      </c>
      <c r="E605" t="s">
        <v>10</v>
      </c>
      <c r="F605" t="s">
        <v>11</v>
      </c>
      <c r="G605" t="s">
        <v>20</v>
      </c>
      <c r="H605" t="s">
        <v>2766</v>
      </c>
      <c r="I605" t="s">
        <v>2895</v>
      </c>
      <c r="J605" t="str">
        <f>IF(ISNUMBER(MATCH($D605,'Lopettaneet 2013-&gt;'!$D:$D,0)),INDEX('Lopettaneet 2013-&gt;'!$K:$K,MATCH($D605,'Lopettaneet 2013-&gt;'!$D:$D,0)),"Jatkaa")</f>
        <v>Jatkaa</v>
      </c>
      <c r="K605">
        <f ca="1">IF($J605="Jatkaa",DATEDIF($B605,TODAY(),"Y"),INDEX('Lopettaneet 2013-&gt;'!$L:$L,MATCH($D605,'Lopettaneet 2013-&gt;'!$D:$D,0)))</f>
        <v>7</v>
      </c>
      <c r="L605">
        <v>604</v>
      </c>
    </row>
    <row r="606" spans="1:12" x14ac:dyDescent="0.25">
      <c r="A606" t="s">
        <v>7</v>
      </c>
      <c r="B606" s="1">
        <v>43160</v>
      </c>
      <c r="C606" s="1">
        <v>55153</v>
      </c>
      <c r="D606" s="4" t="s">
        <v>1416</v>
      </c>
      <c r="E606" t="s">
        <v>10</v>
      </c>
      <c r="F606" t="s">
        <v>11</v>
      </c>
      <c r="G606" t="s">
        <v>80</v>
      </c>
      <c r="H606" t="s">
        <v>2820</v>
      </c>
      <c r="I606" t="s">
        <v>2895</v>
      </c>
      <c r="J606" t="str">
        <f>IF(ISNUMBER(MATCH($D606,'Lopettaneet 2013-&gt;'!$D:$D,0)),INDEX('Lopettaneet 2013-&gt;'!$K:$K,MATCH($D606,'Lopettaneet 2013-&gt;'!$D:$D,0)),"Jatkaa")</f>
        <v>Jatkaa</v>
      </c>
      <c r="K606">
        <f ca="1">IF($J606="Jatkaa",DATEDIF($B606,TODAY(),"Y"),INDEX('Lopettaneet 2013-&gt;'!$L:$L,MATCH($D606,'Lopettaneet 2013-&gt;'!$D:$D,0)))</f>
        <v>7</v>
      </c>
      <c r="L606">
        <v>605</v>
      </c>
    </row>
    <row r="607" spans="1:12" x14ac:dyDescent="0.25">
      <c r="A607" t="s">
        <v>0</v>
      </c>
      <c r="B607" s="1">
        <v>43191</v>
      </c>
      <c r="C607" s="1">
        <v>55153</v>
      </c>
      <c r="D607" s="4" t="s">
        <v>1418</v>
      </c>
      <c r="E607" t="s">
        <v>10</v>
      </c>
      <c r="F607" t="s">
        <v>4</v>
      </c>
      <c r="G607" t="s">
        <v>32</v>
      </c>
      <c r="H607" t="s">
        <v>2771</v>
      </c>
      <c r="I607" t="s">
        <v>2894</v>
      </c>
      <c r="J607" t="str">
        <f>IF(ISNUMBER(MATCH($D607,'Lopettaneet 2013-&gt;'!$D:$D,0)),INDEX('Lopettaneet 2013-&gt;'!$K:$K,MATCH($D607,'Lopettaneet 2013-&gt;'!$D:$D,0)),"Jatkaa")</f>
        <v>Jatkaa</v>
      </c>
      <c r="K607">
        <f ca="1">IF($J607="Jatkaa",DATEDIF($B607,TODAY(),"Y"),INDEX('Lopettaneet 2013-&gt;'!$L:$L,MATCH($D607,'Lopettaneet 2013-&gt;'!$D:$D,0)))</f>
        <v>7</v>
      </c>
      <c r="L607">
        <v>606</v>
      </c>
    </row>
    <row r="608" spans="1:12" x14ac:dyDescent="0.25">
      <c r="A608" t="s">
        <v>7</v>
      </c>
      <c r="B608" s="1">
        <v>43160</v>
      </c>
      <c r="C608" s="1">
        <v>55153</v>
      </c>
      <c r="D608" s="4" t="s">
        <v>1420</v>
      </c>
      <c r="E608" t="s">
        <v>10</v>
      </c>
      <c r="F608" t="s">
        <v>11</v>
      </c>
      <c r="G608" t="s">
        <v>32</v>
      </c>
      <c r="H608" t="s">
        <v>2771</v>
      </c>
      <c r="I608" t="s">
        <v>2894</v>
      </c>
      <c r="J608" t="str">
        <f>IF(ISNUMBER(MATCH($D608,'Lopettaneet 2013-&gt;'!$D:$D,0)),INDEX('Lopettaneet 2013-&gt;'!$K:$K,MATCH($D608,'Lopettaneet 2013-&gt;'!$D:$D,0)),"Jatkaa")</f>
        <v>Jatkaa</v>
      </c>
      <c r="K608">
        <f ca="1">IF($J608="Jatkaa",DATEDIF($B608,TODAY(),"Y"),INDEX('Lopettaneet 2013-&gt;'!$L:$L,MATCH($D608,'Lopettaneet 2013-&gt;'!$D:$D,0)))</f>
        <v>7</v>
      </c>
      <c r="L608">
        <v>607</v>
      </c>
    </row>
    <row r="609" spans="1:12" x14ac:dyDescent="0.25">
      <c r="A609" t="s">
        <v>7</v>
      </c>
      <c r="B609" s="1">
        <v>43252</v>
      </c>
      <c r="C609" s="1">
        <v>55153</v>
      </c>
      <c r="D609" s="4" t="s">
        <v>1422</v>
      </c>
      <c r="E609" t="s">
        <v>10</v>
      </c>
      <c r="F609" t="s">
        <v>11</v>
      </c>
      <c r="G609" t="s">
        <v>29</v>
      </c>
      <c r="H609" t="s">
        <v>2851</v>
      </c>
      <c r="I609" t="s">
        <v>2895</v>
      </c>
      <c r="J609" t="str">
        <f>IF(ISNUMBER(MATCH($D609,'Lopettaneet 2013-&gt;'!$D:$D,0)),INDEX('Lopettaneet 2013-&gt;'!$K:$K,MATCH($D609,'Lopettaneet 2013-&gt;'!$D:$D,0)),"Jatkaa")</f>
        <v>Jatkaa</v>
      </c>
      <c r="K609">
        <f ca="1">IF($J609="Jatkaa",DATEDIF($B609,TODAY(),"Y"),INDEX('Lopettaneet 2013-&gt;'!$L:$L,MATCH($D609,'Lopettaneet 2013-&gt;'!$D:$D,0)))</f>
        <v>6</v>
      </c>
      <c r="L609">
        <v>608</v>
      </c>
    </row>
    <row r="610" spans="1:12" x14ac:dyDescent="0.25">
      <c r="A610" t="s">
        <v>0</v>
      </c>
      <c r="B610" s="1">
        <v>43160</v>
      </c>
      <c r="C610" s="1">
        <v>43921</v>
      </c>
      <c r="D610" s="4" t="s">
        <v>1424</v>
      </c>
      <c r="E610" t="s">
        <v>10</v>
      </c>
      <c r="F610" t="s">
        <v>4</v>
      </c>
      <c r="G610" t="s">
        <v>20</v>
      </c>
      <c r="H610" t="s">
        <v>2763</v>
      </c>
      <c r="I610" t="s">
        <v>2763</v>
      </c>
      <c r="J610" t="str">
        <f>IF(ISNUMBER(MATCH($D610,'Lopettaneet 2013-&gt;'!$D:$D,0)),INDEX('Lopettaneet 2013-&gt;'!$K:$K,MATCH($D610,'Lopettaneet 2013-&gt;'!$D:$D,0)),"Jatkaa")</f>
        <v>Closed</v>
      </c>
      <c r="K610">
        <f ca="1">IF($J610="Jatkaa",DATEDIF($B610,TODAY(),"Y"),INDEX('Lopettaneet 2013-&gt;'!$L:$L,MATCH($D610,'Lopettaneet 2013-&gt;'!$D:$D,0)))</f>
        <v>2</v>
      </c>
      <c r="L610">
        <v>609</v>
      </c>
    </row>
    <row r="611" spans="1:12" x14ac:dyDescent="0.25">
      <c r="A611" t="s">
        <v>7</v>
      </c>
      <c r="B611" s="1">
        <v>43344</v>
      </c>
      <c r="C611" s="1">
        <v>55153</v>
      </c>
      <c r="D611" s="4" t="s">
        <v>1426</v>
      </c>
      <c r="E611" t="s">
        <v>10</v>
      </c>
      <c r="F611" t="s">
        <v>11</v>
      </c>
      <c r="G611" t="s">
        <v>80</v>
      </c>
      <c r="H611" t="s">
        <v>2825</v>
      </c>
      <c r="I611" t="s">
        <v>2895</v>
      </c>
      <c r="J611" t="str">
        <f>IF(ISNUMBER(MATCH($D611,'Lopettaneet 2013-&gt;'!$D:$D,0)),INDEX('Lopettaneet 2013-&gt;'!$K:$K,MATCH($D611,'Lopettaneet 2013-&gt;'!$D:$D,0)),"Jatkaa")</f>
        <v>Jatkaa</v>
      </c>
      <c r="K611">
        <f ca="1">IF($J611="Jatkaa",DATEDIF($B611,TODAY(),"Y"),INDEX('Lopettaneet 2013-&gt;'!$L:$L,MATCH($D611,'Lopettaneet 2013-&gt;'!$D:$D,0)))</f>
        <v>6</v>
      </c>
      <c r="L611">
        <v>610</v>
      </c>
    </row>
    <row r="612" spans="1:12" x14ac:dyDescent="0.25">
      <c r="A612" t="s">
        <v>0</v>
      </c>
      <c r="B612" s="1">
        <v>43191</v>
      </c>
      <c r="C612" s="1">
        <v>43404</v>
      </c>
      <c r="D612" s="4" t="s">
        <v>1428</v>
      </c>
      <c r="E612" t="s">
        <v>10</v>
      </c>
      <c r="F612" t="s">
        <v>11</v>
      </c>
      <c r="G612" t="s">
        <v>47</v>
      </c>
      <c r="H612" t="s">
        <v>2763</v>
      </c>
      <c r="I612" t="s">
        <v>2763</v>
      </c>
      <c r="J612" t="str">
        <f>IF(ISNUMBER(MATCH($D612,'Lopettaneet 2013-&gt;'!$D:$D,0)),INDEX('Lopettaneet 2013-&gt;'!$K:$K,MATCH($D612,'Lopettaneet 2013-&gt;'!$D:$D,0)),"Jatkaa")</f>
        <v>Closed</v>
      </c>
      <c r="K612">
        <f ca="1">IF($J612="Jatkaa",DATEDIF($B612,TODAY(),"Y"),INDEX('Lopettaneet 2013-&gt;'!$L:$L,MATCH($D612,'Lopettaneet 2013-&gt;'!$D:$D,0)))</f>
        <v>0</v>
      </c>
      <c r="L612">
        <v>611</v>
      </c>
    </row>
    <row r="613" spans="1:12" x14ac:dyDescent="0.25">
      <c r="A613" t="s">
        <v>0</v>
      </c>
      <c r="B613" s="1">
        <v>43221</v>
      </c>
      <c r="C613" s="1">
        <v>55153</v>
      </c>
      <c r="D613" s="4" t="s">
        <v>1430</v>
      </c>
      <c r="E613" t="s">
        <v>3</v>
      </c>
      <c r="F613" t="s">
        <v>4</v>
      </c>
      <c r="G613" t="s">
        <v>50</v>
      </c>
      <c r="H613" t="s">
        <v>2767</v>
      </c>
      <c r="I613" t="s">
        <v>2763</v>
      </c>
      <c r="J613" t="str">
        <f>IF(ISNUMBER(MATCH($D613,'Lopettaneet 2013-&gt;'!$D:$D,0)),INDEX('Lopettaneet 2013-&gt;'!$K:$K,MATCH($D613,'Lopettaneet 2013-&gt;'!$D:$D,0)),"Jatkaa")</f>
        <v>Jatkaa</v>
      </c>
      <c r="K613">
        <f ca="1">IF($J613="Jatkaa",DATEDIF($B613,TODAY(),"Y"),INDEX('Lopettaneet 2013-&gt;'!$L:$L,MATCH($D613,'Lopettaneet 2013-&gt;'!$D:$D,0)))</f>
        <v>7</v>
      </c>
      <c r="L613">
        <v>612</v>
      </c>
    </row>
    <row r="614" spans="1:12" x14ac:dyDescent="0.25">
      <c r="A614" t="s">
        <v>7</v>
      </c>
      <c r="B614" s="1">
        <v>43252</v>
      </c>
      <c r="C614" s="1">
        <v>55153</v>
      </c>
      <c r="D614" s="4" t="s">
        <v>1432</v>
      </c>
      <c r="E614" t="s">
        <v>10</v>
      </c>
      <c r="F614" t="s">
        <v>11</v>
      </c>
      <c r="G614" t="s">
        <v>32</v>
      </c>
      <c r="H614" t="s">
        <v>2771</v>
      </c>
      <c r="I614" t="s">
        <v>2895</v>
      </c>
      <c r="J614" t="str">
        <f>IF(ISNUMBER(MATCH($D614,'Lopettaneet 2013-&gt;'!$D:$D,0)),INDEX('Lopettaneet 2013-&gt;'!$K:$K,MATCH($D614,'Lopettaneet 2013-&gt;'!$D:$D,0)),"Jatkaa")</f>
        <v>Jatkaa</v>
      </c>
      <c r="K614">
        <f ca="1">IF($J614="Jatkaa",DATEDIF($B614,TODAY(),"Y"),INDEX('Lopettaneet 2013-&gt;'!$L:$L,MATCH($D614,'Lopettaneet 2013-&gt;'!$D:$D,0)))</f>
        <v>6</v>
      </c>
      <c r="L614">
        <v>613</v>
      </c>
    </row>
    <row r="615" spans="1:12" x14ac:dyDescent="0.25">
      <c r="A615" t="s">
        <v>0</v>
      </c>
      <c r="B615" s="1">
        <v>43221</v>
      </c>
      <c r="C615" s="1">
        <v>55153</v>
      </c>
      <c r="D615" s="4" t="s">
        <v>1434</v>
      </c>
      <c r="E615" t="s">
        <v>3</v>
      </c>
      <c r="F615" t="s">
        <v>4</v>
      </c>
      <c r="G615" t="s">
        <v>20</v>
      </c>
      <c r="H615" t="s">
        <v>2771</v>
      </c>
      <c r="I615" t="s">
        <v>2894</v>
      </c>
      <c r="J615" t="str">
        <f>IF(ISNUMBER(MATCH($D615,'Lopettaneet 2013-&gt;'!$D:$D,0)),INDEX('Lopettaneet 2013-&gt;'!$K:$K,MATCH($D615,'Lopettaneet 2013-&gt;'!$D:$D,0)),"Jatkaa")</f>
        <v>Jatkaa</v>
      </c>
      <c r="K615">
        <f ca="1">IF($J615="Jatkaa",DATEDIF($B615,TODAY(),"Y"),INDEX('Lopettaneet 2013-&gt;'!$L:$L,MATCH($D615,'Lopettaneet 2013-&gt;'!$D:$D,0)))</f>
        <v>7</v>
      </c>
      <c r="L615">
        <v>614</v>
      </c>
    </row>
    <row r="616" spans="1:12" x14ac:dyDescent="0.25">
      <c r="A616" t="s">
        <v>0</v>
      </c>
      <c r="B616" s="1">
        <v>43221</v>
      </c>
      <c r="C616" s="1">
        <v>45107</v>
      </c>
      <c r="D616" s="4" t="s">
        <v>43</v>
      </c>
      <c r="E616" t="s">
        <v>3</v>
      </c>
      <c r="F616" t="s">
        <v>4</v>
      </c>
      <c r="G616" t="s">
        <v>5</v>
      </c>
      <c r="H616" t="s">
        <v>2763</v>
      </c>
      <c r="I616" t="s">
        <v>2763</v>
      </c>
      <c r="J616" t="str">
        <f>IF(ISNUMBER(MATCH($D616,'Lopettaneet 2013-&gt;'!$D:$D,0)),INDEX('Lopettaneet 2013-&gt;'!$K:$K,MATCH($D616,'Lopettaneet 2013-&gt;'!$D:$D,0)),"Jatkaa")</f>
        <v>Closed</v>
      </c>
      <c r="K616">
        <f ca="1">IF($J616="Jatkaa",DATEDIF($B616,TODAY(),"Y"),INDEX('Lopettaneet 2013-&gt;'!$L:$L,MATCH($D616,'Lopettaneet 2013-&gt;'!$D:$D,0)))</f>
        <v>5</v>
      </c>
      <c r="L616">
        <v>615</v>
      </c>
    </row>
    <row r="617" spans="1:12" x14ac:dyDescent="0.25">
      <c r="A617" t="s">
        <v>0</v>
      </c>
      <c r="B617" s="1">
        <v>43252</v>
      </c>
      <c r="C617" s="1">
        <v>55153</v>
      </c>
      <c r="D617" s="4" t="s">
        <v>1436</v>
      </c>
      <c r="E617" t="s">
        <v>3</v>
      </c>
      <c r="F617" t="s">
        <v>4</v>
      </c>
      <c r="G617" t="s">
        <v>20</v>
      </c>
      <c r="H617" t="s">
        <v>2843</v>
      </c>
      <c r="I617" t="s">
        <v>2894</v>
      </c>
      <c r="J617" t="str">
        <f>IF(ISNUMBER(MATCH($D617,'Lopettaneet 2013-&gt;'!$D:$D,0)),INDEX('Lopettaneet 2013-&gt;'!$K:$K,MATCH($D617,'Lopettaneet 2013-&gt;'!$D:$D,0)),"Jatkaa")</f>
        <v>Jatkaa</v>
      </c>
      <c r="K617">
        <f ca="1">IF($J617="Jatkaa",DATEDIF($B617,TODAY(),"Y"),INDEX('Lopettaneet 2013-&gt;'!$L:$L,MATCH($D617,'Lopettaneet 2013-&gt;'!$D:$D,0)))</f>
        <v>6</v>
      </c>
      <c r="L617">
        <v>616</v>
      </c>
    </row>
    <row r="618" spans="1:12" x14ac:dyDescent="0.25">
      <c r="A618" t="s">
        <v>7</v>
      </c>
      <c r="B618" s="1">
        <v>43252</v>
      </c>
      <c r="C618" s="1">
        <v>43738</v>
      </c>
      <c r="D618" s="4" t="s">
        <v>1438</v>
      </c>
      <c r="E618" t="s">
        <v>10</v>
      </c>
      <c r="F618" t="s">
        <v>11</v>
      </c>
      <c r="G618" t="s">
        <v>80</v>
      </c>
      <c r="H618" t="s">
        <v>2763</v>
      </c>
      <c r="I618" t="s">
        <v>2763</v>
      </c>
      <c r="J618" t="str">
        <f>IF(ISNUMBER(MATCH($D618,'Lopettaneet 2013-&gt;'!$D:$D,0)),INDEX('Lopettaneet 2013-&gt;'!$K:$K,MATCH($D618,'Lopettaneet 2013-&gt;'!$D:$D,0)),"Jatkaa")</f>
        <v>Closed</v>
      </c>
      <c r="K618">
        <f ca="1">IF($J618="Jatkaa",DATEDIF($B618,TODAY(),"Y"),INDEX('Lopettaneet 2013-&gt;'!$L:$L,MATCH($D618,'Lopettaneet 2013-&gt;'!$D:$D,0)))</f>
        <v>1</v>
      </c>
      <c r="L618">
        <v>617</v>
      </c>
    </row>
    <row r="619" spans="1:12" x14ac:dyDescent="0.25">
      <c r="A619" t="s">
        <v>7</v>
      </c>
      <c r="B619" s="1">
        <v>43252</v>
      </c>
      <c r="C619" s="1">
        <v>43738</v>
      </c>
      <c r="D619" s="4" t="s">
        <v>1440</v>
      </c>
      <c r="E619" t="s">
        <v>10</v>
      </c>
      <c r="F619" t="s">
        <v>11</v>
      </c>
      <c r="G619" t="s">
        <v>80</v>
      </c>
      <c r="H619" t="s">
        <v>2763</v>
      </c>
      <c r="I619" t="s">
        <v>2763</v>
      </c>
      <c r="J619" t="str">
        <f>IF(ISNUMBER(MATCH($D619,'Lopettaneet 2013-&gt;'!$D:$D,0)),INDEX('Lopettaneet 2013-&gt;'!$K:$K,MATCH($D619,'Lopettaneet 2013-&gt;'!$D:$D,0)),"Jatkaa")</f>
        <v>Closed</v>
      </c>
      <c r="K619">
        <f ca="1">IF($J619="Jatkaa",DATEDIF($B619,TODAY(),"Y"),INDEX('Lopettaneet 2013-&gt;'!$L:$L,MATCH($D619,'Lopettaneet 2013-&gt;'!$D:$D,0)))</f>
        <v>1</v>
      </c>
      <c r="L619">
        <v>618</v>
      </c>
    </row>
    <row r="620" spans="1:12" x14ac:dyDescent="0.25">
      <c r="A620" t="s">
        <v>7</v>
      </c>
      <c r="B620" s="1">
        <v>43252</v>
      </c>
      <c r="C620" s="1">
        <v>43738</v>
      </c>
      <c r="D620" s="4" t="s">
        <v>1442</v>
      </c>
      <c r="E620" t="s">
        <v>10</v>
      </c>
      <c r="F620" t="s">
        <v>11</v>
      </c>
      <c r="G620" t="s">
        <v>80</v>
      </c>
      <c r="H620" t="s">
        <v>2763</v>
      </c>
      <c r="I620" t="s">
        <v>2763</v>
      </c>
      <c r="J620" t="str">
        <f>IF(ISNUMBER(MATCH($D620,'Lopettaneet 2013-&gt;'!$D:$D,0)),INDEX('Lopettaneet 2013-&gt;'!$K:$K,MATCH($D620,'Lopettaneet 2013-&gt;'!$D:$D,0)),"Jatkaa")</f>
        <v>Closed</v>
      </c>
      <c r="K620">
        <f ca="1">IF($J620="Jatkaa",DATEDIF($B620,TODAY(),"Y"),INDEX('Lopettaneet 2013-&gt;'!$L:$L,MATCH($D620,'Lopettaneet 2013-&gt;'!$D:$D,0)))</f>
        <v>1</v>
      </c>
      <c r="L620">
        <v>619</v>
      </c>
    </row>
    <row r="621" spans="1:12" x14ac:dyDescent="0.25">
      <c r="A621" t="s">
        <v>7</v>
      </c>
      <c r="B621" s="1">
        <v>43252</v>
      </c>
      <c r="C621" s="1">
        <v>43738</v>
      </c>
      <c r="D621" s="4" t="s">
        <v>1444</v>
      </c>
      <c r="E621" t="s">
        <v>10</v>
      </c>
      <c r="F621" t="s">
        <v>11</v>
      </c>
      <c r="G621" t="s">
        <v>80</v>
      </c>
      <c r="H621" t="s">
        <v>2763</v>
      </c>
      <c r="I621" t="s">
        <v>2763</v>
      </c>
      <c r="J621" t="str">
        <f>IF(ISNUMBER(MATCH($D621,'Lopettaneet 2013-&gt;'!$D:$D,0)),INDEX('Lopettaneet 2013-&gt;'!$K:$K,MATCH($D621,'Lopettaneet 2013-&gt;'!$D:$D,0)),"Jatkaa")</f>
        <v>Closed</v>
      </c>
      <c r="K621">
        <f ca="1">IF($J621="Jatkaa",DATEDIF($B621,TODAY(),"Y"),INDEX('Lopettaneet 2013-&gt;'!$L:$L,MATCH($D621,'Lopettaneet 2013-&gt;'!$D:$D,0)))</f>
        <v>1</v>
      </c>
      <c r="L621">
        <v>620</v>
      </c>
    </row>
    <row r="622" spans="1:12" x14ac:dyDescent="0.25">
      <c r="A622" t="s">
        <v>0</v>
      </c>
      <c r="B622" s="1">
        <v>43221</v>
      </c>
      <c r="C622" s="1">
        <v>44926</v>
      </c>
      <c r="D622" s="4" t="s">
        <v>1446</v>
      </c>
      <c r="E622" t="s">
        <v>10</v>
      </c>
      <c r="F622" t="s">
        <v>4</v>
      </c>
      <c r="G622" t="s">
        <v>20</v>
      </c>
      <c r="H622" t="s">
        <v>2763</v>
      </c>
      <c r="I622" t="s">
        <v>2763</v>
      </c>
      <c r="J622" t="str">
        <f>IF(ISNUMBER(MATCH($D622,'Lopettaneet 2013-&gt;'!$D:$D,0)),INDEX('Lopettaneet 2013-&gt;'!$K:$K,MATCH($D622,'Lopettaneet 2013-&gt;'!$D:$D,0)),"Jatkaa")</f>
        <v>Merged</v>
      </c>
      <c r="K622">
        <f ca="1">IF($J622="Jatkaa",DATEDIF($B622,TODAY(),"Y"),INDEX('Lopettaneet 2013-&gt;'!$L:$L,MATCH($D622,'Lopettaneet 2013-&gt;'!$D:$D,0)))</f>
        <v>4</v>
      </c>
      <c r="L622">
        <v>621</v>
      </c>
    </row>
    <row r="623" spans="1:12" x14ac:dyDescent="0.25">
      <c r="A623" t="s">
        <v>0</v>
      </c>
      <c r="B623" s="1">
        <v>43252</v>
      </c>
      <c r="C623" s="1">
        <v>44530</v>
      </c>
      <c r="D623" s="4" t="s">
        <v>1448</v>
      </c>
      <c r="E623" t="s">
        <v>10</v>
      </c>
      <c r="F623" t="s">
        <v>4</v>
      </c>
      <c r="G623" t="s">
        <v>20</v>
      </c>
      <c r="H623" t="s">
        <v>2763</v>
      </c>
      <c r="I623" t="s">
        <v>2763</v>
      </c>
      <c r="J623" t="str">
        <f>IF(ISNUMBER(MATCH($D623,'Lopettaneet 2013-&gt;'!$D:$D,0)),INDEX('Lopettaneet 2013-&gt;'!$K:$K,MATCH($D623,'Lopettaneet 2013-&gt;'!$D:$D,0)),"Jatkaa")</f>
        <v>Merged</v>
      </c>
      <c r="K623">
        <f ca="1">IF($J623="Jatkaa",DATEDIF($B623,TODAY(),"Y"),INDEX('Lopettaneet 2013-&gt;'!$L:$L,MATCH($D623,'Lopettaneet 2013-&gt;'!$D:$D,0)))</f>
        <v>3</v>
      </c>
      <c r="L623">
        <v>622</v>
      </c>
    </row>
    <row r="624" spans="1:12" x14ac:dyDescent="0.25">
      <c r="A624" t="s">
        <v>0</v>
      </c>
      <c r="B624" s="1">
        <v>43221</v>
      </c>
      <c r="C624" s="1">
        <v>43738</v>
      </c>
      <c r="D624" s="4" t="s">
        <v>1450</v>
      </c>
      <c r="E624" t="s">
        <v>10</v>
      </c>
      <c r="F624" t="s">
        <v>4</v>
      </c>
      <c r="G624" t="s">
        <v>47</v>
      </c>
      <c r="H624" t="s">
        <v>2763</v>
      </c>
      <c r="I624" t="s">
        <v>2763</v>
      </c>
      <c r="J624" t="str">
        <f>IF(ISNUMBER(MATCH($D624,'Lopettaneet 2013-&gt;'!$D:$D,0)),INDEX('Lopettaneet 2013-&gt;'!$K:$K,MATCH($D624,'Lopettaneet 2013-&gt;'!$D:$D,0)),"Jatkaa")</f>
        <v>Closed</v>
      </c>
      <c r="K624">
        <f ca="1">IF($J624="Jatkaa",DATEDIF($B624,TODAY(),"Y"),INDEX('Lopettaneet 2013-&gt;'!$L:$L,MATCH($D624,'Lopettaneet 2013-&gt;'!$D:$D,0)))</f>
        <v>1</v>
      </c>
      <c r="L624">
        <v>623</v>
      </c>
    </row>
    <row r="625" spans="1:12" x14ac:dyDescent="0.25">
      <c r="A625" t="s">
        <v>7</v>
      </c>
      <c r="B625" s="1">
        <v>43252</v>
      </c>
      <c r="C625" s="1">
        <v>55153</v>
      </c>
      <c r="D625" s="4" t="s">
        <v>1452</v>
      </c>
      <c r="E625" t="s">
        <v>10</v>
      </c>
      <c r="F625" t="s">
        <v>11</v>
      </c>
      <c r="G625" t="s">
        <v>32</v>
      </c>
      <c r="H625" t="s">
        <v>2770</v>
      </c>
      <c r="I625" t="s">
        <v>2895</v>
      </c>
      <c r="J625" t="str">
        <f>IF(ISNUMBER(MATCH($D625,'Lopettaneet 2013-&gt;'!$D:$D,0)),INDEX('Lopettaneet 2013-&gt;'!$K:$K,MATCH($D625,'Lopettaneet 2013-&gt;'!$D:$D,0)),"Jatkaa")</f>
        <v>Jatkaa</v>
      </c>
      <c r="K625">
        <f ca="1">IF($J625="Jatkaa",DATEDIF($B625,TODAY(),"Y"),INDEX('Lopettaneet 2013-&gt;'!$L:$L,MATCH($D625,'Lopettaneet 2013-&gt;'!$D:$D,0)))</f>
        <v>6</v>
      </c>
      <c r="L625">
        <v>624</v>
      </c>
    </row>
    <row r="626" spans="1:12" x14ac:dyDescent="0.25">
      <c r="A626" t="s">
        <v>0</v>
      </c>
      <c r="B626" s="1">
        <v>43344</v>
      </c>
      <c r="C626" s="1">
        <v>43799</v>
      </c>
      <c r="D626" s="4" t="s">
        <v>1454</v>
      </c>
      <c r="E626" t="s">
        <v>3</v>
      </c>
      <c r="F626" t="s">
        <v>4</v>
      </c>
      <c r="G626" t="s">
        <v>20</v>
      </c>
      <c r="H626" t="s">
        <v>2763</v>
      </c>
      <c r="I626" t="s">
        <v>2763</v>
      </c>
      <c r="J626" t="str">
        <f>IF(ISNUMBER(MATCH($D626,'Lopettaneet 2013-&gt;'!$D:$D,0)),INDEX('Lopettaneet 2013-&gt;'!$K:$K,MATCH($D626,'Lopettaneet 2013-&gt;'!$D:$D,0)),"Jatkaa")</f>
        <v>Merged</v>
      </c>
      <c r="K626">
        <f ca="1">IF($J626="Jatkaa",DATEDIF($B626,TODAY(),"Y"),INDEX('Lopettaneet 2013-&gt;'!$L:$L,MATCH($D626,'Lopettaneet 2013-&gt;'!$D:$D,0)))</f>
        <v>1</v>
      </c>
      <c r="L626">
        <v>625</v>
      </c>
    </row>
    <row r="627" spans="1:12" x14ac:dyDescent="0.25">
      <c r="A627" t="s">
        <v>0</v>
      </c>
      <c r="B627" s="1">
        <v>43344</v>
      </c>
      <c r="C627" s="1">
        <v>43799</v>
      </c>
      <c r="D627" s="4" t="s">
        <v>1456</v>
      </c>
      <c r="E627" t="s">
        <v>3</v>
      </c>
      <c r="F627" t="s">
        <v>4</v>
      </c>
      <c r="G627" t="s">
        <v>20</v>
      </c>
      <c r="H627" t="s">
        <v>2763</v>
      </c>
      <c r="I627" t="s">
        <v>2763</v>
      </c>
      <c r="J627" t="str">
        <f>IF(ISNUMBER(MATCH($D627,'Lopettaneet 2013-&gt;'!$D:$D,0)),INDEX('Lopettaneet 2013-&gt;'!$K:$K,MATCH($D627,'Lopettaneet 2013-&gt;'!$D:$D,0)),"Jatkaa")</f>
        <v>Merged</v>
      </c>
      <c r="K627">
        <f ca="1">IF($J627="Jatkaa",DATEDIF($B627,TODAY(),"Y"),INDEX('Lopettaneet 2013-&gt;'!$L:$L,MATCH($D627,'Lopettaneet 2013-&gt;'!$D:$D,0)))</f>
        <v>1</v>
      </c>
      <c r="L627">
        <v>626</v>
      </c>
    </row>
    <row r="628" spans="1:12" x14ac:dyDescent="0.25">
      <c r="A628" t="s">
        <v>0</v>
      </c>
      <c r="B628" s="1">
        <v>43313</v>
      </c>
      <c r="C628" s="1">
        <v>55153</v>
      </c>
      <c r="D628" s="4" t="s">
        <v>1458</v>
      </c>
      <c r="E628" t="s">
        <v>10</v>
      </c>
      <c r="F628" t="s">
        <v>11</v>
      </c>
      <c r="G628" t="s">
        <v>32</v>
      </c>
      <c r="H628" t="s">
        <v>2771</v>
      </c>
      <c r="I628" t="s">
        <v>2895</v>
      </c>
      <c r="J628" t="str">
        <f>IF(ISNUMBER(MATCH($D628,'Lopettaneet 2013-&gt;'!$D:$D,0)),INDEX('Lopettaneet 2013-&gt;'!$K:$K,MATCH($D628,'Lopettaneet 2013-&gt;'!$D:$D,0)),"Jatkaa")</f>
        <v>Jatkaa</v>
      </c>
      <c r="K628">
        <f ca="1">IF($J628="Jatkaa",DATEDIF($B628,TODAY(),"Y"),INDEX('Lopettaneet 2013-&gt;'!$L:$L,MATCH($D628,'Lopettaneet 2013-&gt;'!$D:$D,0)))</f>
        <v>6</v>
      </c>
      <c r="L628">
        <v>627</v>
      </c>
    </row>
    <row r="629" spans="1:12" x14ac:dyDescent="0.25">
      <c r="A629" t="s">
        <v>0</v>
      </c>
      <c r="B629" s="1">
        <v>43252</v>
      </c>
      <c r="C629" s="1">
        <v>55153</v>
      </c>
      <c r="D629" s="4" t="s">
        <v>1460</v>
      </c>
      <c r="E629" t="s">
        <v>10</v>
      </c>
      <c r="F629" t="s">
        <v>11</v>
      </c>
      <c r="G629" t="s">
        <v>20</v>
      </c>
      <c r="H629" t="s">
        <v>2766</v>
      </c>
      <c r="I629" t="s">
        <v>2895</v>
      </c>
      <c r="J629" t="str">
        <f>IF(ISNUMBER(MATCH($D629,'Lopettaneet 2013-&gt;'!$D:$D,0)),INDEX('Lopettaneet 2013-&gt;'!$K:$K,MATCH($D629,'Lopettaneet 2013-&gt;'!$D:$D,0)),"Jatkaa")</f>
        <v>Jatkaa</v>
      </c>
      <c r="K629">
        <f ca="1">IF($J629="Jatkaa",DATEDIF($B629,TODAY(),"Y"),INDEX('Lopettaneet 2013-&gt;'!$L:$L,MATCH($D629,'Lopettaneet 2013-&gt;'!$D:$D,0)))</f>
        <v>6</v>
      </c>
      <c r="L629">
        <v>628</v>
      </c>
    </row>
    <row r="630" spans="1:12" x14ac:dyDescent="0.25">
      <c r="A630" t="s">
        <v>0</v>
      </c>
      <c r="B630" s="1">
        <v>43252</v>
      </c>
      <c r="C630" s="1">
        <v>55153</v>
      </c>
      <c r="D630" s="4" t="s">
        <v>1462</v>
      </c>
      <c r="E630" t="s">
        <v>10</v>
      </c>
      <c r="F630" t="s">
        <v>11</v>
      </c>
      <c r="G630" t="s">
        <v>20</v>
      </c>
      <c r="H630" t="s">
        <v>2766</v>
      </c>
      <c r="I630" t="s">
        <v>2895</v>
      </c>
      <c r="J630" t="str">
        <f>IF(ISNUMBER(MATCH($D630,'Lopettaneet 2013-&gt;'!$D:$D,0)),INDEX('Lopettaneet 2013-&gt;'!$K:$K,MATCH($D630,'Lopettaneet 2013-&gt;'!$D:$D,0)),"Jatkaa")</f>
        <v>Jatkaa</v>
      </c>
      <c r="K630">
        <f ca="1">IF($J630="Jatkaa",DATEDIF($B630,TODAY(),"Y"),INDEX('Lopettaneet 2013-&gt;'!$L:$L,MATCH($D630,'Lopettaneet 2013-&gt;'!$D:$D,0)))</f>
        <v>6</v>
      </c>
      <c r="L630">
        <v>629</v>
      </c>
    </row>
    <row r="631" spans="1:12" x14ac:dyDescent="0.25">
      <c r="A631" t="s">
        <v>0</v>
      </c>
      <c r="B631" s="1">
        <v>43252</v>
      </c>
      <c r="C631" s="1">
        <v>55153</v>
      </c>
      <c r="D631" s="4" t="s">
        <v>1464</v>
      </c>
      <c r="E631" t="s">
        <v>10</v>
      </c>
      <c r="F631" t="s">
        <v>11</v>
      </c>
      <c r="G631" t="s">
        <v>20</v>
      </c>
      <c r="H631" t="s">
        <v>2766</v>
      </c>
      <c r="I631" t="s">
        <v>2895</v>
      </c>
      <c r="J631" t="str">
        <f>IF(ISNUMBER(MATCH($D631,'Lopettaneet 2013-&gt;'!$D:$D,0)),INDEX('Lopettaneet 2013-&gt;'!$K:$K,MATCH($D631,'Lopettaneet 2013-&gt;'!$D:$D,0)),"Jatkaa")</f>
        <v>Jatkaa</v>
      </c>
      <c r="K631">
        <f ca="1">IF($J631="Jatkaa",DATEDIF($B631,TODAY(),"Y"),INDEX('Lopettaneet 2013-&gt;'!$L:$L,MATCH($D631,'Lopettaneet 2013-&gt;'!$D:$D,0)))</f>
        <v>6</v>
      </c>
      <c r="L631">
        <v>630</v>
      </c>
    </row>
    <row r="632" spans="1:12" x14ac:dyDescent="0.25">
      <c r="A632" t="s">
        <v>0</v>
      </c>
      <c r="B632" s="1">
        <v>43466</v>
      </c>
      <c r="C632" s="1">
        <v>43982</v>
      </c>
      <c r="D632" s="4" t="s">
        <v>1466</v>
      </c>
      <c r="E632" t="s">
        <v>3</v>
      </c>
      <c r="F632" t="s">
        <v>4</v>
      </c>
      <c r="G632" t="s">
        <v>20</v>
      </c>
      <c r="H632" t="s">
        <v>2763</v>
      </c>
      <c r="I632" t="s">
        <v>2763</v>
      </c>
      <c r="J632" t="str">
        <f>IF(ISNUMBER(MATCH($D632,'Lopettaneet 2013-&gt;'!$D:$D,0)),INDEX('Lopettaneet 2013-&gt;'!$K:$K,MATCH($D632,'Lopettaneet 2013-&gt;'!$D:$D,0)),"Jatkaa")</f>
        <v>Merged</v>
      </c>
      <c r="K632">
        <f ca="1">IF($J632="Jatkaa",DATEDIF($B632,TODAY(),"Y"),INDEX('Lopettaneet 2013-&gt;'!$L:$L,MATCH($D632,'Lopettaneet 2013-&gt;'!$D:$D,0)))</f>
        <v>1</v>
      </c>
      <c r="L632">
        <v>631</v>
      </c>
    </row>
    <row r="633" spans="1:12" x14ac:dyDescent="0.25">
      <c r="A633" t="s">
        <v>0</v>
      </c>
      <c r="B633" s="1">
        <v>43497</v>
      </c>
      <c r="C633" s="1">
        <v>44985</v>
      </c>
      <c r="D633" s="4" t="s">
        <v>45</v>
      </c>
      <c r="E633" t="s">
        <v>10</v>
      </c>
      <c r="F633" t="s">
        <v>4</v>
      </c>
      <c r="G633" t="s">
        <v>47</v>
      </c>
      <c r="H633" t="s">
        <v>2763</v>
      </c>
      <c r="I633" t="s">
        <v>2763</v>
      </c>
      <c r="J633" t="str">
        <f>IF(ISNUMBER(MATCH($D633,'Lopettaneet 2013-&gt;'!$D:$D,0)),INDEX('Lopettaneet 2013-&gt;'!$K:$K,MATCH($D633,'Lopettaneet 2013-&gt;'!$D:$D,0)),"Jatkaa")</f>
        <v>Merged</v>
      </c>
      <c r="K633">
        <f ca="1">IF($J633="Jatkaa",DATEDIF($B633,TODAY(),"Y"),INDEX('Lopettaneet 2013-&gt;'!$L:$L,MATCH($D633,'Lopettaneet 2013-&gt;'!$D:$D,0)))</f>
        <v>4</v>
      </c>
      <c r="L633">
        <v>632</v>
      </c>
    </row>
    <row r="634" spans="1:12" x14ac:dyDescent="0.25">
      <c r="A634" t="s">
        <v>7</v>
      </c>
      <c r="B634" s="1">
        <v>43344</v>
      </c>
      <c r="C634" s="1">
        <v>55153</v>
      </c>
      <c r="D634" s="4" t="s">
        <v>1468</v>
      </c>
      <c r="E634" t="s">
        <v>10</v>
      </c>
      <c r="F634" t="s">
        <v>11</v>
      </c>
      <c r="G634" t="s">
        <v>29</v>
      </c>
      <c r="H634" t="s">
        <v>2771</v>
      </c>
      <c r="I634" t="s">
        <v>2895</v>
      </c>
      <c r="J634" t="str">
        <f>IF(ISNUMBER(MATCH($D634,'Lopettaneet 2013-&gt;'!$D:$D,0)),INDEX('Lopettaneet 2013-&gt;'!$K:$K,MATCH($D634,'Lopettaneet 2013-&gt;'!$D:$D,0)),"Jatkaa")</f>
        <v>Jatkaa</v>
      </c>
      <c r="K634">
        <f ca="1">IF($J634="Jatkaa",DATEDIF($B634,TODAY(),"Y"),INDEX('Lopettaneet 2013-&gt;'!$L:$L,MATCH($D634,'Lopettaneet 2013-&gt;'!$D:$D,0)))</f>
        <v>6</v>
      </c>
      <c r="L634">
        <v>633</v>
      </c>
    </row>
    <row r="635" spans="1:12" x14ac:dyDescent="0.25">
      <c r="A635" t="s">
        <v>0</v>
      </c>
      <c r="B635" s="1">
        <v>43891</v>
      </c>
      <c r="C635" s="1">
        <v>55153</v>
      </c>
      <c r="D635" s="4" t="s">
        <v>1470</v>
      </c>
      <c r="E635" t="s">
        <v>10</v>
      </c>
      <c r="F635" t="s">
        <v>4</v>
      </c>
      <c r="G635" t="s">
        <v>50</v>
      </c>
      <c r="H635" t="s">
        <v>2802</v>
      </c>
      <c r="I635" t="s">
        <v>2894</v>
      </c>
      <c r="J635" t="str">
        <f>IF(ISNUMBER(MATCH($D635,'Lopettaneet 2013-&gt;'!$D:$D,0)),INDEX('Lopettaneet 2013-&gt;'!$K:$K,MATCH($D635,'Lopettaneet 2013-&gt;'!$D:$D,0)),"Jatkaa")</f>
        <v>Jatkaa</v>
      </c>
      <c r="K635">
        <f ca="1">IF($J635="Jatkaa",DATEDIF($B635,TODAY(),"Y"),INDEX('Lopettaneet 2013-&gt;'!$L:$L,MATCH($D635,'Lopettaneet 2013-&gt;'!$D:$D,0)))</f>
        <v>5</v>
      </c>
      <c r="L635">
        <v>634</v>
      </c>
    </row>
    <row r="636" spans="1:12" x14ac:dyDescent="0.25">
      <c r="A636" t="s">
        <v>0</v>
      </c>
      <c r="B636" s="1">
        <v>43252</v>
      </c>
      <c r="C636" s="1">
        <v>55153</v>
      </c>
      <c r="D636" s="4" t="s">
        <v>1472</v>
      </c>
      <c r="E636" t="s">
        <v>3</v>
      </c>
      <c r="F636" t="s">
        <v>4</v>
      </c>
      <c r="G636" t="s">
        <v>20</v>
      </c>
      <c r="H636" t="s">
        <v>2764</v>
      </c>
      <c r="I636" t="s">
        <v>2894</v>
      </c>
      <c r="J636" t="str">
        <f>IF(ISNUMBER(MATCH($D636,'Lopettaneet 2013-&gt;'!$D:$D,0)),INDEX('Lopettaneet 2013-&gt;'!$K:$K,MATCH($D636,'Lopettaneet 2013-&gt;'!$D:$D,0)),"Jatkaa")</f>
        <v>Jatkaa</v>
      </c>
      <c r="K636">
        <f ca="1">IF($J636="Jatkaa",DATEDIF($B636,TODAY(),"Y"),INDEX('Lopettaneet 2013-&gt;'!$L:$L,MATCH($D636,'Lopettaneet 2013-&gt;'!$D:$D,0)))</f>
        <v>6</v>
      </c>
      <c r="L636">
        <v>635</v>
      </c>
    </row>
    <row r="637" spans="1:12" x14ac:dyDescent="0.25">
      <c r="A637" t="s">
        <v>0</v>
      </c>
      <c r="B637" s="1">
        <v>43525</v>
      </c>
      <c r="C637" s="1">
        <v>44592</v>
      </c>
      <c r="D637" s="4" t="s">
        <v>1474</v>
      </c>
      <c r="E637" t="s">
        <v>3</v>
      </c>
      <c r="F637" t="s">
        <v>4</v>
      </c>
      <c r="G637" t="s">
        <v>20</v>
      </c>
      <c r="H637" t="s">
        <v>2763</v>
      </c>
      <c r="I637" t="s">
        <v>2763</v>
      </c>
      <c r="J637" t="str">
        <f>IF(ISNUMBER(MATCH($D637,'Lopettaneet 2013-&gt;'!$D:$D,0)),INDEX('Lopettaneet 2013-&gt;'!$K:$K,MATCH($D637,'Lopettaneet 2013-&gt;'!$D:$D,0)),"Jatkaa")</f>
        <v>Merged</v>
      </c>
      <c r="K637">
        <f ca="1">IF($J637="Jatkaa",DATEDIF($B637,TODAY(),"Y"),INDEX('Lopettaneet 2013-&gt;'!$L:$L,MATCH($D637,'Lopettaneet 2013-&gt;'!$D:$D,0)))</f>
        <v>2</v>
      </c>
      <c r="L637">
        <v>636</v>
      </c>
    </row>
    <row r="638" spans="1:12" x14ac:dyDescent="0.25">
      <c r="A638" t="s">
        <v>0</v>
      </c>
      <c r="B638" s="1">
        <v>43525</v>
      </c>
      <c r="C638" s="1">
        <v>55153</v>
      </c>
      <c r="D638" s="4" t="s">
        <v>1476</v>
      </c>
      <c r="E638" t="s">
        <v>3</v>
      </c>
      <c r="F638" t="s">
        <v>4</v>
      </c>
      <c r="G638" t="s">
        <v>20</v>
      </c>
      <c r="H638" t="s">
        <v>2777</v>
      </c>
      <c r="I638" t="s">
        <v>2894</v>
      </c>
      <c r="J638" t="str">
        <f>IF(ISNUMBER(MATCH($D638,'Lopettaneet 2013-&gt;'!$D:$D,0)),INDEX('Lopettaneet 2013-&gt;'!$K:$K,MATCH($D638,'Lopettaneet 2013-&gt;'!$D:$D,0)),"Jatkaa")</f>
        <v>Jatkaa</v>
      </c>
      <c r="K638">
        <f ca="1">IF($J638="Jatkaa",DATEDIF($B638,TODAY(),"Y"),INDEX('Lopettaneet 2013-&gt;'!$L:$L,MATCH($D638,'Lopettaneet 2013-&gt;'!$D:$D,0)))</f>
        <v>6</v>
      </c>
      <c r="L638">
        <v>637</v>
      </c>
    </row>
    <row r="639" spans="1:12" x14ac:dyDescent="0.25">
      <c r="A639" t="s">
        <v>7</v>
      </c>
      <c r="B639" s="1">
        <v>43252</v>
      </c>
      <c r="C639" s="1">
        <v>55153</v>
      </c>
      <c r="D639" s="4" t="s">
        <v>1478</v>
      </c>
      <c r="E639" t="s">
        <v>10</v>
      </c>
      <c r="F639" t="s">
        <v>11</v>
      </c>
      <c r="G639" t="s">
        <v>32</v>
      </c>
      <c r="H639" t="s">
        <v>2813</v>
      </c>
      <c r="I639" t="s">
        <v>2895</v>
      </c>
      <c r="J639" t="str">
        <f>IF(ISNUMBER(MATCH($D639,'Lopettaneet 2013-&gt;'!$D:$D,0)),INDEX('Lopettaneet 2013-&gt;'!$K:$K,MATCH($D639,'Lopettaneet 2013-&gt;'!$D:$D,0)),"Jatkaa")</f>
        <v>Jatkaa</v>
      </c>
      <c r="K639">
        <f ca="1">IF($J639="Jatkaa",DATEDIF($B639,TODAY(),"Y"),INDEX('Lopettaneet 2013-&gt;'!$L:$L,MATCH($D639,'Lopettaneet 2013-&gt;'!$D:$D,0)))</f>
        <v>6</v>
      </c>
      <c r="L639">
        <v>638</v>
      </c>
    </row>
    <row r="640" spans="1:12" x14ac:dyDescent="0.25">
      <c r="A640" t="s">
        <v>0</v>
      </c>
      <c r="B640" s="1">
        <v>43344</v>
      </c>
      <c r="C640" s="1">
        <v>55153</v>
      </c>
      <c r="D640" s="4" t="s">
        <v>1480</v>
      </c>
      <c r="E640" t="s">
        <v>3</v>
      </c>
      <c r="F640" t="s">
        <v>4</v>
      </c>
      <c r="G640" t="s">
        <v>50</v>
      </c>
      <c r="H640" t="s">
        <v>2776</v>
      </c>
      <c r="I640" t="s">
        <v>2894</v>
      </c>
      <c r="J640" t="str">
        <f>IF(ISNUMBER(MATCH($D640,'Lopettaneet 2013-&gt;'!$D:$D,0)),INDEX('Lopettaneet 2013-&gt;'!$K:$K,MATCH($D640,'Lopettaneet 2013-&gt;'!$D:$D,0)),"Jatkaa")</f>
        <v>Jatkaa</v>
      </c>
      <c r="K640">
        <f ca="1">IF($J640="Jatkaa",DATEDIF($B640,TODAY(),"Y"),INDEX('Lopettaneet 2013-&gt;'!$L:$L,MATCH($D640,'Lopettaneet 2013-&gt;'!$D:$D,0)))</f>
        <v>6</v>
      </c>
      <c r="L640">
        <v>639</v>
      </c>
    </row>
    <row r="641" spans="1:12" x14ac:dyDescent="0.25">
      <c r="A641" t="s">
        <v>0</v>
      </c>
      <c r="B641" s="1">
        <v>43525</v>
      </c>
      <c r="C641" s="1">
        <v>55153</v>
      </c>
      <c r="D641" s="4" t="s">
        <v>1482</v>
      </c>
      <c r="E641" t="s">
        <v>10</v>
      </c>
      <c r="F641" t="s">
        <v>11</v>
      </c>
      <c r="G641" t="s">
        <v>29</v>
      </c>
      <c r="H641" t="s">
        <v>2766</v>
      </c>
      <c r="I641" t="s">
        <v>2895</v>
      </c>
      <c r="J641" t="str">
        <f>IF(ISNUMBER(MATCH($D641,'Lopettaneet 2013-&gt;'!$D:$D,0)),INDEX('Lopettaneet 2013-&gt;'!$K:$K,MATCH($D641,'Lopettaneet 2013-&gt;'!$D:$D,0)),"Jatkaa")</f>
        <v>Jatkaa</v>
      </c>
      <c r="K641">
        <f ca="1">IF($J641="Jatkaa",DATEDIF($B641,TODAY(),"Y"),INDEX('Lopettaneet 2013-&gt;'!$L:$L,MATCH($D641,'Lopettaneet 2013-&gt;'!$D:$D,0)))</f>
        <v>6</v>
      </c>
      <c r="L641">
        <v>640</v>
      </c>
    </row>
    <row r="642" spans="1:12" x14ac:dyDescent="0.25">
      <c r="A642" t="s">
        <v>0</v>
      </c>
      <c r="B642" s="1">
        <v>43435</v>
      </c>
      <c r="C642" s="1">
        <v>55153</v>
      </c>
      <c r="D642" s="4" t="s">
        <v>1484</v>
      </c>
      <c r="E642" t="s">
        <v>10</v>
      </c>
      <c r="F642" t="s">
        <v>4</v>
      </c>
      <c r="G642" t="s">
        <v>47</v>
      </c>
      <c r="H642" t="s">
        <v>2763</v>
      </c>
      <c r="I642" t="s">
        <v>2895</v>
      </c>
      <c r="J642" t="str">
        <f>IF(ISNUMBER(MATCH($D642,'Lopettaneet 2013-&gt;'!$D:$D,0)),INDEX('Lopettaneet 2013-&gt;'!$K:$K,MATCH($D642,'Lopettaneet 2013-&gt;'!$D:$D,0)),"Jatkaa")</f>
        <v>Jatkaa</v>
      </c>
      <c r="K642">
        <f ca="1">IF($J642="Jatkaa",DATEDIF($B642,TODAY(),"Y"),INDEX('Lopettaneet 2013-&gt;'!$L:$L,MATCH($D642,'Lopettaneet 2013-&gt;'!$D:$D,0)))</f>
        <v>6</v>
      </c>
      <c r="L642">
        <v>641</v>
      </c>
    </row>
    <row r="643" spans="1:12" x14ac:dyDescent="0.25">
      <c r="A643" t="s">
        <v>0</v>
      </c>
      <c r="B643" s="1">
        <v>43922</v>
      </c>
      <c r="C643" s="1">
        <v>55153</v>
      </c>
      <c r="D643" s="4" t="s">
        <v>1486</v>
      </c>
      <c r="E643" t="s">
        <v>10</v>
      </c>
      <c r="F643" t="s">
        <v>4</v>
      </c>
      <c r="G643" t="s">
        <v>20</v>
      </c>
      <c r="H643" t="s">
        <v>2842</v>
      </c>
      <c r="I643" t="s">
        <v>2894</v>
      </c>
      <c r="J643" t="str">
        <f>IF(ISNUMBER(MATCH($D643,'Lopettaneet 2013-&gt;'!$D:$D,0)),INDEX('Lopettaneet 2013-&gt;'!$K:$K,MATCH($D643,'Lopettaneet 2013-&gt;'!$D:$D,0)),"Jatkaa")</f>
        <v>Jatkaa</v>
      </c>
      <c r="K643">
        <f ca="1">IF($J643="Jatkaa",DATEDIF($B643,TODAY(),"Y"),INDEX('Lopettaneet 2013-&gt;'!$L:$L,MATCH($D643,'Lopettaneet 2013-&gt;'!$D:$D,0)))</f>
        <v>5</v>
      </c>
      <c r="L643">
        <v>642</v>
      </c>
    </row>
    <row r="644" spans="1:12" x14ac:dyDescent="0.25">
      <c r="A644" t="s">
        <v>7</v>
      </c>
      <c r="B644" s="1">
        <v>43344</v>
      </c>
      <c r="C644" s="1">
        <v>55153</v>
      </c>
      <c r="D644" s="4" t="s">
        <v>1488</v>
      </c>
      <c r="E644" t="s">
        <v>10</v>
      </c>
      <c r="F644" t="s">
        <v>11</v>
      </c>
      <c r="G644" t="s">
        <v>32</v>
      </c>
      <c r="H644" t="s">
        <v>2852</v>
      </c>
      <c r="I644" t="s">
        <v>2895</v>
      </c>
      <c r="J644" t="str">
        <f>IF(ISNUMBER(MATCH($D644,'Lopettaneet 2013-&gt;'!$D:$D,0)),INDEX('Lopettaneet 2013-&gt;'!$K:$K,MATCH($D644,'Lopettaneet 2013-&gt;'!$D:$D,0)),"Jatkaa")</f>
        <v>Jatkaa</v>
      </c>
      <c r="K644">
        <f ca="1">IF($J644="Jatkaa",DATEDIF($B644,TODAY(),"Y"),INDEX('Lopettaneet 2013-&gt;'!$L:$L,MATCH($D644,'Lopettaneet 2013-&gt;'!$D:$D,0)))</f>
        <v>6</v>
      </c>
      <c r="L644">
        <v>643</v>
      </c>
    </row>
    <row r="645" spans="1:12" x14ac:dyDescent="0.25">
      <c r="A645" t="s">
        <v>0</v>
      </c>
      <c r="B645" s="1">
        <v>43497</v>
      </c>
      <c r="C645" s="1">
        <v>55153</v>
      </c>
      <c r="D645" s="4" t="s">
        <v>1490</v>
      </c>
      <c r="E645" t="s">
        <v>10</v>
      </c>
      <c r="F645" t="s">
        <v>4</v>
      </c>
      <c r="G645" t="s">
        <v>32</v>
      </c>
      <c r="H645" t="s">
        <v>2802</v>
      </c>
      <c r="I645" t="s">
        <v>2894</v>
      </c>
      <c r="J645" t="str">
        <f>IF(ISNUMBER(MATCH($D645,'Lopettaneet 2013-&gt;'!$D:$D,0)),INDEX('Lopettaneet 2013-&gt;'!$K:$K,MATCH($D645,'Lopettaneet 2013-&gt;'!$D:$D,0)),"Jatkaa")</f>
        <v>Jatkaa</v>
      </c>
      <c r="K645">
        <f ca="1">IF($J645="Jatkaa",DATEDIF($B645,TODAY(),"Y"),INDEX('Lopettaneet 2013-&gt;'!$L:$L,MATCH($D645,'Lopettaneet 2013-&gt;'!$D:$D,0)))</f>
        <v>6</v>
      </c>
      <c r="L645">
        <v>644</v>
      </c>
    </row>
    <row r="646" spans="1:12" x14ac:dyDescent="0.25">
      <c r="A646" t="s">
        <v>7</v>
      </c>
      <c r="B646" s="1">
        <v>43344</v>
      </c>
      <c r="C646" s="1">
        <v>55153</v>
      </c>
      <c r="D646" s="4" t="s">
        <v>1492</v>
      </c>
      <c r="E646" t="s">
        <v>10</v>
      </c>
      <c r="F646" t="s">
        <v>11</v>
      </c>
      <c r="G646" t="s">
        <v>32</v>
      </c>
      <c r="H646" t="s">
        <v>2801</v>
      </c>
      <c r="I646" t="s">
        <v>2895</v>
      </c>
      <c r="J646" t="str">
        <f>IF(ISNUMBER(MATCH($D646,'Lopettaneet 2013-&gt;'!$D:$D,0)),INDEX('Lopettaneet 2013-&gt;'!$K:$K,MATCH($D646,'Lopettaneet 2013-&gt;'!$D:$D,0)),"Jatkaa")</f>
        <v>Jatkaa</v>
      </c>
      <c r="K646">
        <f ca="1">IF($J646="Jatkaa",DATEDIF($B646,TODAY(),"Y"),INDEX('Lopettaneet 2013-&gt;'!$L:$L,MATCH($D646,'Lopettaneet 2013-&gt;'!$D:$D,0)))</f>
        <v>6</v>
      </c>
      <c r="L646">
        <v>645</v>
      </c>
    </row>
    <row r="647" spans="1:12" x14ac:dyDescent="0.25">
      <c r="A647" t="s">
        <v>7</v>
      </c>
      <c r="B647" s="1">
        <v>43344</v>
      </c>
      <c r="C647" s="1">
        <v>55153</v>
      </c>
      <c r="D647" s="4" t="s">
        <v>1494</v>
      </c>
      <c r="E647" t="s">
        <v>10</v>
      </c>
      <c r="F647" t="s">
        <v>11</v>
      </c>
      <c r="G647" t="s">
        <v>32</v>
      </c>
      <c r="H647" t="s">
        <v>2801</v>
      </c>
      <c r="I647" t="s">
        <v>2895</v>
      </c>
      <c r="J647" t="str">
        <f>IF(ISNUMBER(MATCH($D647,'Lopettaneet 2013-&gt;'!$D:$D,0)),INDEX('Lopettaneet 2013-&gt;'!$K:$K,MATCH($D647,'Lopettaneet 2013-&gt;'!$D:$D,0)),"Jatkaa")</f>
        <v>Jatkaa</v>
      </c>
      <c r="K647">
        <f ca="1">IF($J647="Jatkaa",DATEDIF($B647,TODAY(),"Y"),INDEX('Lopettaneet 2013-&gt;'!$L:$L,MATCH($D647,'Lopettaneet 2013-&gt;'!$D:$D,0)))</f>
        <v>6</v>
      </c>
      <c r="L647">
        <v>646</v>
      </c>
    </row>
    <row r="648" spans="1:12" x14ac:dyDescent="0.25">
      <c r="A648" t="s">
        <v>7</v>
      </c>
      <c r="B648" s="1">
        <v>43344</v>
      </c>
      <c r="C648" s="1">
        <v>55153</v>
      </c>
      <c r="D648" s="4" t="s">
        <v>1496</v>
      </c>
      <c r="E648" t="s">
        <v>10</v>
      </c>
      <c r="F648" t="s">
        <v>11</v>
      </c>
      <c r="G648" t="s">
        <v>32</v>
      </c>
      <c r="H648" t="s">
        <v>2801</v>
      </c>
      <c r="I648" t="s">
        <v>2895</v>
      </c>
      <c r="J648" t="str">
        <f>IF(ISNUMBER(MATCH($D648,'Lopettaneet 2013-&gt;'!$D:$D,0)),INDEX('Lopettaneet 2013-&gt;'!$K:$K,MATCH($D648,'Lopettaneet 2013-&gt;'!$D:$D,0)),"Jatkaa")</f>
        <v>Jatkaa</v>
      </c>
      <c r="K648">
        <f ca="1">IF($J648="Jatkaa",DATEDIF($B648,TODAY(),"Y"),INDEX('Lopettaneet 2013-&gt;'!$L:$L,MATCH($D648,'Lopettaneet 2013-&gt;'!$D:$D,0)))</f>
        <v>6</v>
      </c>
      <c r="L648">
        <v>647</v>
      </c>
    </row>
    <row r="649" spans="1:12" x14ac:dyDescent="0.25">
      <c r="A649" t="s">
        <v>7</v>
      </c>
      <c r="B649" s="1">
        <v>43344</v>
      </c>
      <c r="C649" s="1">
        <v>55153</v>
      </c>
      <c r="D649" s="4" t="s">
        <v>1498</v>
      </c>
      <c r="E649" t="s">
        <v>10</v>
      </c>
      <c r="F649" t="s">
        <v>11</v>
      </c>
      <c r="G649" t="s">
        <v>32</v>
      </c>
      <c r="H649" t="s">
        <v>2801</v>
      </c>
      <c r="I649" t="s">
        <v>2895</v>
      </c>
      <c r="J649" t="str">
        <f>IF(ISNUMBER(MATCH($D649,'Lopettaneet 2013-&gt;'!$D:$D,0)),INDEX('Lopettaneet 2013-&gt;'!$K:$K,MATCH($D649,'Lopettaneet 2013-&gt;'!$D:$D,0)),"Jatkaa")</f>
        <v>Jatkaa</v>
      </c>
      <c r="K649">
        <f ca="1">IF($J649="Jatkaa",DATEDIF($B649,TODAY(),"Y"),INDEX('Lopettaneet 2013-&gt;'!$L:$L,MATCH($D649,'Lopettaneet 2013-&gt;'!$D:$D,0)))</f>
        <v>6</v>
      </c>
      <c r="L649">
        <v>648</v>
      </c>
    </row>
    <row r="650" spans="1:12" x14ac:dyDescent="0.25">
      <c r="A650" t="s">
        <v>7</v>
      </c>
      <c r="B650" s="1">
        <v>43344</v>
      </c>
      <c r="C650" s="1">
        <v>55153</v>
      </c>
      <c r="D650" s="4" t="s">
        <v>1500</v>
      </c>
      <c r="E650" t="s">
        <v>10</v>
      </c>
      <c r="F650" t="s">
        <v>11</v>
      </c>
      <c r="G650" t="s">
        <v>32</v>
      </c>
      <c r="H650" t="s">
        <v>2801</v>
      </c>
      <c r="I650" t="s">
        <v>2895</v>
      </c>
      <c r="J650" t="str">
        <f>IF(ISNUMBER(MATCH($D650,'Lopettaneet 2013-&gt;'!$D:$D,0)),INDEX('Lopettaneet 2013-&gt;'!$K:$K,MATCH($D650,'Lopettaneet 2013-&gt;'!$D:$D,0)),"Jatkaa")</f>
        <v>Jatkaa</v>
      </c>
      <c r="K650">
        <f ca="1">IF($J650="Jatkaa",DATEDIF($B650,TODAY(),"Y"),INDEX('Lopettaneet 2013-&gt;'!$L:$L,MATCH($D650,'Lopettaneet 2013-&gt;'!$D:$D,0)))</f>
        <v>6</v>
      </c>
      <c r="L650">
        <v>649</v>
      </c>
    </row>
    <row r="651" spans="1:12" x14ac:dyDescent="0.25">
      <c r="A651" t="s">
        <v>7</v>
      </c>
      <c r="B651" s="1">
        <v>43435</v>
      </c>
      <c r="C651" s="1">
        <v>55153</v>
      </c>
      <c r="D651" s="4" t="s">
        <v>1502</v>
      </c>
      <c r="E651" t="s">
        <v>10</v>
      </c>
      <c r="F651" t="s">
        <v>11</v>
      </c>
      <c r="G651" t="s">
        <v>32</v>
      </c>
      <c r="H651" t="s">
        <v>2771</v>
      </c>
      <c r="I651" t="s">
        <v>2894</v>
      </c>
      <c r="J651" t="str">
        <f>IF(ISNUMBER(MATCH($D651,'Lopettaneet 2013-&gt;'!$D:$D,0)),INDEX('Lopettaneet 2013-&gt;'!$K:$K,MATCH($D651,'Lopettaneet 2013-&gt;'!$D:$D,0)),"Jatkaa")</f>
        <v>Jatkaa</v>
      </c>
      <c r="K651">
        <f ca="1">IF($J651="Jatkaa",DATEDIF($B651,TODAY(),"Y"),INDEX('Lopettaneet 2013-&gt;'!$L:$L,MATCH($D651,'Lopettaneet 2013-&gt;'!$D:$D,0)))</f>
        <v>6</v>
      </c>
      <c r="L651">
        <v>650</v>
      </c>
    </row>
    <row r="652" spans="1:12" x14ac:dyDescent="0.25">
      <c r="A652" t="s">
        <v>0</v>
      </c>
      <c r="B652" s="1">
        <v>43344</v>
      </c>
      <c r="C652" s="1">
        <v>55153</v>
      </c>
      <c r="D652" s="4" t="s">
        <v>1504</v>
      </c>
      <c r="E652" t="s">
        <v>10</v>
      </c>
      <c r="F652" t="s">
        <v>4</v>
      </c>
      <c r="G652" t="s">
        <v>32</v>
      </c>
      <c r="H652" t="s">
        <v>2777</v>
      </c>
      <c r="I652" t="s">
        <v>2894</v>
      </c>
      <c r="J652" t="str">
        <f>IF(ISNUMBER(MATCH($D652,'Lopettaneet 2013-&gt;'!$D:$D,0)),INDEX('Lopettaneet 2013-&gt;'!$K:$K,MATCH($D652,'Lopettaneet 2013-&gt;'!$D:$D,0)),"Jatkaa")</f>
        <v>Jatkaa</v>
      </c>
      <c r="K652">
        <f ca="1">IF($J652="Jatkaa",DATEDIF($B652,TODAY(),"Y"),INDEX('Lopettaneet 2013-&gt;'!$L:$L,MATCH($D652,'Lopettaneet 2013-&gt;'!$D:$D,0)))</f>
        <v>6</v>
      </c>
      <c r="L652">
        <v>651</v>
      </c>
    </row>
    <row r="653" spans="1:12" x14ac:dyDescent="0.25">
      <c r="A653" t="s">
        <v>7</v>
      </c>
      <c r="B653" s="1">
        <v>43617</v>
      </c>
      <c r="C653" s="1">
        <v>55153</v>
      </c>
      <c r="D653" s="4" t="s">
        <v>1506</v>
      </c>
      <c r="E653" t="s">
        <v>10</v>
      </c>
      <c r="F653" t="s">
        <v>11</v>
      </c>
      <c r="G653" t="s">
        <v>80</v>
      </c>
      <c r="H653" t="s">
        <v>2853</v>
      </c>
      <c r="I653" t="s">
        <v>2894</v>
      </c>
      <c r="J653" t="str">
        <f>IF(ISNUMBER(MATCH($D653,'Lopettaneet 2013-&gt;'!$D:$D,0)),INDEX('Lopettaneet 2013-&gt;'!$K:$K,MATCH($D653,'Lopettaneet 2013-&gt;'!$D:$D,0)),"Jatkaa")</f>
        <v>Jatkaa</v>
      </c>
      <c r="K653">
        <f ca="1">IF($J653="Jatkaa",DATEDIF($B653,TODAY(),"Y"),INDEX('Lopettaneet 2013-&gt;'!$L:$L,MATCH($D653,'Lopettaneet 2013-&gt;'!$D:$D,0)))</f>
        <v>5</v>
      </c>
      <c r="L653">
        <v>652</v>
      </c>
    </row>
    <row r="654" spans="1:12" x14ac:dyDescent="0.25">
      <c r="A654" t="s">
        <v>7</v>
      </c>
      <c r="B654" s="1">
        <v>43435</v>
      </c>
      <c r="C654" s="1">
        <v>44561</v>
      </c>
      <c r="D654" s="4" t="s">
        <v>1508</v>
      </c>
      <c r="E654" t="s">
        <v>10</v>
      </c>
      <c r="F654" t="s">
        <v>11</v>
      </c>
      <c r="G654" t="s">
        <v>29</v>
      </c>
      <c r="H654" t="s">
        <v>2763</v>
      </c>
      <c r="I654" t="s">
        <v>2763</v>
      </c>
      <c r="J654" t="str">
        <f>IF(ISNUMBER(MATCH($D654,'Lopettaneet 2013-&gt;'!$D:$D,0)),INDEX('Lopettaneet 2013-&gt;'!$K:$K,MATCH($D654,'Lopettaneet 2013-&gt;'!$D:$D,0)),"Jatkaa")</f>
        <v>Closed</v>
      </c>
      <c r="K654">
        <f ca="1">IF($J654="Jatkaa",DATEDIF($B654,TODAY(),"Y"),INDEX('Lopettaneet 2013-&gt;'!$L:$L,MATCH($D654,'Lopettaneet 2013-&gt;'!$D:$D,0)))</f>
        <v>3</v>
      </c>
      <c r="L654">
        <v>653</v>
      </c>
    </row>
    <row r="655" spans="1:12" x14ac:dyDescent="0.25">
      <c r="A655" t="s">
        <v>7</v>
      </c>
      <c r="B655" s="1">
        <v>43435</v>
      </c>
      <c r="C655" s="1">
        <v>44561</v>
      </c>
      <c r="D655" s="4" t="s">
        <v>1510</v>
      </c>
      <c r="E655" t="s">
        <v>10</v>
      </c>
      <c r="F655" t="s">
        <v>4</v>
      </c>
      <c r="G655" t="s">
        <v>29</v>
      </c>
      <c r="H655" t="s">
        <v>2763</v>
      </c>
      <c r="I655" t="s">
        <v>2763</v>
      </c>
      <c r="J655" t="str">
        <f>IF(ISNUMBER(MATCH($D655,'Lopettaneet 2013-&gt;'!$D:$D,0)),INDEX('Lopettaneet 2013-&gt;'!$K:$K,MATCH($D655,'Lopettaneet 2013-&gt;'!$D:$D,0)),"Jatkaa")</f>
        <v>Closed</v>
      </c>
      <c r="K655">
        <f ca="1">IF($J655="Jatkaa",DATEDIF($B655,TODAY(),"Y"),INDEX('Lopettaneet 2013-&gt;'!$L:$L,MATCH($D655,'Lopettaneet 2013-&gt;'!$D:$D,0)))</f>
        <v>3</v>
      </c>
      <c r="L655">
        <v>654</v>
      </c>
    </row>
    <row r="656" spans="1:12" x14ac:dyDescent="0.25">
      <c r="A656" t="s">
        <v>7</v>
      </c>
      <c r="B656" s="1">
        <v>43435</v>
      </c>
      <c r="C656" s="1">
        <v>55153</v>
      </c>
      <c r="D656" s="4" t="s">
        <v>1512</v>
      </c>
      <c r="E656" t="s">
        <v>10</v>
      </c>
      <c r="F656" t="s">
        <v>11</v>
      </c>
      <c r="G656" t="s">
        <v>32</v>
      </c>
      <c r="H656" t="s">
        <v>2765</v>
      </c>
      <c r="I656" t="s">
        <v>2894</v>
      </c>
      <c r="J656" t="str">
        <f>IF(ISNUMBER(MATCH($D656,'Lopettaneet 2013-&gt;'!$D:$D,0)),INDEX('Lopettaneet 2013-&gt;'!$K:$K,MATCH($D656,'Lopettaneet 2013-&gt;'!$D:$D,0)),"Jatkaa")</f>
        <v>Jatkaa</v>
      </c>
      <c r="K656">
        <f ca="1">IF($J656="Jatkaa",DATEDIF($B656,TODAY(),"Y"),INDEX('Lopettaneet 2013-&gt;'!$L:$L,MATCH($D656,'Lopettaneet 2013-&gt;'!$D:$D,0)))</f>
        <v>6</v>
      </c>
      <c r="L656">
        <v>655</v>
      </c>
    </row>
    <row r="657" spans="1:12" x14ac:dyDescent="0.25">
      <c r="A657" t="s">
        <v>7</v>
      </c>
      <c r="B657" s="1">
        <v>43435</v>
      </c>
      <c r="C657" s="1">
        <v>55153</v>
      </c>
      <c r="D657" s="4" t="s">
        <v>1514</v>
      </c>
      <c r="E657" t="s">
        <v>10</v>
      </c>
      <c r="F657" t="s">
        <v>11</v>
      </c>
      <c r="G657" t="s">
        <v>32</v>
      </c>
      <c r="H657" t="s">
        <v>2765</v>
      </c>
      <c r="I657" t="s">
        <v>2894</v>
      </c>
      <c r="J657" t="str">
        <f>IF(ISNUMBER(MATCH($D657,'Lopettaneet 2013-&gt;'!$D:$D,0)),INDEX('Lopettaneet 2013-&gt;'!$K:$K,MATCH($D657,'Lopettaneet 2013-&gt;'!$D:$D,0)),"Jatkaa")</f>
        <v>Jatkaa</v>
      </c>
      <c r="K657">
        <f ca="1">IF($J657="Jatkaa",DATEDIF($B657,TODAY(),"Y"),INDEX('Lopettaneet 2013-&gt;'!$L:$L,MATCH($D657,'Lopettaneet 2013-&gt;'!$D:$D,0)))</f>
        <v>6</v>
      </c>
      <c r="L657">
        <v>656</v>
      </c>
    </row>
    <row r="658" spans="1:12" x14ac:dyDescent="0.25">
      <c r="A658" t="s">
        <v>7</v>
      </c>
      <c r="B658" s="1">
        <v>43435</v>
      </c>
      <c r="C658" s="1">
        <v>55153</v>
      </c>
      <c r="D658" s="4" t="s">
        <v>1516</v>
      </c>
      <c r="E658" t="s">
        <v>10</v>
      </c>
      <c r="F658" t="s">
        <v>11</v>
      </c>
      <c r="G658" t="s">
        <v>32</v>
      </c>
      <c r="H658" t="s">
        <v>2824</v>
      </c>
      <c r="I658" t="s">
        <v>2894</v>
      </c>
      <c r="J658" t="str">
        <f>IF(ISNUMBER(MATCH($D658,'Lopettaneet 2013-&gt;'!$D:$D,0)),INDEX('Lopettaneet 2013-&gt;'!$K:$K,MATCH($D658,'Lopettaneet 2013-&gt;'!$D:$D,0)),"Jatkaa")</f>
        <v>Jatkaa</v>
      </c>
      <c r="K658">
        <f ca="1">IF($J658="Jatkaa",DATEDIF($B658,TODAY(),"Y"),INDEX('Lopettaneet 2013-&gt;'!$L:$L,MATCH($D658,'Lopettaneet 2013-&gt;'!$D:$D,0)))</f>
        <v>6</v>
      </c>
      <c r="L658">
        <v>657</v>
      </c>
    </row>
    <row r="659" spans="1:12" x14ac:dyDescent="0.25">
      <c r="A659" t="s">
        <v>7</v>
      </c>
      <c r="B659" s="1">
        <v>43435</v>
      </c>
      <c r="C659" s="1">
        <v>55153</v>
      </c>
      <c r="D659" s="4" t="s">
        <v>1518</v>
      </c>
      <c r="E659" t="s">
        <v>10</v>
      </c>
      <c r="F659" t="s">
        <v>11</v>
      </c>
      <c r="G659" t="s">
        <v>80</v>
      </c>
      <c r="H659" t="s">
        <v>2771</v>
      </c>
      <c r="I659" t="s">
        <v>2894</v>
      </c>
      <c r="J659" t="str">
        <f>IF(ISNUMBER(MATCH($D659,'Lopettaneet 2013-&gt;'!$D:$D,0)),INDEX('Lopettaneet 2013-&gt;'!$K:$K,MATCH($D659,'Lopettaneet 2013-&gt;'!$D:$D,0)),"Jatkaa")</f>
        <v>Jatkaa</v>
      </c>
      <c r="K659">
        <f ca="1">IF($J659="Jatkaa",DATEDIF($B659,TODAY(),"Y"),INDEX('Lopettaneet 2013-&gt;'!$L:$L,MATCH($D659,'Lopettaneet 2013-&gt;'!$D:$D,0)))</f>
        <v>6</v>
      </c>
      <c r="L659">
        <v>658</v>
      </c>
    </row>
    <row r="660" spans="1:12" x14ac:dyDescent="0.25">
      <c r="A660" t="s">
        <v>0</v>
      </c>
      <c r="B660" s="1">
        <v>43435</v>
      </c>
      <c r="C660" s="1">
        <v>55153</v>
      </c>
      <c r="D660" s="4" t="s">
        <v>1520</v>
      </c>
      <c r="E660" t="s">
        <v>3</v>
      </c>
      <c r="F660" t="s">
        <v>4</v>
      </c>
      <c r="G660" t="s">
        <v>20</v>
      </c>
      <c r="H660" t="s">
        <v>2767</v>
      </c>
      <c r="I660" t="s">
        <v>2894</v>
      </c>
      <c r="J660" t="str">
        <f>IF(ISNUMBER(MATCH($D660,'Lopettaneet 2013-&gt;'!$D:$D,0)),INDEX('Lopettaneet 2013-&gt;'!$K:$K,MATCH($D660,'Lopettaneet 2013-&gt;'!$D:$D,0)),"Jatkaa")</f>
        <v>Jatkaa</v>
      </c>
      <c r="K660">
        <f ca="1">IF($J660="Jatkaa",DATEDIF($B660,TODAY(),"Y"),INDEX('Lopettaneet 2013-&gt;'!$L:$L,MATCH($D660,'Lopettaneet 2013-&gt;'!$D:$D,0)))</f>
        <v>6</v>
      </c>
      <c r="L660">
        <v>659</v>
      </c>
    </row>
    <row r="661" spans="1:12" x14ac:dyDescent="0.25">
      <c r="A661" t="s">
        <v>0</v>
      </c>
      <c r="B661" s="1">
        <v>43586</v>
      </c>
      <c r="C661" s="1">
        <v>45291</v>
      </c>
      <c r="D661" s="4" t="s">
        <v>48</v>
      </c>
      <c r="E661" t="s">
        <v>3</v>
      </c>
      <c r="F661" t="s">
        <v>4</v>
      </c>
      <c r="G661" t="s">
        <v>50</v>
      </c>
      <c r="H661" t="s">
        <v>2763</v>
      </c>
      <c r="I661" t="s">
        <v>2763</v>
      </c>
      <c r="J661" t="str">
        <f>IF(ISNUMBER(MATCH($D661,'Lopettaneet 2013-&gt;'!$D:$D,0)),INDEX('Lopettaneet 2013-&gt;'!$K:$K,MATCH($D661,'Lopettaneet 2013-&gt;'!$D:$D,0)),"Jatkaa")</f>
        <v>Merged</v>
      </c>
      <c r="K661">
        <f ca="1">IF($J661="Jatkaa",DATEDIF($B661,TODAY(),"Y"),INDEX('Lopettaneet 2013-&gt;'!$L:$L,MATCH($D661,'Lopettaneet 2013-&gt;'!$D:$D,0)))</f>
        <v>4</v>
      </c>
      <c r="L661">
        <v>660</v>
      </c>
    </row>
    <row r="662" spans="1:12" x14ac:dyDescent="0.25">
      <c r="A662" t="s">
        <v>7</v>
      </c>
      <c r="B662" s="1">
        <v>43435</v>
      </c>
      <c r="C662" s="1">
        <v>55153</v>
      </c>
      <c r="D662" s="4" t="s">
        <v>1522</v>
      </c>
      <c r="E662" t="s">
        <v>10</v>
      </c>
      <c r="F662" t="s">
        <v>11</v>
      </c>
      <c r="G662" t="s">
        <v>29</v>
      </c>
      <c r="H662" t="s">
        <v>2847</v>
      </c>
      <c r="I662" t="s">
        <v>2895</v>
      </c>
      <c r="J662" t="str">
        <f>IF(ISNUMBER(MATCH($D662,'Lopettaneet 2013-&gt;'!$D:$D,0)),INDEX('Lopettaneet 2013-&gt;'!$K:$K,MATCH($D662,'Lopettaneet 2013-&gt;'!$D:$D,0)),"Jatkaa")</f>
        <v>Jatkaa</v>
      </c>
      <c r="K662">
        <f ca="1">IF($J662="Jatkaa",DATEDIF($B662,TODAY(),"Y"),INDEX('Lopettaneet 2013-&gt;'!$L:$L,MATCH($D662,'Lopettaneet 2013-&gt;'!$D:$D,0)))</f>
        <v>6</v>
      </c>
      <c r="L662">
        <v>661</v>
      </c>
    </row>
    <row r="663" spans="1:12" x14ac:dyDescent="0.25">
      <c r="A663" t="s">
        <v>0</v>
      </c>
      <c r="B663" s="1">
        <v>43435</v>
      </c>
      <c r="C663" s="1">
        <v>55153</v>
      </c>
      <c r="D663" s="4" t="s">
        <v>1524</v>
      </c>
      <c r="E663" t="s">
        <v>10</v>
      </c>
      <c r="F663" t="s">
        <v>4</v>
      </c>
      <c r="G663" t="s">
        <v>29</v>
      </c>
      <c r="H663" t="s">
        <v>2774</v>
      </c>
      <c r="I663" t="s">
        <v>2894</v>
      </c>
      <c r="J663" t="str">
        <f>IF(ISNUMBER(MATCH($D663,'Lopettaneet 2013-&gt;'!$D:$D,0)),INDEX('Lopettaneet 2013-&gt;'!$K:$K,MATCH($D663,'Lopettaneet 2013-&gt;'!$D:$D,0)),"Jatkaa")</f>
        <v>Jatkaa</v>
      </c>
      <c r="K663">
        <f ca="1">IF($J663="Jatkaa",DATEDIF($B663,TODAY(),"Y"),INDEX('Lopettaneet 2013-&gt;'!$L:$L,MATCH($D663,'Lopettaneet 2013-&gt;'!$D:$D,0)))</f>
        <v>6</v>
      </c>
      <c r="L663">
        <v>662</v>
      </c>
    </row>
    <row r="664" spans="1:12" x14ac:dyDescent="0.25">
      <c r="A664" t="s">
        <v>7</v>
      </c>
      <c r="B664" s="1">
        <v>43435</v>
      </c>
      <c r="C664" s="1">
        <v>55153</v>
      </c>
      <c r="D664" s="4" t="s">
        <v>1526</v>
      </c>
      <c r="E664" t="s">
        <v>10</v>
      </c>
      <c r="F664" t="s">
        <v>11</v>
      </c>
      <c r="G664" t="s">
        <v>29</v>
      </c>
      <c r="H664" t="s">
        <v>2765</v>
      </c>
      <c r="I664" t="s">
        <v>2895</v>
      </c>
      <c r="J664" t="str">
        <f>IF(ISNUMBER(MATCH($D664,'Lopettaneet 2013-&gt;'!$D:$D,0)),INDEX('Lopettaneet 2013-&gt;'!$K:$K,MATCH($D664,'Lopettaneet 2013-&gt;'!$D:$D,0)),"Jatkaa")</f>
        <v>Jatkaa</v>
      </c>
      <c r="K664">
        <f ca="1">IF($J664="Jatkaa",DATEDIF($B664,TODAY(),"Y"),INDEX('Lopettaneet 2013-&gt;'!$L:$L,MATCH($D664,'Lopettaneet 2013-&gt;'!$D:$D,0)))</f>
        <v>6</v>
      </c>
      <c r="L664">
        <v>663</v>
      </c>
    </row>
    <row r="665" spans="1:12" x14ac:dyDescent="0.25">
      <c r="A665" t="s">
        <v>0</v>
      </c>
      <c r="B665" s="1">
        <v>43405</v>
      </c>
      <c r="C665" s="1">
        <v>44012</v>
      </c>
      <c r="D665" s="4" t="s">
        <v>1528</v>
      </c>
      <c r="E665" t="s">
        <v>10</v>
      </c>
      <c r="F665" t="s">
        <v>4</v>
      </c>
      <c r="G665" t="s">
        <v>50</v>
      </c>
      <c r="H665" t="s">
        <v>2763</v>
      </c>
      <c r="I665" t="s">
        <v>2763</v>
      </c>
      <c r="J665" t="str">
        <f>IF(ISNUMBER(MATCH($D665,'Lopettaneet 2013-&gt;'!$D:$D,0)),INDEX('Lopettaneet 2013-&gt;'!$K:$K,MATCH($D665,'Lopettaneet 2013-&gt;'!$D:$D,0)),"Jatkaa")</f>
        <v>Closed</v>
      </c>
      <c r="K665">
        <f ca="1">IF($J665="Jatkaa",DATEDIF($B665,TODAY(),"Y"),INDEX('Lopettaneet 2013-&gt;'!$L:$L,MATCH($D665,'Lopettaneet 2013-&gt;'!$D:$D,0)))</f>
        <v>1</v>
      </c>
      <c r="L665">
        <v>664</v>
      </c>
    </row>
    <row r="666" spans="1:12" x14ac:dyDescent="0.25">
      <c r="A666" t="s">
        <v>7</v>
      </c>
      <c r="B666" s="1">
        <v>43525</v>
      </c>
      <c r="C666" s="1">
        <v>55153</v>
      </c>
      <c r="D666" s="4" t="s">
        <v>1530</v>
      </c>
      <c r="E666" t="s">
        <v>10</v>
      </c>
      <c r="F666" t="s">
        <v>11</v>
      </c>
      <c r="G666" t="s">
        <v>32</v>
      </c>
      <c r="H666" t="s">
        <v>2765</v>
      </c>
      <c r="I666" t="s">
        <v>2895</v>
      </c>
      <c r="J666" t="str">
        <f>IF(ISNUMBER(MATCH($D666,'Lopettaneet 2013-&gt;'!$D:$D,0)),INDEX('Lopettaneet 2013-&gt;'!$K:$K,MATCH($D666,'Lopettaneet 2013-&gt;'!$D:$D,0)),"Jatkaa")</f>
        <v>Jatkaa</v>
      </c>
      <c r="K666">
        <f ca="1">IF($J666="Jatkaa",DATEDIF($B666,TODAY(),"Y"),INDEX('Lopettaneet 2013-&gt;'!$L:$L,MATCH($D666,'Lopettaneet 2013-&gt;'!$D:$D,0)))</f>
        <v>6</v>
      </c>
      <c r="L666">
        <v>665</v>
      </c>
    </row>
    <row r="667" spans="1:12" x14ac:dyDescent="0.25">
      <c r="A667" t="s">
        <v>7</v>
      </c>
      <c r="B667" s="1">
        <v>43617</v>
      </c>
      <c r="C667" s="1">
        <v>55153</v>
      </c>
      <c r="D667" s="4" t="s">
        <v>1532</v>
      </c>
      <c r="E667" t="s">
        <v>10</v>
      </c>
      <c r="F667" t="s">
        <v>11</v>
      </c>
      <c r="G667" t="s">
        <v>32</v>
      </c>
      <c r="H667" t="s">
        <v>2837</v>
      </c>
      <c r="I667" t="s">
        <v>2895</v>
      </c>
      <c r="J667" t="str">
        <f>IF(ISNUMBER(MATCH($D667,'Lopettaneet 2013-&gt;'!$D:$D,0)),INDEX('Lopettaneet 2013-&gt;'!$K:$K,MATCH($D667,'Lopettaneet 2013-&gt;'!$D:$D,0)),"Jatkaa")</f>
        <v>Jatkaa</v>
      </c>
      <c r="K667">
        <f ca="1">IF($J667="Jatkaa",DATEDIF($B667,TODAY(),"Y"),INDEX('Lopettaneet 2013-&gt;'!$L:$L,MATCH($D667,'Lopettaneet 2013-&gt;'!$D:$D,0)))</f>
        <v>5</v>
      </c>
      <c r="L667">
        <v>666</v>
      </c>
    </row>
    <row r="668" spans="1:12" x14ac:dyDescent="0.25">
      <c r="A668" t="s">
        <v>7</v>
      </c>
      <c r="B668" s="1">
        <v>43435</v>
      </c>
      <c r="C668" s="1">
        <v>55153</v>
      </c>
      <c r="D668" s="4" t="s">
        <v>1534</v>
      </c>
      <c r="E668" t="s">
        <v>10</v>
      </c>
      <c r="F668" t="s">
        <v>11</v>
      </c>
      <c r="G668" t="s">
        <v>80</v>
      </c>
      <c r="H668" t="s">
        <v>2771</v>
      </c>
      <c r="I668" t="s">
        <v>2894</v>
      </c>
      <c r="J668" t="str">
        <f>IF(ISNUMBER(MATCH($D668,'Lopettaneet 2013-&gt;'!$D:$D,0)),INDEX('Lopettaneet 2013-&gt;'!$K:$K,MATCH($D668,'Lopettaneet 2013-&gt;'!$D:$D,0)),"Jatkaa")</f>
        <v>Jatkaa</v>
      </c>
      <c r="K668">
        <f ca="1">IF($J668="Jatkaa",DATEDIF($B668,TODAY(),"Y"),INDEX('Lopettaneet 2013-&gt;'!$L:$L,MATCH($D668,'Lopettaneet 2013-&gt;'!$D:$D,0)))</f>
        <v>6</v>
      </c>
      <c r="L668">
        <v>667</v>
      </c>
    </row>
    <row r="669" spans="1:12" x14ac:dyDescent="0.25">
      <c r="A669" t="s">
        <v>0</v>
      </c>
      <c r="B669" s="1">
        <v>43405</v>
      </c>
      <c r="C669" s="1">
        <v>44012</v>
      </c>
      <c r="D669" s="4" t="s">
        <v>1536</v>
      </c>
      <c r="E669" t="s">
        <v>3</v>
      </c>
      <c r="F669" t="s">
        <v>4</v>
      </c>
      <c r="G669" t="s">
        <v>20</v>
      </c>
      <c r="H669" t="s">
        <v>2763</v>
      </c>
      <c r="I669" t="s">
        <v>2763</v>
      </c>
      <c r="J669" t="str">
        <f>IF(ISNUMBER(MATCH($D669,'Lopettaneet 2013-&gt;'!$D:$D,0)),INDEX('Lopettaneet 2013-&gt;'!$K:$K,MATCH($D669,'Lopettaneet 2013-&gt;'!$D:$D,0)),"Jatkaa")</f>
        <v>Closed</v>
      </c>
      <c r="K669">
        <f ca="1">IF($J669="Jatkaa",DATEDIF($B669,TODAY(),"Y"),INDEX('Lopettaneet 2013-&gt;'!$L:$L,MATCH($D669,'Lopettaneet 2013-&gt;'!$D:$D,0)))</f>
        <v>1</v>
      </c>
      <c r="L669">
        <v>668</v>
      </c>
    </row>
    <row r="670" spans="1:12" x14ac:dyDescent="0.25">
      <c r="A670" t="s">
        <v>0</v>
      </c>
      <c r="B670" s="1">
        <v>43405</v>
      </c>
      <c r="C670" s="1">
        <v>44012</v>
      </c>
      <c r="D670" s="4" t="s">
        <v>1538</v>
      </c>
      <c r="E670" t="s">
        <v>3</v>
      </c>
      <c r="F670" t="s">
        <v>4</v>
      </c>
      <c r="G670" t="s">
        <v>20</v>
      </c>
      <c r="H670" t="s">
        <v>2763</v>
      </c>
      <c r="I670" t="s">
        <v>2763</v>
      </c>
      <c r="J670" t="str">
        <f>IF(ISNUMBER(MATCH($D670,'Lopettaneet 2013-&gt;'!$D:$D,0)),INDEX('Lopettaneet 2013-&gt;'!$K:$K,MATCH($D670,'Lopettaneet 2013-&gt;'!$D:$D,0)),"Jatkaa")</f>
        <v>Closed</v>
      </c>
      <c r="K670">
        <f ca="1">IF($J670="Jatkaa",DATEDIF($B670,TODAY(),"Y"),INDEX('Lopettaneet 2013-&gt;'!$L:$L,MATCH($D670,'Lopettaneet 2013-&gt;'!$D:$D,0)))</f>
        <v>1</v>
      </c>
      <c r="L670">
        <v>669</v>
      </c>
    </row>
    <row r="671" spans="1:12" x14ac:dyDescent="0.25">
      <c r="A671" t="s">
        <v>0</v>
      </c>
      <c r="B671" s="1">
        <v>43435</v>
      </c>
      <c r="C671" s="1">
        <v>55153</v>
      </c>
      <c r="D671" s="4" t="s">
        <v>1540</v>
      </c>
      <c r="E671" t="s">
        <v>3</v>
      </c>
      <c r="F671" t="s">
        <v>4</v>
      </c>
      <c r="G671" t="s">
        <v>20</v>
      </c>
      <c r="H671" t="s">
        <v>2777</v>
      </c>
      <c r="I671" t="s">
        <v>2894</v>
      </c>
      <c r="J671" t="str">
        <f>IF(ISNUMBER(MATCH($D671,'Lopettaneet 2013-&gt;'!$D:$D,0)),INDEX('Lopettaneet 2013-&gt;'!$K:$K,MATCH($D671,'Lopettaneet 2013-&gt;'!$D:$D,0)),"Jatkaa")</f>
        <v>Jatkaa</v>
      </c>
      <c r="K671">
        <f ca="1">IF($J671="Jatkaa",DATEDIF($B671,TODAY(),"Y"),INDEX('Lopettaneet 2013-&gt;'!$L:$L,MATCH($D671,'Lopettaneet 2013-&gt;'!$D:$D,0)))</f>
        <v>6</v>
      </c>
      <c r="L671">
        <v>670</v>
      </c>
    </row>
    <row r="672" spans="1:12" x14ac:dyDescent="0.25">
      <c r="A672" t="s">
        <v>0</v>
      </c>
      <c r="B672" s="1">
        <v>43466</v>
      </c>
      <c r="C672" s="1">
        <v>55153</v>
      </c>
      <c r="D672" s="4" t="s">
        <v>1542</v>
      </c>
      <c r="E672" t="s">
        <v>10</v>
      </c>
      <c r="F672" t="s">
        <v>11</v>
      </c>
      <c r="G672" t="s">
        <v>29</v>
      </c>
      <c r="H672" t="s">
        <v>2771</v>
      </c>
      <c r="I672" t="s">
        <v>2895</v>
      </c>
      <c r="J672" t="str">
        <f>IF(ISNUMBER(MATCH($D672,'Lopettaneet 2013-&gt;'!$D:$D,0)),INDEX('Lopettaneet 2013-&gt;'!$K:$K,MATCH($D672,'Lopettaneet 2013-&gt;'!$D:$D,0)),"Jatkaa")</f>
        <v>Jatkaa</v>
      </c>
      <c r="K672">
        <f ca="1">IF($J672="Jatkaa",DATEDIF($B672,TODAY(),"Y"),INDEX('Lopettaneet 2013-&gt;'!$L:$L,MATCH($D672,'Lopettaneet 2013-&gt;'!$D:$D,0)))</f>
        <v>6</v>
      </c>
      <c r="L672">
        <v>671</v>
      </c>
    </row>
    <row r="673" spans="1:12" x14ac:dyDescent="0.25">
      <c r="A673" t="s">
        <v>0</v>
      </c>
      <c r="B673" s="1">
        <v>43831</v>
      </c>
      <c r="C673" s="1">
        <v>55153</v>
      </c>
      <c r="D673" s="4" t="s">
        <v>1544</v>
      </c>
      <c r="E673" t="s">
        <v>10</v>
      </c>
      <c r="F673" t="s">
        <v>11</v>
      </c>
      <c r="G673" t="s">
        <v>32</v>
      </c>
      <c r="H673" t="s">
        <v>2771</v>
      </c>
      <c r="I673" t="s">
        <v>2895</v>
      </c>
      <c r="J673" t="str">
        <f>IF(ISNUMBER(MATCH($D673,'Lopettaneet 2013-&gt;'!$D:$D,0)),INDEX('Lopettaneet 2013-&gt;'!$K:$K,MATCH($D673,'Lopettaneet 2013-&gt;'!$D:$D,0)),"Jatkaa")</f>
        <v>Jatkaa</v>
      </c>
      <c r="K673">
        <f ca="1">IF($J673="Jatkaa",DATEDIF($B673,TODAY(),"Y"),INDEX('Lopettaneet 2013-&gt;'!$L:$L,MATCH($D673,'Lopettaneet 2013-&gt;'!$D:$D,0)))</f>
        <v>5</v>
      </c>
      <c r="L673">
        <v>672</v>
      </c>
    </row>
    <row r="674" spans="1:12" x14ac:dyDescent="0.25">
      <c r="A674" t="s">
        <v>0</v>
      </c>
      <c r="B674" s="1">
        <v>43497</v>
      </c>
      <c r="C674" s="1">
        <v>55153</v>
      </c>
      <c r="D674" s="4" t="s">
        <v>1546</v>
      </c>
      <c r="E674" t="s">
        <v>3</v>
      </c>
      <c r="F674" t="s">
        <v>4</v>
      </c>
      <c r="G674" t="s">
        <v>20</v>
      </c>
      <c r="H674" t="s">
        <v>2775</v>
      </c>
      <c r="I674" t="s">
        <v>2894</v>
      </c>
      <c r="J674" t="str">
        <f>IF(ISNUMBER(MATCH($D674,'Lopettaneet 2013-&gt;'!$D:$D,0)),INDEX('Lopettaneet 2013-&gt;'!$K:$K,MATCH($D674,'Lopettaneet 2013-&gt;'!$D:$D,0)),"Jatkaa")</f>
        <v>Jatkaa</v>
      </c>
      <c r="K674">
        <f ca="1">IF($J674="Jatkaa",DATEDIF($B674,TODAY(),"Y"),INDEX('Lopettaneet 2013-&gt;'!$L:$L,MATCH($D674,'Lopettaneet 2013-&gt;'!$D:$D,0)))</f>
        <v>6</v>
      </c>
      <c r="L674">
        <v>673</v>
      </c>
    </row>
    <row r="675" spans="1:12" x14ac:dyDescent="0.25">
      <c r="A675" t="s">
        <v>0</v>
      </c>
      <c r="B675" s="1">
        <v>43435</v>
      </c>
      <c r="C675" s="1">
        <v>43830</v>
      </c>
      <c r="D675" s="4" t="s">
        <v>1548</v>
      </c>
      <c r="E675" t="s">
        <v>3</v>
      </c>
      <c r="F675" t="s">
        <v>4</v>
      </c>
      <c r="G675" t="s">
        <v>20</v>
      </c>
      <c r="H675" t="s">
        <v>2763</v>
      </c>
      <c r="I675" t="s">
        <v>2763</v>
      </c>
      <c r="J675" t="str">
        <f>IF(ISNUMBER(MATCH($D675,'Lopettaneet 2013-&gt;'!$D:$D,0)),INDEX('Lopettaneet 2013-&gt;'!$K:$K,MATCH($D675,'Lopettaneet 2013-&gt;'!$D:$D,0)),"Jatkaa")</f>
        <v>Merged</v>
      </c>
      <c r="K675">
        <f ca="1">IF($J675="Jatkaa",DATEDIF($B675,TODAY(),"Y"),INDEX('Lopettaneet 2013-&gt;'!$L:$L,MATCH($D675,'Lopettaneet 2013-&gt;'!$D:$D,0)))</f>
        <v>1</v>
      </c>
      <c r="L675">
        <v>674</v>
      </c>
    </row>
    <row r="676" spans="1:12" x14ac:dyDescent="0.25">
      <c r="A676" t="s">
        <v>7</v>
      </c>
      <c r="B676" s="1">
        <v>43525</v>
      </c>
      <c r="C676" s="1">
        <v>55153</v>
      </c>
      <c r="D676" s="4" t="s">
        <v>1550</v>
      </c>
      <c r="E676" t="s">
        <v>10</v>
      </c>
      <c r="F676" t="s">
        <v>11</v>
      </c>
      <c r="G676" t="s">
        <v>32</v>
      </c>
      <c r="H676" t="s">
        <v>2805</v>
      </c>
      <c r="I676" t="s">
        <v>2894</v>
      </c>
      <c r="J676" t="str">
        <f>IF(ISNUMBER(MATCH($D676,'Lopettaneet 2013-&gt;'!$D:$D,0)),INDEX('Lopettaneet 2013-&gt;'!$K:$K,MATCH($D676,'Lopettaneet 2013-&gt;'!$D:$D,0)),"Jatkaa")</f>
        <v>Jatkaa</v>
      </c>
      <c r="K676">
        <f ca="1">IF($J676="Jatkaa",DATEDIF($B676,TODAY(),"Y"),INDEX('Lopettaneet 2013-&gt;'!$L:$L,MATCH($D676,'Lopettaneet 2013-&gt;'!$D:$D,0)))</f>
        <v>6</v>
      </c>
      <c r="L676">
        <v>675</v>
      </c>
    </row>
    <row r="677" spans="1:12" x14ac:dyDescent="0.25">
      <c r="A677" t="s">
        <v>7</v>
      </c>
      <c r="B677" s="1">
        <v>43525</v>
      </c>
      <c r="C677" s="1">
        <v>55153</v>
      </c>
      <c r="D677" s="4" t="s">
        <v>1552</v>
      </c>
      <c r="E677" t="s">
        <v>10</v>
      </c>
      <c r="F677" t="s">
        <v>11</v>
      </c>
      <c r="G677" t="s">
        <v>32</v>
      </c>
      <c r="H677" t="s">
        <v>2805</v>
      </c>
      <c r="I677" t="s">
        <v>2894</v>
      </c>
      <c r="J677" t="str">
        <f>IF(ISNUMBER(MATCH($D677,'Lopettaneet 2013-&gt;'!$D:$D,0)),INDEX('Lopettaneet 2013-&gt;'!$K:$K,MATCH($D677,'Lopettaneet 2013-&gt;'!$D:$D,0)),"Jatkaa")</f>
        <v>Jatkaa</v>
      </c>
      <c r="K677">
        <f ca="1">IF($J677="Jatkaa",DATEDIF($B677,TODAY(),"Y"),INDEX('Lopettaneet 2013-&gt;'!$L:$L,MATCH($D677,'Lopettaneet 2013-&gt;'!$D:$D,0)))</f>
        <v>6</v>
      </c>
      <c r="L677">
        <v>676</v>
      </c>
    </row>
    <row r="678" spans="1:12" x14ac:dyDescent="0.25">
      <c r="A678" t="s">
        <v>7</v>
      </c>
      <c r="B678" s="1">
        <v>43435</v>
      </c>
      <c r="C678" s="1">
        <v>55153</v>
      </c>
      <c r="D678" s="4" t="s">
        <v>1554</v>
      </c>
      <c r="E678" t="s">
        <v>10</v>
      </c>
      <c r="F678" t="s">
        <v>11</v>
      </c>
      <c r="G678" t="s">
        <v>32</v>
      </c>
      <c r="H678" t="s">
        <v>2771</v>
      </c>
      <c r="I678" t="s">
        <v>2894</v>
      </c>
      <c r="J678" t="str">
        <f>IF(ISNUMBER(MATCH($D678,'Lopettaneet 2013-&gt;'!$D:$D,0)),INDEX('Lopettaneet 2013-&gt;'!$K:$K,MATCH($D678,'Lopettaneet 2013-&gt;'!$D:$D,0)),"Jatkaa")</f>
        <v>Jatkaa</v>
      </c>
      <c r="K678">
        <f ca="1">IF($J678="Jatkaa",DATEDIF($B678,TODAY(),"Y"),INDEX('Lopettaneet 2013-&gt;'!$L:$L,MATCH($D678,'Lopettaneet 2013-&gt;'!$D:$D,0)))</f>
        <v>6</v>
      </c>
      <c r="L678">
        <v>677</v>
      </c>
    </row>
    <row r="679" spans="1:12" x14ac:dyDescent="0.25">
      <c r="A679" t="s">
        <v>7</v>
      </c>
      <c r="B679" s="1">
        <v>43617</v>
      </c>
      <c r="C679" s="1">
        <v>55153</v>
      </c>
      <c r="D679" s="4" t="s">
        <v>1556</v>
      </c>
      <c r="E679" t="s">
        <v>10</v>
      </c>
      <c r="F679" t="s">
        <v>11</v>
      </c>
      <c r="G679" t="s">
        <v>12</v>
      </c>
      <c r="H679" t="s">
        <v>2766</v>
      </c>
      <c r="I679" t="s">
        <v>2895</v>
      </c>
      <c r="J679" t="str">
        <f>IF(ISNUMBER(MATCH($D679,'Lopettaneet 2013-&gt;'!$D:$D,0)),INDEX('Lopettaneet 2013-&gt;'!$K:$K,MATCH($D679,'Lopettaneet 2013-&gt;'!$D:$D,0)),"Jatkaa")</f>
        <v>Jatkaa</v>
      </c>
      <c r="K679">
        <f ca="1">IF($J679="Jatkaa",DATEDIF($B679,TODAY(),"Y"),INDEX('Lopettaneet 2013-&gt;'!$L:$L,MATCH($D679,'Lopettaneet 2013-&gt;'!$D:$D,0)))</f>
        <v>5</v>
      </c>
      <c r="L679">
        <v>678</v>
      </c>
    </row>
    <row r="680" spans="1:12" x14ac:dyDescent="0.25">
      <c r="A680" t="s">
        <v>0</v>
      </c>
      <c r="B680" s="1">
        <v>43770</v>
      </c>
      <c r="C680" s="1">
        <v>55153</v>
      </c>
      <c r="D680" s="4" t="s">
        <v>1558</v>
      </c>
      <c r="E680" t="s">
        <v>10</v>
      </c>
      <c r="F680" t="s">
        <v>11</v>
      </c>
      <c r="G680" t="s">
        <v>20</v>
      </c>
      <c r="H680" t="s">
        <v>2766</v>
      </c>
      <c r="I680" t="s">
        <v>2895</v>
      </c>
      <c r="J680" t="str">
        <f>IF(ISNUMBER(MATCH($D680,'Lopettaneet 2013-&gt;'!$D:$D,0)),INDEX('Lopettaneet 2013-&gt;'!$K:$K,MATCH($D680,'Lopettaneet 2013-&gt;'!$D:$D,0)),"Jatkaa")</f>
        <v>Jatkaa</v>
      </c>
      <c r="K680">
        <f ca="1">IF($J680="Jatkaa",DATEDIF($B680,TODAY(),"Y"),INDEX('Lopettaneet 2013-&gt;'!$L:$L,MATCH($D680,'Lopettaneet 2013-&gt;'!$D:$D,0)))</f>
        <v>5</v>
      </c>
      <c r="L680">
        <v>679</v>
      </c>
    </row>
    <row r="681" spans="1:12" x14ac:dyDescent="0.25">
      <c r="A681" t="s">
        <v>0</v>
      </c>
      <c r="B681" s="1">
        <v>43497</v>
      </c>
      <c r="C681" s="1">
        <v>55153</v>
      </c>
      <c r="D681" s="4" t="s">
        <v>1560</v>
      </c>
      <c r="E681" t="s">
        <v>10</v>
      </c>
      <c r="F681" t="s">
        <v>11</v>
      </c>
      <c r="G681" t="s">
        <v>20</v>
      </c>
      <c r="H681" t="s">
        <v>2766</v>
      </c>
      <c r="I681" t="s">
        <v>2895</v>
      </c>
      <c r="J681" t="str">
        <f>IF(ISNUMBER(MATCH($D681,'Lopettaneet 2013-&gt;'!$D:$D,0)),INDEX('Lopettaneet 2013-&gt;'!$K:$K,MATCH($D681,'Lopettaneet 2013-&gt;'!$D:$D,0)),"Jatkaa")</f>
        <v>Jatkaa</v>
      </c>
      <c r="K681">
        <f ca="1">IF($J681="Jatkaa",DATEDIF($B681,TODAY(),"Y"),INDEX('Lopettaneet 2013-&gt;'!$L:$L,MATCH($D681,'Lopettaneet 2013-&gt;'!$D:$D,0)))</f>
        <v>6</v>
      </c>
      <c r="L681">
        <v>680</v>
      </c>
    </row>
    <row r="682" spans="1:12" x14ac:dyDescent="0.25">
      <c r="A682" t="s">
        <v>7</v>
      </c>
      <c r="B682" s="1">
        <v>43435</v>
      </c>
      <c r="C682" s="1">
        <v>55153</v>
      </c>
      <c r="D682" s="4" t="s">
        <v>1562</v>
      </c>
      <c r="E682" t="s">
        <v>10</v>
      </c>
      <c r="F682" t="s">
        <v>11</v>
      </c>
      <c r="G682" t="s">
        <v>29</v>
      </c>
      <c r="H682" t="s">
        <v>2802</v>
      </c>
      <c r="I682" t="s">
        <v>2895</v>
      </c>
      <c r="J682" t="str">
        <f>IF(ISNUMBER(MATCH($D682,'Lopettaneet 2013-&gt;'!$D:$D,0)),INDEX('Lopettaneet 2013-&gt;'!$K:$K,MATCH($D682,'Lopettaneet 2013-&gt;'!$D:$D,0)),"Jatkaa")</f>
        <v>Jatkaa</v>
      </c>
      <c r="K682">
        <f ca="1">IF($J682="Jatkaa",DATEDIF($B682,TODAY(),"Y"),INDEX('Lopettaneet 2013-&gt;'!$L:$L,MATCH($D682,'Lopettaneet 2013-&gt;'!$D:$D,0)))</f>
        <v>6</v>
      </c>
      <c r="L682">
        <v>681</v>
      </c>
    </row>
    <row r="683" spans="1:12" x14ac:dyDescent="0.25">
      <c r="A683" t="s">
        <v>7</v>
      </c>
      <c r="B683" s="1">
        <v>43435</v>
      </c>
      <c r="C683" s="1">
        <v>55153</v>
      </c>
      <c r="D683" s="4" t="s">
        <v>1564</v>
      </c>
      <c r="E683" t="s">
        <v>10</v>
      </c>
      <c r="F683" t="s">
        <v>11</v>
      </c>
      <c r="G683" t="s">
        <v>29</v>
      </c>
      <c r="H683" t="s">
        <v>2802</v>
      </c>
      <c r="I683" t="s">
        <v>2895</v>
      </c>
      <c r="J683" t="str">
        <f>IF(ISNUMBER(MATCH($D683,'Lopettaneet 2013-&gt;'!$D:$D,0)),INDEX('Lopettaneet 2013-&gt;'!$K:$K,MATCH($D683,'Lopettaneet 2013-&gt;'!$D:$D,0)),"Jatkaa")</f>
        <v>Jatkaa</v>
      </c>
      <c r="K683">
        <f ca="1">IF($J683="Jatkaa",DATEDIF($B683,TODAY(),"Y"),INDEX('Lopettaneet 2013-&gt;'!$L:$L,MATCH($D683,'Lopettaneet 2013-&gt;'!$D:$D,0)))</f>
        <v>6</v>
      </c>
      <c r="L683">
        <v>682</v>
      </c>
    </row>
    <row r="684" spans="1:12" x14ac:dyDescent="0.25">
      <c r="A684" t="s">
        <v>7</v>
      </c>
      <c r="B684" s="1">
        <v>43435</v>
      </c>
      <c r="C684" s="1">
        <v>55153</v>
      </c>
      <c r="D684" s="4" t="s">
        <v>1566</v>
      </c>
      <c r="E684" t="s">
        <v>10</v>
      </c>
      <c r="F684" t="s">
        <v>11</v>
      </c>
      <c r="G684" t="s">
        <v>32</v>
      </c>
      <c r="H684" t="s">
        <v>2854</v>
      </c>
      <c r="I684" t="s">
        <v>2894</v>
      </c>
      <c r="J684" t="str">
        <f>IF(ISNUMBER(MATCH($D684,'Lopettaneet 2013-&gt;'!$D:$D,0)),INDEX('Lopettaneet 2013-&gt;'!$K:$K,MATCH($D684,'Lopettaneet 2013-&gt;'!$D:$D,0)),"Jatkaa")</f>
        <v>Jatkaa</v>
      </c>
      <c r="K684">
        <f ca="1">IF($J684="Jatkaa",DATEDIF($B684,TODAY(),"Y"),INDEX('Lopettaneet 2013-&gt;'!$L:$L,MATCH($D684,'Lopettaneet 2013-&gt;'!$D:$D,0)))</f>
        <v>6</v>
      </c>
      <c r="L684">
        <v>683</v>
      </c>
    </row>
    <row r="685" spans="1:12" x14ac:dyDescent="0.25">
      <c r="A685" t="s">
        <v>7</v>
      </c>
      <c r="B685" s="1">
        <v>43435</v>
      </c>
      <c r="C685" s="1">
        <v>44561</v>
      </c>
      <c r="D685" s="4" t="s">
        <v>1568</v>
      </c>
      <c r="E685" t="s">
        <v>10</v>
      </c>
      <c r="F685" t="s">
        <v>11</v>
      </c>
      <c r="G685" t="s">
        <v>32</v>
      </c>
      <c r="H685" t="s">
        <v>2763</v>
      </c>
      <c r="I685" t="s">
        <v>2763</v>
      </c>
      <c r="J685" t="str">
        <f>IF(ISNUMBER(MATCH($D685,'Lopettaneet 2013-&gt;'!$D:$D,0)),INDEX('Lopettaneet 2013-&gt;'!$K:$K,MATCH($D685,'Lopettaneet 2013-&gt;'!$D:$D,0)),"Jatkaa")</f>
        <v>Closed</v>
      </c>
      <c r="K685">
        <f ca="1">IF($J685="Jatkaa",DATEDIF($B685,TODAY(),"Y"),INDEX('Lopettaneet 2013-&gt;'!$L:$L,MATCH($D685,'Lopettaneet 2013-&gt;'!$D:$D,0)))</f>
        <v>3</v>
      </c>
      <c r="L685">
        <v>684</v>
      </c>
    </row>
    <row r="686" spans="1:12" x14ac:dyDescent="0.25">
      <c r="A686" t="s">
        <v>7</v>
      </c>
      <c r="B686" s="1">
        <v>43617</v>
      </c>
      <c r="C686" s="1">
        <v>55153</v>
      </c>
      <c r="D686" s="4" t="s">
        <v>1570</v>
      </c>
      <c r="E686" t="s">
        <v>10</v>
      </c>
      <c r="F686" t="s">
        <v>11</v>
      </c>
      <c r="G686" t="s">
        <v>29</v>
      </c>
      <c r="H686" t="s">
        <v>2798</v>
      </c>
      <c r="I686" t="s">
        <v>2895</v>
      </c>
      <c r="J686" t="str">
        <f>IF(ISNUMBER(MATCH($D686,'Lopettaneet 2013-&gt;'!$D:$D,0)),INDEX('Lopettaneet 2013-&gt;'!$K:$K,MATCH($D686,'Lopettaneet 2013-&gt;'!$D:$D,0)),"Jatkaa")</f>
        <v>Jatkaa</v>
      </c>
      <c r="K686">
        <f ca="1">IF($J686="Jatkaa",DATEDIF($B686,TODAY(),"Y"),INDEX('Lopettaneet 2013-&gt;'!$L:$L,MATCH($D686,'Lopettaneet 2013-&gt;'!$D:$D,0)))</f>
        <v>5</v>
      </c>
      <c r="L686">
        <v>685</v>
      </c>
    </row>
    <row r="687" spans="1:12" x14ac:dyDescent="0.25">
      <c r="A687" t="s">
        <v>7</v>
      </c>
      <c r="B687" s="1">
        <v>43709</v>
      </c>
      <c r="C687" s="1">
        <v>55153</v>
      </c>
      <c r="D687" s="4" t="s">
        <v>1572</v>
      </c>
      <c r="E687" t="s">
        <v>10</v>
      </c>
      <c r="F687" t="s">
        <v>11</v>
      </c>
      <c r="G687" t="s">
        <v>29</v>
      </c>
      <c r="H687" t="s">
        <v>2821</v>
      </c>
      <c r="I687" t="s">
        <v>2894</v>
      </c>
      <c r="J687" t="str">
        <f>IF(ISNUMBER(MATCH($D687,'Lopettaneet 2013-&gt;'!$D:$D,0)),INDEX('Lopettaneet 2013-&gt;'!$K:$K,MATCH($D687,'Lopettaneet 2013-&gt;'!$D:$D,0)),"Jatkaa")</f>
        <v>Jatkaa</v>
      </c>
      <c r="K687">
        <f ca="1">IF($J687="Jatkaa",DATEDIF($B687,TODAY(),"Y"),INDEX('Lopettaneet 2013-&gt;'!$L:$L,MATCH($D687,'Lopettaneet 2013-&gt;'!$D:$D,0)))</f>
        <v>5</v>
      </c>
      <c r="L687">
        <v>686</v>
      </c>
    </row>
    <row r="688" spans="1:12" x14ac:dyDescent="0.25">
      <c r="A688" t="s">
        <v>7</v>
      </c>
      <c r="B688" s="1">
        <v>43617</v>
      </c>
      <c r="C688" s="1">
        <v>55153</v>
      </c>
      <c r="D688" s="4" t="s">
        <v>1574</v>
      </c>
      <c r="E688" t="s">
        <v>10</v>
      </c>
      <c r="F688" t="s">
        <v>11</v>
      </c>
      <c r="G688" t="s">
        <v>32</v>
      </c>
      <c r="H688" t="s">
        <v>2771</v>
      </c>
      <c r="I688" t="s">
        <v>2894</v>
      </c>
      <c r="J688" t="str">
        <f>IF(ISNUMBER(MATCH($D688,'Lopettaneet 2013-&gt;'!$D:$D,0)),INDEX('Lopettaneet 2013-&gt;'!$K:$K,MATCH($D688,'Lopettaneet 2013-&gt;'!$D:$D,0)),"Jatkaa")</f>
        <v>Jatkaa</v>
      </c>
      <c r="K688">
        <f ca="1">IF($J688="Jatkaa",DATEDIF($B688,TODAY(),"Y"),INDEX('Lopettaneet 2013-&gt;'!$L:$L,MATCH($D688,'Lopettaneet 2013-&gt;'!$D:$D,0)))</f>
        <v>5</v>
      </c>
      <c r="L688">
        <v>687</v>
      </c>
    </row>
    <row r="689" spans="1:12" x14ac:dyDescent="0.25">
      <c r="A689" t="s">
        <v>0</v>
      </c>
      <c r="B689" s="1">
        <v>43525</v>
      </c>
      <c r="C689" s="1">
        <v>55153</v>
      </c>
      <c r="D689" s="4" t="s">
        <v>1576</v>
      </c>
      <c r="E689" t="s">
        <v>3</v>
      </c>
      <c r="F689" t="s">
        <v>4</v>
      </c>
      <c r="G689" t="s">
        <v>5</v>
      </c>
      <c r="H689" t="s">
        <v>2765</v>
      </c>
      <c r="I689" t="s">
        <v>2894</v>
      </c>
      <c r="J689" t="str">
        <f>IF(ISNUMBER(MATCH($D689,'Lopettaneet 2013-&gt;'!$D:$D,0)),INDEX('Lopettaneet 2013-&gt;'!$K:$K,MATCH($D689,'Lopettaneet 2013-&gt;'!$D:$D,0)),"Jatkaa")</f>
        <v>Jatkaa</v>
      </c>
      <c r="K689">
        <f ca="1">IF($J689="Jatkaa",DATEDIF($B689,TODAY(),"Y"),INDEX('Lopettaneet 2013-&gt;'!$L:$L,MATCH($D689,'Lopettaneet 2013-&gt;'!$D:$D,0)))</f>
        <v>6</v>
      </c>
      <c r="L689">
        <v>688</v>
      </c>
    </row>
    <row r="690" spans="1:12" x14ac:dyDescent="0.25">
      <c r="A690" t="s">
        <v>0</v>
      </c>
      <c r="B690" s="1">
        <v>43586</v>
      </c>
      <c r="C690" s="1">
        <v>55153</v>
      </c>
      <c r="D690" s="4" t="s">
        <v>1578</v>
      </c>
      <c r="E690" t="s">
        <v>3</v>
      </c>
      <c r="F690" t="s">
        <v>4</v>
      </c>
      <c r="G690" t="s">
        <v>50</v>
      </c>
      <c r="H690" t="s">
        <v>2774</v>
      </c>
      <c r="I690" t="s">
        <v>2894</v>
      </c>
      <c r="J690" t="str">
        <f>IF(ISNUMBER(MATCH($D690,'Lopettaneet 2013-&gt;'!$D:$D,0)),INDEX('Lopettaneet 2013-&gt;'!$K:$K,MATCH($D690,'Lopettaneet 2013-&gt;'!$D:$D,0)),"Jatkaa")</f>
        <v>Jatkaa</v>
      </c>
      <c r="K690">
        <f ca="1">IF($J690="Jatkaa",DATEDIF($B690,TODAY(),"Y"),INDEX('Lopettaneet 2013-&gt;'!$L:$L,MATCH($D690,'Lopettaneet 2013-&gt;'!$D:$D,0)))</f>
        <v>6</v>
      </c>
      <c r="L690">
        <v>689</v>
      </c>
    </row>
    <row r="691" spans="1:12" x14ac:dyDescent="0.25">
      <c r="A691" t="s">
        <v>0</v>
      </c>
      <c r="B691" s="1">
        <v>43586</v>
      </c>
      <c r="C691" s="1">
        <v>55153</v>
      </c>
      <c r="D691" s="4" t="s">
        <v>1580</v>
      </c>
      <c r="E691" t="s">
        <v>3</v>
      </c>
      <c r="F691" t="s">
        <v>4</v>
      </c>
      <c r="G691" t="s">
        <v>20</v>
      </c>
      <c r="H691" t="s">
        <v>2774</v>
      </c>
      <c r="I691" t="s">
        <v>2894</v>
      </c>
      <c r="J691" t="str">
        <f>IF(ISNUMBER(MATCH($D691,'Lopettaneet 2013-&gt;'!$D:$D,0)),INDEX('Lopettaneet 2013-&gt;'!$K:$K,MATCH($D691,'Lopettaneet 2013-&gt;'!$D:$D,0)),"Jatkaa")</f>
        <v>Jatkaa</v>
      </c>
      <c r="K691">
        <f ca="1">IF($J691="Jatkaa",DATEDIF($B691,TODAY(),"Y"),INDEX('Lopettaneet 2013-&gt;'!$L:$L,MATCH($D691,'Lopettaneet 2013-&gt;'!$D:$D,0)))</f>
        <v>6</v>
      </c>
      <c r="L691">
        <v>690</v>
      </c>
    </row>
    <row r="692" spans="1:12" x14ac:dyDescent="0.25">
      <c r="A692" t="s">
        <v>7</v>
      </c>
      <c r="B692" s="1">
        <v>43525</v>
      </c>
      <c r="C692" s="1">
        <v>44104</v>
      </c>
      <c r="D692" s="4" t="s">
        <v>1582</v>
      </c>
      <c r="E692" t="s">
        <v>10</v>
      </c>
      <c r="F692" t="s">
        <v>11</v>
      </c>
      <c r="G692" t="s">
        <v>32</v>
      </c>
      <c r="H692" t="s">
        <v>2763</v>
      </c>
      <c r="I692" t="s">
        <v>2763</v>
      </c>
      <c r="J692" t="str">
        <f>IF(ISNUMBER(MATCH($D692,'Lopettaneet 2013-&gt;'!$D:$D,0)),INDEX('Lopettaneet 2013-&gt;'!$K:$K,MATCH($D692,'Lopettaneet 2013-&gt;'!$D:$D,0)),"Jatkaa")</f>
        <v>Closed</v>
      </c>
      <c r="K692">
        <f ca="1">IF($J692="Jatkaa",DATEDIF($B692,TODAY(),"Y"),INDEX('Lopettaneet 2013-&gt;'!$L:$L,MATCH($D692,'Lopettaneet 2013-&gt;'!$D:$D,0)))</f>
        <v>1</v>
      </c>
      <c r="L692">
        <v>691</v>
      </c>
    </row>
    <row r="693" spans="1:12" x14ac:dyDescent="0.25">
      <c r="A693" t="s">
        <v>7</v>
      </c>
      <c r="B693" s="1">
        <v>43525</v>
      </c>
      <c r="C693" s="1">
        <v>55153</v>
      </c>
      <c r="D693" s="4" t="s">
        <v>1584</v>
      </c>
      <c r="E693" t="s">
        <v>10</v>
      </c>
      <c r="F693" t="s">
        <v>11</v>
      </c>
      <c r="G693" t="s">
        <v>32</v>
      </c>
      <c r="H693" t="s">
        <v>2771</v>
      </c>
      <c r="I693" t="s">
        <v>2894</v>
      </c>
      <c r="J693" t="str">
        <f>IF(ISNUMBER(MATCH($D693,'Lopettaneet 2013-&gt;'!$D:$D,0)),INDEX('Lopettaneet 2013-&gt;'!$K:$K,MATCH($D693,'Lopettaneet 2013-&gt;'!$D:$D,0)),"Jatkaa")</f>
        <v>Jatkaa</v>
      </c>
      <c r="K693">
        <f ca="1">IF($J693="Jatkaa",DATEDIF($B693,TODAY(),"Y"),INDEX('Lopettaneet 2013-&gt;'!$L:$L,MATCH($D693,'Lopettaneet 2013-&gt;'!$D:$D,0)))</f>
        <v>6</v>
      </c>
      <c r="L693">
        <v>692</v>
      </c>
    </row>
    <row r="694" spans="1:12" x14ac:dyDescent="0.25">
      <c r="A694" t="s">
        <v>0</v>
      </c>
      <c r="B694" s="1">
        <v>43525</v>
      </c>
      <c r="C694" s="1">
        <v>44439</v>
      </c>
      <c r="D694" s="4" t="s">
        <v>1586</v>
      </c>
      <c r="E694" t="s">
        <v>10</v>
      </c>
      <c r="F694" t="s">
        <v>4</v>
      </c>
      <c r="G694" t="s">
        <v>50</v>
      </c>
      <c r="H694" t="s">
        <v>2763</v>
      </c>
      <c r="I694" t="s">
        <v>2763</v>
      </c>
      <c r="J694" t="str">
        <f>IF(ISNUMBER(MATCH($D694,'Lopettaneet 2013-&gt;'!$D:$D,0)),INDEX('Lopettaneet 2013-&gt;'!$K:$K,MATCH($D694,'Lopettaneet 2013-&gt;'!$D:$D,0)),"Jatkaa")</f>
        <v>Merged</v>
      </c>
      <c r="K694">
        <f ca="1">IF($J694="Jatkaa",DATEDIF($B694,TODAY(),"Y"),INDEX('Lopettaneet 2013-&gt;'!$L:$L,MATCH($D694,'Lopettaneet 2013-&gt;'!$D:$D,0)))</f>
        <v>2</v>
      </c>
      <c r="L694">
        <v>693</v>
      </c>
    </row>
    <row r="695" spans="1:12" x14ac:dyDescent="0.25">
      <c r="A695" t="s">
        <v>0</v>
      </c>
      <c r="B695" s="1">
        <v>43617</v>
      </c>
      <c r="C695" s="1">
        <v>55153</v>
      </c>
      <c r="D695" s="4" t="s">
        <v>1588</v>
      </c>
      <c r="E695" t="s">
        <v>10</v>
      </c>
      <c r="F695" t="s">
        <v>4</v>
      </c>
      <c r="G695" t="s">
        <v>29</v>
      </c>
      <c r="H695" t="s">
        <v>2777</v>
      </c>
      <c r="I695" t="s">
        <v>2894</v>
      </c>
      <c r="J695" t="str">
        <f>IF(ISNUMBER(MATCH($D695,'Lopettaneet 2013-&gt;'!$D:$D,0)),INDEX('Lopettaneet 2013-&gt;'!$K:$K,MATCH($D695,'Lopettaneet 2013-&gt;'!$D:$D,0)),"Jatkaa")</f>
        <v>Jatkaa</v>
      </c>
      <c r="K695">
        <f ca="1">IF($J695="Jatkaa",DATEDIF($B695,TODAY(),"Y"),INDEX('Lopettaneet 2013-&gt;'!$L:$L,MATCH($D695,'Lopettaneet 2013-&gt;'!$D:$D,0)))</f>
        <v>5</v>
      </c>
      <c r="L695">
        <v>694</v>
      </c>
    </row>
    <row r="696" spans="1:12" x14ac:dyDescent="0.25">
      <c r="A696" t="s">
        <v>7</v>
      </c>
      <c r="B696" s="1">
        <v>43617</v>
      </c>
      <c r="C696" s="1">
        <v>55153</v>
      </c>
      <c r="D696" s="4" t="s">
        <v>1590</v>
      </c>
      <c r="E696" t="s">
        <v>10</v>
      </c>
      <c r="F696" t="s">
        <v>11</v>
      </c>
      <c r="G696" t="s">
        <v>80</v>
      </c>
      <c r="H696" t="s">
        <v>2855</v>
      </c>
      <c r="I696" t="s">
        <v>2894</v>
      </c>
      <c r="J696" t="str">
        <f>IF(ISNUMBER(MATCH($D696,'Lopettaneet 2013-&gt;'!$D:$D,0)),INDEX('Lopettaneet 2013-&gt;'!$K:$K,MATCH($D696,'Lopettaneet 2013-&gt;'!$D:$D,0)),"Jatkaa")</f>
        <v>Jatkaa</v>
      </c>
      <c r="K696">
        <f ca="1">IF($J696="Jatkaa",DATEDIF($B696,TODAY(),"Y"),INDEX('Lopettaneet 2013-&gt;'!$L:$L,MATCH($D696,'Lopettaneet 2013-&gt;'!$D:$D,0)))</f>
        <v>5</v>
      </c>
      <c r="L696">
        <v>695</v>
      </c>
    </row>
    <row r="697" spans="1:12" x14ac:dyDescent="0.25">
      <c r="A697" t="s">
        <v>0</v>
      </c>
      <c r="B697" s="1">
        <v>43556</v>
      </c>
      <c r="C697" s="1">
        <v>55153</v>
      </c>
      <c r="D697" s="4" t="s">
        <v>1592</v>
      </c>
      <c r="E697" t="s">
        <v>3</v>
      </c>
      <c r="F697" t="s">
        <v>4</v>
      </c>
      <c r="G697" t="s">
        <v>50</v>
      </c>
      <c r="H697" t="s">
        <v>2767</v>
      </c>
      <c r="I697" t="s">
        <v>2894</v>
      </c>
      <c r="J697" t="str">
        <f>IF(ISNUMBER(MATCH($D697,'Lopettaneet 2013-&gt;'!$D:$D,0)),INDEX('Lopettaneet 2013-&gt;'!$K:$K,MATCH($D697,'Lopettaneet 2013-&gt;'!$D:$D,0)),"Jatkaa")</f>
        <v>Jatkaa</v>
      </c>
      <c r="K697">
        <f ca="1">IF($J697="Jatkaa",DATEDIF($B697,TODAY(),"Y"),INDEX('Lopettaneet 2013-&gt;'!$L:$L,MATCH($D697,'Lopettaneet 2013-&gt;'!$D:$D,0)))</f>
        <v>6</v>
      </c>
      <c r="L697">
        <v>696</v>
      </c>
    </row>
    <row r="698" spans="1:12" x14ac:dyDescent="0.25">
      <c r="A698" t="s">
        <v>0</v>
      </c>
      <c r="B698" s="1">
        <v>43556</v>
      </c>
      <c r="C698" s="1">
        <v>55153</v>
      </c>
      <c r="D698" s="4" t="s">
        <v>1594</v>
      </c>
      <c r="E698" t="s">
        <v>3</v>
      </c>
      <c r="F698" t="s">
        <v>4</v>
      </c>
      <c r="G698" t="s">
        <v>50</v>
      </c>
      <c r="H698" t="s">
        <v>2767</v>
      </c>
      <c r="I698" t="s">
        <v>2894</v>
      </c>
      <c r="J698" t="str">
        <f>IF(ISNUMBER(MATCH($D698,'Lopettaneet 2013-&gt;'!$D:$D,0)),INDEX('Lopettaneet 2013-&gt;'!$K:$K,MATCH($D698,'Lopettaneet 2013-&gt;'!$D:$D,0)),"Jatkaa")</f>
        <v>Jatkaa</v>
      </c>
      <c r="K698">
        <f ca="1">IF($J698="Jatkaa",DATEDIF($B698,TODAY(),"Y"),INDEX('Lopettaneet 2013-&gt;'!$L:$L,MATCH($D698,'Lopettaneet 2013-&gt;'!$D:$D,0)))</f>
        <v>6</v>
      </c>
      <c r="L698">
        <v>697</v>
      </c>
    </row>
    <row r="699" spans="1:12" x14ac:dyDescent="0.25">
      <c r="A699" t="s">
        <v>0</v>
      </c>
      <c r="B699" s="1">
        <v>43556</v>
      </c>
      <c r="C699" s="1">
        <v>55153</v>
      </c>
      <c r="D699" s="4" t="s">
        <v>1596</v>
      </c>
      <c r="E699" t="s">
        <v>3</v>
      </c>
      <c r="F699" t="s">
        <v>4</v>
      </c>
      <c r="G699" t="s">
        <v>50</v>
      </c>
      <c r="H699" t="s">
        <v>2767</v>
      </c>
      <c r="I699" t="s">
        <v>2894</v>
      </c>
      <c r="J699" t="str">
        <f>IF(ISNUMBER(MATCH($D699,'Lopettaneet 2013-&gt;'!$D:$D,0)),INDEX('Lopettaneet 2013-&gt;'!$K:$K,MATCH($D699,'Lopettaneet 2013-&gt;'!$D:$D,0)),"Jatkaa")</f>
        <v>Jatkaa</v>
      </c>
      <c r="K699">
        <f ca="1">IF($J699="Jatkaa",DATEDIF($B699,TODAY(),"Y"),INDEX('Lopettaneet 2013-&gt;'!$L:$L,MATCH($D699,'Lopettaneet 2013-&gt;'!$D:$D,0)))</f>
        <v>6</v>
      </c>
      <c r="L699">
        <v>698</v>
      </c>
    </row>
    <row r="700" spans="1:12" x14ac:dyDescent="0.25">
      <c r="A700" t="s">
        <v>7</v>
      </c>
      <c r="B700" s="1">
        <v>43525</v>
      </c>
      <c r="C700" s="1">
        <v>55153</v>
      </c>
      <c r="D700" s="4" t="s">
        <v>1598</v>
      </c>
      <c r="E700" t="s">
        <v>10</v>
      </c>
      <c r="F700" t="s">
        <v>11</v>
      </c>
      <c r="G700" t="s">
        <v>29</v>
      </c>
      <c r="H700" t="s">
        <v>2801</v>
      </c>
      <c r="I700" t="s">
        <v>2894</v>
      </c>
      <c r="J700" t="str">
        <f>IF(ISNUMBER(MATCH($D700,'Lopettaneet 2013-&gt;'!$D:$D,0)),INDEX('Lopettaneet 2013-&gt;'!$K:$K,MATCH($D700,'Lopettaneet 2013-&gt;'!$D:$D,0)),"Jatkaa")</f>
        <v>Jatkaa</v>
      </c>
      <c r="K700">
        <f ca="1">IF($J700="Jatkaa",DATEDIF($B700,TODAY(),"Y"),INDEX('Lopettaneet 2013-&gt;'!$L:$L,MATCH($D700,'Lopettaneet 2013-&gt;'!$D:$D,0)))</f>
        <v>6</v>
      </c>
      <c r="L700">
        <v>699</v>
      </c>
    </row>
    <row r="701" spans="1:12" x14ac:dyDescent="0.25">
      <c r="A701" t="s">
        <v>7</v>
      </c>
      <c r="B701" s="1">
        <v>43525</v>
      </c>
      <c r="C701" s="1">
        <v>55153</v>
      </c>
      <c r="D701" s="4" t="s">
        <v>1600</v>
      </c>
      <c r="E701" t="s">
        <v>10</v>
      </c>
      <c r="F701" t="s">
        <v>11</v>
      </c>
      <c r="G701" t="s">
        <v>29</v>
      </c>
      <c r="H701" t="s">
        <v>2801</v>
      </c>
      <c r="I701" t="s">
        <v>2894</v>
      </c>
      <c r="J701" t="str">
        <f>IF(ISNUMBER(MATCH($D701,'Lopettaneet 2013-&gt;'!$D:$D,0)),INDEX('Lopettaneet 2013-&gt;'!$K:$K,MATCH($D701,'Lopettaneet 2013-&gt;'!$D:$D,0)),"Jatkaa")</f>
        <v>Jatkaa</v>
      </c>
      <c r="K701">
        <f ca="1">IF($J701="Jatkaa",DATEDIF($B701,TODAY(),"Y"),INDEX('Lopettaneet 2013-&gt;'!$L:$L,MATCH($D701,'Lopettaneet 2013-&gt;'!$D:$D,0)))</f>
        <v>6</v>
      </c>
      <c r="L701">
        <v>700</v>
      </c>
    </row>
    <row r="702" spans="1:12" x14ac:dyDescent="0.25">
      <c r="A702" t="s">
        <v>7</v>
      </c>
      <c r="B702" s="1">
        <v>43525</v>
      </c>
      <c r="C702" s="1">
        <v>55153</v>
      </c>
      <c r="D702" s="4" t="s">
        <v>1602</v>
      </c>
      <c r="E702" t="s">
        <v>10</v>
      </c>
      <c r="F702" t="s">
        <v>11</v>
      </c>
      <c r="G702" t="s">
        <v>29</v>
      </c>
      <c r="H702" t="s">
        <v>2801</v>
      </c>
      <c r="I702" t="s">
        <v>2894</v>
      </c>
      <c r="J702" t="str">
        <f>IF(ISNUMBER(MATCH($D702,'Lopettaneet 2013-&gt;'!$D:$D,0)),INDEX('Lopettaneet 2013-&gt;'!$K:$K,MATCH($D702,'Lopettaneet 2013-&gt;'!$D:$D,0)),"Jatkaa")</f>
        <v>Jatkaa</v>
      </c>
      <c r="K702">
        <f ca="1">IF($J702="Jatkaa",DATEDIF($B702,TODAY(),"Y"),INDEX('Lopettaneet 2013-&gt;'!$L:$L,MATCH($D702,'Lopettaneet 2013-&gt;'!$D:$D,0)))</f>
        <v>6</v>
      </c>
      <c r="L702">
        <v>701</v>
      </c>
    </row>
    <row r="703" spans="1:12" x14ac:dyDescent="0.25">
      <c r="A703" t="s">
        <v>7</v>
      </c>
      <c r="B703" s="1">
        <v>43525</v>
      </c>
      <c r="C703" s="1">
        <v>55153</v>
      </c>
      <c r="D703" s="4" t="s">
        <v>1604</v>
      </c>
      <c r="E703" t="s">
        <v>10</v>
      </c>
      <c r="F703" t="s">
        <v>11</v>
      </c>
      <c r="G703" t="s">
        <v>32</v>
      </c>
      <c r="H703" t="s">
        <v>2771</v>
      </c>
      <c r="I703" t="s">
        <v>2894</v>
      </c>
      <c r="J703" t="str">
        <f>IF(ISNUMBER(MATCH($D703,'Lopettaneet 2013-&gt;'!$D:$D,0)),INDEX('Lopettaneet 2013-&gt;'!$K:$K,MATCH($D703,'Lopettaneet 2013-&gt;'!$D:$D,0)),"Jatkaa")</f>
        <v>Jatkaa</v>
      </c>
      <c r="K703">
        <f ca="1">IF($J703="Jatkaa",DATEDIF($B703,TODAY(),"Y"),INDEX('Lopettaneet 2013-&gt;'!$L:$L,MATCH($D703,'Lopettaneet 2013-&gt;'!$D:$D,0)))</f>
        <v>6</v>
      </c>
      <c r="L703">
        <v>702</v>
      </c>
    </row>
    <row r="704" spans="1:12" x14ac:dyDescent="0.25">
      <c r="A704" t="s">
        <v>7</v>
      </c>
      <c r="B704" s="1">
        <v>44621</v>
      </c>
      <c r="C704" s="1">
        <v>55153</v>
      </c>
      <c r="D704" s="4" t="s">
        <v>1606</v>
      </c>
      <c r="E704" t="s">
        <v>10</v>
      </c>
      <c r="F704" t="s">
        <v>11</v>
      </c>
      <c r="G704" t="s">
        <v>80</v>
      </c>
      <c r="H704" t="s">
        <v>2856</v>
      </c>
      <c r="I704" t="s">
        <v>2763</v>
      </c>
      <c r="J704" t="str">
        <f>IF(ISNUMBER(MATCH($D704,'Lopettaneet 2013-&gt;'!$D:$D,0)),INDEX('Lopettaneet 2013-&gt;'!$K:$K,MATCH($D704,'Lopettaneet 2013-&gt;'!$D:$D,0)),"Jatkaa")</f>
        <v>Jatkaa</v>
      </c>
      <c r="K704">
        <f ca="1">IF($J704="Jatkaa",DATEDIF($B704,TODAY(),"Y"),INDEX('Lopettaneet 2013-&gt;'!$L:$L,MATCH($D704,'Lopettaneet 2013-&gt;'!$D:$D,0)))</f>
        <v>3</v>
      </c>
      <c r="L704">
        <v>703</v>
      </c>
    </row>
    <row r="705" spans="1:12" x14ac:dyDescent="0.25">
      <c r="A705" t="s">
        <v>7</v>
      </c>
      <c r="B705" s="1">
        <v>43617</v>
      </c>
      <c r="C705" s="1">
        <v>55153</v>
      </c>
      <c r="D705" s="4" t="s">
        <v>1608</v>
      </c>
      <c r="E705" t="s">
        <v>10</v>
      </c>
      <c r="F705" t="s">
        <v>11</v>
      </c>
      <c r="G705" t="s">
        <v>32</v>
      </c>
      <c r="H705" t="s">
        <v>2854</v>
      </c>
      <c r="I705" t="s">
        <v>2894</v>
      </c>
      <c r="J705" t="str">
        <f>IF(ISNUMBER(MATCH($D705,'Lopettaneet 2013-&gt;'!$D:$D,0)),INDEX('Lopettaneet 2013-&gt;'!$K:$K,MATCH($D705,'Lopettaneet 2013-&gt;'!$D:$D,0)),"Jatkaa")</f>
        <v>Jatkaa</v>
      </c>
      <c r="K705">
        <f ca="1">IF($J705="Jatkaa",DATEDIF($B705,TODAY(),"Y"),INDEX('Lopettaneet 2013-&gt;'!$L:$L,MATCH($D705,'Lopettaneet 2013-&gt;'!$D:$D,0)))</f>
        <v>5</v>
      </c>
      <c r="L705">
        <v>704</v>
      </c>
    </row>
    <row r="706" spans="1:12" x14ac:dyDescent="0.25">
      <c r="A706" t="s">
        <v>7</v>
      </c>
      <c r="B706" s="1">
        <v>43891</v>
      </c>
      <c r="C706" s="1">
        <v>55153</v>
      </c>
      <c r="D706" s="4" t="s">
        <v>1610</v>
      </c>
      <c r="E706" t="s">
        <v>10</v>
      </c>
      <c r="F706" t="s">
        <v>11</v>
      </c>
      <c r="G706" t="s">
        <v>29</v>
      </c>
      <c r="H706" t="s">
        <v>2765</v>
      </c>
      <c r="I706" t="s">
        <v>2895</v>
      </c>
      <c r="J706" t="str">
        <f>IF(ISNUMBER(MATCH($D706,'Lopettaneet 2013-&gt;'!$D:$D,0)),INDEX('Lopettaneet 2013-&gt;'!$K:$K,MATCH($D706,'Lopettaneet 2013-&gt;'!$D:$D,0)),"Jatkaa")</f>
        <v>Jatkaa</v>
      </c>
      <c r="K706">
        <f ca="1">IF($J706="Jatkaa",DATEDIF($B706,TODAY(),"Y"),INDEX('Lopettaneet 2013-&gt;'!$L:$L,MATCH($D706,'Lopettaneet 2013-&gt;'!$D:$D,0)))</f>
        <v>5</v>
      </c>
      <c r="L706">
        <v>705</v>
      </c>
    </row>
    <row r="707" spans="1:12" x14ac:dyDescent="0.25">
      <c r="A707" t="s">
        <v>7</v>
      </c>
      <c r="B707" s="1">
        <v>43525</v>
      </c>
      <c r="C707" s="1">
        <v>55153</v>
      </c>
      <c r="D707" s="4" t="s">
        <v>1612</v>
      </c>
      <c r="E707" t="s">
        <v>10</v>
      </c>
      <c r="F707" t="s">
        <v>11</v>
      </c>
      <c r="G707" t="s">
        <v>29</v>
      </c>
      <c r="H707" t="s">
        <v>2765</v>
      </c>
      <c r="I707" t="s">
        <v>2895</v>
      </c>
      <c r="J707" t="str">
        <f>IF(ISNUMBER(MATCH($D707,'Lopettaneet 2013-&gt;'!$D:$D,0)),INDEX('Lopettaneet 2013-&gt;'!$K:$K,MATCH($D707,'Lopettaneet 2013-&gt;'!$D:$D,0)),"Jatkaa")</f>
        <v>Jatkaa</v>
      </c>
      <c r="K707">
        <f ca="1">IF($J707="Jatkaa",DATEDIF($B707,TODAY(),"Y"),INDEX('Lopettaneet 2013-&gt;'!$L:$L,MATCH($D707,'Lopettaneet 2013-&gt;'!$D:$D,0)))</f>
        <v>6</v>
      </c>
      <c r="L707">
        <v>706</v>
      </c>
    </row>
    <row r="708" spans="1:12" x14ac:dyDescent="0.25">
      <c r="A708" t="s">
        <v>7</v>
      </c>
      <c r="B708" s="1">
        <v>43983</v>
      </c>
      <c r="C708" s="1">
        <v>55153</v>
      </c>
      <c r="D708" s="4" t="s">
        <v>1614</v>
      </c>
      <c r="E708" t="s">
        <v>10</v>
      </c>
      <c r="F708" t="s">
        <v>11</v>
      </c>
      <c r="G708" t="s">
        <v>80</v>
      </c>
      <c r="H708" t="s">
        <v>2834</v>
      </c>
      <c r="I708" t="s">
        <v>2894</v>
      </c>
      <c r="J708" t="str">
        <f>IF(ISNUMBER(MATCH($D708,'Lopettaneet 2013-&gt;'!$D:$D,0)),INDEX('Lopettaneet 2013-&gt;'!$K:$K,MATCH($D708,'Lopettaneet 2013-&gt;'!$D:$D,0)),"Jatkaa")</f>
        <v>Jatkaa</v>
      </c>
      <c r="K708">
        <f ca="1">IF($J708="Jatkaa",DATEDIF($B708,TODAY(),"Y"),INDEX('Lopettaneet 2013-&gt;'!$L:$L,MATCH($D708,'Lopettaneet 2013-&gt;'!$D:$D,0)))</f>
        <v>4</v>
      </c>
      <c r="L708">
        <v>707</v>
      </c>
    </row>
    <row r="709" spans="1:12" x14ac:dyDescent="0.25">
      <c r="A709" t="s">
        <v>7</v>
      </c>
      <c r="B709" s="1">
        <v>43800</v>
      </c>
      <c r="C709" s="1">
        <v>55153</v>
      </c>
      <c r="D709" s="4" t="s">
        <v>1616</v>
      </c>
      <c r="E709" t="s">
        <v>10</v>
      </c>
      <c r="F709" t="s">
        <v>11</v>
      </c>
      <c r="G709" t="s">
        <v>12</v>
      </c>
      <c r="H709" t="s">
        <v>2847</v>
      </c>
      <c r="I709" t="s">
        <v>2895</v>
      </c>
      <c r="J709" t="str">
        <f>IF(ISNUMBER(MATCH($D709,'Lopettaneet 2013-&gt;'!$D:$D,0)),INDEX('Lopettaneet 2013-&gt;'!$K:$K,MATCH($D709,'Lopettaneet 2013-&gt;'!$D:$D,0)),"Jatkaa")</f>
        <v>Jatkaa</v>
      </c>
      <c r="K709">
        <f ca="1">IF($J709="Jatkaa",DATEDIF($B709,TODAY(),"Y"),INDEX('Lopettaneet 2013-&gt;'!$L:$L,MATCH($D709,'Lopettaneet 2013-&gt;'!$D:$D,0)))</f>
        <v>5</v>
      </c>
      <c r="L709">
        <v>708</v>
      </c>
    </row>
    <row r="710" spans="1:12" x14ac:dyDescent="0.25">
      <c r="A710" t="s">
        <v>7</v>
      </c>
      <c r="B710" s="1">
        <v>43800</v>
      </c>
      <c r="C710" s="1">
        <v>55153</v>
      </c>
      <c r="D710" s="4" t="s">
        <v>1618</v>
      </c>
      <c r="E710" t="s">
        <v>10</v>
      </c>
      <c r="F710" t="s">
        <v>11</v>
      </c>
      <c r="G710" t="s">
        <v>12</v>
      </c>
      <c r="H710" t="s">
        <v>2771</v>
      </c>
      <c r="I710" t="s">
        <v>2894</v>
      </c>
      <c r="J710" t="str">
        <f>IF(ISNUMBER(MATCH($D710,'Lopettaneet 2013-&gt;'!$D:$D,0)),INDEX('Lopettaneet 2013-&gt;'!$K:$K,MATCH($D710,'Lopettaneet 2013-&gt;'!$D:$D,0)),"Jatkaa")</f>
        <v>Jatkaa</v>
      </c>
      <c r="K710">
        <f ca="1">IF($J710="Jatkaa",DATEDIF($B710,TODAY(),"Y"),INDEX('Lopettaneet 2013-&gt;'!$L:$L,MATCH($D710,'Lopettaneet 2013-&gt;'!$D:$D,0)))</f>
        <v>5</v>
      </c>
      <c r="L710">
        <v>709</v>
      </c>
    </row>
    <row r="711" spans="1:12" x14ac:dyDescent="0.25">
      <c r="A711" t="s">
        <v>7</v>
      </c>
      <c r="B711" s="1">
        <v>43800</v>
      </c>
      <c r="C711" s="1">
        <v>55153</v>
      </c>
      <c r="D711" s="4" t="s">
        <v>1620</v>
      </c>
      <c r="E711" t="s">
        <v>10</v>
      </c>
      <c r="F711" t="s">
        <v>11</v>
      </c>
      <c r="G711" t="s">
        <v>12</v>
      </c>
      <c r="H711" t="s">
        <v>2771</v>
      </c>
      <c r="I711" t="s">
        <v>2894</v>
      </c>
      <c r="J711" t="str">
        <f>IF(ISNUMBER(MATCH($D711,'Lopettaneet 2013-&gt;'!$D:$D,0)),INDEX('Lopettaneet 2013-&gt;'!$K:$K,MATCH($D711,'Lopettaneet 2013-&gt;'!$D:$D,0)),"Jatkaa")</f>
        <v>Jatkaa</v>
      </c>
      <c r="K711">
        <f ca="1">IF($J711="Jatkaa",DATEDIF($B711,TODAY(),"Y"),INDEX('Lopettaneet 2013-&gt;'!$L:$L,MATCH($D711,'Lopettaneet 2013-&gt;'!$D:$D,0)))</f>
        <v>5</v>
      </c>
      <c r="L711">
        <v>710</v>
      </c>
    </row>
    <row r="712" spans="1:12" x14ac:dyDescent="0.25">
      <c r="A712" t="s">
        <v>7</v>
      </c>
      <c r="B712" s="1">
        <v>43891</v>
      </c>
      <c r="C712" s="1">
        <v>55153</v>
      </c>
      <c r="D712" s="4" t="s">
        <v>1622</v>
      </c>
      <c r="E712" t="s">
        <v>10</v>
      </c>
      <c r="F712" t="s">
        <v>11</v>
      </c>
      <c r="G712" t="s">
        <v>80</v>
      </c>
      <c r="H712" t="s">
        <v>2828</v>
      </c>
      <c r="I712" t="s">
        <v>2894</v>
      </c>
      <c r="J712" t="str">
        <f>IF(ISNUMBER(MATCH($D712,'Lopettaneet 2013-&gt;'!$D:$D,0)),INDEX('Lopettaneet 2013-&gt;'!$K:$K,MATCH($D712,'Lopettaneet 2013-&gt;'!$D:$D,0)),"Jatkaa")</f>
        <v>Jatkaa</v>
      </c>
      <c r="K712">
        <f ca="1">IF($J712="Jatkaa",DATEDIF($B712,TODAY(),"Y"),INDEX('Lopettaneet 2013-&gt;'!$L:$L,MATCH($D712,'Lopettaneet 2013-&gt;'!$D:$D,0)))</f>
        <v>5</v>
      </c>
      <c r="L712">
        <v>711</v>
      </c>
    </row>
    <row r="713" spans="1:12" x14ac:dyDescent="0.25">
      <c r="A713" t="s">
        <v>0</v>
      </c>
      <c r="B713" s="1">
        <v>43586</v>
      </c>
      <c r="C713" s="1">
        <v>55153</v>
      </c>
      <c r="D713" s="4" t="s">
        <v>1624</v>
      </c>
      <c r="E713" t="s">
        <v>10</v>
      </c>
      <c r="F713" t="s">
        <v>4</v>
      </c>
      <c r="G713" t="s">
        <v>50</v>
      </c>
      <c r="H713" t="s">
        <v>2845</v>
      </c>
      <c r="I713" t="s">
        <v>2894</v>
      </c>
      <c r="J713" t="str">
        <f>IF(ISNUMBER(MATCH($D713,'Lopettaneet 2013-&gt;'!$D:$D,0)),INDEX('Lopettaneet 2013-&gt;'!$K:$K,MATCH($D713,'Lopettaneet 2013-&gt;'!$D:$D,0)),"Jatkaa")</f>
        <v>Jatkaa</v>
      </c>
      <c r="K713">
        <f ca="1">IF($J713="Jatkaa",DATEDIF($B713,TODAY(),"Y"),INDEX('Lopettaneet 2013-&gt;'!$L:$L,MATCH($D713,'Lopettaneet 2013-&gt;'!$D:$D,0)))</f>
        <v>6</v>
      </c>
      <c r="L713">
        <v>712</v>
      </c>
    </row>
    <row r="714" spans="1:12" x14ac:dyDescent="0.25">
      <c r="A714" t="s">
        <v>7</v>
      </c>
      <c r="B714" s="1">
        <v>43617</v>
      </c>
      <c r="C714" s="1">
        <v>55153</v>
      </c>
      <c r="D714" s="4" t="s">
        <v>1626</v>
      </c>
      <c r="E714" t="s">
        <v>10</v>
      </c>
      <c r="F714" t="s">
        <v>11</v>
      </c>
      <c r="G714" t="s">
        <v>12</v>
      </c>
      <c r="H714" t="s">
        <v>2771</v>
      </c>
      <c r="I714" t="s">
        <v>2895</v>
      </c>
      <c r="J714" t="str">
        <f>IF(ISNUMBER(MATCH($D714,'Lopettaneet 2013-&gt;'!$D:$D,0)),INDEX('Lopettaneet 2013-&gt;'!$K:$K,MATCH($D714,'Lopettaneet 2013-&gt;'!$D:$D,0)),"Jatkaa")</f>
        <v>Jatkaa</v>
      </c>
      <c r="K714">
        <f ca="1">IF($J714="Jatkaa",DATEDIF($B714,TODAY(),"Y"),INDEX('Lopettaneet 2013-&gt;'!$L:$L,MATCH($D714,'Lopettaneet 2013-&gt;'!$D:$D,0)))</f>
        <v>5</v>
      </c>
      <c r="L714">
        <v>713</v>
      </c>
    </row>
    <row r="715" spans="1:12" x14ac:dyDescent="0.25">
      <c r="A715" t="s">
        <v>7</v>
      </c>
      <c r="B715" s="1">
        <v>43800</v>
      </c>
      <c r="C715" s="1">
        <v>55153</v>
      </c>
      <c r="D715" s="4" t="s">
        <v>1628</v>
      </c>
      <c r="E715" t="s">
        <v>10</v>
      </c>
      <c r="F715" t="s">
        <v>11</v>
      </c>
      <c r="G715" t="s">
        <v>12</v>
      </c>
      <c r="H715" t="s">
        <v>2809</v>
      </c>
      <c r="I715" t="s">
        <v>2895</v>
      </c>
      <c r="J715" t="str">
        <f>IF(ISNUMBER(MATCH($D715,'Lopettaneet 2013-&gt;'!$D:$D,0)),INDEX('Lopettaneet 2013-&gt;'!$K:$K,MATCH($D715,'Lopettaneet 2013-&gt;'!$D:$D,0)),"Jatkaa")</f>
        <v>Jatkaa</v>
      </c>
      <c r="K715">
        <f ca="1">IF($J715="Jatkaa",DATEDIF($B715,TODAY(),"Y"),INDEX('Lopettaneet 2013-&gt;'!$L:$L,MATCH($D715,'Lopettaneet 2013-&gt;'!$D:$D,0)))</f>
        <v>5</v>
      </c>
      <c r="L715">
        <v>714</v>
      </c>
    </row>
    <row r="716" spans="1:12" x14ac:dyDescent="0.25">
      <c r="A716" t="s">
        <v>7</v>
      </c>
      <c r="B716" s="1">
        <v>43525</v>
      </c>
      <c r="C716" s="1">
        <v>55153</v>
      </c>
      <c r="D716" s="4" t="s">
        <v>1630</v>
      </c>
      <c r="E716" t="s">
        <v>10</v>
      </c>
      <c r="F716" t="s">
        <v>11</v>
      </c>
      <c r="G716" t="s">
        <v>80</v>
      </c>
      <c r="H716" t="s">
        <v>2857</v>
      </c>
      <c r="I716" t="s">
        <v>2895</v>
      </c>
      <c r="J716" t="str">
        <f>IF(ISNUMBER(MATCH($D716,'Lopettaneet 2013-&gt;'!$D:$D,0)),INDEX('Lopettaneet 2013-&gt;'!$K:$K,MATCH($D716,'Lopettaneet 2013-&gt;'!$D:$D,0)),"Jatkaa")</f>
        <v>Jatkaa</v>
      </c>
      <c r="K716">
        <f ca="1">IF($J716="Jatkaa",DATEDIF($B716,TODAY(),"Y"),INDEX('Lopettaneet 2013-&gt;'!$L:$L,MATCH($D716,'Lopettaneet 2013-&gt;'!$D:$D,0)))</f>
        <v>6</v>
      </c>
      <c r="L716">
        <v>715</v>
      </c>
    </row>
    <row r="717" spans="1:12" x14ac:dyDescent="0.25">
      <c r="A717" t="s">
        <v>7</v>
      </c>
      <c r="B717" s="1">
        <v>43709</v>
      </c>
      <c r="C717" s="1">
        <v>55153</v>
      </c>
      <c r="D717" s="4" t="s">
        <v>1632</v>
      </c>
      <c r="E717" t="s">
        <v>10</v>
      </c>
      <c r="F717" t="s">
        <v>11</v>
      </c>
      <c r="G717" t="s">
        <v>80</v>
      </c>
      <c r="H717" t="s">
        <v>2857</v>
      </c>
      <c r="I717" t="s">
        <v>2895</v>
      </c>
      <c r="J717" t="str">
        <f>IF(ISNUMBER(MATCH($D717,'Lopettaneet 2013-&gt;'!$D:$D,0)),INDEX('Lopettaneet 2013-&gt;'!$K:$K,MATCH($D717,'Lopettaneet 2013-&gt;'!$D:$D,0)),"Jatkaa")</f>
        <v>Jatkaa</v>
      </c>
      <c r="K717">
        <f ca="1">IF($J717="Jatkaa",DATEDIF($B717,TODAY(),"Y"),INDEX('Lopettaneet 2013-&gt;'!$L:$L,MATCH($D717,'Lopettaneet 2013-&gt;'!$D:$D,0)))</f>
        <v>5</v>
      </c>
      <c r="L717">
        <v>716</v>
      </c>
    </row>
    <row r="718" spans="1:12" x14ac:dyDescent="0.25">
      <c r="A718" t="s">
        <v>7</v>
      </c>
      <c r="B718" s="1">
        <v>43617</v>
      </c>
      <c r="C718" s="1">
        <v>55153</v>
      </c>
      <c r="D718" s="4" t="s">
        <v>1634</v>
      </c>
      <c r="E718" t="s">
        <v>10</v>
      </c>
      <c r="F718" t="s">
        <v>11</v>
      </c>
      <c r="G718" t="s">
        <v>29</v>
      </c>
      <c r="H718" t="s">
        <v>2802</v>
      </c>
      <c r="I718" t="s">
        <v>2895</v>
      </c>
      <c r="J718" t="str">
        <f>IF(ISNUMBER(MATCH($D718,'Lopettaneet 2013-&gt;'!$D:$D,0)),INDEX('Lopettaneet 2013-&gt;'!$K:$K,MATCH($D718,'Lopettaneet 2013-&gt;'!$D:$D,0)),"Jatkaa")</f>
        <v>Jatkaa</v>
      </c>
      <c r="K718">
        <f ca="1">IF($J718="Jatkaa",DATEDIF($B718,TODAY(),"Y"),INDEX('Lopettaneet 2013-&gt;'!$L:$L,MATCH($D718,'Lopettaneet 2013-&gt;'!$D:$D,0)))</f>
        <v>5</v>
      </c>
      <c r="L718">
        <v>717</v>
      </c>
    </row>
    <row r="719" spans="1:12" x14ac:dyDescent="0.25">
      <c r="A719" t="s">
        <v>7</v>
      </c>
      <c r="B719" s="1">
        <v>43617</v>
      </c>
      <c r="C719" s="1">
        <v>55153</v>
      </c>
      <c r="D719" s="4" t="s">
        <v>1636</v>
      </c>
      <c r="E719" t="s">
        <v>10</v>
      </c>
      <c r="F719" t="s">
        <v>11</v>
      </c>
      <c r="G719" t="s">
        <v>32</v>
      </c>
      <c r="H719" t="s">
        <v>2858</v>
      </c>
      <c r="I719" t="s">
        <v>2895</v>
      </c>
      <c r="J719" t="str">
        <f>IF(ISNUMBER(MATCH($D719,'Lopettaneet 2013-&gt;'!$D:$D,0)),INDEX('Lopettaneet 2013-&gt;'!$K:$K,MATCH($D719,'Lopettaneet 2013-&gt;'!$D:$D,0)),"Jatkaa")</f>
        <v>Jatkaa</v>
      </c>
      <c r="K719">
        <f ca="1">IF($J719="Jatkaa",DATEDIF($B719,TODAY(),"Y"),INDEX('Lopettaneet 2013-&gt;'!$L:$L,MATCH($D719,'Lopettaneet 2013-&gt;'!$D:$D,0)))</f>
        <v>5</v>
      </c>
      <c r="L719">
        <v>718</v>
      </c>
    </row>
    <row r="720" spans="1:12" x14ac:dyDescent="0.25">
      <c r="A720" t="s">
        <v>7</v>
      </c>
      <c r="B720" s="1">
        <v>43617</v>
      </c>
      <c r="C720" s="1">
        <v>55153</v>
      </c>
      <c r="D720" s="4" t="s">
        <v>1638</v>
      </c>
      <c r="E720" t="s">
        <v>10</v>
      </c>
      <c r="F720" t="s">
        <v>11</v>
      </c>
      <c r="G720" t="s">
        <v>32</v>
      </c>
      <c r="H720" t="s">
        <v>2858</v>
      </c>
      <c r="I720" t="s">
        <v>2895</v>
      </c>
      <c r="J720" t="str">
        <f>IF(ISNUMBER(MATCH($D720,'Lopettaneet 2013-&gt;'!$D:$D,0)),INDEX('Lopettaneet 2013-&gt;'!$K:$K,MATCH($D720,'Lopettaneet 2013-&gt;'!$D:$D,0)),"Jatkaa")</f>
        <v>Jatkaa</v>
      </c>
      <c r="K720">
        <f ca="1">IF($J720="Jatkaa",DATEDIF($B720,TODAY(),"Y"),INDEX('Lopettaneet 2013-&gt;'!$L:$L,MATCH($D720,'Lopettaneet 2013-&gt;'!$D:$D,0)))</f>
        <v>5</v>
      </c>
      <c r="L720">
        <v>719</v>
      </c>
    </row>
    <row r="721" spans="1:12" x14ac:dyDescent="0.25">
      <c r="A721" t="s">
        <v>0</v>
      </c>
      <c r="B721" s="1">
        <v>43556</v>
      </c>
      <c r="C721" s="1">
        <v>55153</v>
      </c>
      <c r="D721" s="4" t="s">
        <v>1640</v>
      </c>
      <c r="E721" t="s">
        <v>3</v>
      </c>
      <c r="F721" t="s">
        <v>4</v>
      </c>
      <c r="G721" t="s">
        <v>50</v>
      </c>
      <c r="H721" t="s">
        <v>2776</v>
      </c>
      <c r="I721" t="s">
        <v>2894</v>
      </c>
      <c r="J721" t="str">
        <f>IF(ISNUMBER(MATCH($D721,'Lopettaneet 2013-&gt;'!$D:$D,0)),INDEX('Lopettaneet 2013-&gt;'!$K:$K,MATCH($D721,'Lopettaneet 2013-&gt;'!$D:$D,0)),"Jatkaa")</f>
        <v>Jatkaa</v>
      </c>
      <c r="K721">
        <f ca="1">IF($J721="Jatkaa",DATEDIF($B721,TODAY(),"Y"),INDEX('Lopettaneet 2013-&gt;'!$L:$L,MATCH($D721,'Lopettaneet 2013-&gt;'!$D:$D,0)))</f>
        <v>6</v>
      </c>
      <c r="L721">
        <v>720</v>
      </c>
    </row>
    <row r="722" spans="1:12" x14ac:dyDescent="0.25">
      <c r="A722" t="s">
        <v>7</v>
      </c>
      <c r="B722" s="1">
        <v>43891</v>
      </c>
      <c r="C722" s="1">
        <v>55153</v>
      </c>
      <c r="D722" s="4" t="s">
        <v>1642</v>
      </c>
      <c r="E722" t="s">
        <v>10</v>
      </c>
      <c r="F722" t="s">
        <v>11</v>
      </c>
      <c r="G722" t="s">
        <v>29</v>
      </c>
      <c r="H722" t="s">
        <v>2859</v>
      </c>
      <c r="I722" t="s">
        <v>2895</v>
      </c>
      <c r="J722" t="str">
        <f>IF(ISNUMBER(MATCH($D722,'Lopettaneet 2013-&gt;'!$D:$D,0)),INDEX('Lopettaneet 2013-&gt;'!$K:$K,MATCH($D722,'Lopettaneet 2013-&gt;'!$D:$D,0)),"Jatkaa")</f>
        <v>Jatkaa</v>
      </c>
      <c r="K722">
        <f ca="1">IF($J722="Jatkaa",DATEDIF($B722,TODAY(),"Y"),INDEX('Lopettaneet 2013-&gt;'!$L:$L,MATCH($D722,'Lopettaneet 2013-&gt;'!$D:$D,0)))</f>
        <v>5</v>
      </c>
      <c r="L722">
        <v>721</v>
      </c>
    </row>
    <row r="723" spans="1:12" x14ac:dyDescent="0.25">
      <c r="A723" t="s">
        <v>7</v>
      </c>
      <c r="B723" s="1">
        <v>43617</v>
      </c>
      <c r="C723" s="1">
        <v>55153</v>
      </c>
      <c r="D723" s="4" t="s">
        <v>1644</v>
      </c>
      <c r="E723" t="s">
        <v>10</v>
      </c>
      <c r="F723" t="s">
        <v>11</v>
      </c>
      <c r="G723" t="s">
        <v>29</v>
      </c>
      <c r="H723" t="s">
        <v>2801</v>
      </c>
      <c r="I723" t="s">
        <v>2894</v>
      </c>
      <c r="J723" t="str">
        <f>IF(ISNUMBER(MATCH($D723,'Lopettaneet 2013-&gt;'!$D:$D,0)),INDEX('Lopettaneet 2013-&gt;'!$K:$K,MATCH($D723,'Lopettaneet 2013-&gt;'!$D:$D,0)),"Jatkaa")</f>
        <v>Jatkaa</v>
      </c>
      <c r="K723">
        <f ca="1">IF($J723="Jatkaa",DATEDIF($B723,TODAY(),"Y"),INDEX('Lopettaneet 2013-&gt;'!$L:$L,MATCH($D723,'Lopettaneet 2013-&gt;'!$D:$D,0)))</f>
        <v>5</v>
      </c>
      <c r="L723">
        <v>722</v>
      </c>
    </row>
    <row r="724" spans="1:12" x14ac:dyDescent="0.25">
      <c r="A724" t="s">
        <v>7</v>
      </c>
      <c r="B724" s="1">
        <v>43617</v>
      </c>
      <c r="C724" s="1">
        <v>55153</v>
      </c>
      <c r="D724" s="4" t="s">
        <v>1646</v>
      </c>
      <c r="E724" t="s">
        <v>10</v>
      </c>
      <c r="F724" t="s">
        <v>11</v>
      </c>
      <c r="G724" t="s">
        <v>29</v>
      </c>
      <c r="H724" t="s">
        <v>2801</v>
      </c>
      <c r="I724" t="s">
        <v>2894</v>
      </c>
      <c r="J724" t="str">
        <f>IF(ISNUMBER(MATCH($D724,'Lopettaneet 2013-&gt;'!$D:$D,0)),INDEX('Lopettaneet 2013-&gt;'!$K:$K,MATCH($D724,'Lopettaneet 2013-&gt;'!$D:$D,0)),"Jatkaa")</f>
        <v>Jatkaa</v>
      </c>
      <c r="K724">
        <f ca="1">IF($J724="Jatkaa",DATEDIF($B724,TODAY(),"Y"),INDEX('Lopettaneet 2013-&gt;'!$L:$L,MATCH($D724,'Lopettaneet 2013-&gt;'!$D:$D,0)))</f>
        <v>5</v>
      </c>
      <c r="L724">
        <v>723</v>
      </c>
    </row>
    <row r="725" spans="1:12" x14ac:dyDescent="0.25">
      <c r="A725" t="s">
        <v>7</v>
      </c>
      <c r="B725" s="1">
        <v>43617</v>
      </c>
      <c r="C725" s="1">
        <v>55153</v>
      </c>
      <c r="D725" s="4" t="s">
        <v>1648</v>
      </c>
      <c r="E725" t="s">
        <v>10</v>
      </c>
      <c r="F725" t="s">
        <v>11</v>
      </c>
      <c r="G725" t="s">
        <v>29</v>
      </c>
      <c r="H725" t="s">
        <v>2801</v>
      </c>
      <c r="I725" t="s">
        <v>2894</v>
      </c>
      <c r="J725" t="str">
        <f>IF(ISNUMBER(MATCH($D725,'Lopettaneet 2013-&gt;'!$D:$D,0)),INDEX('Lopettaneet 2013-&gt;'!$K:$K,MATCH($D725,'Lopettaneet 2013-&gt;'!$D:$D,0)),"Jatkaa")</f>
        <v>Jatkaa</v>
      </c>
      <c r="K725">
        <f ca="1">IF($J725="Jatkaa",DATEDIF($B725,TODAY(),"Y"),INDEX('Lopettaneet 2013-&gt;'!$L:$L,MATCH($D725,'Lopettaneet 2013-&gt;'!$D:$D,0)))</f>
        <v>5</v>
      </c>
      <c r="L725">
        <v>724</v>
      </c>
    </row>
    <row r="726" spans="1:12" x14ac:dyDescent="0.25">
      <c r="A726" t="s">
        <v>7</v>
      </c>
      <c r="B726" s="1">
        <v>43617</v>
      </c>
      <c r="C726" s="1">
        <v>55153</v>
      </c>
      <c r="D726" s="4" t="s">
        <v>1650</v>
      </c>
      <c r="E726" t="s">
        <v>10</v>
      </c>
      <c r="F726" t="s">
        <v>11</v>
      </c>
      <c r="G726" t="s">
        <v>29</v>
      </c>
      <c r="H726" t="s">
        <v>2801</v>
      </c>
      <c r="I726" t="s">
        <v>2894</v>
      </c>
      <c r="J726" t="str">
        <f>IF(ISNUMBER(MATCH($D726,'Lopettaneet 2013-&gt;'!$D:$D,0)),INDEX('Lopettaneet 2013-&gt;'!$K:$K,MATCH($D726,'Lopettaneet 2013-&gt;'!$D:$D,0)),"Jatkaa")</f>
        <v>Jatkaa</v>
      </c>
      <c r="K726">
        <f ca="1">IF($J726="Jatkaa",DATEDIF($B726,TODAY(),"Y"),INDEX('Lopettaneet 2013-&gt;'!$L:$L,MATCH($D726,'Lopettaneet 2013-&gt;'!$D:$D,0)))</f>
        <v>5</v>
      </c>
      <c r="L726">
        <v>725</v>
      </c>
    </row>
    <row r="727" spans="1:12" x14ac:dyDescent="0.25">
      <c r="A727" t="s">
        <v>7</v>
      </c>
      <c r="B727" s="1">
        <v>43617</v>
      </c>
      <c r="C727" s="1">
        <v>55153</v>
      </c>
      <c r="D727" s="4" t="s">
        <v>1652</v>
      </c>
      <c r="E727" t="s">
        <v>10</v>
      </c>
      <c r="F727" t="s">
        <v>11</v>
      </c>
      <c r="G727" t="s">
        <v>29</v>
      </c>
      <c r="H727" t="s">
        <v>2801</v>
      </c>
      <c r="I727" t="s">
        <v>2894</v>
      </c>
      <c r="J727" t="str">
        <f>IF(ISNUMBER(MATCH($D727,'Lopettaneet 2013-&gt;'!$D:$D,0)),INDEX('Lopettaneet 2013-&gt;'!$K:$K,MATCH($D727,'Lopettaneet 2013-&gt;'!$D:$D,0)),"Jatkaa")</f>
        <v>Jatkaa</v>
      </c>
      <c r="K727">
        <f ca="1">IF($J727="Jatkaa",DATEDIF($B727,TODAY(),"Y"),INDEX('Lopettaneet 2013-&gt;'!$L:$L,MATCH($D727,'Lopettaneet 2013-&gt;'!$D:$D,0)))</f>
        <v>5</v>
      </c>
      <c r="L727">
        <v>726</v>
      </c>
    </row>
    <row r="728" spans="1:12" x14ac:dyDescent="0.25">
      <c r="A728" t="s">
        <v>7</v>
      </c>
      <c r="B728" s="1">
        <v>43617</v>
      </c>
      <c r="C728" s="1">
        <v>44377</v>
      </c>
      <c r="D728" s="4" t="s">
        <v>1654</v>
      </c>
      <c r="E728" t="s">
        <v>10</v>
      </c>
      <c r="F728" t="s">
        <v>11</v>
      </c>
      <c r="G728" t="s">
        <v>29</v>
      </c>
      <c r="H728" t="s">
        <v>2763</v>
      </c>
      <c r="I728" t="s">
        <v>2763</v>
      </c>
      <c r="J728" t="str">
        <f>IF(ISNUMBER(MATCH($D728,'Lopettaneet 2013-&gt;'!$D:$D,0)),INDEX('Lopettaneet 2013-&gt;'!$K:$K,MATCH($D728,'Lopettaneet 2013-&gt;'!$D:$D,0)),"Jatkaa")</f>
        <v>Closed</v>
      </c>
      <c r="K728">
        <f ca="1">IF($J728="Jatkaa",DATEDIF($B728,TODAY(),"Y"),INDEX('Lopettaneet 2013-&gt;'!$L:$L,MATCH($D728,'Lopettaneet 2013-&gt;'!$D:$D,0)))</f>
        <v>2</v>
      </c>
      <c r="L728">
        <v>727</v>
      </c>
    </row>
    <row r="729" spans="1:12" x14ac:dyDescent="0.25">
      <c r="A729" t="s">
        <v>7</v>
      </c>
      <c r="B729" s="1">
        <v>43617</v>
      </c>
      <c r="C729" s="1">
        <v>55153</v>
      </c>
      <c r="D729" s="4" t="s">
        <v>1656</v>
      </c>
      <c r="E729" t="s">
        <v>10</v>
      </c>
      <c r="F729" t="s">
        <v>11</v>
      </c>
      <c r="G729" t="s">
        <v>29</v>
      </c>
      <c r="H729" t="s">
        <v>2802</v>
      </c>
      <c r="I729" t="s">
        <v>2763</v>
      </c>
      <c r="J729" t="str">
        <f>IF(ISNUMBER(MATCH($D729,'Lopettaneet 2013-&gt;'!$D:$D,0)),INDEX('Lopettaneet 2013-&gt;'!$K:$K,MATCH($D729,'Lopettaneet 2013-&gt;'!$D:$D,0)),"Jatkaa")</f>
        <v>Jatkaa</v>
      </c>
      <c r="K729">
        <f ca="1">IF($J729="Jatkaa",DATEDIF($B729,TODAY(),"Y"),INDEX('Lopettaneet 2013-&gt;'!$L:$L,MATCH($D729,'Lopettaneet 2013-&gt;'!$D:$D,0)))</f>
        <v>5</v>
      </c>
      <c r="L729">
        <v>728</v>
      </c>
    </row>
    <row r="730" spans="1:12" x14ac:dyDescent="0.25">
      <c r="A730" t="s">
        <v>7</v>
      </c>
      <c r="B730" s="1">
        <v>43617</v>
      </c>
      <c r="C730" s="1">
        <v>55153</v>
      </c>
      <c r="D730" s="4" t="s">
        <v>1658</v>
      </c>
      <c r="E730" t="s">
        <v>10</v>
      </c>
      <c r="F730" t="s">
        <v>11</v>
      </c>
      <c r="G730" t="s">
        <v>29</v>
      </c>
      <c r="H730" t="s">
        <v>2802</v>
      </c>
      <c r="I730" t="s">
        <v>2895</v>
      </c>
      <c r="J730" t="str">
        <f>IF(ISNUMBER(MATCH($D730,'Lopettaneet 2013-&gt;'!$D:$D,0)),INDEX('Lopettaneet 2013-&gt;'!$K:$K,MATCH($D730,'Lopettaneet 2013-&gt;'!$D:$D,0)),"Jatkaa")</f>
        <v>Jatkaa</v>
      </c>
      <c r="K730">
        <f ca="1">IF($J730="Jatkaa",DATEDIF($B730,TODAY(),"Y"),INDEX('Lopettaneet 2013-&gt;'!$L:$L,MATCH($D730,'Lopettaneet 2013-&gt;'!$D:$D,0)))</f>
        <v>5</v>
      </c>
      <c r="L730">
        <v>729</v>
      </c>
    </row>
    <row r="731" spans="1:12" x14ac:dyDescent="0.25">
      <c r="A731" t="s">
        <v>0</v>
      </c>
      <c r="B731" s="1">
        <v>43586</v>
      </c>
      <c r="C731" s="1">
        <v>55153</v>
      </c>
      <c r="D731" s="4" t="s">
        <v>1660</v>
      </c>
      <c r="E731" t="s">
        <v>3</v>
      </c>
      <c r="F731" t="s">
        <v>4</v>
      </c>
      <c r="G731" t="s">
        <v>50</v>
      </c>
      <c r="H731" t="s">
        <v>2770</v>
      </c>
      <c r="I731" t="s">
        <v>2894</v>
      </c>
      <c r="J731" t="str">
        <f>IF(ISNUMBER(MATCH($D731,'Lopettaneet 2013-&gt;'!$D:$D,0)),INDEX('Lopettaneet 2013-&gt;'!$K:$K,MATCH($D731,'Lopettaneet 2013-&gt;'!$D:$D,0)),"Jatkaa")</f>
        <v>Jatkaa</v>
      </c>
      <c r="K731">
        <f ca="1">IF($J731="Jatkaa",DATEDIF($B731,TODAY(),"Y"),INDEX('Lopettaneet 2013-&gt;'!$L:$L,MATCH($D731,'Lopettaneet 2013-&gt;'!$D:$D,0)))</f>
        <v>6</v>
      </c>
      <c r="L731">
        <v>730</v>
      </c>
    </row>
    <row r="732" spans="1:12" x14ac:dyDescent="0.25">
      <c r="A732" t="s">
        <v>7</v>
      </c>
      <c r="B732" s="1">
        <v>43617</v>
      </c>
      <c r="C732" s="1">
        <v>44834</v>
      </c>
      <c r="D732" s="4" t="s">
        <v>1662</v>
      </c>
      <c r="E732" t="s">
        <v>10</v>
      </c>
      <c r="F732" t="s">
        <v>11</v>
      </c>
      <c r="G732" t="s">
        <v>32</v>
      </c>
      <c r="H732" t="s">
        <v>2763</v>
      </c>
      <c r="I732" t="s">
        <v>2763</v>
      </c>
      <c r="J732" t="str">
        <f>IF(ISNUMBER(MATCH($D732,'Lopettaneet 2013-&gt;'!$D:$D,0)),INDEX('Lopettaneet 2013-&gt;'!$K:$K,MATCH($D732,'Lopettaneet 2013-&gt;'!$D:$D,0)),"Jatkaa")</f>
        <v>Closed</v>
      </c>
      <c r="K732">
        <f ca="1">IF($J732="Jatkaa",DATEDIF($B732,TODAY(),"Y"),INDEX('Lopettaneet 2013-&gt;'!$L:$L,MATCH($D732,'Lopettaneet 2013-&gt;'!$D:$D,0)))</f>
        <v>3</v>
      </c>
      <c r="L732">
        <v>731</v>
      </c>
    </row>
    <row r="733" spans="1:12" x14ac:dyDescent="0.25">
      <c r="A733" t="s">
        <v>7</v>
      </c>
      <c r="B733" s="1">
        <v>43617</v>
      </c>
      <c r="C733" s="1">
        <v>44834</v>
      </c>
      <c r="D733" s="4" t="s">
        <v>1664</v>
      </c>
      <c r="E733" t="s">
        <v>10</v>
      </c>
      <c r="F733" t="s">
        <v>11</v>
      </c>
      <c r="G733" t="s">
        <v>32</v>
      </c>
      <c r="H733" t="s">
        <v>2763</v>
      </c>
      <c r="I733" t="s">
        <v>2763</v>
      </c>
      <c r="J733" t="str">
        <f>IF(ISNUMBER(MATCH($D733,'Lopettaneet 2013-&gt;'!$D:$D,0)),INDEX('Lopettaneet 2013-&gt;'!$K:$K,MATCH($D733,'Lopettaneet 2013-&gt;'!$D:$D,0)),"Jatkaa")</f>
        <v>Closed</v>
      </c>
      <c r="K733">
        <f ca="1">IF($J733="Jatkaa",DATEDIF($B733,TODAY(),"Y"),INDEX('Lopettaneet 2013-&gt;'!$L:$L,MATCH($D733,'Lopettaneet 2013-&gt;'!$D:$D,0)))</f>
        <v>3</v>
      </c>
      <c r="L733">
        <v>732</v>
      </c>
    </row>
    <row r="734" spans="1:12" x14ac:dyDescent="0.25">
      <c r="A734" t="s">
        <v>7</v>
      </c>
      <c r="B734" s="1">
        <v>43617</v>
      </c>
      <c r="C734" s="1">
        <v>44834</v>
      </c>
      <c r="D734" s="4" t="s">
        <v>1666</v>
      </c>
      <c r="E734" t="s">
        <v>10</v>
      </c>
      <c r="F734" t="s">
        <v>11</v>
      </c>
      <c r="G734" t="s">
        <v>32</v>
      </c>
      <c r="H734" t="s">
        <v>2763</v>
      </c>
      <c r="I734" t="s">
        <v>2763</v>
      </c>
      <c r="J734" t="str">
        <f>IF(ISNUMBER(MATCH($D734,'Lopettaneet 2013-&gt;'!$D:$D,0)),INDEX('Lopettaneet 2013-&gt;'!$K:$K,MATCH($D734,'Lopettaneet 2013-&gt;'!$D:$D,0)),"Jatkaa")</f>
        <v>Closed</v>
      </c>
      <c r="K734">
        <f ca="1">IF($J734="Jatkaa",DATEDIF($B734,TODAY(),"Y"),INDEX('Lopettaneet 2013-&gt;'!$L:$L,MATCH($D734,'Lopettaneet 2013-&gt;'!$D:$D,0)))</f>
        <v>3</v>
      </c>
      <c r="L734">
        <v>733</v>
      </c>
    </row>
    <row r="735" spans="1:12" x14ac:dyDescent="0.25">
      <c r="A735" t="s">
        <v>7</v>
      </c>
      <c r="B735" s="1">
        <v>43617</v>
      </c>
      <c r="C735" s="1">
        <v>44834</v>
      </c>
      <c r="D735" s="4" t="s">
        <v>1668</v>
      </c>
      <c r="E735" t="s">
        <v>10</v>
      </c>
      <c r="F735" t="s">
        <v>11</v>
      </c>
      <c r="G735" t="s">
        <v>32</v>
      </c>
      <c r="H735" t="s">
        <v>2763</v>
      </c>
      <c r="I735" t="s">
        <v>2763</v>
      </c>
      <c r="J735" t="str">
        <f>IF(ISNUMBER(MATCH($D735,'Lopettaneet 2013-&gt;'!$D:$D,0)),INDEX('Lopettaneet 2013-&gt;'!$K:$K,MATCH($D735,'Lopettaneet 2013-&gt;'!$D:$D,0)),"Jatkaa")</f>
        <v>Closed</v>
      </c>
      <c r="K735">
        <f ca="1">IF($J735="Jatkaa",DATEDIF($B735,TODAY(),"Y"),INDEX('Lopettaneet 2013-&gt;'!$L:$L,MATCH($D735,'Lopettaneet 2013-&gt;'!$D:$D,0)))</f>
        <v>3</v>
      </c>
      <c r="L735">
        <v>734</v>
      </c>
    </row>
    <row r="736" spans="1:12" x14ac:dyDescent="0.25">
      <c r="A736" t="s">
        <v>7</v>
      </c>
      <c r="B736" s="1">
        <v>43617</v>
      </c>
      <c r="C736" s="1">
        <v>44834</v>
      </c>
      <c r="D736" s="4" t="s">
        <v>1670</v>
      </c>
      <c r="E736" t="s">
        <v>10</v>
      </c>
      <c r="F736" t="s">
        <v>11</v>
      </c>
      <c r="G736" t="s">
        <v>32</v>
      </c>
      <c r="H736" t="s">
        <v>2763</v>
      </c>
      <c r="I736" t="s">
        <v>2763</v>
      </c>
      <c r="J736" t="str">
        <f>IF(ISNUMBER(MATCH($D736,'Lopettaneet 2013-&gt;'!$D:$D,0)),INDEX('Lopettaneet 2013-&gt;'!$K:$K,MATCH($D736,'Lopettaneet 2013-&gt;'!$D:$D,0)),"Jatkaa")</f>
        <v>Closed</v>
      </c>
      <c r="K736">
        <f ca="1">IF($J736="Jatkaa",DATEDIF($B736,TODAY(),"Y"),INDEX('Lopettaneet 2013-&gt;'!$L:$L,MATCH($D736,'Lopettaneet 2013-&gt;'!$D:$D,0)))</f>
        <v>3</v>
      </c>
      <c r="L736">
        <v>735</v>
      </c>
    </row>
    <row r="737" spans="1:12" x14ac:dyDescent="0.25">
      <c r="A737" t="s">
        <v>0</v>
      </c>
      <c r="B737" s="1">
        <v>43709</v>
      </c>
      <c r="C737" s="1">
        <v>55153</v>
      </c>
      <c r="D737" s="4" t="s">
        <v>1672</v>
      </c>
      <c r="E737" t="s">
        <v>3</v>
      </c>
      <c r="F737" t="s">
        <v>4</v>
      </c>
      <c r="G737" t="s">
        <v>20</v>
      </c>
      <c r="H737" t="s">
        <v>2765</v>
      </c>
      <c r="I737" t="s">
        <v>2894</v>
      </c>
      <c r="J737" t="str">
        <f>IF(ISNUMBER(MATCH($D737,'Lopettaneet 2013-&gt;'!$D:$D,0)),INDEX('Lopettaneet 2013-&gt;'!$K:$K,MATCH($D737,'Lopettaneet 2013-&gt;'!$D:$D,0)),"Jatkaa")</f>
        <v>Jatkaa</v>
      </c>
      <c r="K737">
        <f ca="1">IF($J737="Jatkaa",DATEDIF($B737,TODAY(),"Y"),INDEX('Lopettaneet 2013-&gt;'!$L:$L,MATCH($D737,'Lopettaneet 2013-&gt;'!$D:$D,0)))</f>
        <v>5</v>
      </c>
      <c r="L737">
        <v>736</v>
      </c>
    </row>
    <row r="738" spans="1:12" x14ac:dyDescent="0.25">
      <c r="A738" t="s">
        <v>7</v>
      </c>
      <c r="B738" s="1">
        <v>43800</v>
      </c>
      <c r="C738" s="1">
        <v>55153</v>
      </c>
      <c r="D738" s="4" t="s">
        <v>1674</v>
      </c>
      <c r="E738" t="s">
        <v>10</v>
      </c>
      <c r="F738" t="s">
        <v>11</v>
      </c>
      <c r="G738" t="s">
        <v>80</v>
      </c>
      <c r="H738" t="s">
        <v>2860</v>
      </c>
      <c r="I738" t="s">
        <v>2894</v>
      </c>
      <c r="J738" t="str">
        <f>IF(ISNUMBER(MATCH($D738,'Lopettaneet 2013-&gt;'!$D:$D,0)),INDEX('Lopettaneet 2013-&gt;'!$K:$K,MATCH($D738,'Lopettaneet 2013-&gt;'!$D:$D,0)),"Jatkaa")</f>
        <v>Jatkaa</v>
      </c>
      <c r="K738">
        <f ca="1">IF($J738="Jatkaa",DATEDIF($B738,TODAY(),"Y"),INDEX('Lopettaneet 2013-&gt;'!$L:$L,MATCH($D738,'Lopettaneet 2013-&gt;'!$D:$D,0)))</f>
        <v>5</v>
      </c>
      <c r="L738">
        <v>737</v>
      </c>
    </row>
    <row r="739" spans="1:12" x14ac:dyDescent="0.25">
      <c r="A739" t="s">
        <v>7</v>
      </c>
      <c r="B739" s="1">
        <v>43800</v>
      </c>
      <c r="C739" s="1">
        <v>55153</v>
      </c>
      <c r="D739" s="4" t="s">
        <v>1676</v>
      </c>
      <c r="E739" t="s">
        <v>10</v>
      </c>
      <c r="F739" t="s">
        <v>11</v>
      </c>
      <c r="G739" t="s">
        <v>80</v>
      </c>
      <c r="H739" t="s">
        <v>2861</v>
      </c>
      <c r="I739" t="s">
        <v>2895</v>
      </c>
      <c r="J739" t="str">
        <f>IF(ISNUMBER(MATCH($D739,'Lopettaneet 2013-&gt;'!$D:$D,0)),INDEX('Lopettaneet 2013-&gt;'!$K:$K,MATCH($D739,'Lopettaneet 2013-&gt;'!$D:$D,0)),"Jatkaa")</f>
        <v>Jatkaa</v>
      </c>
      <c r="K739">
        <f ca="1">IF($J739="Jatkaa",DATEDIF($B739,TODAY(),"Y"),INDEX('Lopettaneet 2013-&gt;'!$L:$L,MATCH($D739,'Lopettaneet 2013-&gt;'!$D:$D,0)))</f>
        <v>5</v>
      </c>
      <c r="L739">
        <v>738</v>
      </c>
    </row>
    <row r="740" spans="1:12" x14ac:dyDescent="0.25">
      <c r="A740" t="s">
        <v>7</v>
      </c>
      <c r="B740" s="1">
        <v>44440</v>
      </c>
      <c r="C740" s="1">
        <v>55153</v>
      </c>
      <c r="D740" s="4" t="s">
        <v>1678</v>
      </c>
      <c r="E740" t="s">
        <v>10</v>
      </c>
      <c r="F740" t="s">
        <v>11</v>
      </c>
      <c r="G740" t="s">
        <v>80</v>
      </c>
      <c r="H740" t="s">
        <v>2862</v>
      </c>
      <c r="I740" t="s">
        <v>2895</v>
      </c>
      <c r="J740" t="str">
        <f>IF(ISNUMBER(MATCH($D740,'Lopettaneet 2013-&gt;'!$D:$D,0)),INDEX('Lopettaneet 2013-&gt;'!$K:$K,MATCH($D740,'Lopettaneet 2013-&gt;'!$D:$D,0)),"Jatkaa")</f>
        <v>Jatkaa</v>
      </c>
      <c r="K740">
        <f ca="1">IF($J740="Jatkaa",DATEDIF($B740,TODAY(),"Y"),INDEX('Lopettaneet 2013-&gt;'!$L:$L,MATCH($D740,'Lopettaneet 2013-&gt;'!$D:$D,0)))</f>
        <v>3</v>
      </c>
      <c r="L740">
        <v>739</v>
      </c>
    </row>
    <row r="741" spans="1:12" x14ac:dyDescent="0.25">
      <c r="A741" t="s">
        <v>7</v>
      </c>
      <c r="B741" s="1">
        <v>43983</v>
      </c>
      <c r="C741" s="1">
        <v>55153</v>
      </c>
      <c r="D741" s="4" t="s">
        <v>1680</v>
      </c>
      <c r="E741" t="s">
        <v>10</v>
      </c>
      <c r="F741" t="s">
        <v>11</v>
      </c>
      <c r="G741" t="s">
        <v>80</v>
      </c>
      <c r="H741" t="s">
        <v>2800</v>
      </c>
      <c r="I741" t="s">
        <v>2895</v>
      </c>
      <c r="J741" t="str">
        <f>IF(ISNUMBER(MATCH($D741,'Lopettaneet 2013-&gt;'!$D:$D,0)),INDEX('Lopettaneet 2013-&gt;'!$K:$K,MATCH($D741,'Lopettaneet 2013-&gt;'!$D:$D,0)),"Jatkaa")</f>
        <v>Jatkaa</v>
      </c>
      <c r="K741">
        <f ca="1">IF($J741="Jatkaa",DATEDIF($B741,TODAY(),"Y"),INDEX('Lopettaneet 2013-&gt;'!$L:$L,MATCH($D741,'Lopettaneet 2013-&gt;'!$D:$D,0)))</f>
        <v>4</v>
      </c>
      <c r="L741">
        <v>740</v>
      </c>
    </row>
    <row r="742" spans="1:12" x14ac:dyDescent="0.25">
      <c r="A742" t="s">
        <v>7</v>
      </c>
      <c r="B742" s="1">
        <v>44348</v>
      </c>
      <c r="C742" s="1">
        <v>55153</v>
      </c>
      <c r="D742" s="4" t="s">
        <v>1682</v>
      </c>
      <c r="E742" t="s">
        <v>10</v>
      </c>
      <c r="F742" t="s">
        <v>11</v>
      </c>
      <c r="G742" t="s">
        <v>12</v>
      </c>
      <c r="H742" t="s">
        <v>2863</v>
      </c>
      <c r="I742" t="s">
        <v>2895</v>
      </c>
      <c r="J742" t="str">
        <f>IF(ISNUMBER(MATCH($D742,'Lopettaneet 2013-&gt;'!$D:$D,0)),INDEX('Lopettaneet 2013-&gt;'!$K:$K,MATCH($D742,'Lopettaneet 2013-&gt;'!$D:$D,0)),"Jatkaa")</f>
        <v>Jatkaa</v>
      </c>
      <c r="K742">
        <f ca="1">IF($J742="Jatkaa",DATEDIF($B742,TODAY(),"Y"),INDEX('Lopettaneet 2013-&gt;'!$L:$L,MATCH($D742,'Lopettaneet 2013-&gt;'!$D:$D,0)))</f>
        <v>3</v>
      </c>
      <c r="L742">
        <v>741</v>
      </c>
    </row>
    <row r="743" spans="1:12" x14ac:dyDescent="0.25">
      <c r="A743" t="s">
        <v>7</v>
      </c>
      <c r="B743" s="1">
        <v>43709</v>
      </c>
      <c r="C743" s="1">
        <v>55153</v>
      </c>
      <c r="D743" s="4" t="s">
        <v>1684</v>
      </c>
      <c r="E743" t="s">
        <v>10</v>
      </c>
      <c r="F743" t="s">
        <v>11</v>
      </c>
      <c r="G743" t="s">
        <v>32</v>
      </c>
      <c r="H743" t="s">
        <v>2771</v>
      </c>
      <c r="I743" t="s">
        <v>2894</v>
      </c>
      <c r="J743" t="str">
        <f>IF(ISNUMBER(MATCH($D743,'Lopettaneet 2013-&gt;'!$D:$D,0)),INDEX('Lopettaneet 2013-&gt;'!$K:$K,MATCH($D743,'Lopettaneet 2013-&gt;'!$D:$D,0)),"Jatkaa")</f>
        <v>Jatkaa</v>
      </c>
      <c r="K743">
        <f ca="1">IF($J743="Jatkaa",DATEDIF($B743,TODAY(),"Y"),INDEX('Lopettaneet 2013-&gt;'!$L:$L,MATCH($D743,'Lopettaneet 2013-&gt;'!$D:$D,0)))</f>
        <v>5</v>
      </c>
      <c r="L743">
        <v>742</v>
      </c>
    </row>
    <row r="744" spans="1:12" x14ac:dyDescent="0.25">
      <c r="A744" t="s">
        <v>7</v>
      </c>
      <c r="B744" s="1">
        <v>43800</v>
      </c>
      <c r="C744" s="1">
        <v>55153</v>
      </c>
      <c r="D744" s="4" t="s">
        <v>1686</v>
      </c>
      <c r="E744" t="s">
        <v>10</v>
      </c>
      <c r="F744" t="s">
        <v>11</v>
      </c>
      <c r="G744" t="s">
        <v>32</v>
      </c>
      <c r="H744" t="s">
        <v>2829</v>
      </c>
      <c r="I744" t="s">
        <v>2895</v>
      </c>
      <c r="J744" t="str">
        <f>IF(ISNUMBER(MATCH($D744,'Lopettaneet 2013-&gt;'!$D:$D,0)),INDEX('Lopettaneet 2013-&gt;'!$K:$K,MATCH($D744,'Lopettaneet 2013-&gt;'!$D:$D,0)),"Jatkaa")</f>
        <v>Jatkaa</v>
      </c>
      <c r="K744">
        <f ca="1">IF($J744="Jatkaa",DATEDIF($B744,TODAY(),"Y"),INDEX('Lopettaneet 2013-&gt;'!$L:$L,MATCH($D744,'Lopettaneet 2013-&gt;'!$D:$D,0)))</f>
        <v>5</v>
      </c>
      <c r="L744">
        <v>743</v>
      </c>
    </row>
    <row r="745" spans="1:12" x14ac:dyDescent="0.25">
      <c r="A745" t="s">
        <v>7</v>
      </c>
      <c r="B745" s="1">
        <v>43709</v>
      </c>
      <c r="C745" s="1">
        <v>55153</v>
      </c>
      <c r="D745" s="4" t="s">
        <v>1688</v>
      </c>
      <c r="E745" t="s">
        <v>10</v>
      </c>
      <c r="F745" t="s">
        <v>11</v>
      </c>
      <c r="G745" t="s">
        <v>29</v>
      </c>
      <c r="H745" t="s">
        <v>2821</v>
      </c>
      <c r="I745" t="s">
        <v>2894</v>
      </c>
      <c r="J745" t="str">
        <f>IF(ISNUMBER(MATCH($D745,'Lopettaneet 2013-&gt;'!$D:$D,0)),INDEX('Lopettaneet 2013-&gt;'!$K:$K,MATCH($D745,'Lopettaneet 2013-&gt;'!$D:$D,0)),"Jatkaa")</f>
        <v>Jatkaa</v>
      </c>
      <c r="K745">
        <f ca="1">IF($J745="Jatkaa",DATEDIF($B745,TODAY(),"Y"),INDEX('Lopettaneet 2013-&gt;'!$L:$L,MATCH($D745,'Lopettaneet 2013-&gt;'!$D:$D,0)))</f>
        <v>5</v>
      </c>
      <c r="L745">
        <v>744</v>
      </c>
    </row>
    <row r="746" spans="1:12" x14ac:dyDescent="0.25">
      <c r="A746" t="s">
        <v>7</v>
      </c>
      <c r="B746" s="1">
        <v>43800</v>
      </c>
      <c r="C746" s="1">
        <v>55153</v>
      </c>
      <c r="D746" s="4" t="s">
        <v>1690</v>
      </c>
      <c r="E746" t="s">
        <v>10</v>
      </c>
      <c r="F746" t="s">
        <v>11</v>
      </c>
      <c r="G746" t="s">
        <v>32</v>
      </c>
      <c r="H746" t="s">
        <v>2829</v>
      </c>
      <c r="I746" t="s">
        <v>2895</v>
      </c>
      <c r="J746" t="str">
        <f>IF(ISNUMBER(MATCH($D746,'Lopettaneet 2013-&gt;'!$D:$D,0)),INDEX('Lopettaneet 2013-&gt;'!$K:$K,MATCH($D746,'Lopettaneet 2013-&gt;'!$D:$D,0)),"Jatkaa")</f>
        <v>Jatkaa</v>
      </c>
      <c r="K746">
        <f ca="1">IF($J746="Jatkaa",DATEDIF($B746,TODAY(),"Y"),INDEX('Lopettaneet 2013-&gt;'!$L:$L,MATCH($D746,'Lopettaneet 2013-&gt;'!$D:$D,0)))</f>
        <v>5</v>
      </c>
      <c r="L746">
        <v>745</v>
      </c>
    </row>
    <row r="747" spans="1:12" x14ac:dyDescent="0.25">
      <c r="A747" t="s">
        <v>0</v>
      </c>
      <c r="B747" s="1">
        <v>43770</v>
      </c>
      <c r="C747" s="1">
        <v>55153</v>
      </c>
      <c r="D747" s="4" t="s">
        <v>1692</v>
      </c>
      <c r="E747" t="s">
        <v>3</v>
      </c>
      <c r="F747" t="s">
        <v>4</v>
      </c>
      <c r="G747" t="s">
        <v>5</v>
      </c>
      <c r="H747" t="s">
        <v>2767</v>
      </c>
      <c r="I747" t="s">
        <v>2894</v>
      </c>
      <c r="J747" t="str">
        <f>IF(ISNUMBER(MATCH($D747,'Lopettaneet 2013-&gt;'!$D:$D,0)),INDEX('Lopettaneet 2013-&gt;'!$K:$K,MATCH($D747,'Lopettaneet 2013-&gt;'!$D:$D,0)),"Jatkaa")</f>
        <v>Jatkaa</v>
      </c>
      <c r="K747">
        <f ca="1">IF($J747="Jatkaa",DATEDIF($B747,TODAY(),"Y"),INDEX('Lopettaneet 2013-&gt;'!$L:$L,MATCH($D747,'Lopettaneet 2013-&gt;'!$D:$D,0)))</f>
        <v>5</v>
      </c>
      <c r="L747">
        <v>746</v>
      </c>
    </row>
    <row r="748" spans="1:12" x14ac:dyDescent="0.25">
      <c r="A748" t="s">
        <v>0</v>
      </c>
      <c r="B748" s="1">
        <v>43709</v>
      </c>
      <c r="C748" s="1">
        <v>55153</v>
      </c>
      <c r="D748" s="4" t="s">
        <v>1694</v>
      </c>
      <c r="E748" t="s">
        <v>3</v>
      </c>
      <c r="F748" t="s">
        <v>4</v>
      </c>
      <c r="G748" t="s">
        <v>20</v>
      </c>
      <c r="H748" t="s">
        <v>2767</v>
      </c>
      <c r="I748" t="s">
        <v>2894</v>
      </c>
      <c r="J748" t="str">
        <f>IF(ISNUMBER(MATCH($D748,'Lopettaneet 2013-&gt;'!$D:$D,0)),INDEX('Lopettaneet 2013-&gt;'!$K:$K,MATCH($D748,'Lopettaneet 2013-&gt;'!$D:$D,0)),"Jatkaa")</f>
        <v>Jatkaa</v>
      </c>
      <c r="K748">
        <f ca="1">IF($J748="Jatkaa",DATEDIF($B748,TODAY(),"Y"),INDEX('Lopettaneet 2013-&gt;'!$L:$L,MATCH($D748,'Lopettaneet 2013-&gt;'!$D:$D,0)))</f>
        <v>5</v>
      </c>
      <c r="L748">
        <v>747</v>
      </c>
    </row>
    <row r="749" spans="1:12" x14ac:dyDescent="0.25">
      <c r="A749" t="s">
        <v>0</v>
      </c>
      <c r="B749" s="1">
        <v>43770</v>
      </c>
      <c r="C749" s="1">
        <v>55153</v>
      </c>
      <c r="D749" s="4" t="s">
        <v>1696</v>
      </c>
      <c r="E749" t="s">
        <v>3</v>
      </c>
      <c r="F749" t="s">
        <v>4</v>
      </c>
      <c r="G749" t="s">
        <v>5</v>
      </c>
      <c r="H749" t="s">
        <v>2767</v>
      </c>
      <c r="I749" t="s">
        <v>2894</v>
      </c>
      <c r="J749" t="str">
        <f>IF(ISNUMBER(MATCH($D749,'Lopettaneet 2013-&gt;'!$D:$D,0)),INDEX('Lopettaneet 2013-&gt;'!$K:$K,MATCH($D749,'Lopettaneet 2013-&gt;'!$D:$D,0)),"Jatkaa")</f>
        <v>Jatkaa</v>
      </c>
      <c r="K749">
        <f ca="1">IF($J749="Jatkaa",DATEDIF($B749,TODAY(),"Y"),INDEX('Lopettaneet 2013-&gt;'!$L:$L,MATCH($D749,'Lopettaneet 2013-&gt;'!$D:$D,0)))</f>
        <v>5</v>
      </c>
      <c r="L749">
        <v>748</v>
      </c>
    </row>
    <row r="750" spans="1:12" x14ac:dyDescent="0.25">
      <c r="A750" t="s">
        <v>0</v>
      </c>
      <c r="B750" s="1">
        <v>43770</v>
      </c>
      <c r="C750" s="1">
        <v>55153</v>
      </c>
      <c r="D750" s="4" t="s">
        <v>1698</v>
      </c>
      <c r="E750" t="s">
        <v>3</v>
      </c>
      <c r="F750" t="s">
        <v>4</v>
      </c>
      <c r="G750" t="s">
        <v>20</v>
      </c>
      <c r="H750" t="s">
        <v>2767</v>
      </c>
      <c r="I750" t="s">
        <v>2894</v>
      </c>
      <c r="J750" t="str">
        <f>IF(ISNUMBER(MATCH($D750,'Lopettaneet 2013-&gt;'!$D:$D,0)),INDEX('Lopettaneet 2013-&gt;'!$K:$K,MATCH($D750,'Lopettaneet 2013-&gt;'!$D:$D,0)),"Jatkaa")</f>
        <v>Jatkaa</v>
      </c>
      <c r="K750">
        <f ca="1">IF($J750="Jatkaa",DATEDIF($B750,TODAY(),"Y"),INDEX('Lopettaneet 2013-&gt;'!$L:$L,MATCH($D750,'Lopettaneet 2013-&gt;'!$D:$D,0)))</f>
        <v>5</v>
      </c>
      <c r="L750">
        <v>749</v>
      </c>
    </row>
    <row r="751" spans="1:12" x14ac:dyDescent="0.25">
      <c r="A751" t="s">
        <v>0</v>
      </c>
      <c r="B751" s="1">
        <v>43770</v>
      </c>
      <c r="C751" s="1">
        <v>55153</v>
      </c>
      <c r="D751" s="4" t="s">
        <v>1700</v>
      </c>
      <c r="E751" t="s">
        <v>3</v>
      </c>
      <c r="F751" t="s">
        <v>4</v>
      </c>
      <c r="G751" t="s">
        <v>5</v>
      </c>
      <c r="H751" t="s">
        <v>2767</v>
      </c>
      <c r="I751" t="s">
        <v>2894</v>
      </c>
      <c r="J751" t="str">
        <f>IF(ISNUMBER(MATCH($D751,'Lopettaneet 2013-&gt;'!$D:$D,0)),INDEX('Lopettaneet 2013-&gt;'!$K:$K,MATCH($D751,'Lopettaneet 2013-&gt;'!$D:$D,0)),"Jatkaa")</f>
        <v>Jatkaa</v>
      </c>
      <c r="K751">
        <f ca="1">IF($J751="Jatkaa",DATEDIF($B751,TODAY(),"Y"),INDEX('Lopettaneet 2013-&gt;'!$L:$L,MATCH($D751,'Lopettaneet 2013-&gt;'!$D:$D,0)))</f>
        <v>5</v>
      </c>
      <c r="L751">
        <v>750</v>
      </c>
    </row>
    <row r="752" spans="1:12" x14ac:dyDescent="0.25">
      <c r="A752" t="s">
        <v>0</v>
      </c>
      <c r="B752" s="1">
        <v>43770</v>
      </c>
      <c r="C752" s="1">
        <v>55153</v>
      </c>
      <c r="D752" s="4" t="s">
        <v>1702</v>
      </c>
      <c r="E752" t="s">
        <v>3</v>
      </c>
      <c r="F752" t="s">
        <v>4</v>
      </c>
      <c r="G752" t="s">
        <v>5</v>
      </c>
      <c r="H752" t="s">
        <v>2767</v>
      </c>
      <c r="I752" t="s">
        <v>2894</v>
      </c>
      <c r="J752" t="str">
        <f>IF(ISNUMBER(MATCH($D752,'Lopettaneet 2013-&gt;'!$D:$D,0)),INDEX('Lopettaneet 2013-&gt;'!$K:$K,MATCH($D752,'Lopettaneet 2013-&gt;'!$D:$D,0)),"Jatkaa")</f>
        <v>Jatkaa</v>
      </c>
      <c r="K752">
        <f ca="1">IF($J752="Jatkaa",DATEDIF($B752,TODAY(),"Y"),INDEX('Lopettaneet 2013-&gt;'!$L:$L,MATCH($D752,'Lopettaneet 2013-&gt;'!$D:$D,0)))</f>
        <v>5</v>
      </c>
      <c r="L752">
        <v>751</v>
      </c>
    </row>
    <row r="753" spans="1:12" x14ac:dyDescent="0.25">
      <c r="A753" t="s">
        <v>0</v>
      </c>
      <c r="B753" s="1">
        <v>43770</v>
      </c>
      <c r="C753" s="1">
        <v>55153</v>
      </c>
      <c r="D753" s="4" t="s">
        <v>1704</v>
      </c>
      <c r="E753" t="s">
        <v>3</v>
      </c>
      <c r="F753" t="s">
        <v>4</v>
      </c>
      <c r="G753" t="s">
        <v>20</v>
      </c>
      <c r="H753" t="s">
        <v>2767</v>
      </c>
      <c r="I753" t="s">
        <v>2894</v>
      </c>
      <c r="J753" t="str">
        <f>IF(ISNUMBER(MATCH($D753,'Lopettaneet 2013-&gt;'!$D:$D,0)),INDEX('Lopettaneet 2013-&gt;'!$K:$K,MATCH($D753,'Lopettaneet 2013-&gt;'!$D:$D,0)),"Jatkaa")</f>
        <v>Jatkaa</v>
      </c>
      <c r="K753">
        <f ca="1">IF($J753="Jatkaa",DATEDIF($B753,TODAY(),"Y"),INDEX('Lopettaneet 2013-&gt;'!$L:$L,MATCH($D753,'Lopettaneet 2013-&gt;'!$D:$D,0)))</f>
        <v>5</v>
      </c>
      <c r="L753">
        <v>752</v>
      </c>
    </row>
    <row r="754" spans="1:12" x14ac:dyDescent="0.25">
      <c r="A754" t="s">
        <v>0</v>
      </c>
      <c r="B754" s="1">
        <v>43770</v>
      </c>
      <c r="C754" s="1">
        <v>55153</v>
      </c>
      <c r="D754" s="4" t="s">
        <v>1706</v>
      </c>
      <c r="E754" t="s">
        <v>3</v>
      </c>
      <c r="F754" t="s">
        <v>4</v>
      </c>
      <c r="G754" t="s">
        <v>5</v>
      </c>
      <c r="H754" t="s">
        <v>2767</v>
      </c>
      <c r="I754" t="s">
        <v>2894</v>
      </c>
      <c r="J754" t="str">
        <f>IF(ISNUMBER(MATCH($D754,'Lopettaneet 2013-&gt;'!$D:$D,0)),INDEX('Lopettaneet 2013-&gt;'!$K:$K,MATCH($D754,'Lopettaneet 2013-&gt;'!$D:$D,0)),"Jatkaa")</f>
        <v>Jatkaa</v>
      </c>
      <c r="K754">
        <f ca="1">IF($J754="Jatkaa",DATEDIF($B754,TODAY(),"Y"),INDEX('Lopettaneet 2013-&gt;'!$L:$L,MATCH($D754,'Lopettaneet 2013-&gt;'!$D:$D,0)))</f>
        <v>5</v>
      </c>
      <c r="L754">
        <v>753</v>
      </c>
    </row>
    <row r="755" spans="1:12" x14ac:dyDescent="0.25">
      <c r="A755" t="s">
        <v>7</v>
      </c>
      <c r="B755" s="1">
        <v>43891</v>
      </c>
      <c r="C755" s="1">
        <v>55153</v>
      </c>
      <c r="D755" s="4" t="s">
        <v>1708</v>
      </c>
      <c r="E755" t="s">
        <v>10</v>
      </c>
      <c r="F755" t="s">
        <v>11</v>
      </c>
      <c r="G755" t="s">
        <v>80</v>
      </c>
      <c r="H755" t="s">
        <v>2850</v>
      </c>
      <c r="I755" t="s">
        <v>2894</v>
      </c>
      <c r="J755" t="str">
        <f>IF(ISNUMBER(MATCH($D755,'Lopettaneet 2013-&gt;'!$D:$D,0)),INDEX('Lopettaneet 2013-&gt;'!$K:$K,MATCH($D755,'Lopettaneet 2013-&gt;'!$D:$D,0)),"Jatkaa")</f>
        <v>Jatkaa</v>
      </c>
      <c r="K755">
        <f ca="1">IF($J755="Jatkaa",DATEDIF($B755,TODAY(),"Y"),INDEX('Lopettaneet 2013-&gt;'!$L:$L,MATCH($D755,'Lopettaneet 2013-&gt;'!$D:$D,0)))</f>
        <v>5</v>
      </c>
      <c r="L755">
        <v>754</v>
      </c>
    </row>
    <row r="756" spans="1:12" x14ac:dyDescent="0.25">
      <c r="A756" t="s">
        <v>7</v>
      </c>
      <c r="B756" s="1">
        <v>43709</v>
      </c>
      <c r="C756" s="1">
        <v>55153</v>
      </c>
      <c r="D756" s="4" t="s">
        <v>1710</v>
      </c>
      <c r="E756" t="s">
        <v>10</v>
      </c>
      <c r="F756" t="s">
        <v>11</v>
      </c>
      <c r="G756" t="s">
        <v>80</v>
      </c>
      <c r="H756" t="s">
        <v>2801</v>
      </c>
      <c r="I756" t="s">
        <v>2894</v>
      </c>
      <c r="J756" t="str">
        <f>IF(ISNUMBER(MATCH($D756,'Lopettaneet 2013-&gt;'!$D:$D,0)),INDEX('Lopettaneet 2013-&gt;'!$K:$K,MATCH($D756,'Lopettaneet 2013-&gt;'!$D:$D,0)),"Jatkaa")</f>
        <v>Jatkaa</v>
      </c>
      <c r="K756">
        <f ca="1">IF($J756="Jatkaa",DATEDIF($B756,TODAY(),"Y"),INDEX('Lopettaneet 2013-&gt;'!$L:$L,MATCH($D756,'Lopettaneet 2013-&gt;'!$D:$D,0)))</f>
        <v>5</v>
      </c>
      <c r="L756">
        <v>755</v>
      </c>
    </row>
    <row r="757" spans="1:12" x14ac:dyDescent="0.25">
      <c r="A757" t="s">
        <v>7</v>
      </c>
      <c r="B757" s="1">
        <v>43709</v>
      </c>
      <c r="C757" s="1">
        <v>55153</v>
      </c>
      <c r="D757" s="4" t="s">
        <v>1712</v>
      </c>
      <c r="E757" t="s">
        <v>10</v>
      </c>
      <c r="F757" t="s">
        <v>11</v>
      </c>
      <c r="G757" t="s">
        <v>80</v>
      </c>
      <c r="H757" t="s">
        <v>2801</v>
      </c>
      <c r="I757" t="s">
        <v>2894</v>
      </c>
      <c r="J757" t="str">
        <f>IF(ISNUMBER(MATCH($D757,'Lopettaneet 2013-&gt;'!$D:$D,0)),INDEX('Lopettaneet 2013-&gt;'!$K:$K,MATCH($D757,'Lopettaneet 2013-&gt;'!$D:$D,0)),"Jatkaa")</f>
        <v>Jatkaa</v>
      </c>
      <c r="K757">
        <f ca="1">IF($J757="Jatkaa",DATEDIF($B757,TODAY(),"Y"),INDEX('Lopettaneet 2013-&gt;'!$L:$L,MATCH($D757,'Lopettaneet 2013-&gt;'!$D:$D,0)))</f>
        <v>5</v>
      </c>
      <c r="L757">
        <v>756</v>
      </c>
    </row>
    <row r="758" spans="1:12" x14ac:dyDescent="0.25">
      <c r="A758" t="s">
        <v>7</v>
      </c>
      <c r="B758" s="1">
        <v>43709</v>
      </c>
      <c r="C758" s="1">
        <v>55153</v>
      </c>
      <c r="D758" s="4" t="s">
        <v>1714</v>
      </c>
      <c r="E758" t="s">
        <v>10</v>
      </c>
      <c r="F758" t="s">
        <v>11</v>
      </c>
      <c r="G758" t="s">
        <v>80</v>
      </c>
      <c r="H758" t="s">
        <v>2801</v>
      </c>
      <c r="I758" t="s">
        <v>2894</v>
      </c>
      <c r="J758" t="str">
        <f>IF(ISNUMBER(MATCH($D758,'Lopettaneet 2013-&gt;'!$D:$D,0)),INDEX('Lopettaneet 2013-&gt;'!$K:$K,MATCH($D758,'Lopettaneet 2013-&gt;'!$D:$D,0)),"Jatkaa")</f>
        <v>Jatkaa</v>
      </c>
      <c r="K758">
        <f ca="1">IF($J758="Jatkaa",DATEDIF($B758,TODAY(),"Y"),INDEX('Lopettaneet 2013-&gt;'!$L:$L,MATCH($D758,'Lopettaneet 2013-&gt;'!$D:$D,0)))</f>
        <v>5</v>
      </c>
      <c r="L758">
        <v>757</v>
      </c>
    </row>
    <row r="759" spans="1:12" x14ac:dyDescent="0.25">
      <c r="A759" t="s">
        <v>0</v>
      </c>
      <c r="B759" s="1">
        <v>43831</v>
      </c>
      <c r="C759" s="1">
        <v>55153</v>
      </c>
      <c r="D759" s="4" t="s">
        <v>1716</v>
      </c>
      <c r="E759" t="s">
        <v>10</v>
      </c>
      <c r="F759" t="s">
        <v>4</v>
      </c>
      <c r="G759" t="s">
        <v>20</v>
      </c>
      <c r="H759" t="s">
        <v>2842</v>
      </c>
      <c r="I759" t="s">
        <v>2894</v>
      </c>
      <c r="J759" t="str">
        <f>IF(ISNUMBER(MATCH($D759,'Lopettaneet 2013-&gt;'!$D:$D,0)),INDEX('Lopettaneet 2013-&gt;'!$K:$K,MATCH($D759,'Lopettaneet 2013-&gt;'!$D:$D,0)),"Jatkaa")</f>
        <v>Jatkaa</v>
      </c>
      <c r="K759">
        <f ca="1">IF($J759="Jatkaa",DATEDIF($B759,TODAY(),"Y"),INDEX('Lopettaneet 2013-&gt;'!$L:$L,MATCH($D759,'Lopettaneet 2013-&gt;'!$D:$D,0)))</f>
        <v>5</v>
      </c>
      <c r="L759">
        <v>758</v>
      </c>
    </row>
    <row r="760" spans="1:12" x14ac:dyDescent="0.25">
      <c r="A760" t="s">
        <v>0</v>
      </c>
      <c r="B760" s="1">
        <v>43739</v>
      </c>
      <c r="C760" s="1">
        <v>55153</v>
      </c>
      <c r="D760" s="4" t="s">
        <v>1718</v>
      </c>
      <c r="E760" t="s">
        <v>3</v>
      </c>
      <c r="F760" t="s">
        <v>4</v>
      </c>
      <c r="G760" t="s">
        <v>50</v>
      </c>
      <c r="H760" t="s">
        <v>2777</v>
      </c>
      <c r="I760" t="s">
        <v>2894</v>
      </c>
      <c r="J760" t="str">
        <f>IF(ISNUMBER(MATCH($D760,'Lopettaneet 2013-&gt;'!$D:$D,0)),INDEX('Lopettaneet 2013-&gt;'!$K:$K,MATCH($D760,'Lopettaneet 2013-&gt;'!$D:$D,0)),"Jatkaa")</f>
        <v>Jatkaa</v>
      </c>
      <c r="K760">
        <f ca="1">IF($J760="Jatkaa",DATEDIF($B760,TODAY(),"Y"),INDEX('Lopettaneet 2013-&gt;'!$L:$L,MATCH($D760,'Lopettaneet 2013-&gt;'!$D:$D,0)))</f>
        <v>5</v>
      </c>
      <c r="L760">
        <v>759</v>
      </c>
    </row>
    <row r="761" spans="1:12" x14ac:dyDescent="0.25">
      <c r="A761" t="s">
        <v>7</v>
      </c>
      <c r="B761" s="1">
        <v>43983</v>
      </c>
      <c r="C761" s="1">
        <v>55153</v>
      </c>
      <c r="D761" s="4" t="s">
        <v>1720</v>
      </c>
      <c r="E761" t="s">
        <v>10</v>
      </c>
      <c r="F761" t="s">
        <v>11</v>
      </c>
      <c r="G761" t="s">
        <v>80</v>
      </c>
      <c r="H761" t="s">
        <v>2864</v>
      </c>
      <c r="I761" t="s">
        <v>2895</v>
      </c>
      <c r="J761" t="str">
        <f>IF(ISNUMBER(MATCH($D761,'Lopettaneet 2013-&gt;'!$D:$D,0)),INDEX('Lopettaneet 2013-&gt;'!$K:$K,MATCH($D761,'Lopettaneet 2013-&gt;'!$D:$D,0)),"Jatkaa")</f>
        <v>Jatkaa</v>
      </c>
      <c r="K761">
        <f ca="1">IF($J761="Jatkaa",DATEDIF($B761,TODAY(),"Y"),INDEX('Lopettaneet 2013-&gt;'!$L:$L,MATCH($D761,'Lopettaneet 2013-&gt;'!$D:$D,0)))</f>
        <v>4</v>
      </c>
      <c r="L761">
        <v>760</v>
      </c>
    </row>
    <row r="762" spans="1:12" x14ac:dyDescent="0.25">
      <c r="A762" t="s">
        <v>7</v>
      </c>
      <c r="B762" s="1">
        <v>43983</v>
      </c>
      <c r="C762" s="1">
        <v>55153</v>
      </c>
      <c r="D762" s="4" t="s">
        <v>1722</v>
      </c>
      <c r="E762" t="s">
        <v>10</v>
      </c>
      <c r="F762" t="s">
        <v>11</v>
      </c>
      <c r="G762" t="s">
        <v>80</v>
      </c>
      <c r="H762" t="s">
        <v>2839</v>
      </c>
      <c r="I762" t="s">
        <v>2894</v>
      </c>
      <c r="J762" t="str">
        <f>IF(ISNUMBER(MATCH($D762,'Lopettaneet 2013-&gt;'!$D:$D,0)),INDEX('Lopettaneet 2013-&gt;'!$K:$K,MATCH($D762,'Lopettaneet 2013-&gt;'!$D:$D,0)),"Jatkaa")</f>
        <v>Jatkaa</v>
      </c>
      <c r="K762">
        <f ca="1">IF($J762="Jatkaa",DATEDIF($B762,TODAY(),"Y"),INDEX('Lopettaneet 2013-&gt;'!$L:$L,MATCH($D762,'Lopettaneet 2013-&gt;'!$D:$D,0)))</f>
        <v>4</v>
      </c>
      <c r="L762">
        <v>761</v>
      </c>
    </row>
    <row r="763" spans="1:12" x14ac:dyDescent="0.25">
      <c r="A763" t="s">
        <v>7</v>
      </c>
      <c r="B763" s="1">
        <v>44348</v>
      </c>
      <c r="C763" s="1">
        <v>55153</v>
      </c>
      <c r="D763" s="4" t="s">
        <v>1724</v>
      </c>
      <c r="E763" t="s">
        <v>10</v>
      </c>
      <c r="F763" t="s">
        <v>11</v>
      </c>
      <c r="G763" t="s">
        <v>12</v>
      </c>
      <c r="H763" t="s">
        <v>2863</v>
      </c>
      <c r="I763" t="s">
        <v>2895</v>
      </c>
      <c r="J763" t="str">
        <f>IF(ISNUMBER(MATCH($D763,'Lopettaneet 2013-&gt;'!$D:$D,0)),INDEX('Lopettaneet 2013-&gt;'!$K:$K,MATCH($D763,'Lopettaneet 2013-&gt;'!$D:$D,0)),"Jatkaa")</f>
        <v>Jatkaa</v>
      </c>
      <c r="K763">
        <f ca="1">IF($J763="Jatkaa",DATEDIF($B763,TODAY(),"Y"),INDEX('Lopettaneet 2013-&gt;'!$L:$L,MATCH($D763,'Lopettaneet 2013-&gt;'!$D:$D,0)))</f>
        <v>3</v>
      </c>
      <c r="L763">
        <v>762</v>
      </c>
    </row>
    <row r="764" spans="1:12" x14ac:dyDescent="0.25">
      <c r="A764" t="s">
        <v>0</v>
      </c>
      <c r="B764" s="1">
        <v>43770</v>
      </c>
      <c r="C764" s="1">
        <v>55153</v>
      </c>
      <c r="D764" s="4" t="s">
        <v>1726</v>
      </c>
      <c r="E764" t="s">
        <v>10</v>
      </c>
      <c r="F764" t="s">
        <v>4</v>
      </c>
      <c r="G764" t="s">
        <v>50</v>
      </c>
      <c r="H764" t="s">
        <v>2842</v>
      </c>
      <c r="I764" t="s">
        <v>2894</v>
      </c>
      <c r="J764" t="str">
        <f>IF(ISNUMBER(MATCH($D764,'Lopettaneet 2013-&gt;'!$D:$D,0)),INDEX('Lopettaneet 2013-&gt;'!$K:$K,MATCH($D764,'Lopettaneet 2013-&gt;'!$D:$D,0)),"Jatkaa")</f>
        <v>Jatkaa</v>
      </c>
      <c r="K764">
        <f ca="1">IF($J764="Jatkaa",DATEDIF($B764,TODAY(),"Y"),INDEX('Lopettaneet 2013-&gt;'!$L:$L,MATCH($D764,'Lopettaneet 2013-&gt;'!$D:$D,0)))</f>
        <v>5</v>
      </c>
      <c r="L764">
        <v>763</v>
      </c>
    </row>
    <row r="765" spans="1:12" x14ac:dyDescent="0.25">
      <c r="A765" t="s">
        <v>0</v>
      </c>
      <c r="B765" s="1">
        <v>43831</v>
      </c>
      <c r="C765" s="1">
        <v>55153</v>
      </c>
      <c r="D765" s="4" t="s">
        <v>1728</v>
      </c>
      <c r="E765" t="s">
        <v>10</v>
      </c>
      <c r="F765" t="s">
        <v>4</v>
      </c>
      <c r="G765" t="s">
        <v>32</v>
      </c>
      <c r="H765" t="s">
        <v>2838</v>
      </c>
      <c r="I765" t="s">
        <v>2894</v>
      </c>
      <c r="J765" t="str">
        <f>IF(ISNUMBER(MATCH($D765,'Lopettaneet 2013-&gt;'!$D:$D,0)),INDEX('Lopettaneet 2013-&gt;'!$K:$K,MATCH($D765,'Lopettaneet 2013-&gt;'!$D:$D,0)),"Jatkaa")</f>
        <v>Jatkaa</v>
      </c>
      <c r="K765">
        <f ca="1">IF($J765="Jatkaa",DATEDIF($B765,TODAY(),"Y"),INDEX('Lopettaneet 2013-&gt;'!$L:$L,MATCH($D765,'Lopettaneet 2013-&gt;'!$D:$D,0)))</f>
        <v>5</v>
      </c>
      <c r="L765">
        <v>764</v>
      </c>
    </row>
    <row r="766" spans="1:12" x14ac:dyDescent="0.25">
      <c r="A766" t="s">
        <v>7</v>
      </c>
      <c r="B766" s="1">
        <v>43800</v>
      </c>
      <c r="C766" s="1">
        <v>44561</v>
      </c>
      <c r="D766" s="4" t="s">
        <v>1730</v>
      </c>
      <c r="E766" t="s">
        <v>10</v>
      </c>
      <c r="F766" t="s">
        <v>11</v>
      </c>
      <c r="G766" t="s">
        <v>29</v>
      </c>
      <c r="H766" t="s">
        <v>2763</v>
      </c>
      <c r="I766" t="s">
        <v>2763</v>
      </c>
      <c r="J766" t="str">
        <f>IF(ISNUMBER(MATCH($D766,'Lopettaneet 2013-&gt;'!$D:$D,0)),INDEX('Lopettaneet 2013-&gt;'!$K:$K,MATCH($D766,'Lopettaneet 2013-&gt;'!$D:$D,0)),"Jatkaa")</f>
        <v>Closed</v>
      </c>
      <c r="K766">
        <f ca="1">IF($J766="Jatkaa",DATEDIF($B766,TODAY(),"Y"),INDEX('Lopettaneet 2013-&gt;'!$L:$L,MATCH($D766,'Lopettaneet 2013-&gt;'!$D:$D,0)))</f>
        <v>2</v>
      </c>
      <c r="L766">
        <v>765</v>
      </c>
    </row>
    <row r="767" spans="1:12" x14ac:dyDescent="0.25">
      <c r="A767" t="s">
        <v>7</v>
      </c>
      <c r="B767" s="1">
        <v>43983</v>
      </c>
      <c r="C767" s="1">
        <v>55153</v>
      </c>
      <c r="D767" s="4" t="s">
        <v>1732</v>
      </c>
      <c r="E767" t="s">
        <v>10</v>
      </c>
      <c r="F767" t="s">
        <v>11</v>
      </c>
      <c r="G767" t="s">
        <v>12</v>
      </c>
      <c r="H767" t="s">
        <v>2771</v>
      </c>
      <c r="I767" t="s">
        <v>2895</v>
      </c>
      <c r="J767" t="str">
        <f>IF(ISNUMBER(MATCH($D767,'Lopettaneet 2013-&gt;'!$D:$D,0)),INDEX('Lopettaneet 2013-&gt;'!$K:$K,MATCH($D767,'Lopettaneet 2013-&gt;'!$D:$D,0)),"Jatkaa")</f>
        <v>Jatkaa</v>
      </c>
      <c r="K767">
        <f ca="1">IF($J767="Jatkaa",DATEDIF($B767,TODAY(),"Y"),INDEX('Lopettaneet 2013-&gt;'!$L:$L,MATCH($D767,'Lopettaneet 2013-&gt;'!$D:$D,0)))</f>
        <v>4</v>
      </c>
      <c r="L767">
        <v>766</v>
      </c>
    </row>
    <row r="768" spans="1:12" x14ac:dyDescent="0.25">
      <c r="A768" t="s">
        <v>7</v>
      </c>
      <c r="B768" s="1">
        <v>44075</v>
      </c>
      <c r="C768" s="1">
        <v>55153</v>
      </c>
      <c r="D768" s="4" t="s">
        <v>1734</v>
      </c>
      <c r="E768" t="s">
        <v>10</v>
      </c>
      <c r="F768" t="s">
        <v>11</v>
      </c>
      <c r="G768" t="s">
        <v>29</v>
      </c>
      <c r="H768" t="s">
        <v>2771</v>
      </c>
      <c r="I768" t="s">
        <v>2895</v>
      </c>
      <c r="J768" t="str">
        <f>IF(ISNUMBER(MATCH($D768,'Lopettaneet 2013-&gt;'!$D:$D,0)),INDEX('Lopettaneet 2013-&gt;'!$K:$K,MATCH($D768,'Lopettaneet 2013-&gt;'!$D:$D,0)),"Jatkaa")</f>
        <v>Jatkaa</v>
      </c>
      <c r="K768">
        <f ca="1">IF($J768="Jatkaa",DATEDIF($B768,TODAY(),"Y"),INDEX('Lopettaneet 2013-&gt;'!$L:$L,MATCH($D768,'Lopettaneet 2013-&gt;'!$D:$D,0)))</f>
        <v>4</v>
      </c>
      <c r="L768">
        <v>767</v>
      </c>
    </row>
    <row r="769" spans="1:12" x14ac:dyDescent="0.25">
      <c r="A769" t="s">
        <v>7</v>
      </c>
      <c r="B769" s="1">
        <v>43800</v>
      </c>
      <c r="C769" s="1">
        <v>55153</v>
      </c>
      <c r="D769" s="4" t="s">
        <v>1736</v>
      </c>
      <c r="E769" t="s">
        <v>10</v>
      </c>
      <c r="F769" t="s">
        <v>11</v>
      </c>
      <c r="G769" t="s">
        <v>32</v>
      </c>
      <c r="H769" t="s">
        <v>2805</v>
      </c>
      <c r="I769" t="s">
        <v>2895</v>
      </c>
      <c r="J769" t="str">
        <f>IF(ISNUMBER(MATCH($D769,'Lopettaneet 2013-&gt;'!$D:$D,0)),INDEX('Lopettaneet 2013-&gt;'!$K:$K,MATCH($D769,'Lopettaneet 2013-&gt;'!$D:$D,0)),"Jatkaa")</f>
        <v>Jatkaa</v>
      </c>
      <c r="K769">
        <f ca="1">IF($J769="Jatkaa",DATEDIF($B769,TODAY(),"Y"),INDEX('Lopettaneet 2013-&gt;'!$L:$L,MATCH($D769,'Lopettaneet 2013-&gt;'!$D:$D,0)))</f>
        <v>5</v>
      </c>
      <c r="L769">
        <v>768</v>
      </c>
    </row>
    <row r="770" spans="1:12" x14ac:dyDescent="0.25">
      <c r="A770" t="s">
        <v>7</v>
      </c>
      <c r="B770" s="1">
        <v>43800</v>
      </c>
      <c r="C770" s="1">
        <v>55153</v>
      </c>
      <c r="D770" s="4" t="s">
        <v>1738</v>
      </c>
      <c r="E770" t="s">
        <v>10</v>
      </c>
      <c r="F770" t="s">
        <v>11</v>
      </c>
      <c r="G770" t="s">
        <v>32</v>
      </c>
      <c r="H770" t="s">
        <v>2865</v>
      </c>
      <c r="I770" t="s">
        <v>2894</v>
      </c>
      <c r="J770" t="str">
        <f>IF(ISNUMBER(MATCH($D770,'Lopettaneet 2013-&gt;'!$D:$D,0)),INDEX('Lopettaneet 2013-&gt;'!$K:$K,MATCH($D770,'Lopettaneet 2013-&gt;'!$D:$D,0)),"Jatkaa")</f>
        <v>Jatkaa</v>
      </c>
      <c r="K770">
        <f ca="1">IF($J770="Jatkaa",DATEDIF($B770,TODAY(),"Y"),INDEX('Lopettaneet 2013-&gt;'!$L:$L,MATCH($D770,'Lopettaneet 2013-&gt;'!$D:$D,0)))</f>
        <v>5</v>
      </c>
      <c r="L770">
        <v>769</v>
      </c>
    </row>
    <row r="771" spans="1:12" x14ac:dyDescent="0.25">
      <c r="A771" t="s">
        <v>0</v>
      </c>
      <c r="B771" s="1">
        <v>44105</v>
      </c>
      <c r="C771" s="1">
        <v>55153</v>
      </c>
      <c r="D771" s="4" t="s">
        <v>1740</v>
      </c>
      <c r="E771" t="s">
        <v>10</v>
      </c>
      <c r="F771" t="s">
        <v>11</v>
      </c>
      <c r="G771" t="s">
        <v>20</v>
      </c>
      <c r="H771" t="s">
        <v>2766</v>
      </c>
      <c r="I771" t="s">
        <v>2895</v>
      </c>
      <c r="J771" t="str">
        <f>IF(ISNUMBER(MATCH($D771,'Lopettaneet 2013-&gt;'!$D:$D,0)),INDEX('Lopettaneet 2013-&gt;'!$K:$K,MATCH($D771,'Lopettaneet 2013-&gt;'!$D:$D,0)),"Jatkaa")</f>
        <v>Jatkaa</v>
      </c>
      <c r="K771">
        <f ca="1">IF($J771="Jatkaa",DATEDIF($B771,TODAY(),"Y"),INDEX('Lopettaneet 2013-&gt;'!$L:$L,MATCH($D771,'Lopettaneet 2013-&gt;'!$D:$D,0)))</f>
        <v>4</v>
      </c>
      <c r="L771">
        <v>770</v>
      </c>
    </row>
    <row r="772" spans="1:12" x14ac:dyDescent="0.25">
      <c r="A772" t="s">
        <v>0</v>
      </c>
      <c r="B772" s="1">
        <v>43983</v>
      </c>
      <c r="C772" s="1">
        <v>55153</v>
      </c>
      <c r="D772" s="4" t="s">
        <v>1742</v>
      </c>
      <c r="E772" t="s">
        <v>10</v>
      </c>
      <c r="F772" t="s">
        <v>11</v>
      </c>
      <c r="G772" t="s">
        <v>20</v>
      </c>
      <c r="H772" t="s">
        <v>2766</v>
      </c>
      <c r="I772" t="s">
        <v>2895</v>
      </c>
      <c r="J772" t="str">
        <f>IF(ISNUMBER(MATCH($D772,'Lopettaneet 2013-&gt;'!$D:$D,0)),INDEX('Lopettaneet 2013-&gt;'!$K:$K,MATCH($D772,'Lopettaneet 2013-&gt;'!$D:$D,0)),"Jatkaa")</f>
        <v>Jatkaa</v>
      </c>
      <c r="K772">
        <f ca="1">IF($J772="Jatkaa",DATEDIF($B772,TODAY(),"Y"),INDEX('Lopettaneet 2013-&gt;'!$L:$L,MATCH($D772,'Lopettaneet 2013-&gt;'!$D:$D,0)))</f>
        <v>4</v>
      </c>
      <c r="L772">
        <v>771</v>
      </c>
    </row>
    <row r="773" spans="1:12" x14ac:dyDescent="0.25">
      <c r="A773" t="s">
        <v>0</v>
      </c>
      <c r="B773" s="1">
        <v>44166</v>
      </c>
      <c r="C773" s="1">
        <v>55153</v>
      </c>
      <c r="D773" s="4" t="s">
        <v>1744</v>
      </c>
      <c r="E773" t="s">
        <v>10</v>
      </c>
      <c r="F773" t="s">
        <v>11</v>
      </c>
      <c r="G773" t="s">
        <v>20</v>
      </c>
      <c r="H773" t="s">
        <v>2766</v>
      </c>
      <c r="I773" t="s">
        <v>2895</v>
      </c>
      <c r="J773" t="str">
        <f>IF(ISNUMBER(MATCH($D773,'Lopettaneet 2013-&gt;'!$D:$D,0)),INDEX('Lopettaneet 2013-&gt;'!$K:$K,MATCH($D773,'Lopettaneet 2013-&gt;'!$D:$D,0)),"Jatkaa")</f>
        <v>Jatkaa</v>
      </c>
      <c r="K773">
        <f ca="1">IF($J773="Jatkaa",DATEDIF($B773,TODAY(),"Y"),INDEX('Lopettaneet 2013-&gt;'!$L:$L,MATCH($D773,'Lopettaneet 2013-&gt;'!$D:$D,0)))</f>
        <v>4</v>
      </c>
      <c r="L773">
        <v>772</v>
      </c>
    </row>
    <row r="774" spans="1:12" x14ac:dyDescent="0.25">
      <c r="A774" t="s">
        <v>7</v>
      </c>
      <c r="B774" s="1">
        <v>44166</v>
      </c>
      <c r="C774" s="1">
        <v>55153</v>
      </c>
      <c r="D774" s="4" t="s">
        <v>1746</v>
      </c>
      <c r="E774" t="s">
        <v>10</v>
      </c>
      <c r="F774" t="s">
        <v>11</v>
      </c>
      <c r="G774" t="s">
        <v>12</v>
      </c>
      <c r="H774" t="s">
        <v>2766</v>
      </c>
      <c r="I774" t="s">
        <v>2895</v>
      </c>
      <c r="J774" t="str">
        <f>IF(ISNUMBER(MATCH($D774,'Lopettaneet 2013-&gt;'!$D:$D,0)),INDEX('Lopettaneet 2013-&gt;'!$K:$K,MATCH($D774,'Lopettaneet 2013-&gt;'!$D:$D,0)),"Jatkaa")</f>
        <v>Jatkaa</v>
      </c>
      <c r="K774">
        <f ca="1">IF($J774="Jatkaa",DATEDIF($B774,TODAY(),"Y"),INDEX('Lopettaneet 2013-&gt;'!$L:$L,MATCH($D774,'Lopettaneet 2013-&gt;'!$D:$D,0)))</f>
        <v>4</v>
      </c>
      <c r="L774">
        <v>773</v>
      </c>
    </row>
    <row r="775" spans="1:12" x14ac:dyDescent="0.25">
      <c r="A775" t="s">
        <v>0</v>
      </c>
      <c r="B775" s="1">
        <v>44105</v>
      </c>
      <c r="C775" s="1">
        <v>55153</v>
      </c>
      <c r="D775" s="4" t="s">
        <v>1748</v>
      </c>
      <c r="E775" t="s">
        <v>10</v>
      </c>
      <c r="F775" t="s">
        <v>4</v>
      </c>
      <c r="G775" t="s">
        <v>20</v>
      </c>
      <c r="H775" t="s">
        <v>2842</v>
      </c>
      <c r="I775" t="s">
        <v>2894</v>
      </c>
      <c r="J775" t="str">
        <f>IF(ISNUMBER(MATCH($D775,'Lopettaneet 2013-&gt;'!$D:$D,0)),INDEX('Lopettaneet 2013-&gt;'!$K:$K,MATCH($D775,'Lopettaneet 2013-&gt;'!$D:$D,0)),"Jatkaa")</f>
        <v>Jatkaa</v>
      </c>
      <c r="K775">
        <f ca="1">IF($J775="Jatkaa",DATEDIF($B775,TODAY(),"Y"),INDEX('Lopettaneet 2013-&gt;'!$L:$L,MATCH($D775,'Lopettaneet 2013-&gt;'!$D:$D,0)))</f>
        <v>4</v>
      </c>
      <c r="L775">
        <v>774</v>
      </c>
    </row>
    <row r="776" spans="1:12" x14ac:dyDescent="0.25">
      <c r="A776" t="s">
        <v>7</v>
      </c>
      <c r="B776" s="1">
        <v>43891</v>
      </c>
      <c r="C776" s="1">
        <v>55153</v>
      </c>
      <c r="D776" s="4" t="s">
        <v>1750</v>
      </c>
      <c r="E776" t="s">
        <v>10</v>
      </c>
      <c r="F776" t="s">
        <v>11</v>
      </c>
      <c r="G776" t="s">
        <v>29</v>
      </c>
      <c r="H776" t="s">
        <v>2802</v>
      </c>
      <c r="I776" t="s">
        <v>2895</v>
      </c>
      <c r="J776" t="str">
        <f>IF(ISNUMBER(MATCH($D776,'Lopettaneet 2013-&gt;'!$D:$D,0)),INDEX('Lopettaneet 2013-&gt;'!$K:$K,MATCH($D776,'Lopettaneet 2013-&gt;'!$D:$D,0)),"Jatkaa")</f>
        <v>Jatkaa</v>
      </c>
      <c r="K776">
        <f ca="1">IF($J776="Jatkaa",DATEDIF($B776,TODAY(),"Y"),INDEX('Lopettaneet 2013-&gt;'!$L:$L,MATCH($D776,'Lopettaneet 2013-&gt;'!$D:$D,0)))</f>
        <v>5</v>
      </c>
      <c r="L776">
        <v>775</v>
      </c>
    </row>
    <row r="777" spans="1:12" x14ac:dyDescent="0.25">
      <c r="A777" t="s">
        <v>7</v>
      </c>
      <c r="B777" s="1">
        <v>43891</v>
      </c>
      <c r="C777" s="1">
        <v>55153</v>
      </c>
      <c r="D777" s="4" t="s">
        <v>1752</v>
      </c>
      <c r="E777" t="s">
        <v>10</v>
      </c>
      <c r="F777" t="s">
        <v>11</v>
      </c>
      <c r="G777" t="s">
        <v>80</v>
      </c>
      <c r="H777" t="s">
        <v>2790</v>
      </c>
      <c r="I777" t="s">
        <v>2895</v>
      </c>
      <c r="J777" t="str">
        <f>IF(ISNUMBER(MATCH($D777,'Lopettaneet 2013-&gt;'!$D:$D,0)),INDEX('Lopettaneet 2013-&gt;'!$K:$K,MATCH($D777,'Lopettaneet 2013-&gt;'!$D:$D,0)),"Jatkaa")</f>
        <v>Jatkaa</v>
      </c>
      <c r="K777">
        <f ca="1">IF($J777="Jatkaa",DATEDIF($B777,TODAY(),"Y"),INDEX('Lopettaneet 2013-&gt;'!$L:$L,MATCH($D777,'Lopettaneet 2013-&gt;'!$D:$D,0)))</f>
        <v>5</v>
      </c>
      <c r="L777">
        <v>776</v>
      </c>
    </row>
    <row r="778" spans="1:12" x14ac:dyDescent="0.25">
      <c r="A778" t="s">
        <v>7</v>
      </c>
      <c r="B778" s="1">
        <v>43891</v>
      </c>
      <c r="C778" s="1">
        <v>55153</v>
      </c>
      <c r="D778" s="4" t="s">
        <v>1754</v>
      </c>
      <c r="E778" t="s">
        <v>10</v>
      </c>
      <c r="F778" t="s">
        <v>11</v>
      </c>
      <c r="G778" t="s">
        <v>32</v>
      </c>
      <c r="H778" t="s">
        <v>2791</v>
      </c>
      <c r="I778" t="s">
        <v>2895</v>
      </c>
      <c r="J778" t="str">
        <f>IF(ISNUMBER(MATCH($D778,'Lopettaneet 2013-&gt;'!$D:$D,0)),INDEX('Lopettaneet 2013-&gt;'!$K:$K,MATCH($D778,'Lopettaneet 2013-&gt;'!$D:$D,0)),"Jatkaa")</f>
        <v>Jatkaa</v>
      </c>
      <c r="K778">
        <f ca="1">IF($J778="Jatkaa",DATEDIF($B778,TODAY(),"Y"),INDEX('Lopettaneet 2013-&gt;'!$L:$L,MATCH($D778,'Lopettaneet 2013-&gt;'!$D:$D,0)))</f>
        <v>5</v>
      </c>
      <c r="L778">
        <v>777</v>
      </c>
    </row>
    <row r="779" spans="1:12" x14ac:dyDescent="0.25">
      <c r="A779" t="s">
        <v>7</v>
      </c>
      <c r="B779" s="1">
        <v>43983</v>
      </c>
      <c r="C779" s="1">
        <v>55153</v>
      </c>
      <c r="D779" s="4" t="s">
        <v>1756</v>
      </c>
      <c r="E779" t="s">
        <v>10</v>
      </c>
      <c r="F779" t="s">
        <v>11</v>
      </c>
      <c r="G779" t="s">
        <v>29</v>
      </c>
      <c r="H779" t="s">
        <v>2791</v>
      </c>
      <c r="I779" t="s">
        <v>2894</v>
      </c>
      <c r="J779" t="str">
        <f>IF(ISNUMBER(MATCH($D779,'Lopettaneet 2013-&gt;'!$D:$D,0)),INDEX('Lopettaneet 2013-&gt;'!$K:$K,MATCH($D779,'Lopettaneet 2013-&gt;'!$D:$D,0)),"Jatkaa")</f>
        <v>Jatkaa</v>
      </c>
      <c r="K779">
        <f ca="1">IF($J779="Jatkaa",DATEDIF($B779,TODAY(),"Y"),INDEX('Lopettaneet 2013-&gt;'!$L:$L,MATCH($D779,'Lopettaneet 2013-&gt;'!$D:$D,0)))</f>
        <v>4</v>
      </c>
      <c r="L779">
        <v>778</v>
      </c>
    </row>
    <row r="780" spans="1:12" x14ac:dyDescent="0.25">
      <c r="A780" t="s">
        <v>7</v>
      </c>
      <c r="B780" s="1">
        <v>43891</v>
      </c>
      <c r="C780" s="1">
        <v>55153</v>
      </c>
      <c r="D780" s="4" t="s">
        <v>1758</v>
      </c>
      <c r="E780" t="s">
        <v>10</v>
      </c>
      <c r="F780" t="s">
        <v>11</v>
      </c>
      <c r="G780" t="s">
        <v>12</v>
      </c>
      <c r="H780" t="s">
        <v>2791</v>
      </c>
      <c r="I780" t="s">
        <v>2895</v>
      </c>
      <c r="J780" t="str">
        <f>IF(ISNUMBER(MATCH($D780,'Lopettaneet 2013-&gt;'!$D:$D,0)),INDEX('Lopettaneet 2013-&gt;'!$K:$K,MATCH($D780,'Lopettaneet 2013-&gt;'!$D:$D,0)),"Jatkaa")</f>
        <v>Jatkaa</v>
      </c>
      <c r="K780">
        <f ca="1">IF($J780="Jatkaa",DATEDIF($B780,TODAY(),"Y"),INDEX('Lopettaneet 2013-&gt;'!$L:$L,MATCH($D780,'Lopettaneet 2013-&gt;'!$D:$D,0)))</f>
        <v>5</v>
      </c>
      <c r="L780">
        <v>779</v>
      </c>
    </row>
    <row r="781" spans="1:12" x14ac:dyDescent="0.25">
      <c r="A781" t="s">
        <v>7</v>
      </c>
      <c r="B781" s="1">
        <v>43983</v>
      </c>
      <c r="C781" s="1">
        <v>55153</v>
      </c>
      <c r="D781" s="4" t="s">
        <v>1760</v>
      </c>
      <c r="E781" t="s">
        <v>10</v>
      </c>
      <c r="F781" t="s">
        <v>11</v>
      </c>
      <c r="G781" t="s">
        <v>29</v>
      </c>
      <c r="H781" t="s">
        <v>2791</v>
      </c>
      <c r="I781" t="s">
        <v>2894</v>
      </c>
      <c r="J781" t="str">
        <f>IF(ISNUMBER(MATCH($D781,'Lopettaneet 2013-&gt;'!$D:$D,0)),INDEX('Lopettaneet 2013-&gt;'!$K:$K,MATCH($D781,'Lopettaneet 2013-&gt;'!$D:$D,0)),"Jatkaa")</f>
        <v>Jatkaa</v>
      </c>
      <c r="K781">
        <f ca="1">IF($J781="Jatkaa",DATEDIF($B781,TODAY(),"Y"),INDEX('Lopettaneet 2013-&gt;'!$L:$L,MATCH($D781,'Lopettaneet 2013-&gt;'!$D:$D,0)))</f>
        <v>4</v>
      </c>
      <c r="L781">
        <v>780</v>
      </c>
    </row>
    <row r="782" spans="1:12" x14ac:dyDescent="0.25">
      <c r="A782" t="s">
        <v>7</v>
      </c>
      <c r="B782" s="1">
        <v>43983</v>
      </c>
      <c r="C782" s="1">
        <v>55153</v>
      </c>
      <c r="D782" s="4" t="s">
        <v>1762</v>
      </c>
      <c r="E782" t="s">
        <v>10</v>
      </c>
      <c r="F782" t="s">
        <v>11</v>
      </c>
      <c r="G782" t="s">
        <v>12</v>
      </c>
      <c r="H782" t="s">
        <v>2791</v>
      </c>
      <c r="I782" t="s">
        <v>2894</v>
      </c>
      <c r="J782" t="str">
        <f>IF(ISNUMBER(MATCH($D782,'Lopettaneet 2013-&gt;'!$D:$D,0)),INDEX('Lopettaneet 2013-&gt;'!$K:$K,MATCH($D782,'Lopettaneet 2013-&gt;'!$D:$D,0)),"Jatkaa")</f>
        <v>Jatkaa</v>
      </c>
      <c r="K782">
        <f ca="1">IF($J782="Jatkaa",DATEDIF($B782,TODAY(),"Y"),INDEX('Lopettaneet 2013-&gt;'!$L:$L,MATCH($D782,'Lopettaneet 2013-&gt;'!$D:$D,0)))</f>
        <v>4</v>
      </c>
      <c r="L782">
        <v>781</v>
      </c>
    </row>
    <row r="783" spans="1:12" x14ac:dyDescent="0.25">
      <c r="A783" t="s">
        <v>7</v>
      </c>
      <c r="B783" s="1">
        <v>43891</v>
      </c>
      <c r="C783" s="1">
        <v>55153</v>
      </c>
      <c r="D783" s="4" t="s">
        <v>1764</v>
      </c>
      <c r="E783" t="s">
        <v>10</v>
      </c>
      <c r="F783" t="s">
        <v>11</v>
      </c>
      <c r="G783" t="s">
        <v>80</v>
      </c>
      <c r="H783" t="s">
        <v>2828</v>
      </c>
      <c r="I783" t="s">
        <v>2894</v>
      </c>
      <c r="J783" t="str">
        <f>IF(ISNUMBER(MATCH($D783,'Lopettaneet 2013-&gt;'!$D:$D,0)),INDEX('Lopettaneet 2013-&gt;'!$K:$K,MATCH($D783,'Lopettaneet 2013-&gt;'!$D:$D,0)),"Jatkaa")</f>
        <v>Jatkaa</v>
      </c>
      <c r="K783">
        <f ca="1">IF($J783="Jatkaa",DATEDIF($B783,TODAY(),"Y"),INDEX('Lopettaneet 2013-&gt;'!$L:$L,MATCH($D783,'Lopettaneet 2013-&gt;'!$D:$D,0)))</f>
        <v>5</v>
      </c>
      <c r="L783">
        <v>782</v>
      </c>
    </row>
    <row r="784" spans="1:12" x14ac:dyDescent="0.25">
      <c r="A784" t="s">
        <v>7</v>
      </c>
      <c r="B784" s="1">
        <v>43800</v>
      </c>
      <c r="C784" s="1">
        <v>55153</v>
      </c>
      <c r="D784" s="4" t="s">
        <v>1766</v>
      </c>
      <c r="E784" t="s">
        <v>10</v>
      </c>
      <c r="F784" t="s">
        <v>11</v>
      </c>
      <c r="G784" t="s">
        <v>32</v>
      </c>
      <c r="H784" t="s">
        <v>2865</v>
      </c>
      <c r="I784" t="s">
        <v>2894</v>
      </c>
      <c r="J784" t="str">
        <f>IF(ISNUMBER(MATCH($D784,'Lopettaneet 2013-&gt;'!$D:$D,0)),INDEX('Lopettaneet 2013-&gt;'!$K:$K,MATCH($D784,'Lopettaneet 2013-&gt;'!$D:$D,0)),"Jatkaa")</f>
        <v>Jatkaa</v>
      </c>
      <c r="K784">
        <f ca="1">IF($J784="Jatkaa",DATEDIF($B784,TODAY(),"Y"),INDEX('Lopettaneet 2013-&gt;'!$L:$L,MATCH($D784,'Lopettaneet 2013-&gt;'!$D:$D,0)))</f>
        <v>5</v>
      </c>
      <c r="L784">
        <v>783</v>
      </c>
    </row>
    <row r="785" spans="1:12" x14ac:dyDescent="0.25">
      <c r="A785" t="s">
        <v>0</v>
      </c>
      <c r="B785" s="1">
        <v>43922</v>
      </c>
      <c r="C785" s="1">
        <v>55153</v>
      </c>
      <c r="D785" s="4" t="s">
        <v>1768</v>
      </c>
      <c r="E785" t="s">
        <v>10</v>
      </c>
      <c r="F785" t="s">
        <v>4</v>
      </c>
      <c r="G785" t="s">
        <v>32</v>
      </c>
      <c r="H785" t="s">
        <v>2777</v>
      </c>
      <c r="I785" t="s">
        <v>2894</v>
      </c>
      <c r="J785" t="str">
        <f>IF(ISNUMBER(MATCH($D785,'Lopettaneet 2013-&gt;'!$D:$D,0)),INDEX('Lopettaneet 2013-&gt;'!$K:$K,MATCH($D785,'Lopettaneet 2013-&gt;'!$D:$D,0)),"Jatkaa")</f>
        <v>Jatkaa</v>
      </c>
      <c r="K785">
        <f ca="1">IF($J785="Jatkaa",DATEDIF($B785,TODAY(),"Y"),INDEX('Lopettaneet 2013-&gt;'!$L:$L,MATCH($D785,'Lopettaneet 2013-&gt;'!$D:$D,0)))</f>
        <v>5</v>
      </c>
      <c r="L785">
        <v>784</v>
      </c>
    </row>
    <row r="786" spans="1:12" x14ac:dyDescent="0.25">
      <c r="A786" t="s">
        <v>0</v>
      </c>
      <c r="B786" s="1">
        <v>43983</v>
      </c>
      <c r="C786" s="1">
        <v>55153</v>
      </c>
      <c r="D786" s="4" t="s">
        <v>1770</v>
      </c>
      <c r="E786" t="s">
        <v>10</v>
      </c>
      <c r="F786" t="s">
        <v>11</v>
      </c>
      <c r="G786" t="s">
        <v>20</v>
      </c>
      <c r="H786" t="s">
        <v>2766</v>
      </c>
      <c r="I786" t="s">
        <v>2895</v>
      </c>
      <c r="J786" t="str">
        <f>IF(ISNUMBER(MATCH($D786,'Lopettaneet 2013-&gt;'!$D:$D,0)),INDEX('Lopettaneet 2013-&gt;'!$K:$K,MATCH($D786,'Lopettaneet 2013-&gt;'!$D:$D,0)),"Jatkaa")</f>
        <v>Jatkaa</v>
      </c>
      <c r="K786">
        <f ca="1">IF($J786="Jatkaa",DATEDIF($B786,TODAY(),"Y"),INDEX('Lopettaneet 2013-&gt;'!$L:$L,MATCH($D786,'Lopettaneet 2013-&gt;'!$D:$D,0)))</f>
        <v>4</v>
      </c>
      <c r="L786">
        <v>785</v>
      </c>
    </row>
    <row r="787" spans="1:12" x14ac:dyDescent="0.25">
      <c r="A787" t="s">
        <v>0</v>
      </c>
      <c r="B787" s="1">
        <v>43800</v>
      </c>
      <c r="C787" s="1">
        <v>55153</v>
      </c>
      <c r="D787" s="4" t="s">
        <v>1772</v>
      </c>
      <c r="E787" t="s">
        <v>3</v>
      </c>
      <c r="F787" t="s">
        <v>4</v>
      </c>
      <c r="G787" t="s">
        <v>20</v>
      </c>
      <c r="H787" t="s">
        <v>2842</v>
      </c>
      <c r="I787" t="s">
        <v>2894</v>
      </c>
      <c r="J787" t="str">
        <f>IF(ISNUMBER(MATCH($D787,'Lopettaneet 2013-&gt;'!$D:$D,0)),INDEX('Lopettaneet 2013-&gt;'!$K:$K,MATCH($D787,'Lopettaneet 2013-&gt;'!$D:$D,0)),"Jatkaa")</f>
        <v>Jatkaa</v>
      </c>
      <c r="K787">
        <f ca="1">IF($J787="Jatkaa",DATEDIF($B787,TODAY(),"Y"),INDEX('Lopettaneet 2013-&gt;'!$L:$L,MATCH($D787,'Lopettaneet 2013-&gt;'!$D:$D,0)))</f>
        <v>5</v>
      </c>
      <c r="L787">
        <v>786</v>
      </c>
    </row>
    <row r="788" spans="1:12" x14ac:dyDescent="0.25">
      <c r="A788" t="s">
        <v>7</v>
      </c>
      <c r="B788" s="1">
        <v>43983</v>
      </c>
      <c r="C788" s="1">
        <v>55153</v>
      </c>
      <c r="D788" s="4" t="s">
        <v>1774</v>
      </c>
      <c r="E788" t="s">
        <v>10</v>
      </c>
      <c r="F788" t="s">
        <v>11</v>
      </c>
      <c r="G788" t="s">
        <v>32</v>
      </c>
      <c r="H788" t="s">
        <v>2791</v>
      </c>
      <c r="I788" t="s">
        <v>2895</v>
      </c>
      <c r="J788" t="str">
        <f>IF(ISNUMBER(MATCH($D788,'Lopettaneet 2013-&gt;'!$D:$D,0)),INDEX('Lopettaneet 2013-&gt;'!$K:$K,MATCH($D788,'Lopettaneet 2013-&gt;'!$D:$D,0)),"Jatkaa")</f>
        <v>Jatkaa</v>
      </c>
      <c r="K788">
        <f ca="1">IF($J788="Jatkaa",DATEDIF($B788,TODAY(),"Y"),INDEX('Lopettaneet 2013-&gt;'!$L:$L,MATCH($D788,'Lopettaneet 2013-&gt;'!$D:$D,0)))</f>
        <v>4</v>
      </c>
      <c r="L788">
        <v>787</v>
      </c>
    </row>
    <row r="789" spans="1:12" x14ac:dyDescent="0.25">
      <c r="A789" t="s">
        <v>7</v>
      </c>
      <c r="B789" s="1">
        <v>43800</v>
      </c>
      <c r="C789" s="1">
        <v>55153</v>
      </c>
      <c r="D789" s="4" t="s">
        <v>1776</v>
      </c>
      <c r="E789" t="s">
        <v>10</v>
      </c>
      <c r="F789" t="s">
        <v>11</v>
      </c>
      <c r="G789" t="s">
        <v>29</v>
      </c>
      <c r="H789" t="s">
        <v>2840</v>
      </c>
      <c r="I789" t="s">
        <v>2895</v>
      </c>
      <c r="J789" t="str">
        <f>IF(ISNUMBER(MATCH($D789,'Lopettaneet 2013-&gt;'!$D:$D,0)),INDEX('Lopettaneet 2013-&gt;'!$K:$K,MATCH($D789,'Lopettaneet 2013-&gt;'!$D:$D,0)),"Jatkaa")</f>
        <v>Closed</v>
      </c>
      <c r="K789">
        <f ca="1">IF($J789="Jatkaa",DATEDIF($B789,TODAY(),"Y"),INDEX('Lopettaneet 2013-&gt;'!$L:$L,MATCH($D789,'Lopettaneet 2013-&gt;'!$D:$D,0)))</f>
        <v>4</v>
      </c>
      <c r="L789">
        <v>788</v>
      </c>
    </row>
    <row r="790" spans="1:12" x14ac:dyDescent="0.25">
      <c r="A790" t="s">
        <v>7</v>
      </c>
      <c r="B790" s="1">
        <v>43983</v>
      </c>
      <c r="C790" s="1">
        <v>55153</v>
      </c>
      <c r="D790" s="4" t="s">
        <v>1778</v>
      </c>
      <c r="E790" t="s">
        <v>10</v>
      </c>
      <c r="F790" t="s">
        <v>11</v>
      </c>
      <c r="G790" t="s">
        <v>29</v>
      </c>
      <c r="H790" t="s">
        <v>2771</v>
      </c>
      <c r="I790" t="s">
        <v>2894</v>
      </c>
      <c r="J790" t="str">
        <f>IF(ISNUMBER(MATCH($D790,'Lopettaneet 2013-&gt;'!$D:$D,0)),INDEX('Lopettaneet 2013-&gt;'!$K:$K,MATCH($D790,'Lopettaneet 2013-&gt;'!$D:$D,0)),"Jatkaa")</f>
        <v>Jatkaa</v>
      </c>
      <c r="K790">
        <f ca="1">IF($J790="Jatkaa",DATEDIF($B790,TODAY(),"Y"),INDEX('Lopettaneet 2013-&gt;'!$L:$L,MATCH($D790,'Lopettaneet 2013-&gt;'!$D:$D,0)))</f>
        <v>4</v>
      </c>
      <c r="L790">
        <v>789</v>
      </c>
    </row>
    <row r="791" spans="1:12" x14ac:dyDescent="0.25">
      <c r="A791" t="s">
        <v>7</v>
      </c>
      <c r="B791" s="1">
        <v>43983</v>
      </c>
      <c r="C791" s="1">
        <v>55153</v>
      </c>
      <c r="D791" s="4" t="s">
        <v>1780</v>
      </c>
      <c r="E791" t="s">
        <v>10</v>
      </c>
      <c r="F791" t="s">
        <v>11</v>
      </c>
      <c r="G791" t="s">
        <v>29</v>
      </c>
      <c r="H791" t="s">
        <v>2771</v>
      </c>
      <c r="I791" t="s">
        <v>2894</v>
      </c>
      <c r="J791" t="str">
        <f>IF(ISNUMBER(MATCH($D791,'Lopettaneet 2013-&gt;'!$D:$D,0)),INDEX('Lopettaneet 2013-&gt;'!$K:$K,MATCH($D791,'Lopettaneet 2013-&gt;'!$D:$D,0)),"Jatkaa")</f>
        <v>Jatkaa</v>
      </c>
      <c r="K791">
        <f ca="1">IF($J791="Jatkaa",DATEDIF($B791,TODAY(),"Y"),INDEX('Lopettaneet 2013-&gt;'!$L:$L,MATCH($D791,'Lopettaneet 2013-&gt;'!$D:$D,0)))</f>
        <v>4</v>
      </c>
      <c r="L791">
        <v>790</v>
      </c>
    </row>
    <row r="792" spans="1:12" x14ac:dyDescent="0.25">
      <c r="A792" t="s">
        <v>0</v>
      </c>
      <c r="B792" s="1">
        <v>43952</v>
      </c>
      <c r="C792" s="1">
        <v>55153</v>
      </c>
      <c r="D792" s="4" t="s">
        <v>1782</v>
      </c>
      <c r="E792" t="s">
        <v>3</v>
      </c>
      <c r="F792" t="s">
        <v>4</v>
      </c>
      <c r="G792" t="s">
        <v>50</v>
      </c>
      <c r="H792" t="s">
        <v>2764</v>
      </c>
      <c r="I792" t="s">
        <v>2894</v>
      </c>
      <c r="J792" t="str">
        <f>IF(ISNUMBER(MATCH($D792,'Lopettaneet 2013-&gt;'!$D:$D,0)),INDEX('Lopettaneet 2013-&gt;'!$K:$K,MATCH($D792,'Lopettaneet 2013-&gt;'!$D:$D,0)),"Jatkaa")</f>
        <v>Jatkaa</v>
      </c>
      <c r="K792">
        <f ca="1">IF($J792="Jatkaa",DATEDIF($B792,TODAY(),"Y"),INDEX('Lopettaneet 2013-&gt;'!$L:$L,MATCH($D792,'Lopettaneet 2013-&gt;'!$D:$D,0)))</f>
        <v>5</v>
      </c>
      <c r="L792">
        <v>791</v>
      </c>
    </row>
    <row r="793" spans="1:12" x14ac:dyDescent="0.25">
      <c r="A793" t="s">
        <v>0</v>
      </c>
      <c r="B793" s="1">
        <v>43952</v>
      </c>
      <c r="C793" s="1">
        <v>55153</v>
      </c>
      <c r="D793" s="4" t="s">
        <v>1784</v>
      </c>
      <c r="E793" t="s">
        <v>3</v>
      </c>
      <c r="F793" t="s">
        <v>4</v>
      </c>
      <c r="G793" t="s">
        <v>5</v>
      </c>
      <c r="H793" t="s">
        <v>2764</v>
      </c>
      <c r="I793" t="s">
        <v>2894</v>
      </c>
      <c r="J793" t="str">
        <f>IF(ISNUMBER(MATCH($D793,'Lopettaneet 2013-&gt;'!$D:$D,0)),INDEX('Lopettaneet 2013-&gt;'!$K:$K,MATCH($D793,'Lopettaneet 2013-&gt;'!$D:$D,0)),"Jatkaa")</f>
        <v>Jatkaa</v>
      </c>
      <c r="K793">
        <f ca="1">IF($J793="Jatkaa",DATEDIF($B793,TODAY(),"Y"),INDEX('Lopettaneet 2013-&gt;'!$L:$L,MATCH($D793,'Lopettaneet 2013-&gt;'!$D:$D,0)))</f>
        <v>5</v>
      </c>
      <c r="L793">
        <v>792</v>
      </c>
    </row>
    <row r="794" spans="1:12" x14ac:dyDescent="0.25">
      <c r="A794" t="s">
        <v>0</v>
      </c>
      <c r="B794" s="1">
        <v>43952</v>
      </c>
      <c r="C794" s="1">
        <v>55153</v>
      </c>
      <c r="D794" s="4" t="s">
        <v>1786</v>
      </c>
      <c r="E794" t="s">
        <v>3</v>
      </c>
      <c r="F794" t="s">
        <v>4</v>
      </c>
      <c r="G794" t="s">
        <v>20</v>
      </c>
      <c r="H794" t="s">
        <v>2764</v>
      </c>
      <c r="I794" t="s">
        <v>2894</v>
      </c>
      <c r="J794" t="str">
        <f>IF(ISNUMBER(MATCH($D794,'Lopettaneet 2013-&gt;'!$D:$D,0)),INDEX('Lopettaneet 2013-&gt;'!$K:$K,MATCH($D794,'Lopettaneet 2013-&gt;'!$D:$D,0)),"Jatkaa")</f>
        <v>Jatkaa</v>
      </c>
      <c r="K794">
        <f ca="1">IF($J794="Jatkaa",DATEDIF($B794,TODAY(),"Y"),INDEX('Lopettaneet 2013-&gt;'!$L:$L,MATCH($D794,'Lopettaneet 2013-&gt;'!$D:$D,0)))</f>
        <v>5</v>
      </c>
      <c r="L794">
        <v>793</v>
      </c>
    </row>
    <row r="795" spans="1:12" x14ac:dyDescent="0.25">
      <c r="A795" t="s">
        <v>0</v>
      </c>
      <c r="B795" s="1">
        <v>43891</v>
      </c>
      <c r="C795" s="1">
        <v>55153</v>
      </c>
      <c r="D795" s="4" t="s">
        <v>1788</v>
      </c>
      <c r="E795" t="s">
        <v>10</v>
      </c>
      <c r="F795" t="s">
        <v>4</v>
      </c>
      <c r="G795" t="s">
        <v>20</v>
      </c>
      <c r="H795" t="s">
        <v>2802</v>
      </c>
      <c r="I795" t="s">
        <v>2894</v>
      </c>
      <c r="J795" t="str">
        <f>IF(ISNUMBER(MATCH($D795,'Lopettaneet 2013-&gt;'!$D:$D,0)),INDEX('Lopettaneet 2013-&gt;'!$K:$K,MATCH($D795,'Lopettaneet 2013-&gt;'!$D:$D,0)),"Jatkaa")</f>
        <v>Jatkaa</v>
      </c>
      <c r="K795">
        <f ca="1">IF($J795="Jatkaa",DATEDIF($B795,TODAY(),"Y"),INDEX('Lopettaneet 2013-&gt;'!$L:$L,MATCH($D795,'Lopettaneet 2013-&gt;'!$D:$D,0)))</f>
        <v>5</v>
      </c>
      <c r="L795">
        <v>794</v>
      </c>
    </row>
    <row r="796" spans="1:12" x14ac:dyDescent="0.25">
      <c r="A796" t="s">
        <v>0</v>
      </c>
      <c r="B796" s="1">
        <v>43862</v>
      </c>
      <c r="C796" s="1">
        <v>44012</v>
      </c>
      <c r="D796" s="4" t="s">
        <v>1790</v>
      </c>
      <c r="E796" t="s">
        <v>3</v>
      </c>
      <c r="F796" t="s">
        <v>4</v>
      </c>
      <c r="G796" t="s">
        <v>20</v>
      </c>
      <c r="H796" t="s">
        <v>2763</v>
      </c>
      <c r="I796" t="s">
        <v>2763</v>
      </c>
      <c r="J796" t="str">
        <f>IF(ISNUMBER(MATCH($D796,'Lopettaneet 2013-&gt;'!$D:$D,0)),INDEX('Lopettaneet 2013-&gt;'!$K:$K,MATCH($D796,'Lopettaneet 2013-&gt;'!$D:$D,0)),"Jatkaa")</f>
        <v>Closed</v>
      </c>
      <c r="K796">
        <f ca="1">IF($J796="Jatkaa",DATEDIF($B796,TODAY(),"Y"),INDEX('Lopettaneet 2013-&gt;'!$L:$L,MATCH($D796,'Lopettaneet 2013-&gt;'!$D:$D,0)))</f>
        <v>0</v>
      </c>
      <c r="L796">
        <v>795</v>
      </c>
    </row>
    <row r="797" spans="1:12" x14ac:dyDescent="0.25">
      <c r="A797" t="s">
        <v>7</v>
      </c>
      <c r="B797" s="1">
        <v>43983</v>
      </c>
      <c r="C797" s="1">
        <v>55153</v>
      </c>
      <c r="D797" s="4" t="s">
        <v>1792</v>
      </c>
      <c r="E797" t="s">
        <v>10</v>
      </c>
      <c r="F797" t="s">
        <v>11</v>
      </c>
      <c r="G797" t="s">
        <v>32</v>
      </c>
      <c r="H797" t="s">
        <v>2829</v>
      </c>
      <c r="I797" t="s">
        <v>2895</v>
      </c>
      <c r="J797" t="str">
        <f>IF(ISNUMBER(MATCH($D797,'Lopettaneet 2013-&gt;'!$D:$D,0)),INDEX('Lopettaneet 2013-&gt;'!$K:$K,MATCH($D797,'Lopettaneet 2013-&gt;'!$D:$D,0)),"Jatkaa")</f>
        <v>Jatkaa</v>
      </c>
      <c r="K797">
        <f ca="1">IF($J797="Jatkaa",DATEDIF($B797,TODAY(),"Y"),INDEX('Lopettaneet 2013-&gt;'!$L:$L,MATCH($D797,'Lopettaneet 2013-&gt;'!$D:$D,0)))</f>
        <v>4</v>
      </c>
      <c r="L797">
        <v>796</v>
      </c>
    </row>
    <row r="798" spans="1:12" x14ac:dyDescent="0.25">
      <c r="A798" t="s">
        <v>7</v>
      </c>
      <c r="B798" s="1">
        <v>43983</v>
      </c>
      <c r="C798" s="1">
        <v>55153</v>
      </c>
      <c r="D798" s="4" t="s">
        <v>1794</v>
      </c>
      <c r="E798" t="s">
        <v>10</v>
      </c>
      <c r="F798" t="s">
        <v>11</v>
      </c>
      <c r="G798" t="s">
        <v>32</v>
      </c>
      <c r="H798" t="s">
        <v>2829</v>
      </c>
      <c r="I798" t="s">
        <v>2895</v>
      </c>
      <c r="J798" t="str">
        <f>IF(ISNUMBER(MATCH($D798,'Lopettaneet 2013-&gt;'!$D:$D,0)),INDEX('Lopettaneet 2013-&gt;'!$K:$K,MATCH($D798,'Lopettaneet 2013-&gt;'!$D:$D,0)),"Jatkaa")</f>
        <v>Jatkaa</v>
      </c>
      <c r="K798">
        <f ca="1">IF($J798="Jatkaa",DATEDIF($B798,TODAY(),"Y"),INDEX('Lopettaneet 2013-&gt;'!$L:$L,MATCH($D798,'Lopettaneet 2013-&gt;'!$D:$D,0)))</f>
        <v>4</v>
      </c>
      <c r="L798">
        <v>797</v>
      </c>
    </row>
    <row r="799" spans="1:12" x14ac:dyDescent="0.25">
      <c r="A799" t="s">
        <v>7</v>
      </c>
      <c r="B799" s="1">
        <v>44166</v>
      </c>
      <c r="C799" s="1">
        <v>55153</v>
      </c>
      <c r="D799" s="4" t="s">
        <v>1796</v>
      </c>
      <c r="E799" t="s">
        <v>10</v>
      </c>
      <c r="F799" t="s">
        <v>11</v>
      </c>
      <c r="G799" t="s">
        <v>29</v>
      </c>
      <c r="H799" t="s">
        <v>2866</v>
      </c>
      <c r="I799" t="s">
        <v>2895</v>
      </c>
      <c r="J799" t="str">
        <f>IF(ISNUMBER(MATCH($D799,'Lopettaneet 2013-&gt;'!$D:$D,0)),INDEX('Lopettaneet 2013-&gt;'!$K:$K,MATCH($D799,'Lopettaneet 2013-&gt;'!$D:$D,0)),"Jatkaa")</f>
        <v>Jatkaa</v>
      </c>
      <c r="K799">
        <f ca="1">IF($J799="Jatkaa",DATEDIF($B799,TODAY(),"Y"),INDEX('Lopettaneet 2013-&gt;'!$L:$L,MATCH($D799,'Lopettaneet 2013-&gt;'!$D:$D,0)))</f>
        <v>4</v>
      </c>
      <c r="L799">
        <v>798</v>
      </c>
    </row>
    <row r="800" spans="1:12" x14ac:dyDescent="0.25">
      <c r="A800" t="s">
        <v>7</v>
      </c>
      <c r="B800" s="1">
        <v>44166</v>
      </c>
      <c r="C800" s="1">
        <v>55153</v>
      </c>
      <c r="D800" s="4" t="s">
        <v>1798</v>
      </c>
      <c r="E800" t="s">
        <v>10</v>
      </c>
      <c r="F800" t="s">
        <v>11</v>
      </c>
      <c r="G800" t="s">
        <v>29</v>
      </c>
      <c r="H800" t="s">
        <v>2866</v>
      </c>
      <c r="I800" t="s">
        <v>2895</v>
      </c>
      <c r="J800" t="str">
        <f>IF(ISNUMBER(MATCH($D800,'Lopettaneet 2013-&gt;'!$D:$D,0)),INDEX('Lopettaneet 2013-&gt;'!$K:$K,MATCH($D800,'Lopettaneet 2013-&gt;'!$D:$D,0)),"Jatkaa")</f>
        <v>Jatkaa</v>
      </c>
      <c r="K800">
        <f ca="1">IF($J800="Jatkaa",DATEDIF($B800,TODAY(),"Y"),INDEX('Lopettaneet 2013-&gt;'!$L:$L,MATCH($D800,'Lopettaneet 2013-&gt;'!$D:$D,0)))</f>
        <v>4</v>
      </c>
      <c r="L800">
        <v>799</v>
      </c>
    </row>
    <row r="801" spans="1:12" x14ac:dyDescent="0.25">
      <c r="A801" t="s">
        <v>7</v>
      </c>
      <c r="B801" s="1">
        <v>44348</v>
      </c>
      <c r="C801" s="1">
        <v>55153</v>
      </c>
      <c r="D801" s="4" t="s">
        <v>1800</v>
      </c>
      <c r="E801" t="s">
        <v>10</v>
      </c>
      <c r="F801" t="s">
        <v>11</v>
      </c>
      <c r="G801" t="s">
        <v>29</v>
      </c>
      <c r="H801" t="s">
        <v>2847</v>
      </c>
      <c r="I801" t="s">
        <v>2894</v>
      </c>
      <c r="J801" t="str">
        <f>IF(ISNUMBER(MATCH($D801,'Lopettaneet 2013-&gt;'!$D:$D,0)),INDEX('Lopettaneet 2013-&gt;'!$K:$K,MATCH($D801,'Lopettaneet 2013-&gt;'!$D:$D,0)),"Jatkaa")</f>
        <v>Jatkaa</v>
      </c>
      <c r="K801">
        <f ca="1">IF($J801="Jatkaa",DATEDIF($B801,TODAY(),"Y"),INDEX('Lopettaneet 2013-&gt;'!$L:$L,MATCH($D801,'Lopettaneet 2013-&gt;'!$D:$D,0)))</f>
        <v>3</v>
      </c>
      <c r="L801">
        <v>800</v>
      </c>
    </row>
    <row r="802" spans="1:12" x14ac:dyDescent="0.25">
      <c r="A802" t="s">
        <v>7</v>
      </c>
      <c r="B802" s="1">
        <v>44166</v>
      </c>
      <c r="C802" s="1">
        <v>55153</v>
      </c>
      <c r="D802" s="4" t="s">
        <v>1802</v>
      </c>
      <c r="E802" t="s">
        <v>10</v>
      </c>
      <c r="F802" t="s">
        <v>11</v>
      </c>
      <c r="G802" t="s">
        <v>12</v>
      </c>
      <c r="H802" t="s">
        <v>2764</v>
      </c>
      <c r="I802" t="s">
        <v>2894</v>
      </c>
      <c r="J802" t="str">
        <f>IF(ISNUMBER(MATCH($D802,'Lopettaneet 2013-&gt;'!$D:$D,0)),INDEX('Lopettaneet 2013-&gt;'!$K:$K,MATCH($D802,'Lopettaneet 2013-&gt;'!$D:$D,0)),"Jatkaa")</f>
        <v>Jatkaa</v>
      </c>
      <c r="K802">
        <f ca="1">IF($J802="Jatkaa",DATEDIF($B802,TODAY(),"Y"),INDEX('Lopettaneet 2013-&gt;'!$L:$L,MATCH($D802,'Lopettaneet 2013-&gt;'!$D:$D,0)))</f>
        <v>4</v>
      </c>
      <c r="L802">
        <v>801</v>
      </c>
    </row>
    <row r="803" spans="1:12" x14ac:dyDescent="0.25">
      <c r="A803" t="s">
        <v>7</v>
      </c>
      <c r="B803" s="1">
        <v>43983</v>
      </c>
      <c r="C803" s="1">
        <v>55153</v>
      </c>
      <c r="D803" s="4" t="s">
        <v>1804</v>
      </c>
      <c r="E803" t="s">
        <v>10</v>
      </c>
      <c r="F803" t="s">
        <v>11</v>
      </c>
      <c r="G803" t="s">
        <v>32</v>
      </c>
      <c r="H803" t="s">
        <v>2847</v>
      </c>
      <c r="I803" t="s">
        <v>2895</v>
      </c>
      <c r="J803" t="str">
        <f>IF(ISNUMBER(MATCH($D803,'Lopettaneet 2013-&gt;'!$D:$D,0)),INDEX('Lopettaneet 2013-&gt;'!$K:$K,MATCH($D803,'Lopettaneet 2013-&gt;'!$D:$D,0)),"Jatkaa")</f>
        <v>Jatkaa</v>
      </c>
      <c r="K803">
        <f ca="1">IF($J803="Jatkaa",DATEDIF($B803,TODAY(),"Y"),INDEX('Lopettaneet 2013-&gt;'!$L:$L,MATCH($D803,'Lopettaneet 2013-&gt;'!$D:$D,0)))</f>
        <v>4</v>
      </c>
      <c r="L803">
        <v>802</v>
      </c>
    </row>
    <row r="804" spans="1:12" x14ac:dyDescent="0.25">
      <c r="A804" t="s">
        <v>7</v>
      </c>
      <c r="B804" s="1">
        <v>44166</v>
      </c>
      <c r="C804" s="1">
        <v>55153</v>
      </c>
      <c r="D804" s="4" t="s">
        <v>1806</v>
      </c>
      <c r="E804" t="s">
        <v>10</v>
      </c>
      <c r="F804" t="s">
        <v>11</v>
      </c>
      <c r="G804" t="s">
        <v>80</v>
      </c>
      <c r="H804" t="s">
        <v>2867</v>
      </c>
      <c r="I804" t="s">
        <v>2894</v>
      </c>
      <c r="J804" t="str">
        <f>IF(ISNUMBER(MATCH($D804,'Lopettaneet 2013-&gt;'!$D:$D,0)),INDEX('Lopettaneet 2013-&gt;'!$K:$K,MATCH($D804,'Lopettaneet 2013-&gt;'!$D:$D,0)),"Jatkaa")</f>
        <v>Jatkaa</v>
      </c>
      <c r="K804">
        <f ca="1">IF($J804="Jatkaa",DATEDIF($B804,TODAY(),"Y"),INDEX('Lopettaneet 2013-&gt;'!$L:$L,MATCH($D804,'Lopettaneet 2013-&gt;'!$D:$D,0)))</f>
        <v>4</v>
      </c>
      <c r="L804">
        <v>803</v>
      </c>
    </row>
    <row r="805" spans="1:12" x14ac:dyDescent="0.25">
      <c r="A805" t="s">
        <v>7</v>
      </c>
      <c r="B805" s="1">
        <v>44075</v>
      </c>
      <c r="C805" s="1">
        <v>55153</v>
      </c>
      <c r="D805" s="4" t="s">
        <v>1808</v>
      </c>
      <c r="E805" t="s">
        <v>10</v>
      </c>
      <c r="F805" t="s">
        <v>11</v>
      </c>
      <c r="G805" t="s">
        <v>80</v>
      </c>
      <c r="H805" t="s">
        <v>2868</v>
      </c>
      <c r="I805" t="s">
        <v>2894</v>
      </c>
      <c r="J805" t="str">
        <f>IF(ISNUMBER(MATCH($D805,'Lopettaneet 2013-&gt;'!$D:$D,0)),INDEX('Lopettaneet 2013-&gt;'!$K:$K,MATCH($D805,'Lopettaneet 2013-&gt;'!$D:$D,0)),"Jatkaa")</f>
        <v>Jatkaa</v>
      </c>
      <c r="K805">
        <f ca="1">IF($J805="Jatkaa",DATEDIF($B805,TODAY(),"Y"),INDEX('Lopettaneet 2013-&gt;'!$L:$L,MATCH($D805,'Lopettaneet 2013-&gt;'!$D:$D,0)))</f>
        <v>4</v>
      </c>
      <c r="L805">
        <v>804</v>
      </c>
    </row>
    <row r="806" spans="1:12" x14ac:dyDescent="0.25">
      <c r="A806" t="s">
        <v>7</v>
      </c>
      <c r="B806" s="1">
        <v>43983</v>
      </c>
      <c r="C806" s="1">
        <v>55153</v>
      </c>
      <c r="D806" s="4" t="s">
        <v>1810</v>
      </c>
      <c r="E806" t="s">
        <v>10</v>
      </c>
      <c r="F806" t="s">
        <v>11</v>
      </c>
      <c r="G806" t="s">
        <v>12</v>
      </c>
      <c r="H806" t="s">
        <v>2771</v>
      </c>
      <c r="I806" t="s">
        <v>2894</v>
      </c>
      <c r="J806" t="str">
        <f>IF(ISNUMBER(MATCH($D806,'Lopettaneet 2013-&gt;'!$D:$D,0)),INDEX('Lopettaneet 2013-&gt;'!$K:$K,MATCH($D806,'Lopettaneet 2013-&gt;'!$D:$D,0)),"Jatkaa")</f>
        <v>Jatkaa</v>
      </c>
      <c r="K806">
        <f ca="1">IF($J806="Jatkaa",DATEDIF($B806,TODAY(),"Y"),INDEX('Lopettaneet 2013-&gt;'!$L:$L,MATCH($D806,'Lopettaneet 2013-&gt;'!$D:$D,0)))</f>
        <v>4</v>
      </c>
      <c r="L806">
        <v>805</v>
      </c>
    </row>
    <row r="807" spans="1:12" x14ac:dyDescent="0.25">
      <c r="A807" t="s">
        <v>7</v>
      </c>
      <c r="B807" s="1">
        <v>44075</v>
      </c>
      <c r="C807" s="1">
        <v>45107</v>
      </c>
      <c r="D807" s="4" t="s">
        <v>51</v>
      </c>
      <c r="E807" t="s">
        <v>10</v>
      </c>
      <c r="F807" t="s">
        <v>11</v>
      </c>
      <c r="G807" t="s">
        <v>32</v>
      </c>
      <c r="H807" t="s">
        <v>2763</v>
      </c>
      <c r="I807" t="s">
        <v>2763</v>
      </c>
      <c r="J807" t="str">
        <f>IF(ISNUMBER(MATCH($D807,'Lopettaneet 2013-&gt;'!$D:$D,0)),INDEX('Lopettaneet 2013-&gt;'!$K:$K,MATCH($D807,'Lopettaneet 2013-&gt;'!$D:$D,0)),"Jatkaa")</f>
        <v>Closed</v>
      </c>
      <c r="K807">
        <f ca="1">IF($J807="Jatkaa",DATEDIF($B807,TODAY(),"Y"),INDEX('Lopettaneet 2013-&gt;'!$L:$L,MATCH($D807,'Lopettaneet 2013-&gt;'!$D:$D,0)))</f>
        <v>2</v>
      </c>
      <c r="L807">
        <v>806</v>
      </c>
    </row>
    <row r="808" spans="1:12" x14ac:dyDescent="0.25">
      <c r="A808" t="s">
        <v>0</v>
      </c>
      <c r="B808" s="1">
        <v>43952</v>
      </c>
      <c r="C808" s="1">
        <v>55153</v>
      </c>
      <c r="D808" s="4" t="s">
        <v>1812</v>
      </c>
      <c r="E808" t="s">
        <v>10</v>
      </c>
      <c r="F808" t="s">
        <v>4</v>
      </c>
      <c r="G808" t="s">
        <v>29</v>
      </c>
      <c r="H808" t="s">
        <v>2845</v>
      </c>
      <c r="I808" t="s">
        <v>2894</v>
      </c>
      <c r="J808" t="str">
        <f>IF(ISNUMBER(MATCH($D808,'Lopettaneet 2013-&gt;'!$D:$D,0)),INDEX('Lopettaneet 2013-&gt;'!$K:$K,MATCH($D808,'Lopettaneet 2013-&gt;'!$D:$D,0)),"Jatkaa")</f>
        <v>Jatkaa</v>
      </c>
      <c r="K808">
        <f ca="1">IF($J808="Jatkaa",DATEDIF($B808,TODAY(),"Y"),INDEX('Lopettaneet 2013-&gt;'!$L:$L,MATCH($D808,'Lopettaneet 2013-&gt;'!$D:$D,0)))</f>
        <v>5</v>
      </c>
      <c r="L808">
        <v>807</v>
      </c>
    </row>
    <row r="809" spans="1:12" x14ac:dyDescent="0.25">
      <c r="A809" t="s">
        <v>0</v>
      </c>
      <c r="B809" s="1">
        <v>43952</v>
      </c>
      <c r="C809" s="1">
        <v>55153</v>
      </c>
      <c r="D809" s="4" t="s">
        <v>1814</v>
      </c>
      <c r="E809" t="s">
        <v>3</v>
      </c>
      <c r="F809" t="s">
        <v>4</v>
      </c>
      <c r="G809" t="s">
        <v>20</v>
      </c>
      <c r="H809" t="s">
        <v>2765</v>
      </c>
      <c r="I809" t="s">
        <v>2894</v>
      </c>
      <c r="J809" t="str">
        <f>IF(ISNUMBER(MATCH($D809,'Lopettaneet 2013-&gt;'!$D:$D,0)),INDEX('Lopettaneet 2013-&gt;'!$K:$K,MATCH($D809,'Lopettaneet 2013-&gt;'!$D:$D,0)),"Jatkaa")</f>
        <v>Jatkaa</v>
      </c>
      <c r="K809">
        <f ca="1">IF($J809="Jatkaa",DATEDIF($B809,TODAY(),"Y"),INDEX('Lopettaneet 2013-&gt;'!$L:$L,MATCH($D809,'Lopettaneet 2013-&gt;'!$D:$D,0)))</f>
        <v>5</v>
      </c>
      <c r="L809">
        <v>808</v>
      </c>
    </row>
    <row r="810" spans="1:12" x14ac:dyDescent="0.25">
      <c r="A810" t="s">
        <v>7</v>
      </c>
      <c r="B810" s="1">
        <v>43983</v>
      </c>
      <c r="C810" s="1">
        <v>55153</v>
      </c>
      <c r="D810" s="4" t="s">
        <v>1816</v>
      </c>
      <c r="E810" t="s">
        <v>10</v>
      </c>
      <c r="F810" t="s">
        <v>11</v>
      </c>
      <c r="G810" t="s">
        <v>12</v>
      </c>
      <c r="H810" t="s">
        <v>2835</v>
      </c>
      <c r="I810" t="s">
        <v>2894</v>
      </c>
      <c r="J810" t="str">
        <f>IF(ISNUMBER(MATCH($D810,'Lopettaneet 2013-&gt;'!$D:$D,0)),INDEX('Lopettaneet 2013-&gt;'!$K:$K,MATCH($D810,'Lopettaneet 2013-&gt;'!$D:$D,0)),"Jatkaa")</f>
        <v>Jatkaa</v>
      </c>
      <c r="K810">
        <f ca="1">IF($J810="Jatkaa",DATEDIF($B810,TODAY(),"Y"),INDEX('Lopettaneet 2013-&gt;'!$L:$L,MATCH($D810,'Lopettaneet 2013-&gt;'!$D:$D,0)))</f>
        <v>4</v>
      </c>
      <c r="L810">
        <v>809</v>
      </c>
    </row>
    <row r="811" spans="1:12" x14ac:dyDescent="0.25">
      <c r="A811" t="s">
        <v>7</v>
      </c>
      <c r="B811" s="1">
        <v>44256</v>
      </c>
      <c r="C811" s="1">
        <v>55153</v>
      </c>
      <c r="D811" s="4" t="s">
        <v>1818</v>
      </c>
      <c r="E811" t="s">
        <v>10</v>
      </c>
      <c r="F811" t="s">
        <v>11</v>
      </c>
      <c r="G811" t="s">
        <v>12</v>
      </c>
      <c r="H811" t="s">
        <v>2799</v>
      </c>
      <c r="I811" t="s">
        <v>2895</v>
      </c>
      <c r="J811" t="str">
        <f>IF(ISNUMBER(MATCH($D811,'Lopettaneet 2013-&gt;'!$D:$D,0)),INDEX('Lopettaneet 2013-&gt;'!$K:$K,MATCH($D811,'Lopettaneet 2013-&gt;'!$D:$D,0)),"Jatkaa")</f>
        <v>Jatkaa</v>
      </c>
      <c r="K811">
        <f ca="1">IF($J811="Jatkaa",DATEDIF($B811,TODAY(),"Y"),INDEX('Lopettaneet 2013-&gt;'!$L:$L,MATCH($D811,'Lopettaneet 2013-&gt;'!$D:$D,0)))</f>
        <v>4</v>
      </c>
      <c r="L811">
        <v>810</v>
      </c>
    </row>
    <row r="812" spans="1:12" x14ac:dyDescent="0.25">
      <c r="A812" t="s">
        <v>7</v>
      </c>
      <c r="B812" s="1">
        <v>44256</v>
      </c>
      <c r="C812" s="1">
        <v>55153</v>
      </c>
      <c r="D812" s="4" t="s">
        <v>1820</v>
      </c>
      <c r="E812" t="s">
        <v>10</v>
      </c>
      <c r="F812" t="s">
        <v>11</v>
      </c>
      <c r="G812" t="s">
        <v>80</v>
      </c>
      <c r="H812" t="s">
        <v>2848</v>
      </c>
      <c r="I812" t="s">
        <v>2894</v>
      </c>
      <c r="J812" t="str">
        <f>IF(ISNUMBER(MATCH($D812,'Lopettaneet 2013-&gt;'!$D:$D,0)),INDEX('Lopettaneet 2013-&gt;'!$K:$K,MATCH($D812,'Lopettaneet 2013-&gt;'!$D:$D,0)),"Jatkaa")</f>
        <v>Jatkaa</v>
      </c>
      <c r="K812">
        <f ca="1">IF($J812="Jatkaa",DATEDIF($B812,TODAY(),"Y"),INDEX('Lopettaneet 2013-&gt;'!$L:$L,MATCH($D812,'Lopettaneet 2013-&gt;'!$D:$D,0)))</f>
        <v>4</v>
      </c>
      <c r="L812">
        <v>811</v>
      </c>
    </row>
    <row r="813" spans="1:12" x14ac:dyDescent="0.25">
      <c r="A813" t="s">
        <v>0</v>
      </c>
      <c r="B813" s="1">
        <v>44105</v>
      </c>
      <c r="C813" s="1">
        <v>55153</v>
      </c>
      <c r="D813" s="4" t="s">
        <v>1822</v>
      </c>
      <c r="E813" t="s">
        <v>10</v>
      </c>
      <c r="F813" t="s">
        <v>11</v>
      </c>
      <c r="G813" t="s">
        <v>20</v>
      </c>
      <c r="H813" t="s">
        <v>2766</v>
      </c>
      <c r="I813" t="s">
        <v>2895</v>
      </c>
      <c r="J813" t="str">
        <f>IF(ISNUMBER(MATCH($D813,'Lopettaneet 2013-&gt;'!$D:$D,0)),INDEX('Lopettaneet 2013-&gt;'!$K:$K,MATCH($D813,'Lopettaneet 2013-&gt;'!$D:$D,0)),"Jatkaa")</f>
        <v>Jatkaa</v>
      </c>
      <c r="K813">
        <f ca="1">IF($J813="Jatkaa",DATEDIF($B813,TODAY(),"Y"),INDEX('Lopettaneet 2013-&gt;'!$L:$L,MATCH($D813,'Lopettaneet 2013-&gt;'!$D:$D,0)))</f>
        <v>4</v>
      </c>
      <c r="L813">
        <v>812</v>
      </c>
    </row>
    <row r="814" spans="1:12" x14ac:dyDescent="0.25">
      <c r="A814" t="s">
        <v>0</v>
      </c>
      <c r="B814" s="1">
        <v>44105</v>
      </c>
      <c r="C814" s="1">
        <v>55153</v>
      </c>
      <c r="D814" s="4" t="s">
        <v>1824</v>
      </c>
      <c r="E814" t="s">
        <v>10</v>
      </c>
      <c r="F814" t="s">
        <v>11</v>
      </c>
      <c r="G814" t="s">
        <v>20</v>
      </c>
      <c r="H814" t="s">
        <v>2766</v>
      </c>
      <c r="I814" t="s">
        <v>2895</v>
      </c>
      <c r="J814" t="str">
        <f>IF(ISNUMBER(MATCH($D814,'Lopettaneet 2013-&gt;'!$D:$D,0)),INDEX('Lopettaneet 2013-&gt;'!$K:$K,MATCH($D814,'Lopettaneet 2013-&gt;'!$D:$D,0)),"Jatkaa")</f>
        <v>Jatkaa</v>
      </c>
      <c r="K814">
        <f ca="1">IF($J814="Jatkaa",DATEDIF($B814,TODAY(),"Y"),INDEX('Lopettaneet 2013-&gt;'!$L:$L,MATCH($D814,'Lopettaneet 2013-&gt;'!$D:$D,0)))</f>
        <v>4</v>
      </c>
      <c r="L814">
        <v>813</v>
      </c>
    </row>
    <row r="815" spans="1:12" x14ac:dyDescent="0.25">
      <c r="A815" t="s">
        <v>7</v>
      </c>
      <c r="B815" s="1">
        <v>43891</v>
      </c>
      <c r="C815" s="1">
        <v>55153</v>
      </c>
      <c r="D815" s="4" t="s">
        <v>1826</v>
      </c>
      <c r="E815" t="s">
        <v>10</v>
      </c>
      <c r="F815" t="s">
        <v>11</v>
      </c>
      <c r="G815" t="s">
        <v>29</v>
      </c>
      <c r="H815" t="s">
        <v>2765</v>
      </c>
      <c r="I815" t="s">
        <v>2895</v>
      </c>
      <c r="J815" t="str">
        <f>IF(ISNUMBER(MATCH($D815,'Lopettaneet 2013-&gt;'!$D:$D,0)),INDEX('Lopettaneet 2013-&gt;'!$K:$K,MATCH($D815,'Lopettaneet 2013-&gt;'!$D:$D,0)),"Jatkaa")</f>
        <v>Jatkaa</v>
      </c>
      <c r="K815">
        <f ca="1">IF($J815="Jatkaa",DATEDIF($B815,TODAY(),"Y"),INDEX('Lopettaneet 2013-&gt;'!$L:$L,MATCH($D815,'Lopettaneet 2013-&gt;'!$D:$D,0)))</f>
        <v>5</v>
      </c>
      <c r="L815">
        <v>814</v>
      </c>
    </row>
    <row r="816" spans="1:12" x14ac:dyDescent="0.25">
      <c r="A816" t="s">
        <v>7</v>
      </c>
      <c r="B816" s="1">
        <v>43891</v>
      </c>
      <c r="C816" s="1">
        <v>55153</v>
      </c>
      <c r="D816" s="4" t="s">
        <v>1828</v>
      </c>
      <c r="E816" t="s">
        <v>10</v>
      </c>
      <c r="F816" t="s">
        <v>11</v>
      </c>
      <c r="G816" t="s">
        <v>29</v>
      </c>
      <c r="H816" t="s">
        <v>2765</v>
      </c>
      <c r="I816" t="s">
        <v>2895</v>
      </c>
      <c r="J816" t="str">
        <f>IF(ISNUMBER(MATCH($D816,'Lopettaneet 2013-&gt;'!$D:$D,0)),INDEX('Lopettaneet 2013-&gt;'!$K:$K,MATCH($D816,'Lopettaneet 2013-&gt;'!$D:$D,0)),"Jatkaa")</f>
        <v>Jatkaa</v>
      </c>
      <c r="K816">
        <f ca="1">IF($J816="Jatkaa",DATEDIF($B816,TODAY(),"Y"),INDEX('Lopettaneet 2013-&gt;'!$L:$L,MATCH($D816,'Lopettaneet 2013-&gt;'!$D:$D,0)))</f>
        <v>5</v>
      </c>
      <c r="L816">
        <v>815</v>
      </c>
    </row>
    <row r="817" spans="1:12" x14ac:dyDescent="0.25">
      <c r="A817" t="s">
        <v>7</v>
      </c>
      <c r="B817" s="1">
        <v>43983</v>
      </c>
      <c r="C817" s="1">
        <v>55153</v>
      </c>
      <c r="D817" s="4" t="s">
        <v>1830</v>
      </c>
      <c r="E817" t="s">
        <v>10</v>
      </c>
      <c r="F817" t="s">
        <v>11</v>
      </c>
      <c r="G817" t="s">
        <v>29</v>
      </c>
      <c r="H817" t="s">
        <v>2802</v>
      </c>
      <c r="I817" t="s">
        <v>2895</v>
      </c>
      <c r="J817" t="str">
        <f>IF(ISNUMBER(MATCH($D817,'Lopettaneet 2013-&gt;'!$D:$D,0)),INDEX('Lopettaneet 2013-&gt;'!$K:$K,MATCH($D817,'Lopettaneet 2013-&gt;'!$D:$D,0)),"Jatkaa")</f>
        <v>Jatkaa</v>
      </c>
      <c r="K817">
        <f ca="1">IF($J817="Jatkaa",DATEDIF($B817,TODAY(),"Y"),INDEX('Lopettaneet 2013-&gt;'!$L:$L,MATCH($D817,'Lopettaneet 2013-&gt;'!$D:$D,0)))</f>
        <v>4</v>
      </c>
      <c r="L817">
        <v>816</v>
      </c>
    </row>
    <row r="818" spans="1:12" x14ac:dyDescent="0.25">
      <c r="A818" t="s">
        <v>0</v>
      </c>
      <c r="B818" s="1">
        <v>44013</v>
      </c>
      <c r="C818" s="1">
        <v>55153</v>
      </c>
      <c r="D818" s="4" t="s">
        <v>1832</v>
      </c>
      <c r="E818" t="s">
        <v>10</v>
      </c>
      <c r="F818" t="s">
        <v>4</v>
      </c>
      <c r="G818" t="s">
        <v>5</v>
      </c>
      <c r="H818" t="s">
        <v>2777</v>
      </c>
      <c r="I818" t="s">
        <v>2894</v>
      </c>
      <c r="J818" t="str">
        <f>IF(ISNUMBER(MATCH($D818,'Lopettaneet 2013-&gt;'!$D:$D,0)),INDEX('Lopettaneet 2013-&gt;'!$K:$K,MATCH($D818,'Lopettaneet 2013-&gt;'!$D:$D,0)),"Jatkaa")</f>
        <v>Jatkaa</v>
      </c>
      <c r="K818">
        <f ca="1">IF($J818="Jatkaa",DATEDIF($B818,TODAY(),"Y"),INDEX('Lopettaneet 2013-&gt;'!$L:$L,MATCH($D818,'Lopettaneet 2013-&gt;'!$D:$D,0)))</f>
        <v>4</v>
      </c>
      <c r="L818">
        <v>817</v>
      </c>
    </row>
    <row r="819" spans="1:12" x14ac:dyDescent="0.25">
      <c r="A819" t="s">
        <v>7</v>
      </c>
      <c r="B819" s="1">
        <v>43983</v>
      </c>
      <c r="C819" s="1">
        <v>55153</v>
      </c>
      <c r="D819" s="4" t="s">
        <v>1834</v>
      </c>
      <c r="E819" t="s">
        <v>10</v>
      </c>
      <c r="F819" t="s">
        <v>11</v>
      </c>
      <c r="G819" t="s">
        <v>32</v>
      </c>
      <c r="H819" t="s">
        <v>2869</v>
      </c>
      <c r="I819" t="s">
        <v>2895</v>
      </c>
      <c r="J819" t="str">
        <f>IF(ISNUMBER(MATCH($D819,'Lopettaneet 2013-&gt;'!$D:$D,0)),INDEX('Lopettaneet 2013-&gt;'!$K:$K,MATCH($D819,'Lopettaneet 2013-&gt;'!$D:$D,0)),"Jatkaa")</f>
        <v>Jatkaa</v>
      </c>
      <c r="K819">
        <f ca="1">IF($J819="Jatkaa",DATEDIF($B819,TODAY(),"Y"),INDEX('Lopettaneet 2013-&gt;'!$L:$L,MATCH($D819,'Lopettaneet 2013-&gt;'!$D:$D,0)))</f>
        <v>4</v>
      </c>
      <c r="L819">
        <v>818</v>
      </c>
    </row>
    <row r="820" spans="1:12" x14ac:dyDescent="0.25">
      <c r="A820" t="s">
        <v>0</v>
      </c>
      <c r="B820" s="1">
        <v>43952</v>
      </c>
      <c r="C820" s="1">
        <v>55153</v>
      </c>
      <c r="D820" s="4" t="s">
        <v>1836</v>
      </c>
      <c r="E820" t="s">
        <v>3</v>
      </c>
      <c r="F820" t="s">
        <v>4</v>
      </c>
      <c r="G820" t="s">
        <v>20</v>
      </c>
      <c r="H820" t="s">
        <v>2770</v>
      </c>
      <c r="I820" t="s">
        <v>2894</v>
      </c>
      <c r="J820" t="str">
        <f>IF(ISNUMBER(MATCH($D820,'Lopettaneet 2013-&gt;'!$D:$D,0)),INDEX('Lopettaneet 2013-&gt;'!$K:$K,MATCH($D820,'Lopettaneet 2013-&gt;'!$D:$D,0)),"Jatkaa")</f>
        <v>Jatkaa</v>
      </c>
      <c r="K820">
        <f ca="1">IF($J820="Jatkaa",DATEDIF($B820,TODAY(),"Y"),INDEX('Lopettaneet 2013-&gt;'!$L:$L,MATCH($D820,'Lopettaneet 2013-&gt;'!$D:$D,0)))</f>
        <v>5</v>
      </c>
      <c r="L820">
        <v>819</v>
      </c>
    </row>
    <row r="821" spans="1:12" x14ac:dyDescent="0.25">
      <c r="A821" t="s">
        <v>0</v>
      </c>
      <c r="B821" s="1">
        <v>43983</v>
      </c>
      <c r="C821" s="1">
        <v>55153</v>
      </c>
      <c r="D821" s="4" t="s">
        <v>1838</v>
      </c>
      <c r="E821" t="s">
        <v>3</v>
      </c>
      <c r="F821" t="s">
        <v>4</v>
      </c>
      <c r="G821" t="s">
        <v>20</v>
      </c>
      <c r="H821" t="s">
        <v>2767</v>
      </c>
      <c r="I821" t="s">
        <v>2894</v>
      </c>
      <c r="J821" t="str">
        <f>IF(ISNUMBER(MATCH($D821,'Lopettaneet 2013-&gt;'!$D:$D,0)),INDEX('Lopettaneet 2013-&gt;'!$K:$K,MATCH($D821,'Lopettaneet 2013-&gt;'!$D:$D,0)),"Jatkaa")</f>
        <v>Jatkaa</v>
      </c>
      <c r="K821">
        <f ca="1">IF($J821="Jatkaa",DATEDIF($B821,TODAY(),"Y"),INDEX('Lopettaneet 2013-&gt;'!$L:$L,MATCH($D821,'Lopettaneet 2013-&gt;'!$D:$D,0)))</f>
        <v>4</v>
      </c>
      <c r="L821">
        <v>820</v>
      </c>
    </row>
    <row r="822" spans="1:12" x14ac:dyDescent="0.25">
      <c r="A822" t="s">
        <v>7</v>
      </c>
      <c r="B822" s="1">
        <v>44348</v>
      </c>
      <c r="C822" s="1">
        <v>55153</v>
      </c>
      <c r="D822" s="4" t="s">
        <v>1840</v>
      </c>
      <c r="E822" t="s">
        <v>10</v>
      </c>
      <c r="F822" t="s">
        <v>11</v>
      </c>
      <c r="G822" t="s">
        <v>29</v>
      </c>
      <c r="H822" t="s">
        <v>2847</v>
      </c>
      <c r="I822" t="s">
        <v>2895</v>
      </c>
      <c r="J822" t="str">
        <f>IF(ISNUMBER(MATCH($D822,'Lopettaneet 2013-&gt;'!$D:$D,0)),INDEX('Lopettaneet 2013-&gt;'!$K:$K,MATCH($D822,'Lopettaneet 2013-&gt;'!$D:$D,0)),"Jatkaa")</f>
        <v>Jatkaa</v>
      </c>
      <c r="K822">
        <f ca="1">IF($J822="Jatkaa",DATEDIF($B822,TODAY(),"Y"),INDEX('Lopettaneet 2013-&gt;'!$L:$L,MATCH($D822,'Lopettaneet 2013-&gt;'!$D:$D,0)))</f>
        <v>3</v>
      </c>
      <c r="L822">
        <v>821</v>
      </c>
    </row>
    <row r="823" spans="1:12" x14ac:dyDescent="0.25">
      <c r="A823" t="s">
        <v>7</v>
      </c>
      <c r="B823" s="1">
        <v>44166</v>
      </c>
      <c r="C823" s="1">
        <v>55153</v>
      </c>
      <c r="D823" s="4" t="s">
        <v>1842</v>
      </c>
      <c r="E823" t="s">
        <v>10</v>
      </c>
      <c r="F823" t="s">
        <v>11</v>
      </c>
      <c r="G823" t="s">
        <v>80</v>
      </c>
      <c r="H823" t="s">
        <v>2812</v>
      </c>
      <c r="I823" t="s">
        <v>2894</v>
      </c>
      <c r="J823" t="str">
        <f>IF(ISNUMBER(MATCH($D823,'Lopettaneet 2013-&gt;'!$D:$D,0)),INDEX('Lopettaneet 2013-&gt;'!$K:$K,MATCH($D823,'Lopettaneet 2013-&gt;'!$D:$D,0)),"Jatkaa")</f>
        <v>Jatkaa</v>
      </c>
      <c r="K823">
        <f ca="1">IF($J823="Jatkaa",DATEDIF($B823,TODAY(),"Y"),INDEX('Lopettaneet 2013-&gt;'!$L:$L,MATCH($D823,'Lopettaneet 2013-&gt;'!$D:$D,0)))</f>
        <v>4</v>
      </c>
      <c r="L823">
        <v>822</v>
      </c>
    </row>
    <row r="824" spans="1:12" x14ac:dyDescent="0.25">
      <c r="A824" t="s">
        <v>7</v>
      </c>
      <c r="B824" s="1">
        <v>44075</v>
      </c>
      <c r="C824" s="1">
        <v>55153</v>
      </c>
      <c r="D824" s="4" t="s">
        <v>1844</v>
      </c>
      <c r="E824" t="s">
        <v>10</v>
      </c>
      <c r="F824" t="s">
        <v>11</v>
      </c>
      <c r="G824" t="s">
        <v>32</v>
      </c>
      <c r="H824" t="s">
        <v>2766</v>
      </c>
      <c r="I824" t="s">
        <v>2895</v>
      </c>
      <c r="J824" t="str">
        <f>IF(ISNUMBER(MATCH($D824,'Lopettaneet 2013-&gt;'!$D:$D,0)),INDEX('Lopettaneet 2013-&gt;'!$K:$K,MATCH($D824,'Lopettaneet 2013-&gt;'!$D:$D,0)),"Jatkaa")</f>
        <v>Jatkaa</v>
      </c>
      <c r="K824">
        <f ca="1">IF($J824="Jatkaa",DATEDIF($B824,TODAY(),"Y"),INDEX('Lopettaneet 2013-&gt;'!$L:$L,MATCH($D824,'Lopettaneet 2013-&gt;'!$D:$D,0)))</f>
        <v>4</v>
      </c>
      <c r="L824">
        <v>823</v>
      </c>
    </row>
    <row r="825" spans="1:12" x14ac:dyDescent="0.25">
      <c r="A825" t="s">
        <v>0</v>
      </c>
      <c r="B825" s="1">
        <v>44044</v>
      </c>
      <c r="C825" s="1">
        <v>55153</v>
      </c>
      <c r="D825" s="4" t="s">
        <v>1846</v>
      </c>
      <c r="E825" t="s">
        <v>10</v>
      </c>
      <c r="F825" t="s">
        <v>11</v>
      </c>
      <c r="G825" t="s">
        <v>32</v>
      </c>
      <c r="H825" t="s">
        <v>2766</v>
      </c>
      <c r="I825" t="s">
        <v>2895</v>
      </c>
      <c r="J825" t="str">
        <f>IF(ISNUMBER(MATCH($D825,'Lopettaneet 2013-&gt;'!$D:$D,0)),INDEX('Lopettaneet 2013-&gt;'!$K:$K,MATCH($D825,'Lopettaneet 2013-&gt;'!$D:$D,0)),"Jatkaa")</f>
        <v>Jatkaa</v>
      </c>
      <c r="K825">
        <f ca="1">IF($J825="Jatkaa",DATEDIF($B825,TODAY(),"Y"),INDEX('Lopettaneet 2013-&gt;'!$L:$L,MATCH($D825,'Lopettaneet 2013-&gt;'!$D:$D,0)))</f>
        <v>4</v>
      </c>
      <c r="L825">
        <v>824</v>
      </c>
    </row>
    <row r="826" spans="1:12" x14ac:dyDescent="0.25">
      <c r="A826" t="s">
        <v>0</v>
      </c>
      <c r="B826" s="1">
        <v>43983</v>
      </c>
      <c r="C826" s="1">
        <v>55153</v>
      </c>
      <c r="D826" s="4" t="s">
        <v>1848</v>
      </c>
      <c r="E826" t="s">
        <v>3</v>
      </c>
      <c r="F826" t="s">
        <v>4</v>
      </c>
      <c r="G826" t="s">
        <v>20</v>
      </c>
      <c r="H826" t="s">
        <v>2767</v>
      </c>
      <c r="I826" t="s">
        <v>2894</v>
      </c>
      <c r="J826" t="str">
        <f>IF(ISNUMBER(MATCH($D826,'Lopettaneet 2013-&gt;'!$D:$D,0)),INDEX('Lopettaneet 2013-&gt;'!$K:$K,MATCH($D826,'Lopettaneet 2013-&gt;'!$D:$D,0)),"Jatkaa")</f>
        <v>Jatkaa</v>
      </c>
      <c r="K826">
        <f ca="1">IF($J826="Jatkaa",DATEDIF($B826,TODAY(),"Y"),INDEX('Lopettaneet 2013-&gt;'!$L:$L,MATCH($D826,'Lopettaneet 2013-&gt;'!$D:$D,0)))</f>
        <v>4</v>
      </c>
      <c r="L826">
        <v>825</v>
      </c>
    </row>
    <row r="827" spans="1:12" x14ac:dyDescent="0.25">
      <c r="A827" t="s">
        <v>7</v>
      </c>
      <c r="B827" s="1">
        <v>44075</v>
      </c>
      <c r="C827" s="1">
        <v>55153</v>
      </c>
      <c r="D827" s="4" t="s">
        <v>1850</v>
      </c>
      <c r="E827" t="s">
        <v>10</v>
      </c>
      <c r="F827" t="s">
        <v>11</v>
      </c>
      <c r="G827" t="s">
        <v>29</v>
      </c>
      <c r="H827" t="s">
        <v>2801</v>
      </c>
      <c r="I827" t="s">
        <v>2895</v>
      </c>
      <c r="J827" t="str">
        <f>IF(ISNUMBER(MATCH($D827,'Lopettaneet 2013-&gt;'!$D:$D,0)),INDEX('Lopettaneet 2013-&gt;'!$K:$K,MATCH($D827,'Lopettaneet 2013-&gt;'!$D:$D,0)),"Jatkaa")</f>
        <v>Jatkaa</v>
      </c>
      <c r="K827">
        <f ca="1">IF($J827="Jatkaa",DATEDIF($B827,TODAY(),"Y"),INDEX('Lopettaneet 2013-&gt;'!$L:$L,MATCH($D827,'Lopettaneet 2013-&gt;'!$D:$D,0)))</f>
        <v>4</v>
      </c>
      <c r="L827">
        <v>826</v>
      </c>
    </row>
    <row r="828" spans="1:12" x14ac:dyDescent="0.25">
      <c r="A828" t="s">
        <v>7</v>
      </c>
      <c r="B828" s="1">
        <v>44075</v>
      </c>
      <c r="C828" s="1">
        <v>55153</v>
      </c>
      <c r="D828" s="4" t="s">
        <v>1852</v>
      </c>
      <c r="E828" t="s">
        <v>10</v>
      </c>
      <c r="F828" t="s">
        <v>11</v>
      </c>
      <c r="G828" t="s">
        <v>29</v>
      </c>
      <c r="H828" t="s">
        <v>2801</v>
      </c>
      <c r="I828" t="s">
        <v>2895</v>
      </c>
      <c r="J828" t="str">
        <f>IF(ISNUMBER(MATCH($D828,'Lopettaneet 2013-&gt;'!$D:$D,0)),INDEX('Lopettaneet 2013-&gt;'!$K:$K,MATCH($D828,'Lopettaneet 2013-&gt;'!$D:$D,0)),"Jatkaa")</f>
        <v>Jatkaa</v>
      </c>
      <c r="K828">
        <f ca="1">IF($J828="Jatkaa",DATEDIF($B828,TODAY(),"Y"),INDEX('Lopettaneet 2013-&gt;'!$L:$L,MATCH($D828,'Lopettaneet 2013-&gt;'!$D:$D,0)))</f>
        <v>4</v>
      </c>
      <c r="L828">
        <v>827</v>
      </c>
    </row>
    <row r="829" spans="1:12" x14ac:dyDescent="0.25">
      <c r="A829" t="s">
        <v>7</v>
      </c>
      <c r="B829" s="1">
        <v>44075</v>
      </c>
      <c r="C829" s="1">
        <v>55153</v>
      </c>
      <c r="D829" s="4" t="s">
        <v>1854</v>
      </c>
      <c r="E829" t="s">
        <v>10</v>
      </c>
      <c r="F829" t="s">
        <v>11</v>
      </c>
      <c r="G829" t="s">
        <v>29</v>
      </c>
      <c r="H829" t="s">
        <v>2801</v>
      </c>
      <c r="I829" t="s">
        <v>2895</v>
      </c>
      <c r="J829" t="str">
        <f>IF(ISNUMBER(MATCH($D829,'Lopettaneet 2013-&gt;'!$D:$D,0)),INDEX('Lopettaneet 2013-&gt;'!$K:$K,MATCH($D829,'Lopettaneet 2013-&gt;'!$D:$D,0)),"Jatkaa")</f>
        <v>Jatkaa</v>
      </c>
      <c r="K829">
        <f ca="1">IF($J829="Jatkaa",DATEDIF($B829,TODAY(),"Y"),INDEX('Lopettaneet 2013-&gt;'!$L:$L,MATCH($D829,'Lopettaneet 2013-&gt;'!$D:$D,0)))</f>
        <v>4</v>
      </c>
      <c r="L829">
        <v>828</v>
      </c>
    </row>
    <row r="830" spans="1:12" x14ac:dyDescent="0.25">
      <c r="A830" t="s">
        <v>0</v>
      </c>
      <c r="B830" s="1">
        <v>44044</v>
      </c>
      <c r="C830" s="1">
        <v>55153</v>
      </c>
      <c r="D830" s="4" t="s">
        <v>1856</v>
      </c>
      <c r="E830" t="s">
        <v>3</v>
      </c>
      <c r="F830" t="s">
        <v>4</v>
      </c>
      <c r="G830" t="s">
        <v>20</v>
      </c>
      <c r="H830" t="s">
        <v>2771</v>
      </c>
      <c r="I830" t="s">
        <v>2894</v>
      </c>
      <c r="J830" t="str">
        <f>IF(ISNUMBER(MATCH($D830,'Lopettaneet 2013-&gt;'!$D:$D,0)),INDEX('Lopettaneet 2013-&gt;'!$K:$K,MATCH($D830,'Lopettaneet 2013-&gt;'!$D:$D,0)),"Jatkaa")</f>
        <v>Jatkaa</v>
      </c>
      <c r="K830">
        <f ca="1">IF($J830="Jatkaa",DATEDIF($B830,TODAY(),"Y"),INDEX('Lopettaneet 2013-&gt;'!$L:$L,MATCH($D830,'Lopettaneet 2013-&gt;'!$D:$D,0)))</f>
        <v>4</v>
      </c>
      <c r="L830">
        <v>829</v>
      </c>
    </row>
    <row r="831" spans="1:12" x14ac:dyDescent="0.25">
      <c r="A831" t="s">
        <v>0</v>
      </c>
      <c r="B831" s="1">
        <v>44044</v>
      </c>
      <c r="C831" s="1">
        <v>55153</v>
      </c>
      <c r="D831" s="4" t="s">
        <v>1858</v>
      </c>
      <c r="E831" t="s">
        <v>3</v>
      </c>
      <c r="F831" t="s">
        <v>4</v>
      </c>
      <c r="G831" t="s">
        <v>50</v>
      </c>
      <c r="H831" t="s">
        <v>2771</v>
      </c>
      <c r="I831" t="s">
        <v>2894</v>
      </c>
      <c r="J831" t="str">
        <f>IF(ISNUMBER(MATCH($D831,'Lopettaneet 2013-&gt;'!$D:$D,0)),INDEX('Lopettaneet 2013-&gt;'!$K:$K,MATCH($D831,'Lopettaneet 2013-&gt;'!$D:$D,0)),"Jatkaa")</f>
        <v>Jatkaa</v>
      </c>
      <c r="K831">
        <f ca="1">IF($J831="Jatkaa",DATEDIF($B831,TODAY(),"Y"),INDEX('Lopettaneet 2013-&gt;'!$L:$L,MATCH($D831,'Lopettaneet 2013-&gt;'!$D:$D,0)))</f>
        <v>4</v>
      </c>
      <c r="L831">
        <v>830</v>
      </c>
    </row>
    <row r="832" spans="1:12" x14ac:dyDescent="0.25">
      <c r="A832" t="s">
        <v>0</v>
      </c>
      <c r="B832" s="1">
        <v>43983</v>
      </c>
      <c r="C832" s="1">
        <v>45291</v>
      </c>
      <c r="D832" s="4" t="s">
        <v>53</v>
      </c>
      <c r="E832" t="s">
        <v>3</v>
      </c>
      <c r="F832" t="s">
        <v>4</v>
      </c>
      <c r="G832" t="s">
        <v>20</v>
      </c>
      <c r="H832" t="s">
        <v>2763</v>
      </c>
      <c r="I832" t="s">
        <v>2763</v>
      </c>
      <c r="J832" t="str">
        <f>IF(ISNUMBER(MATCH($D832,'Lopettaneet 2013-&gt;'!$D:$D,0)),INDEX('Lopettaneet 2013-&gt;'!$K:$K,MATCH($D832,'Lopettaneet 2013-&gt;'!$D:$D,0)),"Jatkaa")</f>
        <v>Merged</v>
      </c>
      <c r="K832">
        <f ca="1">IF($J832="Jatkaa",DATEDIF($B832,TODAY(),"Y"),INDEX('Lopettaneet 2013-&gt;'!$L:$L,MATCH($D832,'Lopettaneet 2013-&gt;'!$D:$D,0)))</f>
        <v>3</v>
      </c>
      <c r="L832">
        <v>831</v>
      </c>
    </row>
    <row r="833" spans="1:12" x14ac:dyDescent="0.25">
      <c r="A833" t="s">
        <v>0</v>
      </c>
      <c r="B833" s="1">
        <v>43983</v>
      </c>
      <c r="C833" s="1">
        <v>45291</v>
      </c>
      <c r="D833" s="4" t="s">
        <v>55</v>
      </c>
      <c r="E833" t="s">
        <v>3</v>
      </c>
      <c r="F833" t="s">
        <v>4</v>
      </c>
      <c r="G833" t="s">
        <v>20</v>
      </c>
      <c r="H833" t="s">
        <v>2763</v>
      </c>
      <c r="I833" t="s">
        <v>2763</v>
      </c>
      <c r="J833" t="str">
        <f>IF(ISNUMBER(MATCH($D833,'Lopettaneet 2013-&gt;'!$D:$D,0)),INDEX('Lopettaneet 2013-&gt;'!$K:$K,MATCH($D833,'Lopettaneet 2013-&gt;'!$D:$D,0)),"Jatkaa")</f>
        <v>Merged</v>
      </c>
      <c r="K833">
        <f ca="1">IF($J833="Jatkaa",DATEDIF($B833,TODAY(),"Y"),INDEX('Lopettaneet 2013-&gt;'!$L:$L,MATCH($D833,'Lopettaneet 2013-&gt;'!$D:$D,0)))</f>
        <v>3</v>
      </c>
      <c r="L833">
        <v>832</v>
      </c>
    </row>
    <row r="834" spans="1:12" x14ac:dyDescent="0.25">
      <c r="A834" t="s">
        <v>0</v>
      </c>
      <c r="B834" s="1">
        <v>44044</v>
      </c>
      <c r="C834" s="1">
        <v>45291</v>
      </c>
      <c r="D834" s="4" t="s">
        <v>57</v>
      </c>
      <c r="E834" t="s">
        <v>3</v>
      </c>
      <c r="F834" t="s">
        <v>4</v>
      </c>
      <c r="G834" t="s">
        <v>20</v>
      </c>
      <c r="H834" t="s">
        <v>2763</v>
      </c>
      <c r="I834" t="s">
        <v>2763</v>
      </c>
      <c r="J834" t="str">
        <f>IF(ISNUMBER(MATCH($D834,'Lopettaneet 2013-&gt;'!$D:$D,0)),INDEX('Lopettaneet 2013-&gt;'!$K:$K,MATCH($D834,'Lopettaneet 2013-&gt;'!$D:$D,0)),"Jatkaa")</f>
        <v>Merged</v>
      </c>
      <c r="K834">
        <f ca="1">IF($J834="Jatkaa",DATEDIF($B834,TODAY(),"Y"),INDEX('Lopettaneet 2013-&gt;'!$L:$L,MATCH($D834,'Lopettaneet 2013-&gt;'!$D:$D,0)))</f>
        <v>3</v>
      </c>
      <c r="L834">
        <v>833</v>
      </c>
    </row>
    <row r="835" spans="1:12" x14ac:dyDescent="0.25">
      <c r="A835" t="s">
        <v>0</v>
      </c>
      <c r="B835" s="1">
        <v>44044</v>
      </c>
      <c r="C835" s="1">
        <v>45291</v>
      </c>
      <c r="D835" s="4" t="s">
        <v>59</v>
      </c>
      <c r="E835" t="s">
        <v>3</v>
      </c>
      <c r="F835" t="s">
        <v>4</v>
      </c>
      <c r="G835" t="s">
        <v>20</v>
      </c>
      <c r="H835" t="s">
        <v>2763</v>
      </c>
      <c r="I835" t="s">
        <v>2763</v>
      </c>
      <c r="J835" t="str">
        <f>IF(ISNUMBER(MATCH($D835,'Lopettaneet 2013-&gt;'!$D:$D,0)),INDEX('Lopettaneet 2013-&gt;'!$K:$K,MATCH($D835,'Lopettaneet 2013-&gt;'!$D:$D,0)),"Jatkaa")</f>
        <v>Merged</v>
      </c>
      <c r="K835">
        <f ca="1">IF($J835="Jatkaa",DATEDIF($B835,TODAY(),"Y"),INDEX('Lopettaneet 2013-&gt;'!$L:$L,MATCH($D835,'Lopettaneet 2013-&gt;'!$D:$D,0)))</f>
        <v>3</v>
      </c>
      <c r="L835">
        <v>834</v>
      </c>
    </row>
    <row r="836" spans="1:12" x14ac:dyDescent="0.25">
      <c r="A836" t="s">
        <v>0</v>
      </c>
      <c r="B836" s="1">
        <v>44044</v>
      </c>
      <c r="C836" s="1">
        <v>55153</v>
      </c>
      <c r="D836" s="4" t="s">
        <v>1860</v>
      </c>
      <c r="E836" t="s">
        <v>3</v>
      </c>
      <c r="F836" t="s">
        <v>4</v>
      </c>
      <c r="G836" t="s">
        <v>20</v>
      </c>
      <c r="H836" t="s">
        <v>2764</v>
      </c>
      <c r="I836" t="s">
        <v>2894</v>
      </c>
      <c r="J836" t="str">
        <f>IF(ISNUMBER(MATCH($D836,'Lopettaneet 2013-&gt;'!$D:$D,0)),INDEX('Lopettaneet 2013-&gt;'!$K:$K,MATCH($D836,'Lopettaneet 2013-&gt;'!$D:$D,0)),"Jatkaa")</f>
        <v>Jatkaa</v>
      </c>
      <c r="K836">
        <f ca="1">IF($J836="Jatkaa",DATEDIF($B836,TODAY(),"Y"),INDEX('Lopettaneet 2013-&gt;'!$L:$L,MATCH($D836,'Lopettaneet 2013-&gt;'!$D:$D,0)))</f>
        <v>4</v>
      </c>
      <c r="L836">
        <v>835</v>
      </c>
    </row>
    <row r="837" spans="1:12" x14ac:dyDescent="0.25">
      <c r="A837" t="s">
        <v>0</v>
      </c>
      <c r="B837" s="1">
        <v>44287</v>
      </c>
      <c r="C837" s="1">
        <v>44926</v>
      </c>
      <c r="D837" s="4" t="s">
        <v>1862</v>
      </c>
      <c r="E837" t="s">
        <v>3</v>
      </c>
      <c r="F837" t="s">
        <v>4</v>
      </c>
      <c r="G837" t="s">
        <v>20</v>
      </c>
      <c r="H837" t="s">
        <v>2763</v>
      </c>
      <c r="I837" t="s">
        <v>2763</v>
      </c>
      <c r="J837" t="str">
        <f>IF(ISNUMBER(MATCH($D837,'Lopettaneet 2013-&gt;'!$D:$D,0)),INDEX('Lopettaneet 2013-&gt;'!$K:$K,MATCH($D837,'Lopettaneet 2013-&gt;'!$D:$D,0)),"Jatkaa")</f>
        <v>Merged</v>
      </c>
      <c r="K837">
        <f ca="1">IF($J837="Jatkaa",DATEDIF($B837,TODAY(),"Y"),INDEX('Lopettaneet 2013-&gt;'!$L:$L,MATCH($D837,'Lopettaneet 2013-&gt;'!$D:$D,0)))</f>
        <v>1</v>
      </c>
      <c r="L837">
        <v>836</v>
      </c>
    </row>
    <row r="838" spans="1:12" x14ac:dyDescent="0.25">
      <c r="A838" t="s">
        <v>0</v>
      </c>
      <c r="B838" s="1">
        <v>44105</v>
      </c>
      <c r="C838" s="1">
        <v>44926</v>
      </c>
      <c r="D838" s="4" t="s">
        <v>1864</v>
      </c>
      <c r="E838" t="s">
        <v>3</v>
      </c>
      <c r="F838" t="s">
        <v>4</v>
      </c>
      <c r="G838" t="s">
        <v>20</v>
      </c>
      <c r="H838" t="s">
        <v>2763</v>
      </c>
      <c r="I838" t="s">
        <v>2763</v>
      </c>
      <c r="J838" t="str">
        <f>IF(ISNUMBER(MATCH($D838,'Lopettaneet 2013-&gt;'!$D:$D,0)),INDEX('Lopettaneet 2013-&gt;'!$K:$K,MATCH($D838,'Lopettaneet 2013-&gt;'!$D:$D,0)),"Jatkaa")</f>
        <v>Merged</v>
      </c>
      <c r="K838">
        <f ca="1">IF($J838="Jatkaa",DATEDIF($B838,TODAY(),"Y"),INDEX('Lopettaneet 2013-&gt;'!$L:$L,MATCH($D838,'Lopettaneet 2013-&gt;'!$D:$D,0)))</f>
        <v>2</v>
      </c>
      <c r="L838">
        <v>837</v>
      </c>
    </row>
    <row r="839" spans="1:12" x14ac:dyDescent="0.25">
      <c r="A839" t="s">
        <v>0</v>
      </c>
      <c r="B839" s="1">
        <v>44075</v>
      </c>
      <c r="C839" s="1">
        <v>55153</v>
      </c>
      <c r="D839" s="4" t="s">
        <v>1866</v>
      </c>
      <c r="E839" t="s">
        <v>3</v>
      </c>
      <c r="F839" t="s">
        <v>4</v>
      </c>
      <c r="G839" t="s">
        <v>50</v>
      </c>
      <c r="H839" t="s">
        <v>2802</v>
      </c>
      <c r="I839" t="s">
        <v>2894</v>
      </c>
      <c r="J839" t="str">
        <f>IF(ISNUMBER(MATCH($D839,'Lopettaneet 2013-&gt;'!$D:$D,0)),INDEX('Lopettaneet 2013-&gt;'!$K:$K,MATCH($D839,'Lopettaneet 2013-&gt;'!$D:$D,0)),"Jatkaa")</f>
        <v>Jatkaa</v>
      </c>
      <c r="K839">
        <f ca="1">IF($J839="Jatkaa",DATEDIF($B839,TODAY(),"Y"),INDEX('Lopettaneet 2013-&gt;'!$L:$L,MATCH($D839,'Lopettaneet 2013-&gt;'!$D:$D,0)))</f>
        <v>4</v>
      </c>
      <c r="L839">
        <v>838</v>
      </c>
    </row>
    <row r="840" spans="1:12" x14ac:dyDescent="0.25">
      <c r="A840" t="s">
        <v>7</v>
      </c>
      <c r="B840" s="1">
        <v>44075</v>
      </c>
      <c r="C840" s="1">
        <v>55153</v>
      </c>
      <c r="D840" s="4" t="s">
        <v>1868</v>
      </c>
      <c r="E840" t="s">
        <v>10</v>
      </c>
      <c r="F840" t="s">
        <v>11</v>
      </c>
      <c r="G840" t="s">
        <v>12</v>
      </c>
      <c r="H840" t="s">
        <v>2847</v>
      </c>
      <c r="I840" t="s">
        <v>2894</v>
      </c>
      <c r="J840" t="str">
        <f>IF(ISNUMBER(MATCH($D840,'Lopettaneet 2013-&gt;'!$D:$D,0)),INDEX('Lopettaneet 2013-&gt;'!$K:$K,MATCH($D840,'Lopettaneet 2013-&gt;'!$D:$D,0)),"Jatkaa")</f>
        <v>Jatkaa</v>
      </c>
      <c r="K840">
        <f ca="1">IF($J840="Jatkaa",DATEDIF($B840,TODAY(),"Y"),INDEX('Lopettaneet 2013-&gt;'!$L:$L,MATCH($D840,'Lopettaneet 2013-&gt;'!$D:$D,0)))</f>
        <v>4</v>
      </c>
      <c r="L840">
        <v>839</v>
      </c>
    </row>
    <row r="841" spans="1:12" x14ac:dyDescent="0.25">
      <c r="A841" t="s">
        <v>0</v>
      </c>
      <c r="B841" s="1">
        <v>44228</v>
      </c>
      <c r="C841" s="1">
        <v>55153</v>
      </c>
      <c r="D841" s="4" t="s">
        <v>1870</v>
      </c>
      <c r="E841" t="s">
        <v>3</v>
      </c>
      <c r="F841" t="s">
        <v>4</v>
      </c>
      <c r="G841" t="s">
        <v>50</v>
      </c>
      <c r="H841" t="s">
        <v>2771</v>
      </c>
      <c r="I841" t="s">
        <v>2894</v>
      </c>
      <c r="J841" t="str">
        <f>IF(ISNUMBER(MATCH($D841,'Lopettaneet 2013-&gt;'!$D:$D,0)),INDEX('Lopettaneet 2013-&gt;'!$K:$K,MATCH($D841,'Lopettaneet 2013-&gt;'!$D:$D,0)),"Jatkaa")</f>
        <v>Jatkaa</v>
      </c>
      <c r="K841">
        <f ca="1">IF($J841="Jatkaa",DATEDIF($B841,TODAY(),"Y"),INDEX('Lopettaneet 2013-&gt;'!$L:$L,MATCH($D841,'Lopettaneet 2013-&gt;'!$D:$D,0)))</f>
        <v>4</v>
      </c>
      <c r="L841">
        <v>840</v>
      </c>
    </row>
    <row r="842" spans="1:12" x14ac:dyDescent="0.25">
      <c r="A842" t="s">
        <v>7</v>
      </c>
      <c r="B842" s="1">
        <v>44075</v>
      </c>
      <c r="C842" s="1">
        <v>55153</v>
      </c>
      <c r="D842" s="4" t="s">
        <v>1872</v>
      </c>
      <c r="E842" t="s">
        <v>10</v>
      </c>
      <c r="F842" t="s">
        <v>11</v>
      </c>
      <c r="G842" t="s">
        <v>47</v>
      </c>
      <c r="H842" t="s">
        <v>2870</v>
      </c>
      <c r="I842" t="s">
        <v>2895</v>
      </c>
      <c r="J842" t="str">
        <f>IF(ISNUMBER(MATCH($D842,'Lopettaneet 2013-&gt;'!$D:$D,0)),INDEX('Lopettaneet 2013-&gt;'!$K:$K,MATCH($D842,'Lopettaneet 2013-&gt;'!$D:$D,0)),"Jatkaa")</f>
        <v>Jatkaa</v>
      </c>
      <c r="K842">
        <f ca="1">IF($J842="Jatkaa",DATEDIF($B842,TODAY(),"Y"),INDEX('Lopettaneet 2013-&gt;'!$L:$L,MATCH($D842,'Lopettaneet 2013-&gt;'!$D:$D,0)))</f>
        <v>4</v>
      </c>
      <c r="L842">
        <v>841</v>
      </c>
    </row>
    <row r="843" spans="1:12" x14ac:dyDescent="0.25">
      <c r="A843" t="s">
        <v>7</v>
      </c>
      <c r="B843" s="1">
        <v>44256</v>
      </c>
      <c r="C843" s="1">
        <v>55153</v>
      </c>
      <c r="D843" s="4" t="s">
        <v>1874</v>
      </c>
      <c r="E843" t="s">
        <v>10</v>
      </c>
      <c r="F843" t="s">
        <v>11</v>
      </c>
      <c r="G843" t="s">
        <v>29</v>
      </c>
      <c r="H843" t="s">
        <v>2847</v>
      </c>
      <c r="I843" t="s">
        <v>2895</v>
      </c>
      <c r="J843" t="str">
        <f>IF(ISNUMBER(MATCH($D843,'Lopettaneet 2013-&gt;'!$D:$D,0)),INDEX('Lopettaneet 2013-&gt;'!$K:$K,MATCH($D843,'Lopettaneet 2013-&gt;'!$D:$D,0)),"Jatkaa")</f>
        <v>Jatkaa</v>
      </c>
      <c r="K843">
        <f ca="1">IF($J843="Jatkaa",DATEDIF($B843,TODAY(),"Y"),INDEX('Lopettaneet 2013-&gt;'!$L:$L,MATCH($D843,'Lopettaneet 2013-&gt;'!$D:$D,0)))</f>
        <v>4</v>
      </c>
      <c r="L843">
        <v>842</v>
      </c>
    </row>
    <row r="844" spans="1:12" x14ac:dyDescent="0.25">
      <c r="A844" t="s">
        <v>7</v>
      </c>
      <c r="B844" s="1">
        <v>44075</v>
      </c>
      <c r="C844" s="1">
        <v>55153</v>
      </c>
      <c r="D844" s="4" t="s">
        <v>1876</v>
      </c>
      <c r="E844" t="s">
        <v>10</v>
      </c>
      <c r="F844" t="s">
        <v>11</v>
      </c>
      <c r="G844" t="s">
        <v>29</v>
      </c>
      <c r="H844" t="s">
        <v>2802</v>
      </c>
      <c r="I844" t="s">
        <v>2895</v>
      </c>
      <c r="J844" t="str">
        <f>IF(ISNUMBER(MATCH($D844,'Lopettaneet 2013-&gt;'!$D:$D,0)),INDEX('Lopettaneet 2013-&gt;'!$K:$K,MATCH($D844,'Lopettaneet 2013-&gt;'!$D:$D,0)),"Jatkaa")</f>
        <v>Jatkaa</v>
      </c>
      <c r="K844">
        <f ca="1">IF($J844="Jatkaa",DATEDIF($B844,TODAY(),"Y"),INDEX('Lopettaneet 2013-&gt;'!$L:$L,MATCH($D844,'Lopettaneet 2013-&gt;'!$D:$D,0)))</f>
        <v>4</v>
      </c>
      <c r="L844">
        <v>843</v>
      </c>
    </row>
    <row r="845" spans="1:12" x14ac:dyDescent="0.25">
      <c r="A845" t="s">
        <v>0</v>
      </c>
      <c r="B845" s="1">
        <v>44044</v>
      </c>
      <c r="C845" s="1">
        <v>55153</v>
      </c>
      <c r="D845" s="4" t="s">
        <v>1878</v>
      </c>
      <c r="E845" t="s">
        <v>10</v>
      </c>
      <c r="F845" t="s">
        <v>4</v>
      </c>
      <c r="G845" t="s">
        <v>29</v>
      </c>
      <c r="H845" t="s">
        <v>2764</v>
      </c>
      <c r="I845" t="s">
        <v>2894</v>
      </c>
      <c r="J845" t="str">
        <f>IF(ISNUMBER(MATCH($D845,'Lopettaneet 2013-&gt;'!$D:$D,0)),INDEX('Lopettaneet 2013-&gt;'!$K:$K,MATCH($D845,'Lopettaneet 2013-&gt;'!$D:$D,0)),"Jatkaa")</f>
        <v>Jatkaa</v>
      </c>
      <c r="K845">
        <f ca="1">IF($J845="Jatkaa",DATEDIF($B845,TODAY(),"Y"),INDEX('Lopettaneet 2013-&gt;'!$L:$L,MATCH($D845,'Lopettaneet 2013-&gt;'!$D:$D,0)))</f>
        <v>4</v>
      </c>
      <c r="L845">
        <v>844</v>
      </c>
    </row>
    <row r="846" spans="1:12" x14ac:dyDescent="0.25">
      <c r="A846" t="s">
        <v>0</v>
      </c>
      <c r="B846" s="1">
        <v>44287</v>
      </c>
      <c r="C846" s="1">
        <v>55153</v>
      </c>
      <c r="D846" s="4" t="s">
        <v>1880</v>
      </c>
      <c r="E846" t="s">
        <v>10</v>
      </c>
      <c r="F846" t="s">
        <v>11</v>
      </c>
      <c r="G846" t="s">
        <v>29</v>
      </c>
      <c r="H846" t="s">
        <v>2766</v>
      </c>
      <c r="I846" t="s">
        <v>2895</v>
      </c>
      <c r="J846" t="str">
        <f>IF(ISNUMBER(MATCH($D846,'Lopettaneet 2013-&gt;'!$D:$D,0)),INDEX('Lopettaneet 2013-&gt;'!$K:$K,MATCH($D846,'Lopettaneet 2013-&gt;'!$D:$D,0)),"Jatkaa")</f>
        <v>Jatkaa</v>
      </c>
      <c r="K846">
        <f ca="1">IF($J846="Jatkaa",DATEDIF($B846,TODAY(),"Y"),INDEX('Lopettaneet 2013-&gt;'!$L:$L,MATCH($D846,'Lopettaneet 2013-&gt;'!$D:$D,0)))</f>
        <v>4</v>
      </c>
      <c r="L846">
        <v>845</v>
      </c>
    </row>
    <row r="847" spans="1:12" x14ac:dyDescent="0.25">
      <c r="A847" t="s">
        <v>7</v>
      </c>
      <c r="B847" s="1">
        <v>42339</v>
      </c>
      <c r="C847" s="1">
        <v>44196</v>
      </c>
      <c r="D847" s="4" t="s">
        <v>1882</v>
      </c>
      <c r="E847" t="s">
        <v>10</v>
      </c>
      <c r="F847" t="s">
        <v>11</v>
      </c>
      <c r="G847" t="s">
        <v>32</v>
      </c>
      <c r="H847" t="s">
        <v>2763</v>
      </c>
      <c r="I847" t="s">
        <v>2763</v>
      </c>
      <c r="J847" t="str">
        <f>IF(ISNUMBER(MATCH($D847,'Lopettaneet 2013-&gt;'!$D:$D,0)),INDEX('Lopettaneet 2013-&gt;'!$K:$K,MATCH($D847,'Lopettaneet 2013-&gt;'!$D:$D,0)),"Jatkaa")</f>
        <v>Closed</v>
      </c>
      <c r="K847">
        <f ca="1">IF($J847="Jatkaa",DATEDIF($B847,TODAY(),"Y"),INDEX('Lopettaneet 2013-&gt;'!$L:$L,MATCH($D847,'Lopettaneet 2013-&gt;'!$D:$D,0)))</f>
        <v>5</v>
      </c>
      <c r="L847">
        <v>846</v>
      </c>
    </row>
    <row r="848" spans="1:12" x14ac:dyDescent="0.25">
      <c r="A848" t="s">
        <v>0</v>
      </c>
      <c r="B848" s="1">
        <v>44075</v>
      </c>
      <c r="C848" s="1">
        <v>44712</v>
      </c>
      <c r="D848" s="4" t="s">
        <v>1884</v>
      </c>
      <c r="E848" t="s">
        <v>10</v>
      </c>
      <c r="F848" t="s">
        <v>4</v>
      </c>
      <c r="G848" t="s">
        <v>50</v>
      </c>
      <c r="H848" t="s">
        <v>2763</v>
      </c>
      <c r="I848" t="s">
        <v>2763</v>
      </c>
      <c r="J848" t="str">
        <f>IF(ISNUMBER(MATCH($D848,'Lopettaneet 2013-&gt;'!$D:$D,0)),INDEX('Lopettaneet 2013-&gt;'!$K:$K,MATCH($D848,'Lopettaneet 2013-&gt;'!$D:$D,0)),"Jatkaa")</f>
        <v>Closed</v>
      </c>
      <c r="K848">
        <f ca="1">IF($J848="Jatkaa",DATEDIF($B848,TODAY(),"Y"),INDEX('Lopettaneet 2013-&gt;'!$L:$L,MATCH($D848,'Lopettaneet 2013-&gt;'!$D:$D,0)))</f>
        <v>1</v>
      </c>
      <c r="L848">
        <v>847</v>
      </c>
    </row>
    <row r="849" spans="1:12" x14ac:dyDescent="0.25">
      <c r="A849" t="s">
        <v>0</v>
      </c>
      <c r="B849" s="1">
        <v>44075</v>
      </c>
      <c r="C849" s="1">
        <v>44712</v>
      </c>
      <c r="D849" s="4" t="s">
        <v>1886</v>
      </c>
      <c r="E849" t="s">
        <v>10</v>
      </c>
      <c r="F849" t="s">
        <v>4</v>
      </c>
      <c r="G849" t="s">
        <v>50</v>
      </c>
      <c r="H849" t="s">
        <v>2763</v>
      </c>
      <c r="I849" t="s">
        <v>2763</v>
      </c>
      <c r="J849" t="str">
        <f>IF(ISNUMBER(MATCH($D849,'Lopettaneet 2013-&gt;'!$D:$D,0)),INDEX('Lopettaneet 2013-&gt;'!$K:$K,MATCH($D849,'Lopettaneet 2013-&gt;'!$D:$D,0)),"Jatkaa")</f>
        <v>Closed</v>
      </c>
      <c r="K849">
        <f ca="1">IF($J849="Jatkaa",DATEDIF($B849,TODAY(),"Y"),INDEX('Lopettaneet 2013-&gt;'!$L:$L,MATCH($D849,'Lopettaneet 2013-&gt;'!$D:$D,0)))</f>
        <v>1</v>
      </c>
      <c r="L849">
        <v>848</v>
      </c>
    </row>
    <row r="850" spans="1:12" x14ac:dyDescent="0.25">
      <c r="A850" t="s">
        <v>7</v>
      </c>
      <c r="B850" s="1">
        <v>44075</v>
      </c>
      <c r="C850" s="1">
        <v>55153</v>
      </c>
      <c r="D850" s="4" t="s">
        <v>1888</v>
      </c>
      <c r="E850" t="s">
        <v>10</v>
      </c>
      <c r="F850" t="s">
        <v>11</v>
      </c>
      <c r="G850" t="s">
        <v>29</v>
      </c>
      <c r="H850" t="s">
        <v>2871</v>
      </c>
      <c r="I850" t="s">
        <v>2895</v>
      </c>
      <c r="J850" t="str">
        <f>IF(ISNUMBER(MATCH($D850,'Lopettaneet 2013-&gt;'!$D:$D,0)),INDEX('Lopettaneet 2013-&gt;'!$K:$K,MATCH($D850,'Lopettaneet 2013-&gt;'!$D:$D,0)),"Jatkaa")</f>
        <v>Jatkaa</v>
      </c>
      <c r="K850">
        <f ca="1">IF($J850="Jatkaa",DATEDIF($B850,TODAY(),"Y"),INDEX('Lopettaneet 2013-&gt;'!$L:$L,MATCH($D850,'Lopettaneet 2013-&gt;'!$D:$D,0)))</f>
        <v>4</v>
      </c>
      <c r="L850">
        <v>849</v>
      </c>
    </row>
    <row r="851" spans="1:12" x14ac:dyDescent="0.25">
      <c r="A851" t="s">
        <v>0</v>
      </c>
      <c r="B851" s="1">
        <v>44075</v>
      </c>
      <c r="C851" s="1">
        <v>55153</v>
      </c>
      <c r="D851" s="4" t="s">
        <v>1890</v>
      </c>
      <c r="E851" t="s">
        <v>3</v>
      </c>
      <c r="F851" t="s">
        <v>4</v>
      </c>
      <c r="G851" t="s">
        <v>5</v>
      </c>
      <c r="H851" t="s">
        <v>2776</v>
      </c>
      <c r="I851" t="s">
        <v>2894</v>
      </c>
      <c r="J851" t="str">
        <f>IF(ISNUMBER(MATCH($D851,'Lopettaneet 2013-&gt;'!$D:$D,0)),INDEX('Lopettaneet 2013-&gt;'!$K:$K,MATCH($D851,'Lopettaneet 2013-&gt;'!$D:$D,0)),"Jatkaa")</f>
        <v>Jatkaa</v>
      </c>
      <c r="K851">
        <f ca="1">IF($J851="Jatkaa",DATEDIF($B851,TODAY(),"Y"),INDEX('Lopettaneet 2013-&gt;'!$L:$L,MATCH($D851,'Lopettaneet 2013-&gt;'!$D:$D,0)))</f>
        <v>4</v>
      </c>
      <c r="L851">
        <v>850</v>
      </c>
    </row>
    <row r="852" spans="1:12" x14ac:dyDescent="0.25">
      <c r="A852" t="s">
        <v>0</v>
      </c>
      <c r="B852" s="1">
        <v>44075</v>
      </c>
      <c r="C852" s="1">
        <v>55153</v>
      </c>
      <c r="D852" s="4" t="s">
        <v>1892</v>
      </c>
      <c r="E852" t="s">
        <v>3</v>
      </c>
      <c r="F852" t="s">
        <v>4</v>
      </c>
      <c r="G852" t="s">
        <v>20</v>
      </c>
      <c r="H852" t="s">
        <v>2776</v>
      </c>
      <c r="I852" t="s">
        <v>2894</v>
      </c>
      <c r="J852" t="str">
        <f>IF(ISNUMBER(MATCH($D852,'Lopettaneet 2013-&gt;'!$D:$D,0)),INDEX('Lopettaneet 2013-&gt;'!$K:$K,MATCH($D852,'Lopettaneet 2013-&gt;'!$D:$D,0)),"Jatkaa")</f>
        <v>Jatkaa</v>
      </c>
      <c r="K852">
        <f ca="1">IF($J852="Jatkaa",DATEDIF($B852,TODAY(),"Y"),INDEX('Lopettaneet 2013-&gt;'!$L:$L,MATCH($D852,'Lopettaneet 2013-&gt;'!$D:$D,0)))</f>
        <v>4</v>
      </c>
      <c r="L852">
        <v>851</v>
      </c>
    </row>
    <row r="853" spans="1:12" x14ac:dyDescent="0.25">
      <c r="A853" t="s">
        <v>0</v>
      </c>
      <c r="B853" s="1">
        <v>44075</v>
      </c>
      <c r="C853" s="1">
        <v>44712</v>
      </c>
      <c r="D853" s="4" t="s">
        <v>1894</v>
      </c>
      <c r="E853" t="s">
        <v>10</v>
      </c>
      <c r="F853" t="s">
        <v>4</v>
      </c>
      <c r="G853" t="s">
        <v>20</v>
      </c>
      <c r="H853" t="s">
        <v>2763</v>
      </c>
      <c r="I853" t="s">
        <v>2763</v>
      </c>
      <c r="J853" t="str">
        <f>IF(ISNUMBER(MATCH($D853,'Lopettaneet 2013-&gt;'!$D:$D,0)),INDEX('Lopettaneet 2013-&gt;'!$K:$K,MATCH($D853,'Lopettaneet 2013-&gt;'!$D:$D,0)),"Jatkaa")</f>
        <v>Closed</v>
      </c>
      <c r="K853">
        <f ca="1">IF($J853="Jatkaa",DATEDIF($B853,TODAY(),"Y"),INDEX('Lopettaneet 2013-&gt;'!$L:$L,MATCH($D853,'Lopettaneet 2013-&gt;'!$D:$D,0)))</f>
        <v>1</v>
      </c>
      <c r="L853">
        <v>852</v>
      </c>
    </row>
    <row r="854" spans="1:12" x14ac:dyDescent="0.25">
      <c r="A854" t="s">
        <v>7</v>
      </c>
      <c r="B854" s="1">
        <v>44896</v>
      </c>
      <c r="C854" s="1">
        <v>44926</v>
      </c>
      <c r="D854" s="4" t="s">
        <v>1896</v>
      </c>
      <c r="E854" t="s">
        <v>10</v>
      </c>
      <c r="F854" t="s">
        <v>11</v>
      </c>
      <c r="G854" t="s">
        <v>12</v>
      </c>
      <c r="H854" t="s">
        <v>2763</v>
      </c>
      <c r="I854" t="s">
        <v>2763</v>
      </c>
      <c r="J854" t="str">
        <f>IF(ISNUMBER(MATCH($D854,'Lopettaneet 2013-&gt;'!$D:$D,0)),INDEX('Lopettaneet 2013-&gt;'!$K:$K,MATCH($D854,'Lopettaneet 2013-&gt;'!$D:$D,0)),"Jatkaa")</f>
        <v>Closed</v>
      </c>
      <c r="K854">
        <f ca="1">IF($J854="Jatkaa",DATEDIF($B854,TODAY(),"Y"),INDEX('Lopettaneet 2013-&gt;'!$L:$L,MATCH($D854,'Lopettaneet 2013-&gt;'!$D:$D,0)))</f>
        <v>0</v>
      </c>
      <c r="L854">
        <v>853</v>
      </c>
    </row>
    <row r="855" spans="1:12" x14ac:dyDescent="0.25">
      <c r="A855" t="s">
        <v>7</v>
      </c>
      <c r="B855" s="1">
        <v>44896</v>
      </c>
      <c r="C855" s="1">
        <v>44926</v>
      </c>
      <c r="D855" s="4" t="s">
        <v>1898</v>
      </c>
      <c r="E855" t="s">
        <v>10</v>
      </c>
      <c r="F855" t="s">
        <v>11</v>
      </c>
      <c r="G855" t="s">
        <v>12</v>
      </c>
      <c r="H855" t="s">
        <v>2763</v>
      </c>
      <c r="I855" t="s">
        <v>2763</v>
      </c>
      <c r="J855" t="str">
        <f>IF(ISNUMBER(MATCH($D855,'Lopettaneet 2013-&gt;'!$D:$D,0)),INDEX('Lopettaneet 2013-&gt;'!$K:$K,MATCH($D855,'Lopettaneet 2013-&gt;'!$D:$D,0)),"Jatkaa")</f>
        <v>Closed</v>
      </c>
      <c r="K855">
        <f ca="1">IF($J855="Jatkaa",DATEDIF($B855,TODAY(),"Y"),INDEX('Lopettaneet 2013-&gt;'!$L:$L,MATCH($D855,'Lopettaneet 2013-&gt;'!$D:$D,0)))</f>
        <v>0</v>
      </c>
      <c r="L855">
        <v>854</v>
      </c>
    </row>
    <row r="856" spans="1:12" x14ac:dyDescent="0.25">
      <c r="A856" t="s">
        <v>7</v>
      </c>
      <c r="B856" s="1">
        <v>44348</v>
      </c>
      <c r="C856" s="1">
        <v>55153</v>
      </c>
      <c r="D856" s="4" t="s">
        <v>1900</v>
      </c>
      <c r="E856" t="s">
        <v>10</v>
      </c>
      <c r="F856" t="s">
        <v>11</v>
      </c>
      <c r="G856" t="s">
        <v>80</v>
      </c>
      <c r="H856" t="s">
        <v>2872</v>
      </c>
      <c r="I856" t="s">
        <v>2895</v>
      </c>
      <c r="J856" t="str">
        <f>IF(ISNUMBER(MATCH($D856,'Lopettaneet 2013-&gt;'!$D:$D,0)),INDEX('Lopettaneet 2013-&gt;'!$K:$K,MATCH($D856,'Lopettaneet 2013-&gt;'!$D:$D,0)),"Jatkaa")</f>
        <v>Jatkaa</v>
      </c>
      <c r="K856">
        <f ca="1">IF($J856="Jatkaa",DATEDIF($B856,TODAY(),"Y"),INDEX('Lopettaneet 2013-&gt;'!$L:$L,MATCH($D856,'Lopettaneet 2013-&gt;'!$D:$D,0)))</f>
        <v>3</v>
      </c>
      <c r="L856">
        <v>855</v>
      </c>
    </row>
    <row r="857" spans="1:12" x14ac:dyDescent="0.25">
      <c r="A857" t="s">
        <v>7</v>
      </c>
      <c r="B857" s="1">
        <v>44348</v>
      </c>
      <c r="C857" s="1">
        <v>55153</v>
      </c>
      <c r="D857" s="4" t="s">
        <v>1902</v>
      </c>
      <c r="E857" t="s">
        <v>10</v>
      </c>
      <c r="F857" t="s">
        <v>11</v>
      </c>
      <c r="G857" t="s">
        <v>80</v>
      </c>
      <c r="H857" t="s">
        <v>2872</v>
      </c>
      <c r="I857" t="s">
        <v>2895</v>
      </c>
      <c r="J857" t="str">
        <f>IF(ISNUMBER(MATCH($D857,'Lopettaneet 2013-&gt;'!$D:$D,0)),INDEX('Lopettaneet 2013-&gt;'!$K:$K,MATCH($D857,'Lopettaneet 2013-&gt;'!$D:$D,0)),"Jatkaa")</f>
        <v>Jatkaa</v>
      </c>
      <c r="K857">
        <f ca="1">IF($J857="Jatkaa",DATEDIF($B857,TODAY(),"Y"),INDEX('Lopettaneet 2013-&gt;'!$L:$L,MATCH($D857,'Lopettaneet 2013-&gt;'!$D:$D,0)))</f>
        <v>3</v>
      </c>
      <c r="L857">
        <v>856</v>
      </c>
    </row>
    <row r="858" spans="1:12" x14ac:dyDescent="0.25">
      <c r="A858" t="s">
        <v>7</v>
      </c>
      <c r="B858" s="1">
        <v>44166</v>
      </c>
      <c r="C858" s="1">
        <v>55153</v>
      </c>
      <c r="D858" s="4" t="s">
        <v>1904</v>
      </c>
      <c r="E858" t="s">
        <v>10</v>
      </c>
      <c r="F858" t="s">
        <v>11</v>
      </c>
      <c r="G858" t="s">
        <v>12</v>
      </c>
      <c r="H858" t="s">
        <v>2873</v>
      </c>
      <c r="I858" t="s">
        <v>2895</v>
      </c>
      <c r="J858" t="str">
        <f>IF(ISNUMBER(MATCH($D858,'Lopettaneet 2013-&gt;'!$D:$D,0)),INDEX('Lopettaneet 2013-&gt;'!$K:$K,MATCH($D858,'Lopettaneet 2013-&gt;'!$D:$D,0)),"Jatkaa")</f>
        <v>Jatkaa</v>
      </c>
      <c r="K858">
        <f ca="1">IF($J858="Jatkaa",DATEDIF($B858,TODAY(),"Y"),INDEX('Lopettaneet 2013-&gt;'!$L:$L,MATCH($D858,'Lopettaneet 2013-&gt;'!$D:$D,0)))</f>
        <v>4</v>
      </c>
      <c r="L858">
        <v>857</v>
      </c>
    </row>
    <row r="859" spans="1:12" x14ac:dyDescent="0.25">
      <c r="A859" t="s">
        <v>0</v>
      </c>
      <c r="B859" s="1">
        <v>44166</v>
      </c>
      <c r="C859" s="1">
        <v>55153</v>
      </c>
      <c r="D859" s="4" t="s">
        <v>1906</v>
      </c>
      <c r="E859" t="s">
        <v>10</v>
      </c>
      <c r="F859" t="s">
        <v>4</v>
      </c>
      <c r="G859" t="s">
        <v>20</v>
      </c>
      <c r="H859" t="s">
        <v>2802</v>
      </c>
      <c r="I859" t="s">
        <v>2894</v>
      </c>
      <c r="J859" t="str">
        <f>IF(ISNUMBER(MATCH($D859,'Lopettaneet 2013-&gt;'!$D:$D,0)),INDEX('Lopettaneet 2013-&gt;'!$K:$K,MATCH($D859,'Lopettaneet 2013-&gt;'!$D:$D,0)),"Jatkaa")</f>
        <v>Jatkaa</v>
      </c>
      <c r="K859">
        <f ca="1">IF($J859="Jatkaa",DATEDIF($B859,TODAY(),"Y"),INDEX('Lopettaneet 2013-&gt;'!$L:$L,MATCH($D859,'Lopettaneet 2013-&gt;'!$D:$D,0)))</f>
        <v>4</v>
      </c>
      <c r="L859">
        <v>858</v>
      </c>
    </row>
    <row r="860" spans="1:12" x14ac:dyDescent="0.25">
      <c r="A860" t="s">
        <v>0</v>
      </c>
      <c r="B860" s="1">
        <v>44166</v>
      </c>
      <c r="C860" s="1">
        <v>55153</v>
      </c>
      <c r="D860" s="4" t="s">
        <v>1908</v>
      </c>
      <c r="E860" t="s">
        <v>10</v>
      </c>
      <c r="F860" t="s">
        <v>4</v>
      </c>
      <c r="G860" t="s">
        <v>32</v>
      </c>
      <c r="H860" t="s">
        <v>2774</v>
      </c>
      <c r="I860" t="s">
        <v>2894</v>
      </c>
      <c r="J860" t="str">
        <f>IF(ISNUMBER(MATCH($D860,'Lopettaneet 2013-&gt;'!$D:$D,0)),INDEX('Lopettaneet 2013-&gt;'!$K:$K,MATCH($D860,'Lopettaneet 2013-&gt;'!$D:$D,0)),"Jatkaa")</f>
        <v>Jatkaa</v>
      </c>
      <c r="K860">
        <f ca="1">IF($J860="Jatkaa",DATEDIF($B860,TODAY(),"Y"),INDEX('Lopettaneet 2013-&gt;'!$L:$L,MATCH($D860,'Lopettaneet 2013-&gt;'!$D:$D,0)))</f>
        <v>4</v>
      </c>
      <c r="L860">
        <v>859</v>
      </c>
    </row>
    <row r="861" spans="1:12" x14ac:dyDescent="0.25">
      <c r="A861" t="s">
        <v>7</v>
      </c>
      <c r="B861" s="1">
        <v>44166</v>
      </c>
      <c r="C861" s="1">
        <v>55153</v>
      </c>
      <c r="D861" s="4" t="s">
        <v>1910</v>
      </c>
      <c r="E861" t="s">
        <v>10</v>
      </c>
      <c r="F861" t="s">
        <v>11</v>
      </c>
      <c r="G861" t="s">
        <v>32</v>
      </c>
      <c r="H861" t="s">
        <v>2805</v>
      </c>
      <c r="I861" t="s">
        <v>2894</v>
      </c>
      <c r="J861" t="str">
        <f>IF(ISNUMBER(MATCH($D861,'Lopettaneet 2013-&gt;'!$D:$D,0)),INDEX('Lopettaneet 2013-&gt;'!$K:$K,MATCH($D861,'Lopettaneet 2013-&gt;'!$D:$D,0)),"Jatkaa")</f>
        <v>Jatkaa</v>
      </c>
      <c r="K861">
        <f ca="1">IF($J861="Jatkaa",DATEDIF($B861,TODAY(),"Y"),INDEX('Lopettaneet 2013-&gt;'!$L:$L,MATCH($D861,'Lopettaneet 2013-&gt;'!$D:$D,0)))</f>
        <v>4</v>
      </c>
      <c r="L861">
        <v>860</v>
      </c>
    </row>
    <row r="862" spans="1:12" x14ac:dyDescent="0.25">
      <c r="A862" t="s">
        <v>7</v>
      </c>
      <c r="B862" s="1">
        <v>44166</v>
      </c>
      <c r="C862" s="1">
        <v>55153</v>
      </c>
      <c r="D862" s="4" t="s">
        <v>1912</v>
      </c>
      <c r="E862" t="s">
        <v>10</v>
      </c>
      <c r="F862" t="s">
        <v>11</v>
      </c>
      <c r="G862" t="s">
        <v>32</v>
      </c>
      <c r="H862" t="s">
        <v>2805</v>
      </c>
      <c r="I862" t="s">
        <v>2894</v>
      </c>
      <c r="J862" t="str">
        <f>IF(ISNUMBER(MATCH($D862,'Lopettaneet 2013-&gt;'!$D:$D,0)),INDEX('Lopettaneet 2013-&gt;'!$K:$K,MATCH($D862,'Lopettaneet 2013-&gt;'!$D:$D,0)),"Jatkaa")</f>
        <v>Jatkaa</v>
      </c>
      <c r="K862">
        <f ca="1">IF($J862="Jatkaa",DATEDIF($B862,TODAY(),"Y"),INDEX('Lopettaneet 2013-&gt;'!$L:$L,MATCH($D862,'Lopettaneet 2013-&gt;'!$D:$D,0)))</f>
        <v>4</v>
      </c>
      <c r="L862">
        <v>861</v>
      </c>
    </row>
    <row r="863" spans="1:12" x14ac:dyDescent="0.25">
      <c r="A863" t="s">
        <v>0</v>
      </c>
      <c r="B863" s="1">
        <v>44136</v>
      </c>
      <c r="C863" s="1">
        <v>55153</v>
      </c>
      <c r="D863" s="4" t="s">
        <v>1914</v>
      </c>
      <c r="E863" t="s">
        <v>10</v>
      </c>
      <c r="F863" t="s">
        <v>4</v>
      </c>
      <c r="G863" t="s">
        <v>5</v>
      </c>
      <c r="H863" t="s">
        <v>2844</v>
      </c>
      <c r="I863" t="s">
        <v>2894</v>
      </c>
      <c r="J863" t="str">
        <f>IF(ISNUMBER(MATCH($D863,'Lopettaneet 2013-&gt;'!$D:$D,0)),INDEX('Lopettaneet 2013-&gt;'!$K:$K,MATCH($D863,'Lopettaneet 2013-&gt;'!$D:$D,0)),"Jatkaa")</f>
        <v>Jatkaa</v>
      </c>
      <c r="K863">
        <f ca="1">IF($J863="Jatkaa",DATEDIF($B863,TODAY(),"Y"),INDEX('Lopettaneet 2013-&gt;'!$L:$L,MATCH($D863,'Lopettaneet 2013-&gt;'!$D:$D,0)))</f>
        <v>4</v>
      </c>
      <c r="L863">
        <v>862</v>
      </c>
    </row>
    <row r="864" spans="1:12" x14ac:dyDescent="0.25">
      <c r="A864" t="s">
        <v>0</v>
      </c>
      <c r="B864" s="1">
        <v>44136</v>
      </c>
      <c r="C864" s="1">
        <v>55153</v>
      </c>
      <c r="D864" s="4" t="s">
        <v>1916</v>
      </c>
      <c r="E864" t="s">
        <v>10</v>
      </c>
      <c r="F864" t="s">
        <v>4</v>
      </c>
      <c r="G864" t="s">
        <v>20</v>
      </c>
      <c r="H864" t="s">
        <v>2844</v>
      </c>
      <c r="I864" t="s">
        <v>2894</v>
      </c>
      <c r="J864" t="str">
        <f>IF(ISNUMBER(MATCH($D864,'Lopettaneet 2013-&gt;'!$D:$D,0)),INDEX('Lopettaneet 2013-&gt;'!$K:$K,MATCH($D864,'Lopettaneet 2013-&gt;'!$D:$D,0)),"Jatkaa")</f>
        <v>Jatkaa</v>
      </c>
      <c r="K864">
        <f ca="1">IF($J864="Jatkaa",DATEDIF($B864,TODAY(),"Y"),INDEX('Lopettaneet 2013-&gt;'!$L:$L,MATCH($D864,'Lopettaneet 2013-&gt;'!$D:$D,0)))</f>
        <v>4</v>
      </c>
      <c r="L864">
        <v>863</v>
      </c>
    </row>
    <row r="865" spans="1:12" x14ac:dyDescent="0.25">
      <c r="A865" t="s">
        <v>7</v>
      </c>
      <c r="B865" s="1">
        <v>44348</v>
      </c>
      <c r="C865" s="1">
        <v>55153</v>
      </c>
      <c r="D865" s="4" t="s">
        <v>1918</v>
      </c>
      <c r="E865" t="s">
        <v>10</v>
      </c>
      <c r="F865" t="s">
        <v>11</v>
      </c>
      <c r="G865" t="s">
        <v>29</v>
      </c>
      <c r="H865" t="s">
        <v>2771</v>
      </c>
      <c r="I865" t="s">
        <v>2894</v>
      </c>
      <c r="J865" t="str">
        <f>IF(ISNUMBER(MATCH($D865,'Lopettaneet 2013-&gt;'!$D:$D,0)),INDEX('Lopettaneet 2013-&gt;'!$K:$K,MATCH($D865,'Lopettaneet 2013-&gt;'!$D:$D,0)),"Jatkaa")</f>
        <v>Jatkaa</v>
      </c>
      <c r="K865">
        <f ca="1">IF($J865="Jatkaa",DATEDIF($B865,TODAY(),"Y"),INDEX('Lopettaneet 2013-&gt;'!$L:$L,MATCH($D865,'Lopettaneet 2013-&gt;'!$D:$D,0)))</f>
        <v>3</v>
      </c>
      <c r="L865">
        <v>864</v>
      </c>
    </row>
    <row r="866" spans="1:12" x14ac:dyDescent="0.25">
      <c r="A866" t="s">
        <v>7</v>
      </c>
      <c r="B866" s="1">
        <v>44348</v>
      </c>
      <c r="C866" s="1">
        <v>55153</v>
      </c>
      <c r="D866" s="4" t="s">
        <v>1920</v>
      </c>
      <c r="E866" t="s">
        <v>10</v>
      </c>
      <c r="F866" t="s">
        <v>11</v>
      </c>
      <c r="G866" t="s">
        <v>29</v>
      </c>
      <c r="H866" t="s">
        <v>2771</v>
      </c>
      <c r="I866" t="s">
        <v>2894</v>
      </c>
      <c r="J866" t="str">
        <f>IF(ISNUMBER(MATCH($D866,'Lopettaneet 2013-&gt;'!$D:$D,0)),INDEX('Lopettaneet 2013-&gt;'!$K:$K,MATCH($D866,'Lopettaneet 2013-&gt;'!$D:$D,0)),"Jatkaa")</f>
        <v>Jatkaa</v>
      </c>
      <c r="K866">
        <f ca="1">IF($J866="Jatkaa",DATEDIF($B866,TODAY(),"Y"),INDEX('Lopettaneet 2013-&gt;'!$L:$L,MATCH($D866,'Lopettaneet 2013-&gt;'!$D:$D,0)))</f>
        <v>3</v>
      </c>
      <c r="L866">
        <v>865</v>
      </c>
    </row>
    <row r="867" spans="1:12" x14ac:dyDescent="0.25">
      <c r="A867" t="s">
        <v>7</v>
      </c>
      <c r="B867" s="1">
        <v>44256</v>
      </c>
      <c r="C867" s="1">
        <v>55153</v>
      </c>
      <c r="D867" s="4" t="s">
        <v>1922</v>
      </c>
      <c r="E867" t="s">
        <v>10</v>
      </c>
      <c r="F867" t="s">
        <v>11</v>
      </c>
      <c r="G867" t="s">
        <v>80</v>
      </c>
      <c r="H867" t="s">
        <v>2850</v>
      </c>
      <c r="I867" t="s">
        <v>2894</v>
      </c>
      <c r="J867" t="str">
        <f>IF(ISNUMBER(MATCH($D867,'Lopettaneet 2013-&gt;'!$D:$D,0)),INDEX('Lopettaneet 2013-&gt;'!$K:$K,MATCH($D867,'Lopettaneet 2013-&gt;'!$D:$D,0)),"Jatkaa")</f>
        <v>Jatkaa</v>
      </c>
      <c r="K867">
        <f ca="1">IF($J867="Jatkaa",DATEDIF($B867,TODAY(),"Y"),INDEX('Lopettaneet 2013-&gt;'!$L:$L,MATCH($D867,'Lopettaneet 2013-&gt;'!$D:$D,0)))</f>
        <v>4</v>
      </c>
      <c r="L867">
        <v>866</v>
      </c>
    </row>
    <row r="868" spans="1:12" x14ac:dyDescent="0.25">
      <c r="A868" t="s">
        <v>0</v>
      </c>
      <c r="B868" s="1">
        <v>44197</v>
      </c>
      <c r="C868" s="1">
        <v>44804</v>
      </c>
      <c r="D868" s="4" t="s">
        <v>1924</v>
      </c>
      <c r="E868" t="s">
        <v>10</v>
      </c>
      <c r="F868" t="s">
        <v>4</v>
      </c>
      <c r="G868" t="s">
        <v>47</v>
      </c>
      <c r="H868" t="s">
        <v>2763</v>
      </c>
      <c r="I868" t="s">
        <v>2763</v>
      </c>
      <c r="J868" t="str">
        <f>IF(ISNUMBER(MATCH($D868,'Lopettaneet 2013-&gt;'!$D:$D,0)),INDEX('Lopettaneet 2013-&gt;'!$K:$K,MATCH($D868,'Lopettaneet 2013-&gt;'!$D:$D,0)),"Jatkaa")</f>
        <v>Closed</v>
      </c>
      <c r="K868">
        <f ca="1">IF($J868="Jatkaa",DATEDIF($B868,TODAY(),"Y"),INDEX('Lopettaneet 2013-&gt;'!$L:$L,MATCH($D868,'Lopettaneet 2013-&gt;'!$D:$D,0)))</f>
        <v>1</v>
      </c>
      <c r="L868">
        <v>867</v>
      </c>
    </row>
    <row r="869" spans="1:12" x14ac:dyDescent="0.25">
      <c r="A869" t="s">
        <v>7</v>
      </c>
      <c r="B869" s="1">
        <v>44256</v>
      </c>
      <c r="C869" s="1">
        <v>55153</v>
      </c>
      <c r="D869" s="4" t="s">
        <v>1926</v>
      </c>
      <c r="E869" t="s">
        <v>10</v>
      </c>
      <c r="F869" t="s">
        <v>11</v>
      </c>
      <c r="G869" t="s">
        <v>80</v>
      </c>
      <c r="H869" t="s">
        <v>2820</v>
      </c>
      <c r="I869" t="s">
        <v>2895</v>
      </c>
      <c r="J869" t="str">
        <f>IF(ISNUMBER(MATCH($D869,'Lopettaneet 2013-&gt;'!$D:$D,0)),INDEX('Lopettaneet 2013-&gt;'!$K:$K,MATCH($D869,'Lopettaneet 2013-&gt;'!$D:$D,0)),"Jatkaa")</f>
        <v>Jatkaa</v>
      </c>
      <c r="K869">
        <f ca="1">IF($J869="Jatkaa",DATEDIF($B869,TODAY(),"Y"),INDEX('Lopettaneet 2013-&gt;'!$L:$L,MATCH($D869,'Lopettaneet 2013-&gt;'!$D:$D,0)))</f>
        <v>4</v>
      </c>
      <c r="L869">
        <v>868</v>
      </c>
    </row>
    <row r="870" spans="1:12" x14ac:dyDescent="0.25">
      <c r="A870" t="s">
        <v>7</v>
      </c>
      <c r="B870" s="1">
        <v>44256</v>
      </c>
      <c r="C870" s="1">
        <v>55153</v>
      </c>
      <c r="D870" s="4" t="s">
        <v>1928</v>
      </c>
      <c r="E870" t="s">
        <v>10</v>
      </c>
      <c r="F870" t="s">
        <v>11</v>
      </c>
      <c r="G870" t="s">
        <v>29</v>
      </c>
      <c r="H870" t="s">
        <v>2765</v>
      </c>
      <c r="I870" t="s">
        <v>2895</v>
      </c>
      <c r="J870" t="str">
        <f>IF(ISNUMBER(MATCH($D870,'Lopettaneet 2013-&gt;'!$D:$D,0)),INDEX('Lopettaneet 2013-&gt;'!$K:$K,MATCH($D870,'Lopettaneet 2013-&gt;'!$D:$D,0)),"Jatkaa")</f>
        <v>Jatkaa</v>
      </c>
      <c r="K870">
        <f ca="1">IF($J870="Jatkaa",DATEDIF($B870,TODAY(),"Y"),INDEX('Lopettaneet 2013-&gt;'!$L:$L,MATCH($D870,'Lopettaneet 2013-&gt;'!$D:$D,0)))</f>
        <v>4</v>
      </c>
      <c r="L870">
        <v>869</v>
      </c>
    </row>
    <row r="871" spans="1:12" x14ac:dyDescent="0.25">
      <c r="A871" t="s">
        <v>0</v>
      </c>
      <c r="B871" s="1">
        <v>44287</v>
      </c>
      <c r="C871" s="1">
        <v>55153</v>
      </c>
      <c r="D871" s="4" t="s">
        <v>1930</v>
      </c>
      <c r="E871" t="s">
        <v>10</v>
      </c>
      <c r="F871" t="s">
        <v>4</v>
      </c>
      <c r="G871" t="s">
        <v>29</v>
      </c>
      <c r="H871" t="s">
        <v>2859</v>
      </c>
      <c r="I871" t="s">
        <v>2894</v>
      </c>
      <c r="J871" t="str">
        <f>IF(ISNUMBER(MATCH($D871,'Lopettaneet 2013-&gt;'!$D:$D,0)),INDEX('Lopettaneet 2013-&gt;'!$K:$K,MATCH($D871,'Lopettaneet 2013-&gt;'!$D:$D,0)),"Jatkaa")</f>
        <v>Jatkaa</v>
      </c>
      <c r="K871">
        <f ca="1">IF($J871="Jatkaa",DATEDIF($B871,TODAY(),"Y"),INDEX('Lopettaneet 2013-&gt;'!$L:$L,MATCH($D871,'Lopettaneet 2013-&gt;'!$D:$D,0)))</f>
        <v>4</v>
      </c>
      <c r="L871">
        <v>870</v>
      </c>
    </row>
    <row r="872" spans="1:12" x14ac:dyDescent="0.25">
      <c r="A872" t="s">
        <v>0</v>
      </c>
      <c r="B872" s="1">
        <v>44197</v>
      </c>
      <c r="C872" s="1">
        <v>55153</v>
      </c>
      <c r="D872" s="4" t="s">
        <v>1932</v>
      </c>
      <c r="E872" t="s">
        <v>10</v>
      </c>
      <c r="F872" t="s">
        <v>4</v>
      </c>
      <c r="G872" t="s">
        <v>5</v>
      </c>
      <c r="H872" t="s">
        <v>2775</v>
      </c>
      <c r="I872" t="s">
        <v>2894</v>
      </c>
      <c r="J872" t="str">
        <f>IF(ISNUMBER(MATCH($D872,'Lopettaneet 2013-&gt;'!$D:$D,0)),INDEX('Lopettaneet 2013-&gt;'!$K:$K,MATCH($D872,'Lopettaneet 2013-&gt;'!$D:$D,0)),"Jatkaa")</f>
        <v>Jatkaa</v>
      </c>
      <c r="K872">
        <f ca="1">IF($J872="Jatkaa",DATEDIF($B872,TODAY(),"Y"),INDEX('Lopettaneet 2013-&gt;'!$L:$L,MATCH($D872,'Lopettaneet 2013-&gt;'!$D:$D,0)))</f>
        <v>4</v>
      </c>
      <c r="L872">
        <v>871</v>
      </c>
    </row>
    <row r="873" spans="1:12" x14ac:dyDescent="0.25">
      <c r="A873" t="s">
        <v>0</v>
      </c>
      <c r="B873" s="1">
        <v>44166</v>
      </c>
      <c r="C873" s="1">
        <v>55153</v>
      </c>
      <c r="D873" s="4" t="s">
        <v>1934</v>
      </c>
      <c r="E873" t="s">
        <v>10</v>
      </c>
      <c r="F873" t="s">
        <v>4</v>
      </c>
      <c r="G873" t="s">
        <v>47</v>
      </c>
      <c r="H873" t="s">
        <v>2842</v>
      </c>
      <c r="I873" t="s">
        <v>2895</v>
      </c>
      <c r="J873" t="str">
        <f>IF(ISNUMBER(MATCH($D873,'Lopettaneet 2013-&gt;'!$D:$D,0)),INDEX('Lopettaneet 2013-&gt;'!$K:$K,MATCH($D873,'Lopettaneet 2013-&gt;'!$D:$D,0)),"Jatkaa")</f>
        <v>Jatkaa</v>
      </c>
      <c r="K873">
        <f ca="1">IF($J873="Jatkaa",DATEDIF($B873,TODAY(),"Y"),INDEX('Lopettaneet 2013-&gt;'!$L:$L,MATCH($D873,'Lopettaneet 2013-&gt;'!$D:$D,0)))</f>
        <v>4</v>
      </c>
      <c r="L873">
        <v>872</v>
      </c>
    </row>
    <row r="874" spans="1:12" x14ac:dyDescent="0.25">
      <c r="A874" t="s">
        <v>0</v>
      </c>
      <c r="B874" s="1">
        <v>44166</v>
      </c>
      <c r="C874" s="1">
        <v>55153</v>
      </c>
      <c r="D874" s="4" t="s">
        <v>1936</v>
      </c>
      <c r="E874" t="s">
        <v>10</v>
      </c>
      <c r="F874" t="s">
        <v>4</v>
      </c>
      <c r="G874" t="s">
        <v>29</v>
      </c>
      <c r="H874" t="s">
        <v>2770</v>
      </c>
      <c r="I874" t="s">
        <v>2894</v>
      </c>
      <c r="J874" t="str">
        <f>IF(ISNUMBER(MATCH($D874,'Lopettaneet 2013-&gt;'!$D:$D,0)),INDEX('Lopettaneet 2013-&gt;'!$K:$K,MATCH($D874,'Lopettaneet 2013-&gt;'!$D:$D,0)),"Jatkaa")</f>
        <v>Jatkaa</v>
      </c>
      <c r="K874">
        <f ca="1">IF($J874="Jatkaa",DATEDIF($B874,TODAY(),"Y"),INDEX('Lopettaneet 2013-&gt;'!$L:$L,MATCH($D874,'Lopettaneet 2013-&gt;'!$D:$D,0)))</f>
        <v>4</v>
      </c>
      <c r="L874">
        <v>873</v>
      </c>
    </row>
    <row r="875" spans="1:12" x14ac:dyDescent="0.25">
      <c r="A875" t="s">
        <v>0</v>
      </c>
      <c r="B875" s="1">
        <v>44136</v>
      </c>
      <c r="C875" s="1">
        <v>55153</v>
      </c>
      <c r="D875" s="4" t="s">
        <v>1938</v>
      </c>
      <c r="E875" t="s">
        <v>10</v>
      </c>
      <c r="F875" t="s">
        <v>11</v>
      </c>
      <c r="G875" t="s">
        <v>29</v>
      </c>
      <c r="H875" t="s">
        <v>2847</v>
      </c>
      <c r="I875" t="s">
        <v>2895</v>
      </c>
      <c r="J875" t="str">
        <f>IF(ISNUMBER(MATCH($D875,'Lopettaneet 2013-&gt;'!$D:$D,0)),INDEX('Lopettaneet 2013-&gt;'!$K:$K,MATCH($D875,'Lopettaneet 2013-&gt;'!$D:$D,0)),"Jatkaa")</f>
        <v>Jatkaa</v>
      </c>
      <c r="K875">
        <f ca="1">IF($J875="Jatkaa",DATEDIF($B875,TODAY(),"Y"),INDEX('Lopettaneet 2013-&gt;'!$L:$L,MATCH($D875,'Lopettaneet 2013-&gt;'!$D:$D,0)))</f>
        <v>4</v>
      </c>
      <c r="L875">
        <v>874</v>
      </c>
    </row>
    <row r="876" spans="1:12" x14ac:dyDescent="0.25">
      <c r="A876" t="s">
        <v>7</v>
      </c>
      <c r="B876" s="1">
        <v>44531</v>
      </c>
      <c r="C876" s="1">
        <v>55153</v>
      </c>
      <c r="D876" s="4" t="s">
        <v>1940</v>
      </c>
      <c r="E876" t="s">
        <v>10</v>
      </c>
      <c r="F876" t="s">
        <v>11</v>
      </c>
      <c r="G876" t="s">
        <v>12</v>
      </c>
      <c r="H876" t="s">
        <v>2766</v>
      </c>
      <c r="I876" t="s">
        <v>2895</v>
      </c>
      <c r="J876" t="str">
        <f>IF(ISNUMBER(MATCH($D876,'Lopettaneet 2013-&gt;'!$D:$D,0)),INDEX('Lopettaneet 2013-&gt;'!$K:$K,MATCH($D876,'Lopettaneet 2013-&gt;'!$D:$D,0)),"Jatkaa")</f>
        <v>Jatkaa</v>
      </c>
      <c r="K876">
        <f ca="1">IF($J876="Jatkaa",DATEDIF($B876,TODAY(),"Y"),INDEX('Lopettaneet 2013-&gt;'!$L:$L,MATCH($D876,'Lopettaneet 2013-&gt;'!$D:$D,0)))</f>
        <v>3</v>
      </c>
      <c r="L876">
        <v>875</v>
      </c>
    </row>
    <row r="877" spans="1:12" x14ac:dyDescent="0.25">
      <c r="A877" t="s">
        <v>0</v>
      </c>
      <c r="B877" s="1">
        <v>44531</v>
      </c>
      <c r="C877" s="1">
        <v>55153</v>
      </c>
      <c r="D877" s="4" t="s">
        <v>1942</v>
      </c>
      <c r="E877" t="s">
        <v>10</v>
      </c>
      <c r="F877" t="s">
        <v>11</v>
      </c>
      <c r="G877" t="s">
        <v>20</v>
      </c>
      <c r="H877" t="s">
        <v>2766</v>
      </c>
      <c r="I877" t="s">
        <v>2895</v>
      </c>
      <c r="J877" t="str">
        <f>IF(ISNUMBER(MATCH($D877,'Lopettaneet 2013-&gt;'!$D:$D,0)),INDEX('Lopettaneet 2013-&gt;'!$K:$K,MATCH($D877,'Lopettaneet 2013-&gt;'!$D:$D,0)),"Jatkaa")</f>
        <v>Jatkaa</v>
      </c>
      <c r="K877">
        <f ca="1">IF($J877="Jatkaa",DATEDIF($B877,TODAY(),"Y"),INDEX('Lopettaneet 2013-&gt;'!$L:$L,MATCH($D877,'Lopettaneet 2013-&gt;'!$D:$D,0)))</f>
        <v>3</v>
      </c>
      <c r="L877">
        <v>876</v>
      </c>
    </row>
    <row r="878" spans="1:12" x14ac:dyDescent="0.25">
      <c r="A878" t="s">
        <v>0</v>
      </c>
      <c r="B878" s="1">
        <v>44256</v>
      </c>
      <c r="C878" s="1">
        <v>55153</v>
      </c>
      <c r="D878" s="4" t="s">
        <v>1944</v>
      </c>
      <c r="E878" t="s">
        <v>10</v>
      </c>
      <c r="F878" t="s">
        <v>11</v>
      </c>
      <c r="G878" t="s">
        <v>20</v>
      </c>
      <c r="H878" t="s">
        <v>2766</v>
      </c>
      <c r="I878" t="s">
        <v>2895</v>
      </c>
      <c r="J878" t="str">
        <f>IF(ISNUMBER(MATCH($D878,'Lopettaneet 2013-&gt;'!$D:$D,0)),INDEX('Lopettaneet 2013-&gt;'!$K:$K,MATCH($D878,'Lopettaneet 2013-&gt;'!$D:$D,0)),"Jatkaa")</f>
        <v>Jatkaa</v>
      </c>
      <c r="K878">
        <f ca="1">IF($J878="Jatkaa",DATEDIF($B878,TODAY(),"Y"),INDEX('Lopettaneet 2013-&gt;'!$L:$L,MATCH($D878,'Lopettaneet 2013-&gt;'!$D:$D,0)))</f>
        <v>4</v>
      </c>
      <c r="L878">
        <v>877</v>
      </c>
    </row>
    <row r="879" spans="1:12" x14ac:dyDescent="0.25">
      <c r="A879" t="s">
        <v>0</v>
      </c>
      <c r="B879" s="1">
        <v>44256</v>
      </c>
      <c r="C879" s="1">
        <v>55153</v>
      </c>
      <c r="D879" s="4" t="s">
        <v>1946</v>
      </c>
      <c r="E879" t="s">
        <v>10</v>
      </c>
      <c r="F879" t="s">
        <v>11</v>
      </c>
      <c r="G879" t="s">
        <v>20</v>
      </c>
      <c r="H879" t="s">
        <v>2766</v>
      </c>
      <c r="I879" t="s">
        <v>2895</v>
      </c>
      <c r="J879" t="str">
        <f>IF(ISNUMBER(MATCH($D879,'Lopettaneet 2013-&gt;'!$D:$D,0)),INDEX('Lopettaneet 2013-&gt;'!$K:$K,MATCH($D879,'Lopettaneet 2013-&gt;'!$D:$D,0)),"Jatkaa")</f>
        <v>Jatkaa</v>
      </c>
      <c r="K879">
        <f ca="1">IF($J879="Jatkaa",DATEDIF($B879,TODAY(),"Y"),INDEX('Lopettaneet 2013-&gt;'!$L:$L,MATCH($D879,'Lopettaneet 2013-&gt;'!$D:$D,0)))</f>
        <v>4</v>
      </c>
      <c r="L879">
        <v>878</v>
      </c>
    </row>
    <row r="880" spans="1:12" x14ac:dyDescent="0.25">
      <c r="A880" t="s">
        <v>0</v>
      </c>
      <c r="B880" s="1">
        <v>44256</v>
      </c>
      <c r="C880" s="1">
        <v>44530</v>
      </c>
      <c r="D880" s="4" t="s">
        <v>1948</v>
      </c>
      <c r="E880" t="s">
        <v>10</v>
      </c>
      <c r="F880" t="s">
        <v>4</v>
      </c>
      <c r="G880" t="s">
        <v>20</v>
      </c>
      <c r="H880" t="s">
        <v>2763</v>
      </c>
      <c r="I880" t="s">
        <v>2763</v>
      </c>
      <c r="J880" t="str">
        <f>IF(ISNUMBER(MATCH($D880,'Lopettaneet 2013-&gt;'!$D:$D,0)),INDEX('Lopettaneet 2013-&gt;'!$K:$K,MATCH($D880,'Lopettaneet 2013-&gt;'!$D:$D,0)),"Jatkaa")</f>
        <v>Merged</v>
      </c>
      <c r="K880">
        <f ca="1">IF($J880="Jatkaa",DATEDIF($B880,TODAY(),"Y"),INDEX('Lopettaneet 2013-&gt;'!$L:$L,MATCH($D880,'Lopettaneet 2013-&gt;'!$D:$D,0)))</f>
        <v>0</v>
      </c>
      <c r="L880">
        <v>879</v>
      </c>
    </row>
    <row r="881" spans="1:12" x14ac:dyDescent="0.25">
      <c r="A881" t="s">
        <v>7</v>
      </c>
      <c r="B881" s="1">
        <v>44256</v>
      </c>
      <c r="C881" s="1">
        <v>55153</v>
      </c>
      <c r="D881" s="4" t="s">
        <v>1950</v>
      </c>
      <c r="E881" t="s">
        <v>10</v>
      </c>
      <c r="F881" t="s">
        <v>11</v>
      </c>
      <c r="G881" t="s">
        <v>12</v>
      </c>
      <c r="H881" t="s">
        <v>2847</v>
      </c>
      <c r="I881" t="s">
        <v>2895</v>
      </c>
      <c r="J881" t="str">
        <f>IF(ISNUMBER(MATCH($D881,'Lopettaneet 2013-&gt;'!$D:$D,0)),INDEX('Lopettaneet 2013-&gt;'!$K:$K,MATCH($D881,'Lopettaneet 2013-&gt;'!$D:$D,0)),"Jatkaa")</f>
        <v>Jatkaa</v>
      </c>
      <c r="K881">
        <f ca="1">IF($J881="Jatkaa",DATEDIF($B881,TODAY(),"Y"),INDEX('Lopettaneet 2013-&gt;'!$L:$L,MATCH($D881,'Lopettaneet 2013-&gt;'!$D:$D,0)))</f>
        <v>4</v>
      </c>
      <c r="L881">
        <v>880</v>
      </c>
    </row>
    <row r="882" spans="1:12" x14ac:dyDescent="0.25">
      <c r="A882" t="s">
        <v>7</v>
      </c>
      <c r="B882" s="1">
        <v>44348</v>
      </c>
      <c r="C882" s="1">
        <v>45199</v>
      </c>
      <c r="D882" s="4" t="s">
        <v>61</v>
      </c>
      <c r="E882" t="s">
        <v>10</v>
      </c>
      <c r="F882" t="s">
        <v>11</v>
      </c>
      <c r="G882" t="s">
        <v>29</v>
      </c>
      <c r="H882" t="s">
        <v>2763</v>
      </c>
      <c r="I882" t="s">
        <v>2763</v>
      </c>
      <c r="J882" t="str">
        <f>IF(ISNUMBER(MATCH($D882,'Lopettaneet 2013-&gt;'!$D:$D,0)),INDEX('Lopettaneet 2013-&gt;'!$K:$K,MATCH($D882,'Lopettaneet 2013-&gt;'!$D:$D,0)),"Jatkaa")</f>
        <v>Closed</v>
      </c>
      <c r="K882">
        <f ca="1">IF($J882="Jatkaa",DATEDIF($B882,TODAY(),"Y"),INDEX('Lopettaneet 2013-&gt;'!$L:$L,MATCH($D882,'Lopettaneet 2013-&gt;'!$D:$D,0)))</f>
        <v>2</v>
      </c>
      <c r="L882">
        <v>881</v>
      </c>
    </row>
    <row r="883" spans="1:12" x14ac:dyDescent="0.25">
      <c r="A883" t="s">
        <v>7</v>
      </c>
      <c r="B883" s="1">
        <v>44348</v>
      </c>
      <c r="C883" s="1">
        <v>55153</v>
      </c>
      <c r="D883" s="4" t="s">
        <v>1953</v>
      </c>
      <c r="E883" t="s">
        <v>10</v>
      </c>
      <c r="F883" t="s">
        <v>11</v>
      </c>
      <c r="G883" t="s">
        <v>80</v>
      </c>
      <c r="H883" t="s">
        <v>2806</v>
      </c>
      <c r="I883" t="s">
        <v>2894</v>
      </c>
      <c r="J883" t="str">
        <f>IF(ISNUMBER(MATCH($D883,'Lopettaneet 2013-&gt;'!$D:$D,0)),INDEX('Lopettaneet 2013-&gt;'!$K:$K,MATCH($D883,'Lopettaneet 2013-&gt;'!$D:$D,0)),"Jatkaa")</f>
        <v>Jatkaa</v>
      </c>
      <c r="K883">
        <f ca="1">IF($J883="Jatkaa",DATEDIF($B883,TODAY(),"Y"),INDEX('Lopettaneet 2013-&gt;'!$L:$L,MATCH($D883,'Lopettaneet 2013-&gt;'!$D:$D,0)))</f>
        <v>3</v>
      </c>
      <c r="L883">
        <v>882</v>
      </c>
    </row>
    <row r="884" spans="1:12" x14ac:dyDescent="0.25">
      <c r="A884" t="s">
        <v>7</v>
      </c>
      <c r="B884" s="1">
        <v>44348</v>
      </c>
      <c r="C884" s="1">
        <v>55153</v>
      </c>
      <c r="D884" s="4" t="s">
        <v>1955</v>
      </c>
      <c r="E884" t="s">
        <v>10</v>
      </c>
      <c r="F884" t="s">
        <v>11</v>
      </c>
      <c r="G884" t="s">
        <v>80</v>
      </c>
      <c r="H884" t="s">
        <v>2806</v>
      </c>
      <c r="I884" t="s">
        <v>2894</v>
      </c>
      <c r="J884" t="str">
        <f>IF(ISNUMBER(MATCH($D884,'Lopettaneet 2013-&gt;'!$D:$D,0)),INDEX('Lopettaneet 2013-&gt;'!$K:$K,MATCH($D884,'Lopettaneet 2013-&gt;'!$D:$D,0)),"Jatkaa")</f>
        <v>Jatkaa</v>
      </c>
      <c r="K884">
        <f ca="1">IF($J884="Jatkaa",DATEDIF($B884,TODAY(),"Y"),INDEX('Lopettaneet 2013-&gt;'!$L:$L,MATCH($D884,'Lopettaneet 2013-&gt;'!$D:$D,0)))</f>
        <v>3</v>
      </c>
      <c r="L884">
        <v>883</v>
      </c>
    </row>
    <row r="885" spans="1:12" x14ac:dyDescent="0.25">
      <c r="A885" t="s">
        <v>7</v>
      </c>
      <c r="B885" s="1">
        <v>44440</v>
      </c>
      <c r="C885" s="1">
        <v>55153</v>
      </c>
      <c r="D885" s="4" t="s">
        <v>1957</v>
      </c>
      <c r="E885" t="s">
        <v>10</v>
      </c>
      <c r="F885" t="s">
        <v>11</v>
      </c>
      <c r="G885" t="s">
        <v>32</v>
      </c>
      <c r="H885" t="s">
        <v>2763</v>
      </c>
      <c r="I885" t="s">
        <v>2894</v>
      </c>
      <c r="J885" t="str">
        <f>IF(ISNUMBER(MATCH($D885,'Lopettaneet 2013-&gt;'!$D:$D,0)),INDEX('Lopettaneet 2013-&gt;'!$K:$K,MATCH($D885,'Lopettaneet 2013-&gt;'!$D:$D,0)),"Jatkaa")</f>
        <v>Jatkaa</v>
      </c>
      <c r="K885">
        <f ca="1">IF($J885="Jatkaa",DATEDIF($B885,TODAY(),"Y"),INDEX('Lopettaneet 2013-&gt;'!$L:$L,MATCH($D885,'Lopettaneet 2013-&gt;'!$D:$D,0)))</f>
        <v>3</v>
      </c>
      <c r="L885">
        <v>884</v>
      </c>
    </row>
    <row r="886" spans="1:12" x14ac:dyDescent="0.25">
      <c r="A886" t="s">
        <v>7</v>
      </c>
      <c r="B886" s="1">
        <v>44348</v>
      </c>
      <c r="C886" s="1">
        <v>55153</v>
      </c>
      <c r="D886" s="4" t="s">
        <v>1959</v>
      </c>
      <c r="E886" t="s">
        <v>10</v>
      </c>
      <c r="F886" t="s">
        <v>11</v>
      </c>
      <c r="G886" t="s">
        <v>80</v>
      </c>
      <c r="H886" t="s">
        <v>2839</v>
      </c>
      <c r="I886" t="s">
        <v>2895</v>
      </c>
      <c r="J886" t="str">
        <f>IF(ISNUMBER(MATCH($D886,'Lopettaneet 2013-&gt;'!$D:$D,0)),INDEX('Lopettaneet 2013-&gt;'!$K:$K,MATCH($D886,'Lopettaneet 2013-&gt;'!$D:$D,0)),"Jatkaa")</f>
        <v>Jatkaa</v>
      </c>
      <c r="K886">
        <f ca="1">IF($J886="Jatkaa",DATEDIF($B886,TODAY(),"Y"),INDEX('Lopettaneet 2013-&gt;'!$L:$L,MATCH($D886,'Lopettaneet 2013-&gt;'!$D:$D,0)))</f>
        <v>3</v>
      </c>
      <c r="L886">
        <v>885</v>
      </c>
    </row>
    <row r="887" spans="1:12" x14ac:dyDescent="0.25">
      <c r="A887" t="s">
        <v>7</v>
      </c>
      <c r="B887" s="1">
        <v>44348</v>
      </c>
      <c r="C887" s="1">
        <v>55153</v>
      </c>
      <c r="D887" s="4" t="s">
        <v>1961</v>
      </c>
      <c r="E887" t="s">
        <v>10</v>
      </c>
      <c r="F887" t="s">
        <v>11</v>
      </c>
      <c r="G887" t="s">
        <v>32</v>
      </c>
      <c r="H887" t="s">
        <v>2874</v>
      </c>
      <c r="I887" t="s">
        <v>2894</v>
      </c>
      <c r="J887" t="str">
        <f>IF(ISNUMBER(MATCH($D887,'Lopettaneet 2013-&gt;'!$D:$D,0)),INDEX('Lopettaneet 2013-&gt;'!$K:$K,MATCH($D887,'Lopettaneet 2013-&gt;'!$D:$D,0)),"Jatkaa")</f>
        <v>Jatkaa</v>
      </c>
      <c r="K887">
        <f ca="1">IF($J887="Jatkaa",DATEDIF($B887,TODAY(),"Y"),INDEX('Lopettaneet 2013-&gt;'!$L:$L,MATCH($D887,'Lopettaneet 2013-&gt;'!$D:$D,0)))</f>
        <v>3</v>
      </c>
      <c r="L887">
        <v>886</v>
      </c>
    </row>
    <row r="888" spans="1:12" x14ac:dyDescent="0.25">
      <c r="A888" t="s">
        <v>0</v>
      </c>
      <c r="B888" s="1">
        <v>44409</v>
      </c>
      <c r="C888" s="1">
        <v>55153</v>
      </c>
      <c r="D888" s="4" t="s">
        <v>1963</v>
      </c>
      <c r="E888" t="s">
        <v>10</v>
      </c>
      <c r="F888" t="s">
        <v>4</v>
      </c>
      <c r="G888" t="s">
        <v>50</v>
      </c>
      <c r="H888" t="s">
        <v>2771</v>
      </c>
      <c r="I888" t="s">
        <v>2894</v>
      </c>
      <c r="J888" t="str">
        <f>IF(ISNUMBER(MATCH($D888,'Lopettaneet 2013-&gt;'!$D:$D,0)),INDEX('Lopettaneet 2013-&gt;'!$K:$K,MATCH($D888,'Lopettaneet 2013-&gt;'!$D:$D,0)),"Jatkaa")</f>
        <v>Jatkaa</v>
      </c>
      <c r="K888">
        <f ca="1">IF($J888="Jatkaa",DATEDIF($B888,TODAY(),"Y"),INDEX('Lopettaneet 2013-&gt;'!$L:$L,MATCH($D888,'Lopettaneet 2013-&gt;'!$D:$D,0)))</f>
        <v>3</v>
      </c>
      <c r="L888">
        <v>887</v>
      </c>
    </row>
    <row r="889" spans="1:12" x14ac:dyDescent="0.25">
      <c r="A889" t="s">
        <v>7</v>
      </c>
      <c r="B889" s="1">
        <v>44256</v>
      </c>
      <c r="C889" s="1">
        <v>55153</v>
      </c>
      <c r="D889" s="4" t="s">
        <v>1965</v>
      </c>
      <c r="E889" t="s">
        <v>10</v>
      </c>
      <c r="F889" t="s">
        <v>11</v>
      </c>
      <c r="G889" t="s">
        <v>32</v>
      </c>
      <c r="H889" t="s">
        <v>2844</v>
      </c>
      <c r="I889" t="s">
        <v>2895</v>
      </c>
      <c r="J889" t="str">
        <f>IF(ISNUMBER(MATCH($D889,'Lopettaneet 2013-&gt;'!$D:$D,0)),INDEX('Lopettaneet 2013-&gt;'!$K:$K,MATCH($D889,'Lopettaneet 2013-&gt;'!$D:$D,0)),"Jatkaa")</f>
        <v>Jatkaa</v>
      </c>
      <c r="K889">
        <f ca="1">IF($J889="Jatkaa",DATEDIF($B889,TODAY(),"Y"),INDEX('Lopettaneet 2013-&gt;'!$L:$L,MATCH($D889,'Lopettaneet 2013-&gt;'!$D:$D,0)))</f>
        <v>4</v>
      </c>
      <c r="L889">
        <v>888</v>
      </c>
    </row>
    <row r="890" spans="1:12" x14ac:dyDescent="0.25">
      <c r="A890" t="s">
        <v>7</v>
      </c>
      <c r="B890" s="1">
        <v>44348</v>
      </c>
      <c r="C890" s="1">
        <v>55153</v>
      </c>
      <c r="D890" s="4" t="s">
        <v>1967</v>
      </c>
      <c r="E890" t="s">
        <v>10</v>
      </c>
      <c r="F890" t="s">
        <v>11</v>
      </c>
      <c r="G890" t="s">
        <v>32</v>
      </c>
      <c r="H890" t="s">
        <v>2829</v>
      </c>
      <c r="I890" t="s">
        <v>2895</v>
      </c>
      <c r="J890" t="str">
        <f>IF(ISNUMBER(MATCH($D890,'Lopettaneet 2013-&gt;'!$D:$D,0)),INDEX('Lopettaneet 2013-&gt;'!$K:$K,MATCH($D890,'Lopettaneet 2013-&gt;'!$D:$D,0)),"Jatkaa")</f>
        <v>Jatkaa</v>
      </c>
      <c r="K890">
        <f ca="1">IF($J890="Jatkaa",DATEDIF($B890,TODAY(),"Y"),INDEX('Lopettaneet 2013-&gt;'!$L:$L,MATCH($D890,'Lopettaneet 2013-&gt;'!$D:$D,0)))</f>
        <v>3</v>
      </c>
      <c r="L890">
        <v>889</v>
      </c>
    </row>
    <row r="891" spans="1:12" x14ac:dyDescent="0.25">
      <c r="A891" t="s">
        <v>0</v>
      </c>
      <c r="B891" s="1">
        <v>44317</v>
      </c>
      <c r="C891" s="1">
        <v>55153</v>
      </c>
      <c r="D891" s="4" t="s">
        <v>1969</v>
      </c>
      <c r="E891" t="s">
        <v>10</v>
      </c>
      <c r="F891" t="s">
        <v>11</v>
      </c>
      <c r="G891" t="s">
        <v>20</v>
      </c>
      <c r="H891" t="s">
        <v>2766</v>
      </c>
      <c r="I891" t="s">
        <v>2895</v>
      </c>
      <c r="J891" t="str">
        <f>IF(ISNUMBER(MATCH($D891,'Lopettaneet 2013-&gt;'!$D:$D,0)),INDEX('Lopettaneet 2013-&gt;'!$K:$K,MATCH($D891,'Lopettaneet 2013-&gt;'!$D:$D,0)),"Jatkaa")</f>
        <v>Jatkaa</v>
      </c>
      <c r="K891">
        <f ca="1">IF($J891="Jatkaa",DATEDIF($B891,TODAY(),"Y"),INDEX('Lopettaneet 2013-&gt;'!$L:$L,MATCH($D891,'Lopettaneet 2013-&gt;'!$D:$D,0)))</f>
        <v>4</v>
      </c>
      <c r="L891">
        <v>890</v>
      </c>
    </row>
    <row r="892" spans="1:12" x14ac:dyDescent="0.25">
      <c r="A892" t="s">
        <v>0</v>
      </c>
      <c r="B892" s="1">
        <v>44317</v>
      </c>
      <c r="C892" s="1">
        <v>55153</v>
      </c>
      <c r="D892" s="4" t="s">
        <v>1971</v>
      </c>
      <c r="E892" t="s">
        <v>10</v>
      </c>
      <c r="F892" t="s">
        <v>11</v>
      </c>
      <c r="G892" t="s">
        <v>20</v>
      </c>
      <c r="H892" t="s">
        <v>2766</v>
      </c>
      <c r="I892" t="s">
        <v>2895</v>
      </c>
      <c r="J892" t="str">
        <f>IF(ISNUMBER(MATCH($D892,'Lopettaneet 2013-&gt;'!$D:$D,0)),INDEX('Lopettaneet 2013-&gt;'!$K:$K,MATCH($D892,'Lopettaneet 2013-&gt;'!$D:$D,0)),"Jatkaa")</f>
        <v>Jatkaa</v>
      </c>
      <c r="K892">
        <f ca="1">IF($J892="Jatkaa",DATEDIF($B892,TODAY(),"Y"),INDEX('Lopettaneet 2013-&gt;'!$L:$L,MATCH($D892,'Lopettaneet 2013-&gt;'!$D:$D,0)))</f>
        <v>4</v>
      </c>
      <c r="L892">
        <v>891</v>
      </c>
    </row>
    <row r="893" spans="1:12" x14ac:dyDescent="0.25">
      <c r="A893" t="s">
        <v>7</v>
      </c>
      <c r="B893" s="1">
        <v>44348</v>
      </c>
      <c r="C893" s="1">
        <v>55153</v>
      </c>
      <c r="D893" s="4" t="s">
        <v>1973</v>
      </c>
      <c r="E893" t="s">
        <v>10</v>
      </c>
      <c r="F893" t="s">
        <v>11</v>
      </c>
      <c r="G893" t="s">
        <v>29</v>
      </c>
      <c r="H893" t="s">
        <v>2771</v>
      </c>
      <c r="I893" t="s">
        <v>2894</v>
      </c>
      <c r="J893" t="str">
        <f>IF(ISNUMBER(MATCH($D893,'Lopettaneet 2013-&gt;'!$D:$D,0)),INDEX('Lopettaneet 2013-&gt;'!$K:$K,MATCH($D893,'Lopettaneet 2013-&gt;'!$D:$D,0)),"Jatkaa")</f>
        <v>Jatkaa</v>
      </c>
      <c r="K893">
        <f ca="1">IF($J893="Jatkaa",DATEDIF($B893,TODAY(),"Y"),INDEX('Lopettaneet 2013-&gt;'!$L:$L,MATCH($D893,'Lopettaneet 2013-&gt;'!$D:$D,0)))</f>
        <v>3</v>
      </c>
      <c r="L893">
        <v>892</v>
      </c>
    </row>
    <row r="894" spans="1:12" x14ac:dyDescent="0.25">
      <c r="A894" t="s">
        <v>7</v>
      </c>
      <c r="B894" s="1">
        <v>44348</v>
      </c>
      <c r="C894" s="1">
        <v>55153</v>
      </c>
      <c r="D894" s="4" t="s">
        <v>1975</v>
      </c>
      <c r="E894" t="s">
        <v>10</v>
      </c>
      <c r="F894" t="s">
        <v>11</v>
      </c>
      <c r="G894" t="s">
        <v>29</v>
      </c>
      <c r="H894" t="s">
        <v>2875</v>
      </c>
      <c r="I894" t="s">
        <v>2895</v>
      </c>
      <c r="J894" t="str">
        <f>IF(ISNUMBER(MATCH($D894,'Lopettaneet 2013-&gt;'!$D:$D,0)),INDEX('Lopettaneet 2013-&gt;'!$K:$K,MATCH($D894,'Lopettaneet 2013-&gt;'!$D:$D,0)),"Jatkaa")</f>
        <v>Jatkaa</v>
      </c>
      <c r="K894">
        <f ca="1">IF($J894="Jatkaa",DATEDIF($B894,TODAY(),"Y"),INDEX('Lopettaneet 2013-&gt;'!$L:$L,MATCH($D894,'Lopettaneet 2013-&gt;'!$D:$D,0)))</f>
        <v>3</v>
      </c>
      <c r="L894">
        <v>893</v>
      </c>
    </row>
    <row r="895" spans="1:12" x14ac:dyDescent="0.25">
      <c r="A895" t="s">
        <v>7</v>
      </c>
      <c r="B895" s="1">
        <v>44440</v>
      </c>
      <c r="C895" s="1">
        <v>55153</v>
      </c>
      <c r="D895" s="4" t="s">
        <v>1977</v>
      </c>
      <c r="E895" t="s">
        <v>10</v>
      </c>
      <c r="F895" t="s">
        <v>11</v>
      </c>
      <c r="G895" t="s">
        <v>29</v>
      </c>
      <c r="H895" t="s">
        <v>2875</v>
      </c>
      <c r="I895" t="s">
        <v>2895</v>
      </c>
      <c r="J895" t="str">
        <f>IF(ISNUMBER(MATCH($D895,'Lopettaneet 2013-&gt;'!$D:$D,0)),INDEX('Lopettaneet 2013-&gt;'!$K:$K,MATCH($D895,'Lopettaneet 2013-&gt;'!$D:$D,0)),"Jatkaa")</f>
        <v>Jatkaa</v>
      </c>
      <c r="K895">
        <f ca="1">IF($J895="Jatkaa",DATEDIF($B895,TODAY(),"Y"),INDEX('Lopettaneet 2013-&gt;'!$L:$L,MATCH($D895,'Lopettaneet 2013-&gt;'!$D:$D,0)))</f>
        <v>3</v>
      </c>
      <c r="L895">
        <v>894</v>
      </c>
    </row>
    <row r="896" spans="1:12" x14ac:dyDescent="0.25">
      <c r="A896" t="s">
        <v>7</v>
      </c>
      <c r="B896" s="1">
        <v>44621</v>
      </c>
      <c r="C896" s="1">
        <v>55153</v>
      </c>
      <c r="D896" s="4" t="s">
        <v>1979</v>
      </c>
      <c r="E896" t="s">
        <v>10</v>
      </c>
      <c r="F896" t="s">
        <v>11</v>
      </c>
      <c r="G896" t="s">
        <v>80</v>
      </c>
      <c r="H896" t="s">
        <v>2876</v>
      </c>
      <c r="I896" t="s">
        <v>2894</v>
      </c>
      <c r="J896" t="str">
        <f>IF(ISNUMBER(MATCH($D896,'Lopettaneet 2013-&gt;'!$D:$D,0)),INDEX('Lopettaneet 2013-&gt;'!$K:$K,MATCH($D896,'Lopettaneet 2013-&gt;'!$D:$D,0)),"Jatkaa")</f>
        <v>Jatkaa</v>
      </c>
      <c r="K896">
        <f ca="1">IF($J896="Jatkaa",DATEDIF($B896,TODAY(),"Y"),INDEX('Lopettaneet 2013-&gt;'!$L:$L,MATCH($D896,'Lopettaneet 2013-&gt;'!$D:$D,0)))</f>
        <v>3</v>
      </c>
      <c r="L896">
        <v>895</v>
      </c>
    </row>
    <row r="897" spans="1:12" x14ac:dyDescent="0.25">
      <c r="A897" t="s">
        <v>7</v>
      </c>
      <c r="B897" s="1">
        <v>44713</v>
      </c>
      <c r="C897" s="1">
        <v>55153</v>
      </c>
      <c r="D897" s="4" t="s">
        <v>1981</v>
      </c>
      <c r="E897" t="s">
        <v>10</v>
      </c>
      <c r="F897" t="s">
        <v>11</v>
      </c>
      <c r="G897" t="s">
        <v>80</v>
      </c>
      <c r="H897" t="s">
        <v>2841</v>
      </c>
      <c r="I897" t="s">
        <v>2895</v>
      </c>
      <c r="J897" t="str">
        <f>IF(ISNUMBER(MATCH($D897,'Lopettaneet 2013-&gt;'!$D:$D,0)),INDEX('Lopettaneet 2013-&gt;'!$K:$K,MATCH($D897,'Lopettaneet 2013-&gt;'!$D:$D,0)),"Jatkaa")</f>
        <v>Jatkaa</v>
      </c>
      <c r="K897">
        <f ca="1">IF($J897="Jatkaa",DATEDIF($B897,TODAY(),"Y"),INDEX('Lopettaneet 2013-&gt;'!$L:$L,MATCH($D897,'Lopettaneet 2013-&gt;'!$D:$D,0)))</f>
        <v>2</v>
      </c>
      <c r="L897">
        <v>896</v>
      </c>
    </row>
    <row r="898" spans="1:12" x14ac:dyDescent="0.25">
      <c r="A898" t="s">
        <v>0</v>
      </c>
      <c r="B898" s="1">
        <v>44287</v>
      </c>
      <c r="C898" s="1">
        <v>55153</v>
      </c>
      <c r="D898" s="4" t="s">
        <v>1983</v>
      </c>
      <c r="E898" t="s">
        <v>3</v>
      </c>
      <c r="F898" t="s">
        <v>4</v>
      </c>
      <c r="G898" t="s">
        <v>20</v>
      </c>
      <c r="H898" t="s">
        <v>2771</v>
      </c>
      <c r="I898" t="s">
        <v>2894</v>
      </c>
      <c r="J898" t="str">
        <f>IF(ISNUMBER(MATCH($D898,'Lopettaneet 2013-&gt;'!$D:$D,0)),INDEX('Lopettaneet 2013-&gt;'!$K:$K,MATCH($D898,'Lopettaneet 2013-&gt;'!$D:$D,0)),"Jatkaa")</f>
        <v>Jatkaa</v>
      </c>
      <c r="K898">
        <f ca="1">IF($J898="Jatkaa",DATEDIF($B898,TODAY(),"Y"),INDEX('Lopettaneet 2013-&gt;'!$L:$L,MATCH($D898,'Lopettaneet 2013-&gt;'!$D:$D,0)))</f>
        <v>4</v>
      </c>
      <c r="L898">
        <v>897</v>
      </c>
    </row>
    <row r="899" spans="1:12" x14ac:dyDescent="0.25">
      <c r="A899" t="s">
        <v>0</v>
      </c>
      <c r="B899" s="1">
        <v>44256</v>
      </c>
      <c r="C899" s="1">
        <v>55153</v>
      </c>
      <c r="D899" s="4" t="s">
        <v>1985</v>
      </c>
      <c r="E899" t="s">
        <v>10</v>
      </c>
      <c r="F899" t="s">
        <v>4</v>
      </c>
      <c r="G899" t="s">
        <v>20</v>
      </c>
      <c r="H899" t="s">
        <v>2842</v>
      </c>
      <c r="I899" t="s">
        <v>2894</v>
      </c>
      <c r="J899" t="str">
        <f>IF(ISNUMBER(MATCH($D899,'Lopettaneet 2013-&gt;'!$D:$D,0)),INDEX('Lopettaneet 2013-&gt;'!$K:$K,MATCH($D899,'Lopettaneet 2013-&gt;'!$D:$D,0)),"Jatkaa")</f>
        <v>Jatkaa</v>
      </c>
      <c r="K899">
        <f ca="1">IF($J899="Jatkaa",DATEDIF($B899,TODAY(),"Y"),INDEX('Lopettaneet 2013-&gt;'!$L:$L,MATCH($D899,'Lopettaneet 2013-&gt;'!$D:$D,0)))</f>
        <v>4</v>
      </c>
      <c r="L899">
        <v>898</v>
      </c>
    </row>
    <row r="900" spans="1:12" x14ac:dyDescent="0.25">
      <c r="A900" t="s">
        <v>7</v>
      </c>
      <c r="B900" s="1">
        <v>44348</v>
      </c>
      <c r="C900" s="1">
        <v>55153</v>
      </c>
      <c r="D900" s="4" t="s">
        <v>1987</v>
      </c>
      <c r="E900" t="s">
        <v>10</v>
      </c>
      <c r="F900" t="s">
        <v>11</v>
      </c>
      <c r="G900" t="s">
        <v>29</v>
      </c>
      <c r="H900" t="s">
        <v>2771</v>
      </c>
      <c r="I900" t="s">
        <v>2894</v>
      </c>
      <c r="J900" t="str">
        <f>IF(ISNUMBER(MATCH($D900,'Lopettaneet 2013-&gt;'!$D:$D,0)),INDEX('Lopettaneet 2013-&gt;'!$K:$K,MATCH($D900,'Lopettaneet 2013-&gt;'!$D:$D,0)),"Jatkaa")</f>
        <v>Jatkaa</v>
      </c>
      <c r="K900">
        <f ca="1">IF($J900="Jatkaa",DATEDIF($B900,TODAY(),"Y"),INDEX('Lopettaneet 2013-&gt;'!$L:$L,MATCH($D900,'Lopettaneet 2013-&gt;'!$D:$D,0)))</f>
        <v>3</v>
      </c>
      <c r="L900">
        <v>899</v>
      </c>
    </row>
    <row r="901" spans="1:12" x14ac:dyDescent="0.25">
      <c r="A901" t="s">
        <v>0</v>
      </c>
      <c r="B901" s="1">
        <v>44287</v>
      </c>
      <c r="C901" s="1">
        <v>55153</v>
      </c>
      <c r="D901" s="4" t="s">
        <v>1989</v>
      </c>
      <c r="E901" t="s">
        <v>10</v>
      </c>
      <c r="F901" t="s">
        <v>4</v>
      </c>
      <c r="G901" t="s">
        <v>29</v>
      </c>
      <c r="H901" t="s">
        <v>2802</v>
      </c>
      <c r="I901" t="s">
        <v>2894</v>
      </c>
      <c r="J901" t="str">
        <f>IF(ISNUMBER(MATCH($D901,'Lopettaneet 2013-&gt;'!$D:$D,0)),INDEX('Lopettaneet 2013-&gt;'!$K:$K,MATCH($D901,'Lopettaneet 2013-&gt;'!$D:$D,0)),"Jatkaa")</f>
        <v>Jatkaa</v>
      </c>
      <c r="K901">
        <f ca="1">IF($J901="Jatkaa",DATEDIF($B901,TODAY(),"Y"),INDEX('Lopettaneet 2013-&gt;'!$L:$L,MATCH($D901,'Lopettaneet 2013-&gt;'!$D:$D,0)))</f>
        <v>4</v>
      </c>
      <c r="L901">
        <v>900</v>
      </c>
    </row>
    <row r="902" spans="1:12" x14ac:dyDescent="0.25">
      <c r="A902" t="s">
        <v>7</v>
      </c>
      <c r="B902" s="1">
        <v>44531</v>
      </c>
      <c r="C902" s="1">
        <v>55153</v>
      </c>
      <c r="D902" s="4" t="s">
        <v>1991</v>
      </c>
      <c r="E902" t="s">
        <v>10</v>
      </c>
      <c r="F902" t="s">
        <v>11</v>
      </c>
      <c r="G902" t="s">
        <v>12</v>
      </c>
      <c r="H902" t="s">
        <v>2831</v>
      </c>
      <c r="I902" t="s">
        <v>2894</v>
      </c>
      <c r="J902" t="str">
        <f>IF(ISNUMBER(MATCH($D902,'Lopettaneet 2013-&gt;'!$D:$D,0)),INDEX('Lopettaneet 2013-&gt;'!$K:$K,MATCH($D902,'Lopettaneet 2013-&gt;'!$D:$D,0)),"Jatkaa")</f>
        <v>Jatkaa</v>
      </c>
      <c r="K902">
        <f ca="1">IF($J902="Jatkaa",DATEDIF($B902,TODAY(),"Y"),INDEX('Lopettaneet 2013-&gt;'!$L:$L,MATCH($D902,'Lopettaneet 2013-&gt;'!$D:$D,0)))</f>
        <v>3</v>
      </c>
      <c r="L902">
        <v>901</v>
      </c>
    </row>
    <row r="903" spans="1:12" x14ac:dyDescent="0.25">
      <c r="A903" t="s">
        <v>0</v>
      </c>
      <c r="B903" s="1">
        <v>44348</v>
      </c>
      <c r="C903" s="1">
        <v>55153</v>
      </c>
      <c r="D903" s="4" t="s">
        <v>1993</v>
      </c>
      <c r="E903" t="s">
        <v>10</v>
      </c>
      <c r="F903" t="s">
        <v>4</v>
      </c>
      <c r="G903" t="s">
        <v>32</v>
      </c>
      <c r="H903" t="s">
        <v>2775</v>
      </c>
      <c r="I903" t="s">
        <v>2894</v>
      </c>
      <c r="J903" t="str">
        <f>IF(ISNUMBER(MATCH($D903,'Lopettaneet 2013-&gt;'!$D:$D,0)),INDEX('Lopettaneet 2013-&gt;'!$K:$K,MATCH($D903,'Lopettaneet 2013-&gt;'!$D:$D,0)),"Jatkaa")</f>
        <v>Jatkaa</v>
      </c>
      <c r="K903">
        <f ca="1">IF($J903="Jatkaa",DATEDIF($B903,TODAY(),"Y"),INDEX('Lopettaneet 2013-&gt;'!$L:$L,MATCH($D903,'Lopettaneet 2013-&gt;'!$D:$D,0)))</f>
        <v>3</v>
      </c>
      <c r="L903">
        <v>902</v>
      </c>
    </row>
    <row r="904" spans="1:12" x14ac:dyDescent="0.25">
      <c r="A904" t="s">
        <v>7</v>
      </c>
      <c r="B904" s="1">
        <v>44531</v>
      </c>
      <c r="C904" s="1">
        <v>55153</v>
      </c>
      <c r="D904" s="4" t="s">
        <v>1995</v>
      </c>
      <c r="E904" t="s">
        <v>10</v>
      </c>
      <c r="F904" t="s">
        <v>11</v>
      </c>
      <c r="G904" t="s">
        <v>80</v>
      </c>
      <c r="H904" t="s">
        <v>2877</v>
      </c>
      <c r="I904" t="s">
        <v>2895</v>
      </c>
      <c r="J904" t="str">
        <f>IF(ISNUMBER(MATCH($D904,'Lopettaneet 2013-&gt;'!$D:$D,0)),INDEX('Lopettaneet 2013-&gt;'!$K:$K,MATCH($D904,'Lopettaneet 2013-&gt;'!$D:$D,0)),"Jatkaa")</f>
        <v>Jatkaa</v>
      </c>
      <c r="K904">
        <f ca="1">IF($J904="Jatkaa",DATEDIF($B904,TODAY(),"Y"),INDEX('Lopettaneet 2013-&gt;'!$L:$L,MATCH($D904,'Lopettaneet 2013-&gt;'!$D:$D,0)))</f>
        <v>3</v>
      </c>
      <c r="L904">
        <v>903</v>
      </c>
    </row>
    <row r="905" spans="1:12" x14ac:dyDescent="0.25">
      <c r="A905" t="s">
        <v>7</v>
      </c>
      <c r="B905" s="1">
        <v>44621</v>
      </c>
      <c r="C905" s="1">
        <v>55153</v>
      </c>
      <c r="D905" s="4" t="s">
        <v>1997</v>
      </c>
      <c r="E905" t="s">
        <v>10</v>
      </c>
      <c r="F905" t="s">
        <v>11</v>
      </c>
      <c r="G905" t="s">
        <v>80</v>
      </c>
      <c r="H905" t="s">
        <v>2876</v>
      </c>
      <c r="I905" t="s">
        <v>2894</v>
      </c>
      <c r="J905" t="str">
        <f>IF(ISNUMBER(MATCH($D905,'Lopettaneet 2013-&gt;'!$D:$D,0)),INDEX('Lopettaneet 2013-&gt;'!$K:$K,MATCH($D905,'Lopettaneet 2013-&gt;'!$D:$D,0)),"Jatkaa")</f>
        <v>Jatkaa</v>
      </c>
      <c r="K905">
        <f ca="1">IF($J905="Jatkaa",DATEDIF($B905,TODAY(),"Y"),INDEX('Lopettaneet 2013-&gt;'!$L:$L,MATCH($D905,'Lopettaneet 2013-&gt;'!$D:$D,0)))</f>
        <v>3</v>
      </c>
      <c r="L905">
        <v>904</v>
      </c>
    </row>
    <row r="906" spans="1:12" x14ac:dyDescent="0.25">
      <c r="A906" t="s">
        <v>7</v>
      </c>
      <c r="B906" s="1">
        <v>44440</v>
      </c>
      <c r="C906" s="1">
        <v>55153</v>
      </c>
      <c r="D906" s="4" t="s">
        <v>1999</v>
      </c>
      <c r="E906" t="s">
        <v>10</v>
      </c>
      <c r="F906" t="s">
        <v>11</v>
      </c>
      <c r="G906" t="s">
        <v>29</v>
      </c>
      <c r="H906" t="s">
        <v>2764</v>
      </c>
      <c r="I906" t="s">
        <v>2895</v>
      </c>
      <c r="J906" t="str">
        <f>IF(ISNUMBER(MATCH($D906,'Lopettaneet 2013-&gt;'!$D:$D,0)),INDEX('Lopettaneet 2013-&gt;'!$K:$K,MATCH($D906,'Lopettaneet 2013-&gt;'!$D:$D,0)),"Jatkaa")</f>
        <v>Jatkaa</v>
      </c>
      <c r="K906">
        <f ca="1">IF($J906="Jatkaa",DATEDIF($B906,TODAY(),"Y"),INDEX('Lopettaneet 2013-&gt;'!$L:$L,MATCH($D906,'Lopettaneet 2013-&gt;'!$D:$D,0)))</f>
        <v>3</v>
      </c>
      <c r="L906">
        <v>905</v>
      </c>
    </row>
    <row r="907" spans="1:12" x14ac:dyDescent="0.25">
      <c r="A907" t="s">
        <v>0</v>
      </c>
      <c r="B907" s="1">
        <v>44805</v>
      </c>
      <c r="C907" s="1">
        <v>55153</v>
      </c>
      <c r="D907" s="4" t="s">
        <v>2001</v>
      </c>
      <c r="E907" t="s">
        <v>10</v>
      </c>
      <c r="F907" t="s">
        <v>11</v>
      </c>
      <c r="G907" t="s">
        <v>29</v>
      </c>
      <c r="H907" t="s">
        <v>2764</v>
      </c>
      <c r="I907" t="s">
        <v>2895</v>
      </c>
      <c r="J907" t="str">
        <f>IF(ISNUMBER(MATCH($D907,'Lopettaneet 2013-&gt;'!$D:$D,0)),INDEX('Lopettaneet 2013-&gt;'!$K:$K,MATCH($D907,'Lopettaneet 2013-&gt;'!$D:$D,0)),"Jatkaa")</f>
        <v>Jatkaa</v>
      </c>
      <c r="K907">
        <f ca="1">IF($J907="Jatkaa",DATEDIF($B907,TODAY(),"Y"),INDEX('Lopettaneet 2013-&gt;'!$L:$L,MATCH($D907,'Lopettaneet 2013-&gt;'!$D:$D,0)))</f>
        <v>2</v>
      </c>
      <c r="L907">
        <v>906</v>
      </c>
    </row>
    <row r="908" spans="1:12" x14ac:dyDescent="0.25">
      <c r="A908" t="s">
        <v>7</v>
      </c>
      <c r="B908" s="1">
        <v>44348</v>
      </c>
      <c r="C908" s="1">
        <v>55153</v>
      </c>
      <c r="D908" s="4" t="s">
        <v>2003</v>
      </c>
      <c r="E908" t="s">
        <v>10</v>
      </c>
      <c r="F908" t="s">
        <v>11</v>
      </c>
      <c r="G908" t="s">
        <v>12</v>
      </c>
      <c r="H908" t="s">
        <v>2791</v>
      </c>
      <c r="I908" t="s">
        <v>2894</v>
      </c>
      <c r="J908" t="str">
        <f>IF(ISNUMBER(MATCH($D908,'Lopettaneet 2013-&gt;'!$D:$D,0)),INDEX('Lopettaneet 2013-&gt;'!$K:$K,MATCH($D908,'Lopettaneet 2013-&gt;'!$D:$D,0)),"Jatkaa")</f>
        <v>Jatkaa</v>
      </c>
      <c r="K908">
        <f ca="1">IF($J908="Jatkaa",DATEDIF($B908,TODAY(),"Y"),INDEX('Lopettaneet 2013-&gt;'!$L:$L,MATCH($D908,'Lopettaneet 2013-&gt;'!$D:$D,0)))</f>
        <v>3</v>
      </c>
      <c r="L908">
        <v>907</v>
      </c>
    </row>
    <row r="909" spans="1:12" x14ac:dyDescent="0.25">
      <c r="A909" t="s">
        <v>0</v>
      </c>
      <c r="B909" s="1">
        <v>44409</v>
      </c>
      <c r="C909" s="1">
        <v>55153</v>
      </c>
      <c r="D909" s="4" t="s">
        <v>2005</v>
      </c>
      <c r="E909" t="s">
        <v>10</v>
      </c>
      <c r="F909" t="s">
        <v>4</v>
      </c>
      <c r="G909" t="s">
        <v>5</v>
      </c>
      <c r="H909" t="s">
        <v>2777</v>
      </c>
      <c r="I909" t="s">
        <v>2894</v>
      </c>
      <c r="J909" t="str">
        <f>IF(ISNUMBER(MATCH($D909,'Lopettaneet 2013-&gt;'!$D:$D,0)),INDEX('Lopettaneet 2013-&gt;'!$K:$K,MATCH($D909,'Lopettaneet 2013-&gt;'!$D:$D,0)),"Jatkaa")</f>
        <v>Jatkaa</v>
      </c>
      <c r="K909">
        <f ca="1">IF($J909="Jatkaa",DATEDIF($B909,TODAY(),"Y"),INDEX('Lopettaneet 2013-&gt;'!$L:$L,MATCH($D909,'Lopettaneet 2013-&gt;'!$D:$D,0)))</f>
        <v>3</v>
      </c>
      <c r="L909">
        <v>908</v>
      </c>
    </row>
    <row r="910" spans="1:12" x14ac:dyDescent="0.25">
      <c r="A910" t="s">
        <v>7</v>
      </c>
      <c r="B910" s="1">
        <v>44531</v>
      </c>
      <c r="C910" s="1">
        <v>55153</v>
      </c>
      <c r="D910" s="4" t="s">
        <v>2007</v>
      </c>
      <c r="E910" t="s">
        <v>10</v>
      </c>
      <c r="F910" t="s">
        <v>11</v>
      </c>
      <c r="G910" t="s">
        <v>80</v>
      </c>
      <c r="H910" t="s">
        <v>2780</v>
      </c>
      <c r="I910" t="s">
        <v>2895</v>
      </c>
      <c r="J910" t="str">
        <f>IF(ISNUMBER(MATCH($D910,'Lopettaneet 2013-&gt;'!$D:$D,0)),INDEX('Lopettaneet 2013-&gt;'!$K:$K,MATCH($D910,'Lopettaneet 2013-&gt;'!$D:$D,0)),"Jatkaa")</f>
        <v>Jatkaa</v>
      </c>
      <c r="K910">
        <f ca="1">IF($J910="Jatkaa",DATEDIF($B910,TODAY(),"Y"),INDEX('Lopettaneet 2013-&gt;'!$L:$L,MATCH($D910,'Lopettaneet 2013-&gt;'!$D:$D,0)))</f>
        <v>3</v>
      </c>
      <c r="L910">
        <v>909</v>
      </c>
    </row>
    <row r="911" spans="1:12" x14ac:dyDescent="0.25">
      <c r="A911" t="s">
        <v>7</v>
      </c>
      <c r="B911" s="1">
        <v>44440</v>
      </c>
      <c r="C911" s="1">
        <v>55153</v>
      </c>
      <c r="D911" s="4" t="s">
        <v>2009</v>
      </c>
      <c r="E911" t="s">
        <v>10</v>
      </c>
      <c r="F911" t="s">
        <v>11</v>
      </c>
      <c r="G911" t="s">
        <v>29</v>
      </c>
      <c r="H911" t="s">
        <v>2771</v>
      </c>
      <c r="I911" t="s">
        <v>2894</v>
      </c>
      <c r="J911" t="str">
        <f>IF(ISNUMBER(MATCH($D911,'Lopettaneet 2013-&gt;'!$D:$D,0)),INDEX('Lopettaneet 2013-&gt;'!$K:$K,MATCH($D911,'Lopettaneet 2013-&gt;'!$D:$D,0)),"Jatkaa")</f>
        <v>Jatkaa</v>
      </c>
      <c r="K911">
        <f ca="1">IF($J911="Jatkaa",DATEDIF($B911,TODAY(),"Y"),INDEX('Lopettaneet 2013-&gt;'!$L:$L,MATCH($D911,'Lopettaneet 2013-&gt;'!$D:$D,0)))</f>
        <v>3</v>
      </c>
      <c r="L911">
        <v>910</v>
      </c>
    </row>
    <row r="912" spans="1:12" x14ac:dyDescent="0.25">
      <c r="A912" t="s">
        <v>7</v>
      </c>
      <c r="B912" s="1">
        <v>44440</v>
      </c>
      <c r="C912" s="1">
        <v>55153</v>
      </c>
      <c r="D912" s="4" t="s">
        <v>2011</v>
      </c>
      <c r="E912" t="s">
        <v>10</v>
      </c>
      <c r="F912" t="s">
        <v>11</v>
      </c>
      <c r="G912" t="s">
        <v>29</v>
      </c>
      <c r="H912" t="s">
        <v>2771</v>
      </c>
      <c r="I912" t="s">
        <v>2894</v>
      </c>
      <c r="J912" t="str">
        <f>IF(ISNUMBER(MATCH($D912,'Lopettaneet 2013-&gt;'!$D:$D,0)),INDEX('Lopettaneet 2013-&gt;'!$K:$K,MATCH($D912,'Lopettaneet 2013-&gt;'!$D:$D,0)),"Jatkaa")</f>
        <v>Jatkaa</v>
      </c>
      <c r="K912">
        <f ca="1">IF($J912="Jatkaa",DATEDIF($B912,TODAY(),"Y"),INDEX('Lopettaneet 2013-&gt;'!$L:$L,MATCH($D912,'Lopettaneet 2013-&gt;'!$D:$D,0)))</f>
        <v>3</v>
      </c>
      <c r="L912">
        <v>911</v>
      </c>
    </row>
    <row r="913" spans="1:12" x14ac:dyDescent="0.25">
      <c r="A913" t="s">
        <v>0</v>
      </c>
      <c r="B913" s="1">
        <v>44378</v>
      </c>
      <c r="C913" s="1">
        <v>55153</v>
      </c>
      <c r="D913" s="4" t="s">
        <v>2013</v>
      </c>
      <c r="E913" t="s">
        <v>10</v>
      </c>
      <c r="F913" t="s">
        <v>4</v>
      </c>
      <c r="G913" t="s">
        <v>20</v>
      </c>
      <c r="H913" t="s">
        <v>2765</v>
      </c>
      <c r="I913" t="s">
        <v>2894</v>
      </c>
      <c r="J913" t="str">
        <f>IF(ISNUMBER(MATCH($D913,'Lopettaneet 2013-&gt;'!$D:$D,0)),INDEX('Lopettaneet 2013-&gt;'!$K:$K,MATCH($D913,'Lopettaneet 2013-&gt;'!$D:$D,0)),"Jatkaa")</f>
        <v>Jatkaa</v>
      </c>
      <c r="K913">
        <f ca="1">IF($J913="Jatkaa",DATEDIF($B913,TODAY(),"Y"),INDEX('Lopettaneet 2013-&gt;'!$L:$L,MATCH($D913,'Lopettaneet 2013-&gt;'!$D:$D,0)))</f>
        <v>3</v>
      </c>
      <c r="L913">
        <v>912</v>
      </c>
    </row>
    <row r="914" spans="1:12" x14ac:dyDescent="0.25">
      <c r="A914" t="s">
        <v>7</v>
      </c>
      <c r="B914" s="1">
        <v>44440</v>
      </c>
      <c r="C914" s="1">
        <v>55153</v>
      </c>
      <c r="D914" s="4" t="s">
        <v>2015</v>
      </c>
      <c r="E914" t="s">
        <v>10</v>
      </c>
      <c r="F914" t="s">
        <v>11</v>
      </c>
      <c r="G914" t="s">
        <v>12</v>
      </c>
      <c r="H914" t="s">
        <v>2833</v>
      </c>
      <c r="I914" t="s">
        <v>2894</v>
      </c>
      <c r="J914" t="str">
        <f>IF(ISNUMBER(MATCH($D914,'Lopettaneet 2013-&gt;'!$D:$D,0)),INDEX('Lopettaneet 2013-&gt;'!$K:$K,MATCH($D914,'Lopettaneet 2013-&gt;'!$D:$D,0)),"Jatkaa")</f>
        <v>Jatkaa</v>
      </c>
      <c r="K914">
        <f ca="1">IF($J914="Jatkaa",DATEDIF($B914,TODAY(),"Y"),INDEX('Lopettaneet 2013-&gt;'!$L:$L,MATCH($D914,'Lopettaneet 2013-&gt;'!$D:$D,0)))</f>
        <v>3</v>
      </c>
      <c r="L914">
        <v>913</v>
      </c>
    </row>
    <row r="915" spans="1:12" x14ac:dyDescent="0.25">
      <c r="A915" t="s">
        <v>7</v>
      </c>
      <c r="B915" s="1">
        <v>44440</v>
      </c>
      <c r="C915" s="1">
        <v>55153</v>
      </c>
      <c r="D915" s="4" t="s">
        <v>2017</v>
      </c>
      <c r="E915" t="s">
        <v>10</v>
      </c>
      <c r="F915" t="s">
        <v>11</v>
      </c>
      <c r="G915" t="s">
        <v>29</v>
      </c>
      <c r="H915" t="s">
        <v>2771</v>
      </c>
      <c r="I915" t="s">
        <v>2894</v>
      </c>
      <c r="J915" t="str">
        <f>IF(ISNUMBER(MATCH($D915,'Lopettaneet 2013-&gt;'!$D:$D,0)),INDEX('Lopettaneet 2013-&gt;'!$K:$K,MATCH($D915,'Lopettaneet 2013-&gt;'!$D:$D,0)),"Jatkaa")</f>
        <v>Jatkaa</v>
      </c>
      <c r="K915">
        <f ca="1">IF($J915="Jatkaa",DATEDIF($B915,TODAY(),"Y"),INDEX('Lopettaneet 2013-&gt;'!$L:$L,MATCH($D915,'Lopettaneet 2013-&gt;'!$D:$D,0)))</f>
        <v>3</v>
      </c>
      <c r="L915">
        <v>914</v>
      </c>
    </row>
    <row r="916" spans="1:12" x14ac:dyDescent="0.25">
      <c r="A916" t="s">
        <v>0</v>
      </c>
      <c r="B916" s="1">
        <v>44378</v>
      </c>
      <c r="C916" s="1">
        <v>45412</v>
      </c>
      <c r="D916" s="4" t="s">
        <v>2019</v>
      </c>
      <c r="E916" t="s">
        <v>10</v>
      </c>
      <c r="F916" t="s">
        <v>4</v>
      </c>
      <c r="G916" t="s">
        <v>20</v>
      </c>
      <c r="H916" t="s">
        <v>2842</v>
      </c>
      <c r="I916" t="s">
        <v>2895</v>
      </c>
      <c r="J916" t="str">
        <f>IF(ISNUMBER(MATCH($D916,'Lopettaneet 2013-&gt;'!$D:$D,0)),INDEX('Lopettaneet 2013-&gt;'!$K:$K,MATCH($D916,'Lopettaneet 2013-&gt;'!$D:$D,0)),"Jatkaa")</f>
        <v>Closed</v>
      </c>
      <c r="K916">
        <f ca="1">IF($J916="Jatkaa",DATEDIF($B916,TODAY(),"Y"),INDEX('Lopettaneet 2013-&gt;'!$L:$L,MATCH($D916,'Lopettaneet 2013-&gt;'!$D:$D,0)))</f>
        <v>2</v>
      </c>
      <c r="L916">
        <v>915</v>
      </c>
    </row>
    <row r="917" spans="1:12" x14ac:dyDescent="0.25">
      <c r="A917" t="s">
        <v>7</v>
      </c>
      <c r="B917" s="1">
        <v>44531</v>
      </c>
      <c r="C917" s="1">
        <v>55153</v>
      </c>
      <c r="D917" s="4" t="s">
        <v>2021</v>
      </c>
      <c r="E917" t="s">
        <v>10</v>
      </c>
      <c r="F917" t="s">
        <v>11</v>
      </c>
      <c r="G917" t="s">
        <v>29</v>
      </c>
      <c r="H917" t="s">
        <v>2765</v>
      </c>
      <c r="I917" t="s">
        <v>2894</v>
      </c>
      <c r="J917" t="str">
        <f>IF(ISNUMBER(MATCH($D917,'Lopettaneet 2013-&gt;'!$D:$D,0)),INDEX('Lopettaneet 2013-&gt;'!$K:$K,MATCH($D917,'Lopettaneet 2013-&gt;'!$D:$D,0)),"Jatkaa")</f>
        <v>Jatkaa</v>
      </c>
      <c r="K917">
        <f ca="1">IF($J917="Jatkaa",DATEDIF($B917,TODAY(),"Y"),INDEX('Lopettaneet 2013-&gt;'!$L:$L,MATCH($D917,'Lopettaneet 2013-&gt;'!$D:$D,0)))</f>
        <v>3</v>
      </c>
      <c r="L917">
        <v>916</v>
      </c>
    </row>
    <row r="918" spans="1:12" x14ac:dyDescent="0.25">
      <c r="A918" t="s">
        <v>7</v>
      </c>
      <c r="B918" s="1">
        <v>44531</v>
      </c>
      <c r="C918" s="1">
        <v>55153</v>
      </c>
      <c r="D918" s="4" t="s">
        <v>2023</v>
      </c>
      <c r="E918" t="s">
        <v>10</v>
      </c>
      <c r="F918" t="s">
        <v>11</v>
      </c>
      <c r="G918" t="s">
        <v>29</v>
      </c>
      <c r="H918" t="s">
        <v>2765</v>
      </c>
      <c r="I918" t="s">
        <v>2894</v>
      </c>
      <c r="J918" t="str">
        <f>IF(ISNUMBER(MATCH($D918,'Lopettaneet 2013-&gt;'!$D:$D,0)),INDEX('Lopettaneet 2013-&gt;'!$K:$K,MATCH($D918,'Lopettaneet 2013-&gt;'!$D:$D,0)),"Jatkaa")</f>
        <v>Jatkaa</v>
      </c>
      <c r="K918">
        <f ca="1">IF($J918="Jatkaa",DATEDIF($B918,TODAY(),"Y"),INDEX('Lopettaneet 2013-&gt;'!$L:$L,MATCH($D918,'Lopettaneet 2013-&gt;'!$D:$D,0)))</f>
        <v>3</v>
      </c>
      <c r="L918">
        <v>917</v>
      </c>
    </row>
    <row r="919" spans="1:12" x14ac:dyDescent="0.25">
      <c r="A919" t="s">
        <v>7</v>
      </c>
      <c r="B919" s="1">
        <v>44348</v>
      </c>
      <c r="C919" s="1">
        <v>55153</v>
      </c>
      <c r="D919" s="4" t="s">
        <v>2025</v>
      </c>
      <c r="E919" t="s">
        <v>10</v>
      </c>
      <c r="F919" t="s">
        <v>11</v>
      </c>
      <c r="G919" t="s">
        <v>12</v>
      </c>
      <c r="H919" t="s">
        <v>2791</v>
      </c>
      <c r="I919" t="s">
        <v>2894</v>
      </c>
      <c r="J919" t="str">
        <f>IF(ISNUMBER(MATCH($D919,'Lopettaneet 2013-&gt;'!$D:$D,0)),INDEX('Lopettaneet 2013-&gt;'!$K:$K,MATCH($D919,'Lopettaneet 2013-&gt;'!$D:$D,0)),"Jatkaa")</f>
        <v>Jatkaa</v>
      </c>
      <c r="K919">
        <f ca="1">IF($J919="Jatkaa",DATEDIF($B919,TODAY(),"Y"),INDEX('Lopettaneet 2013-&gt;'!$L:$L,MATCH($D919,'Lopettaneet 2013-&gt;'!$D:$D,0)))</f>
        <v>3</v>
      </c>
      <c r="L919">
        <v>918</v>
      </c>
    </row>
    <row r="920" spans="1:12" x14ac:dyDescent="0.25">
      <c r="A920" t="s">
        <v>7</v>
      </c>
      <c r="B920" s="1">
        <v>44531</v>
      </c>
      <c r="C920" s="1">
        <v>55153</v>
      </c>
      <c r="D920" s="4" t="s">
        <v>2027</v>
      </c>
      <c r="E920" t="s">
        <v>10</v>
      </c>
      <c r="F920" t="s">
        <v>11</v>
      </c>
      <c r="G920" t="s">
        <v>12</v>
      </c>
      <c r="H920" t="s">
        <v>2878</v>
      </c>
      <c r="I920" t="s">
        <v>2894</v>
      </c>
      <c r="J920" t="str">
        <f>IF(ISNUMBER(MATCH($D920,'Lopettaneet 2013-&gt;'!$D:$D,0)),INDEX('Lopettaneet 2013-&gt;'!$K:$K,MATCH($D920,'Lopettaneet 2013-&gt;'!$D:$D,0)),"Jatkaa")</f>
        <v>Jatkaa</v>
      </c>
      <c r="K920">
        <f ca="1">IF($J920="Jatkaa",DATEDIF($B920,TODAY(),"Y"),INDEX('Lopettaneet 2013-&gt;'!$L:$L,MATCH($D920,'Lopettaneet 2013-&gt;'!$D:$D,0)))</f>
        <v>3</v>
      </c>
      <c r="L920">
        <v>919</v>
      </c>
    </row>
    <row r="921" spans="1:12" x14ac:dyDescent="0.25">
      <c r="A921" t="s">
        <v>7</v>
      </c>
      <c r="B921" s="1">
        <v>44440</v>
      </c>
      <c r="C921" s="1">
        <v>55153</v>
      </c>
      <c r="D921" s="4" t="s">
        <v>2029</v>
      </c>
      <c r="E921" t="s">
        <v>10</v>
      </c>
      <c r="F921" t="s">
        <v>11</v>
      </c>
      <c r="G921" t="s">
        <v>32</v>
      </c>
      <c r="H921" t="s">
        <v>2771</v>
      </c>
      <c r="I921" t="s">
        <v>2894</v>
      </c>
      <c r="J921" t="str">
        <f>IF(ISNUMBER(MATCH($D921,'Lopettaneet 2013-&gt;'!$D:$D,0)),INDEX('Lopettaneet 2013-&gt;'!$K:$K,MATCH($D921,'Lopettaneet 2013-&gt;'!$D:$D,0)),"Jatkaa")</f>
        <v>Jatkaa</v>
      </c>
      <c r="K921">
        <f ca="1">IF($J921="Jatkaa",DATEDIF($B921,TODAY(),"Y"),INDEX('Lopettaneet 2013-&gt;'!$L:$L,MATCH($D921,'Lopettaneet 2013-&gt;'!$D:$D,0)))</f>
        <v>3</v>
      </c>
      <c r="L921">
        <v>920</v>
      </c>
    </row>
    <row r="922" spans="1:12" x14ac:dyDescent="0.25">
      <c r="A922" t="s">
        <v>7</v>
      </c>
      <c r="B922" s="1">
        <v>44440</v>
      </c>
      <c r="C922" s="1">
        <v>55153</v>
      </c>
      <c r="D922" s="4" t="s">
        <v>2031</v>
      </c>
      <c r="E922" t="s">
        <v>10</v>
      </c>
      <c r="F922" t="s">
        <v>11</v>
      </c>
      <c r="G922" t="s">
        <v>32</v>
      </c>
      <c r="H922" t="s">
        <v>2771</v>
      </c>
      <c r="I922" t="s">
        <v>2894</v>
      </c>
      <c r="J922" t="str">
        <f>IF(ISNUMBER(MATCH($D922,'Lopettaneet 2013-&gt;'!$D:$D,0)),INDEX('Lopettaneet 2013-&gt;'!$K:$K,MATCH($D922,'Lopettaneet 2013-&gt;'!$D:$D,0)),"Jatkaa")</f>
        <v>Jatkaa</v>
      </c>
      <c r="K922">
        <f ca="1">IF($J922="Jatkaa",DATEDIF($B922,TODAY(),"Y"),INDEX('Lopettaneet 2013-&gt;'!$L:$L,MATCH($D922,'Lopettaneet 2013-&gt;'!$D:$D,0)))</f>
        <v>3</v>
      </c>
      <c r="L922">
        <v>921</v>
      </c>
    </row>
    <row r="923" spans="1:12" x14ac:dyDescent="0.25">
      <c r="A923" t="s">
        <v>0</v>
      </c>
      <c r="B923" s="1">
        <v>44348</v>
      </c>
      <c r="C923" s="1">
        <v>55153</v>
      </c>
      <c r="D923" s="4" t="s">
        <v>2033</v>
      </c>
      <c r="E923" t="s">
        <v>10</v>
      </c>
      <c r="F923" t="s">
        <v>11</v>
      </c>
      <c r="G923" t="s">
        <v>20</v>
      </c>
      <c r="H923" t="s">
        <v>2766</v>
      </c>
      <c r="I923" t="s">
        <v>2895</v>
      </c>
      <c r="J923" t="str">
        <f>IF(ISNUMBER(MATCH($D923,'Lopettaneet 2013-&gt;'!$D:$D,0)),INDEX('Lopettaneet 2013-&gt;'!$K:$K,MATCH($D923,'Lopettaneet 2013-&gt;'!$D:$D,0)),"Jatkaa")</f>
        <v>Jatkaa</v>
      </c>
      <c r="K923">
        <f ca="1">IF($J923="Jatkaa",DATEDIF($B923,TODAY(),"Y"),INDEX('Lopettaneet 2013-&gt;'!$L:$L,MATCH($D923,'Lopettaneet 2013-&gt;'!$D:$D,0)))</f>
        <v>3</v>
      </c>
      <c r="L923">
        <v>922</v>
      </c>
    </row>
    <row r="924" spans="1:12" x14ac:dyDescent="0.25">
      <c r="A924" t="s">
        <v>0</v>
      </c>
      <c r="B924" s="1">
        <v>44440</v>
      </c>
      <c r="C924" s="1">
        <v>55153</v>
      </c>
      <c r="D924" s="4" t="s">
        <v>2035</v>
      </c>
      <c r="E924" t="s">
        <v>3</v>
      </c>
      <c r="F924" t="s">
        <v>4</v>
      </c>
      <c r="G924" t="s">
        <v>20</v>
      </c>
      <c r="H924" t="s">
        <v>2773</v>
      </c>
      <c r="I924" t="s">
        <v>2894</v>
      </c>
      <c r="J924" t="str">
        <f>IF(ISNUMBER(MATCH($D924,'Lopettaneet 2013-&gt;'!$D:$D,0)),INDEX('Lopettaneet 2013-&gt;'!$K:$K,MATCH($D924,'Lopettaneet 2013-&gt;'!$D:$D,0)),"Jatkaa")</f>
        <v>Jatkaa</v>
      </c>
      <c r="K924">
        <f ca="1">IF($J924="Jatkaa",DATEDIF($B924,TODAY(),"Y"),INDEX('Lopettaneet 2013-&gt;'!$L:$L,MATCH($D924,'Lopettaneet 2013-&gt;'!$D:$D,0)))</f>
        <v>3</v>
      </c>
      <c r="L924">
        <v>923</v>
      </c>
    </row>
    <row r="925" spans="1:12" x14ac:dyDescent="0.25">
      <c r="A925" t="s">
        <v>7</v>
      </c>
      <c r="B925" s="1">
        <v>44348</v>
      </c>
      <c r="C925" s="1">
        <v>55153</v>
      </c>
      <c r="D925" s="4" t="s">
        <v>2037</v>
      </c>
      <c r="E925" t="s">
        <v>10</v>
      </c>
      <c r="F925" t="s">
        <v>11</v>
      </c>
      <c r="G925" t="s">
        <v>80</v>
      </c>
      <c r="H925" t="s">
        <v>2850</v>
      </c>
      <c r="I925" t="s">
        <v>2894</v>
      </c>
      <c r="J925" t="str">
        <f>IF(ISNUMBER(MATCH($D925,'Lopettaneet 2013-&gt;'!$D:$D,0)),INDEX('Lopettaneet 2013-&gt;'!$K:$K,MATCH($D925,'Lopettaneet 2013-&gt;'!$D:$D,0)),"Jatkaa")</f>
        <v>Jatkaa</v>
      </c>
      <c r="K925">
        <f ca="1">IF($J925="Jatkaa",DATEDIF($B925,TODAY(),"Y"),INDEX('Lopettaneet 2013-&gt;'!$L:$L,MATCH($D925,'Lopettaneet 2013-&gt;'!$D:$D,0)))</f>
        <v>3</v>
      </c>
      <c r="L925">
        <v>924</v>
      </c>
    </row>
    <row r="926" spans="1:12" x14ac:dyDescent="0.25">
      <c r="A926" t="s">
        <v>0</v>
      </c>
      <c r="B926" s="1">
        <v>44805</v>
      </c>
      <c r="C926" s="1">
        <v>55153</v>
      </c>
      <c r="D926" s="4" t="s">
        <v>2039</v>
      </c>
      <c r="E926" t="s">
        <v>3</v>
      </c>
      <c r="F926" t="s">
        <v>4</v>
      </c>
      <c r="G926" t="s">
        <v>20</v>
      </c>
      <c r="H926" t="s">
        <v>2775</v>
      </c>
      <c r="I926" t="s">
        <v>2894</v>
      </c>
      <c r="J926" t="str">
        <f>IF(ISNUMBER(MATCH($D926,'Lopettaneet 2013-&gt;'!$D:$D,0)),INDEX('Lopettaneet 2013-&gt;'!$K:$K,MATCH($D926,'Lopettaneet 2013-&gt;'!$D:$D,0)),"Jatkaa")</f>
        <v>Jatkaa</v>
      </c>
      <c r="K926">
        <f ca="1">IF($J926="Jatkaa",DATEDIF($B926,TODAY(),"Y"),INDEX('Lopettaneet 2013-&gt;'!$L:$L,MATCH($D926,'Lopettaneet 2013-&gt;'!$D:$D,0)))</f>
        <v>2</v>
      </c>
      <c r="L926">
        <v>925</v>
      </c>
    </row>
    <row r="927" spans="1:12" x14ac:dyDescent="0.25">
      <c r="A927" t="s">
        <v>7</v>
      </c>
      <c r="B927" s="1">
        <v>44531</v>
      </c>
      <c r="C927" s="1">
        <v>55153</v>
      </c>
      <c r="D927" s="4" t="s">
        <v>2041</v>
      </c>
      <c r="E927" t="s">
        <v>10</v>
      </c>
      <c r="F927" t="s">
        <v>11</v>
      </c>
      <c r="G927" t="s">
        <v>29</v>
      </c>
      <c r="H927" t="s">
        <v>2771</v>
      </c>
      <c r="I927" t="s">
        <v>2894</v>
      </c>
      <c r="J927" t="str">
        <f>IF(ISNUMBER(MATCH($D927,'Lopettaneet 2013-&gt;'!$D:$D,0)),INDEX('Lopettaneet 2013-&gt;'!$K:$K,MATCH($D927,'Lopettaneet 2013-&gt;'!$D:$D,0)),"Jatkaa")</f>
        <v>Jatkaa</v>
      </c>
      <c r="K927">
        <f ca="1">IF($J927="Jatkaa",DATEDIF($B927,TODAY(),"Y"),INDEX('Lopettaneet 2013-&gt;'!$L:$L,MATCH($D927,'Lopettaneet 2013-&gt;'!$D:$D,0)))</f>
        <v>3</v>
      </c>
      <c r="L927">
        <v>926</v>
      </c>
    </row>
    <row r="928" spans="1:12" x14ac:dyDescent="0.25">
      <c r="A928" t="s">
        <v>0</v>
      </c>
      <c r="B928" s="1">
        <v>44378</v>
      </c>
      <c r="C928" s="1">
        <v>44926</v>
      </c>
      <c r="D928" s="4" t="s">
        <v>2043</v>
      </c>
      <c r="E928" t="s">
        <v>10</v>
      </c>
      <c r="F928" t="s">
        <v>4</v>
      </c>
      <c r="G928" t="s">
        <v>20</v>
      </c>
      <c r="H928" t="s">
        <v>2763</v>
      </c>
      <c r="I928" t="s">
        <v>2763</v>
      </c>
      <c r="J928" t="str">
        <f>IF(ISNUMBER(MATCH($D928,'Lopettaneet 2013-&gt;'!$D:$D,0)),INDEX('Lopettaneet 2013-&gt;'!$K:$K,MATCH($D928,'Lopettaneet 2013-&gt;'!$D:$D,0)),"Jatkaa")</f>
        <v>Merged</v>
      </c>
      <c r="K928">
        <f ca="1">IF($J928="Jatkaa",DATEDIF($B928,TODAY(),"Y"),INDEX('Lopettaneet 2013-&gt;'!$L:$L,MATCH($D928,'Lopettaneet 2013-&gt;'!$D:$D,0)))</f>
        <v>1</v>
      </c>
      <c r="L928">
        <v>927</v>
      </c>
    </row>
    <row r="929" spans="1:12" x14ac:dyDescent="0.25">
      <c r="A929" t="s">
        <v>0</v>
      </c>
      <c r="B929" s="1">
        <v>44531</v>
      </c>
      <c r="C929" s="1">
        <v>55153</v>
      </c>
      <c r="D929" s="4" t="s">
        <v>2045</v>
      </c>
      <c r="E929" t="s">
        <v>10</v>
      </c>
      <c r="F929" t="s">
        <v>4</v>
      </c>
      <c r="G929" t="s">
        <v>32</v>
      </c>
      <c r="H929" t="s">
        <v>2765</v>
      </c>
      <c r="I929" t="s">
        <v>2894</v>
      </c>
      <c r="J929" t="str">
        <f>IF(ISNUMBER(MATCH($D929,'Lopettaneet 2013-&gt;'!$D:$D,0)),INDEX('Lopettaneet 2013-&gt;'!$K:$K,MATCH($D929,'Lopettaneet 2013-&gt;'!$D:$D,0)),"Jatkaa")</f>
        <v>Jatkaa</v>
      </c>
      <c r="K929">
        <f ca="1">IF($J929="Jatkaa",DATEDIF($B929,TODAY(),"Y"),INDEX('Lopettaneet 2013-&gt;'!$L:$L,MATCH($D929,'Lopettaneet 2013-&gt;'!$D:$D,0)))</f>
        <v>3</v>
      </c>
      <c r="L929">
        <v>928</v>
      </c>
    </row>
    <row r="930" spans="1:12" x14ac:dyDescent="0.25">
      <c r="A930" t="s">
        <v>0</v>
      </c>
      <c r="B930" s="1">
        <v>44440</v>
      </c>
      <c r="C930" s="1">
        <v>55153</v>
      </c>
      <c r="D930" s="4" t="s">
        <v>2047</v>
      </c>
      <c r="E930" t="s">
        <v>10</v>
      </c>
      <c r="F930" t="s">
        <v>4</v>
      </c>
      <c r="G930" t="s">
        <v>20</v>
      </c>
      <c r="H930" t="s">
        <v>2842</v>
      </c>
      <c r="I930" t="s">
        <v>2894</v>
      </c>
      <c r="J930" t="str">
        <f>IF(ISNUMBER(MATCH($D930,'Lopettaneet 2013-&gt;'!$D:$D,0)),INDEX('Lopettaneet 2013-&gt;'!$K:$K,MATCH($D930,'Lopettaneet 2013-&gt;'!$D:$D,0)),"Jatkaa")</f>
        <v>Jatkaa</v>
      </c>
      <c r="K930">
        <f ca="1">IF($J930="Jatkaa",DATEDIF($B930,TODAY(),"Y"),INDEX('Lopettaneet 2013-&gt;'!$L:$L,MATCH($D930,'Lopettaneet 2013-&gt;'!$D:$D,0)))</f>
        <v>3</v>
      </c>
      <c r="L930">
        <v>929</v>
      </c>
    </row>
    <row r="931" spans="1:12" x14ac:dyDescent="0.25">
      <c r="A931" t="s">
        <v>7</v>
      </c>
      <c r="B931" s="1">
        <v>44531</v>
      </c>
      <c r="C931" s="1">
        <v>55153</v>
      </c>
      <c r="D931" s="4" t="s">
        <v>2049</v>
      </c>
      <c r="E931" t="s">
        <v>10</v>
      </c>
      <c r="F931" t="s">
        <v>11</v>
      </c>
      <c r="G931" t="s">
        <v>32</v>
      </c>
      <c r="H931" t="s">
        <v>2829</v>
      </c>
      <c r="I931" t="s">
        <v>2895</v>
      </c>
      <c r="J931" t="str">
        <f>IF(ISNUMBER(MATCH($D931,'Lopettaneet 2013-&gt;'!$D:$D,0)),INDEX('Lopettaneet 2013-&gt;'!$K:$K,MATCH($D931,'Lopettaneet 2013-&gt;'!$D:$D,0)),"Jatkaa")</f>
        <v>Jatkaa</v>
      </c>
      <c r="K931">
        <f ca="1">IF($J931="Jatkaa",DATEDIF($B931,TODAY(),"Y"),INDEX('Lopettaneet 2013-&gt;'!$L:$L,MATCH($D931,'Lopettaneet 2013-&gt;'!$D:$D,0)))</f>
        <v>3</v>
      </c>
      <c r="L931">
        <v>930</v>
      </c>
    </row>
    <row r="932" spans="1:12" x14ac:dyDescent="0.25">
      <c r="A932" t="s">
        <v>0</v>
      </c>
      <c r="B932" s="1">
        <v>44440</v>
      </c>
      <c r="C932" s="1">
        <v>55153</v>
      </c>
      <c r="D932" s="4" t="s">
        <v>2051</v>
      </c>
      <c r="E932" t="s">
        <v>3</v>
      </c>
      <c r="F932" t="s">
        <v>4</v>
      </c>
      <c r="G932" t="s">
        <v>20</v>
      </c>
      <c r="H932" t="s">
        <v>2802</v>
      </c>
      <c r="I932" t="s">
        <v>2894</v>
      </c>
      <c r="J932" t="str">
        <f>IF(ISNUMBER(MATCH($D932,'Lopettaneet 2013-&gt;'!$D:$D,0)),INDEX('Lopettaneet 2013-&gt;'!$K:$K,MATCH($D932,'Lopettaneet 2013-&gt;'!$D:$D,0)),"Jatkaa")</f>
        <v>Jatkaa</v>
      </c>
      <c r="K932">
        <f ca="1">IF($J932="Jatkaa",DATEDIF($B932,TODAY(),"Y"),INDEX('Lopettaneet 2013-&gt;'!$L:$L,MATCH($D932,'Lopettaneet 2013-&gt;'!$D:$D,0)))</f>
        <v>3</v>
      </c>
      <c r="L932">
        <v>931</v>
      </c>
    </row>
    <row r="933" spans="1:12" x14ac:dyDescent="0.25">
      <c r="A933" t="s">
        <v>7</v>
      </c>
      <c r="B933" s="1">
        <v>44440</v>
      </c>
      <c r="C933" s="1">
        <v>55153</v>
      </c>
      <c r="D933" s="4" t="s">
        <v>2053</v>
      </c>
      <c r="E933" t="s">
        <v>10</v>
      </c>
      <c r="F933" t="s">
        <v>11</v>
      </c>
      <c r="G933" t="s">
        <v>32</v>
      </c>
      <c r="H933" t="s">
        <v>2771</v>
      </c>
      <c r="I933" t="s">
        <v>2894</v>
      </c>
      <c r="J933" t="str">
        <f>IF(ISNUMBER(MATCH($D933,'Lopettaneet 2013-&gt;'!$D:$D,0)),INDEX('Lopettaneet 2013-&gt;'!$K:$K,MATCH($D933,'Lopettaneet 2013-&gt;'!$D:$D,0)),"Jatkaa")</f>
        <v>Jatkaa</v>
      </c>
      <c r="K933">
        <f ca="1">IF($J933="Jatkaa",DATEDIF($B933,TODAY(),"Y"),INDEX('Lopettaneet 2013-&gt;'!$L:$L,MATCH($D933,'Lopettaneet 2013-&gt;'!$D:$D,0)))</f>
        <v>3</v>
      </c>
      <c r="L933">
        <v>932</v>
      </c>
    </row>
    <row r="934" spans="1:12" x14ac:dyDescent="0.25">
      <c r="A934" t="s">
        <v>0</v>
      </c>
      <c r="B934" s="1">
        <v>44682</v>
      </c>
      <c r="C934" s="1">
        <v>55153</v>
      </c>
      <c r="D934" s="4" t="s">
        <v>2055</v>
      </c>
      <c r="E934" t="s">
        <v>10</v>
      </c>
      <c r="F934" t="s">
        <v>4</v>
      </c>
      <c r="G934" t="s">
        <v>29</v>
      </c>
      <c r="H934" t="s">
        <v>2767</v>
      </c>
      <c r="I934" t="s">
        <v>2894</v>
      </c>
      <c r="J934" t="str">
        <f>IF(ISNUMBER(MATCH($D934,'Lopettaneet 2013-&gt;'!$D:$D,0)),INDEX('Lopettaneet 2013-&gt;'!$K:$K,MATCH($D934,'Lopettaneet 2013-&gt;'!$D:$D,0)),"Jatkaa")</f>
        <v>Jatkaa</v>
      </c>
      <c r="K934">
        <f ca="1">IF($J934="Jatkaa",DATEDIF($B934,TODAY(),"Y"),INDEX('Lopettaneet 2013-&gt;'!$L:$L,MATCH($D934,'Lopettaneet 2013-&gt;'!$D:$D,0)))</f>
        <v>3</v>
      </c>
      <c r="L934">
        <v>933</v>
      </c>
    </row>
    <row r="935" spans="1:12" x14ac:dyDescent="0.25">
      <c r="A935" t="s">
        <v>7</v>
      </c>
      <c r="B935" s="1">
        <v>44531</v>
      </c>
      <c r="C935" s="1">
        <v>55153</v>
      </c>
      <c r="D935" s="4" t="s">
        <v>2057</v>
      </c>
      <c r="E935" t="s">
        <v>10</v>
      </c>
      <c r="F935" t="s">
        <v>11</v>
      </c>
      <c r="G935" t="s">
        <v>32</v>
      </c>
      <c r="H935" t="s">
        <v>2777</v>
      </c>
      <c r="I935" t="s">
        <v>2894</v>
      </c>
      <c r="J935" t="str">
        <f>IF(ISNUMBER(MATCH($D935,'Lopettaneet 2013-&gt;'!$D:$D,0)),INDEX('Lopettaneet 2013-&gt;'!$K:$K,MATCH($D935,'Lopettaneet 2013-&gt;'!$D:$D,0)),"Jatkaa")</f>
        <v>Jatkaa</v>
      </c>
      <c r="K935">
        <f ca="1">IF($J935="Jatkaa",DATEDIF($B935,TODAY(),"Y"),INDEX('Lopettaneet 2013-&gt;'!$L:$L,MATCH($D935,'Lopettaneet 2013-&gt;'!$D:$D,0)))</f>
        <v>3</v>
      </c>
      <c r="L935">
        <v>934</v>
      </c>
    </row>
    <row r="936" spans="1:12" x14ac:dyDescent="0.25">
      <c r="A936" t="s">
        <v>7</v>
      </c>
      <c r="B936" s="1">
        <v>44531</v>
      </c>
      <c r="C936" s="1">
        <v>55153</v>
      </c>
      <c r="D936" s="4" t="s">
        <v>2059</v>
      </c>
      <c r="E936" t="s">
        <v>10</v>
      </c>
      <c r="F936" t="s">
        <v>11</v>
      </c>
      <c r="G936" t="s">
        <v>32</v>
      </c>
      <c r="H936" t="s">
        <v>2777</v>
      </c>
      <c r="I936" t="s">
        <v>2894</v>
      </c>
      <c r="J936" t="str">
        <f>IF(ISNUMBER(MATCH($D936,'Lopettaneet 2013-&gt;'!$D:$D,0)),INDEX('Lopettaneet 2013-&gt;'!$K:$K,MATCH($D936,'Lopettaneet 2013-&gt;'!$D:$D,0)),"Jatkaa")</f>
        <v>Jatkaa</v>
      </c>
      <c r="K936">
        <f ca="1">IF($J936="Jatkaa",DATEDIF($B936,TODAY(),"Y"),INDEX('Lopettaneet 2013-&gt;'!$L:$L,MATCH($D936,'Lopettaneet 2013-&gt;'!$D:$D,0)))</f>
        <v>3</v>
      </c>
      <c r="L936">
        <v>935</v>
      </c>
    </row>
    <row r="937" spans="1:12" x14ac:dyDescent="0.25">
      <c r="A937" t="s">
        <v>7</v>
      </c>
      <c r="B937" s="1">
        <v>44531</v>
      </c>
      <c r="C937" s="1">
        <v>55153</v>
      </c>
      <c r="D937" s="4" t="s">
        <v>2061</v>
      </c>
      <c r="E937" t="s">
        <v>10</v>
      </c>
      <c r="F937" t="s">
        <v>11</v>
      </c>
      <c r="G937" t="s">
        <v>32</v>
      </c>
      <c r="H937" t="s">
        <v>2777</v>
      </c>
      <c r="I937" t="s">
        <v>2894</v>
      </c>
      <c r="J937" t="str">
        <f>IF(ISNUMBER(MATCH($D937,'Lopettaneet 2013-&gt;'!$D:$D,0)),INDEX('Lopettaneet 2013-&gt;'!$K:$K,MATCH($D937,'Lopettaneet 2013-&gt;'!$D:$D,0)),"Jatkaa")</f>
        <v>Jatkaa</v>
      </c>
      <c r="K937">
        <f ca="1">IF($J937="Jatkaa",DATEDIF($B937,TODAY(),"Y"),INDEX('Lopettaneet 2013-&gt;'!$L:$L,MATCH($D937,'Lopettaneet 2013-&gt;'!$D:$D,0)))</f>
        <v>3</v>
      </c>
      <c r="L937">
        <v>936</v>
      </c>
    </row>
    <row r="938" spans="1:12" x14ac:dyDescent="0.25">
      <c r="A938" t="s">
        <v>7</v>
      </c>
      <c r="B938" s="1">
        <v>44531</v>
      </c>
      <c r="C938" s="1">
        <v>55153</v>
      </c>
      <c r="D938" s="4" t="s">
        <v>2063</v>
      </c>
      <c r="E938" t="s">
        <v>10</v>
      </c>
      <c r="F938" t="s">
        <v>11</v>
      </c>
      <c r="G938" t="s">
        <v>32</v>
      </c>
      <c r="H938" t="s">
        <v>2777</v>
      </c>
      <c r="I938" t="s">
        <v>2894</v>
      </c>
      <c r="J938" t="str">
        <f>IF(ISNUMBER(MATCH($D938,'Lopettaneet 2013-&gt;'!$D:$D,0)),INDEX('Lopettaneet 2013-&gt;'!$K:$K,MATCH($D938,'Lopettaneet 2013-&gt;'!$D:$D,0)),"Jatkaa")</f>
        <v>Jatkaa</v>
      </c>
      <c r="K938">
        <f ca="1">IF($J938="Jatkaa",DATEDIF($B938,TODAY(),"Y"),INDEX('Lopettaneet 2013-&gt;'!$L:$L,MATCH($D938,'Lopettaneet 2013-&gt;'!$D:$D,0)))</f>
        <v>3</v>
      </c>
      <c r="L938">
        <v>937</v>
      </c>
    </row>
    <row r="939" spans="1:12" x14ac:dyDescent="0.25">
      <c r="A939" t="s">
        <v>7</v>
      </c>
      <c r="B939" s="1">
        <v>44531</v>
      </c>
      <c r="C939" s="1">
        <v>55153</v>
      </c>
      <c r="D939" s="4" t="s">
        <v>2065</v>
      </c>
      <c r="E939" t="s">
        <v>10</v>
      </c>
      <c r="F939" t="s">
        <v>11</v>
      </c>
      <c r="G939" t="s">
        <v>32</v>
      </c>
      <c r="H939" t="s">
        <v>2777</v>
      </c>
      <c r="I939" t="s">
        <v>2894</v>
      </c>
      <c r="J939" t="str">
        <f>IF(ISNUMBER(MATCH($D939,'Lopettaneet 2013-&gt;'!$D:$D,0)),INDEX('Lopettaneet 2013-&gt;'!$K:$K,MATCH($D939,'Lopettaneet 2013-&gt;'!$D:$D,0)),"Jatkaa")</f>
        <v>Jatkaa</v>
      </c>
      <c r="K939">
        <f ca="1">IF($J939="Jatkaa",DATEDIF($B939,TODAY(),"Y"),INDEX('Lopettaneet 2013-&gt;'!$L:$L,MATCH($D939,'Lopettaneet 2013-&gt;'!$D:$D,0)))</f>
        <v>3</v>
      </c>
      <c r="L939">
        <v>938</v>
      </c>
    </row>
    <row r="940" spans="1:12" x14ac:dyDescent="0.25">
      <c r="A940" t="s">
        <v>7</v>
      </c>
      <c r="B940" s="1">
        <v>44713</v>
      </c>
      <c r="C940" s="1">
        <v>55153</v>
      </c>
      <c r="D940" s="4" t="s">
        <v>2067</v>
      </c>
      <c r="E940" t="s">
        <v>10</v>
      </c>
      <c r="F940" t="s">
        <v>11</v>
      </c>
      <c r="G940" t="s">
        <v>32</v>
      </c>
      <c r="H940" t="s">
        <v>2801</v>
      </c>
      <c r="I940" t="s">
        <v>2894</v>
      </c>
      <c r="J940" t="str">
        <f>IF(ISNUMBER(MATCH($D940,'Lopettaneet 2013-&gt;'!$D:$D,0)),INDEX('Lopettaneet 2013-&gt;'!$K:$K,MATCH($D940,'Lopettaneet 2013-&gt;'!$D:$D,0)),"Jatkaa")</f>
        <v>Jatkaa</v>
      </c>
      <c r="K940">
        <f ca="1">IF($J940="Jatkaa",DATEDIF($B940,TODAY(),"Y"),INDEX('Lopettaneet 2013-&gt;'!$L:$L,MATCH($D940,'Lopettaneet 2013-&gt;'!$D:$D,0)))</f>
        <v>2</v>
      </c>
      <c r="L940">
        <v>939</v>
      </c>
    </row>
    <row r="941" spans="1:12" x14ac:dyDescent="0.25">
      <c r="A941" t="s">
        <v>7</v>
      </c>
      <c r="B941" s="1">
        <v>44621</v>
      </c>
      <c r="C941" s="1">
        <v>55153</v>
      </c>
      <c r="D941" s="4" t="s">
        <v>2069</v>
      </c>
      <c r="E941" t="s">
        <v>10</v>
      </c>
      <c r="F941" t="s">
        <v>11</v>
      </c>
      <c r="G941" t="s">
        <v>12</v>
      </c>
      <c r="H941" t="s">
        <v>2863</v>
      </c>
      <c r="I941" t="s">
        <v>2895</v>
      </c>
      <c r="J941" t="str">
        <f>IF(ISNUMBER(MATCH($D941,'Lopettaneet 2013-&gt;'!$D:$D,0)),INDEX('Lopettaneet 2013-&gt;'!$K:$K,MATCH($D941,'Lopettaneet 2013-&gt;'!$D:$D,0)),"Jatkaa")</f>
        <v>Jatkaa</v>
      </c>
      <c r="K941">
        <f ca="1">IF($J941="Jatkaa",DATEDIF($B941,TODAY(),"Y"),INDEX('Lopettaneet 2013-&gt;'!$L:$L,MATCH($D941,'Lopettaneet 2013-&gt;'!$D:$D,0)))</f>
        <v>3</v>
      </c>
      <c r="L941">
        <v>940</v>
      </c>
    </row>
    <row r="942" spans="1:12" x14ac:dyDescent="0.25">
      <c r="A942" t="s">
        <v>0</v>
      </c>
      <c r="B942" s="1">
        <v>44531</v>
      </c>
      <c r="C942" s="1">
        <v>55153</v>
      </c>
      <c r="D942" s="4" t="s">
        <v>2071</v>
      </c>
      <c r="E942" t="s">
        <v>10</v>
      </c>
      <c r="F942" t="s">
        <v>11</v>
      </c>
      <c r="G942" t="s">
        <v>20</v>
      </c>
      <c r="H942" t="s">
        <v>2847</v>
      </c>
      <c r="I942" t="s">
        <v>2895</v>
      </c>
      <c r="J942" t="str">
        <f>IF(ISNUMBER(MATCH($D942,'Lopettaneet 2013-&gt;'!$D:$D,0)),INDEX('Lopettaneet 2013-&gt;'!$K:$K,MATCH($D942,'Lopettaneet 2013-&gt;'!$D:$D,0)),"Jatkaa")</f>
        <v>Jatkaa</v>
      </c>
      <c r="K942">
        <f ca="1">IF($J942="Jatkaa",DATEDIF($B942,TODAY(),"Y"),INDEX('Lopettaneet 2013-&gt;'!$L:$L,MATCH($D942,'Lopettaneet 2013-&gt;'!$D:$D,0)))</f>
        <v>3</v>
      </c>
      <c r="L942">
        <v>941</v>
      </c>
    </row>
    <row r="943" spans="1:12" x14ac:dyDescent="0.25">
      <c r="A943" t="s">
        <v>7</v>
      </c>
      <c r="B943" s="1">
        <v>44621</v>
      </c>
      <c r="C943" s="1">
        <v>55153</v>
      </c>
      <c r="D943" s="4" t="s">
        <v>2073</v>
      </c>
      <c r="E943" t="s">
        <v>10</v>
      </c>
      <c r="F943" t="s">
        <v>11</v>
      </c>
      <c r="G943" t="s">
        <v>12</v>
      </c>
      <c r="H943" t="s">
        <v>2771</v>
      </c>
      <c r="I943" t="s">
        <v>2894</v>
      </c>
      <c r="J943" t="str">
        <f>IF(ISNUMBER(MATCH($D943,'Lopettaneet 2013-&gt;'!$D:$D,0)),INDEX('Lopettaneet 2013-&gt;'!$K:$K,MATCH($D943,'Lopettaneet 2013-&gt;'!$D:$D,0)),"Jatkaa")</f>
        <v>Jatkaa</v>
      </c>
      <c r="K943">
        <f ca="1">IF($J943="Jatkaa",DATEDIF($B943,TODAY(),"Y"),INDEX('Lopettaneet 2013-&gt;'!$L:$L,MATCH($D943,'Lopettaneet 2013-&gt;'!$D:$D,0)))</f>
        <v>3</v>
      </c>
      <c r="L943">
        <v>942</v>
      </c>
    </row>
    <row r="944" spans="1:12" x14ac:dyDescent="0.25">
      <c r="A944" t="s">
        <v>7</v>
      </c>
      <c r="B944" s="1">
        <v>44621</v>
      </c>
      <c r="C944" s="1">
        <v>55153</v>
      </c>
      <c r="D944" s="4" t="s">
        <v>2075</v>
      </c>
      <c r="E944" t="s">
        <v>10</v>
      </c>
      <c r="F944" t="s">
        <v>11</v>
      </c>
      <c r="G944" t="s">
        <v>12</v>
      </c>
      <c r="H944" t="s">
        <v>2771</v>
      </c>
      <c r="I944" t="s">
        <v>2894</v>
      </c>
      <c r="J944" t="str">
        <f>IF(ISNUMBER(MATCH($D944,'Lopettaneet 2013-&gt;'!$D:$D,0)),INDEX('Lopettaneet 2013-&gt;'!$K:$K,MATCH($D944,'Lopettaneet 2013-&gt;'!$D:$D,0)),"Jatkaa")</f>
        <v>Jatkaa</v>
      </c>
      <c r="K944">
        <f ca="1">IF($J944="Jatkaa",DATEDIF($B944,TODAY(),"Y"),INDEX('Lopettaneet 2013-&gt;'!$L:$L,MATCH($D944,'Lopettaneet 2013-&gt;'!$D:$D,0)))</f>
        <v>3</v>
      </c>
      <c r="L944">
        <v>943</v>
      </c>
    </row>
    <row r="945" spans="1:12" x14ac:dyDescent="0.25">
      <c r="A945" t="s">
        <v>0</v>
      </c>
      <c r="B945" s="1">
        <v>44805</v>
      </c>
      <c r="C945" s="1">
        <v>55153</v>
      </c>
      <c r="D945" s="4" t="s">
        <v>2077</v>
      </c>
      <c r="E945" t="s">
        <v>10</v>
      </c>
      <c r="F945" t="s">
        <v>4</v>
      </c>
      <c r="G945" t="s">
        <v>32</v>
      </c>
      <c r="H945" t="s">
        <v>2765</v>
      </c>
      <c r="I945" t="s">
        <v>2894</v>
      </c>
      <c r="J945" t="str">
        <f>IF(ISNUMBER(MATCH($D945,'Lopettaneet 2013-&gt;'!$D:$D,0)),INDEX('Lopettaneet 2013-&gt;'!$K:$K,MATCH($D945,'Lopettaneet 2013-&gt;'!$D:$D,0)),"Jatkaa")</f>
        <v>Jatkaa</v>
      </c>
      <c r="K945">
        <f ca="1">IF($J945="Jatkaa",DATEDIF($B945,TODAY(),"Y"),INDEX('Lopettaneet 2013-&gt;'!$L:$L,MATCH($D945,'Lopettaneet 2013-&gt;'!$D:$D,0)))</f>
        <v>2</v>
      </c>
      <c r="L945">
        <v>944</v>
      </c>
    </row>
    <row r="946" spans="1:12" x14ac:dyDescent="0.25">
      <c r="A946" t="s">
        <v>0</v>
      </c>
      <c r="B946" s="1">
        <v>44501</v>
      </c>
      <c r="C946" s="1">
        <v>55153</v>
      </c>
      <c r="D946" s="4" t="s">
        <v>2079</v>
      </c>
      <c r="E946" t="s">
        <v>10</v>
      </c>
      <c r="F946" t="s">
        <v>4</v>
      </c>
      <c r="G946" t="s">
        <v>47</v>
      </c>
      <c r="H946" t="s">
        <v>2842</v>
      </c>
      <c r="I946" t="s">
        <v>2895</v>
      </c>
      <c r="J946" t="str">
        <f>IF(ISNUMBER(MATCH($D946,'Lopettaneet 2013-&gt;'!$D:$D,0)),INDEX('Lopettaneet 2013-&gt;'!$K:$K,MATCH($D946,'Lopettaneet 2013-&gt;'!$D:$D,0)),"Jatkaa")</f>
        <v>Jatkaa</v>
      </c>
      <c r="K946">
        <f ca="1">IF($J946="Jatkaa",DATEDIF($B946,TODAY(),"Y"),INDEX('Lopettaneet 2013-&gt;'!$L:$L,MATCH($D946,'Lopettaneet 2013-&gt;'!$D:$D,0)))</f>
        <v>3</v>
      </c>
      <c r="L946">
        <v>945</v>
      </c>
    </row>
    <row r="947" spans="1:12" x14ac:dyDescent="0.25">
      <c r="A947" t="s">
        <v>7</v>
      </c>
      <c r="B947" s="1">
        <v>44713</v>
      </c>
      <c r="C947" s="1">
        <v>55153</v>
      </c>
      <c r="D947" s="4" t="s">
        <v>2081</v>
      </c>
      <c r="E947" t="s">
        <v>10</v>
      </c>
      <c r="F947" t="s">
        <v>11</v>
      </c>
      <c r="G947" t="s">
        <v>29</v>
      </c>
      <c r="H947" t="s">
        <v>2771</v>
      </c>
      <c r="I947" t="s">
        <v>2894</v>
      </c>
      <c r="J947" t="str">
        <f>IF(ISNUMBER(MATCH($D947,'Lopettaneet 2013-&gt;'!$D:$D,0)),INDEX('Lopettaneet 2013-&gt;'!$K:$K,MATCH($D947,'Lopettaneet 2013-&gt;'!$D:$D,0)),"Jatkaa")</f>
        <v>Jatkaa</v>
      </c>
      <c r="K947">
        <f ca="1">IF($J947="Jatkaa",DATEDIF($B947,TODAY(),"Y"),INDEX('Lopettaneet 2013-&gt;'!$L:$L,MATCH($D947,'Lopettaneet 2013-&gt;'!$D:$D,0)))</f>
        <v>2</v>
      </c>
      <c r="L947">
        <v>946</v>
      </c>
    </row>
    <row r="948" spans="1:12" x14ac:dyDescent="0.25">
      <c r="A948" t="s">
        <v>7</v>
      </c>
      <c r="B948" s="1">
        <v>44621</v>
      </c>
      <c r="C948" s="1">
        <v>55153</v>
      </c>
      <c r="D948" s="4" t="s">
        <v>2083</v>
      </c>
      <c r="E948" t="s">
        <v>10</v>
      </c>
      <c r="F948" t="s">
        <v>11</v>
      </c>
      <c r="G948" t="s">
        <v>80</v>
      </c>
      <c r="H948" t="s">
        <v>2792</v>
      </c>
      <c r="I948" t="s">
        <v>2894</v>
      </c>
      <c r="J948" t="str">
        <f>IF(ISNUMBER(MATCH($D948,'Lopettaneet 2013-&gt;'!$D:$D,0)),INDEX('Lopettaneet 2013-&gt;'!$K:$K,MATCH($D948,'Lopettaneet 2013-&gt;'!$D:$D,0)),"Jatkaa")</f>
        <v>Jatkaa</v>
      </c>
      <c r="K948">
        <f ca="1">IF($J948="Jatkaa",DATEDIF($B948,TODAY(),"Y"),INDEX('Lopettaneet 2013-&gt;'!$L:$L,MATCH($D948,'Lopettaneet 2013-&gt;'!$D:$D,0)))</f>
        <v>3</v>
      </c>
      <c r="L948">
        <v>947</v>
      </c>
    </row>
    <row r="949" spans="1:12" x14ac:dyDescent="0.25">
      <c r="A949" t="s">
        <v>7</v>
      </c>
      <c r="B949" s="1">
        <v>44531</v>
      </c>
      <c r="C949" s="1">
        <v>55153</v>
      </c>
      <c r="D949" s="4" t="s">
        <v>2085</v>
      </c>
      <c r="E949" t="s">
        <v>10</v>
      </c>
      <c r="F949" t="s">
        <v>11</v>
      </c>
      <c r="G949" t="s">
        <v>32</v>
      </c>
      <c r="H949" t="s">
        <v>2858</v>
      </c>
      <c r="I949" t="s">
        <v>2894</v>
      </c>
      <c r="J949" t="str">
        <f>IF(ISNUMBER(MATCH($D949,'Lopettaneet 2013-&gt;'!$D:$D,0)),INDEX('Lopettaneet 2013-&gt;'!$K:$K,MATCH($D949,'Lopettaneet 2013-&gt;'!$D:$D,0)),"Jatkaa")</f>
        <v>Jatkaa</v>
      </c>
      <c r="K949">
        <f ca="1">IF($J949="Jatkaa",DATEDIF($B949,TODAY(),"Y"),INDEX('Lopettaneet 2013-&gt;'!$L:$L,MATCH($D949,'Lopettaneet 2013-&gt;'!$D:$D,0)))</f>
        <v>3</v>
      </c>
      <c r="L949">
        <v>948</v>
      </c>
    </row>
    <row r="950" spans="1:12" x14ac:dyDescent="0.25">
      <c r="A950" t="s">
        <v>7</v>
      </c>
      <c r="B950" s="1">
        <v>44531</v>
      </c>
      <c r="C950" s="1">
        <v>55153</v>
      </c>
      <c r="D950" s="4" t="s">
        <v>2087</v>
      </c>
      <c r="E950" t="s">
        <v>10</v>
      </c>
      <c r="F950" t="s">
        <v>11</v>
      </c>
      <c r="G950" t="s">
        <v>32</v>
      </c>
      <c r="H950" t="s">
        <v>2858</v>
      </c>
      <c r="I950" t="s">
        <v>2894</v>
      </c>
      <c r="J950" t="str">
        <f>IF(ISNUMBER(MATCH($D950,'Lopettaneet 2013-&gt;'!$D:$D,0)),INDEX('Lopettaneet 2013-&gt;'!$K:$K,MATCH($D950,'Lopettaneet 2013-&gt;'!$D:$D,0)),"Jatkaa")</f>
        <v>Jatkaa</v>
      </c>
      <c r="K950">
        <f ca="1">IF($J950="Jatkaa",DATEDIF($B950,TODAY(),"Y"),INDEX('Lopettaneet 2013-&gt;'!$L:$L,MATCH($D950,'Lopettaneet 2013-&gt;'!$D:$D,0)))</f>
        <v>3</v>
      </c>
      <c r="L950">
        <v>949</v>
      </c>
    </row>
    <row r="951" spans="1:12" x14ac:dyDescent="0.25">
      <c r="A951" t="s">
        <v>7</v>
      </c>
      <c r="B951" s="1">
        <v>44531</v>
      </c>
      <c r="C951" s="1">
        <v>55153</v>
      </c>
      <c r="D951" s="4" t="s">
        <v>2089</v>
      </c>
      <c r="E951" t="s">
        <v>10</v>
      </c>
      <c r="F951" t="s">
        <v>11</v>
      </c>
      <c r="G951" t="s">
        <v>32</v>
      </c>
      <c r="H951" t="s">
        <v>2858</v>
      </c>
      <c r="I951" t="s">
        <v>2894</v>
      </c>
      <c r="J951" t="str">
        <f>IF(ISNUMBER(MATCH($D951,'Lopettaneet 2013-&gt;'!$D:$D,0)),INDEX('Lopettaneet 2013-&gt;'!$K:$K,MATCH($D951,'Lopettaneet 2013-&gt;'!$D:$D,0)),"Jatkaa")</f>
        <v>Jatkaa</v>
      </c>
      <c r="K951">
        <f ca="1">IF($J951="Jatkaa",DATEDIF($B951,TODAY(),"Y"),INDEX('Lopettaneet 2013-&gt;'!$L:$L,MATCH($D951,'Lopettaneet 2013-&gt;'!$D:$D,0)))</f>
        <v>3</v>
      </c>
      <c r="L951">
        <v>950</v>
      </c>
    </row>
    <row r="952" spans="1:12" x14ac:dyDescent="0.25">
      <c r="A952" t="s">
        <v>7</v>
      </c>
      <c r="B952" s="1">
        <v>44621</v>
      </c>
      <c r="C952" s="1">
        <v>55153</v>
      </c>
      <c r="D952" s="4" t="s">
        <v>2091</v>
      </c>
      <c r="E952" t="s">
        <v>10</v>
      </c>
      <c r="F952" t="s">
        <v>11</v>
      </c>
      <c r="G952" t="s">
        <v>29</v>
      </c>
      <c r="H952" t="s">
        <v>2879</v>
      </c>
      <c r="I952" t="s">
        <v>2895</v>
      </c>
      <c r="J952" t="str">
        <f>IF(ISNUMBER(MATCH($D952,'Lopettaneet 2013-&gt;'!$D:$D,0)),INDEX('Lopettaneet 2013-&gt;'!$K:$K,MATCH($D952,'Lopettaneet 2013-&gt;'!$D:$D,0)),"Jatkaa")</f>
        <v>Jatkaa</v>
      </c>
      <c r="K952">
        <f ca="1">IF($J952="Jatkaa",DATEDIF($B952,TODAY(),"Y"),INDEX('Lopettaneet 2013-&gt;'!$L:$L,MATCH($D952,'Lopettaneet 2013-&gt;'!$D:$D,0)))</f>
        <v>3</v>
      </c>
      <c r="L952">
        <v>951</v>
      </c>
    </row>
    <row r="953" spans="1:12" x14ac:dyDescent="0.25">
      <c r="A953" t="s">
        <v>7</v>
      </c>
      <c r="B953" s="1">
        <v>44713</v>
      </c>
      <c r="C953" s="1">
        <v>55153</v>
      </c>
      <c r="D953" s="4" t="s">
        <v>2093</v>
      </c>
      <c r="E953" t="s">
        <v>10</v>
      </c>
      <c r="F953" t="s">
        <v>11</v>
      </c>
      <c r="G953" t="s">
        <v>12</v>
      </c>
      <c r="H953" t="s">
        <v>2880</v>
      </c>
      <c r="I953" t="s">
        <v>2894</v>
      </c>
      <c r="J953" t="str">
        <f>IF(ISNUMBER(MATCH($D953,'Lopettaneet 2013-&gt;'!$D:$D,0)),INDEX('Lopettaneet 2013-&gt;'!$K:$K,MATCH($D953,'Lopettaneet 2013-&gt;'!$D:$D,0)),"Jatkaa")</f>
        <v>Jatkaa</v>
      </c>
      <c r="K953">
        <f ca="1">IF($J953="Jatkaa",DATEDIF($B953,TODAY(),"Y"),INDEX('Lopettaneet 2013-&gt;'!$L:$L,MATCH($D953,'Lopettaneet 2013-&gt;'!$D:$D,0)))</f>
        <v>2</v>
      </c>
      <c r="L953">
        <v>952</v>
      </c>
    </row>
    <row r="954" spans="1:12" x14ac:dyDescent="0.25">
      <c r="A954" t="s">
        <v>7</v>
      </c>
      <c r="B954" s="1">
        <v>44531</v>
      </c>
      <c r="C954" s="1">
        <v>55153</v>
      </c>
      <c r="D954" s="4" t="s">
        <v>2095</v>
      </c>
      <c r="E954" t="s">
        <v>10</v>
      </c>
      <c r="F954" t="s">
        <v>11</v>
      </c>
      <c r="G954" t="s">
        <v>80</v>
      </c>
      <c r="H954" t="s">
        <v>2812</v>
      </c>
      <c r="I954" t="s">
        <v>2894</v>
      </c>
      <c r="J954" t="str">
        <f>IF(ISNUMBER(MATCH($D954,'Lopettaneet 2013-&gt;'!$D:$D,0)),INDEX('Lopettaneet 2013-&gt;'!$K:$K,MATCH($D954,'Lopettaneet 2013-&gt;'!$D:$D,0)),"Jatkaa")</f>
        <v>Jatkaa</v>
      </c>
      <c r="K954">
        <f ca="1">IF($J954="Jatkaa",DATEDIF($B954,TODAY(),"Y"),INDEX('Lopettaneet 2013-&gt;'!$L:$L,MATCH($D954,'Lopettaneet 2013-&gt;'!$D:$D,0)))</f>
        <v>3</v>
      </c>
      <c r="L954">
        <v>953</v>
      </c>
    </row>
    <row r="955" spans="1:12" x14ac:dyDescent="0.25">
      <c r="A955" t="s">
        <v>0</v>
      </c>
      <c r="B955" s="1">
        <v>44501</v>
      </c>
      <c r="C955" s="1">
        <v>55153</v>
      </c>
      <c r="D955" s="4" t="s">
        <v>2097</v>
      </c>
      <c r="E955" t="s">
        <v>10</v>
      </c>
      <c r="F955" t="s">
        <v>4</v>
      </c>
      <c r="G955" t="s">
        <v>20</v>
      </c>
      <c r="H955" t="s">
        <v>2845</v>
      </c>
      <c r="I955" t="s">
        <v>2894</v>
      </c>
      <c r="J955" t="str">
        <f>IF(ISNUMBER(MATCH($D955,'Lopettaneet 2013-&gt;'!$D:$D,0)),INDEX('Lopettaneet 2013-&gt;'!$K:$K,MATCH($D955,'Lopettaneet 2013-&gt;'!$D:$D,0)),"Jatkaa")</f>
        <v>Jatkaa</v>
      </c>
      <c r="K955">
        <f ca="1">IF($J955="Jatkaa",DATEDIF($B955,TODAY(),"Y"),INDEX('Lopettaneet 2013-&gt;'!$L:$L,MATCH($D955,'Lopettaneet 2013-&gt;'!$D:$D,0)))</f>
        <v>3</v>
      </c>
      <c r="L955">
        <v>954</v>
      </c>
    </row>
    <row r="956" spans="1:12" x14ac:dyDescent="0.25">
      <c r="A956" t="s">
        <v>0</v>
      </c>
      <c r="B956" s="1">
        <v>44562</v>
      </c>
      <c r="C956" s="1">
        <v>55153</v>
      </c>
      <c r="D956" s="4" t="s">
        <v>2099</v>
      </c>
      <c r="E956" t="s">
        <v>3</v>
      </c>
      <c r="F956" t="s">
        <v>4</v>
      </c>
      <c r="G956" t="s">
        <v>20</v>
      </c>
      <c r="H956" t="s">
        <v>2767</v>
      </c>
      <c r="I956" t="s">
        <v>2894</v>
      </c>
      <c r="J956" t="str">
        <f>IF(ISNUMBER(MATCH($D956,'Lopettaneet 2013-&gt;'!$D:$D,0)),INDEX('Lopettaneet 2013-&gt;'!$K:$K,MATCH($D956,'Lopettaneet 2013-&gt;'!$D:$D,0)),"Jatkaa")</f>
        <v>Jatkaa</v>
      </c>
      <c r="K956">
        <f ca="1">IF($J956="Jatkaa",DATEDIF($B956,TODAY(),"Y"),INDEX('Lopettaneet 2013-&gt;'!$L:$L,MATCH($D956,'Lopettaneet 2013-&gt;'!$D:$D,0)))</f>
        <v>3</v>
      </c>
      <c r="L956">
        <v>955</v>
      </c>
    </row>
    <row r="957" spans="1:12" x14ac:dyDescent="0.25">
      <c r="A957" t="s">
        <v>0</v>
      </c>
      <c r="B957" s="1">
        <v>44562</v>
      </c>
      <c r="C957" s="1">
        <v>55153</v>
      </c>
      <c r="D957" s="4" t="s">
        <v>2101</v>
      </c>
      <c r="E957" t="s">
        <v>3</v>
      </c>
      <c r="F957" t="s">
        <v>4</v>
      </c>
      <c r="G957" t="s">
        <v>5</v>
      </c>
      <c r="H957" t="s">
        <v>2767</v>
      </c>
      <c r="I957" t="s">
        <v>2894</v>
      </c>
      <c r="J957" t="str">
        <f>IF(ISNUMBER(MATCH($D957,'Lopettaneet 2013-&gt;'!$D:$D,0)),INDEX('Lopettaneet 2013-&gt;'!$K:$K,MATCH($D957,'Lopettaneet 2013-&gt;'!$D:$D,0)),"Jatkaa")</f>
        <v>Jatkaa</v>
      </c>
      <c r="K957">
        <f ca="1">IF($J957="Jatkaa",DATEDIF($B957,TODAY(),"Y"),INDEX('Lopettaneet 2013-&gt;'!$L:$L,MATCH($D957,'Lopettaneet 2013-&gt;'!$D:$D,0)))</f>
        <v>3</v>
      </c>
      <c r="L957">
        <v>956</v>
      </c>
    </row>
    <row r="958" spans="1:12" x14ac:dyDescent="0.25">
      <c r="A958" t="s">
        <v>0</v>
      </c>
      <c r="B958" s="1">
        <v>44562</v>
      </c>
      <c r="C958" s="1">
        <v>55153</v>
      </c>
      <c r="D958" s="4" t="s">
        <v>2103</v>
      </c>
      <c r="E958" t="s">
        <v>3</v>
      </c>
      <c r="F958" t="s">
        <v>4</v>
      </c>
      <c r="G958" t="s">
        <v>5</v>
      </c>
      <c r="H958" t="s">
        <v>2767</v>
      </c>
      <c r="I958" t="s">
        <v>2894</v>
      </c>
      <c r="J958" t="str">
        <f>IF(ISNUMBER(MATCH($D958,'Lopettaneet 2013-&gt;'!$D:$D,0)),INDEX('Lopettaneet 2013-&gt;'!$K:$K,MATCH($D958,'Lopettaneet 2013-&gt;'!$D:$D,0)),"Jatkaa")</f>
        <v>Jatkaa</v>
      </c>
      <c r="K958">
        <f ca="1">IF($J958="Jatkaa",DATEDIF($B958,TODAY(),"Y"),INDEX('Lopettaneet 2013-&gt;'!$L:$L,MATCH($D958,'Lopettaneet 2013-&gt;'!$D:$D,0)))</f>
        <v>3</v>
      </c>
      <c r="L958">
        <v>957</v>
      </c>
    </row>
    <row r="959" spans="1:12" x14ac:dyDescent="0.25">
      <c r="A959" t="s">
        <v>0</v>
      </c>
      <c r="B959" s="1">
        <v>44531</v>
      </c>
      <c r="C959" s="1">
        <v>55153</v>
      </c>
      <c r="D959" s="4" t="s">
        <v>2105</v>
      </c>
      <c r="E959" t="s">
        <v>3</v>
      </c>
      <c r="F959" t="s">
        <v>4</v>
      </c>
      <c r="G959" t="s">
        <v>50</v>
      </c>
      <c r="H959" t="s">
        <v>2767</v>
      </c>
      <c r="I959" t="s">
        <v>2894</v>
      </c>
      <c r="J959" t="str">
        <f>IF(ISNUMBER(MATCH($D959,'Lopettaneet 2013-&gt;'!$D:$D,0)),INDEX('Lopettaneet 2013-&gt;'!$K:$K,MATCH($D959,'Lopettaneet 2013-&gt;'!$D:$D,0)),"Jatkaa")</f>
        <v>Jatkaa</v>
      </c>
      <c r="K959">
        <f ca="1">IF($J959="Jatkaa",DATEDIF($B959,TODAY(),"Y"),INDEX('Lopettaneet 2013-&gt;'!$L:$L,MATCH($D959,'Lopettaneet 2013-&gt;'!$D:$D,0)))</f>
        <v>3</v>
      </c>
      <c r="L959">
        <v>958</v>
      </c>
    </row>
    <row r="960" spans="1:12" x14ac:dyDescent="0.25">
      <c r="A960" t="s">
        <v>7</v>
      </c>
      <c r="B960" s="1">
        <v>44713</v>
      </c>
      <c r="C960" s="1">
        <v>55153</v>
      </c>
      <c r="D960" s="4" t="s">
        <v>2107</v>
      </c>
      <c r="E960" t="s">
        <v>10</v>
      </c>
      <c r="F960" t="s">
        <v>11</v>
      </c>
      <c r="G960" t="s">
        <v>80</v>
      </c>
      <c r="H960" t="s">
        <v>2766</v>
      </c>
      <c r="I960" t="s">
        <v>2895</v>
      </c>
      <c r="J960" t="str">
        <f>IF(ISNUMBER(MATCH($D960,'Lopettaneet 2013-&gt;'!$D:$D,0)),INDEX('Lopettaneet 2013-&gt;'!$K:$K,MATCH($D960,'Lopettaneet 2013-&gt;'!$D:$D,0)),"Jatkaa")</f>
        <v>Jatkaa</v>
      </c>
      <c r="K960">
        <f ca="1">IF($J960="Jatkaa",DATEDIF($B960,TODAY(),"Y"),INDEX('Lopettaneet 2013-&gt;'!$L:$L,MATCH($D960,'Lopettaneet 2013-&gt;'!$D:$D,0)))</f>
        <v>2</v>
      </c>
      <c r="L960">
        <v>959</v>
      </c>
    </row>
    <row r="961" spans="1:12" x14ac:dyDescent="0.25">
      <c r="A961" t="s">
        <v>0</v>
      </c>
      <c r="B961" s="1">
        <v>44713</v>
      </c>
      <c r="C961" s="1">
        <v>55153</v>
      </c>
      <c r="D961" s="4" t="s">
        <v>2109</v>
      </c>
      <c r="E961" t="s">
        <v>10</v>
      </c>
      <c r="F961" t="s">
        <v>11</v>
      </c>
      <c r="G961" t="s">
        <v>20</v>
      </c>
      <c r="H961" t="s">
        <v>2766</v>
      </c>
      <c r="I961" t="s">
        <v>2895</v>
      </c>
      <c r="J961" t="str">
        <f>IF(ISNUMBER(MATCH($D961,'Lopettaneet 2013-&gt;'!$D:$D,0)),INDEX('Lopettaneet 2013-&gt;'!$K:$K,MATCH($D961,'Lopettaneet 2013-&gt;'!$D:$D,0)),"Jatkaa")</f>
        <v>Jatkaa</v>
      </c>
      <c r="K961">
        <f ca="1">IF($J961="Jatkaa",DATEDIF($B961,TODAY(),"Y"),INDEX('Lopettaneet 2013-&gt;'!$L:$L,MATCH($D961,'Lopettaneet 2013-&gt;'!$D:$D,0)))</f>
        <v>2</v>
      </c>
      <c r="L961">
        <v>960</v>
      </c>
    </row>
    <row r="962" spans="1:12" x14ac:dyDescent="0.25">
      <c r="A962" t="s">
        <v>7</v>
      </c>
      <c r="B962" s="1">
        <v>44621</v>
      </c>
      <c r="C962" s="1">
        <v>55153</v>
      </c>
      <c r="D962" s="4" t="s">
        <v>2111</v>
      </c>
      <c r="E962" t="s">
        <v>10</v>
      </c>
      <c r="F962" t="s">
        <v>11</v>
      </c>
      <c r="G962" t="s">
        <v>12</v>
      </c>
      <c r="H962" t="s">
        <v>2802</v>
      </c>
      <c r="I962" t="s">
        <v>2895</v>
      </c>
      <c r="J962" t="str">
        <f>IF(ISNUMBER(MATCH($D962,'Lopettaneet 2013-&gt;'!$D:$D,0)),INDEX('Lopettaneet 2013-&gt;'!$K:$K,MATCH($D962,'Lopettaneet 2013-&gt;'!$D:$D,0)),"Jatkaa")</f>
        <v>Jatkaa</v>
      </c>
      <c r="K962">
        <f ca="1">IF($J962="Jatkaa",DATEDIF($B962,TODAY(),"Y"),INDEX('Lopettaneet 2013-&gt;'!$L:$L,MATCH($D962,'Lopettaneet 2013-&gt;'!$D:$D,0)))</f>
        <v>3</v>
      </c>
      <c r="L962">
        <v>961</v>
      </c>
    </row>
    <row r="963" spans="1:12" x14ac:dyDescent="0.25">
      <c r="A963" t="s">
        <v>7</v>
      </c>
      <c r="B963" s="1">
        <v>44621</v>
      </c>
      <c r="C963" s="1">
        <v>55153</v>
      </c>
      <c r="D963" s="4" t="s">
        <v>2113</v>
      </c>
      <c r="E963" t="s">
        <v>10</v>
      </c>
      <c r="F963" t="s">
        <v>11</v>
      </c>
      <c r="G963" t="s">
        <v>32</v>
      </c>
      <c r="H963" t="s">
        <v>2771</v>
      </c>
      <c r="I963" t="s">
        <v>2894</v>
      </c>
      <c r="J963" t="str">
        <f>IF(ISNUMBER(MATCH($D963,'Lopettaneet 2013-&gt;'!$D:$D,0)),INDEX('Lopettaneet 2013-&gt;'!$K:$K,MATCH($D963,'Lopettaneet 2013-&gt;'!$D:$D,0)),"Jatkaa")</f>
        <v>Jatkaa</v>
      </c>
      <c r="K963">
        <f ca="1">IF($J963="Jatkaa",DATEDIF($B963,TODAY(),"Y"),INDEX('Lopettaneet 2013-&gt;'!$L:$L,MATCH($D963,'Lopettaneet 2013-&gt;'!$D:$D,0)))</f>
        <v>3</v>
      </c>
      <c r="L963">
        <v>962</v>
      </c>
    </row>
    <row r="964" spans="1:12" x14ac:dyDescent="0.25">
      <c r="A964" t="s">
        <v>7</v>
      </c>
      <c r="B964" s="1">
        <v>44621</v>
      </c>
      <c r="C964" s="1">
        <v>55153</v>
      </c>
      <c r="D964" s="4" t="s">
        <v>2115</v>
      </c>
      <c r="E964" t="s">
        <v>10</v>
      </c>
      <c r="F964" t="s">
        <v>11</v>
      </c>
      <c r="G964" t="s">
        <v>32</v>
      </c>
      <c r="H964" t="s">
        <v>2771</v>
      </c>
      <c r="I964" t="s">
        <v>2894</v>
      </c>
      <c r="J964" t="str">
        <f>IF(ISNUMBER(MATCH($D964,'Lopettaneet 2013-&gt;'!$D:$D,0)),INDEX('Lopettaneet 2013-&gt;'!$K:$K,MATCH($D964,'Lopettaneet 2013-&gt;'!$D:$D,0)),"Jatkaa")</f>
        <v>Jatkaa</v>
      </c>
      <c r="K964">
        <f ca="1">IF($J964="Jatkaa",DATEDIF($B964,TODAY(),"Y"),INDEX('Lopettaneet 2013-&gt;'!$L:$L,MATCH($D964,'Lopettaneet 2013-&gt;'!$D:$D,0)))</f>
        <v>3</v>
      </c>
      <c r="L964">
        <v>963</v>
      </c>
    </row>
    <row r="965" spans="1:12" x14ac:dyDescent="0.25">
      <c r="A965" t="s">
        <v>7</v>
      </c>
      <c r="B965" s="1">
        <v>44621</v>
      </c>
      <c r="C965" s="1">
        <v>55153</v>
      </c>
      <c r="D965" s="4" t="s">
        <v>2117</v>
      </c>
      <c r="E965" t="s">
        <v>10</v>
      </c>
      <c r="F965" t="s">
        <v>11</v>
      </c>
      <c r="G965" t="s">
        <v>12</v>
      </c>
      <c r="H965" t="s">
        <v>2771</v>
      </c>
      <c r="I965" t="s">
        <v>2894</v>
      </c>
      <c r="J965" t="str">
        <f>IF(ISNUMBER(MATCH($D965,'Lopettaneet 2013-&gt;'!$D:$D,0)),INDEX('Lopettaneet 2013-&gt;'!$K:$K,MATCH($D965,'Lopettaneet 2013-&gt;'!$D:$D,0)),"Jatkaa")</f>
        <v>Jatkaa</v>
      </c>
      <c r="K965">
        <f ca="1">IF($J965="Jatkaa",DATEDIF($B965,TODAY(),"Y"),INDEX('Lopettaneet 2013-&gt;'!$L:$L,MATCH($D965,'Lopettaneet 2013-&gt;'!$D:$D,0)))</f>
        <v>3</v>
      </c>
      <c r="L965">
        <v>964</v>
      </c>
    </row>
    <row r="966" spans="1:12" x14ac:dyDescent="0.25">
      <c r="A966" t="s">
        <v>7</v>
      </c>
      <c r="B966" s="1">
        <v>44621</v>
      </c>
      <c r="C966" s="1">
        <v>55153</v>
      </c>
      <c r="D966" s="4" t="s">
        <v>2119</v>
      </c>
      <c r="E966" t="s">
        <v>10</v>
      </c>
      <c r="F966" t="s">
        <v>11</v>
      </c>
      <c r="G966" t="s">
        <v>12</v>
      </c>
      <c r="H966" t="s">
        <v>2771</v>
      </c>
      <c r="I966" t="s">
        <v>2894</v>
      </c>
      <c r="J966" t="str">
        <f>IF(ISNUMBER(MATCH($D966,'Lopettaneet 2013-&gt;'!$D:$D,0)),INDEX('Lopettaneet 2013-&gt;'!$K:$K,MATCH($D966,'Lopettaneet 2013-&gt;'!$D:$D,0)),"Jatkaa")</f>
        <v>Jatkaa</v>
      </c>
      <c r="K966">
        <f ca="1">IF($J966="Jatkaa",DATEDIF($B966,TODAY(),"Y"),INDEX('Lopettaneet 2013-&gt;'!$L:$L,MATCH($D966,'Lopettaneet 2013-&gt;'!$D:$D,0)))</f>
        <v>3</v>
      </c>
      <c r="L966">
        <v>965</v>
      </c>
    </row>
    <row r="967" spans="1:12" x14ac:dyDescent="0.25">
      <c r="A967" t="s">
        <v>7</v>
      </c>
      <c r="B967" s="1">
        <v>44713</v>
      </c>
      <c r="C967" s="1">
        <v>55153</v>
      </c>
      <c r="D967" s="4" t="s">
        <v>2121</v>
      </c>
      <c r="E967" t="s">
        <v>10</v>
      </c>
      <c r="F967" t="s">
        <v>11</v>
      </c>
      <c r="G967" t="s">
        <v>12</v>
      </c>
      <c r="H967" t="s">
        <v>2793</v>
      </c>
      <c r="I967" t="s">
        <v>2894</v>
      </c>
      <c r="J967" t="str">
        <f>IF(ISNUMBER(MATCH($D967,'Lopettaneet 2013-&gt;'!$D:$D,0)),INDEX('Lopettaneet 2013-&gt;'!$K:$K,MATCH($D967,'Lopettaneet 2013-&gt;'!$D:$D,0)),"Jatkaa")</f>
        <v>Jatkaa</v>
      </c>
      <c r="K967">
        <f ca="1">IF($J967="Jatkaa",DATEDIF($B967,TODAY(),"Y"),INDEX('Lopettaneet 2013-&gt;'!$L:$L,MATCH($D967,'Lopettaneet 2013-&gt;'!$D:$D,0)))</f>
        <v>2</v>
      </c>
      <c r="L967">
        <v>966</v>
      </c>
    </row>
    <row r="968" spans="1:12" x14ac:dyDescent="0.25">
      <c r="A968" t="s">
        <v>7</v>
      </c>
      <c r="B968" s="1">
        <v>44713</v>
      </c>
      <c r="C968" s="1">
        <v>55153</v>
      </c>
      <c r="D968" s="4" t="s">
        <v>2123</v>
      </c>
      <c r="E968" t="s">
        <v>10</v>
      </c>
      <c r="F968" t="s">
        <v>11</v>
      </c>
      <c r="G968" t="s">
        <v>12</v>
      </c>
      <c r="H968" t="s">
        <v>2793</v>
      </c>
      <c r="I968" t="s">
        <v>2894</v>
      </c>
      <c r="J968" t="str">
        <f>IF(ISNUMBER(MATCH($D968,'Lopettaneet 2013-&gt;'!$D:$D,0)),INDEX('Lopettaneet 2013-&gt;'!$K:$K,MATCH($D968,'Lopettaneet 2013-&gt;'!$D:$D,0)),"Jatkaa")</f>
        <v>Jatkaa</v>
      </c>
      <c r="K968">
        <f ca="1">IF($J968="Jatkaa",DATEDIF($B968,TODAY(),"Y"),INDEX('Lopettaneet 2013-&gt;'!$L:$L,MATCH($D968,'Lopettaneet 2013-&gt;'!$D:$D,0)))</f>
        <v>2</v>
      </c>
      <c r="L968">
        <v>967</v>
      </c>
    </row>
    <row r="969" spans="1:12" x14ac:dyDescent="0.25">
      <c r="A969" t="s">
        <v>7</v>
      </c>
      <c r="B969" s="1">
        <v>44621</v>
      </c>
      <c r="C969" s="1">
        <v>55153</v>
      </c>
      <c r="D969" s="4" t="s">
        <v>2125</v>
      </c>
      <c r="E969" t="s">
        <v>10</v>
      </c>
      <c r="F969" t="s">
        <v>11</v>
      </c>
      <c r="G969" t="s">
        <v>12</v>
      </c>
      <c r="H969" t="s">
        <v>2863</v>
      </c>
      <c r="I969" t="s">
        <v>2895</v>
      </c>
      <c r="J969" t="str">
        <f>IF(ISNUMBER(MATCH($D969,'Lopettaneet 2013-&gt;'!$D:$D,0)),INDEX('Lopettaneet 2013-&gt;'!$K:$K,MATCH($D969,'Lopettaneet 2013-&gt;'!$D:$D,0)),"Jatkaa")</f>
        <v>Jatkaa</v>
      </c>
      <c r="K969">
        <f ca="1">IF($J969="Jatkaa",DATEDIF($B969,TODAY(),"Y"),INDEX('Lopettaneet 2013-&gt;'!$L:$L,MATCH($D969,'Lopettaneet 2013-&gt;'!$D:$D,0)))</f>
        <v>3</v>
      </c>
      <c r="L969">
        <v>968</v>
      </c>
    </row>
    <row r="970" spans="1:12" x14ac:dyDescent="0.25">
      <c r="A970" t="s">
        <v>7</v>
      </c>
      <c r="B970" s="1">
        <v>44713</v>
      </c>
      <c r="C970" s="1">
        <v>55153</v>
      </c>
      <c r="D970" s="4" t="s">
        <v>2127</v>
      </c>
      <c r="E970" t="s">
        <v>10</v>
      </c>
      <c r="F970" t="s">
        <v>11</v>
      </c>
      <c r="G970" t="s">
        <v>12</v>
      </c>
      <c r="H970" t="s">
        <v>2766</v>
      </c>
      <c r="I970" t="s">
        <v>2894</v>
      </c>
      <c r="J970" t="str">
        <f>IF(ISNUMBER(MATCH($D970,'Lopettaneet 2013-&gt;'!$D:$D,0)),INDEX('Lopettaneet 2013-&gt;'!$K:$K,MATCH($D970,'Lopettaneet 2013-&gt;'!$D:$D,0)),"Jatkaa")</f>
        <v>Jatkaa</v>
      </c>
      <c r="K970">
        <f ca="1">IF($J970="Jatkaa",DATEDIF($B970,TODAY(),"Y"),INDEX('Lopettaneet 2013-&gt;'!$L:$L,MATCH($D970,'Lopettaneet 2013-&gt;'!$D:$D,0)))</f>
        <v>2</v>
      </c>
      <c r="L970">
        <v>969</v>
      </c>
    </row>
    <row r="971" spans="1:12" x14ac:dyDescent="0.25">
      <c r="A971" t="s">
        <v>0</v>
      </c>
      <c r="B971" s="1">
        <v>44713</v>
      </c>
      <c r="C971" s="1">
        <v>55153</v>
      </c>
      <c r="D971" s="4" t="s">
        <v>2129</v>
      </c>
      <c r="E971" t="s">
        <v>10</v>
      </c>
      <c r="F971" t="s">
        <v>11</v>
      </c>
      <c r="G971" t="s">
        <v>20</v>
      </c>
      <c r="H971" t="s">
        <v>2766</v>
      </c>
      <c r="I971" t="s">
        <v>2895</v>
      </c>
      <c r="J971" t="str">
        <f>IF(ISNUMBER(MATCH($D971,'Lopettaneet 2013-&gt;'!$D:$D,0)),INDEX('Lopettaneet 2013-&gt;'!$K:$K,MATCH($D971,'Lopettaneet 2013-&gt;'!$D:$D,0)),"Jatkaa")</f>
        <v>Jatkaa</v>
      </c>
      <c r="K971">
        <f ca="1">IF($J971="Jatkaa",DATEDIF($B971,TODAY(),"Y"),INDEX('Lopettaneet 2013-&gt;'!$L:$L,MATCH($D971,'Lopettaneet 2013-&gt;'!$D:$D,0)))</f>
        <v>2</v>
      </c>
      <c r="L971">
        <v>970</v>
      </c>
    </row>
    <row r="972" spans="1:12" x14ac:dyDescent="0.25">
      <c r="A972" t="s">
        <v>0</v>
      </c>
      <c r="B972" s="1">
        <v>44713</v>
      </c>
      <c r="C972" s="1">
        <v>55153</v>
      </c>
      <c r="D972" s="4" t="s">
        <v>2131</v>
      </c>
      <c r="E972" t="s">
        <v>10</v>
      </c>
      <c r="F972" t="s">
        <v>11</v>
      </c>
      <c r="G972" t="s">
        <v>20</v>
      </c>
      <c r="H972" t="s">
        <v>2766</v>
      </c>
      <c r="I972" t="s">
        <v>2895</v>
      </c>
      <c r="J972" t="str">
        <f>IF(ISNUMBER(MATCH($D972,'Lopettaneet 2013-&gt;'!$D:$D,0)),INDEX('Lopettaneet 2013-&gt;'!$K:$K,MATCH($D972,'Lopettaneet 2013-&gt;'!$D:$D,0)),"Jatkaa")</f>
        <v>Jatkaa</v>
      </c>
      <c r="K972">
        <f ca="1">IF($J972="Jatkaa",DATEDIF($B972,TODAY(),"Y"),INDEX('Lopettaneet 2013-&gt;'!$L:$L,MATCH($D972,'Lopettaneet 2013-&gt;'!$D:$D,0)))</f>
        <v>2</v>
      </c>
      <c r="L972">
        <v>971</v>
      </c>
    </row>
    <row r="973" spans="1:12" x14ac:dyDescent="0.25">
      <c r="A973" t="s">
        <v>7</v>
      </c>
      <c r="B973" s="1">
        <v>44621</v>
      </c>
      <c r="C973" s="1">
        <v>55153</v>
      </c>
      <c r="D973" s="4" t="s">
        <v>2133</v>
      </c>
      <c r="E973" t="s">
        <v>10</v>
      </c>
      <c r="F973" t="s">
        <v>11</v>
      </c>
      <c r="G973" t="s">
        <v>32</v>
      </c>
      <c r="H973" t="s">
        <v>2771</v>
      </c>
      <c r="I973" t="s">
        <v>2894</v>
      </c>
      <c r="J973" t="str">
        <f>IF(ISNUMBER(MATCH($D973,'Lopettaneet 2013-&gt;'!$D:$D,0)),INDEX('Lopettaneet 2013-&gt;'!$K:$K,MATCH($D973,'Lopettaneet 2013-&gt;'!$D:$D,0)),"Jatkaa")</f>
        <v>Jatkaa</v>
      </c>
      <c r="K973">
        <f ca="1">IF($J973="Jatkaa",DATEDIF($B973,TODAY(),"Y"),INDEX('Lopettaneet 2013-&gt;'!$L:$L,MATCH($D973,'Lopettaneet 2013-&gt;'!$D:$D,0)))</f>
        <v>3</v>
      </c>
      <c r="L973">
        <v>972</v>
      </c>
    </row>
    <row r="974" spans="1:12" x14ac:dyDescent="0.25">
      <c r="A974" t="s">
        <v>7</v>
      </c>
      <c r="B974" s="1">
        <v>44805</v>
      </c>
      <c r="C974" s="1">
        <v>55153</v>
      </c>
      <c r="D974" s="4" t="s">
        <v>2135</v>
      </c>
      <c r="E974" t="s">
        <v>10</v>
      </c>
      <c r="F974" t="s">
        <v>11</v>
      </c>
      <c r="G974" t="s">
        <v>12</v>
      </c>
      <c r="H974" t="s">
        <v>2801</v>
      </c>
      <c r="I974" t="s">
        <v>2894</v>
      </c>
      <c r="J974" t="str">
        <f>IF(ISNUMBER(MATCH($D974,'Lopettaneet 2013-&gt;'!$D:$D,0)),INDEX('Lopettaneet 2013-&gt;'!$K:$K,MATCH($D974,'Lopettaneet 2013-&gt;'!$D:$D,0)),"Jatkaa")</f>
        <v>Jatkaa</v>
      </c>
      <c r="K974">
        <f ca="1">IF($J974="Jatkaa",DATEDIF($B974,TODAY(),"Y"),INDEX('Lopettaneet 2013-&gt;'!$L:$L,MATCH($D974,'Lopettaneet 2013-&gt;'!$D:$D,0)))</f>
        <v>2</v>
      </c>
      <c r="L974">
        <v>973</v>
      </c>
    </row>
    <row r="975" spans="1:12" x14ac:dyDescent="0.25">
      <c r="A975" t="s">
        <v>7</v>
      </c>
      <c r="B975" s="1">
        <v>44713</v>
      </c>
      <c r="C975" s="1">
        <v>55153</v>
      </c>
      <c r="D975" s="4" t="s">
        <v>2137</v>
      </c>
      <c r="E975" t="s">
        <v>10</v>
      </c>
      <c r="F975" t="s">
        <v>11</v>
      </c>
      <c r="G975" t="s">
        <v>32</v>
      </c>
      <c r="H975" t="s">
        <v>2766</v>
      </c>
      <c r="I975" t="s">
        <v>2895</v>
      </c>
      <c r="J975" t="str">
        <f>IF(ISNUMBER(MATCH($D975,'Lopettaneet 2013-&gt;'!$D:$D,0)),INDEX('Lopettaneet 2013-&gt;'!$K:$K,MATCH($D975,'Lopettaneet 2013-&gt;'!$D:$D,0)),"Jatkaa")</f>
        <v>Jatkaa</v>
      </c>
      <c r="K975">
        <f ca="1">IF($J975="Jatkaa",DATEDIF($B975,TODAY(),"Y"),INDEX('Lopettaneet 2013-&gt;'!$L:$L,MATCH($D975,'Lopettaneet 2013-&gt;'!$D:$D,0)))</f>
        <v>2</v>
      </c>
      <c r="L975">
        <v>974</v>
      </c>
    </row>
    <row r="976" spans="1:12" x14ac:dyDescent="0.25">
      <c r="A976" t="s">
        <v>0</v>
      </c>
      <c r="B976" s="1">
        <v>44682</v>
      </c>
      <c r="C976" s="1">
        <v>55153</v>
      </c>
      <c r="D976" s="4" t="s">
        <v>2139</v>
      </c>
      <c r="E976" t="s">
        <v>10</v>
      </c>
      <c r="F976" t="s">
        <v>11</v>
      </c>
      <c r="G976" t="s">
        <v>32</v>
      </c>
      <c r="H976" t="s">
        <v>2766</v>
      </c>
      <c r="I976" t="s">
        <v>2895</v>
      </c>
      <c r="J976" t="str">
        <f>IF(ISNUMBER(MATCH($D976,'Lopettaneet 2013-&gt;'!$D:$D,0)),INDEX('Lopettaneet 2013-&gt;'!$K:$K,MATCH($D976,'Lopettaneet 2013-&gt;'!$D:$D,0)),"Jatkaa")</f>
        <v>Jatkaa</v>
      </c>
      <c r="K976">
        <f ca="1">IF($J976="Jatkaa",DATEDIF($B976,TODAY(),"Y"),INDEX('Lopettaneet 2013-&gt;'!$L:$L,MATCH($D976,'Lopettaneet 2013-&gt;'!$D:$D,0)))</f>
        <v>3</v>
      </c>
      <c r="L976">
        <v>975</v>
      </c>
    </row>
    <row r="977" spans="1:12" x14ac:dyDescent="0.25">
      <c r="A977" t="s">
        <v>0</v>
      </c>
      <c r="B977" s="1">
        <v>44562</v>
      </c>
      <c r="C977" s="1">
        <v>45230</v>
      </c>
      <c r="D977" s="4" t="s">
        <v>62</v>
      </c>
      <c r="E977" t="s">
        <v>10</v>
      </c>
      <c r="F977" t="s">
        <v>4</v>
      </c>
      <c r="G977" t="s">
        <v>20</v>
      </c>
      <c r="H977" t="s">
        <v>2763</v>
      </c>
      <c r="I977" t="s">
        <v>2763</v>
      </c>
      <c r="J977" t="str">
        <f>IF(ISNUMBER(MATCH($D977,'Lopettaneet 2013-&gt;'!$D:$D,0)),INDEX('Lopettaneet 2013-&gt;'!$K:$K,MATCH($D977,'Lopettaneet 2013-&gt;'!$D:$D,0)),"Jatkaa")</f>
        <v>Closed</v>
      </c>
      <c r="K977">
        <f ca="1">IF($J977="Jatkaa",DATEDIF($B977,TODAY(),"Y"),INDEX('Lopettaneet 2013-&gt;'!$L:$L,MATCH($D977,'Lopettaneet 2013-&gt;'!$D:$D,0)))</f>
        <v>1</v>
      </c>
      <c r="L977">
        <v>976</v>
      </c>
    </row>
    <row r="978" spans="1:12" x14ac:dyDescent="0.25">
      <c r="A978" t="s">
        <v>0</v>
      </c>
      <c r="B978" s="1">
        <v>44682</v>
      </c>
      <c r="C978" s="1">
        <v>55153</v>
      </c>
      <c r="D978" s="4" t="s">
        <v>2141</v>
      </c>
      <c r="E978" t="s">
        <v>10</v>
      </c>
      <c r="F978" t="s">
        <v>11</v>
      </c>
      <c r="G978" t="s">
        <v>20</v>
      </c>
      <c r="H978" t="s">
        <v>2766</v>
      </c>
      <c r="I978" t="s">
        <v>2895</v>
      </c>
      <c r="J978" t="str">
        <f>IF(ISNUMBER(MATCH($D978,'Lopettaneet 2013-&gt;'!$D:$D,0)),INDEX('Lopettaneet 2013-&gt;'!$K:$K,MATCH($D978,'Lopettaneet 2013-&gt;'!$D:$D,0)),"Jatkaa")</f>
        <v>Jatkaa</v>
      </c>
      <c r="K978">
        <f ca="1">IF($J978="Jatkaa",DATEDIF($B978,TODAY(),"Y"),INDEX('Lopettaneet 2013-&gt;'!$L:$L,MATCH($D978,'Lopettaneet 2013-&gt;'!$D:$D,0)))</f>
        <v>3</v>
      </c>
      <c r="L978">
        <v>977</v>
      </c>
    </row>
    <row r="979" spans="1:12" x14ac:dyDescent="0.25">
      <c r="A979" t="s">
        <v>0</v>
      </c>
      <c r="B979" s="1">
        <v>44682</v>
      </c>
      <c r="C979" s="1">
        <v>55153</v>
      </c>
      <c r="D979" s="4" t="s">
        <v>2143</v>
      </c>
      <c r="E979" t="s">
        <v>10</v>
      </c>
      <c r="F979" t="s">
        <v>11</v>
      </c>
      <c r="G979" t="s">
        <v>20</v>
      </c>
      <c r="H979" t="s">
        <v>2766</v>
      </c>
      <c r="I979" t="s">
        <v>2895</v>
      </c>
      <c r="J979" t="str">
        <f>IF(ISNUMBER(MATCH($D979,'Lopettaneet 2013-&gt;'!$D:$D,0)),INDEX('Lopettaneet 2013-&gt;'!$K:$K,MATCH($D979,'Lopettaneet 2013-&gt;'!$D:$D,0)),"Jatkaa")</f>
        <v>Jatkaa</v>
      </c>
      <c r="K979">
        <f ca="1">IF($J979="Jatkaa",DATEDIF($B979,TODAY(),"Y"),INDEX('Lopettaneet 2013-&gt;'!$L:$L,MATCH($D979,'Lopettaneet 2013-&gt;'!$D:$D,0)))</f>
        <v>3</v>
      </c>
      <c r="L979">
        <v>978</v>
      </c>
    </row>
    <row r="980" spans="1:12" x14ac:dyDescent="0.25">
      <c r="A980" t="s">
        <v>7</v>
      </c>
      <c r="B980" s="1">
        <v>44621</v>
      </c>
      <c r="C980" s="1">
        <v>55153</v>
      </c>
      <c r="D980" s="4" t="s">
        <v>2145</v>
      </c>
      <c r="E980" t="s">
        <v>10</v>
      </c>
      <c r="F980" t="s">
        <v>11</v>
      </c>
      <c r="G980" t="s">
        <v>29</v>
      </c>
      <c r="H980" t="s">
        <v>2771</v>
      </c>
      <c r="I980" t="s">
        <v>2894</v>
      </c>
      <c r="J980" t="str">
        <f>IF(ISNUMBER(MATCH($D980,'Lopettaneet 2013-&gt;'!$D:$D,0)),INDEX('Lopettaneet 2013-&gt;'!$K:$K,MATCH($D980,'Lopettaneet 2013-&gt;'!$D:$D,0)),"Jatkaa")</f>
        <v>Jatkaa</v>
      </c>
      <c r="K980">
        <f ca="1">IF($J980="Jatkaa",DATEDIF($B980,TODAY(),"Y"),INDEX('Lopettaneet 2013-&gt;'!$L:$L,MATCH($D980,'Lopettaneet 2013-&gt;'!$D:$D,0)))</f>
        <v>3</v>
      </c>
      <c r="L980">
        <v>979</v>
      </c>
    </row>
    <row r="981" spans="1:12" x14ac:dyDescent="0.25">
      <c r="A981" t="s">
        <v>7</v>
      </c>
      <c r="B981" s="1">
        <v>44713</v>
      </c>
      <c r="C981" s="1">
        <v>55153</v>
      </c>
      <c r="D981" s="4" t="s">
        <v>2147</v>
      </c>
      <c r="E981" t="s">
        <v>10</v>
      </c>
      <c r="F981" t="s">
        <v>11</v>
      </c>
      <c r="G981" t="s">
        <v>12</v>
      </c>
      <c r="H981" t="s">
        <v>2777</v>
      </c>
      <c r="I981" t="s">
        <v>2894</v>
      </c>
      <c r="J981" t="str">
        <f>IF(ISNUMBER(MATCH($D981,'Lopettaneet 2013-&gt;'!$D:$D,0)),INDEX('Lopettaneet 2013-&gt;'!$K:$K,MATCH($D981,'Lopettaneet 2013-&gt;'!$D:$D,0)),"Jatkaa")</f>
        <v>Jatkaa</v>
      </c>
      <c r="K981">
        <f ca="1">IF($J981="Jatkaa",DATEDIF($B981,TODAY(),"Y"),INDEX('Lopettaneet 2013-&gt;'!$L:$L,MATCH($D981,'Lopettaneet 2013-&gt;'!$D:$D,0)))</f>
        <v>2</v>
      </c>
      <c r="L981">
        <v>980</v>
      </c>
    </row>
    <row r="982" spans="1:12" x14ac:dyDescent="0.25">
      <c r="A982" t="s">
        <v>7</v>
      </c>
      <c r="B982" s="1">
        <v>44713</v>
      </c>
      <c r="C982" s="1">
        <v>55153</v>
      </c>
      <c r="D982" s="4" t="s">
        <v>2149</v>
      </c>
      <c r="E982" t="s">
        <v>10</v>
      </c>
      <c r="F982" t="s">
        <v>11</v>
      </c>
      <c r="G982" t="s">
        <v>12</v>
      </c>
      <c r="H982" t="s">
        <v>2777</v>
      </c>
      <c r="I982" t="s">
        <v>2894</v>
      </c>
      <c r="J982" t="str">
        <f>IF(ISNUMBER(MATCH($D982,'Lopettaneet 2013-&gt;'!$D:$D,0)),INDEX('Lopettaneet 2013-&gt;'!$K:$K,MATCH($D982,'Lopettaneet 2013-&gt;'!$D:$D,0)),"Jatkaa")</f>
        <v>Jatkaa</v>
      </c>
      <c r="K982">
        <f ca="1">IF($J982="Jatkaa",DATEDIF($B982,TODAY(),"Y"),INDEX('Lopettaneet 2013-&gt;'!$L:$L,MATCH($D982,'Lopettaneet 2013-&gt;'!$D:$D,0)))</f>
        <v>2</v>
      </c>
      <c r="L982">
        <v>981</v>
      </c>
    </row>
    <row r="983" spans="1:12" x14ac:dyDescent="0.25">
      <c r="A983" t="s">
        <v>7</v>
      </c>
      <c r="B983" s="1">
        <v>44713</v>
      </c>
      <c r="C983" s="1">
        <v>55153</v>
      </c>
      <c r="D983" s="4" t="s">
        <v>2151</v>
      </c>
      <c r="E983" t="s">
        <v>10</v>
      </c>
      <c r="F983" t="s">
        <v>11</v>
      </c>
      <c r="G983" t="s">
        <v>12</v>
      </c>
      <c r="H983" t="s">
        <v>2777</v>
      </c>
      <c r="I983" t="s">
        <v>2894</v>
      </c>
      <c r="J983" t="str">
        <f>IF(ISNUMBER(MATCH($D983,'Lopettaneet 2013-&gt;'!$D:$D,0)),INDEX('Lopettaneet 2013-&gt;'!$K:$K,MATCH($D983,'Lopettaneet 2013-&gt;'!$D:$D,0)),"Jatkaa")</f>
        <v>Jatkaa</v>
      </c>
      <c r="K983">
        <f ca="1">IF($J983="Jatkaa",DATEDIF($B983,TODAY(),"Y"),INDEX('Lopettaneet 2013-&gt;'!$L:$L,MATCH($D983,'Lopettaneet 2013-&gt;'!$D:$D,0)))</f>
        <v>2</v>
      </c>
      <c r="L983">
        <v>982</v>
      </c>
    </row>
    <row r="984" spans="1:12" x14ac:dyDescent="0.25">
      <c r="A984" t="s">
        <v>7</v>
      </c>
      <c r="B984" s="1">
        <v>44713</v>
      </c>
      <c r="C984" s="1">
        <v>55153</v>
      </c>
      <c r="D984" s="4" t="s">
        <v>2153</v>
      </c>
      <c r="E984" t="s">
        <v>10</v>
      </c>
      <c r="F984" t="s">
        <v>11</v>
      </c>
      <c r="G984" t="s">
        <v>12</v>
      </c>
      <c r="H984" t="s">
        <v>2777</v>
      </c>
      <c r="I984" t="s">
        <v>2894</v>
      </c>
      <c r="J984" t="str">
        <f>IF(ISNUMBER(MATCH($D984,'Lopettaneet 2013-&gt;'!$D:$D,0)),INDEX('Lopettaneet 2013-&gt;'!$K:$K,MATCH($D984,'Lopettaneet 2013-&gt;'!$D:$D,0)),"Jatkaa")</f>
        <v>Jatkaa</v>
      </c>
      <c r="K984">
        <f ca="1">IF($J984="Jatkaa",DATEDIF($B984,TODAY(),"Y"),INDEX('Lopettaneet 2013-&gt;'!$L:$L,MATCH($D984,'Lopettaneet 2013-&gt;'!$D:$D,0)))</f>
        <v>2</v>
      </c>
      <c r="L984">
        <v>983</v>
      </c>
    </row>
    <row r="985" spans="1:12" x14ac:dyDescent="0.25">
      <c r="A985" t="s">
        <v>7</v>
      </c>
      <c r="B985" s="1">
        <v>44713</v>
      </c>
      <c r="C985" s="1">
        <v>55153</v>
      </c>
      <c r="D985" s="4" t="s">
        <v>2155</v>
      </c>
      <c r="E985" t="s">
        <v>10</v>
      </c>
      <c r="F985" t="s">
        <v>11</v>
      </c>
      <c r="G985" t="s">
        <v>12</v>
      </c>
      <c r="H985" t="s">
        <v>2777</v>
      </c>
      <c r="I985" t="s">
        <v>2894</v>
      </c>
      <c r="J985" t="str">
        <f>IF(ISNUMBER(MATCH($D985,'Lopettaneet 2013-&gt;'!$D:$D,0)),INDEX('Lopettaneet 2013-&gt;'!$K:$K,MATCH($D985,'Lopettaneet 2013-&gt;'!$D:$D,0)),"Jatkaa")</f>
        <v>Jatkaa</v>
      </c>
      <c r="K985">
        <f ca="1">IF($J985="Jatkaa",DATEDIF($B985,TODAY(),"Y"),INDEX('Lopettaneet 2013-&gt;'!$L:$L,MATCH($D985,'Lopettaneet 2013-&gt;'!$D:$D,0)))</f>
        <v>2</v>
      </c>
      <c r="L985">
        <v>984</v>
      </c>
    </row>
    <row r="986" spans="1:12" x14ac:dyDescent="0.25">
      <c r="A986" t="s">
        <v>7</v>
      </c>
      <c r="B986" s="1">
        <v>44621</v>
      </c>
      <c r="C986" s="1">
        <v>55153</v>
      </c>
      <c r="D986" s="4" t="s">
        <v>2157</v>
      </c>
      <c r="E986" t="s">
        <v>10</v>
      </c>
      <c r="F986" t="s">
        <v>11</v>
      </c>
      <c r="G986" t="s">
        <v>29</v>
      </c>
      <c r="H986" t="s">
        <v>2866</v>
      </c>
      <c r="I986" t="s">
        <v>2894</v>
      </c>
      <c r="J986" t="str">
        <f>IF(ISNUMBER(MATCH($D986,'Lopettaneet 2013-&gt;'!$D:$D,0)),INDEX('Lopettaneet 2013-&gt;'!$K:$K,MATCH($D986,'Lopettaneet 2013-&gt;'!$D:$D,0)),"Jatkaa")</f>
        <v>Jatkaa</v>
      </c>
      <c r="K986">
        <f ca="1">IF($J986="Jatkaa",DATEDIF($B986,TODAY(),"Y"),INDEX('Lopettaneet 2013-&gt;'!$L:$L,MATCH($D986,'Lopettaneet 2013-&gt;'!$D:$D,0)))</f>
        <v>3</v>
      </c>
      <c r="L986">
        <v>985</v>
      </c>
    </row>
    <row r="987" spans="1:12" x14ac:dyDescent="0.25">
      <c r="A987" t="s">
        <v>7</v>
      </c>
      <c r="B987" s="1">
        <v>44621</v>
      </c>
      <c r="C987" s="1">
        <v>55153</v>
      </c>
      <c r="D987" s="4" t="s">
        <v>2159</v>
      </c>
      <c r="E987" t="s">
        <v>10</v>
      </c>
      <c r="F987" t="s">
        <v>11</v>
      </c>
      <c r="G987" t="s">
        <v>29</v>
      </c>
      <c r="H987" t="s">
        <v>2866</v>
      </c>
      <c r="I987" t="s">
        <v>2894</v>
      </c>
      <c r="J987" t="str">
        <f>IF(ISNUMBER(MATCH($D987,'Lopettaneet 2013-&gt;'!$D:$D,0)),INDEX('Lopettaneet 2013-&gt;'!$K:$K,MATCH($D987,'Lopettaneet 2013-&gt;'!$D:$D,0)),"Jatkaa")</f>
        <v>Jatkaa</v>
      </c>
      <c r="K987">
        <f ca="1">IF($J987="Jatkaa",DATEDIF($B987,TODAY(),"Y"),INDEX('Lopettaneet 2013-&gt;'!$L:$L,MATCH($D987,'Lopettaneet 2013-&gt;'!$D:$D,0)))</f>
        <v>3</v>
      </c>
      <c r="L987">
        <v>986</v>
      </c>
    </row>
    <row r="988" spans="1:12" x14ac:dyDescent="0.25">
      <c r="A988" t="s">
        <v>7</v>
      </c>
      <c r="B988" s="1">
        <v>44621</v>
      </c>
      <c r="C988" s="1">
        <v>55153</v>
      </c>
      <c r="D988" s="4" t="s">
        <v>2161</v>
      </c>
      <c r="E988" t="s">
        <v>10</v>
      </c>
      <c r="F988" t="s">
        <v>11</v>
      </c>
      <c r="G988" t="s">
        <v>29</v>
      </c>
      <c r="H988" t="s">
        <v>2866</v>
      </c>
      <c r="I988" t="s">
        <v>2894</v>
      </c>
      <c r="J988" t="str">
        <f>IF(ISNUMBER(MATCH($D988,'Lopettaneet 2013-&gt;'!$D:$D,0)),INDEX('Lopettaneet 2013-&gt;'!$K:$K,MATCH($D988,'Lopettaneet 2013-&gt;'!$D:$D,0)),"Jatkaa")</f>
        <v>Jatkaa</v>
      </c>
      <c r="K988">
        <f ca="1">IF($J988="Jatkaa",DATEDIF($B988,TODAY(),"Y"),INDEX('Lopettaneet 2013-&gt;'!$L:$L,MATCH($D988,'Lopettaneet 2013-&gt;'!$D:$D,0)))</f>
        <v>3</v>
      </c>
      <c r="L988">
        <v>987</v>
      </c>
    </row>
    <row r="989" spans="1:12" x14ac:dyDescent="0.25">
      <c r="A989" t="s">
        <v>0</v>
      </c>
      <c r="B989" s="1">
        <v>44713</v>
      </c>
      <c r="C989" s="1">
        <v>55153</v>
      </c>
      <c r="D989" s="4" t="s">
        <v>2163</v>
      </c>
      <c r="E989" t="s">
        <v>10</v>
      </c>
      <c r="F989" t="s">
        <v>4</v>
      </c>
      <c r="G989" t="s">
        <v>32</v>
      </c>
      <c r="H989" t="s">
        <v>2797</v>
      </c>
      <c r="I989" t="s">
        <v>2894</v>
      </c>
      <c r="J989" t="str">
        <f>IF(ISNUMBER(MATCH($D989,'Lopettaneet 2013-&gt;'!$D:$D,0)),INDEX('Lopettaneet 2013-&gt;'!$K:$K,MATCH($D989,'Lopettaneet 2013-&gt;'!$D:$D,0)),"Jatkaa")</f>
        <v>Jatkaa</v>
      </c>
      <c r="K989">
        <f ca="1">IF($J989="Jatkaa",DATEDIF($B989,TODAY(),"Y"),INDEX('Lopettaneet 2013-&gt;'!$L:$L,MATCH($D989,'Lopettaneet 2013-&gt;'!$D:$D,0)))</f>
        <v>2</v>
      </c>
      <c r="L989">
        <v>988</v>
      </c>
    </row>
    <row r="990" spans="1:12" x14ac:dyDescent="0.25">
      <c r="A990" t="s">
        <v>0</v>
      </c>
      <c r="B990" s="1">
        <v>44652</v>
      </c>
      <c r="C990" s="1">
        <v>45291</v>
      </c>
      <c r="D990" s="4" t="s">
        <v>64</v>
      </c>
      <c r="E990" t="s">
        <v>10</v>
      </c>
      <c r="F990" t="s">
        <v>4</v>
      </c>
      <c r="G990" t="s">
        <v>47</v>
      </c>
      <c r="H990" t="s">
        <v>2763</v>
      </c>
      <c r="I990" t="s">
        <v>2763</v>
      </c>
      <c r="J990" t="str">
        <f>IF(ISNUMBER(MATCH($D990,'Lopettaneet 2013-&gt;'!$D:$D,0)),INDEX('Lopettaneet 2013-&gt;'!$K:$K,MATCH($D990,'Lopettaneet 2013-&gt;'!$D:$D,0)),"Jatkaa")</f>
        <v>Closed</v>
      </c>
      <c r="K990">
        <f ca="1">IF($J990="Jatkaa",DATEDIF($B990,TODAY(),"Y"),INDEX('Lopettaneet 2013-&gt;'!$L:$L,MATCH($D990,'Lopettaneet 2013-&gt;'!$D:$D,0)))</f>
        <v>1</v>
      </c>
      <c r="L990">
        <v>989</v>
      </c>
    </row>
    <row r="991" spans="1:12" x14ac:dyDescent="0.25">
      <c r="A991" t="s">
        <v>7</v>
      </c>
      <c r="B991" s="1">
        <v>44713</v>
      </c>
      <c r="C991" s="1">
        <v>55153</v>
      </c>
      <c r="D991" s="4" t="s">
        <v>2165</v>
      </c>
      <c r="E991" t="s">
        <v>10</v>
      </c>
      <c r="F991" t="s">
        <v>11</v>
      </c>
      <c r="G991" t="s">
        <v>12</v>
      </c>
      <c r="H991" t="s">
        <v>2802</v>
      </c>
      <c r="I991" t="s">
        <v>2895</v>
      </c>
      <c r="J991" t="str">
        <f>IF(ISNUMBER(MATCH($D991,'Lopettaneet 2013-&gt;'!$D:$D,0)),INDEX('Lopettaneet 2013-&gt;'!$K:$K,MATCH($D991,'Lopettaneet 2013-&gt;'!$D:$D,0)),"Jatkaa")</f>
        <v>Jatkaa</v>
      </c>
      <c r="K991">
        <f ca="1">IF($J991="Jatkaa",DATEDIF($B991,TODAY(),"Y"),INDEX('Lopettaneet 2013-&gt;'!$L:$L,MATCH($D991,'Lopettaneet 2013-&gt;'!$D:$D,0)))</f>
        <v>2</v>
      </c>
      <c r="L991">
        <v>990</v>
      </c>
    </row>
    <row r="992" spans="1:12" x14ac:dyDescent="0.25">
      <c r="A992" t="s">
        <v>0</v>
      </c>
      <c r="B992" s="1">
        <v>44743</v>
      </c>
      <c r="C992" s="1">
        <v>55153</v>
      </c>
      <c r="D992" s="4" t="s">
        <v>2167</v>
      </c>
      <c r="E992" t="s">
        <v>10</v>
      </c>
      <c r="F992" t="s">
        <v>4</v>
      </c>
      <c r="G992" t="s">
        <v>32</v>
      </c>
      <c r="H992" t="s">
        <v>2771</v>
      </c>
      <c r="I992" t="s">
        <v>2894</v>
      </c>
      <c r="J992" t="str">
        <f>IF(ISNUMBER(MATCH($D992,'Lopettaneet 2013-&gt;'!$D:$D,0)),INDEX('Lopettaneet 2013-&gt;'!$K:$K,MATCH($D992,'Lopettaneet 2013-&gt;'!$D:$D,0)),"Jatkaa")</f>
        <v>Jatkaa</v>
      </c>
      <c r="K992">
        <f ca="1">IF($J992="Jatkaa",DATEDIF($B992,TODAY(),"Y"),INDEX('Lopettaneet 2013-&gt;'!$L:$L,MATCH($D992,'Lopettaneet 2013-&gt;'!$D:$D,0)))</f>
        <v>2</v>
      </c>
      <c r="L992">
        <v>991</v>
      </c>
    </row>
    <row r="993" spans="1:12" x14ac:dyDescent="0.25">
      <c r="A993" t="s">
        <v>0</v>
      </c>
      <c r="B993" s="1">
        <v>44743</v>
      </c>
      <c r="C993" s="1">
        <v>55153</v>
      </c>
      <c r="D993" s="4" t="s">
        <v>2169</v>
      </c>
      <c r="E993" t="s">
        <v>10</v>
      </c>
      <c r="F993" t="s">
        <v>4</v>
      </c>
      <c r="G993" t="s">
        <v>29</v>
      </c>
      <c r="H993" t="s">
        <v>2842</v>
      </c>
      <c r="I993" t="s">
        <v>2894</v>
      </c>
      <c r="J993" t="str">
        <f>IF(ISNUMBER(MATCH($D993,'Lopettaneet 2013-&gt;'!$D:$D,0)),INDEX('Lopettaneet 2013-&gt;'!$K:$K,MATCH($D993,'Lopettaneet 2013-&gt;'!$D:$D,0)),"Jatkaa")</f>
        <v>Jatkaa</v>
      </c>
      <c r="K993">
        <f ca="1">IF($J993="Jatkaa",DATEDIF($B993,TODAY(),"Y"),INDEX('Lopettaneet 2013-&gt;'!$L:$L,MATCH($D993,'Lopettaneet 2013-&gt;'!$D:$D,0)))</f>
        <v>2</v>
      </c>
      <c r="L993">
        <v>992</v>
      </c>
    </row>
    <row r="994" spans="1:12" x14ac:dyDescent="0.25">
      <c r="A994" t="s">
        <v>0</v>
      </c>
      <c r="B994" s="1">
        <v>44652</v>
      </c>
      <c r="C994" s="1">
        <v>55153</v>
      </c>
      <c r="D994" s="4" t="s">
        <v>2171</v>
      </c>
      <c r="E994" t="s">
        <v>10</v>
      </c>
      <c r="F994" t="s">
        <v>4</v>
      </c>
      <c r="G994" t="s">
        <v>20</v>
      </c>
      <c r="H994" t="s">
        <v>2778</v>
      </c>
      <c r="I994" t="s">
        <v>2894</v>
      </c>
      <c r="J994" t="str">
        <f>IF(ISNUMBER(MATCH($D994,'Lopettaneet 2013-&gt;'!$D:$D,0)),INDEX('Lopettaneet 2013-&gt;'!$K:$K,MATCH($D994,'Lopettaneet 2013-&gt;'!$D:$D,0)),"Jatkaa")</f>
        <v>Jatkaa</v>
      </c>
      <c r="K994">
        <f ca="1">IF($J994="Jatkaa",DATEDIF($B994,TODAY(),"Y"),INDEX('Lopettaneet 2013-&gt;'!$L:$L,MATCH($D994,'Lopettaneet 2013-&gt;'!$D:$D,0)))</f>
        <v>3</v>
      </c>
      <c r="L994">
        <v>993</v>
      </c>
    </row>
    <row r="995" spans="1:12" x14ac:dyDescent="0.25">
      <c r="A995" t="s">
        <v>0</v>
      </c>
      <c r="B995" s="1">
        <v>44713</v>
      </c>
      <c r="C995" s="1">
        <v>55153</v>
      </c>
      <c r="D995" s="4" t="s">
        <v>2173</v>
      </c>
      <c r="E995" t="s">
        <v>3</v>
      </c>
      <c r="F995" t="s">
        <v>4</v>
      </c>
      <c r="G995" t="s">
        <v>20</v>
      </c>
      <c r="H995" t="s">
        <v>2767</v>
      </c>
      <c r="I995" t="s">
        <v>2894</v>
      </c>
      <c r="J995" t="str">
        <f>IF(ISNUMBER(MATCH($D995,'Lopettaneet 2013-&gt;'!$D:$D,0)),INDEX('Lopettaneet 2013-&gt;'!$K:$K,MATCH($D995,'Lopettaneet 2013-&gt;'!$D:$D,0)),"Jatkaa")</f>
        <v>Jatkaa</v>
      </c>
      <c r="K995">
        <f ca="1">IF($J995="Jatkaa",DATEDIF($B995,TODAY(),"Y"),INDEX('Lopettaneet 2013-&gt;'!$L:$L,MATCH($D995,'Lopettaneet 2013-&gt;'!$D:$D,0)))</f>
        <v>2</v>
      </c>
      <c r="L995">
        <v>994</v>
      </c>
    </row>
    <row r="996" spans="1:12" x14ac:dyDescent="0.25">
      <c r="A996" t="s">
        <v>0</v>
      </c>
      <c r="B996" s="1">
        <v>44682</v>
      </c>
      <c r="C996" s="1">
        <v>55153</v>
      </c>
      <c r="D996" s="4" t="s">
        <v>2175</v>
      </c>
      <c r="E996" t="s">
        <v>3</v>
      </c>
      <c r="F996" t="s">
        <v>4</v>
      </c>
      <c r="G996" t="s">
        <v>20</v>
      </c>
      <c r="H996" t="s">
        <v>2774</v>
      </c>
      <c r="I996" t="s">
        <v>2894</v>
      </c>
      <c r="J996" t="str">
        <f>IF(ISNUMBER(MATCH($D996,'Lopettaneet 2013-&gt;'!$D:$D,0)),INDEX('Lopettaneet 2013-&gt;'!$K:$K,MATCH($D996,'Lopettaneet 2013-&gt;'!$D:$D,0)),"Jatkaa")</f>
        <v>Jatkaa</v>
      </c>
      <c r="K996">
        <f ca="1">IF($J996="Jatkaa",DATEDIF($B996,TODAY(),"Y"),INDEX('Lopettaneet 2013-&gt;'!$L:$L,MATCH($D996,'Lopettaneet 2013-&gt;'!$D:$D,0)))</f>
        <v>3</v>
      </c>
      <c r="L996">
        <v>995</v>
      </c>
    </row>
    <row r="997" spans="1:12" x14ac:dyDescent="0.25">
      <c r="A997" t="s">
        <v>0</v>
      </c>
      <c r="B997" s="1">
        <v>44713</v>
      </c>
      <c r="C997" s="1">
        <v>55153</v>
      </c>
      <c r="D997" s="4" t="s">
        <v>2177</v>
      </c>
      <c r="E997" t="s">
        <v>10</v>
      </c>
      <c r="F997" t="s">
        <v>4</v>
      </c>
      <c r="G997" t="s">
        <v>20</v>
      </c>
      <c r="H997" t="s">
        <v>2842</v>
      </c>
      <c r="I997" t="s">
        <v>2894</v>
      </c>
      <c r="J997" t="str">
        <f>IF(ISNUMBER(MATCH($D997,'Lopettaneet 2013-&gt;'!$D:$D,0)),INDEX('Lopettaneet 2013-&gt;'!$K:$K,MATCH($D997,'Lopettaneet 2013-&gt;'!$D:$D,0)),"Jatkaa")</f>
        <v>Jatkaa</v>
      </c>
      <c r="K997">
        <f ca="1">IF($J997="Jatkaa",DATEDIF($B997,TODAY(),"Y"),INDEX('Lopettaneet 2013-&gt;'!$L:$L,MATCH($D997,'Lopettaneet 2013-&gt;'!$D:$D,0)))</f>
        <v>2</v>
      </c>
      <c r="L997">
        <v>996</v>
      </c>
    </row>
    <row r="998" spans="1:12" x14ac:dyDescent="0.25">
      <c r="A998" t="s">
        <v>0</v>
      </c>
      <c r="B998" s="1">
        <v>44743</v>
      </c>
      <c r="C998" s="1">
        <v>55153</v>
      </c>
      <c r="D998" s="4" t="s">
        <v>2179</v>
      </c>
      <c r="E998" t="s">
        <v>10</v>
      </c>
      <c r="F998" t="s">
        <v>11</v>
      </c>
      <c r="G998" t="s">
        <v>20</v>
      </c>
      <c r="H998" t="s">
        <v>2847</v>
      </c>
      <c r="I998" t="s">
        <v>2895</v>
      </c>
      <c r="J998" t="str">
        <f>IF(ISNUMBER(MATCH($D998,'Lopettaneet 2013-&gt;'!$D:$D,0)),INDEX('Lopettaneet 2013-&gt;'!$K:$K,MATCH($D998,'Lopettaneet 2013-&gt;'!$D:$D,0)),"Jatkaa")</f>
        <v>Jatkaa</v>
      </c>
      <c r="K998">
        <f ca="1">IF($J998="Jatkaa",DATEDIF($B998,TODAY(),"Y"),INDEX('Lopettaneet 2013-&gt;'!$L:$L,MATCH($D998,'Lopettaneet 2013-&gt;'!$D:$D,0)))</f>
        <v>2</v>
      </c>
      <c r="L998">
        <v>997</v>
      </c>
    </row>
    <row r="999" spans="1:12" x14ac:dyDescent="0.25">
      <c r="A999" t="s">
        <v>0</v>
      </c>
      <c r="B999" s="1">
        <v>44896</v>
      </c>
      <c r="C999" s="1">
        <v>55153</v>
      </c>
      <c r="D999" s="4" t="s">
        <v>2181</v>
      </c>
      <c r="E999" t="s">
        <v>10</v>
      </c>
      <c r="F999" t="s">
        <v>11</v>
      </c>
      <c r="G999" t="s">
        <v>29</v>
      </c>
      <c r="H999" t="s">
        <v>2847</v>
      </c>
      <c r="I999" t="s">
        <v>2895</v>
      </c>
      <c r="J999" t="str">
        <f>IF(ISNUMBER(MATCH($D999,'Lopettaneet 2013-&gt;'!$D:$D,0)),INDEX('Lopettaneet 2013-&gt;'!$K:$K,MATCH($D999,'Lopettaneet 2013-&gt;'!$D:$D,0)),"Jatkaa")</f>
        <v>Jatkaa</v>
      </c>
      <c r="K999">
        <f ca="1">IF($J999="Jatkaa",DATEDIF($B999,TODAY(),"Y"),INDEX('Lopettaneet 2013-&gt;'!$L:$L,MATCH($D999,'Lopettaneet 2013-&gt;'!$D:$D,0)))</f>
        <v>2</v>
      </c>
      <c r="L999">
        <v>998</v>
      </c>
    </row>
    <row r="1000" spans="1:12" x14ac:dyDescent="0.25">
      <c r="A1000" t="s">
        <v>7</v>
      </c>
      <c r="B1000" s="1">
        <v>44621</v>
      </c>
      <c r="C1000" s="1">
        <v>55153</v>
      </c>
      <c r="D1000" s="4" t="s">
        <v>2183</v>
      </c>
      <c r="E1000" t="s">
        <v>10</v>
      </c>
      <c r="F1000" t="s">
        <v>11</v>
      </c>
      <c r="G1000" t="s">
        <v>12</v>
      </c>
      <c r="H1000" t="s">
        <v>2782</v>
      </c>
      <c r="I1000" t="s">
        <v>2895</v>
      </c>
      <c r="J1000" t="str">
        <f>IF(ISNUMBER(MATCH($D1000,'Lopettaneet 2013-&gt;'!$D:$D,0)),INDEX('Lopettaneet 2013-&gt;'!$K:$K,MATCH($D1000,'Lopettaneet 2013-&gt;'!$D:$D,0)),"Jatkaa")</f>
        <v>Jatkaa</v>
      </c>
      <c r="K1000">
        <f ca="1">IF($J1000="Jatkaa",DATEDIF($B1000,TODAY(),"Y"),INDEX('Lopettaneet 2013-&gt;'!$L:$L,MATCH($D1000,'Lopettaneet 2013-&gt;'!$D:$D,0)))</f>
        <v>3</v>
      </c>
      <c r="L1000">
        <v>999</v>
      </c>
    </row>
    <row r="1001" spans="1:12" x14ac:dyDescent="0.25">
      <c r="A1001" t="s">
        <v>7</v>
      </c>
      <c r="B1001" s="1">
        <v>44896</v>
      </c>
      <c r="C1001" s="1">
        <v>55153</v>
      </c>
      <c r="D1001" s="4" t="s">
        <v>2185</v>
      </c>
      <c r="E1001" t="s">
        <v>10</v>
      </c>
      <c r="F1001" t="s">
        <v>11</v>
      </c>
      <c r="G1001" t="s">
        <v>80</v>
      </c>
      <c r="H1001" t="s">
        <v>2828</v>
      </c>
      <c r="I1001" t="s">
        <v>2894</v>
      </c>
      <c r="J1001" t="str">
        <f>IF(ISNUMBER(MATCH($D1001,'Lopettaneet 2013-&gt;'!$D:$D,0)),INDEX('Lopettaneet 2013-&gt;'!$K:$K,MATCH($D1001,'Lopettaneet 2013-&gt;'!$D:$D,0)),"Jatkaa")</f>
        <v>Jatkaa</v>
      </c>
      <c r="K1001">
        <f ca="1">IF($J1001="Jatkaa",DATEDIF($B1001,TODAY(),"Y"),INDEX('Lopettaneet 2013-&gt;'!$L:$L,MATCH($D1001,'Lopettaneet 2013-&gt;'!$D:$D,0)))</f>
        <v>2</v>
      </c>
      <c r="L1001">
        <v>1000</v>
      </c>
    </row>
    <row r="1002" spans="1:12" x14ac:dyDescent="0.25">
      <c r="A1002" t="s">
        <v>7</v>
      </c>
      <c r="B1002" s="1">
        <v>44896</v>
      </c>
      <c r="C1002" s="1">
        <v>55153</v>
      </c>
      <c r="D1002" s="4" t="s">
        <v>2187</v>
      </c>
      <c r="E1002" t="s">
        <v>10</v>
      </c>
      <c r="F1002" t="s">
        <v>11</v>
      </c>
      <c r="G1002" t="s">
        <v>12</v>
      </c>
      <c r="H1002" t="s">
        <v>2881</v>
      </c>
      <c r="I1002" t="s">
        <v>2894</v>
      </c>
      <c r="J1002" t="str">
        <f>IF(ISNUMBER(MATCH($D1002,'Lopettaneet 2013-&gt;'!$D:$D,0)),INDEX('Lopettaneet 2013-&gt;'!$K:$K,MATCH($D1002,'Lopettaneet 2013-&gt;'!$D:$D,0)),"Jatkaa")</f>
        <v>Jatkaa</v>
      </c>
      <c r="K1002">
        <f ca="1">IF($J1002="Jatkaa",DATEDIF($B1002,TODAY(),"Y"),INDEX('Lopettaneet 2013-&gt;'!$L:$L,MATCH($D1002,'Lopettaneet 2013-&gt;'!$D:$D,0)))</f>
        <v>2</v>
      </c>
      <c r="L1002">
        <v>1001</v>
      </c>
    </row>
    <row r="1003" spans="1:12" x14ac:dyDescent="0.25">
      <c r="A1003" t="s">
        <v>7</v>
      </c>
      <c r="B1003" s="1">
        <v>44896</v>
      </c>
      <c r="C1003" s="1">
        <v>55153</v>
      </c>
      <c r="D1003" s="4" t="s">
        <v>2189</v>
      </c>
      <c r="E1003" t="s">
        <v>10</v>
      </c>
      <c r="F1003" t="s">
        <v>11</v>
      </c>
      <c r="G1003" t="s">
        <v>12</v>
      </c>
      <c r="H1003" t="s">
        <v>2832</v>
      </c>
      <c r="I1003" t="s">
        <v>2895</v>
      </c>
      <c r="J1003" t="str">
        <f>IF(ISNUMBER(MATCH($D1003,'Lopettaneet 2013-&gt;'!$D:$D,0)),INDEX('Lopettaneet 2013-&gt;'!$K:$K,MATCH($D1003,'Lopettaneet 2013-&gt;'!$D:$D,0)),"Jatkaa")</f>
        <v>Jatkaa</v>
      </c>
      <c r="K1003">
        <f ca="1">IF($J1003="Jatkaa",DATEDIF($B1003,TODAY(),"Y"),INDEX('Lopettaneet 2013-&gt;'!$L:$L,MATCH($D1003,'Lopettaneet 2013-&gt;'!$D:$D,0)))</f>
        <v>2</v>
      </c>
      <c r="L1003">
        <v>1002</v>
      </c>
    </row>
    <row r="1004" spans="1:12" x14ac:dyDescent="0.25">
      <c r="A1004" t="s">
        <v>0</v>
      </c>
      <c r="B1004" s="1">
        <v>44713</v>
      </c>
      <c r="C1004" s="1">
        <v>55153</v>
      </c>
      <c r="D1004" s="4" t="s">
        <v>2191</v>
      </c>
      <c r="E1004" t="s">
        <v>3</v>
      </c>
      <c r="F1004" t="s">
        <v>4</v>
      </c>
      <c r="G1004" t="s">
        <v>20</v>
      </c>
      <c r="H1004" t="s">
        <v>2767</v>
      </c>
      <c r="I1004" t="s">
        <v>2894</v>
      </c>
      <c r="J1004" t="str">
        <f>IF(ISNUMBER(MATCH($D1004,'Lopettaneet 2013-&gt;'!$D:$D,0)),INDEX('Lopettaneet 2013-&gt;'!$K:$K,MATCH($D1004,'Lopettaneet 2013-&gt;'!$D:$D,0)),"Jatkaa")</f>
        <v>Jatkaa</v>
      </c>
      <c r="K1004">
        <f ca="1">IF($J1004="Jatkaa",DATEDIF($B1004,TODAY(),"Y"),INDEX('Lopettaneet 2013-&gt;'!$L:$L,MATCH($D1004,'Lopettaneet 2013-&gt;'!$D:$D,0)))</f>
        <v>2</v>
      </c>
      <c r="L1004">
        <v>1003</v>
      </c>
    </row>
    <row r="1005" spans="1:12" x14ac:dyDescent="0.25">
      <c r="A1005" t="s">
        <v>0</v>
      </c>
      <c r="B1005" s="1">
        <v>45261</v>
      </c>
      <c r="C1005" s="1">
        <v>55153</v>
      </c>
      <c r="D1005" s="4" t="s">
        <v>76</v>
      </c>
      <c r="E1005" t="s">
        <v>3</v>
      </c>
      <c r="F1005" t="s">
        <v>4</v>
      </c>
      <c r="G1005" t="s">
        <v>20</v>
      </c>
      <c r="H1005" t="s">
        <v>2771</v>
      </c>
      <c r="I1005" t="s">
        <v>2894</v>
      </c>
      <c r="J1005" t="str">
        <f>IF(ISNUMBER(MATCH($D1005,'Lopettaneet 2013-&gt;'!$D:$D,0)),INDEX('Lopettaneet 2013-&gt;'!$K:$K,MATCH($D1005,'Lopettaneet 2013-&gt;'!$D:$D,0)),"Jatkaa")</f>
        <v>Jatkaa</v>
      </c>
      <c r="K1005">
        <f ca="1">IF($J1005="Jatkaa",DATEDIF($B1005,TODAY(),"Y"),INDEX('Lopettaneet 2013-&gt;'!$L:$L,MATCH($D1005,'Lopettaneet 2013-&gt;'!$D:$D,0)))</f>
        <v>1</v>
      </c>
      <c r="L1005">
        <v>1004</v>
      </c>
    </row>
    <row r="1006" spans="1:12" x14ac:dyDescent="0.25">
      <c r="A1006" t="s">
        <v>7</v>
      </c>
      <c r="B1006" s="1">
        <v>44713</v>
      </c>
      <c r="C1006" s="1">
        <v>55153</v>
      </c>
      <c r="D1006" s="4" t="s">
        <v>2193</v>
      </c>
      <c r="E1006" t="s">
        <v>10</v>
      </c>
      <c r="F1006" t="s">
        <v>11</v>
      </c>
      <c r="G1006" t="s">
        <v>29</v>
      </c>
      <c r="H1006" t="s">
        <v>2771</v>
      </c>
      <c r="I1006" t="s">
        <v>2894</v>
      </c>
      <c r="J1006" t="str">
        <f>IF(ISNUMBER(MATCH($D1006,'Lopettaneet 2013-&gt;'!$D:$D,0)),INDEX('Lopettaneet 2013-&gt;'!$K:$K,MATCH($D1006,'Lopettaneet 2013-&gt;'!$D:$D,0)),"Jatkaa")</f>
        <v>Jatkaa</v>
      </c>
      <c r="K1006">
        <f ca="1">IF($J1006="Jatkaa",DATEDIF($B1006,TODAY(),"Y"),INDEX('Lopettaneet 2013-&gt;'!$L:$L,MATCH($D1006,'Lopettaneet 2013-&gt;'!$D:$D,0)))</f>
        <v>2</v>
      </c>
      <c r="L1006">
        <v>1005</v>
      </c>
    </row>
    <row r="1007" spans="1:12" x14ac:dyDescent="0.25">
      <c r="A1007" t="s">
        <v>7</v>
      </c>
      <c r="B1007" s="1">
        <v>44896</v>
      </c>
      <c r="C1007" s="1">
        <v>55153</v>
      </c>
      <c r="D1007" s="4" t="s">
        <v>2195</v>
      </c>
      <c r="E1007" t="s">
        <v>10</v>
      </c>
      <c r="F1007" t="s">
        <v>11</v>
      </c>
      <c r="G1007" t="s">
        <v>12</v>
      </c>
      <c r="H1007" t="s">
        <v>2881</v>
      </c>
      <c r="I1007" t="s">
        <v>2894</v>
      </c>
      <c r="J1007" t="str">
        <f>IF(ISNUMBER(MATCH($D1007,'Lopettaneet 2013-&gt;'!$D:$D,0)),INDEX('Lopettaneet 2013-&gt;'!$K:$K,MATCH($D1007,'Lopettaneet 2013-&gt;'!$D:$D,0)),"Jatkaa")</f>
        <v>Jatkaa</v>
      </c>
      <c r="K1007">
        <f ca="1">IF($J1007="Jatkaa",DATEDIF($B1007,TODAY(),"Y"),INDEX('Lopettaneet 2013-&gt;'!$L:$L,MATCH($D1007,'Lopettaneet 2013-&gt;'!$D:$D,0)))</f>
        <v>2</v>
      </c>
      <c r="L1007">
        <v>1006</v>
      </c>
    </row>
    <row r="1008" spans="1:12" x14ac:dyDescent="0.25">
      <c r="A1008" t="s">
        <v>0</v>
      </c>
      <c r="B1008" s="1">
        <v>44866</v>
      </c>
      <c r="C1008" s="1">
        <v>55153</v>
      </c>
      <c r="D1008" s="4" t="s">
        <v>2197</v>
      </c>
      <c r="E1008" t="s">
        <v>3</v>
      </c>
      <c r="F1008" t="s">
        <v>4</v>
      </c>
      <c r="G1008" t="s">
        <v>20</v>
      </c>
      <c r="H1008" t="s">
        <v>2771</v>
      </c>
      <c r="I1008" t="s">
        <v>2894</v>
      </c>
      <c r="J1008" t="str">
        <f>IF(ISNUMBER(MATCH($D1008,'Lopettaneet 2013-&gt;'!$D:$D,0)),INDEX('Lopettaneet 2013-&gt;'!$K:$K,MATCH($D1008,'Lopettaneet 2013-&gt;'!$D:$D,0)),"Jatkaa")</f>
        <v>Jatkaa</v>
      </c>
      <c r="K1008">
        <f ca="1">IF($J1008="Jatkaa",DATEDIF($B1008,TODAY(),"Y"),INDEX('Lopettaneet 2013-&gt;'!$L:$L,MATCH($D1008,'Lopettaneet 2013-&gt;'!$D:$D,0)))</f>
        <v>2</v>
      </c>
      <c r="L1008">
        <v>1007</v>
      </c>
    </row>
    <row r="1009" spans="1:12" x14ac:dyDescent="0.25">
      <c r="A1009" t="s">
        <v>0</v>
      </c>
      <c r="B1009" s="1">
        <v>44805</v>
      </c>
      <c r="C1009" s="1">
        <v>55153</v>
      </c>
      <c r="D1009" s="4" t="s">
        <v>2199</v>
      </c>
      <c r="E1009" t="s">
        <v>3</v>
      </c>
      <c r="F1009" t="s">
        <v>4</v>
      </c>
      <c r="G1009" t="s">
        <v>20</v>
      </c>
      <c r="H1009" t="s">
        <v>2771</v>
      </c>
      <c r="I1009" t="s">
        <v>2894</v>
      </c>
      <c r="J1009" t="str">
        <f>IF(ISNUMBER(MATCH($D1009,'Lopettaneet 2013-&gt;'!$D:$D,0)),INDEX('Lopettaneet 2013-&gt;'!$K:$K,MATCH($D1009,'Lopettaneet 2013-&gt;'!$D:$D,0)),"Jatkaa")</f>
        <v>Jatkaa</v>
      </c>
      <c r="K1009">
        <f ca="1">IF($J1009="Jatkaa",DATEDIF($B1009,TODAY(),"Y"),INDEX('Lopettaneet 2013-&gt;'!$L:$L,MATCH($D1009,'Lopettaneet 2013-&gt;'!$D:$D,0)))</f>
        <v>2</v>
      </c>
      <c r="L1009">
        <v>1008</v>
      </c>
    </row>
    <row r="1010" spans="1:12" x14ac:dyDescent="0.25">
      <c r="A1010" t="s">
        <v>7</v>
      </c>
      <c r="B1010" s="1">
        <v>45170</v>
      </c>
      <c r="C1010" s="1">
        <v>55153</v>
      </c>
      <c r="D1010" s="4" t="s">
        <v>78</v>
      </c>
      <c r="E1010" t="s">
        <v>10</v>
      </c>
      <c r="F1010" t="s">
        <v>11</v>
      </c>
      <c r="G1010" t="s">
        <v>80</v>
      </c>
      <c r="H1010" t="s">
        <v>2849</v>
      </c>
      <c r="I1010" t="s">
        <v>2895</v>
      </c>
      <c r="J1010" t="str">
        <f>IF(ISNUMBER(MATCH($D1010,'Lopettaneet 2013-&gt;'!$D:$D,0)),INDEX('Lopettaneet 2013-&gt;'!$K:$K,MATCH($D1010,'Lopettaneet 2013-&gt;'!$D:$D,0)),"Jatkaa")</f>
        <v>Jatkaa</v>
      </c>
      <c r="K1010">
        <f ca="1">IF($J1010="Jatkaa",DATEDIF($B1010,TODAY(),"Y"),INDEX('Lopettaneet 2013-&gt;'!$L:$L,MATCH($D1010,'Lopettaneet 2013-&gt;'!$D:$D,0)))</f>
        <v>1</v>
      </c>
      <c r="L1010">
        <v>1009</v>
      </c>
    </row>
    <row r="1011" spans="1:12" x14ac:dyDescent="0.25">
      <c r="A1011" t="s">
        <v>7</v>
      </c>
      <c r="B1011" s="1">
        <v>44896</v>
      </c>
      <c r="C1011" s="1">
        <v>55153</v>
      </c>
      <c r="D1011" s="4" t="s">
        <v>2201</v>
      </c>
      <c r="E1011" t="s">
        <v>10</v>
      </c>
      <c r="F1011" t="s">
        <v>11</v>
      </c>
      <c r="G1011" t="s">
        <v>80</v>
      </c>
      <c r="H1011" t="s">
        <v>2792</v>
      </c>
      <c r="I1011" t="s">
        <v>2894</v>
      </c>
      <c r="J1011" t="str">
        <f>IF(ISNUMBER(MATCH($D1011,'Lopettaneet 2013-&gt;'!$D:$D,0)),INDEX('Lopettaneet 2013-&gt;'!$K:$K,MATCH($D1011,'Lopettaneet 2013-&gt;'!$D:$D,0)),"Jatkaa")</f>
        <v>Jatkaa</v>
      </c>
      <c r="K1011">
        <f ca="1">IF($J1011="Jatkaa",DATEDIF($B1011,TODAY(),"Y"),INDEX('Lopettaneet 2013-&gt;'!$L:$L,MATCH($D1011,'Lopettaneet 2013-&gt;'!$D:$D,0)))</f>
        <v>2</v>
      </c>
      <c r="L1011">
        <v>1010</v>
      </c>
    </row>
    <row r="1012" spans="1:12" x14ac:dyDescent="0.25">
      <c r="A1012" t="s">
        <v>7</v>
      </c>
      <c r="B1012" s="1">
        <v>44986</v>
      </c>
      <c r="C1012" s="1">
        <v>55153</v>
      </c>
      <c r="D1012" s="4" t="s">
        <v>81</v>
      </c>
      <c r="E1012" t="s">
        <v>10</v>
      </c>
      <c r="F1012" t="s">
        <v>11</v>
      </c>
      <c r="G1012" t="s">
        <v>29</v>
      </c>
      <c r="H1012" t="s">
        <v>2771</v>
      </c>
      <c r="I1012" t="s">
        <v>2894</v>
      </c>
      <c r="J1012" t="str">
        <f>IF(ISNUMBER(MATCH($D1012,'Lopettaneet 2013-&gt;'!$D:$D,0)),INDEX('Lopettaneet 2013-&gt;'!$K:$K,MATCH($D1012,'Lopettaneet 2013-&gt;'!$D:$D,0)),"Jatkaa")</f>
        <v>Jatkaa</v>
      </c>
      <c r="K1012">
        <f ca="1">IF($J1012="Jatkaa",DATEDIF($B1012,TODAY(),"Y"),INDEX('Lopettaneet 2013-&gt;'!$L:$L,MATCH($D1012,'Lopettaneet 2013-&gt;'!$D:$D,0)))</f>
        <v>2</v>
      </c>
      <c r="L1012">
        <v>1011</v>
      </c>
    </row>
    <row r="1013" spans="1:12" x14ac:dyDescent="0.25">
      <c r="A1013" t="s">
        <v>7</v>
      </c>
      <c r="B1013" s="1">
        <v>44986</v>
      </c>
      <c r="C1013" s="1">
        <v>55153</v>
      </c>
      <c r="D1013" s="4" t="s">
        <v>83</v>
      </c>
      <c r="E1013" t="s">
        <v>10</v>
      </c>
      <c r="F1013" t="s">
        <v>11</v>
      </c>
      <c r="G1013" t="s">
        <v>29</v>
      </c>
      <c r="H1013" t="s">
        <v>2771</v>
      </c>
      <c r="I1013" t="s">
        <v>2894</v>
      </c>
      <c r="J1013" t="str">
        <f>IF(ISNUMBER(MATCH($D1013,'Lopettaneet 2013-&gt;'!$D:$D,0)),INDEX('Lopettaneet 2013-&gt;'!$K:$K,MATCH($D1013,'Lopettaneet 2013-&gt;'!$D:$D,0)),"Jatkaa")</f>
        <v>Jatkaa</v>
      </c>
      <c r="K1013">
        <f ca="1">IF($J1013="Jatkaa",DATEDIF($B1013,TODAY(),"Y"),INDEX('Lopettaneet 2013-&gt;'!$L:$L,MATCH($D1013,'Lopettaneet 2013-&gt;'!$D:$D,0)))</f>
        <v>2</v>
      </c>
      <c r="L1013">
        <v>1012</v>
      </c>
    </row>
    <row r="1014" spans="1:12" x14ac:dyDescent="0.25">
      <c r="A1014" t="s">
        <v>7</v>
      </c>
      <c r="B1014" s="1">
        <v>44805</v>
      </c>
      <c r="C1014" s="1">
        <v>55153</v>
      </c>
      <c r="D1014" s="4" t="s">
        <v>2203</v>
      </c>
      <c r="E1014" t="s">
        <v>10</v>
      </c>
      <c r="F1014" t="s">
        <v>11</v>
      </c>
      <c r="G1014" t="s">
        <v>32</v>
      </c>
      <c r="H1014" t="s">
        <v>2771</v>
      </c>
      <c r="I1014" t="s">
        <v>2894</v>
      </c>
      <c r="J1014" t="str">
        <f>IF(ISNUMBER(MATCH($D1014,'Lopettaneet 2013-&gt;'!$D:$D,0)),INDEX('Lopettaneet 2013-&gt;'!$K:$K,MATCH($D1014,'Lopettaneet 2013-&gt;'!$D:$D,0)),"Jatkaa")</f>
        <v>Jatkaa</v>
      </c>
      <c r="K1014">
        <f ca="1">IF($J1014="Jatkaa",DATEDIF($B1014,TODAY(),"Y"),INDEX('Lopettaneet 2013-&gt;'!$L:$L,MATCH($D1014,'Lopettaneet 2013-&gt;'!$D:$D,0)))</f>
        <v>2</v>
      </c>
      <c r="L1014">
        <v>1013</v>
      </c>
    </row>
    <row r="1015" spans="1:12" x14ac:dyDescent="0.25">
      <c r="A1015" t="s">
        <v>7</v>
      </c>
      <c r="B1015" s="1">
        <v>44805</v>
      </c>
      <c r="C1015" s="1">
        <v>55153</v>
      </c>
      <c r="D1015" s="4" t="s">
        <v>2205</v>
      </c>
      <c r="E1015" t="s">
        <v>10</v>
      </c>
      <c r="F1015" t="s">
        <v>11</v>
      </c>
      <c r="G1015" t="s">
        <v>29</v>
      </c>
      <c r="H1015" t="s">
        <v>2771</v>
      </c>
      <c r="I1015" t="s">
        <v>2894</v>
      </c>
      <c r="J1015" t="str">
        <f>IF(ISNUMBER(MATCH($D1015,'Lopettaneet 2013-&gt;'!$D:$D,0)),INDEX('Lopettaneet 2013-&gt;'!$K:$K,MATCH($D1015,'Lopettaneet 2013-&gt;'!$D:$D,0)),"Jatkaa")</f>
        <v>Jatkaa</v>
      </c>
      <c r="K1015">
        <f ca="1">IF($J1015="Jatkaa",DATEDIF($B1015,TODAY(),"Y"),INDEX('Lopettaneet 2013-&gt;'!$L:$L,MATCH($D1015,'Lopettaneet 2013-&gt;'!$D:$D,0)))</f>
        <v>2</v>
      </c>
      <c r="L1015">
        <v>1014</v>
      </c>
    </row>
    <row r="1016" spans="1:12" x14ac:dyDescent="0.25">
      <c r="A1016" t="s">
        <v>7</v>
      </c>
      <c r="B1016" s="1">
        <v>44986</v>
      </c>
      <c r="C1016" s="1">
        <v>55153</v>
      </c>
      <c r="D1016" s="4" t="s">
        <v>85</v>
      </c>
      <c r="E1016" t="s">
        <v>10</v>
      </c>
      <c r="F1016" t="s">
        <v>11</v>
      </c>
      <c r="G1016" t="s">
        <v>29</v>
      </c>
      <c r="H1016" t="s">
        <v>2771</v>
      </c>
      <c r="I1016" t="s">
        <v>2894</v>
      </c>
      <c r="J1016" t="str">
        <f>IF(ISNUMBER(MATCH($D1016,'Lopettaneet 2013-&gt;'!$D:$D,0)),INDEX('Lopettaneet 2013-&gt;'!$K:$K,MATCH($D1016,'Lopettaneet 2013-&gt;'!$D:$D,0)),"Jatkaa")</f>
        <v>Jatkaa</v>
      </c>
      <c r="K1016">
        <f ca="1">IF($J1016="Jatkaa",DATEDIF($B1016,TODAY(),"Y"),INDEX('Lopettaneet 2013-&gt;'!$L:$L,MATCH($D1016,'Lopettaneet 2013-&gt;'!$D:$D,0)))</f>
        <v>2</v>
      </c>
      <c r="L1016">
        <v>1015</v>
      </c>
    </row>
    <row r="1017" spans="1:12" x14ac:dyDescent="0.25">
      <c r="A1017" t="s">
        <v>7</v>
      </c>
      <c r="B1017" s="1">
        <v>45078</v>
      </c>
      <c r="C1017" s="1">
        <v>55153</v>
      </c>
      <c r="D1017" s="4" t="s">
        <v>87</v>
      </c>
      <c r="E1017" t="s">
        <v>10</v>
      </c>
      <c r="F1017" t="s">
        <v>11</v>
      </c>
      <c r="G1017" t="s">
        <v>12</v>
      </c>
      <c r="H1017" t="s">
        <v>2846</v>
      </c>
      <c r="I1017" t="s">
        <v>2894</v>
      </c>
      <c r="J1017" t="str">
        <f>IF(ISNUMBER(MATCH($D1017,'Lopettaneet 2013-&gt;'!$D:$D,0)),INDEX('Lopettaneet 2013-&gt;'!$K:$K,MATCH($D1017,'Lopettaneet 2013-&gt;'!$D:$D,0)),"Jatkaa")</f>
        <v>Jatkaa</v>
      </c>
      <c r="K1017">
        <f ca="1">IF($J1017="Jatkaa",DATEDIF($B1017,TODAY(),"Y"),INDEX('Lopettaneet 2013-&gt;'!$L:$L,MATCH($D1017,'Lopettaneet 2013-&gt;'!$D:$D,0)))</f>
        <v>1</v>
      </c>
      <c r="L1017">
        <v>1016</v>
      </c>
    </row>
    <row r="1018" spans="1:12" x14ac:dyDescent="0.25">
      <c r="A1018" t="s">
        <v>7</v>
      </c>
      <c r="B1018" s="1">
        <v>45078</v>
      </c>
      <c r="C1018" s="1">
        <v>55153</v>
      </c>
      <c r="D1018" s="4" t="s">
        <v>89</v>
      </c>
      <c r="E1018" t="s">
        <v>10</v>
      </c>
      <c r="F1018" t="s">
        <v>11</v>
      </c>
      <c r="G1018" t="s">
        <v>32</v>
      </c>
      <c r="H1018" t="s">
        <v>2873</v>
      </c>
      <c r="I1018" t="s">
        <v>2895</v>
      </c>
      <c r="J1018" t="str">
        <f>IF(ISNUMBER(MATCH($D1018,'Lopettaneet 2013-&gt;'!$D:$D,0)),INDEX('Lopettaneet 2013-&gt;'!$K:$K,MATCH($D1018,'Lopettaneet 2013-&gt;'!$D:$D,0)),"Jatkaa")</f>
        <v>Jatkaa</v>
      </c>
      <c r="K1018">
        <f ca="1">IF($J1018="Jatkaa",DATEDIF($B1018,TODAY(),"Y"),INDEX('Lopettaneet 2013-&gt;'!$L:$L,MATCH($D1018,'Lopettaneet 2013-&gt;'!$D:$D,0)))</f>
        <v>1</v>
      </c>
      <c r="L1018">
        <v>1017</v>
      </c>
    </row>
    <row r="1019" spans="1:12" x14ac:dyDescent="0.25">
      <c r="A1019" t="s">
        <v>7</v>
      </c>
      <c r="B1019" s="1">
        <v>45261</v>
      </c>
      <c r="C1019" s="1">
        <v>55153</v>
      </c>
      <c r="D1019" s="4" t="s">
        <v>91</v>
      </c>
      <c r="E1019" t="s">
        <v>10</v>
      </c>
      <c r="F1019" t="s">
        <v>11</v>
      </c>
      <c r="G1019" t="s">
        <v>29</v>
      </c>
      <c r="H1019" t="s">
        <v>2798</v>
      </c>
      <c r="I1019" t="s">
        <v>2895</v>
      </c>
      <c r="J1019" t="str">
        <f>IF(ISNUMBER(MATCH($D1019,'Lopettaneet 2013-&gt;'!$D:$D,0)),INDEX('Lopettaneet 2013-&gt;'!$K:$K,MATCH($D1019,'Lopettaneet 2013-&gt;'!$D:$D,0)),"Jatkaa")</f>
        <v>Jatkaa</v>
      </c>
      <c r="K1019">
        <f ca="1">IF($J1019="Jatkaa",DATEDIF($B1019,TODAY(),"Y"),INDEX('Lopettaneet 2013-&gt;'!$L:$L,MATCH($D1019,'Lopettaneet 2013-&gt;'!$D:$D,0)))</f>
        <v>1</v>
      </c>
      <c r="L1019">
        <v>1018</v>
      </c>
    </row>
    <row r="1020" spans="1:12" x14ac:dyDescent="0.25">
      <c r="A1020" t="s">
        <v>7</v>
      </c>
      <c r="B1020" s="1">
        <v>45261</v>
      </c>
      <c r="C1020" s="1">
        <v>55153</v>
      </c>
      <c r="D1020" s="4" t="s">
        <v>211</v>
      </c>
      <c r="E1020" t="s">
        <v>10</v>
      </c>
      <c r="F1020" t="s">
        <v>11</v>
      </c>
      <c r="G1020" t="s">
        <v>12</v>
      </c>
      <c r="H1020" t="s">
        <v>2766</v>
      </c>
      <c r="I1020" t="s">
        <v>2895</v>
      </c>
      <c r="J1020" t="str">
        <f>IF(ISNUMBER(MATCH($D1020,'Lopettaneet 2013-&gt;'!$D:$D,0)),INDEX('Lopettaneet 2013-&gt;'!$K:$K,MATCH($D1020,'Lopettaneet 2013-&gt;'!$D:$D,0)),"Jatkaa")</f>
        <v>Jatkaa</v>
      </c>
      <c r="K1020">
        <f ca="1">IF($J1020="Jatkaa",DATEDIF($B1020,TODAY(),"Y"),INDEX('Lopettaneet 2013-&gt;'!$L:$L,MATCH($D1020,'Lopettaneet 2013-&gt;'!$D:$D,0)))</f>
        <v>1</v>
      </c>
      <c r="L1020">
        <v>1019</v>
      </c>
    </row>
    <row r="1021" spans="1:12" x14ac:dyDescent="0.25">
      <c r="A1021" t="s">
        <v>0</v>
      </c>
      <c r="B1021" s="1">
        <v>45261</v>
      </c>
      <c r="C1021" s="1">
        <v>55153</v>
      </c>
      <c r="D1021" s="4" t="s">
        <v>93</v>
      </c>
      <c r="E1021" t="s">
        <v>10</v>
      </c>
      <c r="F1021" t="s">
        <v>11</v>
      </c>
      <c r="G1021" t="s">
        <v>20</v>
      </c>
      <c r="H1021" t="s">
        <v>2766</v>
      </c>
      <c r="I1021" t="s">
        <v>2895</v>
      </c>
      <c r="J1021" t="str">
        <f>IF(ISNUMBER(MATCH($D1021,'Lopettaneet 2013-&gt;'!$D:$D,0)),INDEX('Lopettaneet 2013-&gt;'!$K:$K,MATCH($D1021,'Lopettaneet 2013-&gt;'!$D:$D,0)),"Jatkaa")</f>
        <v>Jatkaa</v>
      </c>
      <c r="K1021">
        <f ca="1">IF($J1021="Jatkaa",DATEDIF($B1021,TODAY(),"Y"),INDEX('Lopettaneet 2013-&gt;'!$L:$L,MATCH($D1021,'Lopettaneet 2013-&gt;'!$D:$D,0)))</f>
        <v>1</v>
      </c>
      <c r="L1021">
        <v>1020</v>
      </c>
    </row>
    <row r="1022" spans="1:12" x14ac:dyDescent="0.25">
      <c r="A1022" t="s">
        <v>0</v>
      </c>
      <c r="B1022" s="1">
        <v>45078</v>
      </c>
      <c r="C1022" s="1">
        <v>55153</v>
      </c>
      <c r="D1022" s="4" t="s">
        <v>95</v>
      </c>
      <c r="E1022" t="s">
        <v>10</v>
      </c>
      <c r="F1022" t="s">
        <v>4</v>
      </c>
      <c r="G1022" t="s">
        <v>20</v>
      </c>
      <c r="H1022" t="s">
        <v>2764</v>
      </c>
      <c r="I1022" t="s">
        <v>2894</v>
      </c>
      <c r="J1022" t="str">
        <f>IF(ISNUMBER(MATCH($D1022,'Lopettaneet 2013-&gt;'!$D:$D,0)),INDEX('Lopettaneet 2013-&gt;'!$K:$K,MATCH($D1022,'Lopettaneet 2013-&gt;'!$D:$D,0)),"Jatkaa")</f>
        <v>Jatkaa</v>
      </c>
      <c r="K1022">
        <f ca="1">IF($J1022="Jatkaa",DATEDIF($B1022,TODAY(),"Y"),INDEX('Lopettaneet 2013-&gt;'!$L:$L,MATCH($D1022,'Lopettaneet 2013-&gt;'!$D:$D,0)))</f>
        <v>1</v>
      </c>
      <c r="L1022">
        <v>1021</v>
      </c>
    </row>
    <row r="1023" spans="1:12" x14ac:dyDescent="0.25">
      <c r="A1023" t="s">
        <v>7</v>
      </c>
      <c r="B1023" s="1">
        <v>44986</v>
      </c>
      <c r="C1023" s="1">
        <v>55153</v>
      </c>
      <c r="D1023" s="4" t="s">
        <v>97</v>
      </c>
      <c r="E1023" t="s">
        <v>10</v>
      </c>
      <c r="F1023" t="s">
        <v>11</v>
      </c>
      <c r="G1023" t="s">
        <v>29</v>
      </c>
      <c r="H1023" t="s">
        <v>2791</v>
      </c>
      <c r="I1023" t="s">
        <v>2894</v>
      </c>
      <c r="J1023" t="str">
        <f>IF(ISNUMBER(MATCH($D1023,'Lopettaneet 2013-&gt;'!$D:$D,0)),INDEX('Lopettaneet 2013-&gt;'!$K:$K,MATCH($D1023,'Lopettaneet 2013-&gt;'!$D:$D,0)),"Jatkaa")</f>
        <v>Jatkaa</v>
      </c>
      <c r="K1023">
        <f ca="1">IF($J1023="Jatkaa",DATEDIF($B1023,TODAY(),"Y"),INDEX('Lopettaneet 2013-&gt;'!$L:$L,MATCH($D1023,'Lopettaneet 2013-&gt;'!$D:$D,0)))</f>
        <v>2</v>
      </c>
      <c r="L1023">
        <v>1022</v>
      </c>
    </row>
    <row r="1024" spans="1:12" x14ac:dyDescent="0.25">
      <c r="A1024" t="s">
        <v>7</v>
      </c>
      <c r="B1024" s="1">
        <v>44986</v>
      </c>
      <c r="C1024" s="1">
        <v>55153</v>
      </c>
      <c r="D1024" s="4" t="s">
        <v>99</v>
      </c>
      <c r="E1024" t="s">
        <v>10</v>
      </c>
      <c r="F1024" t="s">
        <v>11</v>
      </c>
      <c r="G1024" t="s">
        <v>29</v>
      </c>
      <c r="H1024" t="s">
        <v>2791</v>
      </c>
      <c r="I1024" t="s">
        <v>2894</v>
      </c>
      <c r="J1024" t="str">
        <f>IF(ISNUMBER(MATCH($D1024,'Lopettaneet 2013-&gt;'!$D:$D,0)),INDEX('Lopettaneet 2013-&gt;'!$K:$K,MATCH($D1024,'Lopettaneet 2013-&gt;'!$D:$D,0)),"Jatkaa")</f>
        <v>Jatkaa</v>
      </c>
      <c r="K1024">
        <f ca="1">IF($J1024="Jatkaa",DATEDIF($B1024,TODAY(),"Y"),INDEX('Lopettaneet 2013-&gt;'!$L:$L,MATCH($D1024,'Lopettaneet 2013-&gt;'!$D:$D,0)))</f>
        <v>2</v>
      </c>
      <c r="L1024">
        <v>1023</v>
      </c>
    </row>
    <row r="1025" spans="1:12" x14ac:dyDescent="0.25">
      <c r="A1025" t="s">
        <v>7</v>
      </c>
      <c r="B1025" s="1">
        <v>45078</v>
      </c>
      <c r="C1025" s="1">
        <v>55153</v>
      </c>
      <c r="D1025" s="4" t="s">
        <v>101</v>
      </c>
      <c r="E1025" t="s">
        <v>10</v>
      </c>
      <c r="F1025" t="s">
        <v>11</v>
      </c>
      <c r="G1025" t="s">
        <v>32</v>
      </c>
      <c r="H1025" t="s">
        <v>2882</v>
      </c>
      <c r="I1025" t="s">
        <v>2894</v>
      </c>
      <c r="J1025" t="str">
        <f>IF(ISNUMBER(MATCH($D1025,'Lopettaneet 2013-&gt;'!$D:$D,0)),INDEX('Lopettaneet 2013-&gt;'!$K:$K,MATCH($D1025,'Lopettaneet 2013-&gt;'!$D:$D,0)),"Jatkaa")</f>
        <v>Jatkaa</v>
      </c>
      <c r="K1025">
        <f ca="1">IF($J1025="Jatkaa",DATEDIF($B1025,TODAY(),"Y"),INDEX('Lopettaneet 2013-&gt;'!$L:$L,MATCH($D1025,'Lopettaneet 2013-&gt;'!$D:$D,0)))</f>
        <v>1</v>
      </c>
      <c r="L1025">
        <v>1024</v>
      </c>
    </row>
    <row r="1026" spans="1:12" x14ac:dyDescent="0.25">
      <c r="A1026" t="s">
        <v>0</v>
      </c>
      <c r="B1026" s="1">
        <v>44896</v>
      </c>
      <c r="C1026" s="1">
        <v>55153</v>
      </c>
      <c r="D1026" s="4" t="s">
        <v>2207</v>
      </c>
      <c r="E1026" t="s">
        <v>10</v>
      </c>
      <c r="F1026" t="s">
        <v>4</v>
      </c>
      <c r="G1026" t="s">
        <v>5</v>
      </c>
      <c r="H1026" t="s">
        <v>2845</v>
      </c>
      <c r="I1026" t="s">
        <v>2894</v>
      </c>
      <c r="J1026" t="str">
        <f>IF(ISNUMBER(MATCH($D1026,'Lopettaneet 2013-&gt;'!$D:$D,0)),INDEX('Lopettaneet 2013-&gt;'!$K:$K,MATCH($D1026,'Lopettaneet 2013-&gt;'!$D:$D,0)),"Jatkaa")</f>
        <v>Jatkaa</v>
      </c>
      <c r="K1026">
        <f ca="1">IF($J1026="Jatkaa",DATEDIF($B1026,TODAY(),"Y"),INDEX('Lopettaneet 2013-&gt;'!$L:$L,MATCH($D1026,'Lopettaneet 2013-&gt;'!$D:$D,0)))</f>
        <v>2</v>
      </c>
      <c r="L1026">
        <v>1025</v>
      </c>
    </row>
    <row r="1027" spans="1:12" x14ac:dyDescent="0.25">
      <c r="A1027" t="s">
        <v>7</v>
      </c>
      <c r="B1027" s="1">
        <v>44986</v>
      </c>
      <c r="C1027" s="1">
        <v>55153</v>
      </c>
      <c r="D1027" s="4" t="s">
        <v>103</v>
      </c>
      <c r="E1027" t="s">
        <v>10</v>
      </c>
      <c r="F1027" t="s">
        <v>11</v>
      </c>
      <c r="G1027" t="s">
        <v>12</v>
      </c>
      <c r="H1027" t="s">
        <v>2820</v>
      </c>
      <c r="I1027" t="s">
        <v>2895</v>
      </c>
      <c r="J1027" t="str">
        <f>IF(ISNUMBER(MATCH($D1027,'Lopettaneet 2013-&gt;'!$D:$D,0)),INDEX('Lopettaneet 2013-&gt;'!$K:$K,MATCH($D1027,'Lopettaneet 2013-&gt;'!$D:$D,0)),"Jatkaa")</f>
        <v>Jatkaa</v>
      </c>
      <c r="K1027">
        <f ca="1">IF($J1027="Jatkaa",DATEDIF($B1027,TODAY(),"Y"),INDEX('Lopettaneet 2013-&gt;'!$L:$L,MATCH($D1027,'Lopettaneet 2013-&gt;'!$D:$D,0)))</f>
        <v>2</v>
      </c>
      <c r="L1027">
        <v>1026</v>
      </c>
    </row>
    <row r="1028" spans="1:12" x14ac:dyDescent="0.25">
      <c r="A1028" t="s">
        <v>7</v>
      </c>
      <c r="B1028" s="1">
        <v>44986</v>
      </c>
      <c r="C1028" s="1">
        <v>55153</v>
      </c>
      <c r="D1028" s="4" t="s">
        <v>105</v>
      </c>
      <c r="E1028" t="s">
        <v>10</v>
      </c>
      <c r="F1028" t="s">
        <v>11</v>
      </c>
      <c r="G1028" t="s">
        <v>12</v>
      </c>
      <c r="H1028" t="s">
        <v>2820</v>
      </c>
      <c r="I1028" t="s">
        <v>2895</v>
      </c>
      <c r="J1028" t="str">
        <f>IF(ISNUMBER(MATCH($D1028,'Lopettaneet 2013-&gt;'!$D:$D,0)),INDEX('Lopettaneet 2013-&gt;'!$K:$K,MATCH($D1028,'Lopettaneet 2013-&gt;'!$D:$D,0)),"Jatkaa")</f>
        <v>Jatkaa</v>
      </c>
      <c r="K1028">
        <f ca="1">IF($J1028="Jatkaa",DATEDIF($B1028,TODAY(),"Y"),INDEX('Lopettaneet 2013-&gt;'!$L:$L,MATCH($D1028,'Lopettaneet 2013-&gt;'!$D:$D,0)))</f>
        <v>2</v>
      </c>
      <c r="L1028">
        <v>1027</v>
      </c>
    </row>
    <row r="1029" spans="1:12" x14ac:dyDescent="0.25">
      <c r="A1029" t="s">
        <v>7</v>
      </c>
      <c r="B1029" s="1">
        <v>44986</v>
      </c>
      <c r="C1029" s="1">
        <v>55153</v>
      </c>
      <c r="D1029" s="4" t="s">
        <v>107</v>
      </c>
      <c r="E1029" t="s">
        <v>10</v>
      </c>
      <c r="F1029" t="s">
        <v>11</v>
      </c>
      <c r="G1029" t="s">
        <v>80</v>
      </c>
      <c r="H1029" t="s">
        <v>2861</v>
      </c>
      <c r="I1029" t="s">
        <v>2895</v>
      </c>
      <c r="J1029" t="str">
        <f>IF(ISNUMBER(MATCH($D1029,'Lopettaneet 2013-&gt;'!$D:$D,0)),INDEX('Lopettaneet 2013-&gt;'!$K:$K,MATCH($D1029,'Lopettaneet 2013-&gt;'!$D:$D,0)),"Jatkaa")</f>
        <v>Jatkaa</v>
      </c>
      <c r="K1029">
        <f ca="1">IF($J1029="Jatkaa",DATEDIF($B1029,TODAY(),"Y"),INDEX('Lopettaneet 2013-&gt;'!$L:$L,MATCH($D1029,'Lopettaneet 2013-&gt;'!$D:$D,0)))</f>
        <v>2</v>
      </c>
      <c r="L1029">
        <v>1028</v>
      </c>
    </row>
    <row r="1030" spans="1:12" x14ac:dyDescent="0.25">
      <c r="A1030" t="s">
        <v>7</v>
      </c>
      <c r="B1030" s="1">
        <v>45352</v>
      </c>
      <c r="C1030" s="1">
        <v>55153</v>
      </c>
      <c r="D1030" s="4" t="s">
        <v>213</v>
      </c>
      <c r="E1030" t="s">
        <v>10</v>
      </c>
      <c r="F1030" t="s">
        <v>11</v>
      </c>
      <c r="G1030" t="s">
        <v>80</v>
      </c>
      <c r="H1030" t="s">
        <v>2848</v>
      </c>
      <c r="I1030" t="s">
        <v>2895</v>
      </c>
      <c r="J1030" t="str">
        <f>IF(ISNUMBER(MATCH($D1030,'Lopettaneet 2013-&gt;'!$D:$D,0)),INDEX('Lopettaneet 2013-&gt;'!$K:$K,MATCH($D1030,'Lopettaneet 2013-&gt;'!$D:$D,0)),"Jatkaa")</f>
        <v>Jatkaa</v>
      </c>
      <c r="K1030">
        <f ca="1">IF($J1030="Jatkaa",DATEDIF($B1030,TODAY(),"Y"),INDEX('Lopettaneet 2013-&gt;'!$L:$L,MATCH($D1030,'Lopettaneet 2013-&gt;'!$D:$D,0)))</f>
        <v>1</v>
      </c>
      <c r="L1030">
        <v>1029</v>
      </c>
    </row>
    <row r="1031" spans="1:12" x14ac:dyDescent="0.25">
      <c r="A1031" t="s">
        <v>0</v>
      </c>
      <c r="B1031" s="1">
        <v>44927</v>
      </c>
      <c r="C1031" s="1">
        <v>55153</v>
      </c>
      <c r="D1031" s="4" t="s">
        <v>109</v>
      </c>
      <c r="E1031" t="s">
        <v>10</v>
      </c>
      <c r="F1031" t="s">
        <v>11</v>
      </c>
      <c r="G1031" t="s">
        <v>20</v>
      </c>
      <c r="H1031" t="s">
        <v>2766</v>
      </c>
      <c r="I1031" t="s">
        <v>2895</v>
      </c>
      <c r="J1031" t="str">
        <f>IF(ISNUMBER(MATCH($D1031,'Lopettaneet 2013-&gt;'!$D:$D,0)),INDEX('Lopettaneet 2013-&gt;'!$K:$K,MATCH($D1031,'Lopettaneet 2013-&gt;'!$D:$D,0)),"Jatkaa")</f>
        <v>Jatkaa</v>
      </c>
      <c r="K1031">
        <f ca="1">IF($J1031="Jatkaa",DATEDIF($B1031,TODAY(),"Y"),INDEX('Lopettaneet 2013-&gt;'!$L:$L,MATCH($D1031,'Lopettaneet 2013-&gt;'!$D:$D,0)))</f>
        <v>2</v>
      </c>
      <c r="L1031">
        <v>1030</v>
      </c>
    </row>
    <row r="1032" spans="1:12" x14ac:dyDescent="0.25">
      <c r="A1032" t="s">
        <v>0</v>
      </c>
      <c r="B1032" s="1">
        <v>44927</v>
      </c>
      <c r="C1032" s="1">
        <v>55153</v>
      </c>
      <c r="D1032" s="4" t="s">
        <v>111</v>
      </c>
      <c r="E1032" t="s">
        <v>10</v>
      </c>
      <c r="F1032" t="s">
        <v>11</v>
      </c>
      <c r="G1032" t="s">
        <v>29</v>
      </c>
      <c r="H1032" t="s">
        <v>2766</v>
      </c>
      <c r="I1032" t="s">
        <v>2895</v>
      </c>
      <c r="J1032" t="str">
        <f>IF(ISNUMBER(MATCH($D1032,'Lopettaneet 2013-&gt;'!$D:$D,0)),INDEX('Lopettaneet 2013-&gt;'!$K:$K,MATCH($D1032,'Lopettaneet 2013-&gt;'!$D:$D,0)),"Jatkaa")</f>
        <v>Jatkaa</v>
      </c>
      <c r="K1032">
        <f ca="1">IF($J1032="Jatkaa",DATEDIF($B1032,TODAY(),"Y"),INDEX('Lopettaneet 2013-&gt;'!$L:$L,MATCH($D1032,'Lopettaneet 2013-&gt;'!$D:$D,0)))</f>
        <v>2</v>
      </c>
      <c r="L1032">
        <v>1031</v>
      </c>
    </row>
    <row r="1033" spans="1:12" x14ac:dyDescent="0.25">
      <c r="A1033" t="s">
        <v>0</v>
      </c>
      <c r="B1033" s="1">
        <v>44986</v>
      </c>
      <c r="C1033" s="1">
        <v>55153</v>
      </c>
      <c r="D1033" s="4" t="s">
        <v>113</v>
      </c>
      <c r="E1033" t="s">
        <v>10</v>
      </c>
      <c r="F1033" t="s">
        <v>4</v>
      </c>
      <c r="G1033" t="s">
        <v>5</v>
      </c>
      <c r="H1033" t="s">
        <v>2778</v>
      </c>
      <c r="I1033" t="s">
        <v>2894</v>
      </c>
      <c r="J1033" t="str">
        <f>IF(ISNUMBER(MATCH($D1033,'Lopettaneet 2013-&gt;'!$D:$D,0)),INDEX('Lopettaneet 2013-&gt;'!$K:$K,MATCH($D1033,'Lopettaneet 2013-&gt;'!$D:$D,0)),"Jatkaa")</f>
        <v>Jatkaa</v>
      </c>
      <c r="K1033">
        <f ca="1">IF($J1033="Jatkaa",DATEDIF($B1033,TODAY(),"Y"),INDEX('Lopettaneet 2013-&gt;'!$L:$L,MATCH($D1033,'Lopettaneet 2013-&gt;'!$D:$D,0)))</f>
        <v>2</v>
      </c>
      <c r="L1033">
        <v>1032</v>
      </c>
    </row>
    <row r="1034" spans="1:12" x14ac:dyDescent="0.25">
      <c r="A1034" t="s">
        <v>0</v>
      </c>
      <c r="B1034" s="1">
        <v>44986</v>
      </c>
      <c r="C1034" s="1">
        <v>55153</v>
      </c>
      <c r="D1034" s="4" t="s">
        <v>115</v>
      </c>
      <c r="E1034" t="s">
        <v>10</v>
      </c>
      <c r="F1034" t="s">
        <v>4</v>
      </c>
      <c r="G1034" t="s">
        <v>5</v>
      </c>
      <c r="H1034" t="s">
        <v>2778</v>
      </c>
      <c r="I1034" t="s">
        <v>2894</v>
      </c>
      <c r="J1034" t="str">
        <f>IF(ISNUMBER(MATCH($D1034,'Lopettaneet 2013-&gt;'!$D:$D,0)),INDEX('Lopettaneet 2013-&gt;'!$K:$K,MATCH($D1034,'Lopettaneet 2013-&gt;'!$D:$D,0)),"Jatkaa")</f>
        <v>Jatkaa</v>
      </c>
      <c r="K1034">
        <f ca="1">IF($J1034="Jatkaa",DATEDIF($B1034,TODAY(),"Y"),INDEX('Lopettaneet 2013-&gt;'!$L:$L,MATCH($D1034,'Lopettaneet 2013-&gt;'!$D:$D,0)))</f>
        <v>2</v>
      </c>
      <c r="L1034">
        <v>1033</v>
      </c>
    </row>
    <row r="1035" spans="1:12" x14ac:dyDescent="0.25">
      <c r="A1035" t="s">
        <v>7</v>
      </c>
      <c r="B1035" s="1">
        <v>45170</v>
      </c>
      <c r="C1035" s="1">
        <v>55153</v>
      </c>
      <c r="D1035" s="4" t="s">
        <v>117</v>
      </c>
      <c r="E1035" t="s">
        <v>10</v>
      </c>
      <c r="F1035" t="s">
        <v>11</v>
      </c>
      <c r="G1035" t="s">
        <v>80</v>
      </c>
      <c r="H1035" t="s">
        <v>2883</v>
      </c>
      <c r="I1035" t="s">
        <v>2894</v>
      </c>
      <c r="J1035" t="str">
        <f>IF(ISNUMBER(MATCH($D1035,'Lopettaneet 2013-&gt;'!$D:$D,0)),INDEX('Lopettaneet 2013-&gt;'!$K:$K,MATCH($D1035,'Lopettaneet 2013-&gt;'!$D:$D,0)),"Jatkaa")</f>
        <v>Jatkaa</v>
      </c>
      <c r="K1035">
        <f ca="1">IF($J1035="Jatkaa",DATEDIF($B1035,TODAY(),"Y"),INDEX('Lopettaneet 2013-&gt;'!$L:$L,MATCH($D1035,'Lopettaneet 2013-&gt;'!$D:$D,0)))</f>
        <v>1</v>
      </c>
      <c r="L1035">
        <v>1034</v>
      </c>
    </row>
    <row r="1036" spans="1:12" x14ac:dyDescent="0.25">
      <c r="A1036" t="s">
        <v>7</v>
      </c>
      <c r="B1036" s="1">
        <v>45170</v>
      </c>
      <c r="C1036" s="1">
        <v>55153</v>
      </c>
      <c r="D1036" s="4" t="s">
        <v>119</v>
      </c>
      <c r="E1036" t="s">
        <v>10</v>
      </c>
      <c r="F1036" t="s">
        <v>11</v>
      </c>
      <c r="G1036" t="s">
        <v>80</v>
      </c>
      <c r="H1036" t="s">
        <v>2884</v>
      </c>
      <c r="I1036" t="s">
        <v>2895</v>
      </c>
      <c r="J1036" t="str">
        <f>IF(ISNUMBER(MATCH($D1036,'Lopettaneet 2013-&gt;'!$D:$D,0)),INDEX('Lopettaneet 2013-&gt;'!$K:$K,MATCH($D1036,'Lopettaneet 2013-&gt;'!$D:$D,0)),"Jatkaa")</f>
        <v>Jatkaa</v>
      </c>
      <c r="K1036">
        <f ca="1">IF($J1036="Jatkaa",DATEDIF($B1036,TODAY(),"Y"),INDEX('Lopettaneet 2013-&gt;'!$L:$L,MATCH($D1036,'Lopettaneet 2013-&gt;'!$D:$D,0)))</f>
        <v>1</v>
      </c>
      <c r="L1036">
        <v>1035</v>
      </c>
    </row>
    <row r="1037" spans="1:12" x14ac:dyDescent="0.25">
      <c r="A1037" t="s">
        <v>7</v>
      </c>
      <c r="B1037" s="1">
        <v>45078</v>
      </c>
      <c r="C1037" s="1">
        <v>55153</v>
      </c>
      <c r="D1037" s="4" t="s">
        <v>121</v>
      </c>
      <c r="E1037" t="s">
        <v>10</v>
      </c>
      <c r="F1037" t="s">
        <v>11</v>
      </c>
      <c r="G1037" t="s">
        <v>80</v>
      </c>
      <c r="H1037" t="s">
        <v>2857</v>
      </c>
      <c r="I1037" t="s">
        <v>2895</v>
      </c>
      <c r="J1037" t="str">
        <f>IF(ISNUMBER(MATCH($D1037,'Lopettaneet 2013-&gt;'!$D:$D,0)),INDEX('Lopettaneet 2013-&gt;'!$K:$K,MATCH($D1037,'Lopettaneet 2013-&gt;'!$D:$D,0)),"Jatkaa")</f>
        <v>Jatkaa</v>
      </c>
      <c r="K1037">
        <f ca="1">IF($J1037="Jatkaa",DATEDIF($B1037,TODAY(),"Y"),INDEX('Lopettaneet 2013-&gt;'!$L:$L,MATCH($D1037,'Lopettaneet 2013-&gt;'!$D:$D,0)))</f>
        <v>1</v>
      </c>
      <c r="L1037">
        <v>1036</v>
      </c>
    </row>
    <row r="1038" spans="1:12" x14ac:dyDescent="0.25">
      <c r="A1038" t="s">
        <v>7</v>
      </c>
      <c r="B1038" s="1">
        <v>44986</v>
      </c>
      <c r="C1038" s="1">
        <v>55153</v>
      </c>
      <c r="D1038" s="4" t="s">
        <v>123</v>
      </c>
      <c r="E1038" t="s">
        <v>10</v>
      </c>
      <c r="F1038" t="s">
        <v>11</v>
      </c>
      <c r="G1038" t="s">
        <v>80</v>
      </c>
      <c r="H1038" t="s">
        <v>2861</v>
      </c>
      <c r="I1038" t="s">
        <v>2895</v>
      </c>
      <c r="J1038" t="str">
        <f>IF(ISNUMBER(MATCH($D1038,'Lopettaneet 2013-&gt;'!$D:$D,0)),INDEX('Lopettaneet 2013-&gt;'!$K:$K,MATCH($D1038,'Lopettaneet 2013-&gt;'!$D:$D,0)),"Jatkaa")</f>
        <v>Jatkaa</v>
      </c>
      <c r="K1038">
        <f ca="1">IF($J1038="Jatkaa",DATEDIF($B1038,TODAY(),"Y"),INDEX('Lopettaneet 2013-&gt;'!$L:$L,MATCH($D1038,'Lopettaneet 2013-&gt;'!$D:$D,0)))</f>
        <v>2</v>
      </c>
      <c r="L1038">
        <v>1037</v>
      </c>
    </row>
    <row r="1039" spans="1:12" x14ac:dyDescent="0.25">
      <c r="A1039" t="s">
        <v>0</v>
      </c>
      <c r="B1039" s="1">
        <v>44958</v>
      </c>
      <c r="C1039" s="1">
        <v>55153</v>
      </c>
      <c r="D1039" s="4" t="s">
        <v>125</v>
      </c>
      <c r="E1039" t="s">
        <v>3</v>
      </c>
      <c r="F1039" t="s">
        <v>4</v>
      </c>
      <c r="G1039" t="s">
        <v>50</v>
      </c>
      <c r="H1039" t="s">
        <v>2778</v>
      </c>
      <c r="I1039" t="s">
        <v>2894</v>
      </c>
      <c r="J1039" t="str">
        <f>IF(ISNUMBER(MATCH($D1039,'Lopettaneet 2013-&gt;'!$D:$D,0)),INDEX('Lopettaneet 2013-&gt;'!$K:$K,MATCH($D1039,'Lopettaneet 2013-&gt;'!$D:$D,0)),"Jatkaa")</f>
        <v>Jatkaa</v>
      </c>
      <c r="K1039">
        <f ca="1">IF($J1039="Jatkaa",DATEDIF($B1039,TODAY(),"Y"),INDEX('Lopettaneet 2013-&gt;'!$L:$L,MATCH($D1039,'Lopettaneet 2013-&gt;'!$D:$D,0)))</f>
        <v>2</v>
      </c>
      <c r="L1039">
        <v>1038</v>
      </c>
    </row>
    <row r="1040" spans="1:12" x14ac:dyDescent="0.25">
      <c r="A1040" t="s">
        <v>0</v>
      </c>
      <c r="B1040" s="1">
        <v>45017</v>
      </c>
      <c r="C1040" s="1">
        <v>55153</v>
      </c>
      <c r="D1040" s="4" t="s">
        <v>127</v>
      </c>
      <c r="E1040" t="s">
        <v>10</v>
      </c>
      <c r="F1040" t="s">
        <v>4</v>
      </c>
      <c r="G1040" t="s">
        <v>20</v>
      </c>
      <c r="H1040" t="s">
        <v>2885</v>
      </c>
      <c r="I1040" t="s">
        <v>2894</v>
      </c>
      <c r="J1040" t="str">
        <f>IF(ISNUMBER(MATCH($D1040,'Lopettaneet 2013-&gt;'!$D:$D,0)),INDEX('Lopettaneet 2013-&gt;'!$K:$K,MATCH($D1040,'Lopettaneet 2013-&gt;'!$D:$D,0)),"Jatkaa")</f>
        <v>Jatkaa</v>
      </c>
      <c r="K1040">
        <f ca="1">IF($J1040="Jatkaa",DATEDIF($B1040,TODAY(),"Y"),INDEX('Lopettaneet 2013-&gt;'!$L:$L,MATCH($D1040,'Lopettaneet 2013-&gt;'!$D:$D,0)))</f>
        <v>2</v>
      </c>
      <c r="L1040">
        <v>1039</v>
      </c>
    </row>
    <row r="1041" spans="1:12" x14ac:dyDescent="0.25">
      <c r="A1041" t="s">
        <v>0</v>
      </c>
      <c r="B1041" s="1">
        <v>45017</v>
      </c>
      <c r="C1041" s="1">
        <v>55153</v>
      </c>
      <c r="D1041" s="4" t="s">
        <v>129</v>
      </c>
      <c r="E1041" t="s">
        <v>10</v>
      </c>
      <c r="F1041" t="s">
        <v>4</v>
      </c>
      <c r="G1041" t="s">
        <v>20</v>
      </c>
      <c r="H1041" t="s">
        <v>2885</v>
      </c>
      <c r="I1041" t="s">
        <v>2894</v>
      </c>
      <c r="J1041" t="str">
        <f>IF(ISNUMBER(MATCH($D1041,'Lopettaneet 2013-&gt;'!$D:$D,0)),INDEX('Lopettaneet 2013-&gt;'!$K:$K,MATCH($D1041,'Lopettaneet 2013-&gt;'!$D:$D,0)),"Jatkaa")</f>
        <v>Jatkaa</v>
      </c>
      <c r="K1041">
        <f ca="1">IF($J1041="Jatkaa",DATEDIF($B1041,TODAY(),"Y"),INDEX('Lopettaneet 2013-&gt;'!$L:$L,MATCH($D1041,'Lopettaneet 2013-&gt;'!$D:$D,0)))</f>
        <v>2</v>
      </c>
      <c r="L1041">
        <v>1040</v>
      </c>
    </row>
    <row r="1042" spans="1:12" x14ac:dyDescent="0.25">
      <c r="A1042" t="s">
        <v>7</v>
      </c>
      <c r="B1042" s="1">
        <v>45170</v>
      </c>
      <c r="C1042" s="1">
        <v>55153</v>
      </c>
      <c r="D1042" s="4" t="s">
        <v>131</v>
      </c>
      <c r="E1042" t="s">
        <v>10</v>
      </c>
      <c r="F1042" t="s">
        <v>11</v>
      </c>
      <c r="G1042" t="s">
        <v>29</v>
      </c>
      <c r="H1042" t="s">
        <v>2770</v>
      </c>
      <c r="I1042" t="s">
        <v>2895</v>
      </c>
      <c r="J1042" t="str">
        <f>IF(ISNUMBER(MATCH($D1042,'Lopettaneet 2013-&gt;'!$D:$D,0)),INDEX('Lopettaneet 2013-&gt;'!$K:$K,MATCH($D1042,'Lopettaneet 2013-&gt;'!$D:$D,0)),"Jatkaa")</f>
        <v>Jatkaa</v>
      </c>
      <c r="K1042">
        <f ca="1">IF($J1042="Jatkaa",DATEDIF($B1042,TODAY(),"Y"),INDEX('Lopettaneet 2013-&gt;'!$L:$L,MATCH($D1042,'Lopettaneet 2013-&gt;'!$D:$D,0)))</f>
        <v>1</v>
      </c>
      <c r="L1042">
        <v>1041</v>
      </c>
    </row>
    <row r="1043" spans="1:12" x14ac:dyDescent="0.25">
      <c r="A1043" t="s">
        <v>7</v>
      </c>
      <c r="B1043" s="1">
        <v>45170</v>
      </c>
      <c r="C1043" s="1">
        <v>55153</v>
      </c>
      <c r="D1043" s="4" t="s">
        <v>133</v>
      </c>
      <c r="E1043" t="s">
        <v>10</v>
      </c>
      <c r="F1043" t="s">
        <v>11</v>
      </c>
      <c r="G1043" t="s">
        <v>29</v>
      </c>
      <c r="H1043" t="s">
        <v>2804</v>
      </c>
      <c r="I1043" t="s">
        <v>2894</v>
      </c>
      <c r="J1043" t="str">
        <f>IF(ISNUMBER(MATCH($D1043,'Lopettaneet 2013-&gt;'!$D:$D,0)),INDEX('Lopettaneet 2013-&gt;'!$K:$K,MATCH($D1043,'Lopettaneet 2013-&gt;'!$D:$D,0)),"Jatkaa")</f>
        <v>Jatkaa</v>
      </c>
      <c r="K1043">
        <f ca="1">IF($J1043="Jatkaa",DATEDIF($B1043,TODAY(),"Y"),INDEX('Lopettaneet 2013-&gt;'!$L:$L,MATCH($D1043,'Lopettaneet 2013-&gt;'!$D:$D,0)))</f>
        <v>1</v>
      </c>
      <c r="L1043">
        <v>1042</v>
      </c>
    </row>
    <row r="1044" spans="1:12" x14ac:dyDescent="0.25">
      <c r="A1044" t="s">
        <v>7</v>
      </c>
      <c r="B1044" s="1">
        <v>45078</v>
      </c>
      <c r="C1044" s="1">
        <v>55153</v>
      </c>
      <c r="D1044" s="4" t="s">
        <v>135</v>
      </c>
      <c r="E1044" t="s">
        <v>10</v>
      </c>
      <c r="F1044" t="s">
        <v>11</v>
      </c>
      <c r="G1044" t="s">
        <v>12</v>
      </c>
      <c r="H1044" t="s">
        <v>2777</v>
      </c>
      <c r="I1044" t="s">
        <v>2894</v>
      </c>
      <c r="J1044" t="str">
        <f>IF(ISNUMBER(MATCH($D1044,'Lopettaneet 2013-&gt;'!$D:$D,0)),INDEX('Lopettaneet 2013-&gt;'!$K:$K,MATCH($D1044,'Lopettaneet 2013-&gt;'!$D:$D,0)),"Jatkaa")</f>
        <v>Jatkaa</v>
      </c>
      <c r="K1044">
        <f ca="1">IF($J1044="Jatkaa",DATEDIF($B1044,TODAY(),"Y"),INDEX('Lopettaneet 2013-&gt;'!$L:$L,MATCH($D1044,'Lopettaneet 2013-&gt;'!$D:$D,0)))</f>
        <v>1</v>
      </c>
      <c r="L1044">
        <v>1043</v>
      </c>
    </row>
    <row r="1045" spans="1:12" x14ac:dyDescent="0.25">
      <c r="A1045" t="s">
        <v>7</v>
      </c>
      <c r="B1045" s="1">
        <v>45078</v>
      </c>
      <c r="C1045" s="1">
        <v>55153</v>
      </c>
      <c r="D1045" s="4" t="s">
        <v>137</v>
      </c>
      <c r="E1045" t="s">
        <v>10</v>
      </c>
      <c r="F1045" t="s">
        <v>11</v>
      </c>
      <c r="G1045" t="s">
        <v>12</v>
      </c>
      <c r="H1045" t="s">
        <v>2777</v>
      </c>
      <c r="I1045" t="s">
        <v>2894</v>
      </c>
      <c r="J1045" t="str">
        <f>IF(ISNUMBER(MATCH($D1045,'Lopettaneet 2013-&gt;'!$D:$D,0)),INDEX('Lopettaneet 2013-&gt;'!$K:$K,MATCH($D1045,'Lopettaneet 2013-&gt;'!$D:$D,0)),"Jatkaa")</f>
        <v>Jatkaa</v>
      </c>
      <c r="K1045">
        <f ca="1">IF($J1045="Jatkaa",DATEDIF($B1045,TODAY(),"Y"),INDEX('Lopettaneet 2013-&gt;'!$L:$L,MATCH($D1045,'Lopettaneet 2013-&gt;'!$D:$D,0)))</f>
        <v>1</v>
      </c>
      <c r="L1045">
        <v>1044</v>
      </c>
    </row>
    <row r="1046" spans="1:12" x14ac:dyDescent="0.25">
      <c r="A1046" t="s">
        <v>7</v>
      </c>
      <c r="B1046" s="1">
        <v>45078</v>
      </c>
      <c r="C1046" s="1">
        <v>55153</v>
      </c>
      <c r="D1046" s="4" t="s">
        <v>139</v>
      </c>
      <c r="E1046" t="s">
        <v>10</v>
      </c>
      <c r="F1046" t="s">
        <v>11</v>
      </c>
      <c r="G1046" t="s">
        <v>12</v>
      </c>
      <c r="H1046" t="s">
        <v>2777</v>
      </c>
      <c r="I1046" t="s">
        <v>2894</v>
      </c>
      <c r="J1046" t="str">
        <f>IF(ISNUMBER(MATCH($D1046,'Lopettaneet 2013-&gt;'!$D:$D,0)),INDEX('Lopettaneet 2013-&gt;'!$K:$K,MATCH($D1046,'Lopettaneet 2013-&gt;'!$D:$D,0)),"Jatkaa")</f>
        <v>Jatkaa</v>
      </c>
      <c r="K1046">
        <f ca="1">IF($J1046="Jatkaa",DATEDIF($B1046,TODAY(),"Y"),INDEX('Lopettaneet 2013-&gt;'!$L:$L,MATCH($D1046,'Lopettaneet 2013-&gt;'!$D:$D,0)))</f>
        <v>1</v>
      </c>
      <c r="L1046">
        <v>1045</v>
      </c>
    </row>
    <row r="1047" spans="1:12" x14ac:dyDescent="0.25">
      <c r="A1047" t="s">
        <v>7</v>
      </c>
      <c r="B1047" s="1">
        <v>45078</v>
      </c>
      <c r="C1047" s="1">
        <v>55153</v>
      </c>
      <c r="D1047" s="4" t="s">
        <v>141</v>
      </c>
      <c r="E1047" t="s">
        <v>10</v>
      </c>
      <c r="F1047" t="s">
        <v>11</v>
      </c>
      <c r="G1047" t="s">
        <v>12</v>
      </c>
      <c r="H1047" t="s">
        <v>2777</v>
      </c>
      <c r="I1047" t="s">
        <v>2894</v>
      </c>
      <c r="J1047" t="str">
        <f>IF(ISNUMBER(MATCH($D1047,'Lopettaneet 2013-&gt;'!$D:$D,0)),INDEX('Lopettaneet 2013-&gt;'!$K:$K,MATCH($D1047,'Lopettaneet 2013-&gt;'!$D:$D,0)),"Jatkaa")</f>
        <v>Jatkaa</v>
      </c>
      <c r="K1047">
        <f ca="1">IF($J1047="Jatkaa",DATEDIF($B1047,TODAY(),"Y"),INDEX('Lopettaneet 2013-&gt;'!$L:$L,MATCH($D1047,'Lopettaneet 2013-&gt;'!$D:$D,0)))</f>
        <v>1</v>
      </c>
      <c r="L1047">
        <v>1046</v>
      </c>
    </row>
    <row r="1048" spans="1:12" x14ac:dyDescent="0.25">
      <c r="A1048" t="s">
        <v>7</v>
      </c>
      <c r="B1048" s="1">
        <v>45078</v>
      </c>
      <c r="C1048" s="1">
        <v>55153</v>
      </c>
      <c r="D1048" s="4" t="s">
        <v>143</v>
      </c>
      <c r="E1048" t="s">
        <v>10</v>
      </c>
      <c r="F1048" t="s">
        <v>11</v>
      </c>
      <c r="G1048" t="s">
        <v>12</v>
      </c>
      <c r="H1048" t="s">
        <v>2777</v>
      </c>
      <c r="I1048" t="s">
        <v>2894</v>
      </c>
      <c r="J1048" t="str">
        <f>IF(ISNUMBER(MATCH($D1048,'Lopettaneet 2013-&gt;'!$D:$D,0)),INDEX('Lopettaneet 2013-&gt;'!$K:$K,MATCH($D1048,'Lopettaneet 2013-&gt;'!$D:$D,0)),"Jatkaa")</f>
        <v>Jatkaa</v>
      </c>
      <c r="K1048">
        <f ca="1">IF($J1048="Jatkaa",DATEDIF($B1048,TODAY(),"Y"),INDEX('Lopettaneet 2013-&gt;'!$L:$L,MATCH($D1048,'Lopettaneet 2013-&gt;'!$D:$D,0)))</f>
        <v>1</v>
      </c>
      <c r="L1048">
        <v>1047</v>
      </c>
    </row>
    <row r="1049" spans="1:12" x14ac:dyDescent="0.25">
      <c r="A1049" t="s">
        <v>7</v>
      </c>
      <c r="B1049" s="1">
        <v>45078</v>
      </c>
      <c r="C1049" s="1">
        <v>55153</v>
      </c>
      <c r="D1049" s="4" t="s">
        <v>145</v>
      </c>
      <c r="E1049" t="s">
        <v>10</v>
      </c>
      <c r="F1049" t="s">
        <v>11</v>
      </c>
      <c r="G1049" t="s">
        <v>12</v>
      </c>
      <c r="H1049" t="s">
        <v>2771</v>
      </c>
      <c r="I1049" t="s">
        <v>2894</v>
      </c>
      <c r="J1049" t="str">
        <f>IF(ISNUMBER(MATCH($D1049,'Lopettaneet 2013-&gt;'!$D:$D,0)),INDEX('Lopettaneet 2013-&gt;'!$K:$K,MATCH($D1049,'Lopettaneet 2013-&gt;'!$D:$D,0)),"Jatkaa")</f>
        <v>Jatkaa</v>
      </c>
      <c r="K1049">
        <f ca="1">IF($J1049="Jatkaa",DATEDIF($B1049,TODAY(),"Y"),INDEX('Lopettaneet 2013-&gt;'!$L:$L,MATCH($D1049,'Lopettaneet 2013-&gt;'!$D:$D,0)))</f>
        <v>1</v>
      </c>
      <c r="L1049">
        <v>1048</v>
      </c>
    </row>
    <row r="1050" spans="1:12" x14ac:dyDescent="0.25">
      <c r="A1050" t="s">
        <v>0</v>
      </c>
      <c r="B1050" s="1">
        <v>45047</v>
      </c>
      <c r="C1050" s="1">
        <v>55153</v>
      </c>
      <c r="D1050" s="4" t="s">
        <v>147</v>
      </c>
      <c r="E1050" t="s">
        <v>10</v>
      </c>
      <c r="F1050" t="s">
        <v>11</v>
      </c>
      <c r="G1050" t="s">
        <v>50</v>
      </c>
      <c r="H1050" t="s">
        <v>2764</v>
      </c>
      <c r="I1050" t="s">
        <v>2895</v>
      </c>
      <c r="J1050" t="str">
        <f>IF(ISNUMBER(MATCH($D1050,'Lopettaneet 2013-&gt;'!$D:$D,0)),INDEX('Lopettaneet 2013-&gt;'!$K:$K,MATCH($D1050,'Lopettaneet 2013-&gt;'!$D:$D,0)),"Jatkaa")</f>
        <v>Jatkaa</v>
      </c>
      <c r="K1050">
        <f ca="1">IF($J1050="Jatkaa",DATEDIF($B1050,TODAY(),"Y"),INDEX('Lopettaneet 2013-&gt;'!$L:$L,MATCH($D1050,'Lopettaneet 2013-&gt;'!$D:$D,0)))</f>
        <v>2</v>
      </c>
      <c r="L1050">
        <v>1049</v>
      </c>
    </row>
    <row r="1051" spans="1:12" x14ac:dyDescent="0.25">
      <c r="A1051" t="s">
        <v>7</v>
      </c>
      <c r="B1051" s="1">
        <v>44986</v>
      </c>
      <c r="C1051" s="1">
        <v>55153</v>
      </c>
      <c r="D1051" s="4" t="s">
        <v>149</v>
      </c>
      <c r="E1051" t="s">
        <v>10</v>
      </c>
      <c r="F1051" t="s">
        <v>11</v>
      </c>
      <c r="G1051" t="s">
        <v>80</v>
      </c>
      <c r="H1051" t="s">
        <v>2886</v>
      </c>
      <c r="I1051" t="s">
        <v>2895</v>
      </c>
      <c r="J1051" t="str">
        <f>IF(ISNUMBER(MATCH($D1051,'Lopettaneet 2013-&gt;'!$D:$D,0)),INDEX('Lopettaneet 2013-&gt;'!$K:$K,MATCH($D1051,'Lopettaneet 2013-&gt;'!$D:$D,0)),"Jatkaa")</f>
        <v>Jatkaa</v>
      </c>
      <c r="K1051">
        <f ca="1">IF($J1051="Jatkaa",DATEDIF($B1051,TODAY(),"Y"),INDEX('Lopettaneet 2013-&gt;'!$L:$L,MATCH($D1051,'Lopettaneet 2013-&gt;'!$D:$D,0)))</f>
        <v>2</v>
      </c>
      <c r="L1051">
        <v>1050</v>
      </c>
    </row>
    <row r="1052" spans="1:12" x14ac:dyDescent="0.25">
      <c r="A1052" t="s">
        <v>7</v>
      </c>
      <c r="B1052" s="1">
        <v>45170</v>
      </c>
      <c r="C1052" s="1">
        <v>55153</v>
      </c>
      <c r="D1052" s="4" t="s">
        <v>151</v>
      </c>
      <c r="E1052" t="s">
        <v>10</v>
      </c>
      <c r="F1052" t="s">
        <v>11</v>
      </c>
      <c r="G1052" t="s">
        <v>29</v>
      </c>
      <c r="H1052" t="s">
        <v>2770</v>
      </c>
      <c r="I1052" t="s">
        <v>2895</v>
      </c>
      <c r="J1052" t="str">
        <f>IF(ISNUMBER(MATCH($D1052,'Lopettaneet 2013-&gt;'!$D:$D,0)),INDEX('Lopettaneet 2013-&gt;'!$K:$K,MATCH($D1052,'Lopettaneet 2013-&gt;'!$D:$D,0)),"Jatkaa")</f>
        <v>Jatkaa</v>
      </c>
      <c r="K1052">
        <f ca="1">IF($J1052="Jatkaa",DATEDIF($B1052,TODAY(),"Y"),INDEX('Lopettaneet 2013-&gt;'!$L:$L,MATCH($D1052,'Lopettaneet 2013-&gt;'!$D:$D,0)))</f>
        <v>1</v>
      </c>
      <c r="L1052">
        <v>1051</v>
      </c>
    </row>
    <row r="1053" spans="1:12" x14ac:dyDescent="0.25">
      <c r="A1053" t="s">
        <v>7</v>
      </c>
      <c r="B1053" s="1">
        <v>45078</v>
      </c>
      <c r="C1053" s="1">
        <v>55153</v>
      </c>
      <c r="D1053" s="4" t="s">
        <v>153</v>
      </c>
      <c r="E1053" t="s">
        <v>10</v>
      </c>
      <c r="F1053" t="s">
        <v>11</v>
      </c>
      <c r="G1053" t="s">
        <v>12</v>
      </c>
      <c r="H1053" t="s">
        <v>2777</v>
      </c>
      <c r="I1053" t="s">
        <v>2894</v>
      </c>
      <c r="J1053" t="str">
        <f>IF(ISNUMBER(MATCH($D1053,'Lopettaneet 2013-&gt;'!$D:$D,0)),INDEX('Lopettaneet 2013-&gt;'!$K:$K,MATCH($D1053,'Lopettaneet 2013-&gt;'!$D:$D,0)),"Jatkaa")</f>
        <v>Jatkaa</v>
      </c>
      <c r="K1053">
        <f ca="1">IF($J1053="Jatkaa",DATEDIF($B1053,TODAY(),"Y"),INDEX('Lopettaneet 2013-&gt;'!$L:$L,MATCH($D1053,'Lopettaneet 2013-&gt;'!$D:$D,0)))</f>
        <v>1</v>
      </c>
      <c r="L1053">
        <v>1052</v>
      </c>
    </row>
    <row r="1054" spans="1:12" x14ac:dyDescent="0.25">
      <c r="A1054" t="s">
        <v>7</v>
      </c>
      <c r="B1054" s="1">
        <v>45078</v>
      </c>
      <c r="C1054" s="1">
        <v>55153</v>
      </c>
      <c r="D1054" s="4" t="s">
        <v>155</v>
      </c>
      <c r="E1054" t="s">
        <v>10</v>
      </c>
      <c r="F1054" t="s">
        <v>11</v>
      </c>
      <c r="G1054" t="s">
        <v>80</v>
      </c>
      <c r="H1054" t="s">
        <v>2857</v>
      </c>
      <c r="I1054" t="s">
        <v>2895</v>
      </c>
      <c r="J1054" t="str">
        <f>IF(ISNUMBER(MATCH($D1054,'Lopettaneet 2013-&gt;'!$D:$D,0)),INDEX('Lopettaneet 2013-&gt;'!$K:$K,MATCH($D1054,'Lopettaneet 2013-&gt;'!$D:$D,0)),"Jatkaa")</f>
        <v>Jatkaa</v>
      </c>
      <c r="K1054">
        <f ca="1">IF($J1054="Jatkaa",DATEDIF($B1054,TODAY(),"Y"),INDEX('Lopettaneet 2013-&gt;'!$L:$L,MATCH($D1054,'Lopettaneet 2013-&gt;'!$D:$D,0)))</f>
        <v>1</v>
      </c>
      <c r="L1054">
        <v>1053</v>
      </c>
    </row>
    <row r="1055" spans="1:12" x14ac:dyDescent="0.25">
      <c r="A1055" t="s">
        <v>7</v>
      </c>
      <c r="B1055" s="1">
        <v>45078</v>
      </c>
      <c r="C1055" s="1">
        <v>55153</v>
      </c>
      <c r="D1055" s="4" t="s">
        <v>157</v>
      </c>
      <c r="E1055" t="s">
        <v>10</v>
      </c>
      <c r="F1055" t="s">
        <v>11</v>
      </c>
      <c r="G1055" t="s">
        <v>80</v>
      </c>
      <c r="H1055" t="s">
        <v>2834</v>
      </c>
      <c r="I1055" t="s">
        <v>2894</v>
      </c>
      <c r="J1055" t="str">
        <f>IF(ISNUMBER(MATCH($D1055,'Lopettaneet 2013-&gt;'!$D:$D,0)),INDEX('Lopettaneet 2013-&gt;'!$K:$K,MATCH($D1055,'Lopettaneet 2013-&gt;'!$D:$D,0)),"Jatkaa")</f>
        <v>Jatkaa</v>
      </c>
      <c r="K1055">
        <f ca="1">IF($J1055="Jatkaa",DATEDIF($B1055,TODAY(),"Y"),INDEX('Lopettaneet 2013-&gt;'!$L:$L,MATCH($D1055,'Lopettaneet 2013-&gt;'!$D:$D,0)))</f>
        <v>1</v>
      </c>
      <c r="L1055">
        <v>1054</v>
      </c>
    </row>
    <row r="1056" spans="1:12" x14ac:dyDescent="0.25">
      <c r="A1056" t="s">
        <v>7</v>
      </c>
      <c r="B1056" s="1">
        <v>45261</v>
      </c>
      <c r="C1056" s="1">
        <v>55153</v>
      </c>
      <c r="D1056" s="4" t="s">
        <v>159</v>
      </c>
      <c r="E1056" t="s">
        <v>10</v>
      </c>
      <c r="F1056" t="s">
        <v>11</v>
      </c>
      <c r="G1056" t="s">
        <v>80</v>
      </c>
      <c r="H1056" t="s">
        <v>2821</v>
      </c>
      <c r="I1056" t="s">
        <v>2895</v>
      </c>
      <c r="J1056" t="str">
        <f>IF(ISNUMBER(MATCH($D1056,'Lopettaneet 2013-&gt;'!$D:$D,0)),INDEX('Lopettaneet 2013-&gt;'!$K:$K,MATCH($D1056,'Lopettaneet 2013-&gt;'!$D:$D,0)),"Jatkaa")</f>
        <v>Jatkaa</v>
      </c>
      <c r="K1056">
        <f ca="1">IF($J1056="Jatkaa",DATEDIF($B1056,TODAY(),"Y"),INDEX('Lopettaneet 2013-&gt;'!$L:$L,MATCH($D1056,'Lopettaneet 2013-&gt;'!$D:$D,0)))</f>
        <v>1</v>
      </c>
      <c r="L1056">
        <v>1055</v>
      </c>
    </row>
    <row r="1057" spans="1:12" x14ac:dyDescent="0.25">
      <c r="A1057" t="s">
        <v>7</v>
      </c>
      <c r="B1057" s="1">
        <v>45078</v>
      </c>
      <c r="C1057" s="1">
        <v>55153</v>
      </c>
      <c r="D1057" s="4" t="s">
        <v>161</v>
      </c>
      <c r="E1057" t="s">
        <v>10</v>
      </c>
      <c r="F1057" t="s">
        <v>11</v>
      </c>
      <c r="G1057" t="s">
        <v>29</v>
      </c>
      <c r="H1057" t="s">
        <v>2771</v>
      </c>
      <c r="I1057" t="s">
        <v>2894</v>
      </c>
      <c r="J1057" t="str">
        <f>IF(ISNUMBER(MATCH($D1057,'Lopettaneet 2013-&gt;'!$D:$D,0)),INDEX('Lopettaneet 2013-&gt;'!$K:$K,MATCH($D1057,'Lopettaneet 2013-&gt;'!$D:$D,0)),"Jatkaa")</f>
        <v>Jatkaa</v>
      </c>
      <c r="K1057">
        <f ca="1">IF($J1057="Jatkaa",DATEDIF($B1057,TODAY(),"Y"),INDEX('Lopettaneet 2013-&gt;'!$L:$L,MATCH($D1057,'Lopettaneet 2013-&gt;'!$D:$D,0)))</f>
        <v>1</v>
      </c>
      <c r="L1057">
        <v>1056</v>
      </c>
    </row>
    <row r="1058" spans="1:12" x14ac:dyDescent="0.25">
      <c r="A1058" t="s">
        <v>7</v>
      </c>
      <c r="B1058" s="1">
        <v>45078</v>
      </c>
      <c r="C1058" s="1">
        <v>55153</v>
      </c>
      <c r="D1058" s="4" t="s">
        <v>163</v>
      </c>
      <c r="E1058" t="s">
        <v>10</v>
      </c>
      <c r="F1058" t="s">
        <v>11</v>
      </c>
      <c r="G1058" t="s">
        <v>80</v>
      </c>
      <c r="H1058" t="s">
        <v>2887</v>
      </c>
      <c r="I1058" t="s">
        <v>2895</v>
      </c>
      <c r="J1058" t="str">
        <f>IF(ISNUMBER(MATCH($D1058,'Lopettaneet 2013-&gt;'!$D:$D,0)),INDEX('Lopettaneet 2013-&gt;'!$K:$K,MATCH($D1058,'Lopettaneet 2013-&gt;'!$D:$D,0)),"Jatkaa")</f>
        <v>Jatkaa</v>
      </c>
      <c r="K1058">
        <f ca="1">IF($J1058="Jatkaa",DATEDIF($B1058,TODAY(),"Y"),INDEX('Lopettaneet 2013-&gt;'!$L:$L,MATCH($D1058,'Lopettaneet 2013-&gt;'!$D:$D,0)))</f>
        <v>1</v>
      </c>
      <c r="L1058">
        <v>1057</v>
      </c>
    </row>
    <row r="1059" spans="1:12" x14ac:dyDescent="0.25">
      <c r="A1059" t="s">
        <v>7</v>
      </c>
      <c r="B1059" s="1">
        <v>45352</v>
      </c>
      <c r="C1059" s="1">
        <v>55153</v>
      </c>
      <c r="D1059" s="4" t="s">
        <v>215</v>
      </c>
      <c r="E1059" t="s">
        <v>10</v>
      </c>
      <c r="F1059" t="s">
        <v>11</v>
      </c>
      <c r="G1059" t="s">
        <v>80</v>
      </c>
      <c r="H1059" t="s">
        <v>2888</v>
      </c>
      <c r="I1059" t="s">
        <v>2895</v>
      </c>
      <c r="J1059" t="str">
        <f>IF(ISNUMBER(MATCH($D1059,'Lopettaneet 2013-&gt;'!$D:$D,0)),INDEX('Lopettaneet 2013-&gt;'!$K:$K,MATCH($D1059,'Lopettaneet 2013-&gt;'!$D:$D,0)),"Jatkaa")</f>
        <v>Jatkaa</v>
      </c>
      <c r="K1059">
        <f ca="1">IF($J1059="Jatkaa",DATEDIF($B1059,TODAY(),"Y"),INDEX('Lopettaneet 2013-&gt;'!$L:$L,MATCH($D1059,'Lopettaneet 2013-&gt;'!$D:$D,0)))</f>
        <v>1</v>
      </c>
      <c r="L1059">
        <v>1058</v>
      </c>
    </row>
    <row r="1060" spans="1:12" x14ac:dyDescent="0.25">
      <c r="A1060" t="s">
        <v>7</v>
      </c>
      <c r="B1060" s="1">
        <v>45261</v>
      </c>
      <c r="C1060" s="1">
        <v>55153</v>
      </c>
      <c r="D1060" s="4" t="s">
        <v>165</v>
      </c>
      <c r="E1060" t="s">
        <v>10</v>
      </c>
      <c r="F1060" t="s">
        <v>11</v>
      </c>
      <c r="G1060" t="s">
        <v>80</v>
      </c>
      <c r="H1060" t="s">
        <v>2821</v>
      </c>
      <c r="I1060" t="s">
        <v>2894</v>
      </c>
      <c r="J1060" t="str">
        <f>IF(ISNUMBER(MATCH($D1060,'Lopettaneet 2013-&gt;'!$D:$D,0)),INDEX('Lopettaneet 2013-&gt;'!$K:$K,MATCH($D1060,'Lopettaneet 2013-&gt;'!$D:$D,0)),"Jatkaa")</f>
        <v>Jatkaa</v>
      </c>
      <c r="K1060">
        <f ca="1">IF($J1060="Jatkaa",DATEDIF($B1060,TODAY(),"Y"),INDEX('Lopettaneet 2013-&gt;'!$L:$L,MATCH($D1060,'Lopettaneet 2013-&gt;'!$D:$D,0)))</f>
        <v>1</v>
      </c>
      <c r="L1060">
        <v>1059</v>
      </c>
    </row>
    <row r="1061" spans="1:12" x14ac:dyDescent="0.25">
      <c r="A1061" t="s">
        <v>0</v>
      </c>
      <c r="B1061" s="1">
        <v>45170</v>
      </c>
      <c r="C1061" s="1">
        <v>55153</v>
      </c>
      <c r="D1061" s="4" t="s">
        <v>167</v>
      </c>
      <c r="E1061" t="s">
        <v>10</v>
      </c>
      <c r="F1061" t="s">
        <v>11</v>
      </c>
      <c r="G1061" t="s">
        <v>20</v>
      </c>
      <c r="H1061" t="s">
        <v>2847</v>
      </c>
      <c r="I1061" t="s">
        <v>2895</v>
      </c>
      <c r="J1061" t="str">
        <f>IF(ISNUMBER(MATCH($D1061,'Lopettaneet 2013-&gt;'!$D:$D,0)),INDEX('Lopettaneet 2013-&gt;'!$K:$K,MATCH($D1061,'Lopettaneet 2013-&gt;'!$D:$D,0)),"Jatkaa")</f>
        <v>Jatkaa</v>
      </c>
      <c r="K1061">
        <f ca="1">IF($J1061="Jatkaa",DATEDIF($B1061,TODAY(),"Y"),INDEX('Lopettaneet 2013-&gt;'!$L:$L,MATCH($D1061,'Lopettaneet 2013-&gt;'!$D:$D,0)))</f>
        <v>1</v>
      </c>
      <c r="L1061">
        <v>1060</v>
      </c>
    </row>
    <row r="1062" spans="1:12" x14ac:dyDescent="0.25">
      <c r="A1062" t="s">
        <v>7</v>
      </c>
      <c r="B1062" s="1">
        <v>45170</v>
      </c>
      <c r="C1062" s="1">
        <v>55153</v>
      </c>
      <c r="D1062" s="4" t="s">
        <v>169</v>
      </c>
      <c r="E1062" t="s">
        <v>10</v>
      </c>
      <c r="F1062" t="s">
        <v>11</v>
      </c>
      <c r="G1062" t="s">
        <v>29</v>
      </c>
      <c r="H1062" t="s">
        <v>2802</v>
      </c>
      <c r="I1062" t="s">
        <v>2895</v>
      </c>
      <c r="J1062" t="str">
        <f>IF(ISNUMBER(MATCH($D1062,'Lopettaneet 2013-&gt;'!$D:$D,0)),INDEX('Lopettaneet 2013-&gt;'!$K:$K,MATCH($D1062,'Lopettaneet 2013-&gt;'!$D:$D,0)),"Jatkaa")</f>
        <v>Jatkaa</v>
      </c>
      <c r="K1062">
        <f ca="1">IF($J1062="Jatkaa",DATEDIF($B1062,TODAY(),"Y"),INDEX('Lopettaneet 2013-&gt;'!$L:$L,MATCH($D1062,'Lopettaneet 2013-&gt;'!$D:$D,0)))</f>
        <v>1</v>
      </c>
      <c r="L1062">
        <v>1061</v>
      </c>
    </row>
    <row r="1063" spans="1:12" x14ac:dyDescent="0.25">
      <c r="A1063" t="s">
        <v>7</v>
      </c>
      <c r="B1063" s="1">
        <v>45170</v>
      </c>
      <c r="C1063" s="1">
        <v>55153</v>
      </c>
      <c r="D1063" s="4" t="s">
        <v>171</v>
      </c>
      <c r="E1063" t="s">
        <v>10</v>
      </c>
      <c r="F1063" t="s">
        <v>11</v>
      </c>
      <c r="G1063" t="s">
        <v>29</v>
      </c>
      <c r="H1063" t="s">
        <v>2771</v>
      </c>
      <c r="I1063" t="s">
        <v>2894</v>
      </c>
      <c r="J1063" t="str">
        <f>IF(ISNUMBER(MATCH($D1063,'Lopettaneet 2013-&gt;'!$D:$D,0)),INDEX('Lopettaneet 2013-&gt;'!$K:$K,MATCH($D1063,'Lopettaneet 2013-&gt;'!$D:$D,0)),"Jatkaa")</f>
        <v>Jatkaa</v>
      </c>
      <c r="K1063">
        <f ca="1">IF($J1063="Jatkaa",DATEDIF($B1063,TODAY(),"Y"),INDEX('Lopettaneet 2013-&gt;'!$L:$L,MATCH($D1063,'Lopettaneet 2013-&gt;'!$D:$D,0)))</f>
        <v>1</v>
      </c>
      <c r="L1063">
        <v>1062</v>
      </c>
    </row>
    <row r="1064" spans="1:12" x14ac:dyDescent="0.25">
      <c r="A1064" t="s">
        <v>7</v>
      </c>
      <c r="B1064" s="1">
        <v>45170</v>
      </c>
      <c r="C1064" s="1">
        <v>55153</v>
      </c>
      <c r="D1064" s="4" t="s">
        <v>173</v>
      </c>
      <c r="E1064" t="s">
        <v>10</v>
      </c>
      <c r="F1064" t="s">
        <v>11</v>
      </c>
      <c r="G1064" t="s">
        <v>29</v>
      </c>
      <c r="H1064" t="s">
        <v>2771</v>
      </c>
      <c r="I1064" t="s">
        <v>2894</v>
      </c>
      <c r="J1064" t="str">
        <f>IF(ISNUMBER(MATCH($D1064,'Lopettaneet 2013-&gt;'!$D:$D,0)),INDEX('Lopettaneet 2013-&gt;'!$K:$K,MATCH($D1064,'Lopettaneet 2013-&gt;'!$D:$D,0)),"Jatkaa")</f>
        <v>Jatkaa</v>
      </c>
      <c r="K1064">
        <f ca="1">IF($J1064="Jatkaa",DATEDIF($B1064,TODAY(),"Y"),INDEX('Lopettaneet 2013-&gt;'!$L:$L,MATCH($D1064,'Lopettaneet 2013-&gt;'!$D:$D,0)))</f>
        <v>1</v>
      </c>
      <c r="L1064">
        <v>1063</v>
      </c>
    </row>
    <row r="1065" spans="1:12" x14ac:dyDescent="0.25">
      <c r="A1065" t="s">
        <v>0</v>
      </c>
      <c r="B1065" s="1">
        <v>45078</v>
      </c>
      <c r="C1065" s="1">
        <v>55153</v>
      </c>
      <c r="D1065" s="4" t="s">
        <v>175</v>
      </c>
      <c r="E1065" t="s">
        <v>3</v>
      </c>
      <c r="F1065" t="s">
        <v>4</v>
      </c>
      <c r="G1065" t="s">
        <v>50</v>
      </c>
      <c r="H1065" t="s">
        <v>2845</v>
      </c>
      <c r="I1065" t="s">
        <v>2894</v>
      </c>
      <c r="J1065" t="str">
        <f>IF(ISNUMBER(MATCH($D1065,'Lopettaneet 2013-&gt;'!$D:$D,0)),INDEX('Lopettaneet 2013-&gt;'!$K:$K,MATCH($D1065,'Lopettaneet 2013-&gt;'!$D:$D,0)),"Jatkaa")</f>
        <v>Jatkaa</v>
      </c>
      <c r="K1065">
        <f ca="1">IF($J1065="Jatkaa",DATEDIF($B1065,TODAY(),"Y"),INDEX('Lopettaneet 2013-&gt;'!$L:$L,MATCH($D1065,'Lopettaneet 2013-&gt;'!$D:$D,0)))</f>
        <v>1</v>
      </c>
      <c r="L1065">
        <v>1064</v>
      </c>
    </row>
    <row r="1066" spans="1:12" x14ac:dyDescent="0.25">
      <c r="A1066" t="s">
        <v>7</v>
      </c>
      <c r="B1066" s="1">
        <v>45352</v>
      </c>
      <c r="C1066" s="1">
        <v>55153</v>
      </c>
      <c r="D1066" s="4" t="s">
        <v>217</v>
      </c>
      <c r="E1066" t="s">
        <v>10</v>
      </c>
      <c r="F1066" t="s">
        <v>11</v>
      </c>
      <c r="G1066" t="s">
        <v>80</v>
      </c>
      <c r="H1066" t="s">
        <v>2790</v>
      </c>
      <c r="I1066" t="s">
        <v>2895</v>
      </c>
      <c r="J1066" t="str">
        <f>IF(ISNUMBER(MATCH($D1066,'Lopettaneet 2013-&gt;'!$D:$D,0)),INDEX('Lopettaneet 2013-&gt;'!$K:$K,MATCH($D1066,'Lopettaneet 2013-&gt;'!$D:$D,0)),"Jatkaa")</f>
        <v>Jatkaa</v>
      </c>
      <c r="K1066">
        <f ca="1">IF($J1066="Jatkaa",DATEDIF($B1066,TODAY(),"Y"),INDEX('Lopettaneet 2013-&gt;'!$L:$L,MATCH($D1066,'Lopettaneet 2013-&gt;'!$D:$D,0)))</f>
        <v>1</v>
      </c>
      <c r="L1066">
        <v>1065</v>
      </c>
    </row>
    <row r="1067" spans="1:12" x14ac:dyDescent="0.25">
      <c r="A1067" t="s">
        <v>0</v>
      </c>
      <c r="B1067" s="1">
        <v>45078</v>
      </c>
      <c r="C1067" s="1">
        <v>55153</v>
      </c>
      <c r="D1067" s="4" t="s">
        <v>177</v>
      </c>
      <c r="E1067" t="s">
        <v>3</v>
      </c>
      <c r="F1067" t="s">
        <v>4</v>
      </c>
      <c r="G1067" t="s">
        <v>20</v>
      </c>
      <c r="H1067" t="s">
        <v>2777</v>
      </c>
      <c r="I1067" t="s">
        <v>2894</v>
      </c>
      <c r="J1067" t="str">
        <f>IF(ISNUMBER(MATCH($D1067,'Lopettaneet 2013-&gt;'!$D:$D,0)),INDEX('Lopettaneet 2013-&gt;'!$K:$K,MATCH($D1067,'Lopettaneet 2013-&gt;'!$D:$D,0)),"Jatkaa")</f>
        <v>Jatkaa</v>
      </c>
      <c r="K1067">
        <f ca="1">IF($J1067="Jatkaa",DATEDIF($B1067,TODAY(),"Y"),INDEX('Lopettaneet 2013-&gt;'!$L:$L,MATCH($D1067,'Lopettaneet 2013-&gt;'!$D:$D,0)))</f>
        <v>1</v>
      </c>
      <c r="L1067">
        <v>1066</v>
      </c>
    </row>
    <row r="1068" spans="1:12" x14ac:dyDescent="0.25">
      <c r="A1068" t="s">
        <v>0</v>
      </c>
      <c r="B1068" s="1">
        <v>45078</v>
      </c>
      <c r="C1068" s="1">
        <v>55153</v>
      </c>
      <c r="D1068" s="4" t="s">
        <v>179</v>
      </c>
      <c r="E1068" t="s">
        <v>3</v>
      </c>
      <c r="F1068" t="s">
        <v>4</v>
      </c>
      <c r="G1068" t="s">
        <v>20</v>
      </c>
      <c r="H1068" t="s">
        <v>2777</v>
      </c>
      <c r="I1068" t="s">
        <v>2894</v>
      </c>
      <c r="J1068" t="str">
        <f>IF(ISNUMBER(MATCH($D1068,'Lopettaneet 2013-&gt;'!$D:$D,0)),INDEX('Lopettaneet 2013-&gt;'!$K:$K,MATCH($D1068,'Lopettaneet 2013-&gt;'!$D:$D,0)),"Jatkaa")</f>
        <v>Jatkaa</v>
      </c>
      <c r="K1068">
        <f ca="1">IF($J1068="Jatkaa",DATEDIF($B1068,TODAY(),"Y"),INDEX('Lopettaneet 2013-&gt;'!$L:$L,MATCH($D1068,'Lopettaneet 2013-&gt;'!$D:$D,0)))</f>
        <v>1</v>
      </c>
      <c r="L1068">
        <v>1067</v>
      </c>
    </row>
    <row r="1069" spans="1:12" x14ac:dyDescent="0.25">
      <c r="A1069" t="s">
        <v>0</v>
      </c>
      <c r="B1069" s="1">
        <v>45078</v>
      </c>
      <c r="C1069" s="1">
        <v>55153</v>
      </c>
      <c r="D1069" s="4" t="s">
        <v>181</v>
      </c>
      <c r="E1069" t="s">
        <v>3</v>
      </c>
      <c r="F1069" t="s">
        <v>4</v>
      </c>
      <c r="G1069" t="s">
        <v>20</v>
      </c>
      <c r="H1069" t="s">
        <v>2777</v>
      </c>
      <c r="I1069" t="s">
        <v>2894</v>
      </c>
      <c r="J1069" t="str">
        <f>IF(ISNUMBER(MATCH($D1069,'Lopettaneet 2013-&gt;'!$D:$D,0)),INDEX('Lopettaneet 2013-&gt;'!$K:$K,MATCH($D1069,'Lopettaneet 2013-&gt;'!$D:$D,0)),"Jatkaa")</f>
        <v>Jatkaa</v>
      </c>
      <c r="K1069">
        <f ca="1">IF($J1069="Jatkaa",DATEDIF($B1069,TODAY(),"Y"),INDEX('Lopettaneet 2013-&gt;'!$L:$L,MATCH($D1069,'Lopettaneet 2013-&gt;'!$D:$D,0)))</f>
        <v>1</v>
      </c>
      <c r="L1069">
        <v>1068</v>
      </c>
    </row>
    <row r="1070" spans="1:12" x14ac:dyDescent="0.25">
      <c r="A1070" t="s">
        <v>0</v>
      </c>
      <c r="B1070" s="1">
        <v>45078</v>
      </c>
      <c r="C1070" s="1">
        <v>55153</v>
      </c>
      <c r="D1070" s="4" t="s">
        <v>183</v>
      </c>
      <c r="E1070" t="s">
        <v>3</v>
      </c>
      <c r="F1070" t="s">
        <v>4</v>
      </c>
      <c r="G1070" t="s">
        <v>20</v>
      </c>
      <c r="H1070" t="s">
        <v>2777</v>
      </c>
      <c r="I1070" t="s">
        <v>2894</v>
      </c>
      <c r="J1070" t="str">
        <f>IF(ISNUMBER(MATCH($D1070,'Lopettaneet 2013-&gt;'!$D:$D,0)),INDEX('Lopettaneet 2013-&gt;'!$K:$K,MATCH($D1070,'Lopettaneet 2013-&gt;'!$D:$D,0)),"Jatkaa")</f>
        <v>Jatkaa</v>
      </c>
      <c r="K1070">
        <f ca="1">IF($J1070="Jatkaa",DATEDIF($B1070,TODAY(),"Y"),INDEX('Lopettaneet 2013-&gt;'!$L:$L,MATCH($D1070,'Lopettaneet 2013-&gt;'!$D:$D,0)))</f>
        <v>1</v>
      </c>
      <c r="L1070">
        <v>1069</v>
      </c>
    </row>
    <row r="1071" spans="1:12" x14ac:dyDescent="0.25">
      <c r="A1071" t="s">
        <v>0</v>
      </c>
      <c r="B1071" s="1">
        <v>45170</v>
      </c>
      <c r="C1071" s="1">
        <v>55153</v>
      </c>
      <c r="D1071" s="4" t="s">
        <v>185</v>
      </c>
      <c r="E1071" t="s">
        <v>3</v>
      </c>
      <c r="F1071" t="s">
        <v>4</v>
      </c>
      <c r="G1071" t="s">
        <v>50</v>
      </c>
      <c r="H1071" t="s">
        <v>2775</v>
      </c>
      <c r="I1071" t="s">
        <v>2894</v>
      </c>
      <c r="J1071" t="str">
        <f>IF(ISNUMBER(MATCH($D1071,'Lopettaneet 2013-&gt;'!$D:$D,0)),INDEX('Lopettaneet 2013-&gt;'!$K:$K,MATCH($D1071,'Lopettaneet 2013-&gt;'!$D:$D,0)),"Jatkaa")</f>
        <v>Jatkaa</v>
      </c>
      <c r="K1071">
        <f ca="1">IF($J1071="Jatkaa",DATEDIF($B1071,TODAY(),"Y"),INDEX('Lopettaneet 2013-&gt;'!$L:$L,MATCH($D1071,'Lopettaneet 2013-&gt;'!$D:$D,0)))</f>
        <v>1</v>
      </c>
      <c r="L1071">
        <v>1070</v>
      </c>
    </row>
    <row r="1072" spans="1:12" x14ac:dyDescent="0.25">
      <c r="A1072" t="s">
        <v>0</v>
      </c>
      <c r="B1072" s="1">
        <v>45108</v>
      </c>
      <c r="C1072" s="1">
        <v>55153</v>
      </c>
      <c r="D1072" s="4" t="s">
        <v>187</v>
      </c>
      <c r="E1072" t="s">
        <v>10</v>
      </c>
      <c r="F1072" t="s">
        <v>4</v>
      </c>
      <c r="G1072" t="s">
        <v>32</v>
      </c>
      <c r="H1072" t="s">
        <v>2802</v>
      </c>
      <c r="I1072" t="s">
        <v>2895</v>
      </c>
      <c r="J1072" t="str">
        <f>IF(ISNUMBER(MATCH($D1072,'Lopettaneet 2013-&gt;'!$D:$D,0)),INDEX('Lopettaneet 2013-&gt;'!$K:$K,MATCH($D1072,'Lopettaneet 2013-&gt;'!$D:$D,0)),"Jatkaa")</f>
        <v>Jatkaa</v>
      </c>
      <c r="K1072">
        <f ca="1">IF($J1072="Jatkaa",DATEDIF($B1072,TODAY(),"Y"),INDEX('Lopettaneet 2013-&gt;'!$L:$L,MATCH($D1072,'Lopettaneet 2013-&gt;'!$D:$D,0)))</f>
        <v>1</v>
      </c>
      <c r="L1072">
        <v>1071</v>
      </c>
    </row>
    <row r="1073" spans="1:12" x14ac:dyDescent="0.25">
      <c r="A1073" t="s">
        <v>7</v>
      </c>
      <c r="B1073" s="1">
        <v>45352</v>
      </c>
      <c r="C1073" s="1">
        <v>55153</v>
      </c>
      <c r="D1073" s="4" t="s">
        <v>219</v>
      </c>
      <c r="E1073" t="s">
        <v>10</v>
      </c>
      <c r="F1073" t="s">
        <v>11</v>
      </c>
      <c r="G1073" t="s">
        <v>80</v>
      </c>
      <c r="H1073" t="s">
        <v>2766</v>
      </c>
      <c r="I1073" t="s">
        <v>2895</v>
      </c>
      <c r="J1073" t="str">
        <f>IF(ISNUMBER(MATCH($D1073,'Lopettaneet 2013-&gt;'!$D:$D,0)),INDEX('Lopettaneet 2013-&gt;'!$K:$K,MATCH($D1073,'Lopettaneet 2013-&gt;'!$D:$D,0)),"Jatkaa")</f>
        <v>Jatkaa</v>
      </c>
      <c r="K1073">
        <f ca="1">IF($J1073="Jatkaa",DATEDIF($B1073,TODAY(),"Y"),INDEX('Lopettaneet 2013-&gt;'!$L:$L,MATCH($D1073,'Lopettaneet 2013-&gt;'!$D:$D,0)))</f>
        <v>1</v>
      </c>
      <c r="L1073">
        <v>1072</v>
      </c>
    </row>
    <row r="1074" spans="1:12" x14ac:dyDescent="0.25">
      <c r="A1074" t="s">
        <v>0</v>
      </c>
      <c r="B1074" s="1">
        <v>45352</v>
      </c>
      <c r="C1074" s="1">
        <v>55153</v>
      </c>
      <c r="D1074" s="4" t="s">
        <v>221</v>
      </c>
      <c r="E1074" t="s">
        <v>10</v>
      </c>
      <c r="F1074" t="s">
        <v>11</v>
      </c>
      <c r="G1074" t="s">
        <v>20</v>
      </c>
      <c r="H1074" t="s">
        <v>2766</v>
      </c>
      <c r="I1074" t="s">
        <v>2895</v>
      </c>
      <c r="J1074" t="str">
        <f>IF(ISNUMBER(MATCH($D1074,'Lopettaneet 2013-&gt;'!$D:$D,0)),INDEX('Lopettaneet 2013-&gt;'!$K:$K,MATCH($D1074,'Lopettaneet 2013-&gt;'!$D:$D,0)),"Jatkaa")</f>
        <v>Jatkaa</v>
      </c>
      <c r="K1074">
        <f ca="1">IF($J1074="Jatkaa",DATEDIF($B1074,TODAY(),"Y"),INDEX('Lopettaneet 2013-&gt;'!$L:$L,MATCH($D1074,'Lopettaneet 2013-&gt;'!$D:$D,0)))</f>
        <v>1</v>
      </c>
      <c r="L1074">
        <v>1073</v>
      </c>
    </row>
    <row r="1075" spans="1:12" x14ac:dyDescent="0.25">
      <c r="A1075" t="s">
        <v>0</v>
      </c>
      <c r="B1075" s="1">
        <v>45170</v>
      </c>
      <c r="C1075" s="1">
        <v>55153</v>
      </c>
      <c r="D1075" s="4" t="s">
        <v>189</v>
      </c>
      <c r="E1075" t="s">
        <v>10</v>
      </c>
      <c r="F1075" t="s">
        <v>4</v>
      </c>
      <c r="G1075" t="s">
        <v>29</v>
      </c>
      <c r="H1075" t="s">
        <v>2802</v>
      </c>
      <c r="I1075" t="s">
        <v>2894</v>
      </c>
      <c r="J1075" t="str">
        <f>IF(ISNUMBER(MATCH($D1075,'Lopettaneet 2013-&gt;'!$D:$D,0)),INDEX('Lopettaneet 2013-&gt;'!$K:$K,MATCH($D1075,'Lopettaneet 2013-&gt;'!$D:$D,0)),"Jatkaa")</f>
        <v>Jatkaa</v>
      </c>
      <c r="K1075">
        <f ca="1">IF($J1075="Jatkaa",DATEDIF($B1075,TODAY(),"Y"),INDEX('Lopettaneet 2013-&gt;'!$L:$L,MATCH($D1075,'Lopettaneet 2013-&gt;'!$D:$D,0)))</f>
        <v>1</v>
      </c>
      <c r="L1075">
        <v>1074</v>
      </c>
    </row>
    <row r="1076" spans="1:12" x14ac:dyDescent="0.25">
      <c r="A1076" t="s">
        <v>7</v>
      </c>
      <c r="B1076" s="1">
        <v>45352</v>
      </c>
      <c r="C1076" s="1">
        <v>55153</v>
      </c>
      <c r="D1076" s="4" t="s">
        <v>223</v>
      </c>
      <c r="E1076" t="s">
        <v>10</v>
      </c>
      <c r="F1076" t="s">
        <v>11</v>
      </c>
      <c r="G1076" t="s">
        <v>29</v>
      </c>
      <c r="H1076" t="s">
        <v>2771</v>
      </c>
      <c r="I1076" t="s">
        <v>2894</v>
      </c>
      <c r="J1076" t="str">
        <f>IF(ISNUMBER(MATCH($D1076,'Lopettaneet 2013-&gt;'!$D:$D,0)),INDEX('Lopettaneet 2013-&gt;'!$K:$K,MATCH($D1076,'Lopettaneet 2013-&gt;'!$D:$D,0)),"Jatkaa")</f>
        <v>Jatkaa</v>
      </c>
      <c r="K1076">
        <f ca="1">IF($J1076="Jatkaa",DATEDIF($B1076,TODAY(),"Y"),INDEX('Lopettaneet 2013-&gt;'!$L:$L,MATCH($D1076,'Lopettaneet 2013-&gt;'!$D:$D,0)))</f>
        <v>1</v>
      </c>
      <c r="L1076">
        <v>1075</v>
      </c>
    </row>
    <row r="1077" spans="1:12" x14ac:dyDescent="0.25">
      <c r="A1077" t="s">
        <v>7</v>
      </c>
      <c r="B1077" s="1">
        <v>45352</v>
      </c>
      <c r="C1077" s="1">
        <v>55153</v>
      </c>
      <c r="D1077" s="4" t="s">
        <v>225</v>
      </c>
      <c r="E1077" t="s">
        <v>10</v>
      </c>
      <c r="F1077" t="s">
        <v>11</v>
      </c>
      <c r="G1077" t="s">
        <v>29</v>
      </c>
      <c r="H1077" t="s">
        <v>2771</v>
      </c>
      <c r="I1077" t="s">
        <v>2894</v>
      </c>
      <c r="J1077" t="str">
        <f>IF(ISNUMBER(MATCH($D1077,'Lopettaneet 2013-&gt;'!$D:$D,0)),INDEX('Lopettaneet 2013-&gt;'!$K:$K,MATCH($D1077,'Lopettaneet 2013-&gt;'!$D:$D,0)),"Jatkaa")</f>
        <v>Jatkaa</v>
      </c>
      <c r="K1077">
        <f ca="1">IF($J1077="Jatkaa",DATEDIF($B1077,TODAY(),"Y"),INDEX('Lopettaneet 2013-&gt;'!$L:$L,MATCH($D1077,'Lopettaneet 2013-&gt;'!$D:$D,0)))</f>
        <v>1</v>
      </c>
      <c r="L1077">
        <v>1076</v>
      </c>
    </row>
    <row r="1078" spans="1:12" x14ac:dyDescent="0.25">
      <c r="A1078" t="s">
        <v>0</v>
      </c>
      <c r="B1078" s="1">
        <v>45170</v>
      </c>
      <c r="C1078" s="1">
        <v>55153</v>
      </c>
      <c r="D1078" s="4" t="s">
        <v>191</v>
      </c>
      <c r="E1078" t="s">
        <v>3</v>
      </c>
      <c r="F1078" t="s">
        <v>4</v>
      </c>
      <c r="G1078" t="s">
        <v>20</v>
      </c>
      <c r="H1078" t="s">
        <v>2767</v>
      </c>
      <c r="I1078" t="s">
        <v>2894</v>
      </c>
      <c r="J1078" t="str">
        <f>IF(ISNUMBER(MATCH($D1078,'Lopettaneet 2013-&gt;'!$D:$D,0)),INDEX('Lopettaneet 2013-&gt;'!$K:$K,MATCH($D1078,'Lopettaneet 2013-&gt;'!$D:$D,0)),"Jatkaa")</f>
        <v>Jatkaa</v>
      </c>
      <c r="K1078">
        <f ca="1">IF($J1078="Jatkaa",DATEDIF($B1078,TODAY(),"Y"),INDEX('Lopettaneet 2013-&gt;'!$L:$L,MATCH($D1078,'Lopettaneet 2013-&gt;'!$D:$D,0)))</f>
        <v>1</v>
      </c>
      <c r="L1078">
        <v>1077</v>
      </c>
    </row>
    <row r="1079" spans="1:12" x14ac:dyDescent="0.25">
      <c r="A1079" t="s">
        <v>7</v>
      </c>
      <c r="B1079" s="1">
        <v>45170</v>
      </c>
      <c r="C1079" s="1">
        <v>55153</v>
      </c>
      <c r="D1079" s="4" t="s">
        <v>193</v>
      </c>
      <c r="E1079" t="s">
        <v>10</v>
      </c>
      <c r="F1079" t="s">
        <v>11</v>
      </c>
      <c r="G1079" t="s">
        <v>29</v>
      </c>
      <c r="H1079" t="s">
        <v>2889</v>
      </c>
      <c r="I1079" t="s">
        <v>2895</v>
      </c>
      <c r="J1079" t="str">
        <f>IF(ISNUMBER(MATCH($D1079,'Lopettaneet 2013-&gt;'!$D:$D,0)),INDEX('Lopettaneet 2013-&gt;'!$K:$K,MATCH($D1079,'Lopettaneet 2013-&gt;'!$D:$D,0)),"Jatkaa")</f>
        <v>Jatkaa</v>
      </c>
      <c r="K1079">
        <f ca="1">IF($J1079="Jatkaa",DATEDIF($B1079,TODAY(),"Y"),INDEX('Lopettaneet 2013-&gt;'!$L:$L,MATCH($D1079,'Lopettaneet 2013-&gt;'!$D:$D,0)))</f>
        <v>1</v>
      </c>
      <c r="L1079">
        <v>1078</v>
      </c>
    </row>
    <row r="1080" spans="1:12" x14ac:dyDescent="0.25">
      <c r="A1080" t="s">
        <v>7</v>
      </c>
      <c r="B1080" s="1">
        <v>45261</v>
      </c>
      <c r="C1080" s="1">
        <v>55153</v>
      </c>
      <c r="D1080" s="4" t="s">
        <v>195</v>
      </c>
      <c r="E1080" t="s">
        <v>10</v>
      </c>
      <c r="F1080" t="s">
        <v>11</v>
      </c>
      <c r="G1080" t="s">
        <v>12</v>
      </c>
      <c r="H1080" t="s">
        <v>2880</v>
      </c>
      <c r="I1080" t="s">
        <v>2894</v>
      </c>
      <c r="J1080" t="str">
        <f>IF(ISNUMBER(MATCH($D1080,'Lopettaneet 2013-&gt;'!$D:$D,0)),INDEX('Lopettaneet 2013-&gt;'!$K:$K,MATCH($D1080,'Lopettaneet 2013-&gt;'!$D:$D,0)),"Jatkaa")</f>
        <v>Jatkaa</v>
      </c>
      <c r="K1080">
        <f ca="1">IF($J1080="Jatkaa",DATEDIF($B1080,TODAY(),"Y"),INDEX('Lopettaneet 2013-&gt;'!$L:$L,MATCH($D1080,'Lopettaneet 2013-&gt;'!$D:$D,0)))</f>
        <v>1</v>
      </c>
      <c r="L1080">
        <v>1079</v>
      </c>
    </row>
    <row r="1081" spans="1:12" x14ac:dyDescent="0.25">
      <c r="A1081" t="s">
        <v>7</v>
      </c>
      <c r="B1081" s="1">
        <v>45352</v>
      </c>
      <c r="C1081" s="1">
        <v>55153</v>
      </c>
      <c r="D1081" s="4" t="s">
        <v>227</v>
      </c>
      <c r="E1081" t="s">
        <v>10</v>
      </c>
      <c r="F1081" t="s">
        <v>11</v>
      </c>
      <c r="G1081" t="s">
        <v>80</v>
      </c>
      <c r="H1081" t="s">
        <v>2848</v>
      </c>
      <c r="I1081" t="s">
        <v>2895</v>
      </c>
      <c r="J1081" t="str">
        <f>IF(ISNUMBER(MATCH($D1081,'Lopettaneet 2013-&gt;'!$D:$D,0)),INDEX('Lopettaneet 2013-&gt;'!$K:$K,MATCH($D1081,'Lopettaneet 2013-&gt;'!$D:$D,0)),"Jatkaa")</f>
        <v>Jatkaa</v>
      </c>
      <c r="K1081">
        <f ca="1">IF($J1081="Jatkaa",DATEDIF($B1081,TODAY(),"Y"),INDEX('Lopettaneet 2013-&gt;'!$L:$L,MATCH($D1081,'Lopettaneet 2013-&gt;'!$D:$D,0)))</f>
        <v>1</v>
      </c>
      <c r="L1081">
        <v>1080</v>
      </c>
    </row>
    <row r="1082" spans="1:12" x14ac:dyDescent="0.25">
      <c r="A1082" t="s">
        <v>7</v>
      </c>
      <c r="B1082" s="1">
        <v>45261</v>
      </c>
      <c r="C1082" s="1">
        <v>55153</v>
      </c>
      <c r="D1082" s="4" t="s">
        <v>197</v>
      </c>
      <c r="E1082" t="s">
        <v>10</v>
      </c>
      <c r="F1082" t="s">
        <v>11</v>
      </c>
      <c r="G1082" t="s">
        <v>29</v>
      </c>
      <c r="H1082" t="s">
        <v>2866</v>
      </c>
      <c r="I1082" t="s">
        <v>2894</v>
      </c>
      <c r="J1082" t="str">
        <f>IF(ISNUMBER(MATCH($D1082,'Lopettaneet 2013-&gt;'!$D:$D,0)),INDEX('Lopettaneet 2013-&gt;'!$K:$K,MATCH($D1082,'Lopettaneet 2013-&gt;'!$D:$D,0)),"Jatkaa")</f>
        <v>Jatkaa</v>
      </c>
      <c r="K1082">
        <f ca="1">IF($J1082="Jatkaa",DATEDIF($B1082,TODAY(),"Y"),INDEX('Lopettaneet 2013-&gt;'!$L:$L,MATCH($D1082,'Lopettaneet 2013-&gt;'!$D:$D,0)))</f>
        <v>1</v>
      </c>
      <c r="L1082">
        <v>1081</v>
      </c>
    </row>
    <row r="1083" spans="1:12" x14ac:dyDescent="0.25">
      <c r="A1083" t="s">
        <v>7</v>
      </c>
      <c r="B1083" s="1">
        <v>45261</v>
      </c>
      <c r="C1083" s="1">
        <v>55153</v>
      </c>
      <c r="D1083" s="4" t="s">
        <v>199</v>
      </c>
      <c r="E1083" t="s">
        <v>10</v>
      </c>
      <c r="F1083" t="s">
        <v>11</v>
      </c>
      <c r="G1083" t="s">
        <v>29</v>
      </c>
      <c r="H1083" t="s">
        <v>2866</v>
      </c>
      <c r="I1083" t="s">
        <v>2894</v>
      </c>
      <c r="J1083" t="str">
        <f>IF(ISNUMBER(MATCH($D1083,'Lopettaneet 2013-&gt;'!$D:$D,0)),INDEX('Lopettaneet 2013-&gt;'!$K:$K,MATCH($D1083,'Lopettaneet 2013-&gt;'!$D:$D,0)),"Jatkaa")</f>
        <v>Jatkaa</v>
      </c>
      <c r="K1083">
        <f ca="1">IF($J1083="Jatkaa",DATEDIF($B1083,TODAY(),"Y"),INDEX('Lopettaneet 2013-&gt;'!$L:$L,MATCH($D1083,'Lopettaneet 2013-&gt;'!$D:$D,0)))</f>
        <v>1</v>
      </c>
      <c r="L1083">
        <v>1082</v>
      </c>
    </row>
    <row r="1084" spans="1:12" x14ac:dyDescent="0.25">
      <c r="A1084" t="s">
        <v>7</v>
      </c>
      <c r="B1084" s="1">
        <v>45261</v>
      </c>
      <c r="C1084" s="1">
        <v>55153</v>
      </c>
      <c r="D1084" s="4" t="s">
        <v>201</v>
      </c>
      <c r="E1084" t="s">
        <v>10</v>
      </c>
      <c r="F1084" t="s">
        <v>11</v>
      </c>
      <c r="G1084" t="s">
        <v>29</v>
      </c>
      <c r="H1084" t="s">
        <v>2866</v>
      </c>
      <c r="I1084" t="s">
        <v>2894</v>
      </c>
      <c r="J1084" t="str">
        <f>IF(ISNUMBER(MATCH($D1084,'Lopettaneet 2013-&gt;'!$D:$D,0)),INDEX('Lopettaneet 2013-&gt;'!$K:$K,MATCH($D1084,'Lopettaneet 2013-&gt;'!$D:$D,0)),"Jatkaa")</f>
        <v>Jatkaa</v>
      </c>
      <c r="K1084">
        <f ca="1">IF($J1084="Jatkaa",DATEDIF($B1084,TODAY(),"Y"),INDEX('Lopettaneet 2013-&gt;'!$L:$L,MATCH($D1084,'Lopettaneet 2013-&gt;'!$D:$D,0)))</f>
        <v>1</v>
      </c>
      <c r="L1084">
        <v>1083</v>
      </c>
    </row>
    <row r="1085" spans="1:12" x14ac:dyDescent="0.25">
      <c r="A1085" t="s">
        <v>7</v>
      </c>
      <c r="B1085" s="1">
        <v>45352</v>
      </c>
      <c r="C1085" s="1">
        <v>55153</v>
      </c>
      <c r="D1085" s="4" t="s">
        <v>229</v>
      </c>
      <c r="E1085" t="s">
        <v>10</v>
      </c>
      <c r="F1085" t="s">
        <v>11</v>
      </c>
      <c r="G1085" t="s">
        <v>12</v>
      </c>
      <c r="H1085" t="s">
        <v>2847</v>
      </c>
      <c r="I1085" t="s">
        <v>2763</v>
      </c>
      <c r="J1085" t="str">
        <f>IF(ISNUMBER(MATCH($D1085,'Lopettaneet 2013-&gt;'!$D:$D,0)),INDEX('Lopettaneet 2013-&gt;'!$K:$K,MATCH($D1085,'Lopettaneet 2013-&gt;'!$D:$D,0)),"Jatkaa")</f>
        <v>Jatkaa</v>
      </c>
      <c r="K1085">
        <f ca="1">IF($J1085="Jatkaa",DATEDIF($B1085,TODAY(),"Y"),INDEX('Lopettaneet 2013-&gt;'!$L:$L,MATCH($D1085,'Lopettaneet 2013-&gt;'!$D:$D,0)))</f>
        <v>1</v>
      </c>
      <c r="L1085">
        <v>1084</v>
      </c>
    </row>
    <row r="1086" spans="1:12" x14ac:dyDescent="0.25">
      <c r="A1086" t="s">
        <v>0</v>
      </c>
      <c r="B1086" s="1">
        <v>45261</v>
      </c>
      <c r="C1086" s="1">
        <v>55153</v>
      </c>
      <c r="D1086" s="4" t="s">
        <v>203</v>
      </c>
      <c r="E1086" t="s">
        <v>10</v>
      </c>
      <c r="F1086" t="s">
        <v>4</v>
      </c>
      <c r="G1086" t="s">
        <v>20</v>
      </c>
      <c r="H1086" t="s">
        <v>2885</v>
      </c>
      <c r="I1086" t="s">
        <v>2894</v>
      </c>
      <c r="J1086" t="str">
        <f>IF(ISNUMBER(MATCH($D1086,'Lopettaneet 2013-&gt;'!$D:$D,0)),INDEX('Lopettaneet 2013-&gt;'!$K:$K,MATCH($D1086,'Lopettaneet 2013-&gt;'!$D:$D,0)),"Jatkaa")</f>
        <v>Jatkaa</v>
      </c>
      <c r="K1086">
        <f ca="1">IF($J1086="Jatkaa",DATEDIF($B1086,TODAY(),"Y"),INDEX('Lopettaneet 2013-&gt;'!$L:$L,MATCH($D1086,'Lopettaneet 2013-&gt;'!$D:$D,0)))</f>
        <v>1</v>
      </c>
      <c r="L1086">
        <v>1085</v>
      </c>
    </row>
    <row r="1087" spans="1:12" x14ac:dyDescent="0.25">
      <c r="A1087" t="s">
        <v>0</v>
      </c>
      <c r="B1087" s="1">
        <v>45261</v>
      </c>
      <c r="C1087" s="1">
        <v>55153</v>
      </c>
      <c r="D1087" s="4" t="s">
        <v>205</v>
      </c>
      <c r="E1087" t="s">
        <v>10</v>
      </c>
      <c r="F1087" t="s">
        <v>4</v>
      </c>
      <c r="G1087" t="s">
        <v>20</v>
      </c>
      <c r="H1087" t="s">
        <v>2842</v>
      </c>
      <c r="I1087" t="s">
        <v>2894</v>
      </c>
      <c r="J1087" t="str">
        <f>IF(ISNUMBER(MATCH($D1087,'Lopettaneet 2013-&gt;'!$D:$D,0)),INDEX('Lopettaneet 2013-&gt;'!$K:$K,MATCH($D1087,'Lopettaneet 2013-&gt;'!$D:$D,0)),"Jatkaa")</f>
        <v>Jatkaa</v>
      </c>
      <c r="K1087">
        <f ca="1">IF($J1087="Jatkaa",DATEDIF($B1087,TODAY(),"Y"),INDEX('Lopettaneet 2013-&gt;'!$L:$L,MATCH($D1087,'Lopettaneet 2013-&gt;'!$D:$D,0)))</f>
        <v>1</v>
      </c>
      <c r="L1087">
        <v>1086</v>
      </c>
    </row>
    <row r="1088" spans="1:12" x14ac:dyDescent="0.25">
      <c r="A1088" t="s">
        <v>0</v>
      </c>
      <c r="B1088" s="1">
        <v>45231</v>
      </c>
      <c r="C1088" s="1">
        <v>55153</v>
      </c>
      <c r="D1088" s="4" t="s">
        <v>207</v>
      </c>
      <c r="E1088" t="s">
        <v>3</v>
      </c>
      <c r="F1088" t="s">
        <v>4</v>
      </c>
      <c r="G1088" t="s">
        <v>20</v>
      </c>
      <c r="H1088" t="s">
        <v>2764</v>
      </c>
      <c r="I1088" t="s">
        <v>2894</v>
      </c>
      <c r="J1088" t="str">
        <f>IF(ISNUMBER(MATCH($D1088,'Lopettaneet 2013-&gt;'!$D:$D,0)),INDEX('Lopettaneet 2013-&gt;'!$K:$K,MATCH($D1088,'Lopettaneet 2013-&gt;'!$D:$D,0)),"Jatkaa")</f>
        <v>Jatkaa</v>
      </c>
      <c r="K1088">
        <f ca="1">IF($J1088="Jatkaa",DATEDIF($B1088,TODAY(),"Y"),INDEX('Lopettaneet 2013-&gt;'!$L:$L,MATCH($D1088,'Lopettaneet 2013-&gt;'!$D:$D,0)))</f>
        <v>1</v>
      </c>
      <c r="L1088">
        <v>1087</v>
      </c>
    </row>
    <row r="1089" spans="1:12" x14ac:dyDescent="0.25">
      <c r="A1089" t="s">
        <v>7</v>
      </c>
      <c r="B1089" s="1">
        <v>45261</v>
      </c>
      <c r="C1089" s="1">
        <v>55153</v>
      </c>
      <c r="D1089" s="4" t="s">
        <v>209</v>
      </c>
      <c r="E1089" t="s">
        <v>10</v>
      </c>
      <c r="F1089" t="s">
        <v>11</v>
      </c>
      <c r="G1089" t="s">
        <v>80</v>
      </c>
      <c r="H1089" t="s">
        <v>2834</v>
      </c>
      <c r="I1089" t="s">
        <v>2895</v>
      </c>
      <c r="J1089" t="str">
        <f>IF(ISNUMBER(MATCH($D1089,'Lopettaneet 2013-&gt;'!$D:$D,0)),INDEX('Lopettaneet 2013-&gt;'!$K:$K,MATCH($D1089,'Lopettaneet 2013-&gt;'!$D:$D,0)),"Jatkaa")</f>
        <v>Jatkaa</v>
      </c>
      <c r="K1089">
        <f ca="1">IF($J1089="Jatkaa",DATEDIF($B1089,TODAY(),"Y"),INDEX('Lopettaneet 2013-&gt;'!$L:$L,MATCH($D1089,'Lopettaneet 2013-&gt;'!$D:$D,0)))</f>
        <v>1</v>
      </c>
      <c r="L1089">
        <v>1088</v>
      </c>
    </row>
    <row r="1090" spans="1:12" x14ac:dyDescent="0.25">
      <c r="A1090" t="s">
        <v>0</v>
      </c>
      <c r="B1090" s="1">
        <v>45352</v>
      </c>
      <c r="C1090" s="1">
        <v>55153</v>
      </c>
      <c r="D1090" s="4" t="s">
        <v>231</v>
      </c>
      <c r="E1090" t="s">
        <v>3</v>
      </c>
      <c r="F1090" t="s">
        <v>4</v>
      </c>
      <c r="G1090" t="s">
        <v>20</v>
      </c>
      <c r="H1090" t="s">
        <v>2771</v>
      </c>
      <c r="I1090" t="s">
        <v>2894</v>
      </c>
      <c r="J1090" t="str">
        <f>IF(ISNUMBER(MATCH($D1090,'Lopettaneet 2013-&gt;'!$D:$D,0)),INDEX('Lopettaneet 2013-&gt;'!$K:$K,MATCH($D1090,'Lopettaneet 2013-&gt;'!$D:$D,0)),"Jatkaa")</f>
        <v>Jatkaa</v>
      </c>
      <c r="K1090">
        <f ca="1">IF($J1090="Jatkaa",DATEDIF($B1090,TODAY(),"Y"),INDEX('Lopettaneet 2013-&gt;'!$L:$L,MATCH($D1090,'Lopettaneet 2013-&gt;'!$D:$D,0)))</f>
        <v>1</v>
      </c>
      <c r="L1090">
        <v>1089</v>
      </c>
    </row>
    <row r="1091" spans="1:12" x14ac:dyDescent="0.25">
      <c r="A1091" t="s">
        <v>7</v>
      </c>
      <c r="B1091" s="1">
        <v>45352</v>
      </c>
      <c r="C1091" s="1">
        <v>55153</v>
      </c>
      <c r="D1091" s="4" t="s">
        <v>233</v>
      </c>
      <c r="E1091" t="s">
        <v>10</v>
      </c>
      <c r="F1091" t="s">
        <v>11</v>
      </c>
      <c r="G1091" t="s">
        <v>80</v>
      </c>
      <c r="H1091" t="s">
        <v>2888</v>
      </c>
      <c r="I1091" t="s">
        <v>2895</v>
      </c>
      <c r="J1091" t="str">
        <f>IF(ISNUMBER(MATCH($D1091,'Lopettaneet 2013-&gt;'!$D:$D,0)),INDEX('Lopettaneet 2013-&gt;'!$K:$K,MATCH($D1091,'Lopettaneet 2013-&gt;'!$D:$D,0)),"Jatkaa")</f>
        <v>Jatkaa</v>
      </c>
      <c r="K1091">
        <f ca="1">IF($J1091="Jatkaa",DATEDIF($B1091,TODAY(),"Y"),INDEX('Lopettaneet 2013-&gt;'!$L:$L,MATCH($D1091,'Lopettaneet 2013-&gt;'!$D:$D,0)))</f>
        <v>1</v>
      </c>
      <c r="L1091">
        <v>1090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ToPowerBI</vt:lpstr>
      <vt:lpstr>Aloittaneet 2013-&gt;</vt:lpstr>
      <vt:lpstr>Lopettaneet 2013-&gt;</vt:lpstr>
      <vt:lpstr>Statistisk analys</vt:lpstr>
      <vt:lpstr>Statistisk analys på stängde</vt:lpstr>
      <vt:lpstr>ToPowerBI (not in usage)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Kirves, Katja ©</dc:creator>
  <cp:lastModifiedBy>Pavel Viitasalo</cp:lastModifiedBy>
  <dcterms:created xsi:type="dcterms:W3CDTF">2024-03-04T10:01:18Z</dcterms:created>
  <dcterms:modified xsi:type="dcterms:W3CDTF">2025-05-15T09:02:21Z</dcterms:modified>
</cp:coreProperties>
</file>